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esk-surgery-center\results\"/>
    </mc:Choice>
  </mc:AlternateContent>
  <xr:revisionPtr revIDLastSave="0" documentId="13_ncr:1_{2C355EB8-396A-44E8-A5C4-601EEF4D724C}" xr6:coauthVersionLast="47" xr6:coauthVersionMax="47" xr10:uidLastSave="{00000000-0000-0000-0000-000000000000}"/>
  <bookViews>
    <workbookView xWindow="-120" yWindow="-120" windowWidth="29040" windowHeight="15720" xr2:uid="{61E1E10E-7175-41C5-8AB5-C7572230C2F4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1" l="1"/>
  <c r="J34" i="1" s="1"/>
  <c r="G30" i="1"/>
  <c r="F30" i="1"/>
  <c r="F32" i="1" s="1"/>
  <c r="K31" i="1"/>
  <c r="J31" i="1"/>
  <c r="I31" i="1"/>
  <c r="H31" i="1"/>
  <c r="G31" i="1"/>
  <c r="F31" i="1"/>
  <c r="K32" i="1"/>
  <c r="I32" i="1"/>
  <c r="H32" i="1"/>
  <c r="G32" i="1"/>
  <c r="D30" i="1"/>
  <c r="D34" i="1" s="1"/>
  <c r="K33" i="1"/>
  <c r="J33" i="1"/>
  <c r="I33" i="1"/>
  <c r="H33" i="1"/>
  <c r="G33" i="1"/>
  <c r="F33" i="1"/>
  <c r="E33" i="1"/>
  <c r="D33" i="1"/>
  <c r="K34" i="1"/>
  <c r="I34" i="1"/>
  <c r="H34" i="1"/>
  <c r="G34" i="1"/>
  <c r="F34" i="1"/>
  <c r="E34" i="1"/>
  <c r="C34" i="1"/>
  <c r="C33" i="1"/>
  <c r="E31" i="1"/>
  <c r="D31" i="1"/>
  <c r="K30" i="1"/>
  <c r="I30" i="1"/>
  <c r="H30" i="1"/>
  <c r="E30" i="1"/>
  <c r="C31" i="1"/>
  <c r="C30" i="1"/>
  <c r="J32" i="1" l="1"/>
  <c r="E32" i="1" l="1"/>
  <c r="D32" i="1"/>
  <c r="C32" i="1"/>
</calcChain>
</file>

<file path=xl/sharedStrings.xml><?xml version="1.0" encoding="utf-8"?>
<sst xmlns="http://schemas.openxmlformats.org/spreadsheetml/2006/main" count="166" uniqueCount="55">
  <si>
    <t>CC-1</t>
  </si>
  <si>
    <t>CC-0</t>
  </si>
  <si>
    <t>Base</t>
  </si>
  <si>
    <t>Demanda +20%</t>
  </si>
  <si>
    <t>Parâmetros</t>
  </si>
  <si>
    <t>CC-2</t>
  </si>
  <si>
    <t>CC-3</t>
  </si>
  <si>
    <t>CC-4</t>
  </si>
  <si>
    <t>CC-5</t>
  </si>
  <si>
    <t>CC-6</t>
  </si>
  <si>
    <t>CC-7</t>
  </si>
  <si>
    <t>CC-8</t>
  </si>
  <si>
    <t>CC-9</t>
  </si>
  <si>
    <t>CC-10</t>
  </si>
  <si>
    <t>Nova escala turno</t>
  </si>
  <si>
    <t>Tempo médio no CC (h)</t>
  </si>
  <si>
    <t>Chegadas / dia (pacientes)</t>
  </si>
  <si>
    <t>Centro Cirúrgico (Cenários)</t>
  </si>
  <si>
    <t>Enfermeiro</t>
  </si>
  <si>
    <t>Farmacia</t>
  </si>
  <si>
    <t>Tec_Enfermagem</t>
  </si>
  <si>
    <t>Eq_Assistencial_CTI</t>
  </si>
  <si>
    <t>Anestesista</t>
  </si>
  <si>
    <t>Tec_Radiologia</t>
  </si>
  <si>
    <t>Eq_Radiologia</t>
  </si>
  <si>
    <t>Func_CME</t>
  </si>
  <si>
    <t>Eq_Higienizacao</t>
  </si>
  <si>
    <t>3-5-3</t>
  </si>
  <si>
    <t>1-2-1</t>
  </si>
  <si>
    <t>2-2-2</t>
  </si>
  <si>
    <t>7-10-7</t>
  </si>
  <si>
    <t>1-1-1</t>
  </si>
  <si>
    <t xml:space="preserve">Eq_Medica </t>
  </si>
  <si>
    <t>Escala (0-7/7-19/19-24)</t>
  </si>
  <si>
    <t>Nível de ocupação</t>
  </si>
  <si>
    <t>Receita (R$)</t>
  </si>
  <si>
    <t>Período de simulação (dias)</t>
  </si>
  <si>
    <t>Cirurgias / dia (pacientes)</t>
  </si>
  <si>
    <t>Resultado (R$)</t>
  </si>
  <si>
    <t>2-6-3</t>
  </si>
  <si>
    <t>1-1-2-1</t>
  </si>
  <si>
    <t>1-2-2-1</t>
  </si>
  <si>
    <t>Prod Sala1 + Escala</t>
  </si>
  <si>
    <t>Prod Sala1</t>
  </si>
  <si>
    <t>Base + Sabado</t>
  </si>
  <si>
    <t>Nova escala + Sabado</t>
  </si>
  <si>
    <t>Base + Sab/Dom</t>
  </si>
  <si>
    <t>Sabado + 20%</t>
  </si>
  <si>
    <t>Custo Variável (R$)</t>
  </si>
  <si>
    <t>Custo Fixo (R$)</t>
  </si>
  <si>
    <t>Margem de Contribuição (R$)</t>
  </si>
  <si>
    <t>Profissionais</t>
  </si>
  <si>
    <t>Escala (0-7-19)</t>
  </si>
  <si>
    <t>4-6-4</t>
  </si>
  <si>
    <t>3-8-3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</si>
</sst>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14" fontId="0" fillId="0" borderId="0" xfId="0" quotePrefix="1" applyNumberFormat="1" applyAlignment="1">
      <alignment horizontal="center"/>
    </xf>
    <xf numFmtId="44" fontId="0" fillId="0" borderId="0" xfId="1" applyFont="1"/>
    <xf numFmtId="9" fontId="0" fillId="0" borderId="0" xfId="2" applyFont="1" applyAlignment="1">
      <alignment horizontal="center"/>
    </xf>
    <xf numFmtId="14" fontId="2" fillId="0" borderId="0" xfId="0" quotePrefix="1" applyNumberFormat="1" applyFont="1" applyAlignment="1">
      <alignment horizontal="center"/>
    </xf>
    <xf numFmtId="0" fontId="2" fillId="0" borderId="0" xfId="0" applyFont="1" applyAlignment="1">
      <alignment horizontal="center"/>
    </xf>
    <xf numFmtId="9" fontId="2" fillId="0" borderId="0" xfId="2" applyFont="1" applyAlignment="1">
      <alignment horizontal="center"/>
    </xf>
    <xf numFmtId="0" fontId="0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Font="1" applyAlignment="1">
      <alignment horizontal="left" indent="2"/>
    </xf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6" fillId="0" borderId="7" xfId="0" applyFont="1" applyBorder="1" applyAlignment="1">
      <alignment horizontal="left" indent="1"/>
    </xf>
    <xf numFmtId="0" fontId="6" fillId="0" borderId="8" xfId="0" applyFont="1" applyBorder="1" applyAlignment="1">
      <alignment horizontal="left" indent="2"/>
    </xf>
    <xf numFmtId="14" fontId="6" fillId="0" borderId="9" xfId="0" quotePrefix="1" applyNumberFormat="1" applyFont="1" applyBorder="1" applyAlignment="1">
      <alignment horizontal="center"/>
    </xf>
    <xf numFmtId="0" fontId="6" fillId="0" borderId="2" xfId="0" applyFont="1" applyBorder="1" applyAlignment="1">
      <alignment horizontal="left" indent="1"/>
    </xf>
    <xf numFmtId="0" fontId="6" fillId="0" borderId="1" xfId="0" applyFont="1" applyBorder="1" applyAlignment="1">
      <alignment horizontal="left" indent="2"/>
    </xf>
    <xf numFmtId="14" fontId="6" fillId="0" borderId="3" xfId="0" quotePrefix="1" applyNumberFormat="1" applyFont="1" applyBorder="1" applyAlignment="1">
      <alignment horizontal="center"/>
    </xf>
    <xf numFmtId="0" fontId="6" fillId="0" borderId="4" xfId="0" applyFont="1" applyBorder="1" applyAlignment="1">
      <alignment horizontal="left" indent="1"/>
    </xf>
    <xf numFmtId="0" fontId="6" fillId="0" borderId="5" xfId="0" applyFont="1" applyBorder="1" applyAlignment="1">
      <alignment horizontal="left" indent="2"/>
    </xf>
    <xf numFmtId="14" fontId="6" fillId="0" borderId="6" xfId="0" quotePrefix="1" applyNumberFormat="1" applyFont="1" applyBorder="1" applyAlignment="1">
      <alignment horizontal="center"/>
    </xf>
    <xf numFmtId="0" fontId="4" fillId="0" borderId="0" xfId="0" applyFon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1"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Sheet1!$B$32</c:f>
              <c:strCache>
                <c:ptCount val="1"/>
                <c:pt idx="0">
                  <c:v>Margem de Contribuição (R$)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Sheet1!$C$2:$K$2</c:f>
              <c:strCache>
                <c:ptCount val="9"/>
                <c:pt idx="0">
                  <c:v>CC-0</c:v>
                </c:pt>
                <c:pt idx="1">
                  <c:v>CC-1</c:v>
                </c:pt>
                <c:pt idx="2">
                  <c:v>CC-2</c:v>
                </c:pt>
                <c:pt idx="3">
                  <c:v>CC-3</c:v>
                </c:pt>
                <c:pt idx="4">
                  <c:v>CC-4</c:v>
                </c:pt>
                <c:pt idx="5">
                  <c:v>CC-5</c:v>
                </c:pt>
                <c:pt idx="6">
                  <c:v>CC-6</c:v>
                </c:pt>
                <c:pt idx="7">
                  <c:v>CC-7</c:v>
                </c:pt>
                <c:pt idx="8">
                  <c:v>CC-8</c:v>
                </c:pt>
              </c:strCache>
            </c:strRef>
          </c:cat>
          <c:val>
            <c:numRef>
              <c:f>Sheet1!$C$32:$K$32</c:f>
              <c:numCache>
                <c:formatCode>_("R$"* #,##0.00_);_("R$"* \(#,##0.00\);_("R$"* "-"??_);_(@_)</c:formatCode>
                <c:ptCount val="9"/>
                <c:pt idx="0">
                  <c:v>2815802.9741303846</c:v>
                </c:pt>
                <c:pt idx="1">
                  <c:v>2676610.4741455186</c:v>
                </c:pt>
                <c:pt idx="2">
                  <c:v>3350736.7905518059</c:v>
                </c:pt>
                <c:pt idx="3">
                  <c:v>5569836.2203911524</c:v>
                </c:pt>
                <c:pt idx="4">
                  <c:v>5658752.131839348</c:v>
                </c:pt>
                <c:pt idx="5">
                  <c:v>3462769.65880326</c:v>
                </c:pt>
                <c:pt idx="6">
                  <c:v>3025862.2743492443</c:v>
                </c:pt>
                <c:pt idx="7">
                  <c:v>3638326.6555657741</c:v>
                </c:pt>
                <c:pt idx="8">
                  <c:v>4430189.9871105924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A0-4C4D-BEAB-CB2E3945B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1628335"/>
        <c:axId val="1081628815"/>
      </c:barChart>
      <c:catAx>
        <c:axId val="1081628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628815"/>
        <c:crosses val="autoZero"/>
        <c:auto val="1"/>
        <c:lblAlgn val="ctr"/>
        <c:lblOffset val="100"/>
        <c:noMultiLvlLbl val="0"/>
      </c:catAx>
      <c:valAx>
        <c:axId val="108162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628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765664</xdr:colOff>
      <xdr:row>34</xdr:row>
      <xdr:rowOff>20516</xdr:rowOff>
    </xdr:from>
    <xdr:to>
      <xdr:col>10</xdr:col>
      <xdr:colOff>1348154</xdr:colOff>
      <xdr:row>48</xdr:row>
      <xdr:rowOff>96716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22B8FD-F1C4-4BA2-19D7-7EF386C44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ropbox/Risoleta/Custos-Bloco%20Cir&#250;rgico.xlsx" TargetMode="External"/><Relationship Id="rId2" Type="http://schemas.openxmlformats.org/officeDocument/2006/relationships/externalLinkPath" Target="file:///C:\Users\user\Dropbox\Risoleta\Custos-Bloco%20Cir&#250;rgico.xlsx" TargetMode="External"/><Relationship Id="rId1" Type="http://schemas.openxmlformats.org/officeDocument/2006/relationships/externalLinkPath" Target="/Users/user/Dropbox/Risoleta/Custos-Bloco%20Cir&#250;rgi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NÁLISE DAS CONTAS"/>
      <sheetName val="Δ%CONTAS"/>
      <sheetName val="PRODUTIVOS"/>
      <sheetName val="COMPARADO"/>
      <sheetName val="Resumo"/>
      <sheetName val="2025 C. Total"/>
      <sheetName val="2022a MV Soul"/>
      <sheetName val="Resumo MV2000"/>
      <sheetName val="Leitos CC MV2000"/>
      <sheetName val="Gr. de Contas"/>
      <sheetName val="Maternidade"/>
      <sheetName val="PS "/>
      <sheetName val="Matern com C. Cirurgico MV Soul"/>
      <sheetName val="Clin. Méd."/>
      <sheetName val="Clín. Cirúrgica"/>
      <sheetName val="Clin cirur c bloco MV Soul"/>
      <sheetName val="Custos-BC "/>
      <sheetName val="Receita"/>
      <sheetName val="DRE"/>
      <sheetName val="CTI "/>
      <sheetName val="Ambulatorio"/>
      <sheetName val="Comparativo"/>
      <sheetName val="BD Desp. Financ."/>
      <sheetName val="BD Desp. Custos"/>
      <sheetName val="PROCV"/>
      <sheetName val="BD Produtivos"/>
      <sheetName val="PRIMARIO E DIRETO"/>
      <sheetName val="BD Pcte. Dia"/>
      <sheetName val="Receitas produ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6">
          <cell r="H6">
            <v>1227.6414338377958</v>
          </cell>
        </row>
        <row r="15">
          <cell r="C15">
            <v>2062261.4850000001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4F749-DA3C-4527-A1DD-2E2827984C34}">
  <dimension ref="B2:M34"/>
  <sheetViews>
    <sheetView tabSelected="1" zoomScale="130" zoomScaleNormal="130" workbookViewId="0">
      <selection activeCell="B32" sqref="B32:K32"/>
    </sheetView>
  </sheetViews>
  <sheetFormatPr defaultRowHeight="15" x14ac:dyDescent="0.25"/>
  <cols>
    <col min="1" max="1" width="5" customWidth="1"/>
    <col min="2" max="2" width="26.140625" customWidth="1"/>
    <col min="3" max="3" width="17.7109375" customWidth="1"/>
    <col min="4" max="4" width="18.140625" customWidth="1"/>
    <col min="5" max="5" width="19" customWidth="1"/>
    <col min="6" max="6" width="18" customWidth="1"/>
    <col min="7" max="7" width="18.42578125" customWidth="1"/>
    <col min="8" max="8" width="19.5703125" customWidth="1"/>
    <col min="9" max="9" width="21.85546875" customWidth="1"/>
    <col min="10" max="10" width="17.85546875" customWidth="1"/>
    <col min="11" max="11" width="20.42578125" customWidth="1"/>
  </cols>
  <sheetData>
    <row r="2" spans="2:13" x14ac:dyDescent="0.25">
      <c r="B2" s="9" t="s">
        <v>17</v>
      </c>
      <c r="C2" s="6" t="s">
        <v>1</v>
      </c>
      <c r="D2" s="6" t="s">
        <v>0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</row>
    <row r="3" spans="2:13" x14ac:dyDescent="0.25">
      <c r="B3" s="9" t="s">
        <v>4</v>
      </c>
      <c r="C3" s="24" t="s">
        <v>2</v>
      </c>
      <c r="D3" s="24" t="s">
        <v>3</v>
      </c>
      <c r="E3" s="24" t="s">
        <v>14</v>
      </c>
      <c r="F3" s="24" t="s">
        <v>43</v>
      </c>
      <c r="G3" s="24" t="s">
        <v>42</v>
      </c>
      <c r="H3" s="24" t="s">
        <v>44</v>
      </c>
      <c r="I3" s="24" t="s">
        <v>45</v>
      </c>
      <c r="J3" s="24" t="s">
        <v>46</v>
      </c>
      <c r="K3" s="24" t="s">
        <v>47</v>
      </c>
    </row>
    <row r="4" spans="2:13" hidden="1" x14ac:dyDescent="0.25">
      <c r="B4" s="9" t="s">
        <v>36</v>
      </c>
      <c r="C4" s="1">
        <v>31</v>
      </c>
      <c r="D4" s="1">
        <v>31</v>
      </c>
      <c r="E4" s="1">
        <v>31</v>
      </c>
      <c r="F4" s="1">
        <v>31</v>
      </c>
      <c r="G4" s="1">
        <v>31</v>
      </c>
      <c r="H4" s="1">
        <v>31</v>
      </c>
      <c r="I4" s="1">
        <v>31</v>
      </c>
      <c r="J4" s="1">
        <v>31</v>
      </c>
      <c r="K4" s="1">
        <v>31</v>
      </c>
      <c r="L4" s="1">
        <v>31</v>
      </c>
      <c r="M4" s="1">
        <v>31</v>
      </c>
    </row>
    <row r="5" spans="2:13" hidden="1" x14ac:dyDescent="0.25">
      <c r="B5" s="9" t="s">
        <v>16</v>
      </c>
      <c r="C5" s="1">
        <v>16</v>
      </c>
      <c r="D5" s="6">
        <v>19</v>
      </c>
      <c r="E5" s="1">
        <v>16</v>
      </c>
      <c r="F5" s="6">
        <v>30</v>
      </c>
      <c r="G5" s="6">
        <v>30</v>
      </c>
      <c r="H5" s="8">
        <v>16</v>
      </c>
      <c r="I5" s="8">
        <v>16</v>
      </c>
      <c r="J5" s="8">
        <v>16</v>
      </c>
      <c r="K5" s="6">
        <v>19</v>
      </c>
      <c r="L5" s="1"/>
      <c r="M5" s="1"/>
    </row>
    <row r="6" spans="2:13" x14ac:dyDescent="0.25">
      <c r="B6" s="9" t="s">
        <v>37</v>
      </c>
      <c r="C6" s="1">
        <v>14.78</v>
      </c>
      <c r="D6" s="1">
        <v>19.41</v>
      </c>
      <c r="E6" s="1">
        <v>16.84</v>
      </c>
      <c r="F6" s="1">
        <v>27.16</v>
      </c>
      <c r="G6" s="1">
        <v>27.5</v>
      </c>
      <c r="H6" s="1">
        <v>17.12</v>
      </c>
      <c r="I6" s="1">
        <v>15.66</v>
      </c>
      <c r="J6" s="1">
        <v>17.809999999999999</v>
      </c>
      <c r="K6" s="1">
        <v>21.28</v>
      </c>
      <c r="L6" s="1"/>
      <c r="M6" s="1"/>
    </row>
    <row r="7" spans="2:13" x14ac:dyDescent="0.25">
      <c r="B7" s="9" t="s">
        <v>15</v>
      </c>
      <c r="C7" s="1">
        <v>3.95</v>
      </c>
      <c r="D7" s="1">
        <v>4.63</v>
      </c>
      <c r="E7" s="1">
        <v>4.09</v>
      </c>
      <c r="F7" s="6">
        <v>13.13</v>
      </c>
      <c r="G7" s="6">
        <v>48.11</v>
      </c>
      <c r="H7" s="1">
        <v>3.93</v>
      </c>
      <c r="I7" s="1">
        <v>4.05</v>
      </c>
      <c r="J7" s="1">
        <v>3.93</v>
      </c>
      <c r="K7" s="1">
        <v>4.7300000000000004</v>
      </c>
    </row>
    <row r="8" spans="2:13" x14ac:dyDescent="0.25">
      <c r="B8" s="9" t="s">
        <v>33</v>
      </c>
    </row>
    <row r="9" spans="2:13" x14ac:dyDescent="0.25">
      <c r="B9" s="11" t="s">
        <v>18</v>
      </c>
      <c r="C9" s="2" t="s">
        <v>40</v>
      </c>
      <c r="D9" s="2" t="s">
        <v>40</v>
      </c>
      <c r="E9" s="5" t="s">
        <v>41</v>
      </c>
      <c r="F9" s="2" t="s">
        <v>40</v>
      </c>
      <c r="G9" s="5" t="s">
        <v>41</v>
      </c>
      <c r="H9" s="2" t="s">
        <v>40</v>
      </c>
      <c r="I9" s="5" t="s">
        <v>41</v>
      </c>
      <c r="J9" s="2" t="s">
        <v>40</v>
      </c>
      <c r="K9" s="2" t="s">
        <v>40</v>
      </c>
    </row>
    <row r="10" spans="2:13" x14ac:dyDescent="0.25">
      <c r="B10" s="11" t="s">
        <v>19</v>
      </c>
      <c r="C10" s="2" t="s">
        <v>29</v>
      </c>
      <c r="D10" s="2" t="s">
        <v>29</v>
      </c>
      <c r="E10" s="2" t="s">
        <v>29</v>
      </c>
      <c r="F10" s="2" t="s">
        <v>29</v>
      </c>
      <c r="G10" s="2" t="s">
        <v>29</v>
      </c>
      <c r="H10" s="2" t="s">
        <v>29</v>
      </c>
      <c r="I10" s="2" t="s">
        <v>29</v>
      </c>
      <c r="J10" s="2" t="s">
        <v>29</v>
      </c>
      <c r="K10" s="2" t="s">
        <v>29</v>
      </c>
    </row>
    <row r="11" spans="2:13" x14ac:dyDescent="0.25">
      <c r="B11" s="11" t="s">
        <v>20</v>
      </c>
      <c r="C11" s="2" t="s">
        <v>53</v>
      </c>
      <c r="D11" s="2" t="s">
        <v>53</v>
      </c>
      <c r="E11" s="5" t="s">
        <v>54</v>
      </c>
      <c r="F11" s="2" t="s">
        <v>53</v>
      </c>
      <c r="G11" s="5" t="s">
        <v>54</v>
      </c>
      <c r="H11" s="2" t="s">
        <v>53</v>
      </c>
      <c r="I11" s="5" t="s">
        <v>54</v>
      </c>
      <c r="J11" s="2" t="s">
        <v>53</v>
      </c>
      <c r="K11" s="2" t="s">
        <v>53</v>
      </c>
    </row>
    <row r="12" spans="2:13" x14ac:dyDescent="0.25">
      <c r="B12" s="11" t="s">
        <v>21</v>
      </c>
      <c r="C12" s="2" t="s">
        <v>31</v>
      </c>
      <c r="D12" s="2" t="s">
        <v>31</v>
      </c>
      <c r="E12" s="2" t="s">
        <v>31</v>
      </c>
      <c r="F12" s="2" t="s">
        <v>31</v>
      </c>
      <c r="G12" s="2" t="s">
        <v>31</v>
      </c>
      <c r="H12" s="2" t="s">
        <v>31</v>
      </c>
      <c r="I12" s="2" t="s">
        <v>31</v>
      </c>
      <c r="J12" s="2" t="s">
        <v>31</v>
      </c>
      <c r="K12" s="2" t="s">
        <v>31</v>
      </c>
    </row>
    <row r="13" spans="2:13" x14ac:dyDescent="0.25">
      <c r="B13" s="11" t="s">
        <v>32</v>
      </c>
      <c r="C13" s="2" t="s">
        <v>27</v>
      </c>
      <c r="D13" s="2" t="s">
        <v>27</v>
      </c>
      <c r="E13" s="5" t="s">
        <v>39</v>
      </c>
      <c r="F13" s="2" t="s">
        <v>27</v>
      </c>
      <c r="G13" s="5" t="s">
        <v>39</v>
      </c>
      <c r="H13" s="2" t="s">
        <v>27</v>
      </c>
      <c r="I13" s="5" t="s">
        <v>39</v>
      </c>
      <c r="J13" s="2" t="s">
        <v>27</v>
      </c>
      <c r="K13" s="2" t="s">
        <v>27</v>
      </c>
    </row>
    <row r="14" spans="2:13" x14ac:dyDescent="0.25">
      <c r="B14" s="11" t="s">
        <v>22</v>
      </c>
      <c r="C14" s="2" t="s">
        <v>27</v>
      </c>
      <c r="D14" s="2" t="s">
        <v>27</v>
      </c>
      <c r="E14" s="5" t="s">
        <v>39</v>
      </c>
      <c r="F14" s="2" t="s">
        <v>27</v>
      </c>
      <c r="G14" s="5" t="s">
        <v>39</v>
      </c>
      <c r="H14" s="2" t="s">
        <v>27</v>
      </c>
      <c r="I14" s="5" t="s">
        <v>39</v>
      </c>
      <c r="J14" s="2" t="s">
        <v>27</v>
      </c>
      <c r="K14" s="2" t="s">
        <v>27</v>
      </c>
    </row>
    <row r="15" spans="2:13" x14ac:dyDescent="0.25">
      <c r="B15" s="11" t="s">
        <v>23</v>
      </c>
      <c r="C15" s="2" t="s">
        <v>28</v>
      </c>
      <c r="D15" s="2" t="s">
        <v>28</v>
      </c>
      <c r="E15" s="2" t="s">
        <v>28</v>
      </c>
      <c r="F15" s="2" t="s">
        <v>28</v>
      </c>
      <c r="G15" s="2" t="s">
        <v>28</v>
      </c>
      <c r="H15" s="2" t="s">
        <v>28</v>
      </c>
      <c r="I15" s="2" t="s">
        <v>28</v>
      </c>
      <c r="J15" s="2" t="s">
        <v>28</v>
      </c>
      <c r="K15" s="2" t="s">
        <v>28</v>
      </c>
    </row>
    <row r="16" spans="2:13" x14ac:dyDescent="0.25">
      <c r="B16" s="11" t="s">
        <v>24</v>
      </c>
      <c r="C16" s="2" t="s">
        <v>28</v>
      </c>
      <c r="D16" s="2" t="s">
        <v>28</v>
      </c>
      <c r="E16" s="2" t="s">
        <v>28</v>
      </c>
      <c r="F16" s="2" t="s">
        <v>28</v>
      </c>
      <c r="G16" s="2" t="s">
        <v>28</v>
      </c>
      <c r="H16" s="2" t="s">
        <v>28</v>
      </c>
      <c r="I16" s="2" t="s">
        <v>28</v>
      </c>
      <c r="J16" s="2" t="s">
        <v>28</v>
      </c>
      <c r="K16" s="2" t="s">
        <v>28</v>
      </c>
    </row>
    <row r="17" spans="2:11" x14ac:dyDescent="0.25">
      <c r="B17" s="11" t="s">
        <v>25</v>
      </c>
      <c r="C17" s="2" t="s">
        <v>31</v>
      </c>
      <c r="D17" s="2" t="s">
        <v>31</v>
      </c>
      <c r="E17" s="2" t="s">
        <v>31</v>
      </c>
      <c r="F17" s="2" t="s">
        <v>31</v>
      </c>
      <c r="G17" s="2" t="s">
        <v>31</v>
      </c>
      <c r="H17" s="2" t="s">
        <v>31</v>
      </c>
      <c r="I17" s="2" t="s">
        <v>31</v>
      </c>
      <c r="J17" s="2" t="s">
        <v>31</v>
      </c>
      <c r="K17" s="2" t="s">
        <v>31</v>
      </c>
    </row>
    <row r="18" spans="2:11" x14ac:dyDescent="0.25">
      <c r="B18" s="11" t="s">
        <v>26</v>
      </c>
      <c r="C18" s="2" t="s">
        <v>28</v>
      </c>
      <c r="D18" s="2" t="s">
        <v>28</v>
      </c>
      <c r="E18" s="2" t="s">
        <v>28</v>
      </c>
      <c r="F18" s="2" t="s">
        <v>28</v>
      </c>
      <c r="G18" s="2" t="s">
        <v>28</v>
      </c>
      <c r="H18" s="2" t="s">
        <v>28</v>
      </c>
      <c r="I18" s="2" t="s">
        <v>28</v>
      </c>
      <c r="J18" s="2" t="s">
        <v>28</v>
      </c>
      <c r="K18" s="2" t="s">
        <v>28</v>
      </c>
    </row>
    <row r="19" spans="2:11" x14ac:dyDescent="0.25">
      <c r="B19" s="9" t="s">
        <v>34</v>
      </c>
      <c r="C19" s="1"/>
      <c r="H19" s="1"/>
      <c r="I19" s="1"/>
      <c r="J19" s="1"/>
      <c r="K19" s="1"/>
    </row>
    <row r="20" spans="2:11" x14ac:dyDescent="0.25">
      <c r="B20" s="11" t="s">
        <v>18</v>
      </c>
      <c r="C20" s="4">
        <v>0.3</v>
      </c>
      <c r="D20" s="4">
        <v>0.28000000000000003</v>
      </c>
      <c r="E20" s="4">
        <v>0.34</v>
      </c>
      <c r="F20" s="4">
        <v>0.3</v>
      </c>
      <c r="G20" s="4">
        <v>0.44</v>
      </c>
      <c r="H20" s="4">
        <v>0.27</v>
      </c>
      <c r="I20" s="4">
        <v>0.38</v>
      </c>
      <c r="J20" s="4">
        <v>0.4</v>
      </c>
      <c r="K20" s="4">
        <v>0.31</v>
      </c>
    </row>
    <row r="21" spans="2:11" x14ac:dyDescent="0.25">
      <c r="B21" s="11" t="s">
        <v>19</v>
      </c>
      <c r="C21" s="4">
        <v>0.31</v>
      </c>
      <c r="D21" s="4">
        <v>0.33</v>
      </c>
      <c r="E21" s="4">
        <v>0.32</v>
      </c>
      <c r="F21" s="4">
        <v>0.31</v>
      </c>
      <c r="G21" s="4">
        <v>0.36</v>
      </c>
      <c r="H21" s="4">
        <v>0.33</v>
      </c>
      <c r="I21" s="4">
        <v>0.33</v>
      </c>
      <c r="J21" s="4">
        <v>0.34</v>
      </c>
      <c r="K21" s="4">
        <v>0.34</v>
      </c>
    </row>
    <row r="22" spans="2:11" x14ac:dyDescent="0.25">
      <c r="B22" s="11" t="s">
        <v>20</v>
      </c>
      <c r="C22" s="4">
        <v>0.76</v>
      </c>
      <c r="D22" s="4">
        <v>0.95</v>
      </c>
      <c r="E22" s="4">
        <v>0.72</v>
      </c>
      <c r="F22" s="7">
        <v>0.81</v>
      </c>
      <c r="G22" s="7">
        <v>0.96</v>
      </c>
      <c r="H22" s="4">
        <v>0.62</v>
      </c>
      <c r="I22" s="4">
        <v>0.73</v>
      </c>
      <c r="J22" s="4">
        <v>0.75</v>
      </c>
      <c r="K22" s="4">
        <v>0.69</v>
      </c>
    </row>
    <row r="23" spans="2:11" x14ac:dyDescent="0.25">
      <c r="B23" s="11" t="s">
        <v>21</v>
      </c>
      <c r="C23" s="4">
        <v>0.05</v>
      </c>
      <c r="D23" s="4">
        <v>0.08</v>
      </c>
      <c r="E23" s="4">
        <v>0.06</v>
      </c>
      <c r="F23" s="4">
        <v>0.11</v>
      </c>
      <c r="G23" s="4">
        <v>0.11</v>
      </c>
      <c r="H23" s="4">
        <v>0.06</v>
      </c>
      <c r="I23" s="4">
        <v>0.06</v>
      </c>
      <c r="J23" s="4">
        <v>7.0000000000000007E-2</v>
      </c>
      <c r="K23" s="4">
        <v>0.08</v>
      </c>
    </row>
    <row r="24" spans="2:11" x14ac:dyDescent="0.25">
      <c r="B24" s="11" t="s">
        <v>32</v>
      </c>
      <c r="C24" s="4">
        <v>0.61</v>
      </c>
      <c r="D24" s="4">
        <v>0.7</v>
      </c>
      <c r="E24" s="4">
        <v>0.62</v>
      </c>
      <c r="F24" s="7">
        <v>0.9</v>
      </c>
      <c r="G24" s="7">
        <v>0.9</v>
      </c>
      <c r="H24" s="4">
        <v>0.63</v>
      </c>
      <c r="I24" s="4">
        <v>0.61</v>
      </c>
      <c r="J24" s="4">
        <v>0.68</v>
      </c>
      <c r="K24" s="4">
        <v>0.73</v>
      </c>
    </row>
    <row r="25" spans="2:11" x14ac:dyDescent="0.25">
      <c r="B25" s="11" t="s">
        <v>22</v>
      </c>
      <c r="C25" s="4">
        <v>0.44</v>
      </c>
      <c r="D25" s="4">
        <v>0.44</v>
      </c>
      <c r="E25" s="4">
        <v>0.44</v>
      </c>
      <c r="F25" s="4">
        <v>0.54</v>
      </c>
      <c r="G25" s="4">
        <v>0.55000000000000004</v>
      </c>
      <c r="H25" s="4">
        <v>0.42</v>
      </c>
      <c r="I25" s="4">
        <v>0.42</v>
      </c>
      <c r="J25" s="4">
        <v>0.43</v>
      </c>
      <c r="K25" s="4">
        <v>0.46</v>
      </c>
    </row>
    <row r="26" spans="2:11" x14ac:dyDescent="0.25">
      <c r="B26" s="11" t="s">
        <v>23</v>
      </c>
      <c r="C26" s="4">
        <v>0.32</v>
      </c>
      <c r="D26" s="4">
        <v>0.33</v>
      </c>
      <c r="E26" s="4">
        <v>0.35</v>
      </c>
      <c r="F26" s="4">
        <v>0.4</v>
      </c>
      <c r="G26" s="4">
        <v>0.43</v>
      </c>
      <c r="H26" s="4">
        <v>0.31</v>
      </c>
      <c r="I26" s="4">
        <v>0.3</v>
      </c>
      <c r="J26" s="4">
        <v>0.35</v>
      </c>
      <c r="K26" s="4">
        <v>0.35</v>
      </c>
    </row>
    <row r="27" spans="2:11" x14ac:dyDescent="0.25">
      <c r="B27" s="11" t="s">
        <v>24</v>
      </c>
      <c r="C27" s="4">
        <v>0.32</v>
      </c>
      <c r="D27" s="4">
        <v>0.33</v>
      </c>
      <c r="E27" s="4">
        <v>0.35</v>
      </c>
      <c r="F27" s="4">
        <v>0.4</v>
      </c>
      <c r="G27" s="4">
        <v>0.43</v>
      </c>
      <c r="H27" s="4">
        <v>0.31</v>
      </c>
      <c r="I27" s="4">
        <v>0.3</v>
      </c>
      <c r="J27" s="4">
        <v>0.35</v>
      </c>
      <c r="K27" s="4">
        <v>0.35</v>
      </c>
    </row>
    <row r="28" spans="2:11" x14ac:dyDescent="0.25">
      <c r="B28" s="11" t="s">
        <v>25</v>
      </c>
      <c r="C28" s="4">
        <v>7.0000000000000007E-2</v>
      </c>
      <c r="D28" s="4">
        <v>0.08</v>
      </c>
      <c r="E28" s="4">
        <v>7.0000000000000007E-2</v>
      </c>
      <c r="F28" s="4">
        <v>0.12</v>
      </c>
      <c r="G28" s="4">
        <v>0.12</v>
      </c>
      <c r="H28" s="4">
        <v>7.0000000000000007E-2</v>
      </c>
      <c r="I28" s="4">
        <v>7.0000000000000007E-2</v>
      </c>
      <c r="J28" s="4">
        <v>0.08</v>
      </c>
      <c r="K28" s="4">
        <v>0.09</v>
      </c>
    </row>
    <row r="29" spans="2:11" x14ac:dyDescent="0.25">
      <c r="B29" s="11" t="s">
        <v>26</v>
      </c>
      <c r="C29" s="4">
        <v>0.39</v>
      </c>
      <c r="D29" s="4">
        <v>0.37</v>
      </c>
      <c r="E29" s="4">
        <v>0.34</v>
      </c>
      <c r="F29" s="4">
        <v>0.42</v>
      </c>
      <c r="G29" s="4">
        <v>0.42</v>
      </c>
      <c r="H29" s="4">
        <v>0.37</v>
      </c>
      <c r="I29" s="4">
        <v>0.36</v>
      </c>
      <c r="J29" s="4">
        <v>0.39</v>
      </c>
      <c r="K29" s="4">
        <v>0.38</v>
      </c>
    </row>
    <row r="30" spans="2:11" x14ac:dyDescent="0.25">
      <c r="B30" s="10" t="s">
        <v>35</v>
      </c>
      <c r="C30" s="3">
        <f>797131*12</f>
        <v>9565572</v>
      </c>
      <c r="D30" s="3">
        <f>961735*12</f>
        <v>11540820</v>
      </c>
      <c r="E30" s="3">
        <f>920106*12</f>
        <v>11041272</v>
      </c>
      <c r="F30" s="3">
        <f>1497778*12</f>
        <v>17973336</v>
      </c>
      <c r="G30" s="3">
        <f>1518127*12</f>
        <v>18217524</v>
      </c>
      <c r="H30" s="3">
        <f>940098*12</f>
        <v>11281176</v>
      </c>
      <c r="I30" s="3">
        <f>848126*12</f>
        <v>10177512</v>
      </c>
      <c r="J30" s="3">
        <f>980987*12</f>
        <v>11771844</v>
      </c>
      <c r="K30" s="3">
        <f>1179033*12</f>
        <v>14148396</v>
      </c>
    </row>
    <row r="31" spans="2:11" x14ac:dyDescent="0.25">
      <c r="B31" s="10" t="s">
        <v>48</v>
      </c>
      <c r="C31" s="3">
        <f>[1]DRE!$H$6*(C6*C4)*12</f>
        <v>6749769.0258696154</v>
      </c>
      <c r="D31" s="3">
        <f>[1]DRE!$H$6*(D6*D4)*12</f>
        <v>8864209.5258544814</v>
      </c>
      <c r="E31" s="3">
        <f>[1]DRE!$H$6*(E6*E4)*12</f>
        <v>7690535.2094481941</v>
      </c>
      <c r="F31" s="3">
        <f>[1]DRE!$H$6*(F6*F4)*12</f>
        <v>12403499.779608848</v>
      </c>
      <c r="G31" s="3">
        <f>[1]DRE!$H$6*(G6*G4)*12</f>
        <v>12558771.868160652</v>
      </c>
      <c r="H31" s="3">
        <f>[1]DRE!$H$6*(H6*H4)*12</f>
        <v>7818406.34119674</v>
      </c>
      <c r="I31" s="3">
        <f>[1]DRE!$H$6*(I6*I4)*12</f>
        <v>7151649.7256507557</v>
      </c>
      <c r="J31" s="3">
        <f>[1]DRE!$H$6*(J6*J4)*12</f>
        <v>8133517.3444342259</v>
      </c>
      <c r="K31" s="3">
        <f>[1]DRE!$H$6*(K6*K4)*12</f>
        <v>9718206.0128894076</v>
      </c>
    </row>
    <row r="32" spans="2:11" x14ac:dyDescent="0.25">
      <c r="B32" s="10" t="s">
        <v>50</v>
      </c>
      <c r="C32" s="3">
        <f>C30-C31</f>
        <v>2815802.9741303846</v>
      </c>
      <c r="D32" s="3">
        <f>D30-D31</f>
        <v>2676610.4741455186</v>
      </c>
      <c r="E32" s="3">
        <f>E30-E31</f>
        <v>3350736.7905518059</v>
      </c>
      <c r="F32" s="3">
        <f t="shared" ref="F32:K32" si="0">F30-F31</f>
        <v>5569836.2203911524</v>
      </c>
      <c r="G32" s="3">
        <f t="shared" si="0"/>
        <v>5658752.131839348</v>
      </c>
      <c r="H32" s="3">
        <f t="shared" si="0"/>
        <v>3462769.65880326</v>
      </c>
      <c r="I32" s="3">
        <f t="shared" si="0"/>
        <v>3025862.2743492443</v>
      </c>
      <c r="J32" s="3">
        <f t="shared" si="0"/>
        <v>3638326.6555657741</v>
      </c>
      <c r="K32" s="3">
        <f t="shared" si="0"/>
        <v>4430189.9871105924</v>
      </c>
    </row>
    <row r="33" spans="2:11" x14ac:dyDescent="0.25">
      <c r="B33" s="10" t="s">
        <v>49</v>
      </c>
      <c r="C33" s="3">
        <f>[1]DRE!$C$15*12</f>
        <v>24747137.82</v>
      </c>
      <c r="D33" s="3">
        <f>[1]DRE!$C$15*12</f>
        <v>24747137.82</v>
      </c>
      <c r="E33" s="3">
        <f>[1]DRE!$C$15*12</f>
        <v>24747137.82</v>
      </c>
      <c r="F33" s="3">
        <f>[1]DRE!$C$15*12</f>
        <v>24747137.82</v>
      </c>
      <c r="G33" s="3">
        <f>[1]DRE!$C$15*12</f>
        <v>24747137.82</v>
      </c>
      <c r="H33" s="3">
        <f>[1]DRE!$C$15*12</f>
        <v>24747137.82</v>
      </c>
      <c r="I33" s="3">
        <f>[1]DRE!$C$15*12</f>
        <v>24747137.82</v>
      </c>
      <c r="J33" s="3">
        <f>[1]DRE!$C$15*12</f>
        <v>24747137.82</v>
      </c>
      <c r="K33" s="3">
        <f>[1]DRE!$C$15*12</f>
        <v>24747137.82</v>
      </c>
    </row>
    <row r="34" spans="2:11" x14ac:dyDescent="0.25">
      <c r="B34" s="10" t="s">
        <v>38</v>
      </c>
      <c r="C34" s="3">
        <f>C30-C31-C33</f>
        <v>-21931334.845869616</v>
      </c>
      <c r="D34" s="3">
        <f t="shared" ref="D34:K34" si="1">D30-D31-D33</f>
        <v>-22070527.345854484</v>
      </c>
      <c r="E34" s="3">
        <f t="shared" si="1"/>
        <v>-21396401.029448196</v>
      </c>
      <c r="F34" s="3">
        <f t="shared" si="1"/>
        <v>-19177301.599608846</v>
      </c>
      <c r="G34" s="3">
        <f t="shared" si="1"/>
        <v>-19088385.68816065</v>
      </c>
      <c r="H34" s="3">
        <f t="shared" si="1"/>
        <v>-21284368.161196738</v>
      </c>
      <c r="I34" s="3">
        <f t="shared" si="1"/>
        <v>-21721275.545650758</v>
      </c>
      <c r="J34" s="3">
        <f t="shared" si="1"/>
        <v>-21108811.164434224</v>
      </c>
      <c r="K34" s="3">
        <f t="shared" si="1"/>
        <v>-20316947.832889408</v>
      </c>
    </row>
  </sheetData>
  <phoneticPr fontId="3" type="noConversion"/>
  <conditionalFormatting sqref="C20:K29">
    <cfRule type="iconSet" priority="2">
      <iconSet reverse="1">
        <cfvo type="percent" val="0"/>
        <cfvo type="percent" val="33"/>
        <cfvo type="percent" val="67"/>
      </iconSet>
    </cfRule>
  </conditionalFormatting>
  <conditionalFormatting sqref="C30:K34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4D93C-DFBB-4BE9-9B73-9315A7CA8EF1}">
  <dimension ref="B1:D12"/>
  <sheetViews>
    <sheetView showGridLines="0" zoomScale="145" zoomScaleNormal="145" workbookViewId="0">
      <selection activeCell="F8" sqref="F8"/>
    </sheetView>
  </sheetViews>
  <sheetFormatPr defaultRowHeight="15" x14ac:dyDescent="0.25"/>
  <cols>
    <col min="2" max="2" width="17.42578125" bestFit="1" customWidth="1"/>
    <col min="3" max="3" width="5.5703125" bestFit="1" customWidth="1"/>
    <col min="4" max="4" width="12.5703125" bestFit="1" customWidth="1"/>
  </cols>
  <sheetData>
    <row r="1" spans="2:4" ht="15.75" thickBot="1" x14ac:dyDescent="0.3"/>
    <row r="2" spans="2:4" ht="15.75" thickBot="1" x14ac:dyDescent="0.3">
      <c r="B2" s="12" t="s">
        <v>51</v>
      </c>
      <c r="C2" s="13" t="s">
        <v>2</v>
      </c>
      <c r="D2" s="14" t="s">
        <v>52</v>
      </c>
    </row>
    <row r="3" spans="2:4" x14ac:dyDescent="0.25">
      <c r="B3" s="15" t="s">
        <v>18</v>
      </c>
      <c r="C3" s="16">
        <v>1</v>
      </c>
      <c r="D3" s="17" t="s">
        <v>40</v>
      </c>
    </row>
    <row r="4" spans="2:4" x14ac:dyDescent="0.25">
      <c r="B4" s="18" t="s">
        <v>19</v>
      </c>
      <c r="C4" s="19">
        <v>2</v>
      </c>
      <c r="D4" s="20" t="s">
        <v>29</v>
      </c>
    </row>
    <row r="5" spans="2:4" x14ac:dyDescent="0.25">
      <c r="B5" s="18" t="s">
        <v>20</v>
      </c>
      <c r="C5" s="19">
        <v>10</v>
      </c>
      <c r="D5" s="20" t="s">
        <v>30</v>
      </c>
    </row>
    <row r="6" spans="2:4" x14ac:dyDescent="0.25">
      <c r="B6" s="18" t="s">
        <v>21</v>
      </c>
      <c r="C6" s="19">
        <v>1</v>
      </c>
      <c r="D6" s="20" t="s">
        <v>31</v>
      </c>
    </row>
    <row r="7" spans="2:4" x14ac:dyDescent="0.25">
      <c r="B7" s="18" t="s">
        <v>32</v>
      </c>
      <c r="C7" s="19">
        <v>5</v>
      </c>
      <c r="D7" s="20" t="s">
        <v>27</v>
      </c>
    </row>
    <row r="8" spans="2:4" x14ac:dyDescent="0.25">
      <c r="B8" s="18" t="s">
        <v>22</v>
      </c>
      <c r="C8" s="19">
        <v>5</v>
      </c>
      <c r="D8" s="20" t="s">
        <v>27</v>
      </c>
    </row>
    <row r="9" spans="2:4" x14ac:dyDescent="0.25">
      <c r="B9" s="18" t="s">
        <v>23</v>
      </c>
      <c r="C9" s="19">
        <v>2</v>
      </c>
      <c r="D9" s="20" t="s">
        <v>28</v>
      </c>
    </row>
    <row r="10" spans="2:4" x14ac:dyDescent="0.25">
      <c r="B10" s="18" t="s">
        <v>24</v>
      </c>
      <c r="C10" s="19">
        <v>2</v>
      </c>
      <c r="D10" s="20" t="s">
        <v>28</v>
      </c>
    </row>
    <row r="11" spans="2:4" x14ac:dyDescent="0.25">
      <c r="B11" s="18" t="s">
        <v>25</v>
      </c>
      <c r="C11" s="19">
        <v>1</v>
      </c>
      <c r="D11" s="20" t="s">
        <v>31</v>
      </c>
    </row>
    <row r="12" spans="2:4" ht="15.75" thickBot="1" x14ac:dyDescent="0.3">
      <c r="B12" s="21" t="s">
        <v>26</v>
      </c>
      <c r="C12" s="22">
        <v>2</v>
      </c>
      <c r="D12" s="23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Flávio de Freitas Almeida</dc:creator>
  <cp:lastModifiedBy>João Flávio de Freitas Almeida</cp:lastModifiedBy>
  <dcterms:created xsi:type="dcterms:W3CDTF">2026-06-18T18:52:23Z</dcterms:created>
  <dcterms:modified xsi:type="dcterms:W3CDTF">2026-06-23T02:24:09Z</dcterms:modified>
</cp:coreProperties>
</file>