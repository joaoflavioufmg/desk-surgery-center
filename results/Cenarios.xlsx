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sk-surgery-center\results\"/>
    </mc:Choice>
  </mc:AlternateContent>
  <xr:revisionPtr revIDLastSave="0" documentId="13_ncr:1_{8077D525-FA79-4EFB-BD99-450675D3999C}" xr6:coauthVersionLast="47" xr6:coauthVersionMax="47" xr10:uidLastSave="{00000000-0000-0000-0000-000000000000}"/>
  <bookViews>
    <workbookView xWindow="-120" yWindow="-120" windowWidth="29040" windowHeight="15720" xr2:uid="{61E1E10E-7175-41C5-8AB5-C7572230C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" l="1"/>
  <c r="J32" i="1"/>
  <c r="I32" i="1"/>
  <c r="H32" i="1"/>
  <c r="G32" i="1"/>
  <c r="F32" i="1"/>
  <c r="E32" i="1"/>
  <c r="D32" i="1"/>
  <c r="C32" i="1"/>
</calcChain>
</file>

<file path=xl/sharedStrings.xml><?xml version="1.0" encoding="utf-8"?>
<sst xmlns="http://schemas.openxmlformats.org/spreadsheetml/2006/main" count="141" uniqueCount="50">
  <si>
    <t>CC-1</t>
  </si>
  <si>
    <t>CC-0</t>
  </si>
  <si>
    <t>Base</t>
  </si>
  <si>
    <t>Demanda +20%</t>
  </si>
  <si>
    <t>Parâmetros</t>
  </si>
  <si>
    <t>CC-2</t>
  </si>
  <si>
    <t>CC-3</t>
  </si>
  <si>
    <t>CC-4</t>
  </si>
  <si>
    <t>CC-5</t>
  </si>
  <si>
    <t>CC-6</t>
  </si>
  <si>
    <t>CC-7</t>
  </si>
  <si>
    <t>CC-8</t>
  </si>
  <si>
    <t>CC-9</t>
  </si>
  <si>
    <t>CC-10</t>
  </si>
  <si>
    <t>Nova escala turno</t>
  </si>
  <si>
    <t>Tempo médio no CC (h)</t>
  </si>
  <si>
    <t>Chegadas / dia (pacientes)</t>
  </si>
  <si>
    <t>Centro Cirúrgico (Cenários)</t>
  </si>
  <si>
    <t>Enfermeiro</t>
  </si>
  <si>
    <t>Farmacia</t>
  </si>
  <si>
    <t>Tec_Enfermagem</t>
  </si>
  <si>
    <t>Eq_Assistencial_CTI</t>
  </si>
  <si>
    <t>Anestesista</t>
  </si>
  <si>
    <t>Tec_Radiologia</t>
  </si>
  <si>
    <t>Eq_Radiologia</t>
  </si>
  <si>
    <t>Func_CME</t>
  </si>
  <si>
    <t>Eq_Higienizacao</t>
  </si>
  <si>
    <t>3-5-3</t>
  </si>
  <si>
    <t>1-2-1</t>
  </si>
  <si>
    <t>2-2-2</t>
  </si>
  <si>
    <t>7-10-7</t>
  </si>
  <si>
    <t>1-1-1</t>
  </si>
  <si>
    <t xml:space="preserve">Eq_Medica </t>
  </si>
  <si>
    <t>Escala (0-7/7-19/19-24)</t>
  </si>
  <si>
    <t>Nível de ocupação</t>
  </si>
  <si>
    <t>Receita (R$)</t>
  </si>
  <si>
    <t>Período de simulação (dias)</t>
  </si>
  <si>
    <t>Custo (R$)</t>
  </si>
  <si>
    <t>Cirurgias / dia (pacientes)</t>
  </si>
  <si>
    <t>Resultado (R$)</t>
  </si>
  <si>
    <t>2-6-3</t>
  </si>
  <si>
    <t>1-1-2-1</t>
  </si>
  <si>
    <t>1-2-2-1</t>
  </si>
  <si>
    <t>6-12-6</t>
  </si>
  <si>
    <t>Prod Sala1 + Escala</t>
  </si>
  <si>
    <t>Prod Sala1</t>
  </si>
  <si>
    <t>Base + Sabado</t>
  </si>
  <si>
    <t>Nova escala + Sabado</t>
  </si>
  <si>
    <t>Base + Sab/Dom</t>
  </si>
  <si>
    <t>Sabado + 20%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</si>
</sst>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quotePrefix="1" applyNumberFormat="1" applyAlignment="1">
      <alignment horizontal="center"/>
    </xf>
    <xf numFmtId="44" fontId="0" fillId="0" borderId="0" xfId="1" applyFont="1"/>
    <xf numFmtId="9" fontId="0" fillId="0" borderId="0" xfId="2" applyFont="1" applyAlignment="1">
      <alignment horizontal="center"/>
    </xf>
    <xf numFmtId="14" fontId="2" fillId="0" borderId="0" xfId="0" quotePrefix="1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2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 applyFont="1" applyAlignment="1">
      <alignment horizontal="left" indent="2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F749-DA3C-4527-A1DD-2E2827984C34}">
  <dimension ref="B2:M32"/>
  <sheetViews>
    <sheetView tabSelected="1" topLeftCell="B1" zoomScale="145" zoomScaleNormal="145" workbookViewId="0">
      <selection activeCell="B2" sqref="B2"/>
    </sheetView>
  </sheetViews>
  <sheetFormatPr defaultRowHeight="15" x14ac:dyDescent="0.25"/>
  <cols>
    <col min="1" max="1" width="5" customWidth="1"/>
    <col min="2" max="2" width="24.85546875" customWidth="1"/>
    <col min="3" max="3" width="17.7109375" customWidth="1"/>
    <col min="4" max="4" width="15.85546875" customWidth="1"/>
    <col min="5" max="5" width="17.28515625" bestFit="1" customWidth="1"/>
    <col min="6" max="6" width="16.7109375" customWidth="1"/>
    <col min="7" max="7" width="18.42578125" bestFit="1" customWidth="1"/>
    <col min="8" max="8" width="17" customWidth="1"/>
    <col min="9" max="9" width="18.5703125" customWidth="1"/>
    <col min="10" max="10" width="16.140625" bestFit="1" customWidth="1"/>
    <col min="11" max="11" width="16.28515625" customWidth="1"/>
  </cols>
  <sheetData>
    <row r="2" spans="2:13" x14ac:dyDescent="0.25">
      <c r="B2" s="9" t="s">
        <v>17</v>
      </c>
      <c r="C2" s="6" t="s">
        <v>1</v>
      </c>
      <c r="D2" s="6" t="s">
        <v>0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</row>
    <row r="3" spans="2:13" x14ac:dyDescent="0.25">
      <c r="B3" s="9" t="s">
        <v>4</v>
      </c>
      <c r="C3" s="11" t="s">
        <v>2</v>
      </c>
      <c r="D3" s="11" t="s">
        <v>3</v>
      </c>
      <c r="E3" s="11" t="s">
        <v>14</v>
      </c>
      <c r="F3" s="11" t="s">
        <v>45</v>
      </c>
      <c r="G3" s="11" t="s">
        <v>44</v>
      </c>
      <c r="H3" s="11" t="s">
        <v>46</v>
      </c>
      <c r="I3" s="11" t="s">
        <v>47</v>
      </c>
      <c r="J3" s="11" t="s">
        <v>48</v>
      </c>
      <c r="K3" s="11" t="s">
        <v>49</v>
      </c>
    </row>
    <row r="4" spans="2:13" x14ac:dyDescent="0.25">
      <c r="B4" s="9" t="s">
        <v>36</v>
      </c>
      <c r="C4" s="1">
        <v>31</v>
      </c>
      <c r="D4" s="1">
        <v>31</v>
      </c>
      <c r="E4" s="1">
        <v>31</v>
      </c>
      <c r="F4" s="1">
        <v>31</v>
      </c>
      <c r="G4" s="1">
        <v>31</v>
      </c>
      <c r="H4" s="1">
        <v>31</v>
      </c>
      <c r="I4" s="1">
        <v>31</v>
      </c>
      <c r="J4" s="1">
        <v>31</v>
      </c>
      <c r="K4" s="1">
        <v>31</v>
      </c>
      <c r="L4" s="1">
        <v>31</v>
      </c>
      <c r="M4" s="1">
        <v>31</v>
      </c>
    </row>
    <row r="5" spans="2:13" x14ac:dyDescent="0.25">
      <c r="B5" s="9" t="s">
        <v>16</v>
      </c>
      <c r="C5" s="1">
        <v>16</v>
      </c>
      <c r="D5" s="6">
        <v>19</v>
      </c>
      <c r="E5" s="1">
        <v>16</v>
      </c>
      <c r="F5" s="6">
        <v>30</v>
      </c>
      <c r="G5" s="6">
        <v>30</v>
      </c>
      <c r="H5" s="8">
        <v>16</v>
      </c>
      <c r="I5" s="8">
        <v>16</v>
      </c>
      <c r="J5" s="8">
        <v>16</v>
      </c>
      <c r="K5" s="6">
        <v>19</v>
      </c>
      <c r="L5" s="1"/>
      <c r="M5" s="1"/>
    </row>
    <row r="6" spans="2:13" x14ac:dyDescent="0.25">
      <c r="B6" s="9" t="s">
        <v>38</v>
      </c>
      <c r="C6" s="1">
        <v>14.78</v>
      </c>
      <c r="D6" s="1">
        <v>19.41</v>
      </c>
      <c r="E6" s="1">
        <v>16.84</v>
      </c>
      <c r="F6" s="1">
        <v>27.16</v>
      </c>
      <c r="G6" s="1">
        <v>27.5</v>
      </c>
      <c r="H6" s="1">
        <v>17.12</v>
      </c>
      <c r="I6" s="1">
        <v>15.66</v>
      </c>
      <c r="J6" s="1">
        <v>17.809999999999999</v>
      </c>
      <c r="K6" s="1">
        <v>21.28</v>
      </c>
      <c r="L6" s="1"/>
      <c r="M6" s="1"/>
    </row>
    <row r="7" spans="2:13" x14ac:dyDescent="0.25">
      <c r="B7" s="9" t="s">
        <v>15</v>
      </c>
      <c r="C7" s="1">
        <v>3.95</v>
      </c>
      <c r="D7" s="1">
        <v>4.63</v>
      </c>
      <c r="E7" s="1">
        <v>4.09</v>
      </c>
      <c r="F7" s="6">
        <v>13.13</v>
      </c>
      <c r="G7" s="6">
        <v>48.11</v>
      </c>
      <c r="H7" s="1">
        <v>3.93</v>
      </c>
      <c r="I7" s="1">
        <v>4.05</v>
      </c>
      <c r="J7" s="1">
        <v>3.93</v>
      </c>
      <c r="K7" s="1">
        <v>4.7300000000000004</v>
      </c>
    </row>
    <row r="8" spans="2:13" x14ac:dyDescent="0.25">
      <c r="B8" s="9" t="s">
        <v>33</v>
      </c>
    </row>
    <row r="9" spans="2:13" x14ac:dyDescent="0.25">
      <c r="B9" s="12" t="s">
        <v>18</v>
      </c>
      <c r="C9" s="2" t="s">
        <v>41</v>
      </c>
      <c r="D9" s="2" t="s">
        <v>41</v>
      </c>
      <c r="E9" s="5" t="s">
        <v>42</v>
      </c>
      <c r="F9" s="2" t="s">
        <v>41</v>
      </c>
      <c r="G9" s="5" t="s">
        <v>42</v>
      </c>
      <c r="H9" s="2" t="s">
        <v>41</v>
      </c>
      <c r="I9" s="5" t="s">
        <v>42</v>
      </c>
      <c r="J9" s="2" t="s">
        <v>41</v>
      </c>
      <c r="K9" s="2" t="s">
        <v>41</v>
      </c>
    </row>
    <row r="10" spans="2:13" x14ac:dyDescent="0.25">
      <c r="B10" s="12" t="s">
        <v>19</v>
      </c>
      <c r="C10" s="2" t="s">
        <v>29</v>
      </c>
      <c r="D10" s="2" t="s">
        <v>29</v>
      </c>
      <c r="E10" s="2" t="s">
        <v>29</v>
      </c>
      <c r="F10" s="2" t="s">
        <v>29</v>
      </c>
      <c r="G10" s="2" t="s">
        <v>29</v>
      </c>
      <c r="H10" s="2" t="s">
        <v>29</v>
      </c>
      <c r="I10" s="2" t="s">
        <v>29</v>
      </c>
      <c r="J10" s="2" t="s">
        <v>29</v>
      </c>
      <c r="K10" s="2" t="s">
        <v>29</v>
      </c>
    </row>
    <row r="11" spans="2:13" x14ac:dyDescent="0.25">
      <c r="B11" s="12" t="s">
        <v>20</v>
      </c>
      <c r="C11" s="2" t="s">
        <v>30</v>
      </c>
      <c r="D11" s="2" t="s">
        <v>30</v>
      </c>
      <c r="E11" s="5" t="s">
        <v>43</v>
      </c>
      <c r="F11" s="2" t="s">
        <v>30</v>
      </c>
      <c r="G11" s="5" t="s">
        <v>43</v>
      </c>
      <c r="H11" s="2" t="s">
        <v>30</v>
      </c>
      <c r="I11" s="5" t="s">
        <v>43</v>
      </c>
      <c r="J11" s="2" t="s">
        <v>30</v>
      </c>
      <c r="K11" s="2" t="s">
        <v>30</v>
      </c>
    </row>
    <row r="12" spans="2:13" x14ac:dyDescent="0.25">
      <c r="B12" s="12" t="s">
        <v>21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  <c r="K12" s="2" t="s">
        <v>31</v>
      </c>
    </row>
    <row r="13" spans="2:13" x14ac:dyDescent="0.25">
      <c r="B13" s="12" t="s">
        <v>32</v>
      </c>
      <c r="C13" s="2" t="s">
        <v>27</v>
      </c>
      <c r="D13" s="2" t="s">
        <v>27</v>
      </c>
      <c r="E13" s="5" t="s">
        <v>40</v>
      </c>
      <c r="F13" s="2" t="s">
        <v>27</v>
      </c>
      <c r="G13" s="5" t="s">
        <v>40</v>
      </c>
      <c r="H13" s="2" t="s">
        <v>27</v>
      </c>
      <c r="I13" s="5" t="s">
        <v>40</v>
      </c>
      <c r="J13" s="2" t="s">
        <v>27</v>
      </c>
      <c r="K13" s="2" t="s">
        <v>27</v>
      </c>
    </row>
    <row r="14" spans="2:13" x14ac:dyDescent="0.25">
      <c r="B14" s="12" t="s">
        <v>22</v>
      </c>
      <c r="C14" s="2" t="s">
        <v>27</v>
      </c>
      <c r="D14" s="2" t="s">
        <v>27</v>
      </c>
      <c r="E14" s="5" t="s">
        <v>40</v>
      </c>
      <c r="F14" s="2" t="s">
        <v>27</v>
      </c>
      <c r="G14" s="5" t="s">
        <v>40</v>
      </c>
      <c r="H14" s="2" t="s">
        <v>27</v>
      </c>
      <c r="I14" s="5" t="s">
        <v>40</v>
      </c>
      <c r="J14" s="2" t="s">
        <v>27</v>
      </c>
      <c r="K14" s="2" t="s">
        <v>27</v>
      </c>
    </row>
    <row r="15" spans="2:13" x14ac:dyDescent="0.25">
      <c r="B15" s="12" t="s">
        <v>23</v>
      </c>
      <c r="C15" s="2" t="s">
        <v>28</v>
      </c>
      <c r="D15" s="2" t="s">
        <v>28</v>
      </c>
      <c r="E15" s="2" t="s">
        <v>28</v>
      </c>
      <c r="F15" s="2" t="s">
        <v>28</v>
      </c>
      <c r="G15" s="2" t="s">
        <v>28</v>
      </c>
      <c r="H15" s="2" t="s">
        <v>28</v>
      </c>
      <c r="I15" s="2" t="s">
        <v>28</v>
      </c>
      <c r="J15" s="2" t="s">
        <v>28</v>
      </c>
      <c r="K15" s="2" t="s">
        <v>28</v>
      </c>
    </row>
    <row r="16" spans="2:13" x14ac:dyDescent="0.25">
      <c r="B16" s="12" t="s">
        <v>24</v>
      </c>
      <c r="C16" s="2" t="s">
        <v>28</v>
      </c>
      <c r="D16" s="2" t="s">
        <v>28</v>
      </c>
      <c r="E16" s="2" t="s">
        <v>28</v>
      </c>
      <c r="F16" s="2" t="s">
        <v>28</v>
      </c>
      <c r="G16" s="2" t="s">
        <v>28</v>
      </c>
      <c r="H16" s="2" t="s">
        <v>28</v>
      </c>
      <c r="I16" s="2" t="s">
        <v>28</v>
      </c>
      <c r="J16" s="2" t="s">
        <v>28</v>
      </c>
      <c r="K16" s="2" t="s">
        <v>28</v>
      </c>
    </row>
    <row r="17" spans="2:11" x14ac:dyDescent="0.25">
      <c r="B17" s="12" t="s">
        <v>25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31</v>
      </c>
      <c r="K17" s="2" t="s">
        <v>31</v>
      </c>
    </row>
    <row r="18" spans="2:11" x14ac:dyDescent="0.25">
      <c r="B18" s="12" t="s">
        <v>26</v>
      </c>
      <c r="C18" s="2" t="s">
        <v>28</v>
      </c>
      <c r="D18" s="2" t="s">
        <v>28</v>
      </c>
      <c r="E18" s="2" t="s">
        <v>28</v>
      </c>
      <c r="F18" s="2" t="s">
        <v>28</v>
      </c>
      <c r="G18" s="2" t="s">
        <v>28</v>
      </c>
      <c r="H18" s="2" t="s">
        <v>28</v>
      </c>
      <c r="I18" s="2" t="s">
        <v>28</v>
      </c>
      <c r="J18" s="2" t="s">
        <v>28</v>
      </c>
      <c r="K18" s="2" t="s">
        <v>28</v>
      </c>
    </row>
    <row r="19" spans="2:11" x14ac:dyDescent="0.25">
      <c r="B19" s="9" t="s">
        <v>34</v>
      </c>
      <c r="C19" s="1"/>
      <c r="H19" s="1"/>
      <c r="I19" s="1"/>
      <c r="J19" s="1"/>
      <c r="K19" s="1"/>
    </row>
    <row r="20" spans="2:11" x14ac:dyDescent="0.25">
      <c r="B20" s="12" t="s">
        <v>18</v>
      </c>
      <c r="C20" s="4">
        <v>0.26800000000000002</v>
      </c>
      <c r="D20" s="4">
        <v>0.27</v>
      </c>
      <c r="E20" s="4">
        <v>0.34</v>
      </c>
      <c r="F20" s="4">
        <v>0.3</v>
      </c>
      <c r="G20" s="4">
        <v>0.44</v>
      </c>
      <c r="H20" s="4">
        <v>0.27</v>
      </c>
      <c r="I20" s="4">
        <v>0.38</v>
      </c>
      <c r="J20" s="4">
        <v>0.4</v>
      </c>
      <c r="K20" s="4">
        <v>0.31</v>
      </c>
    </row>
    <row r="21" spans="2:11" x14ac:dyDescent="0.25">
      <c r="B21" s="12" t="s">
        <v>19</v>
      </c>
      <c r="C21" s="4">
        <v>0.34799999999999998</v>
      </c>
      <c r="D21" s="4">
        <v>0.34799999999999998</v>
      </c>
      <c r="E21" s="4">
        <v>0.32</v>
      </c>
      <c r="F21" s="4">
        <v>0.31</v>
      </c>
      <c r="G21" s="4">
        <v>0.36</v>
      </c>
      <c r="H21" s="4">
        <v>0.33</v>
      </c>
      <c r="I21" s="4">
        <v>0.33</v>
      </c>
      <c r="J21" s="4">
        <v>0.34</v>
      </c>
      <c r="K21" s="4">
        <v>0.34</v>
      </c>
    </row>
    <row r="22" spans="2:11" x14ac:dyDescent="0.25">
      <c r="B22" s="12" t="s">
        <v>20</v>
      </c>
      <c r="C22" s="4">
        <v>0.6</v>
      </c>
      <c r="D22" s="4">
        <v>0.66</v>
      </c>
      <c r="E22" s="4">
        <v>0.72</v>
      </c>
      <c r="F22" s="7">
        <v>0.81</v>
      </c>
      <c r="G22" s="7">
        <v>0.96</v>
      </c>
      <c r="H22" s="4">
        <v>0.62</v>
      </c>
      <c r="I22" s="4">
        <v>0.73</v>
      </c>
      <c r="J22" s="4">
        <v>0.75</v>
      </c>
      <c r="K22" s="4">
        <v>0.69</v>
      </c>
    </row>
    <row r="23" spans="2:11" x14ac:dyDescent="0.25">
      <c r="B23" s="12" t="s">
        <v>21</v>
      </c>
      <c r="C23" s="4">
        <v>0.05</v>
      </c>
      <c r="D23" s="4">
        <v>0.08</v>
      </c>
      <c r="E23" s="4">
        <v>0.06</v>
      </c>
      <c r="F23" s="4">
        <v>0.11</v>
      </c>
      <c r="G23" s="4">
        <v>0.11</v>
      </c>
      <c r="H23" s="4">
        <v>0.06</v>
      </c>
      <c r="I23" s="4">
        <v>0.06</v>
      </c>
      <c r="J23" s="4">
        <v>7.0000000000000007E-2</v>
      </c>
      <c r="K23" s="4">
        <v>0.08</v>
      </c>
    </row>
    <row r="24" spans="2:11" x14ac:dyDescent="0.25">
      <c r="B24" s="12" t="s">
        <v>32</v>
      </c>
      <c r="C24" s="4">
        <v>0.6</v>
      </c>
      <c r="D24" s="4">
        <v>0.7</v>
      </c>
      <c r="E24" s="4">
        <v>0.62</v>
      </c>
      <c r="F24" s="7">
        <v>0.9</v>
      </c>
      <c r="G24" s="7">
        <v>0.9</v>
      </c>
      <c r="H24" s="4">
        <v>0.63</v>
      </c>
      <c r="I24" s="4">
        <v>0.61</v>
      </c>
      <c r="J24" s="4">
        <v>0.68</v>
      </c>
      <c r="K24" s="4">
        <v>0.73</v>
      </c>
    </row>
    <row r="25" spans="2:11" x14ac:dyDescent="0.25">
      <c r="B25" s="12" t="s">
        <v>22</v>
      </c>
      <c r="C25" s="4">
        <v>0.42</v>
      </c>
      <c r="D25" s="4">
        <v>0.43</v>
      </c>
      <c r="E25" s="4">
        <v>0.44</v>
      </c>
      <c r="F25" s="4">
        <v>0.54</v>
      </c>
      <c r="G25" s="4">
        <v>0.55000000000000004</v>
      </c>
      <c r="H25" s="4">
        <v>0.42</v>
      </c>
      <c r="I25" s="4">
        <v>0.42</v>
      </c>
      <c r="J25" s="4">
        <v>0.43</v>
      </c>
      <c r="K25" s="4">
        <v>0.46</v>
      </c>
    </row>
    <row r="26" spans="2:11" x14ac:dyDescent="0.25">
      <c r="B26" s="12" t="s">
        <v>23</v>
      </c>
      <c r="C26" s="4">
        <v>0.35</v>
      </c>
      <c r="D26" s="4">
        <v>0.35</v>
      </c>
      <c r="E26" s="4">
        <v>0.35</v>
      </c>
      <c r="F26" s="4">
        <v>0.4</v>
      </c>
      <c r="G26" s="4">
        <v>0.43</v>
      </c>
      <c r="H26" s="4">
        <v>0.31</v>
      </c>
      <c r="I26" s="4">
        <v>0.3</v>
      </c>
      <c r="J26" s="4">
        <v>0.35</v>
      </c>
      <c r="K26" s="4">
        <v>0.35</v>
      </c>
    </row>
    <row r="27" spans="2:11" x14ac:dyDescent="0.25">
      <c r="B27" s="12" t="s">
        <v>24</v>
      </c>
      <c r="C27" s="4">
        <v>0.35</v>
      </c>
      <c r="D27" s="4">
        <v>0.35</v>
      </c>
      <c r="E27" s="4">
        <v>0.35</v>
      </c>
      <c r="F27" s="4">
        <v>0.4</v>
      </c>
      <c r="G27" s="4">
        <v>0.43</v>
      </c>
      <c r="H27" s="4">
        <v>0.31</v>
      </c>
      <c r="I27" s="4">
        <v>0.3</v>
      </c>
      <c r="J27" s="4">
        <v>0.35</v>
      </c>
      <c r="K27" s="4">
        <v>0.35</v>
      </c>
    </row>
    <row r="28" spans="2:11" x14ac:dyDescent="0.25">
      <c r="B28" s="12" t="s">
        <v>25</v>
      </c>
      <c r="C28" s="4">
        <v>7.0000000000000007E-2</v>
      </c>
      <c r="D28" s="4">
        <v>0.08</v>
      </c>
      <c r="E28" s="4">
        <v>7.0000000000000007E-2</v>
      </c>
      <c r="F28" s="4">
        <v>0.12</v>
      </c>
      <c r="G28" s="4">
        <v>0.12</v>
      </c>
      <c r="H28" s="4">
        <v>7.0000000000000007E-2</v>
      </c>
      <c r="I28" s="4">
        <v>7.0000000000000007E-2</v>
      </c>
      <c r="J28" s="4">
        <v>0.08</v>
      </c>
      <c r="K28" s="4">
        <v>0.09</v>
      </c>
    </row>
    <row r="29" spans="2:11" x14ac:dyDescent="0.25">
      <c r="B29" s="12" t="s">
        <v>26</v>
      </c>
      <c r="C29" s="4">
        <v>0.4</v>
      </c>
      <c r="D29" s="4">
        <v>0.4</v>
      </c>
      <c r="E29" s="4">
        <v>0.34</v>
      </c>
      <c r="F29" s="4">
        <v>0.42</v>
      </c>
      <c r="G29" s="4">
        <v>0.42</v>
      </c>
      <c r="H29" s="4">
        <v>0.37</v>
      </c>
      <c r="I29" s="4">
        <v>0.36</v>
      </c>
      <c r="J29" s="4">
        <v>0.39</v>
      </c>
      <c r="K29" s="4">
        <v>0.38</v>
      </c>
    </row>
    <row r="30" spans="2:11" x14ac:dyDescent="0.25">
      <c r="B30" s="10" t="s">
        <v>35</v>
      </c>
      <c r="C30" s="3">
        <v>797131</v>
      </c>
      <c r="D30" s="3">
        <v>1086278</v>
      </c>
      <c r="E30" s="3">
        <v>920106</v>
      </c>
      <c r="F30" s="3">
        <v>1497778</v>
      </c>
      <c r="G30" s="3">
        <v>1518127</v>
      </c>
      <c r="H30" s="3">
        <v>940098</v>
      </c>
      <c r="I30" s="3">
        <v>848126</v>
      </c>
      <c r="J30" s="3">
        <v>980987</v>
      </c>
      <c r="K30" s="3">
        <v>1179033</v>
      </c>
    </row>
    <row r="31" spans="2:11" x14ac:dyDescent="0.25">
      <c r="B31" s="10" t="s">
        <v>37</v>
      </c>
      <c r="C31" s="3">
        <v>2518808</v>
      </c>
      <c r="D31" s="3">
        <v>3422522</v>
      </c>
      <c r="E31" s="3">
        <v>2927363</v>
      </c>
      <c r="F31" s="3">
        <v>4740480</v>
      </c>
      <c r="G31" s="3">
        <v>4820988</v>
      </c>
      <c r="H31" s="3">
        <v>2980816</v>
      </c>
      <c r="I31" s="3">
        <v>2701863</v>
      </c>
      <c r="J31" s="3">
        <v>3117765</v>
      </c>
      <c r="K31" s="3">
        <v>3740526</v>
      </c>
    </row>
    <row r="32" spans="2:11" x14ac:dyDescent="0.25">
      <c r="B32" s="10" t="s">
        <v>39</v>
      </c>
      <c r="C32" s="3">
        <f>C30-C31</f>
        <v>-1721677</v>
      </c>
      <c r="D32" s="3">
        <f>D30-D31</f>
        <v>-2336244</v>
      </c>
      <c r="E32" s="3">
        <f>E30-E31</f>
        <v>-2007257</v>
      </c>
      <c r="F32" s="3">
        <f>F30-F31</f>
        <v>-3242702</v>
      </c>
      <c r="G32" s="3">
        <f>G30-G31</f>
        <v>-3302861</v>
      </c>
      <c r="H32" s="3">
        <f>H30-H31</f>
        <v>-2040718</v>
      </c>
      <c r="I32" s="3">
        <f>I30-I31</f>
        <v>-1853737</v>
      </c>
      <c r="J32" s="3">
        <f>J30-J31</f>
        <v>-2136778</v>
      </c>
      <c r="K32" s="3">
        <f>K30-K31</f>
        <v>-2561493</v>
      </c>
    </row>
  </sheetData>
  <phoneticPr fontId="3" type="noConversion"/>
  <conditionalFormatting sqref="C20:M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2026-06-18T18:52:23Z</dcterms:created>
  <dcterms:modified xsi:type="dcterms:W3CDTF">2026-06-19T01:52:41Z</dcterms:modified>
</cp:coreProperties>
</file>