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sk-surgery-center\ccdet\input_data\"/>
    </mc:Choice>
  </mc:AlternateContent>
  <xr:revisionPtr revIDLastSave="0" documentId="13_ncr:1_{722E6D02-9060-41A7-BD13-6FFD7BD392A2}" xr6:coauthVersionLast="47" xr6:coauthVersionMax="47" xr10:uidLastSave="{00000000-0000-0000-0000-000000000000}"/>
  <bookViews>
    <workbookView xWindow="28680" yWindow="-120" windowWidth="29040" windowHeight="15720" activeTab="2" xr2:uid="{AC9079A6-B535-44AA-A0AE-C8F54CF278E7}"/>
  </bookViews>
  <sheets>
    <sheet name="Base_1" sheetId="1" r:id="rId1"/>
    <sheet name="Base_2" sheetId="3" r:id="rId2"/>
    <sheet name="MTBA" sheetId="13" r:id="rId3"/>
    <sheet name="Horario" sheetId="12" r:id="rId4"/>
    <sheet name="S1" sheetId="6" r:id="rId5"/>
    <sheet name="S2" sheetId="7" r:id="rId6"/>
    <sheet name="S3" sheetId="8" r:id="rId7"/>
    <sheet name="S4" sheetId="9" r:id="rId8"/>
    <sheet name="S5" sheetId="11" r:id="rId9"/>
    <sheet name="S6" sheetId="10" r:id="rId10"/>
    <sheet name="Perc_CTI" sheetId="2" r:id="rId11"/>
    <sheet name="Tempos_Cir" sheetId="4" r:id="rId12"/>
    <sheet name="Resumo" sheetId="5" r:id="rId13"/>
  </sheets>
  <definedNames>
    <definedName name="_xlnm._FilterDatabase" localSheetId="1" hidden="1">Base_2!$A$2:$AB$1294</definedName>
    <definedName name="_xlnm._FilterDatabase" localSheetId="3" hidden="1">Horario!$B$19:$N$1311</definedName>
    <definedName name="_xlnm._FilterDatabase" localSheetId="2" hidden="1">MTBA!$A$2:$H$1294</definedName>
    <definedName name="_xlnm._FilterDatabase" localSheetId="4" hidden="1">'S1'!$B$2:$N$522</definedName>
    <definedName name="_xlnm._FilterDatabase" localSheetId="5" hidden="1">'S2'!$B$2:$N$211</definedName>
    <definedName name="_xlnm._FilterDatabase" localSheetId="6" hidden="1">'S3'!$B$2:$N$197</definedName>
    <definedName name="_xlnm._FilterDatabase" localSheetId="7" hidden="1">'S4'!$B$2:$N$50</definedName>
    <definedName name="_xlnm._FilterDatabase" localSheetId="8" hidden="1">'S5'!$B$2:$N$156</definedName>
    <definedName name="_xlnm._FilterDatabase" localSheetId="9" hidden="1">'S6'!$B$2:$N$168</definedName>
    <definedName name="_xlchart.v1.0" hidden="1">MTBA!$H$4:$H$1294</definedName>
    <definedName name="_xlchart.v1.1" hidden="1">MTBA!$H$4:$H$1294</definedName>
    <definedName name="_xlchart.v1.2" hidden="1">MTBA!$H$4:$H$1294</definedName>
    <definedName name="_xlchart.v1.3" hidden="1">MTBA!$H$4:$H$1294</definedName>
    <definedName name="_xlchart.v1.4" hidden="1">'S1'!$N$3:$N$519</definedName>
    <definedName name="_xlchart.v1.5" hidden="1">'S2'!$N$3:$N$210</definedName>
    <definedName name="_xlchart.v1.6" hidden="1">'S3'!$N$4:$N$196</definedName>
    <definedName name="_xlchart.v1.7" hidden="1">'S4'!$N$3:$N$49</definedName>
    <definedName name="_xlchart.v1.8" hidden="1">'S5'!$N$3:$N$155</definedName>
    <definedName name="_xlchart.v1.9" hidden="1">'S6'!$N$3:$N$167</definedName>
  </definedNames>
  <calcPr calcId="191029"/>
  <pivotCaches>
    <pivotCache cacheId="4" r:id="rId14"/>
    <pivotCache cacheId="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94" i="13" l="1"/>
  <c r="G1294" i="13" s="1"/>
  <c r="H1294" i="13" s="1"/>
  <c r="F1293" i="13"/>
  <c r="G1293" i="13" s="1"/>
  <c r="H1293" i="13" s="1"/>
  <c r="F1292" i="13"/>
  <c r="G1292" i="13" s="1"/>
  <c r="H1292" i="13" s="1"/>
  <c r="F1291" i="13"/>
  <c r="G1291" i="13" s="1"/>
  <c r="H1291" i="13" s="1"/>
  <c r="F1290" i="13"/>
  <c r="G1290" i="13" s="1"/>
  <c r="H1290" i="13" s="1"/>
  <c r="F1289" i="13"/>
  <c r="G1289" i="13" s="1"/>
  <c r="H1289" i="13" s="1"/>
  <c r="F1288" i="13"/>
  <c r="G1288" i="13" s="1"/>
  <c r="H1288" i="13" s="1"/>
  <c r="F1287" i="13"/>
  <c r="G1287" i="13" s="1"/>
  <c r="H1287" i="13" s="1"/>
  <c r="F1286" i="13"/>
  <c r="G1286" i="13" s="1"/>
  <c r="H1286" i="13" s="1"/>
  <c r="F1285" i="13"/>
  <c r="G1285" i="13" s="1"/>
  <c r="H1285" i="13" s="1"/>
  <c r="F1284" i="13"/>
  <c r="G1284" i="13" s="1"/>
  <c r="H1284" i="13" s="1"/>
  <c r="F1283" i="13"/>
  <c r="G1283" i="13" s="1"/>
  <c r="H1283" i="13" s="1"/>
  <c r="F1282" i="13"/>
  <c r="G1282" i="13" s="1"/>
  <c r="H1282" i="13" s="1"/>
  <c r="F1281" i="13"/>
  <c r="G1281" i="13" s="1"/>
  <c r="H1281" i="13" s="1"/>
  <c r="F1280" i="13"/>
  <c r="G1280" i="13" s="1"/>
  <c r="H1280" i="13" s="1"/>
  <c r="F1279" i="13"/>
  <c r="G1279" i="13" s="1"/>
  <c r="H1279" i="13" s="1"/>
  <c r="F1278" i="13"/>
  <c r="G1278" i="13" s="1"/>
  <c r="H1278" i="13" s="1"/>
  <c r="F1277" i="13"/>
  <c r="G1277" i="13" s="1"/>
  <c r="H1277" i="13" s="1"/>
  <c r="F1276" i="13"/>
  <c r="G1276" i="13" s="1"/>
  <c r="H1276" i="13" s="1"/>
  <c r="F1275" i="13"/>
  <c r="G1275" i="13" s="1"/>
  <c r="H1275" i="13" s="1"/>
  <c r="F1274" i="13"/>
  <c r="G1274" i="13" s="1"/>
  <c r="H1274" i="13" s="1"/>
  <c r="F1273" i="13"/>
  <c r="G1273" i="13" s="1"/>
  <c r="H1273" i="13" s="1"/>
  <c r="F1272" i="13"/>
  <c r="G1272" i="13" s="1"/>
  <c r="H1272" i="13" s="1"/>
  <c r="F1271" i="13"/>
  <c r="G1271" i="13" s="1"/>
  <c r="H1271" i="13" s="1"/>
  <c r="F1270" i="13"/>
  <c r="G1270" i="13" s="1"/>
  <c r="H1270" i="13" s="1"/>
  <c r="F1269" i="13"/>
  <c r="G1269" i="13" s="1"/>
  <c r="H1269" i="13" s="1"/>
  <c r="F1268" i="13"/>
  <c r="G1268" i="13" s="1"/>
  <c r="H1268" i="13" s="1"/>
  <c r="F1267" i="13"/>
  <c r="G1267" i="13" s="1"/>
  <c r="H1267" i="13" s="1"/>
  <c r="F1266" i="13"/>
  <c r="G1266" i="13" s="1"/>
  <c r="H1266" i="13" s="1"/>
  <c r="F1265" i="13"/>
  <c r="G1265" i="13" s="1"/>
  <c r="H1265" i="13" s="1"/>
  <c r="F1264" i="13"/>
  <c r="G1264" i="13" s="1"/>
  <c r="H1264" i="13" s="1"/>
  <c r="F1263" i="13"/>
  <c r="G1263" i="13" s="1"/>
  <c r="H1263" i="13" s="1"/>
  <c r="F1262" i="13"/>
  <c r="G1262" i="13" s="1"/>
  <c r="H1262" i="13" s="1"/>
  <c r="F1261" i="13"/>
  <c r="G1261" i="13" s="1"/>
  <c r="H1261" i="13" s="1"/>
  <c r="F1260" i="13"/>
  <c r="G1260" i="13" s="1"/>
  <c r="H1260" i="13" s="1"/>
  <c r="F1259" i="13"/>
  <c r="G1259" i="13" s="1"/>
  <c r="H1259" i="13" s="1"/>
  <c r="F1258" i="13"/>
  <c r="G1258" i="13" s="1"/>
  <c r="H1258" i="13" s="1"/>
  <c r="F1257" i="13"/>
  <c r="G1257" i="13" s="1"/>
  <c r="H1257" i="13" s="1"/>
  <c r="F1256" i="13"/>
  <c r="G1256" i="13" s="1"/>
  <c r="H1256" i="13" s="1"/>
  <c r="F1255" i="13"/>
  <c r="G1255" i="13" s="1"/>
  <c r="H1255" i="13" s="1"/>
  <c r="F1254" i="13"/>
  <c r="G1254" i="13" s="1"/>
  <c r="H1254" i="13" s="1"/>
  <c r="F1253" i="13"/>
  <c r="G1253" i="13" s="1"/>
  <c r="H1253" i="13" s="1"/>
  <c r="F1252" i="13"/>
  <c r="G1252" i="13" s="1"/>
  <c r="H1252" i="13" s="1"/>
  <c r="F1251" i="13"/>
  <c r="G1251" i="13" s="1"/>
  <c r="H1251" i="13" s="1"/>
  <c r="F1250" i="13"/>
  <c r="G1250" i="13" s="1"/>
  <c r="H1250" i="13" s="1"/>
  <c r="F1249" i="13"/>
  <c r="G1249" i="13" s="1"/>
  <c r="H1249" i="13" s="1"/>
  <c r="F1248" i="13"/>
  <c r="G1248" i="13" s="1"/>
  <c r="H1248" i="13" s="1"/>
  <c r="F1247" i="13"/>
  <c r="G1247" i="13" s="1"/>
  <c r="H1247" i="13" s="1"/>
  <c r="F1246" i="13"/>
  <c r="G1246" i="13" s="1"/>
  <c r="H1246" i="13" s="1"/>
  <c r="F1245" i="13"/>
  <c r="G1245" i="13" s="1"/>
  <c r="H1245" i="13" s="1"/>
  <c r="F1244" i="13"/>
  <c r="G1244" i="13" s="1"/>
  <c r="H1244" i="13" s="1"/>
  <c r="F1243" i="13"/>
  <c r="G1243" i="13" s="1"/>
  <c r="H1243" i="13" s="1"/>
  <c r="F1242" i="13"/>
  <c r="G1242" i="13" s="1"/>
  <c r="H1242" i="13" s="1"/>
  <c r="F1241" i="13"/>
  <c r="G1241" i="13" s="1"/>
  <c r="H1241" i="13" s="1"/>
  <c r="F1240" i="13"/>
  <c r="G1240" i="13" s="1"/>
  <c r="H1240" i="13" s="1"/>
  <c r="F1239" i="13"/>
  <c r="G1239" i="13" s="1"/>
  <c r="H1239" i="13" s="1"/>
  <c r="F1238" i="13"/>
  <c r="G1238" i="13" s="1"/>
  <c r="H1238" i="13" s="1"/>
  <c r="F1237" i="13"/>
  <c r="G1237" i="13" s="1"/>
  <c r="H1237" i="13" s="1"/>
  <c r="F1236" i="13"/>
  <c r="G1236" i="13" s="1"/>
  <c r="H1236" i="13" s="1"/>
  <c r="F1235" i="13"/>
  <c r="G1235" i="13" s="1"/>
  <c r="H1235" i="13" s="1"/>
  <c r="F1234" i="13"/>
  <c r="G1234" i="13" s="1"/>
  <c r="H1234" i="13" s="1"/>
  <c r="F1233" i="13"/>
  <c r="G1233" i="13" s="1"/>
  <c r="H1233" i="13" s="1"/>
  <c r="F1232" i="13"/>
  <c r="G1232" i="13" s="1"/>
  <c r="H1232" i="13" s="1"/>
  <c r="F1231" i="13"/>
  <c r="G1231" i="13" s="1"/>
  <c r="H1231" i="13" s="1"/>
  <c r="F1230" i="13"/>
  <c r="G1230" i="13" s="1"/>
  <c r="H1230" i="13" s="1"/>
  <c r="F1229" i="13"/>
  <c r="G1229" i="13" s="1"/>
  <c r="H1229" i="13" s="1"/>
  <c r="F1228" i="13"/>
  <c r="G1228" i="13" s="1"/>
  <c r="H1228" i="13" s="1"/>
  <c r="F1227" i="13"/>
  <c r="G1227" i="13" s="1"/>
  <c r="H1227" i="13" s="1"/>
  <c r="F1226" i="13"/>
  <c r="G1226" i="13" s="1"/>
  <c r="H1226" i="13" s="1"/>
  <c r="F1225" i="13"/>
  <c r="G1225" i="13" s="1"/>
  <c r="H1225" i="13" s="1"/>
  <c r="F1224" i="13"/>
  <c r="G1224" i="13" s="1"/>
  <c r="H1224" i="13" s="1"/>
  <c r="F1223" i="13"/>
  <c r="G1223" i="13" s="1"/>
  <c r="H1223" i="13" s="1"/>
  <c r="F1222" i="13"/>
  <c r="G1222" i="13" s="1"/>
  <c r="H1222" i="13" s="1"/>
  <c r="F1221" i="13"/>
  <c r="G1221" i="13" s="1"/>
  <c r="H1221" i="13" s="1"/>
  <c r="F1220" i="13"/>
  <c r="G1220" i="13" s="1"/>
  <c r="H1220" i="13" s="1"/>
  <c r="F1219" i="13"/>
  <c r="G1219" i="13" s="1"/>
  <c r="H1219" i="13" s="1"/>
  <c r="F1218" i="13"/>
  <c r="G1218" i="13" s="1"/>
  <c r="H1218" i="13" s="1"/>
  <c r="F1217" i="13"/>
  <c r="G1217" i="13" s="1"/>
  <c r="H1217" i="13" s="1"/>
  <c r="F1216" i="13"/>
  <c r="G1216" i="13" s="1"/>
  <c r="H1216" i="13" s="1"/>
  <c r="F1215" i="13"/>
  <c r="G1215" i="13" s="1"/>
  <c r="H1215" i="13" s="1"/>
  <c r="F1214" i="13"/>
  <c r="G1214" i="13" s="1"/>
  <c r="H1214" i="13" s="1"/>
  <c r="F1213" i="13"/>
  <c r="G1213" i="13" s="1"/>
  <c r="H1213" i="13" s="1"/>
  <c r="F1212" i="13"/>
  <c r="G1212" i="13" s="1"/>
  <c r="H1212" i="13" s="1"/>
  <c r="F1211" i="13"/>
  <c r="G1211" i="13" s="1"/>
  <c r="H1211" i="13" s="1"/>
  <c r="F1210" i="13"/>
  <c r="G1210" i="13" s="1"/>
  <c r="H1210" i="13" s="1"/>
  <c r="F1209" i="13"/>
  <c r="G1209" i="13" s="1"/>
  <c r="H1209" i="13" s="1"/>
  <c r="F1208" i="13"/>
  <c r="G1208" i="13" s="1"/>
  <c r="H1208" i="13" s="1"/>
  <c r="F1207" i="13"/>
  <c r="G1207" i="13" s="1"/>
  <c r="H1207" i="13" s="1"/>
  <c r="F1206" i="13"/>
  <c r="G1206" i="13" s="1"/>
  <c r="H1206" i="13" s="1"/>
  <c r="F1205" i="13"/>
  <c r="G1205" i="13" s="1"/>
  <c r="H1205" i="13" s="1"/>
  <c r="F1204" i="13"/>
  <c r="G1204" i="13" s="1"/>
  <c r="H1204" i="13" s="1"/>
  <c r="F1203" i="13"/>
  <c r="G1203" i="13" s="1"/>
  <c r="H1203" i="13" s="1"/>
  <c r="F1202" i="13"/>
  <c r="G1202" i="13" s="1"/>
  <c r="H1202" i="13" s="1"/>
  <c r="F1201" i="13"/>
  <c r="G1201" i="13" s="1"/>
  <c r="H1201" i="13" s="1"/>
  <c r="F1200" i="13"/>
  <c r="G1200" i="13" s="1"/>
  <c r="H1200" i="13" s="1"/>
  <c r="F1199" i="13"/>
  <c r="G1199" i="13" s="1"/>
  <c r="H1199" i="13" s="1"/>
  <c r="F1198" i="13"/>
  <c r="G1198" i="13" s="1"/>
  <c r="H1198" i="13" s="1"/>
  <c r="F1197" i="13"/>
  <c r="G1197" i="13" s="1"/>
  <c r="H1197" i="13" s="1"/>
  <c r="F1196" i="13"/>
  <c r="G1196" i="13" s="1"/>
  <c r="H1196" i="13" s="1"/>
  <c r="F1195" i="13"/>
  <c r="G1195" i="13" s="1"/>
  <c r="H1195" i="13" s="1"/>
  <c r="F1194" i="13"/>
  <c r="G1194" i="13" s="1"/>
  <c r="H1194" i="13" s="1"/>
  <c r="F1193" i="13"/>
  <c r="G1193" i="13" s="1"/>
  <c r="H1193" i="13" s="1"/>
  <c r="F1192" i="13"/>
  <c r="G1192" i="13" s="1"/>
  <c r="H1192" i="13" s="1"/>
  <c r="F1191" i="13"/>
  <c r="G1191" i="13" s="1"/>
  <c r="H1191" i="13" s="1"/>
  <c r="F1190" i="13"/>
  <c r="G1190" i="13" s="1"/>
  <c r="H1190" i="13" s="1"/>
  <c r="F1189" i="13"/>
  <c r="G1189" i="13" s="1"/>
  <c r="H1189" i="13" s="1"/>
  <c r="F1188" i="13"/>
  <c r="G1188" i="13" s="1"/>
  <c r="H1188" i="13" s="1"/>
  <c r="F1187" i="13"/>
  <c r="G1187" i="13" s="1"/>
  <c r="H1187" i="13" s="1"/>
  <c r="F1186" i="13"/>
  <c r="G1186" i="13" s="1"/>
  <c r="H1186" i="13" s="1"/>
  <c r="F1185" i="13"/>
  <c r="G1185" i="13" s="1"/>
  <c r="H1185" i="13" s="1"/>
  <c r="F1184" i="13"/>
  <c r="G1184" i="13" s="1"/>
  <c r="H1184" i="13" s="1"/>
  <c r="F1183" i="13"/>
  <c r="G1183" i="13" s="1"/>
  <c r="H1183" i="13" s="1"/>
  <c r="F1182" i="13"/>
  <c r="G1182" i="13" s="1"/>
  <c r="H1182" i="13" s="1"/>
  <c r="F1181" i="13"/>
  <c r="G1181" i="13" s="1"/>
  <c r="H1181" i="13" s="1"/>
  <c r="F1180" i="13"/>
  <c r="G1180" i="13" s="1"/>
  <c r="H1180" i="13" s="1"/>
  <c r="F1179" i="13"/>
  <c r="G1179" i="13" s="1"/>
  <c r="H1179" i="13" s="1"/>
  <c r="F1178" i="13"/>
  <c r="G1178" i="13" s="1"/>
  <c r="H1178" i="13" s="1"/>
  <c r="F1177" i="13"/>
  <c r="G1177" i="13" s="1"/>
  <c r="H1177" i="13" s="1"/>
  <c r="F1176" i="13"/>
  <c r="G1176" i="13" s="1"/>
  <c r="H1176" i="13" s="1"/>
  <c r="F1175" i="13"/>
  <c r="G1175" i="13" s="1"/>
  <c r="H1175" i="13" s="1"/>
  <c r="F1174" i="13"/>
  <c r="G1174" i="13" s="1"/>
  <c r="H1174" i="13" s="1"/>
  <c r="F1173" i="13"/>
  <c r="G1173" i="13" s="1"/>
  <c r="H1173" i="13" s="1"/>
  <c r="F1172" i="13"/>
  <c r="G1172" i="13" s="1"/>
  <c r="H1172" i="13" s="1"/>
  <c r="F1171" i="13"/>
  <c r="G1171" i="13" s="1"/>
  <c r="H1171" i="13" s="1"/>
  <c r="F1170" i="13"/>
  <c r="G1170" i="13" s="1"/>
  <c r="H1170" i="13" s="1"/>
  <c r="F1169" i="13"/>
  <c r="G1169" i="13" s="1"/>
  <c r="H1169" i="13" s="1"/>
  <c r="F1168" i="13"/>
  <c r="G1168" i="13" s="1"/>
  <c r="H1168" i="13" s="1"/>
  <c r="F1167" i="13"/>
  <c r="G1167" i="13" s="1"/>
  <c r="H1167" i="13" s="1"/>
  <c r="F1166" i="13"/>
  <c r="G1166" i="13" s="1"/>
  <c r="H1166" i="13" s="1"/>
  <c r="F1165" i="13"/>
  <c r="G1165" i="13" s="1"/>
  <c r="H1165" i="13" s="1"/>
  <c r="F1164" i="13"/>
  <c r="G1164" i="13" s="1"/>
  <c r="H1164" i="13" s="1"/>
  <c r="F1163" i="13"/>
  <c r="G1163" i="13" s="1"/>
  <c r="H1163" i="13" s="1"/>
  <c r="F1162" i="13"/>
  <c r="G1162" i="13" s="1"/>
  <c r="H1162" i="13" s="1"/>
  <c r="F1161" i="13"/>
  <c r="G1161" i="13" s="1"/>
  <c r="H1161" i="13" s="1"/>
  <c r="F1160" i="13"/>
  <c r="G1160" i="13" s="1"/>
  <c r="H1160" i="13" s="1"/>
  <c r="F1159" i="13"/>
  <c r="G1159" i="13" s="1"/>
  <c r="H1159" i="13" s="1"/>
  <c r="F1158" i="13"/>
  <c r="G1158" i="13" s="1"/>
  <c r="H1158" i="13" s="1"/>
  <c r="F1157" i="13"/>
  <c r="G1157" i="13" s="1"/>
  <c r="H1157" i="13" s="1"/>
  <c r="F1156" i="13"/>
  <c r="G1156" i="13" s="1"/>
  <c r="H1156" i="13" s="1"/>
  <c r="F1155" i="13"/>
  <c r="G1155" i="13" s="1"/>
  <c r="H1155" i="13" s="1"/>
  <c r="F1154" i="13"/>
  <c r="G1154" i="13" s="1"/>
  <c r="H1154" i="13" s="1"/>
  <c r="F1153" i="13"/>
  <c r="G1153" i="13" s="1"/>
  <c r="H1153" i="13" s="1"/>
  <c r="F1152" i="13"/>
  <c r="G1152" i="13" s="1"/>
  <c r="H1152" i="13" s="1"/>
  <c r="F1151" i="13"/>
  <c r="G1151" i="13" s="1"/>
  <c r="H1151" i="13" s="1"/>
  <c r="F1150" i="13"/>
  <c r="G1150" i="13" s="1"/>
  <c r="H1150" i="13" s="1"/>
  <c r="F1149" i="13"/>
  <c r="G1149" i="13" s="1"/>
  <c r="H1149" i="13" s="1"/>
  <c r="F1148" i="13"/>
  <c r="G1148" i="13" s="1"/>
  <c r="H1148" i="13" s="1"/>
  <c r="F1147" i="13"/>
  <c r="G1147" i="13" s="1"/>
  <c r="H1147" i="13" s="1"/>
  <c r="F1146" i="13"/>
  <c r="G1146" i="13" s="1"/>
  <c r="H1146" i="13" s="1"/>
  <c r="F1145" i="13"/>
  <c r="G1145" i="13" s="1"/>
  <c r="H1145" i="13" s="1"/>
  <c r="F1144" i="13"/>
  <c r="G1144" i="13" s="1"/>
  <c r="H1144" i="13" s="1"/>
  <c r="F1143" i="13"/>
  <c r="G1143" i="13" s="1"/>
  <c r="H1143" i="13" s="1"/>
  <c r="F1142" i="13"/>
  <c r="G1142" i="13" s="1"/>
  <c r="H1142" i="13" s="1"/>
  <c r="F1141" i="13"/>
  <c r="G1141" i="13" s="1"/>
  <c r="H1141" i="13" s="1"/>
  <c r="F1140" i="13"/>
  <c r="G1140" i="13" s="1"/>
  <c r="H1140" i="13" s="1"/>
  <c r="F1139" i="13"/>
  <c r="G1139" i="13" s="1"/>
  <c r="H1139" i="13" s="1"/>
  <c r="F1138" i="13"/>
  <c r="G1138" i="13" s="1"/>
  <c r="H1138" i="13" s="1"/>
  <c r="F1137" i="13"/>
  <c r="G1137" i="13" s="1"/>
  <c r="H1137" i="13" s="1"/>
  <c r="F1136" i="13"/>
  <c r="G1136" i="13" s="1"/>
  <c r="H1136" i="13" s="1"/>
  <c r="F1135" i="13"/>
  <c r="G1135" i="13" s="1"/>
  <c r="H1135" i="13" s="1"/>
  <c r="F1134" i="13"/>
  <c r="G1134" i="13" s="1"/>
  <c r="H1134" i="13" s="1"/>
  <c r="F1133" i="13"/>
  <c r="G1133" i="13" s="1"/>
  <c r="H1133" i="13" s="1"/>
  <c r="F1132" i="13"/>
  <c r="G1132" i="13" s="1"/>
  <c r="H1132" i="13" s="1"/>
  <c r="F1131" i="13"/>
  <c r="G1131" i="13" s="1"/>
  <c r="H1131" i="13" s="1"/>
  <c r="F1130" i="13"/>
  <c r="G1130" i="13" s="1"/>
  <c r="H1130" i="13" s="1"/>
  <c r="F1129" i="13"/>
  <c r="G1129" i="13" s="1"/>
  <c r="H1129" i="13" s="1"/>
  <c r="F1128" i="13"/>
  <c r="G1128" i="13" s="1"/>
  <c r="H1128" i="13" s="1"/>
  <c r="F1127" i="13"/>
  <c r="G1127" i="13" s="1"/>
  <c r="H1127" i="13" s="1"/>
  <c r="F1126" i="13"/>
  <c r="G1126" i="13" s="1"/>
  <c r="H1126" i="13" s="1"/>
  <c r="F1125" i="13"/>
  <c r="G1125" i="13" s="1"/>
  <c r="H1125" i="13" s="1"/>
  <c r="F1124" i="13"/>
  <c r="G1124" i="13" s="1"/>
  <c r="H1124" i="13" s="1"/>
  <c r="F1123" i="13"/>
  <c r="G1123" i="13" s="1"/>
  <c r="H1123" i="13" s="1"/>
  <c r="F1122" i="13"/>
  <c r="G1122" i="13" s="1"/>
  <c r="H1122" i="13" s="1"/>
  <c r="F1121" i="13"/>
  <c r="G1121" i="13" s="1"/>
  <c r="H1121" i="13" s="1"/>
  <c r="F1120" i="13"/>
  <c r="G1120" i="13" s="1"/>
  <c r="H1120" i="13" s="1"/>
  <c r="F1119" i="13"/>
  <c r="G1119" i="13" s="1"/>
  <c r="H1119" i="13" s="1"/>
  <c r="F1118" i="13"/>
  <c r="G1118" i="13" s="1"/>
  <c r="H1118" i="13" s="1"/>
  <c r="F1117" i="13"/>
  <c r="G1117" i="13" s="1"/>
  <c r="H1117" i="13" s="1"/>
  <c r="F1116" i="13"/>
  <c r="G1116" i="13" s="1"/>
  <c r="H1116" i="13" s="1"/>
  <c r="F1115" i="13"/>
  <c r="G1115" i="13" s="1"/>
  <c r="H1115" i="13" s="1"/>
  <c r="F1114" i="13"/>
  <c r="G1114" i="13" s="1"/>
  <c r="H1114" i="13" s="1"/>
  <c r="F1113" i="13"/>
  <c r="G1113" i="13" s="1"/>
  <c r="H1113" i="13" s="1"/>
  <c r="F1112" i="13"/>
  <c r="G1112" i="13" s="1"/>
  <c r="H1112" i="13" s="1"/>
  <c r="F1111" i="13"/>
  <c r="G1111" i="13" s="1"/>
  <c r="H1111" i="13" s="1"/>
  <c r="F1110" i="13"/>
  <c r="G1110" i="13" s="1"/>
  <c r="H1110" i="13" s="1"/>
  <c r="F1109" i="13"/>
  <c r="G1109" i="13" s="1"/>
  <c r="H1109" i="13" s="1"/>
  <c r="F1108" i="13"/>
  <c r="G1108" i="13" s="1"/>
  <c r="H1108" i="13" s="1"/>
  <c r="F1107" i="13"/>
  <c r="G1107" i="13" s="1"/>
  <c r="H1107" i="13" s="1"/>
  <c r="F1106" i="13"/>
  <c r="G1106" i="13" s="1"/>
  <c r="H1106" i="13" s="1"/>
  <c r="F1105" i="13"/>
  <c r="G1105" i="13" s="1"/>
  <c r="H1105" i="13" s="1"/>
  <c r="F1104" i="13"/>
  <c r="G1104" i="13" s="1"/>
  <c r="H1104" i="13" s="1"/>
  <c r="F1103" i="13"/>
  <c r="G1103" i="13" s="1"/>
  <c r="H1103" i="13" s="1"/>
  <c r="F1102" i="13"/>
  <c r="G1102" i="13" s="1"/>
  <c r="H1102" i="13" s="1"/>
  <c r="F1101" i="13"/>
  <c r="G1101" i="13" s="1"/>
  <c r="H1101" i="13" s="1"/>
  <c r="F1100" i="13"/>
  <c r="G1100" i="13" s="1"/>
  <c r="H1100" i="13" s="1"/>
  <c r="F1099" i="13"/>
  <c r="G1099" i="13" s="1"/>
  <c r="H1099" i="13" s="1"/>
  <c r="F1098" i="13"/>
  <c r="G1098" i="13" s="1"/>
  <c r="H1098" i="13" s="1"/>
  <c r="F1097" i="13"/>
  <c r="G1097" i="13" s="1"/>
  <c r="H1097" i="13" s="1"/>
  <c r="F1096" i="13"/>
  <c r="G1096" i="13" s="1"/>
  <c r="H1096" i="13" s="1"/>
  <c r="F1095" i="13"/>
  <c r="G1095" i="13" s="1"/>
  <c r="H1095" i="13" s="1"/>
  <c r="F1094" i="13"/>
  <c r="G1094" i="13" s="1"/>
  <c r="H1094" i="13" s="1"/>
  <c r="F1093" i="13"/>
  <c r="G1093" i="13" s="1"/>
  <c r="H1093" i="13" s="1"/>
  <c r="F1092" i="13"/>
  <c r="G1092" i="13" s="1"/>
  <c r="H1092" i="13" s="1"/>
  <c r="F1091" i="13"/>
  <c r="G1091" i="13" s="1"/>
  <c r="H1091" i="13" s="1"/>
  <c r="F1090" i="13"/>
  <c r="G1090" i="13" s="1"/>
  <c r="H1090" i="13" s="1"/>
  <c r="F1089" i="13"/>
  <c r="G1089" i="13" s="1"/>
  <c r="H1089" i="13" s="1"/>
  <c r="F1088" i="13"/>
  <c r="G1088" i="13" s="1"/>
  <c r="H1088" i="13" s="1"/>
  <c r="F1087" i="13"/>
  <c r="G1087" i="13" s="1"/>
  <c r="H1087" i="13" s="1"/>
  <c r="F1086" i="13"/>
  <c r="G1086" i="13" s="1"/>
  <c r="H1086" i="13" s="1"/>
  <c r="F1085" i="13"/>
  <c r="G1085" i="13" s="1"/>
  <c r="H1085" i="13" s="1"/>
  <c r="F1084" i="13"/>
  <c r="G1084" i="13" s="1"/>
  <c r="H1084" i="13" s="1"/>
  <c r="F1083" i="13"/>
  <c r="G1083" i="13" s="1"/>
  <c r="H1083" i="13" s="1"/>
  <c r="F1082" i="13"/>
  <c r="G1082" i="13" s="1"/>
  <c r="H1082" i="13" s="1"/>
  <c r="F1081" i="13"/>
  <c r="G1081" i="13" s="1"/>
  <c r="H1081" i="13" s="1"/>
  <c r="F1080" i="13"/>
  <c r="G1080" i="13" s="1"/>
  <c r="H1080" i="13" s="1"/>
  <c r="F1079" i="13"/>
  <c r="G1079" i="13" s="1"/>
  <c r="H1079" i="13" s="1"/>
  <c r="F1078" i="13"/>
  <c r="G1078" i="13" s="1"/>
  <c r="H1078" i="13" s="1"/>
  <c r="F1077" i="13"/>
  <c r="G1077" i="13" s="1"/>
  <c r="H1077" i="13" s="1"/>
  <c r="F1076" i="13"/>
  <c r="G1076" i="13" s="1"/>
  <c r="H1076" i="13" s="1"/>
  <c r="F1075" i="13"/>
  <c r="G1075" i="13" s="1"/>
  <c r="H1075" i="13" s="1"/>
  <c r="F1074" i="13"/>
  <c r="G1074" i="13" s="1"/>
  <c r="H1074" i="13" s="1"/>
  <c r="F1073" i="13"/>
  <c r="G1073" i="13" s="1"/>
  <c r="H1073" i="13" s="1"/>
  <c r="F1072" i="13"/>
  <c r="G1072" i="13" s="1"/>
  <c r="H1072" i="13" s="1"/>
  <c r="F1071" i="13"/>
  <c r="G1071" i="13" s="1"/>
  <c r="H1071" i="13" s="1"/>
  <c r="F1070" i="13"/>
  <c r="G1070" i="13" s="1"/>
  <c r="H1070" i="13" s="1"/>
  <c r="F1069" i="13"/>
  <c r="G1069" i="13" s="1"/>
  <c r="H1069" i="13" s="1"/>
  <c r="F1068" i="13"/>
  <c r="G1068" i="13" s="1"/>
  <c r="H1068" i="13" s="1"/>
  <c r="F1067" i="13"/>
  <c r="G1067" i="13" s="1"/>
  <c r="H1067" i="13" s="1"/>
  <c r="F1066" i="13"/>
  <c r="G1066" i="13" s="1"/>
  <c r="H1066" i="13" s="1"/>
  <c r="F1065" i="13"/>
  <c r="G1065" i="13" s="1"/>
  <c r="H1065" i="13" s="1"/>
  <c r="F1064" i="13"/>
  <c r="G1064" i="13" s="1"/>
  <c r="H1064" i="13" s="1"/>
  <c r="F1063" i="13"/>
  <c r="G1063" i="13" s="1"/>
  <c r="H1063" i="13" s="1"/>
  <c r="F1062" i="13"/>
  <c r="G1062" i="13" s="1"/>
  <c r="H1062" i="13" s="1"/>
  <c r="F1061" i="13"/>
  <c r="G1061" i="13" s="1"/>
  <c r="H1061" i="13" s="1"/>
  <c r="F1060" i="13"/>
  <c r="G1060" i="13" s="1"/>
  <c r="H1060" i="13" s="1"/>
  <c r="F1059" i="13"/>
  <c r="G1059" i="13" s="1"/>
  <c r="H1059" i="13" s="1"/>
  <c r="F1058" i="13"/>
  <c r="G1058" i="13" s="1"/>
  <c r="H1058" i="13" s="1"/>
  <c r="F1057" i="13"/>
  <c r="G1057" i="13" s="1"/>
  <c r="H1057" i="13" s="1"/>
  <c r="F1056" i="13"/>
  <c r="G1056" i="13" s="1"/>
  <c r="H1056" i="13" s="1"/>
  <c r="F1055" i="13"/>
  <c r="G1055" i="13" s="1"/>
  <c r="H1055" i="13" s="1"/>
  <c r="F1054" i="13"/>
  <c r="G1054" i="13" s="1"/>
  <c r="H1054" i="13" s="1"/>
  <c r="F1053" i="13"/>
  <c r="G1053" i="13" s="1"/>
  <c r="H1053" i="13" s="1"/>
  <c r="F1052" i="13"/>
  <c r="G1052" i="13" s="1"/>
  <c r="H1052" i="13" s="1"/>
  <c r="F1051" i="13"/>
  <c r="G1051" i="13" s="1"/>
  <c r="H1051" i="13" s="1"/>
  <c r="F1050" i="13"/>
  <c r="G1050" i="13" s="1"/>
  <c r="H1050" i="13" s="1"/>
  <c r="F1049" i="13"/>
  <c r="G1049" i="13" s="1"/>
  <c r="H1049" i="13" s="1"/>
  <c r="F1048" i="13"/>
  <c r="G1048" i="13" s="1"/>
  <c r="H1048" i="13" s="1"/>
  <c r="F1047" i="13"/>
  <c r="G1047" i="13" s="1"/>
  <c r="H1047" i="13" s="1"/>
  <c r="F1046" i="13"/>
  <c r="G1046" i="13" s="1"/>
  <c r="H1046" i="13" s="1"/>
  <c r="F1045" i="13"/>
  <c r="G1045" i="13" s="1"/>
  <c r="H1045" i="13" s="1"/>
  <c r="F1044" i="13"/>
  <c r="G1044" i="13" s="1"/>
  <c r="H1044" i="13" s="1"/>
  <c r="F1043" i="13"/>
  <c r="G1043" i="13" s="1"/>
  <c r="H1043" i="13" s="1"/>
  <c r="F1042" i="13"/>
  <c r="G1042" i="13" s="1"/>
  <c r="H1042" i="13" s="1"/>
  <c r="F1041" i="13"/>
  <c r="G1041" i="13" s="1"/>
  <c r="H1041" i="13" s="1"/>
  <c r="F1040" i="13"/>
  <c r="G1040" i="13" s="1"/>
  <c r="H1040" i="13" s="1"/>
  <c r="F1039" i="13"/>
  <c r="G1039" i="13" s="1"/>
  <c r="H1039" i="13" s="1"/>
  <c r="F1038" i="13"/>
  <c r="G1038" i="13" s="1"/>
  <c r="H1038" i="13" s="1"/>
  <c r="F1037" i="13"/>
  <c r="G1037" i="13" s="1"/>
  <c r="H1037" i="13" s="1"/>
  <c r="F1036" i="13"/>
  <c r="G1036" i="13" s="1"/>
  <c r="H1036" i="13" s="1"/>
  <c r="F1035" i="13"/>
  <c r="G1035" i="13" s="1"/>
  <c r="H1035" i="13" s="1"/>
  <c r="F1034" i="13"/>
  <c r="G1034" i="13" s="1"/>
  <c r="H1034" i="13" s="1"/>
  <c r="F1033" i="13"/>
  <c r="G1033" i="13" s="1"/>
  <c r="H1033" i="13" s="1"/>
  <c r="F1032" i="13"/>
  <c r="G1032" i="13" s="1"/>
  <c r="H1032" i="13" s="1"/>
  <c r="F1031" i="13"/>
  <c r="G1031" i="13" s="1"/>
  <c r="H1031" i="13" s="1"/>
  <c r="F1030" i="13"/>
  <c r="G1030" i="13" s="1"/>
  <c r="H1030" i="13" s="1"/>
  <c r="F1029" i="13"/>
  <c r="G1029" i="13" s="1"/>
  <c r="H1029" i="13" s="1"/>
  <c r="F1028" i="13"/>
  <c r="G1028" i="13" s="1"/>
  <c r="H1028" i="13" s="1"/>
  <c r="F1027" i="13"/>
  <c r="G1027" i="13" s="1"/>
  <c r="H1027" i="13" s="1"/>
  <c r="F1026" i="13"/>
  <c r="G1026" i="13" s="1"/>
  <c r="H1026" i="13" s="1"/>
  <c r="F1025" i="13"/>
  <c r="G1025" i="13" s="1"/>
  <c r="H1025" i="13" s="1"/>
  <c r="F1024" i="13"/>
  <c r="G1024" i="13" s="1"/>
  <c r="H1024" i="13" s="1"/>
  <c r="F1023" i="13"/>
  <c r="G1023" i="13" s="1"/>
  <c r="H1023" i="13" s="1"/>
  <c r="F1022" i="13"/>
  <c r="G1022" i="13" s="1"/>
  <c r="H1022" i="13" s="1"/>
  <c r="F1021" i="13"/>
  <c r="G1021" i="13" s="1"/>
  <c r="H1021" i="13" s="1"/>
  <c r="F1020" i="13"/>
  <c r="G1020" i="13" s="1"/>
  <c r="H1020" i="13" s="1"/>
  <c r="F1019" i="13"/>
  <c r="G1019" i="13" s="1"/>
  <c r="H1019" i="13" s="1"/>
  <c r="F1018" i="13"/>
  <c r="G1018" i="13" s="1"/>
  <c r="H1018" i="13" s="1"/>
  <c r="F1017" i="13"/>
  <c r="G1017" i="13" s="1"/>
  <c r="H1017" i="13" s="1"/>
  <c r="F1016" i="13"/>
  <c r="G1016" i="13" s="1"/>
  <c r="H1016" i="13" s="1"/>
  <c r="F1015" i="13"/>
  <c r="G1015" i="13" s="1"/>
  <c r="H1015" i="13" s="1"/>
  <c r="F1014" i="13"/>
  <c r="G1014" i="13" s="1"/>
  <c r="H1014" i="13" s="1"/>
  <c r="F1013" i="13"/>
  <c r="G1013" i="13" s="1"/>
  <c r="H1013" i="13" s="1"/>
  <c r="F1012" i="13"/>
  <c r="G1012" i="13" s="1"/>
  <c r="H1012" i="13" s="1"/>
  <c r="F1011" i="13"/>
  <c r="G1011" i="13" s="1"/>
  <c r="H1011" i="13" s="1"/>
  <c r="F1010" i="13"/>
  <c r="G1010" i="13" s="1"/>
  <c r="H1010" i="13" s="1"/>
  <c r="F1009" i="13"/>
  <c r="G1009" i="13" s="1"/>
  <c r="H1009" i="13" s="1"/>
  <c r="F1008" i="13"/>
  <c r="G1008" i="13" s="1"/>
  <c r="H1008" i="13" s="1"/>
  <c r="F1007" i="13"/>
  <c r="G1007" i="13" s="1"/>
  <c r="H1007" i="13" s="1"/>
  <c r="F1006" i="13"/>
  <c r="G1006" i="13" s="1"/>
  <c r="H1006" i="13" s="1"/>
  <c r="F1005" i="13"/>
  <c r="G1005" i="13" s="1"/>
  <c r="H1005" i="13" s="1"/>
  <c r="F1004" i="13"/>
  <c r="G1004" i="13" s="1"/>
  <c r="H1004" i="13" s="1"/>
  <c r="F1003" i="13"/>
  <c r="G1003" i="13" s="1"/>
  <c r="H1003" i="13" s="1"/>
  <c r="F1002" i="13"/>
  <c r="G1002" i="13" s="1"/>
  <c r="H1002" i="13" s="1"/>
  <c r="F1001" i="13"/>
  <c r="G1001" i="13" s="1"/>
  <c r="H1001" i="13" s="1"/>
  <c r="F1000" i="13"/>
  <c r="G1000" i="13" s="1"/>
  <c r="H1000" i="13" s="1"/>
  <c r="F999" i="13"/>
  <c r="G999" i="13" s="1"/>
  <c r="H999" i="13" s="1"/>
  <c r="F998" i="13"/>
  <c r="G998" i="13" s="1"/>
  <c r="H998" i="13" s="1"/>
  <c r="F997" i="13"/>
  <c r="G997" i="13" s="1"/>
  <c r="H997" i="13" s="1"/>
  <c r="F996" i="13"/>
  <c r="G996" i="13" s="1"/>
  <c r="H996" i="13" s="1"/>
  <c r="F995" i="13"/>
  <c r="G995" i="13" s="1"/>
  <c r="H995" i="13" s="1"/>
  <c r="F994" i="13"/>
  <c r="G994" i="13" s="1"/>
  <c r="H994" i="13" s="1"/>
  <c r="F993" i="13"/>
  <c r="G993" i="13" s="1"/>
  <c r="H993" i="13" s="1"/>
  <c r="F992" i="13"/>
  <c r="G992" i="13" s="1"/>
  <c r="H992" i="13" s="1"/>
  <c r="F991" i="13"/>
  <c r="G991" i="13" s="1"/>
  <c r="H991" i="13" s="1"/>
  <c r="F990" i="13"/>
  <c r="G990" i="13" s="1"/>
  <c r="H990" i="13" s="1"/>
  <c r="F989" i="13"/>
  <c r="G989" i="13" s="1"/>
  <c r="H989" i="13" s="1"/>
  <c r="F988" i="13"/>
  <c r="G988" i="13" s="1"/>
  <c r="H988" i="13" s="1"/>
  <c r="F987" i="13"/>
  <c r="G987" i="13" s="1"/>
  <c r="H987" i="13" s="1"/>
  <c r="F986" i="13"/>
  <c r="G986" i="13" s="1"/>
  <c r="H986" i="13" s="1"/>
  <c r="F985" i="13"/>
  <c r="G985" i="13" s="1"/>
  <c r="H985" i="13" s="1"/>
  <c r="F984" i="13"/>
  <c r="G984" i="13" s="1"/>
  <c r="H984" i="13" s="1"/>
  <c r="F983" i="13"/>
  <c r="G983" i="13" s="1"/>
  <c r="H983" i="13" s="1"/>
  <c r="F982" i="13"/>
  <c r="G982" i="13" s="1"/>
  <c r="H982" i="13" s="1"/>
  <c r="F981" i="13"/>
  <c r="G981" i="13" s="1"/>
  <c r="H981" i="13" s="1"/>
  <c r="F980" i="13"/>
  <c r="G980" i="13" s="1"/>
  <c r="H980" i="13" s="1"/>
  <c r="F979" i="13"/>
  <c r="G979" i="13" s="1"/>
  <c r="H979" i="13" s="1"/>
  <c r="F978" i="13"/>
  <c r="G978" i="13" s="1"/>
  <c r="H978" i="13" s="1"/>
  <c r="F977" i="13"/>
  <c r="G977" i="13" s="1"/>
  <c r="H977" i="13" s="1"/>
  <c r="F976" i="13"/>
  <c r="G976" i="13" s="1"/>
  <c r="H976" i="13" s="1"/>
  <c r="F975" i="13"/>
  <c r="G975" i="13" s="1"/>
  <c r="H975" i="13" s="1"/>
  <c r="F974" i="13"/>
  <c r="G974" i="13" s="1"/>
  <c r="H974" i="13" s="1"/>
  <c r="F973" i="13"/>
  <c r="G973" i="13" s="1"/>
  <c r="H973" i="13" s="1"/>
  <c r="F972" i="13"/>
  <c r="G972" i="13" s="1"/>
  <c r="H972" i="13" s="1"/>
  <c r="F971" i="13"/>
  <c r="G971" i="13" s="1"/>
  <c r="H971" i="13" s="1"/>
  <c r="F970" i="13"/>
  <c r="G970" i="13" s="1"/>
  <c r="H970" i="13" s="1"/>
  <c r="F969" i="13"/>
  <c r="G969" i="13" s="1"/>
  <c r="H969" i="13" s="1"/>
  <c r="F968" i="13"/>
  <c r="G968" i="13" s="1"/>
  <c r="H968" i="13" s="1"/>
  <c r="F967" i="13"/>
  <c r="G967" i="13" s="1"/>
  <c r="H967" i="13" s="1"/>
  <c r="F966" i="13"/>
  <c r="G966" i="13" s="1"/>
  <c r="H966" i="13" s="1"/>
  <c r="F965" i="13"/>
  <c r="G965" i="13" s="1"/>
  <c r="H965" i="13" s="1"/>
  <c r="F964" i="13"/>
  <c r="G964" i="13" s="1"/>
  <c r="H964" i="13" s="1"/>
  <c r="F963" i="13"/>
  <c r="G963" i="13" s="1"/>
  <c r="H963" i="13" s="1"/>
  <c r="F962" i="13"/>
  <c r="G962" i="13" s="1"/>
  <c r="H962" i="13" s="1"/>
  <c r="F961" i="13"/>
  <c r="G961" i="13" s="1"/>
  <c r="H961" i="13" s="1"/>
  <c r="F960" i="13"/>
  <c r="G960" i="13" s="1"/>
  <c r="H960" i="13" s="1"/>
  <c r="F959" i="13"/>
  <c r="G959" i="13" s="1"/>
  <c r="H959" i="13" s="1"/>
  <c r="F958" i="13"/>
  <c r="G958" i="13" s="1"/>
  <c r="H958" i="13" s="1"/>
  <c r="F957" i="13"/>
  <c r="G957" i="13" s="1"/>
  <c r="H957" i="13" s="1"/>
  <c r="F956" i="13"/>
  <c r="G956" i="13" s="1"/>
  <c r="H956" i="13" s="1"/>
  <c r="F955" i="13"/>
  <c r="G955" i="13" s="1"/>
  <c r="H955" i="13" s="1"/>
  <c r="F954" i="13"/>
  <c r="G954" i="13" s="1"/>
  <c r="H954" i="13" s="1"/>
  <c r="F953" i="13"/>
  <c r="G953" i="13" s="1"/>
  <c r="H953" i="13" s="1"/>
  <c r="F952" i="13"/>
  <c r="G952" i="13" s="1"/>
  <c r="H952" i="13" s="1"/>
  <c r="F951" i="13"/>
  <c r="G951" i="13" s="1"/>
  <c r="H951" i="13" s="1"/>
  <c r="F950" i="13"/>
  <c r="G950" i="13" s="1"/>
  <c r="H950" i="13" s="1"/>
  <c r="F949" i="13"/>
  <c r="G949" i="13" s="1"/>
  <c r="H949" i="13" s="1"/>
  <c r="F948" i="13"/>
  <c r="G948" i="13" s="1"/>
  <c r="H948" i="13" s="1"/>
  <c r="F947" i="13"/>
  <c r="G947" i="13" s="1"/>
  <c r="H947" i="13" s="1"/>
  <c r="F946" i="13"/>
  <c r="G946" i="13" s="1"/>
  <c r="H946" i="13" s="1"/>
  <c r="F945" i="13"/>
  <c r="G945" i="13" s="1"/>
  <c r="H945" i="13" s="1"/>
  <c r="F944" i="13"/>
  <c r="G944" i="13" s="1"/>
  <c r="H944" i="13" s="1"/>
  <c r="F943" i="13"/>
  <c r="G943" i="13" s="1"/>
  <c r="H943" i="13" s="1"/>
  <c r="F942" i="13"/>
  <c r="G942" i="13" s="1"/>
  <c r="H942" i="13" s="1"/>
  <c r="F941" i="13"/>
  <c r="G941" i="13" s="1"/>
  <c r="H941" i="13" s="1"/>
  <c r="F940" i="13"/>
  <c r="G940" i="13" s="1"/>
  <c r="H940" i="13" s="1"/>
  <c r="F939" i="13"/>
  <c r="G939" i="13" s="1"/>
  <c r="H939" i="13" s="1"/>
  <c r="F938" i="13"/>
  <c r="G938" i="13" s="1"/>
  <c r="H938" i="13" s="1"/>
  <c r="F937" i="13"/>
  <c r="G937" i="13" s="1"/>
  <c r="H937" i="13" s="1"/>
  <c r="F936" i="13"/>
  <c r="G936" i="13" s="1"/>
  <c r="H936" i="13" s="1"/>
  <c r="F935" i="13"/>
  <c r="G935" i="13" s="1"/>
  <c r="H935" i="13" s="1"/>
  <c r="F934" i="13"/>
  <c r="G934" i="13" s="1"/>
  <c r="H934" i="13" s="1"/>
  <c r="F933" i="13"/>
  <c r="G933" i="13" s="1"/>
  <c r="H933" i="13" s="1"/>
  <c r="F932" i="13"/>
  <c r="G932" i="13" s="1"/>
  <c r="H932" i="13" s="1"/>
  <c r="F931" i="13"/>
  <c r="G931" i="13" s="1"/>
  <c r="H931" i="13" s="1"/>
  <c r="F930" i="13"/>
  <c r="G930" i="13" s="1"/>
  <c r="H930" i="13" s="1"/>
  <c r="F929" i="13"/>
  <c r="G929" i="13" s="1"/>
  <c r="H929" i="13" s="1"/>
  <c r="F928" i="13"/>
  <c r="G928" i="13" s="1"/>
  <c r="H928" i="13" s="1"/>
  <c r="F927" i="13"/>
  <c r="G927" i="13" s="1"/>
  <c r="H927" i="13" s="1"/>
  <c r="F926" i="13"/>
  <c r="G926" i="13" s="1"/>
  <c r="H926" i="13" s="1"/>
  <c r="F925" i="13"/>
  <c r="G925" i="13" s="1"/>
  <c r="H925" i="13" s="1"/>
  <c r="F924" i="13"/>
  <c r="G924" i="13" s="1"/>
  <c r="H924" i="13" s="1"/>
  <c r="F923" i="13"/>
  <c r="G923" i="13" s="1"/>
  <c r="H923" i="13" s="1"/>
  <c r="F922" i="13"/>
  <c r="G922" i="13" s="1"/>
  <c r="H922" i="13" s="1"/>
  <c r="F921" i="13"/>
  <c r="G921" i="13" s="1"/>
  <c r="H921" i="13" s="1"/>
  <c r="F920" i="13"/>
  <c r="G920" i="13" s="1"/>
  <c r="H920" i="13" s="1"/>
  <c r="F919" i="13"/>
  <c r="G919" i="13" s="1"/>
  <c r="H919" i="13" s="1"/>
  <c r="F918" i="13"/>
  <c r="G918" i="13" s="1"/>
  <c r="H918" i="13" s="1"/>
  <c r="F917" i="13"/>
  <c r="G917" i="13" s="1"/>
  <c r="H917" i="13" s="1"/>
  <c r="F916" i="13"/>
  <c r="G916" i="13" s="1"/>
  <c r="H916" i="13" s="1"/>
  <c r="F915" i="13"/>
  <c r="G915" i="13" s="1"/>
  <c r="H915" i="13" s="1"/>
  <c r="F914" i="13"/>
  <c r="G914" i="13" s="1"/>
  <c r="H914" i="13" s="1"/>
  <c r="F913" i="13"/>
  <c r="G913" i="13" s="1"/>
  <c r="H913" i="13" s="1"/>
  <c r="F912" i="13"/>
  <c r="G912" i="13" s="1"/>
  <c r="H912" i="13" s="1"/>
  <c r="F911" i="13"/>
  <c r="G911" i="13" s="1"/>
  <c r="H911" i="13" s="1"/>
  <c r="F910" i="13"/>
  <c r="G910" i="13" s="1"/>
  <c r="H910" i="13" s="1"/>
  <c r="F909" i="13"/>
  <c r="G909" i="13" s="1"/>
  <c r="H909" i="13" s="1"/>
  <c r="F908" i="13"/>
  <c r="G908" i="13" s="1"/>
  <c r="H908" i="13" s="1"/>
  <c r="F907" i="13"/>
  <c r="G907" i="13" s="1"/>
  <c r="H907" i="13" s="1"/>
  <c r="F906" i="13"/>
  <c r="G906" i="13" s="1"/>
  <c r="H906" i="13" s="1"/>
  <c r="F905" i="13"/>
  <c r="G905" i="13" s="1"/>
  <c r="H905" i="13" s="1"/>
  <c r="F904" i="13"/>
  <c r="G904" i="13" s="1"/>
  <c r="H904" i="13" s="1"/>
  <c r="F903" i="13"/>
  <c r="G903" i="13" s="1"/>
  <c r="H903" i="13" s="1"/>
  <c r="F902" i="13"/>
  <c r="G902" i="13" s="1"/>
  <c r="H902" i="13" s="1"/>
  <c r="F901" i="13"/>
  <c r="G901" i="13" s="1"/>
  <c r="H901" i="13" s="1"/>
  <c r="F900" i="13"/>
  <c r="G900" i="13" s="1"/>
  <c r="H900" i="13" s="1"/>
  <c r="F899" i="13"/>
  <c r="G899" i="13" s="1"/>
  <c r="H899" i="13" s="1"/>
  <c r="F898" i="13"/>
  <c r="G898" i="13" s="1"/>
  <c r="H898" i="13" s="1"/>
  <c r="F897" i="13"/>
  <c r="G897" i="13" s="1"/>
  <c r="H897" i="13" s="1"/>
  <c r="F896" i="13"/>
  <c r="G896" i="13" s="1"/>
  <c r="H896" i="13" s="1"/>
  <c r="F895" i="13"/>
  <c r="G895" i="13" s="1"/>
  <c r="H895" i="13" s="1"/>
  <c r="F894" i="13"/>
  <c r="G894" i="13" s="1"/>
  <c r="H894" i="13" s="1"/>
  <c r="F893" i="13"/>
  <c r="G893" i="13" s="1"/>
  <c r="H893" i="13" s="1"/>
  <c r="F892" i="13"/>
  <c r="G892" i="13" s="1"/>
  <c r="H892" i="13" s="1"/>
  <c r="F891" i="13"/>
  <c r="G891" i="13" s="1"/>
  <c r="H891" i="13" s="1"/>
  <c r="F890" i="13"/>
  <c r="G890" i="13" s="1"/>
  <c r="H890" i="13" s="1"/>
  <c r="F889" i="13"/>
  <c r="G889" i="13" s="1"/>
  <c r="H889" i="13" s="1"/>
  <c r="F888" i="13"/>
  <c r="G888" i="13" s="1"/>
  <c r="H888" i="13" s="1"/>
  <c r="F887" i="13"/>
  <c r="G887" i="13" s="1"/>
  <c r="H887" i="13" s="1"/>
  <c r="F886" i="13"/>
  <c r="G886" i="13" s="1"/>
  <c r="H886" i="13" s="1"/>
  <c r="F885" i="13"/>
  <c r="G885" i="13" s="1"/>
  <c r="H885" i="13" s="1"/>
  <c r="F884" i="13"/>
  <c r="G884" i="13" s="1"/>
  <c r="H884" i="13" s="1"/>
  <c r="F883" i="13"/>
  <c r="G883" i="13" s="1"/>
  <c r="H883" i="13" s="1"/>
  <c r="F882" i="13"/>
  <c r="G882" i="13" s="1"/>
  <c r="H882" i="13" s="1"/>
  <c r="F881" i="13"/>
  <c r="G881" i="13" s="1"/>
  <c r="H881" i="13" s="1"/>
  <c r="F880" i="13"/>
  <c r="G880" i="13" s="1"/>
  <c r="H880" i="13" s="1"/>
  <c r="F879" i="13"/>
  <c r="G879" i="13" s="1"/>
  <c r="H879" i="13" s="1"/>
  <c r="F878" i="13"/>
  <c r="G878" i="13" s="1"/>
  <c r="H878" i="13" s="1"/>
  <c r="F877" i="13"/>
  <c r="G877" i="13" s="1"/>
  <c r="H877" i="13" s="1"/>
  <c r="F876" i="13"/>
  <c r="G876" i="13" s="1"/>
  <c r="H876" i="13" s="1"/>
  <c r="F875" i="13"/>
  <c r="G875" i="13" s="1"/>
  <c r="H875" i="13" s="1"/>
  <c r="F874" i="13"/>
  <c r="G874" i="13" s="1"/>
  <c r="H874" i="13" s="1"/>
  <c r="F873" i="13"/>
  <c r="G873" i="13" s="1"/>
  <c r="H873" i="13" s="1"/>
  <c r="F872" i="13"/>
  <c r="G872" i="13" s="1"/>
  <c r="H872" i="13" s="1"/>
  <c r="F871" i="13"/>
  <c r="G871" i="13" s="1"/>
  <c r="H871" i="13" s="1"/>
  <c r="F870" i="13"/>
  <c r="G870" i="13" s="1"/>
  <c r="H870" i="13" s="1"/>
  <c r="F869" i="13"/>
  <c r="G869" i="13" s="1"/>
  <c r="H869" i="13" s="1"/>
  <c r="F868" i="13"/>
  <c r="G868" i="13" s="1"/>
  <c r="H868" i="13" s="1"/>
  <c r="F867" i="13"/>
  <c r="G867" i="13" s="1"/>
  <c r="H867" i="13" s="1"/>
  <c r="F866" i="13"/>
  <c r="G866" i="13" s="1"/>
  <c r="H866" i="13" s="1"/>
  <c r="F865" i="13"/>
  <c r="G865" i="13" s="1"/>
  <c r="H865" i="13" s="1"/>
  <c r="F864" i="13"/>
  <c r="G864" i="13" s="1"/>
  <c r="H864" i="13" s="1"/>
  <c r="F863" i="13"/>
  <c r="G863" i="13" s="1"/>
  <c r="H863" i="13" s="1"/>
  <c r="F862" i="13"/>
  <c r="G862" i="13" s="1"/>
  <c r="H862" i="13" s="1"/>
  <c r="F861" i="13"/>
  <c r="G861" i="13" s="1"/>
  <c r="H861" i="13" s="1"/>
  <c r="F860" i="13"/>
  <c r="G860" i="13" s="1"/>
  <c r="H860" i="13" s="1"/>
  <c r="F859" i="13"/>
  <c r="G859" i="13" s="1"/>
  <c r="H859" i="13" s="1"/>
  <c r="F858" i="13"/>
  <c r="G858" i="13" s="1"/>
  <c r="H858" i="13" s="1"/>
  <c r="F857" i="13"/>
  <c r="G857" i="13" s="1"/>
  <c r="H857" i="13" s="1"/>
  <c r="F856" i="13"/>
  <c r="G856" i="13" s="1"/>
  <c r="H856" i="13" s="1"/>
  <c r="F855" i="13"/>
  <c r="G855" i="13" s="1"/>
  <c r="H855" i="13" s="1"/>
  <c r="F854" i="13"/>
  <c r="G854" i="13" s="1"/>
  <c r="H854" i="13" s="1"/>
  <c r="F853" i="13"/>
  <c r="G853" i="13" s="1"/>
  <c r="H853" i="13" s="1"/>
  <c r="F852" i="13"/>
  <c r="G852" i="13" s="1"/>
  <c r="H852" i="13" s="1"/>
  <c r="F851" i="13"/>
  <c r="G851" i="13" s="1"/>
  <c r="H851" i="13" s="1"/>
  <c r="F850" i="13"/>
  <c r="G850" i="13" s="1"/>
  <c r="H850" i="13" s="1"/>
  <c r="F849" i="13"/>
  <c r="G849" i="13" s="1"/>
  <c r="H849" i="13" s="1"/>
  <c r="F848" i="13"/>
  <c r="G848" i="13" s="1"/>
  <c r="H848" i="13" s="1"/>
  <c r="F847" i="13"/>
  <c r="G847" i="13" s="1"/>
  <c r="H847" i="13" s="1"/>
  <c r="F846" i="13"/>
  <c r="G846" i="13" s="1"/>
  <c r="H846" i="13" s="1"/>
  <c r="F845" i="13"/>
  <c r="G845" i="13" s="1"/>
  <c r="H845" i="13" s="1"/>
  <c r="F844" i="13"/>
  <c r="G844" i="13" s="1"/>
  <c r="H844" i="13" s="1"/>
  <c r="F843" i="13"/>
  <c r="G843" i="13" s="1"/>
  <c r="H843" i="13" s="1"/>
  <c r="F842" i="13"/>
  <c r="G842" i="13" s="1"/>
  <c r="H842" i="13" s="1"/>
  <c r="F841" i="13"/>
  <c r="G841" i="13" s="1"/>
  <c r="H841" i="13" s="1"/>
  <c r="F840" i="13"/>
  <c r="G840" i="13" s="1"/>
  <c r="H840" i="13" s="1"/>
  <c r="F839" i="13"/>
  <c r="G839" i="13" s="1"/>
  <c r="H839" i="13" s="1"/>
  <c r="F838" i="13"/>
  <c r="G838" i="13" s="1"/>
  <c r="H838" i="13" s="1"/>
  <c r="F837" i="13"/>
  <c r="G837" i="13" s="1"/>
  <c r="H837" i="13" s="1"/>
  <c r="F836" i="13"/>
  <c r="G836" i="13" s="1"/>
  <c r="H836" i="13" s="1"/>
  <c r="F835" i="13"/>
  <c r="G835" i="13" s="1"/>
  <c r="H835" i="13" s="1"/>
  <c r="F834" i="13"/>
  <c r="G834" i="13" s="1"/>
  <c r="H834" i="13" s="1"/>
  <c r="F833" i="13"/>
  <c r="G833" i="13" s="1"/>
  <c r="H833" i="13" s="1"/>
  <c r="F832" i="13"/>
  <c r="G832" i="13" s="1"/>
  <c r="H832" i="13" s="1"/>
  <c r="F831" i="13"/>
  <c r="G831" i="13" s="1"/>
  <c r="H831" i="13" s="1"/>
  <c r="F830" i="13"/>
  <c r="G830" i="13" s="1"/>
  <c r="H830" i="13" s="1"/>
  <c r="F829" i="13"/>
  <c r="G829" i="13" s="1"/>
  <c r="H829" i="13" s="1"/>
  <c r="F828" i="13"/>
  <c r="G828" i="13" s="1"/>
  <c r="H828" i="13" s="1"/>
  <c r="F827" i="13"/>
  <c r="G827" i="13" s="1"/>
  <c r="H827" i="13" s="1"/>
  <c r="F826" i="13"/>
  <c r="G826" i="13" s="1"/>
  <c r="H826" i="13" s="1"/>
  <c r="F825" i="13"/>
  <c r="G825" i="13" s="1"/>
  <c r="H825" i="13" s="1"/>
  <c r="F824" i="13"/>
  <c r="G824" i="13" s="1"/>
  <c r="H824" i="13" s="1"/>
  <c r="F823" i="13"/>
  <c r="G823" i="13" s="1"/>
  <c r="H823" i="13" s="1"/>
  <c r="F822" i="13"/>
  <c r="G822" i="13" s="1"/>
  <c r="H822" i="13" s="1"/>
  <c r="F821" i="13"/>
  <c r="G821" i="13" s="1"/>
  <c r="H821" i="13" s="1"/>
  <c r="F820" i="13"/>
  <c r="G820" i="13" s="1"/>
  <c r="H820" i="13" s="1"/>
  <c r="F819" i="13"/>
  <c r="G819" i="13" s="1"/>
  <c r="H819" i="13" s="1"/>
  <c r="F818" i="13"/>
  <c r="G818" i="13" s="1"/>
  <c r="H818" i="13" s="1"/>
  <c r="F817" i="13"/>
  <c r="G817" i="13" s="1"/>
  <c r="H817" i="13" s="1"/>
  <c r="F816" i="13"/>
  <c r="G816" i="13" s="1"/>
  <c r="H816" i="13" s="1"/>
  <c r="F815" i="13"/>
  <c r="G815" i="13" s="1"/>
  <c r="H815" i="13" s="1"/>
  <c r="F814" i="13"/>
  <c r="G814" i="13" s="1"/>
  <c r="H814" i="13" s="1"/>
  <c r="F813" i="13"/>
  <c r="G813" i="13" s="1"/>
  <c r="H813" i="13" s="1"/>
  <c r="F812" i="13"/>
  <c r="G812" i="13" s="1"/>
  <c r="H812" i="13" s="1"/>
  <c r="F811" i="13"/>
  <c r="G811" i="13" s="1"/>
  <c r="H811" i="13" s="1"/>
  <c r="F810" i="13"/>
  <c r="G810" i="13" s="1"/>
  <c r="H810" i="13" s="1"/>
  <c r="F809" i="13"/>
  <c r="G809" i="13" s="1"/>
  <c r="H809" i="13" s="1"/>
  <c r="F808" i="13"/>
  <c r="G808" i="13" s="1"/>
  <c r="H808" i="13" s="1"/>
  <c r="F807" i="13"/>
  <c r="G807" i="13" s="1"/>
  <c r="H807" i="13" s="1"/>
  <c r="F806" i="13"/>
  <c r="G806" i="13" s="1"/>
  <c r="H806" i="13" s="1"/>
  <c r="F805" i="13"/>
  <c r="G805" i="13" s="1"/>
  <c r="H805" i="13" s="1"/>
  <c r="F804" i="13"/>
  <c r="G804" i="13" s="1"/>
  <c r="H804" i="13" s="1"/>
  <c r="F803" i="13"/>
  <c r="G803" i="13" s="1"/>
  <c r="H803" i="13" s="1"/>
  <c r="F802" i="13"/>
  <c r="G802" i="13" s="1"/>
  <c r="H802" i="13" s="1"/>
  <c r="F801" i="13"/>
  <c r="G801" i="13" s="1"/>
  <c r="H801" i="13" s="1"/>
  <c r="F800" i="13"/>
  <c r="G800" i="13" s="1"/>
  <c r="H800" i="13" s="1"/>
  <c r="F799" i="13"/>
  <c r="G799" i="13" s="1"/>
  <c r="H799" i="13" s="1"/>
  <c r="F798" i="13"/>
  <c r="G798" i="13" s="1"/>
  <c r="H798" i="13" s="1"/>
  <c r="F797" i="13"/>
  <c r="G797" i="13" s="1"/>
  <c r="H797" i="13" s="1"/>
  <c r="F796" i="13"/>
  <c r="G796" i="13" s="1"/>
  <c r="H796" i="13" s="1"/>
  <c r="F795" i="13"/>
  <c r="G795" i="13" s="1"/>
  <c r="H795" i="13" s="1"/>
  <c r="F794" i="13"/>
  <c r="G794" i="13" s="1"/>
  <c r="H794" i="13" s="1"/>
  <c r="F793" i="13"/>
  <c r="G793" i="13" s="1"/>
  <c r="H793" i="13" s="1"/>
  <c r="F792" i="13"/>
  <c r="G792" i="13" s="1"/>
  <c r="H792" i="13" s="1"/>
  <c r="F791" i="13"/>
  <c r="G791" i="13" s="1"/>
  <c r="H791" i="13" s="1"/>
  <c r="F790" i="13"/>
  <c r="G790" i="13" s="1"/>
  <c r="H790" i="13" s="1"/>
  <c r="F789" i="13"/>
  <c r="G789" i="13" s="1"/>
  <c r="H789" i="13" s="1"/>
  <c r="F788" i="13"/>
  <c r="G788" i="13" s="1"/>
  <c r="H788" i="13" s="1"/>
  <c r="F787" i="13"/>
  <c r="G787" i="13" s="1"/>
  <c r="H787" i="13" s="1"/>
  <c r="F786" i="13"/>
  <c r="G786" i="13" s="1"/>
  <c r="H786" i="13" s="1"/>
  <c r="F785" i="13"/>
  <c r="G785" i="13" s="1"/>
  <c r="H785" i="13" s="1"/>
  <c r="F784" i="13"/>
  <c r="G784" i="13" s="1"/>
  <c r="H784" i="13" s="1"/>
  <c r="F783" i="13"/>
  <c r="G783" i="13" s="1"/>
  <c r="H783" i="13" s="1"/>
  <c r="F782" i="13"/>
  <c r="G782" i="13" s="1"/>
  <c r="H782" i="13" s="1"/>
  <c r="F781" i="13"/>
  <c r="G781" i="13" s="1"/>
  <c r="H781" i="13" s="1"/>
  <c r="F780" i="13"/>
  <c r="G780" i="13" s="1"/>
  <c r="H780" i="13" s="1"/>
  <c r="F779" i="13"/>
  <c r="G779" i="13" s="1"/>
  <c r="H779" i="13" s="1"/>
  <c r="F778" i="13"/>
  <c r="G778" i="13" s="1"/>
  <c r="H778" i="13" s="1"/>
  <c r="F777" i="13"/>
  <c r="G777" i="13" s="1"/>
  <c r="H777" i="13" s="1"/>
  <c r="F776" i="13"/>
  <c r="G776" i="13" s="1"/>
  <c r="H776" i="13" s="1"/>
  <c r="F775" i="13"/>
  <c r="G775" i="13" s="1"/>
  <c r="H775" i="13" s="1"/>
  <c r="F774" i="13"/>
  <c r="G774" i="13" s="1"/>
  <c r="H774" i="13" s="1"/>
  <c r="F773" i="13"/>
  <c r="G773" i="13" s="1"/>
  <c r="H773" i="13" s="1"/>
  <c r="F772" i="13"/>
  <c r="G772" i="13" s="1"/>
  <c r="H772" i="13" s="1"/>
  <c r="F771" i="13"/>
  <c r="G771" i="13" s="1"/>
  <c r="H771" i="13" s="1"/>
  <c r="F770" i="13"/>
  <c r="G770" i="13" s="1"/>
  <c r="H770" i="13" s="1"/>
  <c r="F769" i="13"/>
  <c r="G769" i="13" s="1"/>
  <c r="H769" i="13" s="1"/>
  <c r="F768" i="13"/>
  <c r="G768" i="13" s="1"/>
  <c r="H768" i="13" s="1"/>
  <c r="F767" i="13"/>
  <c r="G767" i="13" s="1"/>
  <c r="H767" i="13" s="1"/>
  <c r="F766" i="13"/>
  <c r="G766" i="13" s="1"/>
  <c r="H766" i="13" s="1"/>
  <c r="F765" i="13"/>
  <c r="G765" i="13" s="1"/>
  <c r="H765" i="13" s="1"/>
  <c r="F764" i="13"/>
  <c r="G764" i="13" s="1"/>
  <c r="H764" i="13" s="1"/>
  <c r="F763" i="13"/>
  <c r="G763" i="13" s="1"/>
  <c r="H763" i="13" s="1"/>
  <c r="F762" i="13"/>
  <c r="G762" i="13" s="1"/>
  <c r="H762" i="13" s="1"/>
  <c r="F761" i="13"/>
  <c r="G761" i="13" s="1"/>
  <c r="H761" i="13" s="1"/>
  <c r="F760" i="13"/>
  <c r="G760" i="13" s="1"/>
  <c r="H760" i="13" s="1"/>
  <c r="F759" i="13"/>
  <c r="G759" i="13" s="1"/>
  <c r="H759" i="13" s="1"/>
  <c r="F758" i="13"/>
  <c r="G758" i="13" s="1"/>
  <c r="H758" i="13" s="1"/>
  <c r="F757" i="13"/>
  <c r="G757" i="13" s="1"/>
  <c r="H757" i="13" s="1"/>
  <c r="F756" i="13"/>
  <c r="G756" i="13" s="1"/>
  <c r="H756" i="13" s="1"/>
  <c r="F755" i="13"/>
  <c r="G755" i="13" s="1"/>
  <c r="H755" i="13" s="1"/>
  <c r="F754" i="13"/>
  <c r="G754" i="13" s="1"/>
  <c r="H754" i="13" s="1"/>
  <c r="F753" i="13"/>
  <c r="G753" i="13" s="1"/>
  <c r="H753" i="13" s="1"/>
  <c r="F752" i="13"/>
  <c r="G752" i="13" s="1"/>
  <c r="H752" i="13" s="1"/>
  <c r="F751" i="13"/>
  <c r="G751" i="13" s="1"/>
  <c r="H751" i="13" s="1"/>
  <c r="F750" i="13"/>
  <c r="G750" i="13" s="1"/>
  <c r="H750" i="13" s="1"/>
  <c r="F749" i="13"/>
  <c r="G749" i="13" s="1"/>
  <c r="H749" i="13" s="1"/>
  <c r="F748" i="13"/>
  <c r="G748" i="13" s="1"/>
  <c r="H748" i="13" s="1"/>
  <c r="F747" i="13"/>
  <c r="G747" i="13" s="1"/>
  <c r="H747" i="13" s="1"/>
  <c r="F746" i="13"/>
  <c r="G746" i="13" s="1"/>
  <c r="H746" i="13" s="1"/>
  <c r="F745" i="13"/>
  <c r="G745" i="13" s="1"/>
  <c r="H745" i="13" s="1"/>
  <c r="F744" i="13"/>
  <c r="G744" i="13" s="1"/>
  <c r="H744" i="13" s="1"/>
  <c r="F743" i="13"/>
  <c r="G743" i="13" s="1"/>
  <c r="H743" i="13" s="1"/>
  <c r="F742" i="13"/>
  <c r="G742" i="13" s="1"/>
  <c r="H742" i="13" s="1"/>
  <c r="F741" i="13"/>
  <c r="G741" i="13" s="1"/>
  <c r="H741" i="13" s="1"/>
  <c r="F740" i="13"/>
  <c r="G740" i="13" s="1"/>
  <c r="H740" i="13" s="1"/>
  <c r="F739" i="13"/>
  <c r="G739" i="13" s="1"/>
  <c r="H739" i="13" s="1"/>
  <c r="F738" i="13"/>
  <c r="G738" i="13" s="1"/>
  <c r="H738" i="13" s="1"/>
  <c r="F737" i="13"/>
  <c r="G737" i="13" s="1"/>
  <c r="H737" i="13" s="1"/>
  <c r="F736" i="13"/>
  <c r="G736" i="13" s="1"/>
  <c r="H736" i="13" s="1"/>
  <c r="F735" i="13"/>
  <c r="G735" i="13" s="1"/>
  <c r="H735" i="13" s="1"/>
  <c r="F734" i="13"/>
  <c r="G734" i="13" s="1"/>
  <c r="H734" i="13" s="1"/>
  <c r="F733" i="13"/>
  <c r="G733" i="13" s="1"/>
  <c r="H733" i="13" s="1"/>
  <c r="F732" i="13"/>
  <c r="G732" i="13" s="1"/>
  <c r="H732" i="13" s="1"/>
  <c r="F731" i="13"/>
  <c r="G731" i="13" s="1"/>
  <c r="H731" i="13" s="1"/>
  <c r="F730" i="13"/>
  <c r="G730" i="13" s="1"/>
  <c r="H730" i="13" s="1"/>
  <c r="F729" i="13"/>
  <c r="G729" i="13" s="1"/>
  <c r="H729" i="13" s="1"/>
  <c r="F728" i="13"/>
  <c r="G728" i="13" s="1"/>
  <c r="H728" i="13" s="1"/>
  <c r="F727" i="13"/>
  <c r="G727" i="13" s="1"/>
  <c r="H727" i="13" s="1"/>
  <c r="F726" i="13"/>
  <c r="G726" i="13" s="1"/>
  <c r="H726" i="13" s="1"/>
  <c r="F725" i="13"/>
  <c r="G725" i="13" s="1"/>
  <c r="H725" i="13" s="1"/>
  <c r="F724" i="13"/>
  <c r="G724" i="13" s="1"/>
  <c r="H724" i="13" s="1"/>
  <c r="F723" i="13"/>
  <c r="G723" i="13" s="1"/>
  <c r="H723" i="13" s="1"/>
  <c r="F722" i="13"/>
  <c r="G722" i="13" s="1"/>
  <c r="H722" i="13" s="1"/>
  <c r="F721" i="13"/>
  <c r="G721" i="13" s="1"/>
  <c r="H721" i="13" s="1"/>
  <c r="F720" i="13"/>
  <c r="G720" i="13" s="1"/>
  <c r="H720" i="13" s="1"/>
  <c r="F719" i="13"/>
  <c r="G719" i="13" s="1"/>
  <c r="H719" i="13" s="1"/>
  <c r="F718" i="13"/>
  <c r="G718" i="13" s="1"/>
  <c r="H718" i="13" s="1"/>
  <c r="F717" i="13"/>
  <c r="G717" i="13" s="1"/>
  <c r="H717" i="13" s="1"/>
  <c r="F716" i="13"/>
  <c r="G716" i="13" s="1"/>
  <c r="H716" i="13" s="1"/>
  <c r="F715" i="13"/>
  <c r="G715" i="13" s="1"/>
  <c r="H715" i="13" s="1"/>
  <c r="F714" i="13"/>
  <c r="G714" i="13" s="1"/>
  <c r="H714" i="13" s="1"/>
  <c r="F713" i="13"/>
  <c r="G713" i="13" s="1"/>
  <c r="H713" i="13" s="1"/>
  <c r="F712" i="13"/>
  <c r="G712" i="13" s="1"/>
  <c r="H712" i="13" s="1"/>
  <c r="F711" i="13"/>
  <c r="G711" i="13" s="1"/>
  <c r="H711" i="13" s="1"/>
  <c r="F710" i="13"/>
  <c r="G710" i="13" s="1"/>
  <c r="H710" i="13" s="1"/>
  <c r="F709" i="13"/>
  <c r="G709" i="13" s="1"/>
  <c r="H709" i="13" s="1"/>
  <c r="F708" i="13"/>
  <c r="G708" i="13" s="1"/>
  <c r="H708" i="13" s="1"/>
  <c r="F707" i="13"/>
  <c r="G707" i="13" s="1"/>
  <c r="H707" i="13" s="1"/>
  <c r="F706" i="13"/>
  <c r="G706" i="13" s="1"/>
  <c r="H706" i="13" s="1"/>
  <c r="F705" i="13"/>
  <c r="G705" i="13" s="1"/>
  <c r="H705" i="13" s="1"/>
  <c r="F704" i="13"/>
  <c r="G704" i="13" s="1"/>
  <c r="H704" i="13" s="1"/>
  <c r="F703" i="13"/>
  <c r="G703" i="13" s="1"/>
  <c r="H703" i="13" s="1"/>
  <c r="F702" i="13"/>
  <c r="G702" i="13" s="1"/>
  <c r="H702" i="13" s="1"/>
  <c r="F701" i="13"/>
  <c r="G701" i="13" s="1"/>
  <c r="H701" i="13" s="1"/>
  <c r="F700" i="13"/>
  <c r="G700" i="13" s="1"/>
  <c r="H700" i="13" s="1"/>
  <c r="F699" i="13"/>
  <c r="G699" i="13" s="1"/>
  <c r="H699" i="13" s="1"/>
  <c r="F698" i="13"/>
  <c r="G698" i="13" s="1"/>
  <c r="H698" i="13" s="1"/>
  <c r="F697" i="13"/>
  <c r="G697" i="13" s="1"/>
  <c r="H697" i="13" s="1"/>
  <c r="F696" i="13"/>
  <c r="G696" i="13" s="1"/>
  <c r="H696" i="13" s="1"/>
  <c r="F695" i="13"/>
  <c r="G695" i="13" s="1"/>
  <c r="H695" i="13" s="1"/>
  <c r="F694" i="13"/>
  <c r="G694" i="13" s="1"/>
  <c r="H694" i="13" s="1"/>
  <c r="F693" i="13"/>
  <c r="G693" i="13" s="1"/>
  <c r="H693" i="13" s="1"/>
  <c r="F692" i="13"/>
  <c r="G692" i="13" s="1"/>
  <c r="H692" i="13" s="1"/>
  <c r="F691" i="13"/>
  <c r="G691" i="13" s="1"/>
  <c r="H691" i="13" s="1"/>
  <c r="F690" i="13"/>
  <c r="G690" i="13" s="1"/>
  <c r="H690" i="13" s="1"/>
  <c r="F689" i="13"/>
  <c r="G689" i="13" s="1"/>
  <c r="H689" i="13" s="1"/>
  <c r="F688" i="13"/>
  <c r="G688" i="13" s="1"/>
  <c r="H688" i="13" s="1"/>
  <c r="F687" i="13"/>
  <c r="G687" i="13" s="1"/>
  <c r="H687" i="13" s="1"/>
  <c r="F686" i="13"/>
  <c r="G686" i="13" s="1"/>
  <c r="H686" i="13" s="1"/>
  <c r="F685" i="13"/>
  <c r="G685" i="13" s="1"/>
  <c r="H685" i="13" s="1"/>
  <c r="F684" i="13"/>
  <c r="G684" i="13" s="1"/>
  <c r="H684" i="13" s="1"/>
  <c r="F683" i="13"/>
  <c r="G683" i="13" s="1"/>
  <c r="H683" i="13" s="1"/>
  <c r="F682" i="13"/>
  <c r="G682" i="13" s="1"/>
  <c r="H682" i="13" s="1"/>
  <c r="F681" i="13"/>
  <c r="G681" i="13" s="1"/>
  <c r="H681" i="13" s="1"/>
  <c r="F680" i="13"/>
  <c r="G680" i="13" s="1"/>
  <c r="H680" i="13" s="1"/>
  <c r="F679" i="13"/>
  <c r="G679" i="13" s="1"/>
  <c r="H679" i="13" s="1"/>
  <c r="F678" i="13"/>
  <c r="G678" i="13" s="1"/>
  <c r="H678" i="13" s="1"/>
  <c r="F677" i="13"/>
  <c r="G677" i="13" s="1"/>
  <c r="H677" i="13" s="1"/>
  <c r="F676" i="13"/>
  <c r="G676" i="13" s="1"/>
  <c r="H676" i="13" s="1"/>
  <c r="F675" i="13"/>
  <c r="G675" i="13" s="1"/>
  <c r="H675" i="13" s="1"/>
  <c r="F674" i="13"/>
  <c r="G674" i="13" s="1"/>
  <c r="H674" i="13" s="1"/>
  <c r="F673" i="13"/>
  <c r="G673" i="13" s="1"/>
  <c r="H673" i="13" s="1"/>
  <c r="F672" i="13"/>
  <c r="G672" i="13" s="1"/>
  <c r="H672" i="13" s="1"/>
  <c r="F671" i="13"/>
  <c r="G671" i="13" s="1"/>
  <c r="H671" i="13" s="1"/>
  <c r="F670" i="13"/>
  <c r="G670" i="13" s="1"/>
  <c r="H670" i="13" s="1"/>
  <c r="F669" i="13"/>
  <c r="G669" i="13" s="1"/>
  <c r="H669" i="13" s="1"/>
  <c r="F668" i="13"/>
  <c r="G668" i="13" s="1"/>
  <c r="H668" i="13" s="1"/>
  <c r="F667" i="13"/>
  <c r="G667" i="13" s="1"/>
  <c r="H667" i="13" s="1"/>
  <c r="F666" i="13"/>
  <c r="G666" i="13" s="1"/>
  <c r="H666" i="13" s="1"/>
  <c r="F665" i="13"/>
  <c r="G665" i="13" s="1"/>
  <c r="H665" i="13" s="1"/>
  <c r="F664" i="13"/>
  <c r="G664" i="13" s="1"/>
  <c r="H664" i="13" s="1"/>
  <c r="F663" i="13"/>
  <c r="G663" i="13" s="1"/>
  <c r="H663" i="13" s="1"/>
  <c r="F662" i="13"/>
  <c r="G662" i="13" s="1"/>
  <c r="H662" i="13" s="1"/>
  <c r="F661" i="13"/>
  <c r="G661" i="13" s="1"/>
  <c r="H661" i="13" s="1"/>
  <c r="F660" i="13"/>
  <c r="G660" i="13" s="1"/>
  <c r="H660" i="13" s="1"/>
  <c r="F659" i="13"/>
  <c r="G659" i="13" s="1"/>
  <c r="H659" i="13" s="1"/>
  <c r="F658" i="13"/>
  <c r="G658" i="13" s="1"/>
  <c r="H658" i="13" s="1"/>
  <c r="F657" i="13"/>
  <c r="G657" i="13" s="1"/>
  <c r="H657" i="13" s="1"/>
  <c r="F656" i="13"/>
  <c r="G656" i="13" s="1"/>
  <c r="H656" i="13" s="1"/>
  <c r="F655" i="13"/>
  <c r="G655" i="13" s="1"/>
  <c r="H655" i="13" s="1"/>
  <c r="F654" i="13"/>
  <c r="G654" i="13" s="1"/>
  <c r="H654" i="13" s="1"/>
  <c r="F653" i="13"/>
  <c r="G653" i="13" s="1"/>
  <c r="H653" i="13" s="1"/>
  <c r="F652" i="13"/>
  <c r="G652" i="13" s="1"/>
  <c r="H652" i="13" s="1"/>
  <c r="F651" i="13"/>
  <c r="G651" i="13" s="1"/>
  <c r="H651" i="13" s="1"/>
  <c r="F650" i="13"/>
  <c r="G650" i="13" s="1"/>
  <c r="H650" i="13" s="1"/>
  <c r="F649" i="13"/>
  <c r="G649" i="13" s="1"/>
  <c r="H649" i="13" s="1"/>
  <c r="F648" i="13"/>
  <c r="G648" i="13" s="1"/>
  <c r="H648" i="13" s="1"/>
  <c r="F647" i="13"/>
  <c r="G647" i="13" s="1"/>
  <c r="H647" i="13" s="1"/>
  <c r="F646" i="13"/>
  <c r="G646" i="13" s="1"/>
  <c r="H646" i="13" s="1"/>
  <c r="F645" i="13"/>
  <c r="G645" i="13" s="1"/>
  <c r="H645" i="13" s="1"/>
  <c r="F644" i="13"/>
  <c r="G644" i="13" s="1"/>
  <c r="H644" i="13" s="1"/>
  <c r="F643" i="13"/>
  <c r="G643" i="13" s="1"/>
  <c r="H643" i="13" s="1"/>
  <c r="F642" i="13"/>
  <c r="G642" i="13" s="1"/>
  <c r="H642" i="13" s="1"/>
  <c r="F641" i="13"/>
  <c r="G641" i="13" s="1"/>
  <c r="H641" i="13" s="1"/>
  <c r="F640" i="13"/>
  <c r="G640" i="13" s="1"/>
  <c r="H640" i="13" s="1"/>
  <c r="F639" i="13"/>
  <c r="G639" i="13" s="1"/>
  <c r="H639" i="13" s="1"/>
  <c r="F638" i="13"/>
  <c r="G638" i="13" s="1"/>
  <c r="H638" i="13" s="1"/>
  <c r="F637" i="13"/>
  <c r="G637" i="13" s="1"/>
  <c r="H637" i="13" s="1"/>
  <c r="F636" i="13"/>
  <c r="G636" i="13" s="1"/>
  <c r="H636" i="13" s="1"/>
  <c r="F635" i="13"/>
  <c r="G635" i="13" s="1"/>
  <c r="H635" i="13" s="1"/>
  <c r="F634" i="13"/>
  <c r="G634" i="13" s="1"/>
  <c r="H634" i="13" s="1"/>
  <c r="F633" i="13"/>
  <c r="G633" i="13" s="1"/>
  <c r="H633" i="13" s="1"/>
  <c r="F632" i="13"/>
  <c r="G632" i="13" s="1"/>
  <c r="H632" i="13" s="1"/>
  <c r="F631" i="13"/>
  <c r="G631" i="13" s="1"/>
  <c r="H631" i="13" s="1"/>
  <c r="F630" i="13"/>
  <c r="G630" i="13" s="1"/>
  <c r="H630" i="13" s="1"/>
  <c r="F629" i="13"/>
  <c r="G629" i="13" s="1"/>
  <c r="H629" i="13" s="1"/>
  <c r="F628" i="13"/>
  <c r="G628" i="13" s="1"/>
  <c r="H628" i="13" s="1"/>
  <c r="F627" i="13"/>
  <c r="G627" i="13" s="1"/>
  <c r="H627" i="13" s="1"/>
  <c r="F626" i="13"/>
  <c r="G626" i="13" s="1"/>
  <c r="H626" i="13" s="1"/>
  <c r="F625" i="13"/>
  <c r="G625" i="13" s="1"/>
  <c r="H625" i="13" s="1"/>
  <c r="F624" i="13"/>
  <c r="G624" i="13" s="1"/>
  <c r="H624" i="13" s="1"/>
  <c r="F623" i="13"/>
  <c r="G623" i="13" s="1"/>
  <c r="H623" i="13" s="1"/>
  <c r="F622" i="13"/>
  <c r="G622" i="13" s="1"/>
  <c r="H622" i="13" s="1"/>
  <c r="F621" i="13"/>
  <c r="G621" i="13" s="1"/>
  <c r="H621" i="13" s="1"/>
  <c r="F620" i="13"/>
  <c r="G620" i="13" s="1"/>
  <c r="H620" i="13" s="1"/>
  <c r="F619" i="13"/>
  <c r="G619" i="13" s="1"/>
  <c r="H619" i="13" s="1"/>
  <c r="F618" i="13"/>
  <c r="G618" i="13" s="1"/>
  <c r="H618" i="13" s="1"/>
  <c r="F617" i="13"/>
  <c r="G617" i="13" s="1"/>
  <c r="H617" i="13" s="1"/>
  <c r="F616" i="13"/>
  <c r="G616" i="13" s="1"/>
  <c r="H616" i="13" s="1"/>
  <c r="F615" i="13"/>
  <c r="G615" i="13" s="1"/>
  <c r="H615" i="13" s="1"/>
  <c r="F614" i="13"/>
  <c r="G614" i="13" s="1"/>
  <c r="H614" i="13" s="1"/>
  <c r="F613" i="13"/>
  <c r="G613" i="13" s="1"/>
  <c r="H613" i="13" s="1"/>
  <c r="F612" i="13"/>
  <c r="G612" i="13" s="1"/>
  <c r="H612" i="13" s="1"/>
  <c r="F611" i="13"/>
  <c r="G611" i="13" s="1"/>
  <c r="H611" i="13" s="1"/>
  <c r="F610" i="13"/>
  <c r="G610" i="13" s="1"/>
  <c r="H610" i="13" s="1"/>
  <c r="F609" i="13"/>
  <c r="G609" i="13" s="1"/>
  <c r="H609" i="13" s="1"/>
  <c r="F608" i="13"/>
  <c r="G608" i="13" s="1"/>
  <c r="H608" i="13" s="1"/>
  <c r="F607" i="13"/>
  <c r="G607" i="13" s="1"/>
  <c r="H607" i="13" s="1"/>
  <c r="F606" i="13"/>
  <c r="G606" i="13" s="1"/>
  <c r="H606" i="13" s="1"/>
  <c r="F605" i="13"/>
  <c r="G605" i="13" s="1"/>
  <c r="H605" i="13" s="1"/>
  <c r="F604" i="13"/>
  <c r="G604" i="13" s="1"/>
  <c r="H604" i="13" s="1"/>
  <c r="F603" i="13"/>
  <c r="G603" i="13" s="1"/>
  <c r="H603" i="13" s="1"/>
  <c r="F602" i="13"/>
  <c r="G602" i="13" s="1"/>
  <c r="H602" i="13" s="1"/>
  <c r="F601" i="13"/>
  <c r="G601" i="13" s="1"/>
  <c r="H601" i="13" s="1"/>
  <c r="F600" i="13"/>
  <c r="G600" i="13" s="1"/>
  <c r="H600" i="13" s="1"/>
  <c r="F599" i="13"/>
  <c r="G599" i="13" s="1"/>
  <c r="H599" i="13" s="1"/>
  <c r="F598" i="13"/>
  <c r="G598" i="13" s="1"/>
  <c r="H598" i="13" s="1"/>
  <c r="F597" i="13"/>
  <c r="G597" i="13" s="1"/>
  <c r="H597" i="13" s="1"/>
  <c r="F596" i="13"/>
  <c r="G596" i="13" s="1"/>
  <c r="H596" i="13" s="1"/>
  <c r="F595" i="13"/>
  <c r="G595" i="13" s="1"/>
  <c r="H595" i="13" s="1"/>
  <c r="F594" i="13"/>
  <c r="G594" i="13" s="1"/>
  <c r="H594" i="13" s="1"/>
  <c r="F593" i="13"/>
  <c r="G593" i="13" s="1"/>
  <c r="H593" i="13" s="1"/>
  <c r="F592" i="13"/>
  <c r="G592" i="13" s="1"/>
  <c r="H592" i="13" s="1"/>
  <c r="F591" i="13"/>
  <c r="G591" i="13" s="1"/>
  <c r="H591" i="13" s="1"/>
  <c r="F590" i="13"/>
  <c r="G590" i="13" s="1"/>
  <c r="H590" i="13" s="1"/>
  <c r="F589" i="13"/>
  <c r="G589" i="13" s="1"/>
  <c r="H589" i="13" s="1"/>
  <c r="F588" i="13"/>
  <c r="G588" i="13" s="1"/>
  <c r="H588" i="13" s="1"/>
  <c r="F587" i="13"/>
  <c r="G587" i="13" s="1"/>
  <c r="H587" i="13" s="1"/>
  <c r="F586" i="13"/>
  <c r="G586" i="13" s="1"/>
  <c r="H586" i="13" s="1"/>
  <c r="F585" i="13"/>
  <c r="G585" i="13" s="1"/>
  <c r="H585" i="13" s="1"/>
  <c r="F584" i="13"/>
  <c r="G584" i="13" s="1"/>
  <c r="H584" i="13" s="1"/>
  <c r="F583" i="13"/>
  <c r="G583" i="13" s="1"/>
  <c r="H583" i="13" s="1"/>
  <c r="F582" i="13"/>
  <c r="G582" i="13" s="1"/>
  <c r="H582" i="13" s="1"/>
  <c r="F581" i="13"/>
  <c r="G581" i="13" s="1"/>
  <c r="H581" i="13" s="1"/>
  <c r="F580" i="13"/>
  <c r="G580" i="13" s="1"/>
  <c r="H580" i="13" s="1"/>
  <c r="F579" i="13"/>
  <c r="G579" i="13" s="1"/>
  <c r="H579" i="13" s="1"/>
  <c r="F578" i="13"/>
  <c r="G578" i="13" s="1"/>
  <c r="H578" i="13" s="1"/>
  <c r="F577" i="13"/>
  <c r="G577" i="13" s="1"/>
  <c r="H577" i="13" s="1"/>
  <c r="F576" i="13"/>
  <c r="G576" i="13" s="1"/>
  <c r="H576" i="13" s="1"/>
  <c r="F575" i="13"/>
  <c r="G575" i="13" s="1"/>
  <c r="H575" i="13" s="1"/>
  <c r="F574" i="13"/>
  <c r="G574" i="13" s="1"/>
  <c r="H574" i="13" s="1"/>
  <c r="F573" i="13"/>
  <c r="G573" i="13" s="1"/>
  <c r="H573" i="13" s="1"/>
  <c r="F572" i="13"/>
  <c r="G572" i="13" s="1"/>
  <c r="H572" i="13" s="1"/>
  <c r="F571" i="13"/>
  <c r="G571" i="13" s="1"/>
  <c r="H571" i="13" s="1"/>
  <c r="F570" i="13"/>
  <c r="G570" i="13" s="1"/>
  <c r="H570" i="13" s="1"/>
  <c r="F569" i="13"/>
  <c r="G569" i="13" s="1"/>
  <c r="H569" i="13" s="1"/>
  <c r="F568" i="13"/>
  <c r="G568" i="13" s="1"/>
  <c r="H568" i="13" s="1"/>
  <c r="F567" i="13"/>
  <c r="G567" i="13" s="1"/>
  <c r="H567" i="13" s="1"/>
  <c r="F566" i="13"/>
  <c r="G566" i="13" s="1"/>
  <c r="H566" i="13" s="1"/>
  <c r="F565" i="13"/>
  <c r="G565" i="13" s="1"/>
  <c r="H565" i="13" s="1"/>
  <c r="F564" i="13"/>
  <c r="G564" i="13" s="1"/>
  <c r="H564" i="13" s="1"/>
  <c r="F563" i="13"/>
  <c r="G563" i="13" s="1"/>
  <c r="H563" i="13" s="1"/>
  <c r="F562" i="13"/>
  <c r="G562" i="13" s="1"/>
  <c r="H562" i="13" s="1"/>
  <c r="F561" i="13"/>
  <c r="G561" i="13" s="1"/>
  <c r="H561" i="13" s="1"/>
  <c r="F560" i="13"/>
  <c r="G560" i="13" s="1"/>
  <c r="H560" i="13" s="1"/>
  <c r="F559" i="13"/>
  <c r="G559" i="13" s="1"/>
  <c r="H559" i="13" s="1"/>
  <c r="F558" i="13"/>
  <c r="G558" i="13" s="1"/>
  <c r="H558" i="13" s="1"/>
  <c r="F557" i="13"/>
  <c r="G557" i="13" s="1"/>
  <c r="H557" i="13" s="1"/>
  <c r="F556" i="13"/>
  <c r="G556" i="13" s="1"/>
  <c r="H556" i="13" s="1"/>
  <c r="F555" i="13"/>
  <c r="G555" i="13" s="1"/>
  <c r="H555" i="13" s="1"/>
  <c r="F554" i="13"/>
  <c r="G554" i="13" s="1"/>
  <c r="H554" i="13" s="1"/>
  <c r="F553" i="13"/>
  <c r="G553" i="13" s="1"/>
  <c r="H553" i="13" s="1"/>
  <c r="F552" i="13"/>
  <c r="G552" i="13" s="1"/>
  <c r="H552" i="13" s="1"/>
  <c r="F551" i="13"/>
  <c r="G551" i="13" s="1"/>
  <c r="H551" i="13" s="1"/>
  <c r="F550" i="13"/>
  <c r="G550" i="13" s="1"/>
  <c r="H550" i="13" s="1"/>
  <c r="F549" i="13"/>
  <c r="G549" i="13" s="1"/>
  <c r="H549" i="13" s="1"/>
  <c r="F548" i="13"/>
  <c r="G548" i="13" s="1"/>
  <c r="H548" i="13" s="1"/>
  <c r="F547" i="13"/>
  <c r="G547" i="13" s="1"/>
  <c r="H547" i="13" s="1"/>
  <c r="F546" i="13"/>
  <c r="G546" i="13" s="1"/>
  <c r="H546" i="13" s="1"/>
  <c r="F545" i="13"/>
  <c r="G545" i="13" s="1"/>
  <c r="H545" i="13" s="1"/>
  <c r="F544" i="13"/>
  <c r="G544" i="13" s="1"/>
  <c r="H544" i="13" s="1"/>
  <c r="F543" i="13"/>
  <c r="G543" i="13" s="1"/>
  <c r="H543" i="13" s="1"/>
  <c r="F542" i="13"/>
  <c r="G542" i="13" s="1"/>
  <c r="H542" i="13" s="1"/>
  <c r="F541" i="13"/>
  <c r="G541" i="13" s="1"/>
  <c r="H541" i="13" s="1"/>
  <c r="F540" i="13"/>
  <c r="G540" i="13" s="1"/>
  <c r="H540" i="13" s="1"/>
  <c r="F539" i="13"/>
  <c r="G539" i="13" s="1"/>
  <c r="H539" i="13" s="1"/>
  <c r="F538" i="13"/>
  <c r="G538" i="13" s="1"/>
  <c r="H538" i="13" s="1"/>
  <c r="F537" i="13"/>
  <c r="G537" i="13" s="1"/>
  <c r="H537" i="13" s="1"/>
  <c r="F536" i="13"/>
  <c r="G536" i="13" s="1"/>
  <c r="H536" i="13" s="1"/>
  <c r="F535" i="13"/>
  <c r="G535" i="13" s="1"/>
  <c r="H535" i="13" s="1"/>
  <c r="F534" i="13"/>
  <c r="G534" i="13" s="1"/>
  <c r="H534" i="13" s="1"/>
  <c r="F533" i="13"/>
  <c r="G533" i="13" s="1"/>
  <c r="H533" i="13" s="1"/>
  <c r="F532" i="13"/>
  <c r="G532" i="13" s="1"/>
  <c r="H532" i="13" s="1"/>
  <c r="F531" i="13"/>
  <c r="G531" i="13" s="1"/>
  <c r="H531" i="13" s="1"/>
  <c r="F530" i="13"/>
  <c r="G530" i="13" s="1"/>
  <c r="H530" i="13" s="1"/>
  <c r="F529" i="13"/>
  <c r="G529" i="13" s="1"/>
  <c r="H529" i="13" s="1"/>
  <c r="F528" i="13"/>
  <c r="G528" i="13" s="1"/>
  <c r="H528" i="13" s="1"/>
  <c r="F527" i="13"/>
  <c r="G527" i="13" s="1"/>
  <c r="H527" i="13" s="1"/>
  <c r="F526" i="13"/>
  <c r="G526" i="13" s="1"/>
  <c r="H526" i="13" s="1"/>
  <c r="F525" i="13"/>
  <c r="G525" i="13" s="1"/>
  <c r="H525" i="13" s="1"/>
  <c r="F524" i="13"/>
  <c r="G524" i="13" s="1"/>
  <c r="H524" i="13" s="1"/>
  <c r="F523" i="13"/>
  <c r="G523" i="13" s="1"/>
  <c r="H523" i="13" s="1"/>
  <c r="F522" i="13"/>
  <c r="G522" i="13" s="1"/>
  <c r="H522" i="13" s="1"/>
  <c r="F521" i="13"/>
  <c r="G521" i="13" s="1"/>
  <c r="H521" i="13" s="1"/>
  <c r="F520" i="13"/>
  <c r="G520" i="13" s="1"/>
  <c r="H520" i="13" s="1"/>
  <c r="F519" i="13"/>
  <c r="G519" i="13" s="1"/>
  <c r="H519" i="13" s="1"/>
  <c r="F518" i="13"/>
  <c r="G518" i="13" s="1"/>
  <c r="H518" i="13" s="1"/>
  <c r="F517" i="13"/>
  <c r="G517" i="13" s="1"/>
  <c r="H517" i="13" s="1"/>
  <c r="F516" i="13"/>
  <c r="G516" i="13" s="1"/>
  <c r="H516" i="13" s="1"/>
  <c r="F515" i="13"/>
  <c r="G515" i="13" s="1"/>
  <c r="H515" i="13" s="1"/>
  <c r="F514" i="13"/>
  <c r="G514" i="13" s="1"/>
  <c r="H514" i="13" s="1"/>
  <c r="F513" i="13"/>
  <c r="G513" i="13" s="1"/>
  <c r="H513" i="13" s="1"/>
  <c r="F512" i="13"/>
  <c r="G512" i="13" s="1"/>
  <c r="H512" i="13" s="1"/>
  <c r="F511" i="13"/>
  <c r="G511" i="13" s="1"/>
  <c r="H511" i="13" s="1"/>
  <c r="F510" i="13"/>
  <c r="G510" i="13" s="1"/>
  <c r="H510" i="13" s="1"/>
  <c r="F509" i="13"/>
  <c r="G509" i="13" s="1"/>
  <c r="H509" i="13" s="1"/>
  <c r="F508" i="13"/>
  <c r="G508" i="13" s="1"/>
  <c r="H508" i="13" s="1"/>
  <c r="F507" i="13"/>
  <c r="G507" i="13" s="1"/>
  <c r="H507" i="13" s="1"/>
  <c r="F506" i="13"/>
  <c r="G506" i="13" s="1"/>
  <c r="H506" i="13" s="1"/>
  <c r="F505" i="13"/>
  <c r="G505" i="13" s="1"/>
  <c r="H505" i="13" s="1"/>
  <c r="F504" i="13"/>
  <c r="G504" i="13" s="1"/>
  <c r="H504" i="13" s="1"/>
  <c r="F503" i="13"/>
  <c r="G503" i="13" s="1"/>
  <c r="H503" i="13" s="1"/>
  <c r="F502" i="13"/>
  <c r="G502" i="13" s="1"/>
  <c r="H502" i="13" s="1"/>
  <c r="F501" i="13"/>
  <c r="G501" i="13" s="1"/>
  <c r="H501" i="13" s="1"/>
  <c r="F500" i="13"/>
  <c r="G500" i="13" s="1"/>
  <c r="H500" i="13" s="1"/>
  <c r="F499" i="13"/>
  <c r="G499" i="13" s="1"/>
  <c r="H499" i="13" s="1"/>
  <c r="F498" i="13"/>
  <c r="G498" i="13" s="1"/>
  <c r="H498" i="13" s="1"/>
  <c r="F497" i="13"/>
  <c r="G497" i="13" s="1"/>
  <c r="H497" i="13" s="1"/>
  <c r="F496" i="13"/>
  <c r="G496" i="13" s="1"/>
  <c r="H496" i="13" s="1"/>
  <c r="F495" i="13"/>
  <c r="G495" i="13" s="1"/>
  <c r="H495" i="13" s="1"/>
  <c r="F494" i="13"/>
  <c r="G494" i="13" s="1"/>
  <c r="H494" i="13" s="1"/>
  <c r="F493" i="13"/>
  <c r="G493" i="13" s="1"/>
  <c r="H493" i="13" s="1"/>
  <c r="F492" i="13"/>
  <c r="G492" i="13" s="1"/>
  <c r="H492" i="13" s="1"/>
  <c r="F491" i="13"/>
  <c r="G491" i="13" s="1"/>
  <c r="H491" i="13" s="1"/>
  <c r="F490" i="13"/>
  <c r="G490" i="13" s="1"/>
  <c r="H490" i="13" s="1"/>
  <c r="F489" i="13"/>
  <c r="G489" i="13" s="1"/>
  <c r="H489" i="13" s="1"/>
  <c r="F488" i="13"/>
  <c r="G488" i="13" s="1"/>
  <c r="H488" i="13" s="1"/>
  <c r="F487" i="13"/>
  <c r="G487" i="13" s="1"/>
  <c r="H487" i="13" s="1"/>
  <c r="F486" i="13"/>
  <c r="G486" i="13" s="1"/>
  <c r="H486" i="13" s="1"/>
  <c r="F485" i="13"/>
  <c r="G485" i="13" s="1"/>
  <c r="H485" i="13" s="1"/>
  <c r="F484" i="13"/>
  <c r="G484" i="13" s="1"/>
  <c r="H484" i="13" s="1"/>
  <c r="F483" i="13"/>
  <c r="G483" i="13" s="1"/>
  <c r="H483" i="13" s="1"/>
  <c r="F482" i="13"/>
  <c r="G482" i="13" s="1"/>
  <c r="H482" i="13" s="1"/>
  <c r="F481" i="13"/>
  <c r="G481" i="13" s="1"/>
  <c r="H481" i="13" s="1"/>
  <c r="F480" i="13"/>
  <c r="G480" i="13" s="1"/>
  <c r="H480" i="13" s="1"/>
  <c r="F479" i="13"/>
  <c r="G479" i="13" s="1"/>
  <c r="H479" i="13" s="1"/>
  <c r="F478" i="13"/>
  <c r="G478" i="13" s="1"/>
  <c r="H478" i="13" s="1"/>
  <c r="F477" i="13"/>
  <c r="G477" i="13" s="1"/>
  <c r="H477" i="13" s="1"/>
  <c r="F476" i="13"/>
  <c r="G476" i="13" s="1"/>
  <c r="H476" i="13" s="1"/>
  <c r="F475" i="13"/>
  <c r="G475" i="13" s="1"/>
  <c r="H475" i="13" s="1"/>
  <c r="F474" i="13"/>
  <c r="G474" i="13" s="1"/>
  <c r="H474" i="13" s="1"/>
  <c r="F473" i="13"/>
  <c r="G473" i="13" s="1"/>
  <c r="H473" i="13" s="1"/>
  <c r="F472" i="13"/>
  <c r="G472" i="13" s="1"/>
  <c r="H472" i="13" s="1"/>
  <c r="F471" i="13"/>
  <c r="G471" i="13" s="1"/>
  <c r="H471" i="13" s="1"/>
  <c r="F470" i="13"/>
  <c r="G470" i="13" s="1"/>
  <c r="H470" i="13" s="1"/>
  <c r="F469" i="13"/>
  <c r="G469" i="13" s="1"/>
  <c r="H469" i="13" s="1"/>
  <c r="F468" i="13"/>
  <c r="G468" i="13" s="1"/>
  <c r="H468" i="13" s="1"/>
  <c r="F467" i="13"/>
  <c r="G467" i="13" s="1"/>
  <c r="H467" i="13" s="1"/>
  <c r="F466" i="13"/>
  <c r="G466" i="13" s="1"/>
  <c r="H466" i="13" s="1"/>
  <c r="F465" i="13"/>
  <c r="G465" i="13" s="1"/>
  <c r="H465" i="13" s="1"/>
  <c r="F464" i="13"/>
  <c r="G464" i="13" s="1"/>
  <c r="H464" i="13" s="1"/>
  <c r="F463" i="13"/>
  <c r="G463" i="13" s="1"/>
  <c r="H463" i="13" s="1"/>
  <c r="F462" i="13"/>
  <c r="G462" i="13" s="1"/>
  <c r="H462" i="13" s="1"/>
  <c r="F461" i="13"/>
  <c r="G461" i="13" s="1"/>
  <c r="H461" i="13" s="1"/>
  <c r="F460" i="13"/>
  <c r="G460" i="13" s="1"/>
  <c r="H460" i="13" s="1"/>
  <c r="F459" i="13"/>
  <c r="G459" i="13" s="1"/>
  <c r="H459" i="13" s="1"/>
  <c r="F458" i="13"/>
  <c r="G458" i="13" s="1"/>
  <c r="H458" i="13" s="1"/>
  <c r="F457" i="13"/>
  <c r="G457" i="13" s="1"/>
  <c r="H457" i="13" s="1"/>
  <c r="F456" i="13"/>
  <c r="G456" i="13" s="1"/>
  <c r="H456" i="13" s="1"/>
  <c r="F455" i="13"/>
  <c r="G455" i="13" s="1"/>
  <c r="H455" i="13" s="1"/>
  <c r="F454" i="13"/>
  <c r="G454" i="13" s="1"/>
  <c r="H454" i="13" s="1"/>
  <c r="F453" i="13"/>
  <c r="G453" i="13" s="1"/>
  <c r="H453" i="13" s="1"/>
  <c r="F452" i="13"/>
  <c r="G452" i="13" s="1"/>
  <c r="H452" i="13" s="1"/>
  <c r="F451" i="13"/>
  <c r="G451" i="13" s="1"/>
  <c r="H451" i="13" s="1"/>
  <c r="F450" i="13"/>
  <c r="G450" i="13" s="1"/>
  <c r="H450" i="13" s="1"/>
  <c r="F449" i="13"/>
  <c r="G449" i="13" s="1"/>
  <c r="H449" i="13" s="1"/>
  <c r="F448" i="13"/>
  <c r="G448" i="13" s="1"/>
  <c r="H448" i="13" s="1"/>
  <c r="F447" i="13"/>
  <c r="G447" i="13" s="1"/>
  <c r="H447" i="13" s="1"/>
  <c r="F446" i="13"/>
  <c r="G446" i="13" s="1"/>
  <c r="H446" i="13" s="1"/>
  <c r="F445" i="13"/>
  <c r="G445" i="13" s="1"/>
  <c r="H445" i="13" s="1"/>
  <c r="F444" i="13"/>
  <c r="G444" i="13" s="1"/>
  <c r="H444" i="13" s="1"/>
  <c r="F443" i="13"/>
  <c r="G443" i="13" s="1"/>
  <c r="H443" i="13" s="1"/>
  <c r="F442" i="13"/>
  <c r="G442" i="13" s="1"/>
  <c r="H442" i="13" s="1"/>
  <c r="F441" i="13"/>
  <c r="G441" i="13" s="1"/>
  <c r="H441" i="13" s="1"/>
  <c r="F440" i="13"/>
  <c r="G440" i="13" s="1"/>
  <c r="H440" i="13" s="1"/>
  <c r="F439" i="13"/>
  <c r="G439" i="13" s="1"/>
  <c r="H439" i="13" s="1"/>
  <c r="F438" i="13"/>
  <c r="G438" i="13" s="1"/>
  <c r="H438" i="13" s="1"/>
  <c r="F437" i="13"/>
  <c r="G437" i="13" s="1"/>
  <c r="H437" i="13" s="1"/>
  <c r="F436" i="13"/>
  <c r="G436" i="13" s="1"/>
  <c r="H436" i="13" s="1"/>
  <c r="F435" i="13"/>
  <c r="G435" i="13" s="1"/>
  <c r="H435" i="13" s="1"/>
  <c r="F434" i="13"/>
  <c r="G434" i="13" s="1"/>
  <c r="H434" i="13" s="1"/>
  <c r="F433" i="13"/>
  <c r="G433" i="13" s="1"/>
  <c r="H433" i="13" s="1"/>
  <c r="F432" i="13"/>
  <c r="G432" i="13" s="1"/>
  <c r="H432" i="13" s="1"/>
  <c r="F431" i="13"/>
  <c r="G431" i="13" s="1"/>
  <c r="H431" i="13" s="1"/>
  <c r="F430" i="13"/>
  <c r="G430" i="13" s="1"/>
  <c r="H430" i="13" s="1"/>
  <c r="F429" i="13"/>
  <c r="G429" i="13" s="1"/>
  <c r="H429" i="13" s="1"/>
  <c r="F428" i="13"/>
  <c r="G428" i="13" s="1"/>
  <c r="H428" i="13" s="1"/>
  <c r="F427" i="13"/>
  <c r="G427" i="13" s="1"/>
  <c r="H427" i="13" s="1"/>
  <c r="F426" i="13"/>
  <c r="G426" i="13" s="1"/>
  <c r="H426" i="13" s="1"/>
  <c r="F425" i="13"/>
  <c r="G425" i="13" s="1"/>
  <c r="H425" i="13" s="1"/>
  <c r="F424" i="13"/>
  <c r="G424" i="13" s="1"/>
  <c r="H424" i="13" s="1"/>
  <c r="F423" i="13"/>
  <c r="G423" i="13" s="1"/>
  <c r="H423" i="13" s="1"/>
  <c r="F422" i="13"/>
  <c r="G422" i="13" s="1"/>
  <c r="H422" i="13" s="1"/>
  <c r="F421" i="13"/>
  <c r="G421" i="13" s="1"/>
  <c r="H421" i="13" s="1"/>
  <c r="F420" i="13"/>
  <c r="G420" i="13" s="1"/>
  <c r="H420" i="13" s="1"/>
  <c r="F419" i="13"/>
  <c r="G419" i="13" s="1"/>
  <c r="H419" i="13" s="1"/>
  <c r="F418" i="13"/>
  <c r="G418" i="13" s="1"/>
  <c r="H418" i="13" s="1"/>
  <c r="F417" i="13"/>
  <c r="G417" i="13" s="1"/>
  <c r="H417" i="13" s="1"/>
  <c r="F416" i="13"/>
  <c r="G416" i="13" s="1"/>
  <c r="H416" i="13" s="1"/>
  <c r="F415" i="13"/>
  <c r="G415" i="13" s="1"/>
  <c r="H415" i="13" s="1"/>
  <c r="F414" i="13"/>
  <c r="G414" i="13" s="1"/>
  <c r="H414" i="13" s="1"/>
  <c r="F413" i="13"/>
  <c r="G413" i="13" s="1"/>
  <c r="H413" i="13" s="1"/>
  <c r="F412" i="13"/>
  <c r="G412" i="13" s="1"/>
  <c r="H412" i="13" s="1"/>
  <c r="F411" i="13"/>
  <c r="G411" i="13" s="1"/>
  <c r="H411" i="13" s="1"/>
  <c r="F410" i="13"/>
  <c r="G410" i="13" s="1"/>
  <c r="H410" i="13" s="1"/>
  <c r="F409" i="13"/>
  <c r="G409" i="13" s="1"/>
  <c r="H409" i="13" s="1"/>
  <c r="F408" i="13"/>
  <c r="G408" i="13" s="1"/>
  <c r="H408" i="13" s="1"/>
  <c r="F407" i="13"/>
  <c r="G407" i="13" s="1"/>
  <c r="H407" i="13" s="1"/>
  <c r="F406" i="13"/>
  <c r="G406" i="13" s="1"/>
  <c r="H406" i="13" s="1"/>
  <c r="F405" i="13"/>
  <c r="G405" i="13" s="1"/>
  <c r="H405" i="13" s="1"/>
  <c r="F404" i="13"/>
  <c r="G404" i="13" s="1"/>
  <c r="H404" i="13" s="1"/>
  <c r="F403" i="13"/>
  <c r="G403" i="13" s="1"/>
  <c r="H403" i="13" s="1"/>
  <c r="F402" i="13"/>
  <c r="G402" i="13" s="1"/>
  <c r="H402" i="13" s="1"/>
  <c r="F401" i="13"/>
  <c r="G401" i="13" s="1"/>
  <c r="H401" i="13" s="1"/>
  <c r="F400" i="13"/>
  <c r="G400" i="13" s="1"/>
  <c r="H400" i="13" s="1"/>
  <c r="F399" i="13"/>
  <c r="G399" i="13" s="1"/>
  <c r="H399" i="13" s="1"/>
  <c r="F398" i="13"/>
  <c r="G398" i="13" s="1"/>
  <c r="H398" i="13" s="1"/>
  <c r="F397" i="13"/>
  <c r="G397" i="13" s="1"/>
  <c r="H397" i="13" s="1"/>
  <c r="F396" i="13"/>
  <c r="G396" i="13" s="1"/>
  <c r="H396" i="13" s="1"/>
  <c r="F395" i="13"/>
  <c r="G395" i="13" s="1"/>
  <c r="H395" i="13" s="1"/>
  <c r="F394" i="13"/>
  <c r="G394" i="13" s="1"/>
  <c r="H394" i="13" s="1"/>
  <c r="F393" i="13"/>
  <c r="G393" i="13" s="1"/>
  <c r="H393" i="13" s="1"/>
  <c r="F392" i="13"/>
  <c r="G392" i="13" s="1"/>
  <c r="H392" i="13" s="1"/>
  <c r="F391" i="13"/>
  <c r="G391" i="13" s="1"/>
  <c r="H391" i="13" s="1"/>
  <c r="F390" i="13"/>
  <c r="G390" i="13" s="1"/>
  <c r="H390" i="13" s="1"/>
  <c r="F389" i="13"/>
  <c r="G389" i="13" s="1"/>
  <c r="H389" i="13" s="1"/>
  <c r="F388" i="13"/>
  <c r="G388" i="13" s="1"/>
  <c r="H388" i="13" s="1"/>
  <c r="F387" i="13"/>
  <c r="G387" i="13" s="1"/>
  <c r="H387" i="13" s="1"/>
  <c r="F386" i="13"/>
  <c r="G386" i="13" s="1"/>
  <c r="H386" i="13" s="1"/>
  <c r="F385" i="13"/>
  <c r="G385" i="13" s="1"/>
  <c r="H385" i="13" s="1"/>
  <c r="F384" i="13"/>
  <c r="G384" i="13" s="1"/>
  <c r="H384" i="13" s="1"/>
  <c r="F383" i="13"/>
  <c r="G383" i="13" s="1"/>
  <c r="H383" i="13" s="1"/>
  <c r="F382" i="13"/>
  <c r="G382" i="13" s="1"/>
  <c r="H382" i="13" s="1"/>
  <c r="F381" i="13"/>
  <c r="G381" i="13" s="1"/>
  <c r="H381" i="13" s="1"/>
  <c r="F380" i="13"/>
  <c r="G380" i="13" s="1"/>
  <c r="H380" i="13" s="1"/>
  <c r="F379" i="13"/>
  <c r="G379" i="13" s="1"/>
  <c r="H379" i="13" s="1"/>
  <c r="F378" i="13"/>
  <c r="G378" i="13" s="1"/>
  <c r="H378" i="13" s="1"/>
  <c r="F377" i="13"/>
  <c r="G377" i="13" s="1"/>
  <c r="H377" i="13" s="1"/>
  <c r="F376" i="13"/>
  <c r="G376" i="13" s="1"/>
  <c r="H376" i="13" s="1"/>
  <c r="F375" i="13"/>
  <c r="G375" i="13" s="1"/>
  <c r="H375" i="13" s="1"/>
  <c r="F374" i="13"/>
  <c r="G374" i="13" s="1"/>
  <c r="H374" i="13" s="1"/>
  <c r="F373" i="13"/>
  <c r="G373" i="13" s="1"/>
  <c r="H373" i="13" s="1"/>
  <c r="F372" i="13"/>
  <c r="G372" i="13" s="1"/>
  <c r="H372" i="13" s="1"/>
  <c r="F371" i="13"/>
  <c r="G371" i="13" s="1"/>
  <c r="H371" i="13" s="1"/>
  <c r="F370" i="13"/>
  <c r="G370" i="13" s="1"/>
  <c r="H370" i="13" s="1"/>
  <c r="F369" i="13"/>
  <c r="G369" i="13" s="1"/>
  <c r="H369" i="13" s="1"/>
  <c r="F368" i="13"/>
  <c r="G368" i="13" s="1"/>
  <c r="H368" i="13" s="1"/>
  <c r="F367" i="13"/>
  <c r="G367" i="13" s="1"/>
  <c r="H367" i="13" s="1"/>
  <c r="F366" i="13"/>
  <c r="G366" i="13" s="1"/>
  <c r="H366" i="13" s="1"/>
  <c r="F365" i="13"/>
  <c r="G365" i="13" s="1"/>
  <c r="H365" i="13" s="1"/>
  <c r="F364" i="13"/>
  <c r="G364" i="13" s="1"/>
  <c r="H364" i="13" s="1"/>
  <c r="F363" i="13"/>
  <c r="G363" i="13" s="1"/>
  <c r="H363" i="13" s="1"/>
  <c r="F362" i="13"/>
  <c r="G362" i="13" s="1"/>
  <c r="H362" i="13" s="1"/>
  <c r="F361" i="13"/>
  <c r="G361" i="13" s="1"/>
  <c r="H361" i="13" s="1"/>
  <c r="F360" i="13"/>
  <c r="G360" i="13" s="1"/>
  <c r="H360" i="13" s="1"/>
  <c r="F359" i="13"/>
  <c r="G359" i="13" s="1"/>
  <c r="H359" i="13" s="1"/>
  <c r="F358" i="13"/>
  <c r="G358" i="13" s="1"/>
  <c r="H358" i="13" s="1"/>
  <c r="F357" i="13"/>
  <c r="G357" i="13" s="1"/>
  <c r="H357" i="13" s="1"/>
  <c r="F356" i="13"/>
  <c r="G356" i="13" s="1"/>
  <c r="H356" i="13" s="1"/>
  <c r="F355" i="13"/>
  <c r="G355" i="13" s="1"/>
  <c r="H355" i="13" s="1"/>
  <c r="F354" i="13"/>
  <c r="G354" i="13" s="1"/>
  <c r="H354" i="13" s="1"/>
  <c r="F353" i="13"/>
  <c r="G353" i="13" s="1"/>
  <c r="H353" i="13" s="1"/>
  <c r="F352" i="13"/>
  <c r="G352" i="13" s="1"/>
  <c r="H352" i="13" s="1"/>
  <c r="F351" i="13"/>
  <c r="G351" i="13" s="1"/>
  <c r="H351" i="13" s="1"/>
  <c r="F350" i="13"/>
  <c r="G350" i="13" s="1"/>
  <c r="H350" i="13" s="1"/>
  <c r="F349" i="13"/>
  <c r="G349" i="13" s="1"/>
  <c r="H349" i="13" s="1"/>
  <c r="F348" i="13"/>
  <c r="G348" i="13" s="1"/>
  <c r="H348" i="13" s="1"/>
  <c r="F347" i="13"/>
  <c r="G347" i="13" s="1"/>
  <c r="H347" i="13" s="1"/>
  <c r="F346" i="13"/>
  <c r="G346" i="13" s="1"/>
  <c r="H346" i="13" s="1"/>
  <c r="F345" i="13"/>
  <c r="G345" i="13" s="1"/>
  <c r="H345" i="13" s="1"/>
  <c r="F344" i="13"/>
  <c r="G344" i="13" s="1"/>
  <c r="H344" i="13" s="1"/>
  <c r="F343" i="13"/>
  <c r="G343" i="13" s="1"/>
  <c r="H343" i="13" s="1"/>
  <c r="F342" i="13"/>
  <c r="G342" i="13" s="1"/>
  <c r="H342" i="13" s="1"/>
  <c r="F341" i="13"/>
  <c r="G341" i="13" s="1"/>
  <c r="H341" i="13" s="1"/>
  <c r="F340" i="13"/>
  <c r="G340" i="13" s="1"/>
  <c r="H340" i="13" s="1"/>
  <c r="F339" i="13"/>
  <c r="G339" i="13" s="1"/>
  <c r="H339" i="13" s="1"/>
  <c r="F338" i="13"/>
  <c r="G338" i="13" s="1"/>
  <c r="H338" i="13" s="1"/>
  <c r="F337" i="13"/>
  <c r="G337" i="13" s="1"/>
  <c r="H337" i="13" s="1"/>
  <c r="F336" i="13"/>
  <c r="G336" i="13" s="1"/>
  <c r="H336" i="13" s="1"/>
  <c r="F335" i="13"/>
  <c r="G335" i="13" s="1"/>
  <c r="H335" i="13" s="1"/>
  <c r="F334" i="13"/>
  <c r="G334" i="13" s="1"/>
  <c r="H334" i="13" s="1"/>
  <c r="F333" i="13"/>
  <c r="G333" i="13" s="1"/>
  <c r="H333" i="13" s="1"/>
  <c r="F332" i="13"/>
  <c r="G332" i="13" s="1"/>
  <c r="H332" i="13" s="1"/>
  <c r="F331" i="13"/>
  <c r="G331" i="13" s="1"/>
  <c r="H331" i="13" s="1"/>
  <c r="F330" i="13"/>
  <c r="G330" i="13" s="1"/>
  <c r="H330" i="13" s="1"/>
  <c r="F329" i="13"/>
  <c r="G329" i="13" s="1"/>
  <c r="H329" i="13" s="1"/>
  <c r="F328" i="13"/>
  <c r="G328" i="13" s="1"/>
  <c r="H328" i="13" s="1"/>
  <c r="F327" i="13"/>
  <c r="G327" i="13" s="1"/>
  <c r="H327" i="13" s="1"/>
  <c r="F326" i="13"/>
  <c r="G326" i="13" s="1"/>
  <c r="H326" i="13" s="1"/>
  <c r="F325" i="13"/>
  <c r="G325" i="13" s="1"/>
  <c r="H325" i="13" s="1"/>
  <c r="F324" i="13"/>
  <c r="G324" i="13" s="1"/>
  <c r="H324" i="13" s="1"/>
  <c r="F323" i="13"/>
  <c r="G323" i="13" s="1"/>
  <c r="H323" i="13" s="1"/>
  <c r="F322" i="13"/>
  <c r="G322" i="13" s="1"/>
  <c r="H322" i="13" s="1"/>
  <c r="F321" i="13"/>
  <c r="G321" i="13" s="1"/>
  <c r="H321" i="13" s="1"/>
  <c r="F320" i="13"/>
  <c r="G320" i="13" s="1"/>
  <c r="H320" i="13" s="1"/>
  <c r="F319" i="13"/>
  <c r="G319" i="13" s="1"/>
  <c r="H319" i="13" s="1"/>
  <c r="F318" i="13"/>
  <c r="G318" i="13" s="1"/>
  <c r="H318" i="13" s="1"/>
  <c r="F317" i="13"/>
  <c r="G317" i="13" s="1"/>
  <c r="H317" i="13" s="1"/>
  <c r="F316" i="13"/>
  <c r="G316" i="13" s="1"/>
  <c r="H316" i="13" s="1"/>
  <c r="F315" i="13"/>
  <c r="G315" i="13" s="1"/>
  <c r="H315" i="13" s="1"/>
  <c r="F314" i="13"/>
  <c r="G314" i="13" s="1"/>
  <c r="H314" i="13" s="1"/>
  <c r="F313" i="13"/>
  <c r="G313" i="13" s="1"/>
  <c r="H313" i="13" s="1"/>
  <c r="F312" i="13"/>
  <c r="G312" i="13" s="1"/>
  <c r="H312" i="13" s="1"/>
  <c r="F311" i="13"/>
  <c r="G311" i="13" s="1"/>
  <c r="H311" i="13" s="1"/>
  <c r="F310" i="13"/>
  <c r="G310" i="13" s="1"/>
  <c r="H310" i="13" s="1"/>
  <c r="F309" i="13"/>
  <c r="G309" i="13" s="1"/>
  <c r="H309" i="13" s="1"/>
  <c r="F308" i="13"/>
  <c r="G308" i="13" s="1"/>
  <c r="H308" i="13" s="1"/>
  <c r="F307" i="13"/>
  <c r="G307" i="13" s="1"/>
  <c r="H307" i="13" s="1"/>
  <c r="F306" i="13"/>
  <c r="G306" i="13" s="1"/>
  <c r="H306" i="13" s="1"/>
  <c r="F305" i="13"/>
  <c r="G305" i="13" s="1"/>
  <c r="H305" i="13" s="1"/>
  <c r="F304" i="13"/>
  <c r="G304" i="13" s="1"/>
  <c r="H304" i="13" s="1"/>
  <c r="F303" i="13"/>
  <c r="G303" i="13" s="1"/>
  <c r="H303" i="13" s="1"/>
  <c r="F302" i="13"/>
  <c r="G302" i="13" s="1"/>
  <c r="H302" i="13" s="1"/>
  <c r="F301" i="13"/>
  <c r="G301" i="13" s="1"/>
  <c r="H301" i="13" s="1"/>
  <c r="F300" i="13"/>
  <c r="G300" i="13" s="1"/>
  <c r="H300" i="13" s="1"/>
  <c r="F299" i="13"/>
  <c r="G299" i="13" s="1"/>
  <c r="H299" i="13" s="1"/>
  <c r="F298" i="13"/>
  <c r="G298" i="13" s="1"/>
  <c r="H298" i="13" s="1"/>
  <c r="F297" i="13"/>
  <c r="G297" i="13" s="1"/>
  <c r="H297" i="13" s="1"/>
  <c r="F296" i="13"/>
  <c r="G296" i="13" s="1"/>
  <c r="H296" i="13" s="1"/>
  <c r="F295" i="13"/>
  <c r="G295" i="13" s="1"/>
  <c r="H295" i="13" s="1"/>
  <c r="F294" i="13"/>
  <c r="G294" i="13" s="1"/>
  <c r="H294" i="13" s="1"/>
  <c r="F293" i="13"/>
  <c r="G293" i="13" s="1"/>
  <c r="H293" i="13" s="1"/>
  <c r="F292" i="13"/>
  <c r="G292" i="13" s="1"/>
  <c r="H292" i="13" s="1"/>
  <c r="F291" i="13"/>
  <c r="G291" i="13" s="1"/>
  <c r="H291" i="13" s="1"/>
  <c r="F290" i="13"/>
  <c r="G290" i="13" s="1"/>
  <c r="H290" i="13" s="1"/>
  <c r="F289" i="13"/>
  <c r="G289" i="13" s="1"/>
  <c r="H289" i="13" s="1"/>
  <c r="F288" i="13"/>
  <c r="G288" i="13" s="1"/>
  <c r="H288" i="13" s="1"/>
  <c r="F287" i="13"/>
  <c r="G287" i="13" s="1"/>
  <c r="H287" i="13" s="1"/>
  <c r="F286" i="13"/>
  <c r="G286" i="13" s="1"/>
  <c r="H286" i="13" s="1"/>
  <c r="F285" i="13"/>
  <c r="G285" i="13" s="1"/>
  <c r="H285" i="13" s="1"/>
  <c r="F284" i="13"/>
  <c r="G284" i="13" s="1"/>
  <c r="H284" i="13" s="1"/>
  <c r="F283" i="13"/>
  <c r="G283" i="13" s="1"/>
  <c r="H283" i="13" s="1"/>
  <c r="F282" i="13"/>
  <c r="G282" i="13" s="1"/>
  <c r="H282" i="13" s="1"/>
  <c r="F281" i="13"/>
  <c r="G281" i="13" s="1"/>
  <c r="H281" i="13" s="1"/>
  <c r="F280" i="13"/>
  <c r="G280" i="13" s="1"/>
  <c r="H280" i="13" s="1"/>
  <c r="F279" i="13"/>
  <c r="G279" i="13" s="1"/>
  <c r="H279" i="13" s="1"/>
  <c r="F278" i="13"/>
  <c r="G278" i="13" s="1"/>
  <c r="H278" i="13" s="1"/>
  <c r="F277" i="13"/>
  <c r="G277" i="13" s="1"/>
  <c r="H277" i="13" s="1"/>
  <c r="F276" i="13"/>
  <c r="G276" i="13" s="1"/>
  <c r="H276" i="13" s="1"/>
  <c r="F275" i="13"/>
  <c r="G275" i="13" s="1"/>
  <c r="H275" i="13" s="1"/>
  <c r="F274" i="13"/>
  <c r="G274" i="13" s="1"/>
  <c r="H274" i="13" s="1"/>
  <c r="F273" i="13"/>
  <c r="G273" i="13" s="1"/>
  <c r="H273" i="13" s="1"/>
  <c r="F272" i="13"/>
  <c r="G272" i="13" s="1"/>
  <c r="H272" i="13" s="1"/>
  <c r="F271" i="13"/>
  <c r="G271" i="13" s="1"/>
  <c r="H271" i="13" s="1"/>
  <c r="F270" i="13"/>
  <c r="G270" i="13" s="1"/>
  <c r="H270" i="13" s="1"/>
  <c r="F269" i="13"/>
  <c r="G269" i="13" s="1"/>
  <c r="H269" i="13" s="1"/>
  <c r="F268" i="13"/>
  <c r="G268" i="13" s="1"/>
  <c r="H268" i="13" s="1"/>
  <c r="F267" i="13"/>
  <c r="G267" i="13" s="1"/>
  <c r="H267" i="13" s="1"/>
  <c r="F266" i="13"/>
  <c r="G266" i="13" s="1"/>
  <c r="H266" i="13" s="1"/>
  <c r="F265" i="13"/>
  <c r="G265" i="13" s="1"/>
  <c r="H265" i="13" s="1"/>
  <c r="F264" i="13"/>
  <c r="G264" i="13" s="1"/>
  <c r="H264" i="13" s="1"/>
  <c r="F263" i="13"/>
  <c r="G263" i="13" s="1"/>
  <c r="H263" i="13" s="1"/>
  <c r="F262" i="13"/>
  <c r="G262" i="13" s="1"/>
  <c r="H262" i="13" s="1"/>
  <c r="F261" i="13"/>
  <c r="G261" i="13" s="1"/>
  <c r="H261" i="13" s="1"/>
  <c r="F260" i="13"/>
  <c r="G260" i="13" s="1"/>
  <c r="H260" i="13" s="1"/>
  <c r="F259" i="13"/>
  <c r="G259" i="13" s="1"/>
  <c r="H259" i="13" s="1"/>
  <c r="F258" i="13"/>
  <c r="G258" i="13" s="1"/>
  <c r="H258" i="13" s="1"/>
  <c r="F257" i="13"/>
  <c r="G257" i="13" s="1"/>
  <c r="H257" i="13" s="1"/>
  <c r="F256" i="13"/>
  <c r="G256" i="13" s="1"/>
  <c r="H256" i="13" s="1"/>
  <c r="F255" i="13"/>
  <c r="G255" i="13" s="1"/>
  <c r="H255" i="13" s="1"/>
  <c r="F254" i="13"/>
  <c r="G254" i="13" s="1"/>
  <c r="H254" i="13" s="1"/>
  <c r="F253" i="13"/>
  <c r="G253" i="13" s="1"/>
  <c r="H253" i="13" s="1"/>
  <c r="F252" i="13"/>
  <c r="G252" i="13" s="1"/>
  <c r="H252" i="13" s="1"/>
  <c r="F251" i="13"/>
  <c r="G251" i="13" s="1"/>
  <c r="H251" i="13" s="1"/>
  <c r="F250" i="13"/>
  <c r="G250" i="13" s="1"/>
  <c r="H250" i="13" s="1"/>
  <c r="F249" i="13"/>
  <c r="G249" i="13" s="1"/>
  <c r="H249" i="13" s="1"/>
  <c r="F248" i="13"/>
  <c r="G248" i="13" s="1"/>
  <c r="H248" i="13" s="1"/>
  <c r="F247" i="13"/>
  <c r="G247" i="13" s="1"/>
  <c r="H247" i="13" s="1"/>
  <c r="F246" i="13"/>
  <c r="G246" i="13" s="1"/>
  <c r="H246" i="13" s="1"/>
  <c r="F245" i="13"/>
  <c r="G245" i="13" s="1"/>
  <c r="H245" i="13" s="1"/>
  <c r="F244" i="13"/>
  <c r="G244" i="13" s="1"/>
  <c r="H244" i="13" s="1"/>
  <c r="F243" i="13"/>
  <c r="G243" i="13" s="1"/>
  <c r="H243" i="13" s="1"/>
  <c r="F242" i="13"/>
  <c r="G242" i="13" s="1"/>
  <c r="H242" i="13" s="1"/>
  <c r="F241" i="13"/>
  <c r="G241" i="13" s="1"/>
  <c r="H241" i="13" s="1"/>
  <c r="F240" i="13"/>
  <c r="G240" i="13" s="1"/>
  <c r="H240" i="13" s="1"/>
  <c r="F239" i="13"/>
  <c r="G239" i="13" s="1"/>
  <c r="H239" i="13" s="1"/>
  <c r="F238" i="13"/>
  <c r="G238" i="13" s="1"/>
  <c r="H238" i="13" s="1"/>
  <c r="F237" i="13"/>
  <c r="G237" i="13" s="1"/>
  <c r="H237" i="13" s="1"/>
  <c r="F236" i="13"/>
  <c r="G236" i="13" s="1"/>
  <c r="H236" i="13" s="1"/>
  <c r="F235" i="13"/>
  <c r="G235" i="13" s="1"/>
  <c r="H235" i="13" s="1"/>
  <c r="F234" i="13"/>
  <c r="G234" i="13" s="1"/>
  <c r="H234" i="13" s="1"/>
  <c r="F233" i="13"/>
  <c r="G233" i="13" s="1"/>
  <c r="H233" i="13" s="1"/>
  <c r="F232" i="13"/>
  <c r="G232" i="13" s="1"/>
  <c r="H232" i="13" s="1"/>
  <c r="F231" i="13"/>
  <c r="G231" i="13" s="1"/>
  <c r="H231" i="13" s="1"/>
  <c r="F230" i="13"/>
  <c r="G230" i="13" s="1"/>
  <c r="H230" i="13" s="1"/>
  <c r="F229" i="13"/>
  <c r="G229" i="13" s="1"/>
  <c r="H229" i="13" s="1"/>
  <c r="F228" i="13"/>
  <c r="G228" i="13" s="1"/>
  <c r="H228" i="13" s="1"/>
  <c r="F227" i="13"/>
  <c r="G227" i="13" s="1"/>
  <c r="H227" i="13" s="1"/>
  <c r="F226" i="13"/>
  <c r="G226" i="13" s="1"/>
  <c r="H226" i="13" s="1"/>
  <c r="F225" i="13"/>
  <c r="G225" i="13" s="1"/>
  <c r="H225" i="13" s="1"/>
  <c r="F224" i="13"/>
  <c r="G224" i="13" s="1"/>
  <c r="H224" i="13" s="1"/>
  <c r="F223" i="13"/>
  <c r="G223" i="13" s="1"/>
  <c r="H223" i="13" s="1"/>
  <c r="F222" i="13"/>
  <c r="G222" i="13" s="1"/>
  <c r="H222" i="13" s="1"/>
  <c r="F221" i="13"/>
  <c r="G221" i="13" s="1"/>
  <c r="H221" i="13" s="1"/>
  <c r="F220" i="13"/>
  <c r="G220" i="13" s="1"/>
  <c r="H220" i="13" s="1"/>
  <c r="F219" i="13"/>
  <c r="G219" i="13" s="1"/>
  <c r="H219" i="13" s="1"/>
  <c r="F218" i="13"/>
  <c r="G218" i="13" s="1"/>
  <c r="H218" i="13" s="1"/>
  <c r="F217" i="13"/>
  <c r="G217" i="13" s="1"/>
  <c r="H217" i="13" s="1"/>
  <c r="F216" i="13"/>
  <c r="G216" i="13" s="1"/>
  <c r="H216" i="13" s="1"/>
  <c r="F215" i="13"/>
  <c r="G215" i="13" s="1"/>
  <c r="H215" i="13" s="1"/>
  <c r="F214" i="13"/>
  <c r="G214" i="13" s="1"/>
  <c r="H214" i="13" s="1"/>
  <c r="F213" i="13"/>
  <c r="G213" i="13" s="1"/>
  <c r="H213" i="13" s="1"/>
  <c r="F212" i="13"/>
  <c r="G212" i="13" s="1"/>
  <c r="H212" i="13" s="1"/>
  <c r="F211" i="13"/>
  <c r="G211" i="13" s="1"/>
  <c r="H211" i="13" s="1"/>
  <c r="F210" i="13"/>
  <c r="G210" i="13" s="1"/>
  <c r="H210" i="13" s="1"/>
  <c r="F209" i="13"/>
  <c r="G209" i="13" s="1"/>
  <c r="H209" i="13" s="1"/>
  <c r="F208" i="13"/>
  <c r="G208" i="13" s="1"/>
  <c r="H208" i="13" s="1"/>
  <c r="F207" i="13"/>
  <c r="G207" i="13" s="1"/>
  <c r="H207" i="13" s="1"/>
  <c r="F206" i="13"/>
  <c r="G206" i="13" s="1"/>
  <c r="H206" i="13" s="1"/>
  <c r="F205" i="13"/>
  <c r="G205" i="13" s="1"/>
  <c r="H205" i="13" s="1"/>
  <c r="F204" i="13"/>
  <c r="G204" i="13" s="1"/>
  <c r="H204" i="13" s="1"/>
  <c r="F203" i="13"/>
  <c r="G203" i="13" s="1"/>
  <c r="H203" i="13" s="1"/>
  <c r="F202" i="13"/>
  <c r="G202" i="13" s="1"/>
  <c r="H202" i="13" s="1"/>
  <c r="F201" i="13"/>
  <c r="G201" i="13" s="1"/>
  <c r="H201" i="13" s="1"/>
  <c r="F200" i="13"/>
  <c r="G200" i="13" s="1"/>
  <c r="H200" i="13" s="1"/>
  <c r="F199" i="13"/>
  <c r="G199" i="13" s="1"/>
  <c r="H199" i="13" s="1"/>
  <c r="F198" i="13"/>
  <c r="G198" i="13" s="1"/>
  <c r="H198" i="13" s="1"/>
  <c r="F197" i="13"/>
  <c r="G197" i="13" s="1"/>
  <c r="H197" i="13" s="1"/>
  <c r="F196" i="13"/>
  <c r="G196" i="13" s="1"/>
  <c r="H196" i="13" s="1"/>
  <c r="F195" i="13"/>
  <c r="G195" i="13" s="1"/>
  <c r="H195" i="13" s="1"/>
  <c r="F194" i="13"/>
  <c r="G194" i="13" s="1"/>
  <c r="H194" i="13" s="1"/>
  <c r="F193" i="13"/>
  <c r="G193" i="13" s="1"/>
  <c r="H193" i="13" s="1"/>
  <c r="F192" i="13"/>
  <c r="G192" i="13" s="1"/>
  <c r="H192" i="13" s="1"/>
  <c r="F191" i="13"/>
  <c r="G191" i="13" s="1"/>
  <c r="H191" i="13" s="1"/>
  <c r="F190" i="13"/>
  <c r="G190" i="13" s="1"/>
  <c r="H190" i="13" s="1"/>
  <c r="F189" i="13"/>
  <c r="G189" i="13" s="1"/>
  <c r="H189" i="13" s="1"/>
  <c r="F188" i="13"/>
  <c r="G188" i="13" s="1"/>
  <c r="H188" i="13" s="1"/>
  <c r="F187" i="13"/>
  <c r="G187" i="13" s="1"/>
  <c r="H187" i="13" s="1"/>
  <c r="F186" i="13"/>
  <c r="G186" i="13" s="1"/>
  <c r="H186" i="13" s="1"/>
  <c r="F185" i="13"/>
  <c r="G185" i="13" s="1"/>
  <c r="H185" i="13" s="1"/>
  <c r="F184" i="13"/>
  <c r="G184" i="13" s="1"/>
  <c r="H184" i="13" s="1"/>
  <c r="F183" i="13"/>
  <c r="G183" i="13" s="1"/>
  <c r="H183" i="13" s="1"/>
  <c r="F182" i="13"/>
  <c r="G182" i="13" s="1"/>
  <c r="H182" i="13" s="1"/>
  <c r="F181" i="13"/>
  <c r="G181" i="13" s="1"/>
  <c r="H181" i="13" s="1"/>
  <c r="F180" i="13"/>
  <c r="G180" i="13" s="1"/>
  <c r="H180" i="13" s="1"/>
  <c r="F179" i="13"/>
  <c r="G179" i="13" s="1"/>
  <c r="H179" i="13" s="1"/>
  <c r="F178" i="13"/>
  <c r="G178" i="13" s="1"/>
  <c r="H178" i="13" s="1"/>
  <c r="F177" i="13"/>
  <c r="G177" i="13" s="1"/>
  <c r="H177" i="13" s="1"/>
  <c r="F176" i="13"/>
  <c r="G176" i="13" s="1"/>
  <c r="H176" i="13" s="1"/>
  <c r="F175" i="13"/>
  <c r="G175" i="13" s="1"/>
  <c r="H175" i="13" s="1"/>
  <c r="F174" i="13"/>
  <c r="G174" i="13" s="1"/>
  <c r="H174" i="13" s="1"/>
  <c r="F173" i="13"/>
  <c r="G173" i="13" s="1"/>
  <c r="H173" i="13" s="1"/>
  <c r="F172" i="13"/>
  <c r="G172" i="13" s="1"/>
  <c r="H172" i="13" s="1"/>
  <c r="F171" i="13"/>
  <c r="G171" i="13" s="1"/>
  <c r="H171" i="13" s="1"/>
  <c r="F170" i="13"/>
  <c r="G170" i="13" s="1"/>
  <c r="H170" i="13" s="1"/>
  <c r="F169" i="13"/>
  <c r="G169" i="13" s="1"/>
  <c r="H169" i="13" s="1"/>
  <c r="F168" i="13"/>
  <c r="G168" i="13" s="1"/>
  <c r="H168" i="13" s="1"/>
  <c r="F167" i="13"/>
  <c r="G167" i="13" s="1"/>
  <c r="H167" i="13" s="1"/>
  <c r="F166" i="13"/>
  <c r="G166" i="13" s="1"/>
  <c r="H166" i="13" s="1"/>
  <c r="F165" i="13"/>
  <c r="G165" i="13" s="1"/>
  <c r="H165" i="13" s="1"/>
  <c r="F164" i="13"/>
  <c r="G164" i="13" s="1"/>
  <c r="H164" i="13" s="1"/>
  <c r="F163" i="13"/>
  <c r="G163" i="13" s="1"/>
  <c r="H163" i="13" s="1"/>
  <c r="F162" i="13"/>
  <c r="G162" i="13" s="1"/>
  <c r="H162" i="13" s="1"/>
  <c r="F161" i="13"/>
  <c r="G161" i="13" s="1"/>
  <c r="H161" i="13" s="1"/>
  <c r="F160" i="13"/>
  <c r="G160" i="13" s="1"/>
  <c r="H160" i="13" s="1"/>
  <c r="F159" i="13"/>
  <c r="G159" i="13" s="1"/>
  <c r="H159" i="13" s="1"/>
  <c r="F158" i="13"/>
  <c r="G158" i="13" s="1"/>
  <c r="H158" i="13" s="1"/>
  <c r="F157" i="13"/>
  <c r="G157" i="13" s="1"/>
  <c r="H157" i="13" s="1"/>
  <c r="F156" i="13"/>
  <c r="G156" i="13" s="1"/>
  <c r="H156" i="13" s="1"/>
  <c r="F155" i="13"/>
  <c r="G155" i="13" s="1"/>
  <c r="H155" i="13" s="1"/>
  <c r="F154" i="13"/>
  <c r="G154" i="13" s="1"/>
  <c r="H154" i="13" s="1"/>
  <c r="F153" i="13"/>
  <c r="G153" i="13" s="1"/>
  <c r="H153" i="13" s="1"/>
  <c r="F152" i="13"/>
  <c r="G152" i="13" s="1"/>
  <c r="H152" i="13" s="1"/>
  <c r="F151" i="13"/>
  <c r="G151" i="13" s="1"/>
  <c r="H151" i="13" s="1"/>
  <c r="F150" i="13"/>
  <c r="G150" i="13" s="1"/>
  <c r="H150" i="13" s="1"/>
  <c r="F149" i="13"/>
  <c r="G149" i="13" s="1"/>
  <c r="H149" i="13" s="1"/>
  <c r="F148" i="13"/>
  <c r="G148" i="13" s="1"/>
  <c r="H148" i="13" s="1"/>
  <c r="F147" i="13"/>
  <c r="G147" i="13" s="1"/>
  <c r="H147" i="13" s="1"/>
  <c r="F146" i="13"/>
  <c r="G146" i="13" s="1"/>
  <c r="H146" i="13" s="1"/>
  <c r="F145" i="13"/>
  <c r="G145" i="13" s="1"/>
  <c r="H145" i="13" s="1"/>
  <c r="F144" i="13"/>
  <c r="G144" i="13" s="1"/>
  <c r="H144" i="13" s="1"/>
  <c r="F143" i="13"/>
  <c r="G143" i="13" s="1"/>
  <c r="H143" i="13" s="1"/>
  <c r="F142" i="13"/>
  <c r="G142" i="13" s="1"/>
  <c r="H142" i="13" s="1"/>
  <c r="F141" i="13"/>
  <c r="G141" i="13" s="1"/>
  <c r="H141" i="13" s="1"/>
  <c r="F140" i="13"/>
  <c r="G140" i="13" s="1"/>
  <c r="H140" i="13" s="1"/>
  <c r="F139" i="13"/>
  <c r="G139" i="13" s="1"/>
  <c r="H139" i="13" s="1"/>
  <c r="F138" i="13"/>
  <c r="G138" i="13" s="1"/>
  <c r="H138" i="13" s="1"/>
  <c r="F137" i="13"/>
  <c r="G137" i="13" s="1"/>
  <c r="H137" i="13" s="1"/>
  <c r="F136" i="13"/>
  <c r="G136" i="13" s="1"/>
  <c r="H136" i="13" s="1"/>
  <c r="F135" i="13"/>
  <c r="G135" i="13" s="1"/>
  <c r="H135" i="13" s="1"/>
  <c r="F134" i="13"/>
  <c r="G134" i="13" s="1"/>
  <c r="H134" i="13" s="1"/>
  <c r="F133" i="13"/>
  <c r="G133" i="13" s="1"/>
  <c r="H133" i="13" s="1"/>
  <c r="F132" i="13"/>
  <c r="G132" i="13" s="1"/>
  <c r="H132" i="13" s="1"/>
  <c r="F131" i="13"/>
  <c r="G131" i="13" s="1"/>
  <c r="H131" i="13" s="1"/>
  <c r="F130" i="13"/>
  <c r="G130" i="13" s="1"/>
  <c r="H130" i="13" s="1"/>
  <c r="F129" i="13"/>
  <c r="G129" i="13" s="1"/>
  <c r="H129" i="13" s="1"/>
  <c r="F128" i="13"/>
  <c r="G128" i="13" s="1"/>
  <c r="H128" i="13" s="1"/>
  <c r="F127" i="13"/>
  <c r="G127" i="13" s="1"/>
  <c r="H127" i="13" s="1"/>
  <c r="F126" i="13"/>
  <c r="G126" i="13" s="1"/>
  <c r="H126" i="13" s="1"/>
  <c r="F125" i="13"/>
  <c r="G125" i="13" s="1"/>
  <c r="H125" i="13" s="1"/>
  <c r="F124" i="13"/>
  <c r="G124" i="13" s="1"/>
  <c r="H124" i="13" s="1"/>
  <c r="F123" i="13"/>
  <c r="G123" i="13" s="1"/>
  <c r="H123" i="13" s="1"/>
  <c r="F122" i="13"/>
  <c r="G122" i="13" s="1"/>
  <c r="H122" i="13" s="1"/>
  <c r="F121" i="13"/>
  <c r="G121" i="13" s="1"/>
  <c r="H121" i="13" s="1"/>
  <c r="F120" i="13"/>
  <c r="G120" i="13" s="1"/>
  <c r="H120" i="13" s="1"/>
  <c r="F119" i="13"/>
  <c r="G119" i="13" s="1"/>
  <c r="H119" i="13" s="1"/>
  <c r="F118" i="13"/>
  <c r="G118" i="13" s="1"/>
  <c r="H118" i="13" s="1"/>
  <c r="F117" i="13"/>
  <c r="G117" i="13" s="1"/>
  <c r="H117" i="13" s="1"/>
  <c r="F116" i="13"/>
  <c r="G116" i="13" s="1"/>
  <c r="H116" i="13" s="1"/>
  <c r="F115" i="13"/>
  <c r="G115" i="13" s="1"/>
  <c r="H115" i="13" s="1"/>
  <c r="F114" i="13"/>
  <c r="G114" i="13" s="1"/>
  <c r="H114" i="13" s="1"/>
  <c r="F113" i="13"/>
  <c r="G113" i="13" s="1"/>
  <c r="H113" i="13" s="1"/>
  <c r="F112" i="13"/>
  <c r="G112" i="13" s="1"/>
  <c r="H112" i="13" s="1"/>
  <c r="F111" i="13"/>
  <c r="G111" i="13" s="1"/>
  <c r="H111" i="13" s="1"/>
  <c r="F110" i="13"/>
  <c r="G110" i="13" s="1"/>
  <c r="H110" i="13" s="1"/>
  <c r="F109" i="13"/>
  <c r="G109" i="13" s="1"/>
  <c r="H109" i="13" s="1"/>
  <c r="F108" i="13"/>
  <c r="G108" i="13" s="1"/>
  <c r="H108" i="13" s="1"/>
  <c r="F107" i="13"/>
  <c r="G107" i="13" s="1"/>
  <c r="H107" i="13" s="1"/>
  <c r="F106" i="13"/>
  <c r="G106" i="13" s="1"/>
  <c r="H106" i="13" s="1"/>
  <c r="F105" i="13"/>
  <c r="G105" i="13" s="1"/>
  <c r="H105" i="13" s="1"/>
  <c r="F104" i="13"/>
  <c r="G104" i="13" s="1"/>
  <c r="H104" i="13" s="1"/>
  <c r="F103" i="13"/>
  <c r="G103" i="13" s="1"/>
  <c r="H103" i="13" s="1"/>
  <c r="F102" i="13"/>
  <c r="G102" i="13" s="1"/>
  <c r="H102" i="13" s="1"/>
  <c r="F101" i="13"/>
  <c r="G101" i="13" s="1"/>
  <c r="H101" i="13" s="1"/>
  <c r="F100" i="13"/>
  <c r="G100" i="13" s="1"/>
  <c r="H100" i="13" s="1"/>
  <c r="F99" i="13"/>
  <c r="G99" i="13" s="1"/>
  <c r="H99" i="13" s="1"/>
  <c r="F98" i="13"/>
  <c r="G98" i="13" s="1"/>
  <c r="H98" i="13" s="1"/>
  <c r="F97" i="13"/>
  <c r="G97" i="13" s="1"/>
  <c r="H97" i="13" s="1"/>
  <c r="F96" i="13"/>
  <c r="G96" i="13" s="1"/>
  <c r="H96" i="13" s="1"/>
  <c r="F95" i="13"/>
  <c r="G95" i="13" s="1"/>
  <c r="H95" i="13" s="1"/>
  <c r="F94" i="13"/>
  <c r="G94" i="13" s="1"/>
  <c r="H94" i="13" s="1"/>
  <c r="F93" i="13"/>
  <c r="G93" i="13" s="1"/>
  <c r="H93" i="13" s="1"/>
  <c r="F92" i="13"/>
  <c r="G92" i="13" s="1"/>
  <c r="H92" i="13" s="1"/>
  <c r="F91" i="13"/>
  <c r="G91" i="13" s="1"/>
  <c r="H91" i="13" s="1"/>
  <c r="F90" i="13"/>
  <c r="G90" i="13" s="1"/>
  <c r="H90" i="13" s="1"/>
  <c r="F89" i="13"/>
  <c r="G89" i="13" s="1"/>
  <c r="H89" i="13" s="1"/>
  <c r="F88" i="13"/>
  <c r="G88" i="13" s="1"/>
  <c r="H88" i="13" s="1"/>
  <c r="F87" i="13"/>
  <c r="G87" i="13" s="1"/>
  <c r="H87" i="13" s="1"/>
  <c r="F86" i="13"/>
  <c r="G86" i="13" s="1"/>
  <c r="H86" i="13" s="1"/>
  <c r="F85" i="13"/>
  <c r="G85" i="13" s="1"/>
  <c r="H85" i="13" s="1"/>
  <c r="F84" i="13"/>
  <c r="G84" i="13" s="1"/>
  <c r="H84" i="13" s="1"/>
  <c r="F83" i="13"/>
  <c r="G83" i="13" s="1"/>
  <c r="H83" i="13" s="1"/>
  <c r="F82" i="13"/>
  <c r="G82" i="13" s="1"/>
  <c r="H82" i="13" s="1"/>
  <c r="F81" i="13"/>
  <c r="G81" i="13" s="1"/>
  <c r="H81" i="13" s="1"/>
  <c r="F80" i="13"/>
  <c r="G80" i="13" s="1"/>
  <c r="H80" i="13" s="1"/>
  <c r="F79" i="13"/>
  <c r="G79" i="13" s="1"/>
  <c r="H79" i="13" s="1"/>
  <c r="F78" i="13"/>
  <c r="G78" i="13" s="1"/>
  <c r="H78" i="13" s="1"/>
  <c r="F77" i="13"/>
  <c r="G77" i="13" s="1"/>
  <c r="H77" i="13" s="1"/>
  <c r="F76" i="13"/>
  <c r="G76" i="13" s="1"/>
  <c r="H76" i="13" s="1"/>
  <c r="F75" i="13"/>
  <c r="G75" i="13" s="1"/>
  <c r="H75" i="13" s="1"/>
  <c r="F74" i="13"/>
  <c r="G74" i="13" s="1"/>
  <c r="H74" i="13" s="1"/>
  <c r="F73" i="13"/>
  <c r="G73" i="13" s="1"/>
  <c r="H73" i="13" s="1"/>
  <c r="F72" i="13"/>
  <c r="G72" i="13" s="1"/>
  <c r="H72" i="13" s="1"/>
  <c r="F71" i="13"/>
  <c r="G71" i="13" s="1"/>
  <c r="H71" i="13" s="1"/>
  <c r="F70" i="13"/>
  <c r="G70" i="13" s="1"/>
  <c r="H70" i="13" s="1"/>
  <c r="F69" i="13"/>
  <c r="G69" i="13" s="1"/>
  <c r="H69" i="13" s="1"/>
  <c r="F68" i="13"/>
  <c r="G68" i="13" s="1"/>
  <c r="H68" i="13" s="1"/>
  <c r="F67" i="13"/>
  <c r="G67" i="13" s="1"/>
  <c r="H67" i="13" s="1"/>
  <c r="F66" i="13"/>
  <c r="G66" i="13" s="1"/>
  <c r="H66" i="13" s="1"/>
  <c r="F65" i="13"/>
  <c r="G65" i="13" s="1"/>
  <c r="H65" i="13" s="1"/>
  <c r="F64" i="13"/>
  <c r="G64" i="13" s="1"/>
  <c r="H64" i="13" s="1"/>
  <c r="F63" i="13"/>
  <c r="G63" i="13" s="1"/>
  <c r="H63" i="13" s="1"/>
  <c r="F62" i="13"/>
  <c r="G62" i="13" s="1"/>
  <c r="H62" i="13" s="1"/>
  <c r="F61" i="13"/>
  <c r="G61" i="13" s="1"/>
  <c r="H61" i="13" s="1"/>
  <c r="F60" i="13"/>
  <c r="G60" i="13" s="1"/>
  <c r="H60" i="13" s="1"/>
  <c r="F59" i="13"/>
  <c r="G59" i="13" s="1"/>
  <c r="H59" i="13" s="1"/>
  <c r="F58" i="13"/>
  <c r="G58" i="13" s="1"/>
  <c r="H58" i="13" s="1"/>
  <c r="F57" i="13"/>
  <c r="G57" i="13" s="1"/>
  <c r="H57" i="13" s="1"/>
  <c r="F56" i="13"/>
  <c r="G56" i="13" s="1"/>
  <c r="H56" i="13" s="1"/>
  <c r="F55" i="13"/>
  <c r="G55" i="13" s="1"/>
  <c r="H55" i="13" s="1"/>
  <c r="F54" i="13"/>
  <c r="G54" i="13" s="1"/>
  <c r="H54" i="13" s="1"/>
  <c r="F53" i="13"/>
  <c r="G53" i="13" s="1"/>
  <c r="H53" i="13" s="1"/>
  <c r="F52" i="13"/>
  <c r="G52" i="13" s="1"/>
  <c r="H52" i="13" s="1"/>
  <c r="F51" i="13"/>
  <c r="G51" i="13" s="1"/>
  <c r="H51" i="13" s="1"/>
  <c r="F50" i="13"/>
  <c r="G50" i="13" s="1"/>
  <c r="H50" i="13" s="1"/>
  <c r="F49" i="13"/>
  <c r="G49" i="13" s="1"/>
  <c r="H49" i="13" s="1"/>
  <c r="F48" i="13"/>
  <c r="G48" i="13" s="1"/>
  <c r="H48" i="13" s="1"/>
  <c r="F47" i="13"/>
  <c r="G47" i="13" s="1"/>
  <c r="H47" i="13" s="1"/>
  <c r="F46" i="13"/>
  <c r="G46" i="13" s="1"/>
  <c r="H46" i="13" s="1"/>
  <c r="F45" i="13"/>
  <c r="G45" i="13" s="1"/>
  <c r="H45" i="13" s="1"/>
  <c r="F44" i="13"/>
  <c r="G44" i="13" s="1"/>
  <c r="H44" i="13" s="1"/>
  <c r="F43" i="13"/>
  <c r="G43" i="13" s="1"/>
  <c r="H43" i="13" s="1"/>
  <c r="F42" i="13"/>
  <c r="G42" i="13" s="1"/>
  <c r="H42" i="13" s="1"/>
  <c r="F41" i="13"/>
  <c r="G41" i="13" s="1"/>
  <c r="H41" i="13" s="1"/>
  <c r="F40" i="13"/>
  <c r="G40" i="13" s="1"/>
  <c r="H40" i="13" s="1"/>
  <c r="F39" i="13"/>
  <c r="G39" i="13" s="1"/>
  <c r="H39" i="13" s="1"/>
  <c r="F38" i="13"/>
  <c r="G38" i="13" s="1"/>
  <c r="H38" i="13" s="1"/>
  <c r="F37" i="13"/>
  <c r="G37" i="13" s="1"/>
  <c r="H37" i="13" s="1"/>
  <c r="F36" i="13"/>
  <c r="G36" i="13" s="1"/>
  <c r="H36" i="13" s="1"/>
  <c r="F35" i="13"/>
  <c r="G35" i="13" s="1"/>
  <c r="H35" i="13" s="1"/>
  <c r="F34" i="13"/>
  <c r="G34" i="13" s="1"/>
  <c r="H34" i="13" s="1"/>
  <c r="F33" i="13"/>
  <c r="G33" i="13" s="1"/>
  <c r="H33" i="13" s="1"/>
  <c r="F32" i="13"/>
  <c r="G32" i="13" s="1"/>
  <c r="H32" i="13" s="1"/>
  <c r="F31" i="13"/>
  <c r="G31" i="13" s="1"/>
  <c r="H31" i="13" s="1"/>
  <c r="F30" i="13"/>
  <c r="G30" i="13" s="1"/>
  <c r="H30" i="13" s="1"/>
  <c r="F29" i="13"/>
  <c r="G29" i="13" s="1"/>
  <c r="H29" i="13" s="1"/>
  <c r="F28" i="13"/>
  <c r="G28" i="13" s="1"/>
  <c r="H28" i="13" s="1"/>
  <c r="F27" i="13"/>
  <c r="G27" i="13" s="1"/>
  <c r="H27" i="13" s="1"/>
  <c r="F26" i="13"/>
  <c r="G26" i="13" s="1"/>
  <c r="H26" i="13" s="1"/>
  <c r="F25" i="13"/>
  <c r="G25" i="13" s="1"/>
  <c r="H25" i="13" s="1"/>
  <c r="F24" i="13"/>
  <c r="G24" i="13" s="1"/>
  <c r="H24" i="13" s="1"/>
  <c r="F23" i="13"/>
  <c r="G23" i="13" s="1"/>
  <c r="H23" i="13" s="1"/>
  <c r="F22" i="13"/>
  <c r="G22" i="13" s="1"/>
  <c r="H22" i="13" s="1"/>
  <c r="F21" i="13"/>
  <c r="G21" i="13" s="1"/>
  <c r="H21" i="13" s="1"/>
  <c r="F20" i="13"/>
  <c r="G20" i="13" s="1"/>
  <c r="H20" i="13" s="1"/>
  <c r="F19" i="13"/>
  <c r="G19" i="13" s="1"/>
  <c r="H19" i="13" s="1"/>
  <c r="F18" i="13"/>
  <c r="G18" i="13" s="1"/>
  <c r="H18" i="13" s="1"/>
  <c r="F17" i="13"/>
  <c r="G17" i="13" s="1"/>
  <c r="H17" i="13" s="1"/>
  <c r="F16" i="13"/>
  <c r="G16" i="13" s="1"/>
  <c r="H16" i="13" s="1"/>
  <c r="F15" i="13"/>
  <c r="G15" i="13" s="1"/>
  <c r="H15" i="13" s="1"/>
  <c r="F14" i="13"/>
  <c r="G14" i="13" s="1"/>
  <c r="H14" i="13" s="1"/>
  <c r="F13" i="13"/>
  <c r="G13" i="13" s="1"/>
  <c r="H13" i="13" s="1"/>
  <c r="F12" i="13"/>
  <c r="G12" i="13" s="1"/>
  <c r="H12" i="13" s="1"/>
  <c r="F11" i="13"/>
  <c r="G11" i="13" s="1"/>
  <c r="H11" i="13" s="1"/>
  <c r="F10" i="13"/>
  <c r="G10" i="13" s="1"/>
  <c r="H10" i="13" s="1"/>
  <c r="F9" i="13"/>
  <c r="G9" i="13" s="1"/>
  <c r="H9" i="13" s="1"/>
  <c r="F8" i="13"/>
  <c r="G8" i="13" s="1"/>
  <c r="H8" i="13" s="1"/>
  <c r="F7" i="13"/>
  <c r="G7" i="13" s="1"/>
  <c r="H7" i="13" s="1"/>
  <c r="F6" i="13"/>
  <c r="G6" i="13" s="1"/>
  <c r="H6" i="13" s="1"/>
  <c r="F5" i="13"/>
  <c r="G5" i="13" s="1"/>
  <c r="H5" i="13" s="1"/>
  <c r="F4" i="13"/>
  <c r="G4" i="13" s="1"/>
  <c r="H4" i="13" s="1"/>
  <c r="N1311" i="12" l="1"/>
  <c r="N1310" i="12"/>
  <c r="N1309" i="12"/>
  <c r="N1308" i="12"/>
  <c r="N1307" i="12"/>
  <c r="N1306" i="12"/>
  <c r="N1305" i="12"/>
  <c r="N1304" i="12"/>
  <c r="N1303" i="12"/>
  <c r="N1302" i="12"/>
  <c r="N1301" i="12"/>
  <c r="N1300" i="12"/>
  <c r="N1299" i="12"/>
  <c r="N1298" i="12"/>
  <c r="N1297" i="12"/>
  <c r="N1296" i="12"/>
  <c r="N1295" i="12"/>
  <c r="N1294" i="12"/>
  <c r="N1293" i="12"/>
  <c r="N1292" i="12"/>
  <c r="N1291" i="12"/>
  <c r="N1290" i="12"/>
  <c r="N1289" i="12"/>
  <c r="N1288" i="12"/>
  <c r="N1287" i="12"/>
  <c r="N1286" i="12"/>
  <c r="N1285" i="12"/>
  <c r="N1284" i="12"/>
  <c r="N1283" i="12"/>
  <c r="N1282" i="12"/>
  <c r="N1281" i="12"/>
  <c r="N1280" i="12"/>
  <c r="N1279" i="12"/>
  <c r="N1278" i="12"/>
  <c r="N1277" i="12"/>
  <c r="N1276" i="12"/>
  <c r="N1275" i="12"/>
  <c r="N1274" i="12"/>
  <c r="N1273" i="12"/>
  <c r="N1272" i="12"/>
  <c r="N1271" i="12"/>
  <c r="N1270" i="12"/>
  <c r="N1269" i="12"/>
  <c r="N1268" i="12"/>
  <c r="N1267" i="12"/>
  <c r="N1266" i="12"/>
  <c r="N1265" i="12"/>
  <c r="N1264" i="12"/>
  <c r="N1263" i="12"/>
  <c r="N1262" i="12"/>
  <c r="N1261" i="12"/>
  <c r="N1260" i="12"/>
  <c r="N1259" i="12"/>
  <c r="N1258" i="12"/>
  <c r="N1257" i="12"/>
  <c r="N1256" i="12"/>
  <c r="N1255" i="12"/>
  <c r="N1254" i="12"/>
  <c r="N1253" i="12"/>
  <c r="N1252" i="12"/>
  <c r="N1251" i="12"/>
  <c r="N1250" i="12"/>
  <c r="N1249" i="12"/>
  <c r="N1248" i="12"/>
  <c r="N1247" i="12"/>
  <c r="N1246" i="12"/>
  <c r="N1245" i="12"/>
  <c r="N1244" i="12"/>
  <c r="N1243" i="12"/>
  <c r="N1242" i="12"/>
  <c r="N1241" i="12"/>
  <c r="N1240" i="12"/>
  <c r="N1239" i="12"/>
  <c r="N1238" i="12"/>
  <c r="N1237" i="12"/>
  <c r="N1236" i="12"/>
  <c r="N1235" i="12"/>
  <c r="N1234" i="12"/>
  <c r="N1233" i="12"/>
  <c r="N1232" i="12"/>
  <c r="N1231" i="12"/>
  <c r="N1230" i="12"/>
  <c r="N1229" i="12"/>
  <c r="N1228" i="12"/>
  <c r="N1227" i="12"/>
  <c r="N1226" i="12"/>
  <c r="N1225" i="12"/>
  <c r="N1224" i="12"/>
  <c r="N1223" i="12"/>
  <c r="N1222" i="12"/>
  <c r="N1221" i="12"/>
  <c r="N1220" i="12"/>
  <c r="N1219" i="12"/>
  <c r="N1218" i="12"/>
  <c r="N1217" i="12"/>
  <c r="N1216" i="12"/>
  <c r="N1215" i="12"/>
  <c r="N1214" i="12"/>
  <c r="N1213" i="12"/>
  <c r="N1212" i="12"/>
  <c r="N1211" i="12"/>
  <c r="N1210" i="12"/>
  <c r="N1209" i="12"/>
  <c r="N1208" i="12"/>
  <c r="N1207" i="12"/>
  <c r="N1206" i="12"/>
  <c r="N1205" i="12"/>
  <c r="N1204" i="12"/>
  <c r="N1203" i="12"/>
  <c r="N1202" i="12"/>
  <c r="N1201" i="12"/>
  <c r="N1200" i="12"/>
  <c r="N1199" i="12"/>
  <c r="N1198" i="12"/>
  <c r="N1197" i="12"/>
  <c r="N1196" i="12"/>
  <c r="N1195" i="12"/>
  <c r="N1194" i="12"/>
  <c r="N1193" i="12"/>
  <c r="N1192" i="12"/>
  <c r="N1191" i="12"/>
  <c r="N1190" i="12"/>
  <c r="N1189" i="12"/>
  <c r="N1188" i="12"/>
  <c r="N1187" i="12"/>
  <c r="N1186" i="12"/>
  <c r="N1185" i="12"/>
  <c r="N1184" i="12"/>
  <c r="N1183" i="12"/>
  <c r="N1182" i="12"/>
  <c r="N1181" i="12"/>
  <c r="N1180" i="12"/>
  <c r="N1179" i="12"/>
  <c r="N1178" i="12"/>
  <c r="N1177" i="12"/>
  <c r="N1176" i="12"/>
  <c r="N1175" i="12"/>
  <c r="N1174" i="12"/>
  <c r="N1173" i="12"/>
  <c r="N1172" i="12"/>
  <c r="N1171" i="12"/>
  <c r="N1170" i="12"/>
  <c r="N1169" i="12"/>
  <c r="N1168" i="12"/>
  <c r="N1167" i="12"/>
  <c r="N1166" i="12"/>
  <c r="N1165" i="12"/>
  <c r="N1164" i="12"/>
  <c r="N1163" i="12"/>
  <c r="N1162" i="12"/>
  <c r="N1161" i="12"/>
  <c r="N1160" i="12"/>
  <c r="N1159" i="12"/>
  <c r="N1158" i="12"/>
  <c r="N1157" i="12"/>
  <c r="N1156" i="12"/>
  <c r="N1155" i="12"/>
  <c r="N1154" i="12"/>
  <c r="N1153" i="12"/>
  <c r="N1152" i="12"/>
  <c r="N1151" i="12"/>
  <c r="N1150" i="12"/>
  <c r="N1149" i="12"/>
  <c r="N1148" i="12"/>
  <c r="N1147" i="12"/>
  <c r="N1146" i="12"/>
  <c r="N1145" i="12"/>
  <c r="N1144" i="12"/>
  <c r="N1143" i="12"/>
  <c r="N1142" i="12"/>
  <c r="N1141" i="12"/>
  <c r="N1140" i="12"/>
  <c r="N1139" i="12"/>
  <c r="N1138" i="12"/>
  <c r="N1137" i="12"/>
  <c r="N1136" i="12"/>
  <c r="N1135" i="12"/>
  <c r="N1134" i="12"/>
  <c r="N1133" i="12"/>
  <c r="N1132" i="12"/>
  <c r="N1131" i="12"/>
  <c r="N1130" i="12"/>
  <c r="N1129" i="12"/>
  <c r="N1128" i="12"/>
  <c r="N1127" i="12"/>
  <c r="N1126" i="12"/>
  <c r="N1125" i="12"/>
  <c r="N1124" i="12"/>
  <c r="N1123" i="12"/>
  <c r="N1122" i="12"/>
  <c r="N1121" i="12"/>
  <c r="N1120" i="12"/>
  <c r="N1119" i="12"/>
  <c r="N1118" i="12"/>
  <c r="N1117" i="12"/>
  <c r="N1116" i="12"/>
  <c r="N1115" i="12"/>
  <c r="N1114" i="12"/>
  <c r="N1113" i="12"/>
  <c r="N1112" i="12"/>
  <c r="N1111" i="12"/>
  <c r="N1110" i="12"/>
  <c r="N1109" i="12"/>
  <c r="N1108" i="12"/>
  <c r="N1107" i="12"/>
  <c r="N1106" i="12"/>
  <c r="N1105" i="12"/>
  <c r="N1104" i="12"/>
  <c r="N1103" i="12"/>
  <c r="N1102" i="12"/>
  <c r="N1101" i="12"/>
  <c r="N1100" i="12"/>
  <c r="N1099" i="12"/>
  <c r="N1098" i="12"/>
  <c r="N1097" i="12"/>
  <c r="N1096" i="12"/>
  <c r="N1095" i="12"/>
  <c r="N1094" i="12"/>
  <c r="N1093" i="12"/>
  <c r="N1092" i="12"/>
  <c r="N1091" i="12"/>
  <c r="N1090" i="12"/>
  <c r="N1089" i="12"/>
  <c r="N1088" i="12"/>
  <c r="N1087" i="12"/>
  <c r="N1086" i="12"/>
  <c r="N1085" i="12"/>
  <c r="N1084" i="12"/>
  <c r="N1083" i="12"/>
  <c r="N1082" i="12"/>
  <c r="N1081" i="12"/>
  <c r="N1080" i="12"/>
  <c r="N1079" i="12"/>
  <c r="N1078" i="12"/>
  <c r="N1077" i="12"/>
  <c r="N1076" i="12"/>
  <c r="N1075" i="12"/>
  <c r="N1074" i="12"/>
  <c r="N1073" i="12"/>
  <c r="N1072" i="12"/>
  <c r="N1071" i="12"/>
  <c r="N1070" i="12"/>
  <c r="N1069" i="12"/>
  <c r="N1068" i="12"/>
  <c r="N1067" i="12"/>
  <c r="N1066" i="12"/>
  <c r="N1065" i="12"/>
  <c r="N1064" i="12"/>
  <c r="N1063" i="12"/>
  <c r="N1062" i="12"/>
  <c r="N1061" i="12"/>
  <c r="N1060" i="12"/>
  <c r="N1059" i="12"/>
  <c r="N1058" i="12"/>
  <c r="N1057" i="12"/>
  <c r="N1056" i="12"/>
  <c r="N1055" i="12"/>
  <c r="N1054" i="12"/>
  <c r="N1053" i="12"/>
  <c r="N1052" i="12"/>
  <c r="N1051" i="12"/>
  <c r="N1050" i="12"/>
  <c r="N1049" i="12"/>
  <c r="N1048" i="12"/>
  <c r="N1047" i="12"/>
  <c r="N1046" i="12"/>
  <c r="N1045" i="12"/>
  <c r="N1044" i="12"/>
  <c r="N1043" i="12"/>
  <c r="N1042" i="12"/>
  <c r="N1041" i="12"/>
  <c r="N1040" i="12"/>
  <c r="N1039" i="12"/>
  <c r="N1038" i="12"/>
  <c r="N1037" i="12"/>
  <c r="N1036" i="12"/>
  <c r="N1035" i="12"/>
  <c r="N1034" i="12"/>
  <c r="N1033" i="12"/>
  <c r="N1032" i="12"/>
  <c r="N1031" i="12"/>
  <c r="N1030" i="12"/>
  <c r="N1029" i="12"/>
  <c r="N1028" i="12"/>
  <c r="N1027" i="12"/>
  <c r="N1026" i="12"/>
  <c r="N1025" i="12"/>
  <c r="N1024" i="12"/>
  <c r="N1023" i="12"/>
  <c r="N1022" i="12"/>
  <c r="N1021" i="12"/>
  <c r="N1020" i="12"/>
  <c r="N1019" i="12"/>
  <c r="N1018" i="12"/>
  <c r="N1017" i="12"/>
  <c r="N1016" i="12"/>
  <c r="N1015" i="12"/>
  <c r="N1014" i="12"/>
  <c r="N1013" i="12"/>
  <c r="N1012" i="12"/>
  <c r="N1011" i="12"/>
  <c r="N1010" i="12"/>
  <c r="N1009" i="12"/>
  <c r="N1008" i="12"/>
  <c r="N1007" i="12"/>
  <c r="N1006" i="12"/>
  <c r="N1005" i="12"/>
  <c r="N1004" i="12"/>
  <c r="N1003" i="12"/>
  <c r="N1002" i="12"/>
  <c r="N1001" i="12"/>
  <c r="N1000" i="12"/>
  <c r="N999" i="12"/>
  <c r="N998" i="12"/>
  <c r="N997" i="12"/>
  <c r="N996" i="12"/>
  <c r="N995" i="12"/>
  <c r="N994" i="12"/>
  <c r="N993" i="12"/>
  <c r="N992" i="12"/>
  <c r="N991" i="12"/>
  <c r="N990" i="12"/>
  <c r="N989" i="12"/>
  <c r="N988" i="12"/>
  <c r="N987" i="12"/>
  <c r="N986" i="12"/>
  <c r="N985" i="12"/>
  <c r="N984" i="12"/>
  <c r="N983" i="12"/>
  <c r="N982" i="12"/>
  <c r="N981" i="12"/>
  <c r="N980" i="12"/>
  <c r="N979" i="12"/>
  <c r="N978" i="12"/>
  <c r="N977" i="12"/>
  <c r="N976" i="12"/>
  <c r="N975" i="12"/>
  <c r="N974" i="12"/>
  <c r="N973" i="12"/>
  <c r="N972" i="12"/>
  <c r="N971" i="12"/>
  <c r="N970" i="12"/>
  <c r="N969" i="12"/>
  <c r="N968" i="12"/>
  <c r="N967" i="12"/>
  <c r="N966" i="12"/>
  <c r="N965" i="12"/>
  <c r="N964" i="12"/>
  <c r="N963" i="12"/>
  <c r="N962" i="12"/>
  <c r="N961" i="12"/>
  <c r="N960" i="12"/>
  <c r="N959" i="12"/>
  <c r="N958" i="12"/>
  <c r="N957" i="12"/>
  <c r="N956" i="12"/>
  <c r="N955" i="12"/>
  <c r="N954" i="12"/>
  <c r="N953" i="12"/>
  <c r="N952" i="12"/>
  <c r="N951" i="12"/>
  <c r="N950" i="12"/>
  <c r="N949" i="12"/>
  <c r="N948" i="12"/>
  <c r="N947" i="12"/>
  <c r="N946" i="12"/>
  <c r="N945" i="12"/>
  <c r="N944" i="12"/>
  <c r="N943" i="12"/>
  <c r="N942" i="12"/>
  <c r="N941" i="12"/>
  <c r="N940" i="12"/>
  <c r="N939" i="12"/>
  <c r="N938" i="12"/>
  <c r="N937" i="12"/>
  <c r="N936" i="12"/>
  <c r="N935" i="12"/>
  <c r="N934" i="12"/>
  <c r="N933" i="12"/>
  <c r="N932" i="12"/>
  <c r="N931" i="12"/>
  <c r="N930" i="12"/>
  <c r="N929" i="12"/>
  <c r="N928" i="12"/>
  <c r="N927" i="12"/>
  <c r="N926" i="12"/>
  <c r="N925" i="12"/>
  <c r="N924" i="12"/>
  <c r="N923" i="12"/>
  <c r="N922" i="12"/>
  <c r="N921" i="12"/>
  <c r="N920" i="12"/>
  <c r="N919" i="12"/>
  <c r="N918" i="12"/>
  <c r="N917" i="12"/>
  <c r="N916" i="12"/>
  <c r="N915" i="12"/>
  <c r="N914" i="12"/>
  <c r="N913" i="12"/>
  <c r="N912" i="12"/>
  <c r="N911" i="12"/>
  <c r="N910" i="12"/>
  <c r="N909" i="12"/>
  <c r="N908" i="12"/>
  <c r="N907" i="12"/>
  <c r="N906" i="12"/>
  <c r="N905" i="12"/>
  <c r="N904" i="12"/>
  <c r="N903" i="12"/>
  <c r="N902" i="12"/>
  <c r="N901" i="12"/>
  <c r="N900" i="12"/>
  <c r="N899" i="12"/>
  <c r="N898" i="12"/>
  <c r="N897" i="12"/>
  <c r="N896" i="12"/>
  <c r="N895" i="12"/>
  <c r="N894" i="12"/>
  <c r="N893" i="12"/>
  <c r="N892" i="12"/>
  <c r="N891" i="12"/>
  <c r="N890" i="12"/>
  <c r="N889" i="12"/>
  <c r="N888" i="12"/>
  <c r="N887" i="12"/>
  <c r="N886" i="12"/>
  <c r="N885" i="12"/>
  <c r="N884" i="12"/>
  <c r="N883" i="12"/>
  <c r="N882" i="12"/>
  <c r="N881" i="12"/>
  <c r="N880" i="12"/>
  <c r="N879" i="12"/>
  <c r="N878" i="12"/>
  <c r="N877" i="12"/>
  <c r="N876" i="12"/>
  <c r="N875" i="12"/>
  <c r="N874" i="12"/>
  <c r="N873" i="12"/>
  <c r="N872" i="12"/>
  <c r="N871" i="12"/>
  <c r="N870" i="12"/>
  <c r="N869" i="12"/>
  <c r="N868" i="12"/>
  <c r="N867" i="12"/>
  <c r="N866" i="12"/>
  <c r="N865" i="12"/>
  <c r="N864" i="12"/>
  <c r="N863" i="12"/>
  <c r="N862" i="12"/>
  <c r="N861" i="12"/>
  <c r="N860" i="12"/>
  <c r="N859" i="12"/>
  <c r="N858" i="12"/>
  <c r="N857" i="12"/>
  <c r="N856" i="12"/>
  <c r="N855" i="12"/>
  <c r="N854" i="12"/>
  <c r="N853" i="12"/>
  <c r="N852" i="12"/>
  <c r="N851" i="12"/>
  <c r="N850" i="12"/>
  <c r="N849" i="12"/>
  <c r="N848" i="12"/>
  <c r="N847" i="12"/>
  <c r="N846" i="12"/>
  <c r="N845" i="12"/>
  <c r="N844" i="12"/>
  <c r="N843" i="12"/>
  <c r="N842" i="12"/>
  <c r="N841" i="12"/>
  <c r="N840" i="12"/>
  <c r="N839" i="12"/>
  <c r="N838" i="12"/>
  <c r="N837" i="12"/>
  <c r="N836" i="12"/>
  <c r="N835" i="12"/>
  <c r="N834" i="12"/>
  <c r="N833" i="12"/>
  <c r="N832" i="12"/>
  <c r="N831" i="12"/>
  <c r="N830" i="12"/>
  <c r="N829" i="12"/>
  <c r="N828" i="12"/>
  <c r="N827" i="12"/>
  <c r="N826" i="12"/>
  <c r="N825" i="12"/>
  <c r="N824" i="12"/>
  <c r="N823" i="12"/>
  <c r="N822" i="12"/>
  <c r="N821" i="12"/>
  <c r="N820" i="12"/>
  <c r="N819" i="12"/>
  <c r="N818" i="12"/>
  <c r="N817" i="12"/>
  <c r="N816" i="12"/>
  <c r="N815" i="12"/>
  <c r="N814" i="12"/>
  <c r="N813" i="12"/>
  <c r="N812" i="12"/>
  <c r="N811" i="12"/>
  <c r="N810" i="12"/>
  <c r="N809" i="12"/>
  <c r="N808" i="12"/>
  <c r="N807" i="12"/>
  <c r="N806" i="12"/>
  <c r="N805" i="12"/>
  <c r="N804" i="12"/>
  <c r="N803" i="12"/>
  <c r="N802" i="12"/>
  <c r="N801" i="12"/>
  <c r="N800" i="12"/>
  <c r="N799" i="12"/>
  <c r="N798" i="12"/>
  <c r="N797" i="12"/>
  <c r="N796" i="12"/>
  <c r="N795" i="12"/>
  <c r="N794" i="12"/>
  <c r="N793" i="12"/>
  <c r="N792" i="12"/>
  <c r="N791" i="12"/>
  <c r="N790" i="12"/>
  <c r="N789" i="12"/>
  <c r="N788" i="12"/>
  <c r="N787" i="12"/>
  <c r="N786" i="12"/>
  <c r="N785" i="12"/>
  <c r="N784" i="12"/>
  <c r="N783" i="12"/>
  <c r="N782" i="12"/>
  <c r="N781" i="12"/>
  <c r="N780" i="12"/>
  <c r="N779" i="12"/>
  <c r="N778" i="12"/>
  <c r="N777" i="12"/>
  <c r="N776" i="12"/>
  <c r="N775" i="12"/>
  <c r="N774" i="12"/>
  <c r="N773" i="12"/>
  <c r="N772" i="12"/>
  <c r="N771" i="12"/>
  <c r="N770" i="12"/>
  <c r="N769" i="12"/>
  <c r="N768" i="12"/>
  <c r="N767" i="12"/>
  <c r="N766" i="12"/>
  <c r="N765" i="12"/>
  <c r="N764" i="12"/>
  <c r="N763" i="12"/>
  <c r="N762" i="12"/>
  <c r="N761" i="12"/>
  <c r="N760" i="12"/>
  <c r="N759" i="12"/>
  <c r="N758" i="12"/>
  <c r="N757" i="12"/>
  <c r="N756" i="12"/>
  <c r="N755" i="12"/>
  <c r="N754" i="12"/>
  <c r="N753" i="12"/>
  <c r="N752" i="12"/>
  <c r="N751" i="12"/>
  <c r="N750" i="12"/>
  <c r="N749" i="12"/>
  <c r="N748" i="12"/>
  <c r="N747" i="12"/>
  <c r="N746" i="12"/>
  <c r="N745" i="12"/>
  <c r="N744" i="12"/>
  <c r="N743" i="12"/>
  <c r="N742" i="12"/>
  <c r="N741" i="12"/>
  <c r="N740" i="12"/>
  <c r="N739" i="12"/>
  <c r="N738" i="12"/>
  <c r="N737" i="12"/>
  <c r="N736" i="12"/>
  <c r="N735" i="12"/>
  <c r="N734" i="12"/>
  <c r="N733" i="12"/>
  <c r="N732" i="12"/>
  <c r="N731" i="12"/>
  <c r="N730" i="12"/>
  <c r="N729" i="12"/>
  <c r="N728" i="12"/>
  <c r="N727" i="12"/>
  <c r="N726" i="12"/>
  <c r="N725" i="12"/>
  <c r="N724" i="12"/>
  <c r="N723" i="12"/>
  <c r="N722" i="12"/>
  <c r="N721" i="12"/>
  <c r="N720" i="12"/>
  <c r="N719" i="12"/>
  <c r="N718" i="12"/>
  <c r="N717" i="12"/>
  <c r="N716" i="12"/>
  <c r="N715" i="12"/>
  <c r="N714" i="12"/>
  <c r="N713" i="12"/>
  <c r="N712" i="12"/>
  <c r="N711" i="12"/>
  <c r="N710" i="12"/>
  <c r="N709" i="12"/>
  <c r="N708" i="12"/>
  <c r="N707" i="12"/>
  <c r="N706" i="12"/>
  <c r="N705" i="12"/>
  <c r="N704" i="12"/>
  <c r="N703" i="12"/>
  <c r="N702" i="12"/>
  <c r="N701" i="12"/>
  <c r="N700" i="12"/>
  <c r="N699" i="12"/>
  <c r="N698" i="12"/>
  <c r="N697" i="12"/>
  <c r="N696" i="12"/>
  <c r="N695" i="12"/>
  <c r="N694" i="12"/>
  <c r="N693" i="12"/>
  <c r="N692" i="12"/>
  <c r="N691" i="12"/>
  <c r="N690" i="12"/>
  <c r="N689" i="12"/>
  <c r="N688" i="12"/>
  <c r="N687" i="12"/>
  <c r="N686" i="12"/>
  <c r="N685" i="12"/>
  <c r="N684" i="12"/>
  <c r="N683" i="12"/>
  <c r="N682" i="12"/>
  <c r="N681" i="12"/>
  <c r="N680" i="12"/>
  <c r="N679" i="12"/>
  <c r="N678" i="12"/>
  <c r="N677" i="12"/>
  <c r="N676" i="12"/>
  <c r="N675" i="12"/>
  <c r="N674" i="12"/>
  <c r="N673" i="12"/>
  <c r="N672" i="12"/>
  <c r="N671" i="12"/>
  <c r="N670" i="12"/>
  <c r="N669" i="12"/>
  <c r="N668" i="12"/>
  <c r="N667" i="12"/>
  <c r="N666" i="12"/>
  <c r="N665" i="12"/>
  <c r="N664" i="12"/>
  <c r="N663" i="12"/>
  <c r="N662" i="12"/>
  <c r="N661" i="12"/>
  <c r="N660" i="12"/>
  <c r="N659" i="12"/>
  <c r="N658" i="12"/>
  <c r="N657" i="12"/>
  <c r="N656" i="12"/>
  <c r="N655" i="12"/>
  <c r="N654" i="12"/>
  <c r="N653" i="12"/>
  <c r="N652" i="12"/>
  <c r="N651" i="12"/>
  <c r="N650" i="12"/>
  <c r="N649" i="12"/>
  <c r="N648" i="12"/>
  <c r="N647" i="12"/>
  <c r="N646" i="12"/>
  <c r="N645" i="12"/>
  <c r="N644" i="12"/>
  <c r="N643" i="12"/>
  <c r="N642" i="12"/>
  <c r="N641" i="12"/>
  <c r="N640" i="12"/>
  <c r="N639" i="12"/>
  <c r="N638" i="12"/>
  <c r="N637" i="12"/>
  <c r="N636" i="12"/>
  <c r="N635" i="12"/>
  <c r="N634" i="12"/>
  <c r="N633" i="12"/>
  <c r="N632" i="12"/>
  <c r="N631" i="12"/>
  <c r="N630" i="12"/>
  <c r="N629" i="12"/>
  <c r="N628" i="12"/>
  <c r="N627" i="12"/>
  <c r="N626" i="12"/>
  <c r="N625" i="12"/>
  <c r="N624" i="12"/>
  <c r="N623" i="12"/>
  <c r="N622" i="12"/>
  <c r="N621" i="12"/>
  <c r="N620" i="12"/>
  <c r="N619" i="12"/>
  <c r="N618" i="12"/>
  <c r="N617" i="12"/>
  <c r="N616" i="12"/>
  <c r="N615" i="12"/>
  <c r="N614" i="12"/>
  <c r="N613" i="12"/>
  <c r="N612" i="12"/>
  <c r="N611" i="12"/>
  <c r="N610" i="12"/>
  <c r="N609" i="12"/>
  <c r="N608" i="12"/>
  <c r="N607" i="12"/>
  <c r="N606" i="12"/>
  <c r="N605" i="12"/>
  <c r="N604" i="12"/>
  <c r="N603" i="12"/>
  <c r="N602" i="12"/>
  <c r="N601" i="12"/>
  <c r="N600" i="12"/>
  <c r="N599" i="12"/>
  <c r="N598" i="12"/>
  <c r="N597" i="12"/>
  <c r="N596" i="12"/>
  <c r="N595" i="12"/>
  <c r="N594" i="12"/>
  <c r="N593" i="12"/>
  <c r="N592" i="12"/>
  <c r="N591" i="12"/>
  <c r="N590" i="12"/>
  <c r="N589" i="12"/>
  <c r="N588" i="12"/>
  <c r="N587" i="12"/>
  <c r="N586" i="12"/>
  <c r="N585" i="12"/>
  <c r="N584" i="12"/>
  <c r="N583" i="12"/>
  <c r="N582" i="12"/>
  <c r="N581" i="12"/>
  <c r="N580" i="12"/>
  <c r="N579" i="12"/>
  <c r="N578" i="12"/>
  <c r="N577" i="12"/>
  <c r="N576" i="12"/>
  <c r="N575" i="12"/>
  <c r="N574" i="12"/>
  <c r="N573" i="12"/>
  <c r="N572" i="12"/>
  <c r="N571" i="12"/>
  <c r="N570" i="12"/>
  <c r="N569" i="12"/>
  <c r="N568" i="12"/>
  <c r="N567" i="12"/>
  <c r="N566" i="12"/>
  <c r="N565" i="12"/>
  <c r="N564" i="12"/>
  <c r="N563" i="12"/>
  <c r="N562" i="12"/>
  <c r="N561" i="12"/>
  <c r="N560" i="12"/>
  <c r="N559" i="12"/>
  <c r="N558" i="12"/>
  <c r="N557" i="12"/>
  <c r="N556" i="12"/>
  <c r="N555" i="12"/>
  <c r="N554" i="12"/>
  <c r="N553" i="12"/>
  <c r="N552" i="12"/>
  <c r="N551" i="12"/>
  <c r="N550" i="12"/>
  <c r="N549" i="12"/>
  <c r="N548" i="12"/>
  <c r="N547" i="12"/>
  <c r="N546" i="12"/>
  <c r="N545" i="12"/>
  <c r="N544" i="12"/>
  <c r="N543" i="12"/>
  <c r="N542" i="12"/>
  <c r="N541" i="12"/>
  <c r="N540" i="12"/>
  <c r="N539" i="12"/>
  <c r="N538" i="12"/>
  <c r="N537" i="12"/>
  <c r="N536" i="12"/>
  <c r="N535" i="12"/>
  <c r="N534" i="12"/>
  <c r="N533" i="12"/>
  <c r="N532" i="12"/>
  <c r="N531" i="12"/>
  <c r="N530" i="12"/>
  <c r="N529" i="12"/>
  <c r="N528" i="12"/>
  <c r="N527" i="12"/>
  <c r="N526" i="12"/>
  <c r="N525" i="12"/>
  <c r="N524" i="12"/>
  <c r="N523" i="12"/>
  <c r="N522" i="12"/>
  <c r="N521" i="12"/>
  <c r="N520" i="12"/>
  <c r="N519" i="12"/>
  <c r="N518" i="12"/>
  <c r="N517" i="12"/>
  <c r="N516" i="12"/>
  <c r="N515" i="12"/>
  <c r="N514" i="12"/>
  <c r="N513" i="12"/>
  <c r="N512" i="12"/>
  <c r="N511" i="12"/>
  <c r="N510" i="12"/>
  <c r="N509" i="12"/>
  <c r="N508" i="12"/>
  <c r="N507" i="12"/>
  <c r="N506" i="12"/>
  <c r="N505" i="12"/>
  <c r="N504" i="12"/>
  <c r="N503" i="12"/>
  <c r="N502" i="12"/>
  <c r="N501" i="12"/>
  <c r="N500" i="12"/>
  <c r="N499" i="12"/>
  <c r="N498" i="12"/>
  <c r="N497" i="12"/>
  <c r="N496" i="12"/>
  <c r="N495" i="12"/>
  <c r="N494" i="12"/>
  <c r="N493" i="12"/>
  <c r="N492" i="12"/>
  <c r="N491" i="12"/>
  <c r="N490" i="12"/>
  <c r="N489" i="12"/>
  <c r="N488" i="12"/>
  <c r="N487" i="12"/>
  <c r="N486" i="12"/>
  <c r="N485" i="12"/>
  <c r="N484" i="12"/>
  <c r="N483" i="12"/>
  <c r="N482" i="12"/>
  <c r="N481" i="12"/>
  <c r="N480" i="12"/>
  <c r="N479" i="12"/>
  <c r="N478" i="12"/>
  <c r="N477" i="12"/>
  <c r="N476" i="12"/>
  <c r="N475" i="12"/>
  <c r="N474" i="12"/>
  <c r="N473" i="12"/>
  <c r="N472" i="12"/>
  <c r="N471" i="12"/>
  <c r="N470" i="12"/>
  <c r="N469" i="12"/>
  <c r="N468" i="12"/>
  <c r="N467" i="12"/>
  <c r="N466" i="12"/>
  <c r="N465" i="12"/>
  <c r="N464" i="12"/>
  <c r="N463" i="12"/>
  <c r="N462" i="12"/>
  <c r="N461" i="12"/>
  <c r="N460" i="12"/>
  <c r="N459" i="12"/>
  <c r="N458" i="12"/>
  <c r="N457" i="12"/>
  <c r="N456" i="12"/>
  <c r="N455" i="12"/>
  <c r="N454" i="12"/>
  <c r="N453" i="12"/>
  <c r="N452" i="12"/>
  <c r="N451" i="12"/>
  <c r="N450" i="12"/>
  <c r="N449" i="12"/>
  <c r="N448" i="12"/>
  <c r="N447" i="12"/>
  <c r="N446" i="12"/>
  <c r="N445" i="12"/>
  <c r="N444" i="12"/>
  <c r="N443" i="12"/>
  <c r="N442" i="12"/>
  <c r="N441" i="12"/>
  <c r="N440" i="12"/>
  <c r="N439" i="12"/>
  <c r="N438" i="12"/>
  <c r="N437" i="12"/>
  <c r="N436" i="12"/>
  <c r="N435" i="12"/>
  <c r="N434" i="12"/>
  <c r="N433" i="12"/>
  <c r="N432" i="12"/>
  <c r="N431" i="12"/>
  <c r="N430" i="12"/>
  <c r="N429" i="12"/>
  <c r="N428" i="12"/>
  <c r="N427" i="12"/>
  <c r="N426" i="12"/>
  <c r="N425" i="12"/>
  <c r="N424" i="12"/>
  <c r="N423" i="12"/>
  <c r="N422" i="12"/>
  <c r="N421" i="12"/>
  <c r="N420" i="12"/>
  <c r="N419" i="12"/>
  <c r="N418" i="12"/>
  <c r="N417" i="12"/>
  <c r="N416" i="12"/>
  <c r="N415" i="12"/>
  <c r="N414" i="12"/>
  <c r="N413" i="12"/>
  <c r="N412" i="12"/>
  <c r="N411" i="12"/>
  <c r="N410" i="12"/>
  <c r="N409" i="12"/>
  <c r="N408" i="12"/>
  <c r="N407" i="12"/>
  <c r="N406" i="12"/>
  <c r="N405" i="12"/>
  <c r="N404" i="12"/>
  <c r="N403" i="12"/>
  <c r="N402" i="12"/>
  <c r="N401" i="12"/>
  <c r="N400" i="12"/>
  <c r="N399" i="12"/>
  <c r="N398" i="12"/>
  <c r="N397" i="12"/>
  <c r="N396" i="12"/>
  <c r="N395" i="12"/>
  <c r="N394" i="12"/>
  <c r="N393" i="12"/>
  <c r="N392" i="12"/>
  <c r="N391" i="12"/>
  <c r="N390" i="12"/>
  <c r="N389" i="12"/>
  <c r="N388" i="12"/>
  <c r="N387" i="12"/>
  <c r="N386" i="12"/>
  <c r="N385" i="12"/>
  <c r="N384" i="12"/>
  <c r="N383" i="12"/>
  <c r="N382" i="12"/>
  <c r="N381" i="12"/>
  <c r="N380" i="12"/>
  <c r="N379" i="12"/>
  <c r="N378" i="12"/>
  <c r="N377" i="12"/>
  <c r="N376" i="12"/>
  <c r="N375" i="12"/>
  <c r="N374" i="12"/>
  <c r="N373" i="12"/>
  <c r="N372" i="12"/>
  <c r="N371" i="12"/>
  <c r="N370" i="12"/>
  <c r="N369" i="12"/>
  <c r="N368" i="12"/>
  <c r="N367" i="12"/>
  <c r="N366" i="12"/>
  <c r="N365" i="12"/>
  <c r="N364" i="12"/>
  <c r="N363" i="12"/>
  <c r="N362" i="12"/>
  <c r="N361" i="12"/>
  <c r="N360" i="12"/>
  <c r="N359" i="12"/>
  <c r="N358" i="12"/>
  <c r="N357" i="12"/>
  <c r="N356" i="12"/>
  <c r="N355" i="12"/>
  <c r="N354" i="12"/>
  <c r="N353" i="12"/>
  <c r="N352" i="12"/>
  <c r="N351" i="12"/>
  <c r="N350" i="12"/>
  <c r="N349" i="12"/>
  <c r="N348" i="12"/>
  <c r="N347" i="12"/>
  <c r="N346" i="12"/>
  <c r="N345" i="12"/>
  <c r="N344" i="12"/>
  <c r="N343" i="12"/>
  <c r="N342" i="12"/>
  <c r="N341" i="12"/>
  <c r="N340" i="12"/>
  <c r="N339" i="12"/>
  <c r="N338" i="12"/>
  <c r="N337" i="12"/>
  <c r="N336" i="12"/>
  <c r="N335" i="12"/>
  <c r="N334" i="12"/>
  <c r="N333" i="12"/>
  <c r="N332" i="12"/>
  <c r="N331" i="12"/>
  <c r="N330" i="12"/>
  <c r="N329" i="12"/>
  <c r="N328" i="12"/>
  <c r="N327" i="12"/>
  <c r="N326" i="12"/>
  <c r="N325" i="12"/>
  <c r="N324" i="12"/>
  <c r="N323" i="12"/>
  <c r="N322" i="12"/>
  <c r="N321" i="12"/>
  <c r="N320" i="12"/>
  <c r="N319" i="12"/>
  <c r="N318" i="12"/>
  <c r="N317" i="12"/>
  <c r="N316" i="12"/>
  <c r="N315" i="12"/>
  <c r="N314" i="12"/>
  <c r="N313" i="12"/>
  <c r="N312" i="12"/>
  <c r="N311" i="12"/>
  <c r="N310" i="12"/>
  <c r="N309" i="12"/>
  <c r="N308" i="12"/>
  <c r="N307" i="12"/>
  <c r="N306" i="12"/>
  <c r="N305" i="12"/>
  <c r="N304" i="12"/>
  <c r="N303" i="12"/>
  <c r="N302" i="12"/>
  <c r="N301" i="12"/>
  <c r="N300" i="12"/>
  <c r="N299" i="12"/>
  <c r="N298" i="12"/>
  <c r="N297" i="12"/>
  <c r="N296" i="12"/>
  <c r="N295" i="12"/>
  <c r="N294" i="12"/>
  <c r="N293" i="12"/>
  <c r="N292" i="12"/>
  <c r="N291" i="12"/>
  <c r="N290" i="12"/>
  <c r="N289" i="12"/>
  <c r="N288" i="12"/>
  <c r="N287" i="12"/>
  <c r="N286" i="12"/>
  <c r="N285" i="12"/>
  <c r="N284" i="12"/>
  <c r="N283" i="12"/>
  <c r="N282" i="12"/>
  <c r="N281" i="12"/>
  <c r="N280" i="12"/>
  <c r="N279" i="12"/>
  <c r="N278" i="12"/>
  <c r="N277" i="12"/>
  <c r="N276" i="12"/>
  <c r="N275" i="12"/>
  <c r="N274" i="12"/>
  <c r="N273" i="12"/>
  <c r="N272" i="12"/>
  <c r="N271" i="12"/>
  <c r="N270" i="12"/>
  <c r="N269" i="12"/>
  <c r="N268" i="12"/>
  <c r="N267" i="12"/>
  <c r="N266" i="12"/>
  <c r="N265" i="12"/>
  <c r="N264" i="12"/>
  <c r="N263" i="12"/>
  <c r="N262" i="12"/>
  <c r="N261" i="12"/>
  <c r="N260" i="12"/>
  <c r="N259" i="12"/>
  <c r="N258" i="12"/>
  <c r="N257" i="12"/>
  <c r="N256" i="12"/>
  <c r="N255" i="12"/>
  <c r="N254" i="12"/>
  <c r="N253" i="12"/>
  <c r="N252" i="12"/>
  <c r="N251" i="12"/>
  <c r="N250" i="12"/>
  <c r="N249" i="12"/>
  <c r="N248" i="12"/>
  <c r="N247" i="12"/>
  <c r="N246" i="12"/>
  <c r="N245" i="12"/>
  <c r="N244" i="12"/>
  <c r="N243" i="12"/>
  <c r="N242" i="12"/>
  <c r="N241" i="12"/>
  <c r="N240" i="12"/>
  <c r="N239" i="12"/>
  <c r="N238" i="12"/>
  <c r="N237" i="12"/>
  <c r="N236" i="12"/>
  <c r="N235" i="12"/>
  <c r="N234" i="12"/>
  <c r="N233" i="12"/>
  <c r="N232" i="12"/>
  <c r="N231" i="12"/>
  <c r="N230" i="12"/>
  <c r="N229" i="12"/>
  <c r="N228" i="12"/>
  <c r="N227" i="12"/>
  <c r="N226" i="12"/>
  <c r="N225" i="12"/>
  <c r="N224" i="12"/>
  <c r="N223" i="12"/>
  <c r="N222" i="12"/>
  <c r="N221" i="12"/>
  <c r="N220" i="12"/>
  <c r="N219" i="12"/>
  <c r="N218" i="12"/>
  <c r="N217" i="12"/>
  <c r="N216" i="12"/>
  <c r="N215" i="12"/>
  <c r="N214" i="12"/>
  <c r="N213" i="12"/>
  <c r="N212" i="12"/>
  <c r="N211" i="12"/>
  <c r="N210" i="12"/>
  <c r="N209" i="12"/>
  <c r="N208" i="12"/>
  <c r="N207" i="12"/>
  <c r="N206" i="12"/>
  <c r="N205" i="12"/>
  <c r="N204" i="12"/>
  <c r="N203" i="12"/>
  <c r="N202" i="12"/>
  <c r="N201" i="12"/>
  <c r="N200" i="12"/>
  <c r="N199" i="12"/>
  <c r="N198" i="12"/>
  <c r="N197" i="12"/>
  <c r="N196" i="12"/>
  <c r="N195" i="12"/>
  <c r="N194" i="12"/>
  <c r="N193" i="12"/>
  <c r="N192" i="12"/>
  <c r="N191" i="12"/>
  <c r="N190" i="12"/>
  <c r="N189" i="12"/>
  <c r="N188" i="12"/>
  <c r="N187" i="12"/>
  <c r="N186" i="12"/>
  <c r="N185" i="12"/>
  <c r="N184" i="12"/>
  <c r="N183" i="12"/>
  <c r="N182" i="12"/>
  <c r="N181" i="12"/>
  <c r="N180" i="12"/>
  <c r="N179" i="12"/>
  <c r="N178" i="12"/>
  <c r="N177" i="12"/>
  <c r="N176" i="12"/>
  <c r="N175" i="12"/>
  <c r="N174" i="12"/>
  <c r="N173" i="12"/>
  <c r="N172" i="12"/>
  <c r="N171" i="12"/>
  <c r="N170" i="12"/>
  <c r="N169" i="12"/>
  <c r="N168" i="12"/>
  <c r="N167" i="12"/>
  <c r="N166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7" i="12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K197" i="8"/>
  <c r="L197" i="8" s="1"/>
  <c r="K196" i="8"/>
  <c r="M196" i="8" s="1"/>
  <c r="K195" i="8"/>
  <c r="L195" i="8" s="1"/>
  <c r="K194" i="8"/>
  <c r="M194" i="8" s="1"/>
  <c r="K193" i="8"/>
  <c r="M193" i="8" s="1"/>
  <c r="K192" i="8"/>
  <c r="M192" i="8" s="1"/>
  <c r="K191" i="8"/>
  <c r="M191" i="8" s="1"/>
  <c r="K190" i="8"/>
  <c r="M190" i="8" s="1"/>
  <c r="K189" i="8"/>
  <c r="M189" i="8" s="1"/>
  <c r="K188" i="8"/>
  <c r="L188" i="8" s="1"/>
  <c r="K187" i="8"/>
  <c r="M187" i="8" s="1"/>
  <c r="K186" i="8"/>
  <c r="M185" i="8"/>
  <c r="L185" i="8"/>
  <c r="K185" i="8"/>
  <c r="K184" i="8"/>
  <c r="L184" i="8" s="1"/>
  <c r="K183" i="8"/>
  <c r="M183" i="8" s="1"/>
  <c r="K182" i="8"/>
  <c r="M182" i="8" s="1"/>
  <c r="K181" i="8"/>
  <c r="L181" i="8" s="1"/>
  <c r="K180" i="8"/>
  <c r="M180" i="8" s="1"/>
  <c r="K179" i="8"/>
  <c r="M179" i="8" s="1"/>
  <c r="K178" i="8"/>
  <c r="L178" i="8" s="1"/>
  <c r="K177" i="8"/>
  <c r="L177" i="8" s="1"/>
  <c r="K176" i="8"/>
  <c r="M176" i="8" s="1"/>
  <c r="L175" i="8"/>
  <c r="N175" i="8" s="1"/>
  <c r="K175" i="8"/>
  <c r="M175" i="8" s="1"/>
  <c r="K174" i="8"/>
  <c r="L174" i="8" s="1"/>
  <c r="K173" i="8"/>
  <c r="M173" i="8" s="1"/>
  <c r="K172" i="8"/>
  <c r="M172" i="8" s="1"/>
  <c r="K171" i="8"/>
  <c r="L171" i="8" s="1"/>
  <c r="K170" i="8"/>
  <c r="M170" i="8" s="1"/>
  <c r="K169" i="8"/>
  <c r="M169" i="8" s="1"/>
  <c r="K168" i="8"/>
  <c r="M168" i="8" s="1"/>
  <c r="K167" i="8"/>
  <c r="L167" i="8" s="1"/>
  <c r="K166" i="8"/>
  <c r="M166" i="8" s="1"/>
  <c r="K165" i="8"/>
  <c r="M165" i="8" s="1"/>
  <c r="M164" i="8"/>
  <c r="K164" i="8"/>
  <c r="L164" i="8" s="1"/>
  <c r="K163" i="8"/>
  <c r="M163" i="8" s="1"/>
  <c r="K162" i="8"/>
  <c r="M162" i="8" s="1"/>
  <c r="K161" i="8"/>
  <c r="M161" i="8" s="1"/>
  <c r="K160" i="8"/>
  <c r="L160" i="8" s="1"/>
  <c r="K159" i="8"/>
  <c r="M159" i="8" s="1"/>
  <c r="K158" i="8"/>
  <c r="M158" i="8" s="1"/>
  <c r="K157" i="8"/>
  <c r="M157" i="8" s="1"/>
  <c r="M156" i="8"/>
  <c r="K156" i="8"/>
  <c r="L156" i="8" s="1"/>
  <c r="N156" i="8" s="1"/>
  <c r="K155" i="8"/>
  <c r="M155" i="8" s="1"/>
  <c r="K154" i="8"/>
  <c r="M154" i="8" s="1"/>
  <c r="K153" i="8"/>
  <c r="L153" i="8" s="1"/>
  <c r="K152" i="8"/>
  <c r="M152" i="8" s="1"/>
  <c r="K151" i="8"/>
  <c r="M151" i="8" s="1"/>
  <c r="K150" i="8"/>
  <c r="L150" i="8" s="1"/>
  <c r="K149" i="8"/>
  <c r="M149" i="8" s="1"/>
  <c r="K148" i="8"/>
  <c r="M148" i="8" s="1"/>
  <c r="K147" i="8"/>
  <c r="M147" i="8" s="1"/>
  <c r="K146" i="8"/>
  <c r="L146" i="8" s="1"/>
  <c r="K145" i="8"/>
  <c r="M145" i="8" s="1"/>
  <c r="L144" i="8"/>
  <c r="N144" i="8" s="1"/>
  <c r="K144" i="8"/>
  <c r="M144" i="8" s="1"/>
  <c r="K143" i="8"/>
  <c r="L143" i="8" s="1"/>
  <c r="K142" i="8"/>
  <c r="L142" i="8" s="1"/>
  <c r="K141" i="8"/>
  <c r="M141" i="8" s="1"/>
  <c r="K140" i="8"/>
  <c r="M140" i="8" s="1"/>
  <c r="K139" i="8"/>
  <c r="L139" i="8" s="1"/>
  <c r="K138" i="8"/>
  <c r="M138" i="8" s="1"/>
  <c r="K137" i="8"/>
  <c r="M137" i="8" s="1"/>
  <c r="K136" i="8"/>
  <c r="M136" i="8" s="1"/>
  <c r="K135" i="8"/>
  <c r="M135" i="8" s="1"/>
  <c r="K134" i="8"/>
  <c r="M134" i="8" s="1"/>
  <c r="K133" i="8"/>
  <c r="M133" i="8" s="1"/>
  <c r="K132" i="8"/>
  <c r="L132" i="8" s="1"/>
  <c r="K131" i="8"/>
  <c r="M131" i="8" s="1"/>
  <c r="K130" i="8"/>
  <c r="M130" i="8" s="1"/>
  <c r="K129" i="8"/>
  <c r="M129" i="8" s="1"/>
  <c r="K128" i="8"/>
  <c r="M128" i="8" s="1"/>
  <c r="K127" i="8"/>
  <c r="M127" i="8" s="1"/>
  <c r="K126" i="8"/>
  <c r="M126" i="8" s="1"/>
  <c r="K125" i="8"/>
  <c r="L125" i="8" s="1"/>
  <c r="K124" i="8"/>
  <c r="M124" i="8" s="1"/>
  <c r="K123" i="8"/>
  <c r="M123" i="8" s="1"/>
  <c r="K122" i="8"/>
  <c r="M122" i="8" s="1"/>
  <c r="L121" i="8"/>
  <c r="K121" i="8"/>
  <c r="M121" i="8" s="1"/>
  <c r="K120" i="8"/>
  <c r="M120" i="8" s="1"/>
  <c r="K119" i="8"/>
  <c r="M119" i="8" s="1"/>
  <c r="K118" i="8"/>
  <c r="L118" i="8" s="1"/>
  <c r="K117" i="8"/>
  <c r="M117" i="8" s="1"/>
  <c r="K116" i="8"/>
  <c r="M116" i="8" s="1"/>
  <c r="K115" i="8"/>
  <c r="L115" i="8" s="1"/>
  <c r="K114" i="8"/>
  <c r="M114" i="8" s="1"/>
  <c r="K113" i="8"/>
  <c r="M113" i="8" s="1"/>
  <c r="K112" i="8"/>
  <c r="M112" i="8" s="1"/>
  <c r="K111" i="8"/>
  <c r="L111" i="8" s="1"/>
  <c r="K110" i="8"/>
  <c r="M110" i="8" s="1"/>
  <c r="K109" i="8"/>
  <c r="M109" i="8" s="1"/>
  <c r="K108" i="8"/>
  <c r="M108" i="8" s="1"/>
  <c r="K107" i="8"/>
  <c r="L107" i="8" s="1"/>
  <c r="K106" i="8"/>
  <c r="M106" i="8" s="1"/>
  <c r="K105" i="8"/>
  <c r="M105" i="8" s="1"/>
  <c r="K104" i="8"/>
  <c r="L104" i="8" s="1"/>
  <c r="K103" i="8"/>
  <c r="M103" i="8" s="1"/>
  <c r="K102" i="8"/>
  <c r="M102" i="8" s="1"/>
  <c r="K101" i="8"/>
  <c r="L101" i="8" s="1"/>
  <c r="K100" i="8"/>
  <c r="L100" i="8" s="1"/>
  <c r="K99" i="8"/>
  <c r="M99" i="8" s="1"/>
  <c r="K98" i="8"/>
  <c r="M98" i="8" s="1"/>
  <c r="K97" i="8"/>
  <c r="L97" i="8" s="1"/>
  <c r="K96" i="8"/>
  <c r="M96" i="8" s="1"/>
  <c r="K95" i="8"/>
  <c r="M95" i="8" s="1"/>
  <c r="K94" i="8"/>
  <c r="L94" i="8" s="1"/>
  <c r="K93" i="8"/>
  <c r="M93" i="8" s="1"/>
  <c r="K92" i="8"/>
  <c r="M92" i="8" s="1"/>
  <c r="K91" i="8"/>
  <c r="M91" i="8" s="1"/>
  <c r="K90" i="8"/>
  <c r="L90" i="8" s="1"/>
  <c r="K89" i="8"/>
  <c r="M89" i="8" s="1"/>
  <c r="K88" i="8"/>
  <c r="M88" i="8" s="1"/>
  <c r="K87" i="8"/>
  <c r="M87" i="8" s="1"/>
  <c r="K86" i="8"/>
  <c r="L86" i="8" s="1"/>
  <c r="K85" i="8"/>
  <c r="M85" i="8" s="1"/>
  <c r="K84" i="8"/>
  <c r="M84" i="8" s="1"/>
  <c r="K83" i="8"/>
  <c r="L83" i="8" s="1"/>
  <c r="K82" i="8"/>
  <c r="M82" i="8" s="1"/>
  <c r="K81" i="8"/>
  <c r="M81" i="8" s="1"/>
  <c r="K80" i="8"/>
  <c r="M80" i="8" s="1"/>
  <c r="K79" i="8"/>
  <c r="M79" i="8" s="1"/>
  <c r="K78" i="8"/>
  <c r="M78" i="8" s="1"/>
  <c r="K77" i="8"/>
  <c r="M77" i="8" s="1"/>
  <c r="K76" i="8"/>
  <c r="L76" i="8" s="1"/>
  <c r="K75" i="8"/>
  <c r="M75" i="8" s="1"/>
  <c r="K74" i="8"/>
  <c r="M74" i="8" s="1"/>
  <c r="K73" i="8"/>
  <c r="M73" i="8" s="1"/>
  <c r="K72" i="8"/>
  <c r="L72" i="8" s="1"/>
  <c r="K71" i="8"/>
  <c r="M71" i="8" s="1"/>
  <c r="K70" i="8"/>
  <c r="M70" i="8" s="1"/>
  <c r="K69" i="8"/>
  <c r="L69" i="8" s="1"/>
  <c r="K68" i="8"/>
  <c r="M68" i="8" s="1"/>
  <c r="K67" i="8"/>
  <c r="M67" i="8" s="1"/>
  <c r="M66" i="8"/>
  <c r="L66" i="8"/>
  <c r="K66" i="8"/>
  <c r="K65" i="8"/>
  <c r="L65" i="8" s="1"/>
  <c r="K64" i="8"/>
  <c r="M64" i="8" s="1"/>
  <c r="K63" i="8"/>
  <c r="M63" i="8" s="1"/>
  <c r="M62" i="8"/>
  <c r="N62" i="8" s="1"/>
  <c r="K62" i="8"/>
  <c r="L62" i="8" s="1"/>
  <c r="K61" i="8"/>
  <c r="M61" i="8" s="1"/>
  <c r="K60" i="8"/>
  <c r="M60" i="8" s="1"/>
  <c r="K59" i="8"/>
  <c r="M59" i="8" s="1"/>
  <c r="K58" i="8"/>
  <c r="L58" i="8" s="1"/>
  <c r="K57" i="8"/>
  <c r="M57" i="8" s="1"/>
  <c r="K56" i="8"/>
  <c r="M56" i="8" s="1"/>
  <c r="N55" i="8"/>
  <c r="M55" i="8"/>
  <c r="K55" i="8"/>
  <c r="L55" i="8" s="1"/>
  <c r="K54" i="8"/>
  <c r="M54" i="8" s="1"/>
  <c r="K53" i="8"/>
  <c r="M53" i="8" s="1"/>
  <c r="K52" i="8"/>
  <c r="M52" i="8" s="1"/>
  <c r="K51" i="8"/>
  <c r="L51" i="8" s="1"/>
  <c r="K50" i="8"/>
  <c r="M50" i="8" s="1"/>
  <c r="K49" i="8"/>
  <c r="M49" i="8" s="1"/>
  <c r="K48" i="8"/>
  <c r="L48" i="8" s="1"/>
  <c r="K47" i="8"/>
  <c r="M47" i="8" s="1"/>
  <c r="K46" i="8"/>
  <c r="M46" i="8" s="1"/>
  <c r="K45" i="8"/>
  <c r="L45" i="8" s="1"/>
  <c r="L44" i="8"/>
  <c r="K44" i="8"/>
  <c r="M44" i="8" s="1"/>
  <c r="K43" i="8"/>
  <c r="M43" i="8" s="1"/>
  <c r="K42" i="8"/>
  <c r="M42" i="8" s="1"/>
  <c r="K41" i="8"/>
  <c r="L41" i="8" s="1"/>
  <c r="K40" i="8"/>
  <c r="M40" i="8" s="1"/>
  <c r="K39" i="8"/>
  <c r="M39" i="8" s="1"/>
  <c r="K38" i="8"/>
  <c r="M38" i="8" s="1"/>
  <c r="M37" i="8"/>
  <c r="L37" i="8"/>
  <c r="N37" i="8" s="1"/>
  <c r="K37" i="8"/>
  <c r="K36" i="8"/>
  <c r="M36" i="8" s="1"/>
  <c r="K35" i="8"/>
  <c r="M35" i="8" s="1"/>
  <c r="K34" i="8"/>
  <c r="L34" i="8" s="1"/>
  <c r="K33" i="8"/>
  <c r="M33" i="8" s="1"/>
  <c r="L32" i="8"/>
  <c r="N32" i="8" s="1"/>
  <c r="K32" i="8"/>
  <c r="M32" i="8" s="1"/>
  <c r="K31" i="8"/>
  <c r="L31" i="8" s="1"/>
  <c r="K30" i="8"/>
  <c r="M30" i="8" s="1"/>
  <c r="K29" i="8"/>
  <c r="M29" i="8" s="1"/>
  <c r="K28" i="8"/>
  <c r="M28" i="8" s="1"/>
  <c r="K27" i="8"/>
  <c r="L27" i="8" s="1"/>
  <c r="K26" i="8"/>
  <c r="M26" i="8" s="1"/>
  <c r="K25" i="8"/>
  <c r="M25" i="8" s="1"/>
  <c r="K24" i="8"/>
  <c r="M24" i="8" s="1"/>
  <c r="K23" i="8"/>
  <c r="M23" i="8" s="1"/>
  <c r="K22" i="8"/>
  <c r="M22" i="8" s="1"/>
  <c r="K21" i="8"/>
  <c r="M21" i="8" s="1"/>
  <c r="K20" i="8"/>
  <c r="L20" i="8" s="1"/>
  <c r="K19" i="8"/>
  <c r="M19" i="8" s="1"/>
  <c r="K18" i="8"/>
  <c r="M18" i="8" s="1"/>
  <c r="K17" i="8"/>
  <c r="L17" i="8" s="1"/>
  <c r="K16" i="8"/>
  <c r="M16" i="8" s="1"/>
  <c r="K15" i="8"/>
  <c r="M15" i="8" s="1"/>
  <c r="K14" i="8"/>
  <c r="M14" i="8" s="1"/>
  <c r="K13" i="8"/>
  <c r="L13" i="8" s="1"/>
  <c r="K12" i="8"/>
  <c r="M12" i="8" s="1"/>
  <c r="K11" i="8"/>
  <c r="M11" i="8" s="1"/>
  <c r="K10" i="8"/>
  <c r="L10" i="8" s="1"/>
  <c r="K9" i="8"/>
  <c r="M9" i="8" s="1"/>
  <c r="K8" i="8"/>
  <c r="M8" i="8" s="1"/>
  <c r="K7" i="8"/>
  <c r="M7" i="8" s="1"/>
  <c r="K6" i="8"/>
  <c r="L6" i="8" s="1"/>
  <c r="K5" i="8"/>
  <c r="M5" i="8" s="1"/>
  <c r="K4" i="8"/>
  <c r="M4" i="8" s="1"/>
  <c r="K50" i="9"/>
  <c r="M50" i="9" s="1"/>
  <c r="K49" i="9"/>
  <c r="L49" i="9" s="1"/>
  <c r="K48" i="9"/>
  <c r="L48" i="9" s="1"/>
  <c r="K47" i="9"/>
  <c r="M47" i="9" s="1"/>
  <c r="K46" i="9"/>
  <c r="L46" i="9" s="1"/>
  <c r="K45" i="9"/>
  <c r="M45" i="9" s="1"/>
  <c r="K44" i="9"/>
  <c r="M44" i="9" s="1"/>
  <c r="K43" i="9"/>
  <c r="M43" i="9" s="1"/>
  <c r="K42" i="9"/>
  <c r="M42" i="9" s="1"/>
  <c r="K41" i="9"/>
  <c r="L41" i="9" s="1"/>
  <c r="K40" i="9"/>
  <c r="M40" i="9" s="1"/>
  <c r="K39" i="9"/>
  <c r="M39" i="9" s="1"/>
  <c r="K38" i="9"/>
  <c r="M38" i="9" s="1"/>
  <c r="K37" i="9"/>
  <c r="M37" i="9" s="1"/>
  <c r="K36" i="9"/>
  <c r="M36" i="9" s="1"/>
  <c r="K35" i="9"/>
  <c r="L35" i="9" s="1"/>
  <c r="K34" i="9"/>
  <c r="M34" i="9" s="1"/>
  <c r="K33" i="9"/>
  <c r="M33" i="9" s="1"/>
  <c r="K32" i="9"/>
  <c r="M32" i="9" s="1"/>
  <c r="K31" i="9"/>
  <c r="M31" i="9" s="1"/>
  <c r="K30" i="9"/>
  <c r="L30" i="9" s="1"/>
  <c r="K29" i="9"/>
  <c r="M29" i="9" s="1"/>
  <c r="K28" i="9"/>
  <c r="L28" i="9" s="1"/>
  <c r="K27" i="9"/>
  <c r="M27" i="9" s="1"/>
  <c r="K26" i="9"/>
  <c r="M26" i="9" s="1"/>
  <c r="K25" i="9"/>
  <c r="M25" i="9" s="1"/>
  <c r="K24" i="9"/>
  <c r="M24" i="9" s="1"/>
  <c r="M23" i="9"/>
  <c r="L23" i="9"/>
  <c r="K23" i="9"/>
  <c r="K22" i="9"/>
  <c r="M22" i="9" s="1"/>
  <c r="K21" i="9"/>
  <c r="L21" i="9" s="1"/>
  <c r="K20" i="9"/>
  <c r="M20" i="9" s="1"/>
  <c r="K19" i="9"/>
  <c r="M19" i="9" s="1"/>
  <c r="K18" i="9"/>
  <c r="L18" i="9" s="1"/>
  <c r="K17" i="9"/>
  <c r="M17" i="9" s="1"/>
  <c r="K16" i="9"/>
  <c r="M16" i="9" s="1"/>
  <c r="L15" i="9"/>
  <c r="K15" i="9"/>
  <c r="M15" i="9" s="1"/>
  <c r="K14" i="9"/>
  <c r="L14" i="9" s="1"/>
  <c r="K13" i="9"/>
  <c r="L13" i="9" s="1"/>
  <c r="K12" i="9"/>
  <c r="M12" i="9" s="1"/>
  <c r="K11" i="9"/>
  <c r="L11" i="9" s="1"/>
  <c r="K10" i="9"/>
  <c r="M10" i="9" s="1"/>
  <c r="K9" i="9"/>
  <c r="M9" i="9" s="1"/>
  <c r="K8" i="9"/>
  <c r="M8" i="9" s="1"/>
  <c r="K7" i="9"/>
  <c r="L7" i="9" s="1"/>
  <c r="K6" i="9"/>
  <c r="L6" i="9" s="1"/>
  <c r="K5" i="9"/>
  <c r="M5" i="9" s="1"/>
  <c r="K4" i="9"/>
  <c r="L4" i="9" s="1"/>
  <c r="K156" i="11"/>
  <c r="L156" i="11" s="1"/>
  <c r="K155" i="11"/>
  <c r="M155" i="11" s="1"/>
  <c r="K154" i="11"/>
  <c r="M154" i="11" s="1"/>
  <c r="K153" i="11"/>
  <c r="M153" i="11" s="1"/>
  <c r="K152" i="11"/>
  <c r="M152" i="11" s="1"/>
  <c r="K151" i="11"/>
  <c r="M151" i="11" s="1"/>
  <c r="K150" i="11"/>
  <c r="M150" i="11" s="1"/>
  <c r="K149" i="11"/>
  <c r="L149" i="11" s="1"/>
  <c r="K148" i="11"/>
  <c r="M148" i="11" s="1"/>
  <c r="K147" i="11"/>
  <c r="M147" i="11" s="1"/>
  <c r="K146" i="11"/>
  <c r="M146" i="11" s="1"/>
  <c r="K145" i="11"/>
  <c r="M145" i="11" s="1"/>
  <c r="K144" i="11"/>
  <c r="M144" i="11" s="1"/>
  <c r="K143" i="11"/>
  <c r="M143" i="11" s="1"/>
  <c r="K142" i="11"/>
  <c r="L142" i="11" s="1"/>
  <c r="K141" i="11"/>
  <c r="M141" i="11" s="1"/>
  <c r="K140" i="11"/>
  <c r="M140" i="11" s="1"/>
  <c r="K139" i="11"/>
  <c r="M139" i="11" s="1"/>
  <c r="K138" i="11"/>
  <c r="M138" i="11" s="1"/>
  <c r="K137" i="11"/>
  <c r="M137" i="11" s="1"/>
  <c r="K136" i="11"/>
  <c r="L136" i="11" s="1"/>
  <c r="K135" i="11"/>
  <c r="L135" i="11" s="1"/>
  <c r="K134" i="11"/>
  <c r="M134" i="11" s="1"/>
  <c r="K133" i="11"/>
  <c r="M133" i="11" s="1"/>
  <c r="K132" i="11"/>
  <c r="M132" i="11" s="1"/>
  <c r="K131" i="11"/>
  <c r="M131" i="11" s="1"/>
  <c r="K130" i="11"/>
  <c r="M130" i="11" s="1"/>
  <c r="K129" i="11"/>
  <c r="M129" i="11" s="1"/>
  <c r="M128" i="11"/>
  <c r="K128" i="11"/>
  <c r="L128" i="11" s="1"/>
  <c r="K127" i="11"/>
  <c r="M127" i="11" s="1"/>
  <c r="K126" i="11"/>
  <c r="M126" i="11" s="1"/>
  <c r="K125" i="11"/>
  <c r="M125" i="11" s="1"/>
  <c r="K124" i="11"/>
  <c r="M124" i="11" s="1"/>
  <c r="K123" i="11"/>
  <c r="M123" i="11" s="1"/>
  <c r="K122" i="11"/>
  <c r="L122" i="11" s="1"/>
  <c r="K121" i="11"/>
  <c r="L121" i="11" s="1"/>
  <c r="K120" i="11"/>
  <c r="M120" i="11" s="1"/>
  <c r="K119" i="11"/>
  <c r="M119" i="11" s="1"/>
  <c r="K118" i="11"/>
  <c r="M118" i="11" s="1"/>
  <c r="K117" i="11"/>
  <c r="M117" i="11" s="1"/>
  <c r="K116" i="11"/>
  <c r="L116" i="11" s="1"/>
  <c r="K115" i="11"/>
  <c r="M115" i="11" s="1"/>
  <c r="K114" i="11"/>
  <c r="L114" i="11" s="1"/>
  <c r="K113" i="11"/>
  <c r="M113" i="11" s="1"/>
  <c r="K112" i="11"/>
  <c r="M112" i="11" s="1"/>
  <c r="K111" i="11"/>
  <c r="M111" i="11" s="1"/>
  <c r="K110" i="11"/>
  <c r="M110" i="11" s="1"/>
  <c r="K109" i="11"/>
  <c r="M109" i="11" s="1"/>
  <c r="K108" i="11"/>
  <c r="M108" i="11" s="1"/>
  <c r="M107" i="11"/>
  <c r="K107" i="11"/>
  <c r="L107" i="11" s="1"/>
  <c r="K106" i="11"/>
  <c r="M106" i="11" s="1"/>
  <c r="K105" i="11"/>
  <c r="M105" i="11" s="1"/>
  <c r="K104" i="11"/>
  <c r="M104" i="11" s="1"/>
  <c r="K103" i="11"/>
  <c r="M103" i="11" s="1"/>
  <c r="K102" i="11"/>
  <c r="M102" i="11" s="1"/>
  <c r="K101" i="11"/>
  <c r="L101" i="11" s="1"/>
  <c r="K100" i="11"/>
  <c r="L100" i="11" s="1"/>
  <c r="L99" i="11"/>
  <c r="N99" i="11" s="1"/>
  <c r="K99" i="11"/>
  <c r="M99" i="11" s="1"/>
  <c r="K98" i="11"/>
  <c r="M98" i="11" s="1"/>
  <c r="K97" i="11"/>
  <c r="M97" i="11" s="1"/>
  <c r="K96" i="11"/>
  <c r="M96" i="11" s="1"/>
  <c r="K95" i="11"/>
  <c r="M95" i="11" s="1"/>
  <c r="M94" i="11"/>
  <c r="K94" i="11"/>
  <c r="L94" i="11" s="1"/>
  <c r="N94" i="11" s="1"/>
  <c r="K93" i="11"/>
  <c r="L93" i="11" s="1"/>
  <c r="K92" i="11"/>
  <c r="M92" i="11" s="1"/>
  <c r="K91" i="11"/>
  <c r="M91" i="11" s="1"/>
  <c r="K90" i="11"/>
  <c r="M90" i="11" s="1"/>
  <c r="K89" i="11"/>
  <c r="M89" i="11" s="1"/>
  <c r="M88" i="11"/>
  <c r="K88" i="11"/>
  <c r="L88" i="11" s="1"/>
  <c r="N88" i="11" s="1"/>
  <c r="K87" i="11"/>
  <c r="M87" i="11" s="1"/>
  <c r="K86" i="11"/>
  <c r="L86" i="11" s="1"/>
  <c r="K85" i="11"/>
  <c r="M85" i="11" s="1"/>
  <c r="K84" i="11"/>
  <c r="M84" i="11" s="1"/>
  <c r="K83" i="11"/>
  <c r="M83" i="11" s="1"/>
  <c r="K82" i="11"/>
  <c r="M82" i="11" s="1"/>
  <c r="K81" i="11"/>
  <c r="M81" i="11" s="1"/>
  <c r="K80" i="11"/>
  <c r="M80" i="11" s="1"/>
  <c r="K79" i="11"/>
  <c r="L79" i="11" s="1"/>
  <c r="K78" i="11"/>
  <c r="M78" i="11" s="1"/>
  <c r="K77" i="11"/>
  <c r="M77" i="11" s="1"/>
  <c r="K76" i="11"/>
  <c r="M76" i="11" s="1"/>
  <c r="L75" i="11"/>
  <c r="N75" i="11" s="1"/>
  <c r="K75" i="11"/>
  <c r="M75" i="11" s="1"/>
  <c r="K74" i="11"/>
  <c r="M74" i="11" s="1"/>
  <c r="K73" i="11"/>
  <c r="M73" i="11" s="1"/>
  <c r="M72" i="11"/>
  <c r="K72" i="11"/>
  <c r="L72" i="11" s="1"/>
  <c r="K71" i="11"/>
  <c r="M71" i="11" s="1"/>
  <c r="K70" i="11"/>
  <c r="M70" i="11" s="1"/>
  <c r="K69" i="11"/>
  <c r="M69" i="11" s="1"/>
  <c r="K68" i="11"/>
  <c r="M68" i="11" s="1"/>
  <c r="K67" i="11"/>
  <c r="M67" i="11" s="1"/>
  <c r="K66" i="11"/>
  <c r="M66" i="11" s="1"/>
  <c r="K65" i="11"/>
  <c r="L65" i="11" s="1"/>
  <c r="K64" i="11"/>
  <c r="M64" i="11" s="1"/>
  <c r="K63" i="11"/>
  <c r="M63" i="11" s="1"/>
  <c r="K62" i="11"/>
  <c r="M62" i="11" s="1"/>
  <c r="K61" i="11"/>
  <c r="M61" i="11" s="1"/>
  <c r="K60" i="11"/>
  <c r="M60" i="11" s="1"/>
  <c r="M59" i="11"/>
  <c r="K59" i="11"/>
  <c r="L59" i="11" s="1"/>
  <c r="M58" i="11"/>
  <c r="K58" i="11"/>
  <c r="L58" i="11" s="1"/>
  <c r="K57" i="11"/>
  <c r="M57" i="11" s="1"/>
  <c r="K56" i="11"/>
  <c r="M56" i="11" s="1"/>
  <c r="K55" i="11"/>
  <c r="M55" i="11" s="1"/>
  <c r="K54" i="11"/>
  <c r="M54" i="11" s="1"/>
  <c r="M53" i="11"/>
  <c r="K53" i="11"/>
  <c r="L53" i="11" s="1"/>
  <c r="K52" i="11"/>
  <c r="M52" i="11" s="1"/>
  <c r="K51" i="11"/>
  <c r="L51" i="11" s="1"/>
  <c r="K50" i="11"/>
  <c r="M50" i="11" s="1"/>
  <c r="K49" i="11"/>
  <c r="M49" i="11" s="1"/>
  <c r="K48" i="11"/>
  <c r="M48" i="11" s="1"/>
  <c r="K47" i="11"/>
  <c r="M47" i="11" s="1"/>
  <c r="K46" i="11"/>
  <c r="M46" i="11" s="1"/>
  <c r="K45" i="11"/>
  <c r="M45" i="11" s="1"/>
  <c r="K44" i="11"/>
  <c r="L44" i="11" s="1"/>
  <c r="K43" i="11"/>
  <c r="M43" i="11" s="1"/>
  <c r="K42" i="11"/>
  <c r="M42" i="11" s="1"/>
  <c r="K41" i="11"/>
  <c r="M41" i="11" s="1"/>
  <c r="K40" i="11"/>
  <c r="M40" i="11" s="1"/>
  <c r="K39" i="11"/>
  <c r="M39" i="11" s="1"/>
  <c r="L38" i="11"/>
  <c r="K38" i="11"/>
  <c r="M38" i="11" s="1"/>
  <c r="M37" i="11"/>
  <c r="K37" i="11"/>
  <c r="L37" i="11" s="1"/>
  <c r="L36" i="11"/>
  <c r="N36" i="11" s="1"/>
  <c r="K36" i="11"/>
  <c r="M36" i="11" s="1"/>
  <c r="K35" i="11"/>
  <c r="M35" i="11" s="1"/>
  <c r="K34" i="11"/>
  <c r="M34" i="11" s="1"/>
  <c r="K33" i="11"/>
  <c r="M33" i="11" s="1"/>
  <c r="K32" i="11"/>
  <c r="M32" i="11" s="1"/>
  <c r="K31" i="11"/>
  <c r="M31" i="11" s="1"/>
  <c r="K30" i="11"/>
  <c r="L30" i="11" s="1"/>
  <c r="K29" i="11"/>
  <c r="M29" i="11" s="1"/>
  <c r="K28" i="11"/>
  <c r="M28" i="11" s="1"/>
  <c r="K27" i="11"/>
  <c r="M27" i="11" s="1"/>
  <c r="L26" i="11"/>
  <c r="N26" i="11" s="1"/>
  <c r="K26" i="11"/>
  <c r="M26" i="11" s="1"/>
  <c r="K25" i="11"/>
  <c r="L25" i="11" s="1"/>
  <c r="K24" i="11"/>
  <c r="M24" i="11" s="1"/>
  <c r="K23" i="11"/>
  <c r="L23" i="11" s="1"/>
  <c r="K22" i="11"/>
  <c r="M22" i="11" s="1"/>
  <c r="K21" i="11"/>
  <c r="M21" i="11" s="1"/>
  <c r="K20" i="11"/>
  <c r="M20" i="11" s="1"/>
  <c r="K19" i="11"/>
  <c r="M19" i="11" s="1"/>
  <c r="M18" i="11"/>
  <c r="N18" i="11" s="1"/>
  <c r="L18" i="11"/>
  <c r="K18" i="11"/>
  <c r="K17" i="11"/>
  <c r="M17" i="11" s="1"/>
  <c r="K16" i="11"/>
  <c r="L16" i="11" s="1"/>
  <c r="K15" i="11"/>
  <c r="M15" i="11" s="1"/>
  <c r="K14" i="11"/>
  <c r="M14" i="11" s="1"/>
  <c r="K13" i="11"/>
  <c r="M13" i="11" s="1"/>
  <c r="K12" i="11"/>
  <c r="L12" i="11" s="1"/>
  <c r="K11" i="11"/>
  <c r="M11" i="11" s="1"/>
  <c r="K10" i="11"/>
  <c r="M10" i="11" s="1"/>
  <c r="M9" i="11"/>
  <c r="K9" i="11"/>
  <c r="L9" i="11" s="1"/>
  <c r="K8" i="11"/>
  <c r="M8" i="11" s="1"/>
  <c r="K7" i="11"/>
  <c r="M7" i="11" s="1"/>
  <c r="K6" i="11"/>
  <c r="M6" i="11" s="1"/>
  <c r="K5" i="11"/>
  <c r="M5" i="11" s="1"/>
  <c r="K4" i="11"/>
  <c r="M4" i="11" s="1"/>
  <c r="K168" i="10"/>
  <c r="M168" i="10" s="1"/>
  <c r="K167" i="10"/>
  <c r="M167" i="10" s="1"/>
  <c r="K166" i="10"/>
  <c r="L166" i="10" s="1"/>
  <c r="K165" i="10"/>
  <c r="M165" i="10" s="1"/>
  <c r="K164" i="10"/>
  <c r="M164" i="10" s="1"/>
  <c r="K163" i="10"/>
  <c r="M163" i="10" s="1"/>
  <c r="K162" i="10"/>
  <c r="M162" i="10" s="1"/>
  <c r="K161" i="10"/>
  <c r="M161" i="10" s="1"/>
  <c r="K160" i="10"/>
  <c r="M160" i="10" s="1"/>
  <c r="K159" i="10"/>
  <c r="L159" i="10" s="1"/>
  <c r="K158" i="10"/>
  <c r="M158" i="10" s="1"/>
  <c r="K157" i="10"/>
  <c r="M157" i="10" s="1"/>
  <c r="K156" i="10"/>
  <c r="M156" i="10" s="1"/>
  <c r="M155" i="10"/>
  <c r="L155" i="10"/>
  <c r="K155" i="10"/>
  <c r="K154" i="10"/>
  <c r="M154" i="10" s="1"/>
  <c r="K153" i="10"/>
  <c r="L153" i="10" s="1"/>
  <c r="K152" i="10"/>
  <c r="M152" i="10" s="1"/>
  <c r="K151" i="10"/>
  <c r="M151" i="10" s="1"/>
  <c r="K150" i="10"/>
  <c r="M150" i="10" s="1"/>
  <c r="K149" i="10"/>
  <c r="L149" i="10" s="1"/>
  <c r="K148" i="10"/>
  <c r="M148" i="10" s="1"/>
  <c r="L147" i="10"/>
  <c r="K147" i="10"/>
  <c r="M147" i="10" s="1"/>
  <c r="K146" i="10"/>
  <c r="M146" i="10" s="1"/>
  <c r="M145" i="10"/>
  <c r="K145" i="10"/>
  <c r="L145" i="10" s="1"/>
  <c r="K144" i="10"/>
  <c r="M144" i="10" s="1"/>
  <c r="K143" i="10"/>
  <c r="M143" i="10" s="1"/>
  <c r="K142" i="10"/>
  <c r="M142" i="10" s="1"/>
  <c r="K141" i="10"/>
  <c r="M141" i="10" s="1"/>
  <c r="K140" i="10"/>
  <c r="M140" i="10" s="1"/>
  <c r="K139" i="10"/>
  <c r="M139" i="10" s="1"/>
  <c r="K138" i="10"/>
  <c r="M138" i="10" s="1"/>
  <c r="K137" i="10"/>
  <c r="M137" i="10" s="1"/>
  <c r="K136" i="10"/>
  <c r="M136" i="10" s="1"/>
  <c r="K135" i="10"/>
  <c r="L135" i="10" s="1"/>
  <c r="M134" i="10"/>
  <c r="K134" i="10"/>
  <c r="L134" i="10" s="1"/>
  <c r="K133" i="10"/>
  <c r="M133" i="10" s="1"/>
  <c r="K132" i="10"/>
  <c r="M132" i="10" s="1"/>
  <c r="K131" i="10"/>
  <c r="M131" i="10" s="1"/>
  <c r="K130" i="10"/>
  <c r="M130" i="10" s="1"/>
  <c r="K129" i="10"/>
  <c r="M129" i="10" s="1"/>
  <c r="K128" i="10"/>
  <c r="M128" i="10" s="1"/>
  <c r="K127" i="10"/>
  <c r="M127" i="10" s="1"/>
  <c r="K126" i="10"/>
  <c r="M126" i="10" s="1"/>
  <c r="K125" i="10"/>
  <c r="M125" i="10" s="1"/>
  <c r="K124" i="10"/>
  <c r="L124" i="10" s="1"/>
  <c r="K123" i="10"/>
  <c r="M123" i="10" s="1"/>
  <c r="K122" i="10"/>
  <c r="M122" i="10" s="1"/>
  <c r="K121" i="10"/>
  <c r="M121" i="10" s="1"/>
  <c r="K120" i="10"/>
  <c r="M120" i="10" s="1"/>
  <c r="K119" i="10"/>
  <c r="M119" i="10" s="1"/>
  <c r="K118" i="10"/>
  <c r="M118" i="10" s="1"/>
  <c r="K117" i="10"/>
  <c r="L117" i="10" s="1"/>
  <c r="K116" i="10"/>
  <c r="M116" i="10" s="1"/>
  <c r="K115" i="10"/>
  <c r="M115" i="10" s="1"/>
  <c r="M114" i="10"/>
  <c r="L114" i="10"/>
  <c r="K114" i="10"/>
  <c r="K113" i="10"/>
  <c r="L113" i="10" s="1"/>
  <c r="K112" i="10"/>
  <c r="M112" i="10" s="1"/>
  <c r="K111" i="10"/>
  <c r="M111" i="10" s="1"/>
  <c r="K110" i="10"/>
  <c r="M110" i="10" s="1"/>
  <c r="K109" i="10"/>
  <c r="M109" i="10" s="1"/>
  <c r="K108" i="10"/>
  <c r="M108" i="10" s="1"/>
  <c r="K107" i="10"/>
  <c r="M107" i="10" s="1"/>
  <c r="M106" i="10"/>
  <c r="K106" i="10"/>
  <c r="L106" i="10" s="1"/>
  <c r="N106" i="10" s="1"/>
  <c r="L105" i="10"/>
  <c r="K105" i="10"/>
  <c r="M105" i="10" s="1"/>
  <c r="K104" i="10"/>
  <c r="M104" i="10" s="1"/>
  <c r="K103" i="10"/>
  <c r="M103" i="10" s="1"/>
  <c r="K102" i="10"/>
  <c r="M102" i="10" s="1"/>
  <c r="K101" i="10"/>
  <c r="M101" i="10" s="1"/>
  <c r="K100" i="10"/>
  <c r="M100" i="10" s="1"/>
  <c r="K99" i="10"/>
  <c r="M99" i="10" s="1"/>
  <c r="K98" i="10"/>
  <c r="M98" i="10" s="1"/>
  <c r="K97" i="10"/>
  <c r="M97" i="10" s="1"/>
  <c r="L96" i="10"/>
  <c r="K96" i="10"/>
  <c r="M96" i="10" s="1"/>
  <c r="K95" i="10"/>
  <c r="M95" i="10" s="1"/>
  <c r="K94" i="10"/>
  <c r="M94" i="10" s="1"/>
  <c r="K93" i="10"/>
  <c r="M93" i="10" s="1"/>
  <c r="K92" i="10"/>
  <c r="M92" i="10" s="1"/>
  <c r="K91" i="10"/>
  <c r="M91" i="10" s="1"/>
  <c r="K90" i="10"/>
  <c r="M90" i="10" s="1"/>
  <c r="K89" i="10"/>
  <c r="M89" i="10" s="1"/>
  <c r="K88" i="10"/>
  <c r="M88" i="10" s="1"/>
  <c r="K87" i="10"/>
  <c r="M87" i="10" s="1"/>
  <c r="K86" i="10"/>
  <c r="M86" i="10" s="1"/>
  <c r="K85" i="10"/>
  <c r="M85" i="10" s="1"/>
  <c r="L84" i="10"/>
  <c r="K84" i="10"/>
  <c r="M84" i="10" s="1"/>
  <c r="K83" i="10"/>
  <c r="M83" i="10" s="1"/>
  <c r="K82" i="10"/>
  <c r="L82" i="10" s="1"/>
  <c r="K81" i="10"/>
  <c r="M81" i="10" s="1"/>
  <c r="K80" i="10"/>
  <c r="M80" i="10" s="1"/>
  <c r="K79" i="10"/>
  <c r="M79" i="10" s="1"/>
  <c r="K78" i="10"/>
  <c r="M78" i="10" s="1"/>
  <c r="K77" i="10"/>
  <c r="M77" i="10" s="1"/>
  <c r="K76" i="10"/>
  <c r="M76" i="10" s="1"/>
  <c r="K75" i="10"/>
  <c r="M75" i="10" s="1"/>
  <c r="K74" i="10"/>
  <c r="M74" i="10" s="1"/>
  <c r="K73" i="10"/>
  <c r="M73" i="10" s="1"/>
  <c r="K72" i="10"/>
  <c r="L72" i="10" s="1"/>
  <c r="L71" i="10"/>
  <c r="K71" i="10"/>
  <c r="M71" i="10" s="1"/>
  <c r="N71" i="10" s="1"/>
  <c r="K70" i="10"/>
  <c r="M70" i="10" s="1"/>
  <c r="K69" i="10"/>
  <c r="M69" i="10" s="1"/>
  <c r="K68" i="10"/>
  <c r="M68" i="10" s="1"/>
  <c r="K67" i="10"/>
  <c r="M67" i="10" s="1"/>
  <c r="K66" i="10"/>
  <c r="M66" i="10" s="1"/>
  <c r="M65" i="10"/>
  <c r="K65" i="10"/>
  <c r="L65" i="10" s="1"/>
  <c r="K64" i="10"/>
  <c r="M64" i="10" s="1"/>
  <c r="K63" i="10"/>
  <c r="M63" i="10" s="1"/>
  <c r="K62" i="10"/>
  <c r="M62" i="10" s="1"/>
  <c r="K61" i="10"/>
  <c r="M61" i="10" s="1"/>
  <c r="K60" i="10"/>
  <c r="M60" i="10" s="1"/>
  <c r="K59" i="10"/>
  <c r="L59" i="10" s="1"/>
  <c r="K58" i="10"/>
  <c r="M58" i="10" s="1"/>
  <c r="K57" i="10"/>
  <c r="L57" i="10" s="1"/>
  <c r="L56" i="10"/>
  <c r="K56" i="10"/>
  <c r="M56" i="10" s="1"/>
  <c r="K55" i="10"/>
  <c r="M55" i="10" s="1"/>
  <c r="L54" i="10"/>
  <c r="K54" i="10"/>
  <c r="M54" i="10" s="1"/>
  <c r="N54" i="10" s="1"/>
  <c r="K53" i="10"/>
  <c r="M53" i="10" s="1"/>
  <c r="K52" i="10"/>
  <c r="M52" i="10" s="1"/>
  <c r="K51" i="10"/>
  <c r="M51" i="10" s="1"/>
  <c r="K50" i="10"/>
  <c r="L50" i="10" s="1"/>
  <c r="K49" i="10"/>
  <c r="M49" i="10" s="1"/>
  <c r="K48" i="10"/>
  <c r="M48" i="10" s="1"/>
  <c r="K47" i="10"/>
  <c r="M47" i="10" s="1"/>
  <c r="K46" i="10"/>
  <c r="M46" i="10" s="1"/>
  <c r="K45" i="10"/>
  <c r="M45" i="10" s="1"/>
  <c r="K44" i="10"/>
  <c r="M44" i="10" s="1"/>
  <c r="L43" i="10"/>
  <c r="K43" i="10"/>
  <c r="M43" i="10" s="1"/>
  <c r="K42" i="10"/>
  <c r="M42" i="10" s="1"/>
  <c r="K41" i="10"/>
  <c r="M41" i="10" s="1"/>
  <c r="K40" i="10"/>
  <c r="M40" i="10" s="1"/>
  <c r="K39" i="10"/>
  <c r="M39" i="10" s="1"/>
  <c r="K38" i="10"/>
  <c r="L38" i="10" s="1"/>
  <c r="K37" i="10"/>
  <c r="M37" i="10" s="1"/>
  <c r="K36" i="10"/>
  <c r="M36" i="10" s="1"/>
  <c r="L35" i="10"/>
  <c r="N35" i="10" s="1"/>
  <c r="K35" i="10"/>
  <c r="M35" i="10" s="1"/>
  <c r="K34" i="10"/>
  <c r="M34" i="10" s="1"/>
  <c r="K33" i="10"/>
  <c r="M33" i="10" s="1"/>
  <c r="K32" i="10"/>
  <c r="M32" i="10" s="1"/>
  <c r="K31" i="10"/>
  <c r="M31" i="10" s="1"/>
  <c r="K30" i="10"/>
  <c r="M30" i="10" s="1"/>
  <c r="K29" i="10"/>
  <c r="M29" i="10" s="1"/>
  <c r="K28" i="10"/>
  <c r="M28" i="10" s="1"/>
  <c r="K27" i="10"/>
  <c r="M27" i="10" s="1"/>
  <c r="K26" i="10"/>
  <c r="M26" i="10" s="1"/>
  <c r="K25" i="10"/>
  <c r="M25" i="10" s="1"/>
  <c r="K24" i="10"/>
  <c r="M24" i="10" s="1"/>
  <c r="K23" i="10"/>
  <c r="M23" i="10" s="1"/>
  <c r="K22" i="10"/>
  <c r="M22" i="10" s="1"/>
  <c r="K21" i="10"/>
  <c r="M21" i="10" s="1"/>
  <c r="K20" i="10"/>
  <c r="M20" i="10" s="1"/>
  <c r="K19" i="10"/>
  <c r="L19" i="10" s="1"/>
  <c r="K18" i="10"/>
  <c r="M18" i="10" s="1"/>
  <c r="K17" i="10"/>
  <c r="K16" i="10"/>
  <c r="M16" i="10" s="1"/>
  <c r="K15" i="10"/>
  <c r="M15" i="10" s="1"/>
  <c r="K14" i="10"/>
  <c r="M14" i="10" s="1"/>
  <c r="K13" i="10"/>
  <c r="M13" i="10" s="1"/>
  <c r="K12" i="10"/>
  <c r="L12" i="10" s="1"/>
  <c r="K11" i="10"/>
  <c r="M11" i="10" s="1"/>
  <c r="K10" i="10"/>
  <c r="K9" i="10"/>
  <c r="M9" i="10" s="1"/>
  <c r="K8" i="10"/>
  <c r="M8" i="10" s="1"/>
  <c r="K7" i="10"/>
  <c r="M7" i="10" s="1"/>
  <c r="K6" i="10"/>
  <c r="M6" i="10" s="1"/>
  <c r="K5" i="10"/>
  <c r="L5" i="10" s="1"/>
  <c r="K4" i="10"/>
  <c r="M4" i="10" s="1"/>
  <c r="K3" i="10"/>
  <c r="M3" i="10" s="1"/>
  <c r="K3" i="11"/>
  <c r="M3" i="11" s="1"/>
  <c r="K3" i="9"/>
  <c r="M3" i="9" s="1"/>
  <c r="K3" i="8"/>
  <c r="M3" i="8" s="1"/>
  <c r="K211" i="7"/>
  <c r="M211" i="7" s="1"/>
  <c r="K210" i="7"/>
  <c r="M210" i="7" s="1"/>
  <c r="K209" i="7"/>
  <c r="M209" i="7" s="1"/>
  <c r="K208" i="7"/>
  <c r="K207" i="7"/>
  <c r="M207" i="7" s="1"/>
  <c r="K206" i="7"/>
  <c r="M206" i="7" s="1"/>
  <c r="K205" i="7"/>
  <c r="L205" i="7" s="1"/>
  <c r="K204" i="7"/>
  <c r="M204" i="7" s="1"/>
  <c r="K203" i="7"/>
  <c r="M203" i="7" s="1"/>
  <c r="K202" i="7"/>
  <c r="M202" i="7" s="1"/>
  <c r="K201" i="7"/>
  <c r="K200" i="7"/>
  <c r="L200" i="7" s="1"/>
  <c r="K199" i="7"/>
  <c r="M199" i="7" s="1"/>
  <c r="K198" i="7"/>
  <c r="L198" i="7" s="1"/>
  <c r="K197" i="7"/>
  <c r="M197" i="7" s="1"/>
  <c r="K196" i="7"/>
  <c r="L196" i="7" s="1"/>
  <c r="K195" i="7"/>
  <c r="M195" i="7" s="1"/>
  <c r="K194" i="7"/>
  <c r="K193" i="7"/>
  <c r="M193" i="7" s="1"/>
  <c r="K192" i="7"/>
  <c r="M192" i="7" s="1"/>
  <c r="K191" i="7"/>
  <c r="L191" i="7" s="1"/>
  <c r="K190" i="7"/>
  <c r="M190" i="7" s="1"/>
  <c r="K189" i="7"/>
  <c r="L189" i="7" s="1"/>
  <c r="K188" i="7"/>
  <c r="L188" i="7" s="1"/>
  <c r="K187" i="7"/>
  <c r="M187" i="7" s="1"/>
  <c r="M186" i="7"/>
  <c r="L186" i="7"/>
  <c r="K186" i="7"/>
  <c r="K185" i="7"/>
  <c r="M185" i="7" s="1"/>
  <c r="K184" i="7"/>
  <c r="L184" i="7" s="1"/>
  <c r="K183" i="7"/>
  <c r="M183" i="7" s="1"/>
  <c r="K182" i="7"/>
  <c r="M182" i="7" s="1"/>
  <c r="K181" i="7"/>
  <c r="M181" i="7" s="1"/>
  <c r="K180" i="7"/>
  <c r="M180" i="7" s="1"/>
  <c r="K179" i="7"/>
  <c r="L179" i="7" s="1"/>
  <c r="K178" i="7"/>
  <c r="M178" i="7" s="1"/>
  <c r="K177" i="7"/>
  <c r="L177" i="7" s="1"/>
  <c r="K176" i="7"/>
  <c r="M176" i="7" s="1"/>
  <c r="K175" i="7"/>
  <c r="L175" i="7" s="1"/>
  <c r="K174" i="7"/>
  <c r="L174" i="7" s="1"/>
  <c r="K173" i="7"/>
  <c r="K172" i="7"/>
  <c r="L172" i="7" s="1"/>
  <c r="K171" i="7"/>
  <c r="M171" i="7" s="1"/>
  <c r="K170" i="7"/>
  <c r="L170" i="7" s="1"/>
  <c r="K169" i="7"/>
  <c r="M169" i="7" s="1"/>
  <c r="K168" i="7"/>
  <c r="L168" i="7" s="1"/>
  <c r="K167" i="7"/>
  <c r="L167" i="7" s="1"/>
  <c r="L166" i="7"/>
  <c r="N166" i="7" s="1"/>
  <c r="K166" i="7"/>
  <c r="M166" i="7" s="1"/>
  <c r="M165" i="7"/>
  <c r="K165" i="7"/>
  <c r="L165" i="7" s="1"/>
  <c r="N165" i="7" s="1"/>
  <c r="K164" i="7"/>
  <c r="L164" i="7" s="1"/>
  <c r="K163" i="7"/>
  <c r="L163" i="7" s="1"/>
  <c r="K162" i="7"/>
  <c r="M162" i="7" s="1"/>
  <c r="K161" i="7"/>
  <c r="M161" i="7" s="1"/>
  <c r="K160" i="7"/>
  <c r="M160" i="7" s="1"/>
  <c r="K159" i="7"/>
  <c r="M159" i="7" s="1"/>
  <c r="K158" i="7"/>
  <c r="M158" i="7" s="1"/>
  <c r="K157" i="7"/>
  <c r="L157" i="7" s="1"/>
  <c r="K156" i="7"/>
  <c r="L156" i="7" s="1"/>
  <c r="K155" i="7"/>
  <c r="M155" i="7" s="1"/>
  <c r="K154" i="7"/>
  <c r="L154" i="7" s="1"/>
  <c r="K153" i="7"/>
  <c r="M153" i="7" s="1"/>
  <c r="K152" i="7"/>
  <c r="M152" i="7" s="1"/>
  <c r="K151" i="7"/>
  <c r="M151" i="7" s="1"/>
  <c r="K150" i="7"/>
  <c r="M150" i="7" s="1"/>
  <c r="K149" i="7"/>
  <c r="L149" i="7" s="1"/>
  <c r="K148" i="7"/>
  <c r="M148" i="7" s="1"/>
  <c r="K147" i="7"/>
  <c r="L147" i="7" s="1"/>
  <c r="K146" i="7"/>
  <c r="L146" i="7" s="1"/>
  <c r="K145" i="7"/>
  <c r="M145" i="7" s="1"/>
  <c r="K144" i="7"/>
  <c r="L144" i="7" s="1"/>
  <c r="M143" i="7"/>
  <c r="K143" i="7"/>
  <c r="L143" i="7" s="1"/>
  <c r="N143" i="7" s="1"/>
  <c r="K142" i="7"/>
  <c r="L142" i="7" s="1"/>
  <c r="K141" i="7"/>
  <c r="M141" i="7" s="1"/>
  <c r="K140" i="7"/>
  <c r="M140" i="7" s="1"/>
  <c r="K139" i="7"/>
  <c r="M139" i="7" s="1"/>
  <c r="K138" i="7"/>
  <c r="M138" i="7" s="1"/>
  <c r="K137" i="7"/>
  <c r="M137" i="7" s="1"/>
  <c r="M136" i="7"/>
  <c r="K136" i="7"/>
  <c r="L136" i="7" s="1"/>
  <c r="K135" i="7"/>
  <c r="L135" i="7" s="1"/>
  <c r="K134" i="7"/>
  <c r="M134" i="7" s="1"/>
  <c r="K133" i="7"/>
  <c r="M133" i="7" s="1"/>
  <c r="K132" i="7"/>
  <c r="M132" i="7" s="1"/>
  <c r="K131" i="7"/>
  <c r="M131" i="7" s="1"/>
  <c r="K130" i="7"/>
  <c r="L130" i="7" s="1"/>
  <c r="L129" i="7"/>
  <c r="K129" i="7"/>
  <c r="M129" i="7" s="1"/>
  <c r="K128" i="7"/>
  <c r="L128" i="7" s="1"/>
  <c r="K127" i="7"/>
  <c r="M127" i="7" s="1"/>
  <c r="K126" i="7"/>
  <c r="L126" i="7" s="1"/>
  <c r="K125" i="7"/>
  <c r="M125" i="7" s="1"/>
  <c r="K124" i="7"/>
  <c r="M124" i="7" s="1"/>
  <c r="K123" i="7"/>
  <c r="L123" i="7" s="1"/>
  <c r="K122" i="7"/>
  <c r="M122" i="7" s="1"/>
  <c r="K121" i="7"/>
  <c r="L121" i="7" s="1"/>
  <c r="K120" i="7"/>
  <c r="M120" i="7" s="1"/>
  <c r="K119" i="7"/>
  <c r="L119" i="7" s="1"/>
  <c r="K118" i="7"/>
  <c r="M118" i="7" s="1"/>
  <c r="K117" i="7"/>
  <c r="M117" i="7" s="1"/>
  <c r="M116" i="7"/>
  <c r="L116" i="7"/>
  <c r="N116" i="7" s="1"/>
  <c r="K116" i="7"/>
  <c r="K115" i="7"/>
  <c r="M115" i="7" s="1"/>
  <c r="K114" i="7"/>
  <c r="L114" i="7" s="1"/>
  <c r="K113" i="7"/>
  <c r="M113" i="7" s="1"/>
  <c r="K112" i="7"/>
  <c r="L112" i="7" s="1"/>
  <c r="K111" i="7"/>
  <c r="L111" i="7" s="1"/>
  <c r="K110" i="7"/>
  <c r="M110" i="7" s="1"/>
  <c r="K109" i="7"/>
  <c r="M109" i="7" s="1"/>
  <c r="K108" i="7"/>
  <c r="M108" i="7" s="1"/>
  <c r="K107" i="7"/>
  <c r="L107" i="7" s="1"/>
  <c r="K106" i="7"/>
  <c r="M106" i="7" s="1"/>
  <c r="K105" i="7"/>
  <c r="M105" i="7" s="1"/>
  <c r="K104" i="7"/>
  <c r="L104" i="7" s="1"/>
  <c r="K103" i="7"/>
  <c r="M103" i="7" s="1"/>
  <c r="K102" i="7"/>
  <c r="M102" i="7" s="1"/>
  <c r="L101" i="7"/>
  <c r="K101" i="7"/>
  <c r="M101" i="7" s="1"/>
  <c r="M100" i="7"/>
  <c r="N100" i="7" s="1"/>
  <c r="K100" i="7"/>
  <c r="L100" i="7" s="1"/>
  <c r="K99" i="7"/>
  <c r="M99" i="7" s="1"/>
  <c r="K98" i="7"/>
  <c r="M98" i="7" s="1"/>
  <c r="K97" i="7"/>
  <c r="M97" i="7" s="1"/>
  <c r="K96" i="7"/>
  <c r="M96" i="7" s="1"/>
  <c r="K95" i="7"/>
  <c r="M95" i="7" s="1"/>
  <c r="M94" i="7"/>
  <c r="L94" i="7"/>
  <c r="K94" i="7"/>
  <c r="K93" i="7"/>
  <c r="L93" i="7" s="1"/>
  <c r="K92" i="7"/>
  <c r="M92" i="7" s="1"/>
  <c r="K91" i="7"/>
  <c r="L91" i="7" s="1"/>
  <c r="K90" i="7"/>
  <c r="M90" i="7" s="1"/>
  <c r="K89" i="7"/>
  <c r="M89" i="7" s="1"/>
  <c r="K88" i="7"/>
  <c r="L88" i="7" s="1"/>
  <c r="M87" i="7"/>
  <c r="K87" i="7"/>
  <c r="L87" i="7" s="1"/>
  <c r="K86" i="7"/>
  <c r="L86" i="7" s="1"/>
  <c r="K85" i="7"/>
  <c r="M85" i="7" s="1"/>
  <c r="K84" i="7"/>
  <c r="M84" i="7" s="1"/>
  <c r="K83" i="7"/>
  <c r="L83" i="7" s="1"/>
  <c r="K82" i="7"/>
  <c r="M82" i="7" s="1"/>
  <c r="K81" i="7"/>
  <c r="M81" i="7" s="1"/>
  <c r="M80" i="7"/>
  <c r="K80" i="7"/>
  <c r="L80" i="7" s="1"/>
  <c r="N80" i="7" s="1"/>
  <c r="K79" i="7"/>
  <c r="L79" i="7" s="1"/>
  <c r="K78" i="7"/>
  <c r="M78" i="7" s="1"/>
  <c r="K77" i="7"/>
  <c r="L77" i="7" s="1"/>
  <c r="K76" i="7"/>
  <c r="M76" i="7" s="1"/>
  <c r="K75" i="7"/>
  <c r="M75" i="7" s="1"/>
  <c r="K74" i="7"/>
  <c r="L74" i="7" s="1"/>
  <c r="K73" i="7"/>
  <c r="M73" i="7" s="1"/>
  <c r="K72" i="7"/>
  <c r="L72" i="7" s="1"/>
  <c r="K71" i="7"/>
  <c r="M71" i="7" s="1"/>
  <c r="K70" i="7"/>
  <c r="L70" i="7" s="1"/>
  <c r="K69" i="7"/>
  <c r="L69" i="7" s="1"/>
  <c r="L68" i="7"/>
  <c r="N68" i="7" s="1"/>
  <c r="K68" i="7"/>
  <c r="M68" i="7" s="1"/>
  <c r="M67" i="7"/>
  <c r="L67" i="7"/>
  <c r="N67" i="7" s="1"/>
  <c r="K67" i="7"/>
  <c r="K66" i="7"/>
  <c r="M66" i="7" s="1"/>
  <c r="K65" i="7"/>
  <c r="L65" i="7" s="1"/>
  <c r="K64" i="7"/>
  <c r="M64" i="7" s="1"/>
  <c r="K63" i="7"/>
  <c r="M63" i="7" s="1"/>
  <c r="K62" i="7"/>
  <c r="L62" i="7" s="1"/>
  <c r="K61" i="7"/>
  <c r="M61" i="7" s="1"/>
  <c r="K60" i="7"/>
  <c r="M60" i="7" s="1"/>
  <c r="K59" i="7"/>
  <c r="L59" i="7" s="1"/>
  <c r="K58" i="7"/>
  <c r="L58" i="7" s="1"/>
  <c r="K57" i="7"/>
  <c r="M57" i="7" s="1"/>
  <c r="K56" i="7"/>
  <c r="L56" i="7" s="1"/>
  <c r="K55" i="7"/>
  <c r="M55" i="7" s="1"/>
  <c r="K54" i="7"/>
  <c r="M54" i="7" s="1"/>
  <c r="K53" i="7"/>
  <c r="L53" i="7" s="1"/>
  <c r="K52" i="7"/>
  <c r="M52" i="7" s="1"/>
  <c r="K51" i="7"/>
  <c r="L51" i="7" s="1"/>
  <c r="K50" i="7"/>
  <c r="M50" i="7" s="1"/>
  <c r="K49" i="7"/>
  <c r="M49" i="7" s="1"/>
  <c r="K48" i="7"/>
  <c r="L48" i="7" s="1"/>
  <c r="K47" i="7"/>
  <c r="M47" i="7" s="1"/>
  <c r="K46" i="7"/>
  <c r="M46" i="7" s="1"/>
  <c r="K45" i="7"/>
  <c r="M45" i="7" s="1"/>
  <c r="K44" i="7"/>
  <c r="L44" i="7" s="1"/>
  <c r="K43" i="7"/>
  <c r="M43" i="7" s="1"/>
  <c r="K42" i="7"/>
  <c r="L42" i="7" s="1"/>
  <c r="K41" i="7"/>
  <c r="L41" i="7" s="1"/>
  <c r="K40" i="7"/>
  <c r="M40" i="7" s="1"/>
  <c r="K39" i="7"/>
  <c r="M39" i="7" s="1"/>
  <c r="K38" i="7"/>
  <c r="L38" i="7" s="1"/>
  <c r="K37" i="7"/>
  <c r="L37" i="7" s="1"/>
  <c r="K36" i="7"/>
  <c r="M36" i="7" s="1"/>
  <c r="K35" i="7"/>
  <c r="M35" i="7" s="1"/>
  <c r="K34" i="7"/>
  <c r="M34" i="7" s="1"/>
  <c r="K33" i="7"/>
  <c r="M33" i="7" s="1"/>
  <c r="K32" i="7"/>
  <c r="M32" i="7" s="1"/>
  <c r="K31" i="7"/>
  <c r="M31" i="7" s="1"/>
  <c r="K30" i="7"/>
  <c r="L30" i="7" s="1"/>
  <c r="K29" i="7"/>
  <c r="M29" i="7" s="1"/>
  <c r="K28" i="7"/>
  <c r="M28" i="7" s="1"/>
  <c r="K27" i="7"/>
  <c r="L27" i="7" s="1"/>
  <c r="K26" i="7"/>
  <c r="M26" i="7" s="1"/>
  <c r="K25" i="7"/>
  <c r="L25" i="7" s="1"/>
  <c r="K24" i="7"/>
  <c r="M24" i="7" s="1"/>
  <c r="K23" i="7"/>
  <c r="L23" i="7" s="1"/>
  <c r="K22" i="7"/>
  <c r="M22" i="7" s="1"/>
  <c r="K21" i="7"/>
  <c r="M21" i="7" s="1"/>
  <c r="K20" i="7"/>
  <c r="L20" i="7" s="1"/>
  <c r="K19" i="7"/>
  <c r="M19" i="7" s="1"/>
  <c r="M18" i="7"/>
  <c r="K18" i="7"/>
  <c r="L18" i="7" s="1"/>
  <c r="N18" i="7" s="1"/>
  <c r="K17" i="7"/>
  <c r="M17" i="7" s="1"/>
  <c r="K16" i="7"/>
  <c r="L16" i="7" s="1"/>
  <c r="K15" i="7"/>
  <c r="M15" i="7" s="1"/>
  <c r="K14" i="7"/>
  <c r="M14" i="7" s="1"/>
  <c r="K13" i="7"/>
  <c r="M13" i="7" s="1"/>
  <c r="K12" i="7"/>
  <c r="M12" i="7" s="1"/>
  <c r="K11" i="7"/>
  <c r="M11" i="7" s="1"/>
  <c r="K10" i="7"/>
  <c r="M10" i="7" s="1"/>
  <c r="K9" i="7"/>
  <c r="L9" i="7" s="1"/>
  <c r="K8" i="7"/>
  <c r="M8" i="7" s="1"/>
  <c r="K7" i="7"/>
  <c r="M7" i="7" s="1"/>
  <c r="K6" i="7"/>
  <c r="M6" i="7" s="1"/>
  <c r="L5" i="7"/>
  <c r="N5" i="7" s="1"/>
  <c r="K5" i="7"/>
  <c r="M5" i="7" s="1"/>
  <c r="K4" i="7"/>
  <c r="L4" i="7" s="1"/>
  <c r="K3" i="7"/>
  <c r="M3" i="7"/>
  <c r="K522" i="6"/>
  <c r="M522" i="6" s="1"/>
  <c r="K521" i="6"/>
  <c r="M521" i="6" s="1"/>
  <c r="K520" i="6"/>
  <c r="K519" i="6"/>
  <c r="K518" i="6"/>
  <c r="M518" i="6" s="1"/>
  <c r="K517" i="6"/>
  <c r="M517" i="6" s="1"/>
  <c r="K516" i="6"/>
  <c r="M516" i="6" s="1"/>
  <c r="K515" i="6"/>
  <c r="M515" i="6" s="1"/>
  <c r="K514" i="6"/>
  <c r="M514" i="6" s="1"/>
  <c r="K513" i="6"/>
  <c r="K512" i="6"/>
  <c r="K511" i="6"/>
  <c r="K510" i="6"/>
  <c r="L510" i="6" s="1"/>
  <c r="K509" i="6"/>
  <c r="M509" i="6" s="1"/>
  <c r="K508" i="6"/>
  <c r="M508" i="6" s="1"/>
  <c r="K507" i="6"/>
  <c r="M507" i="6" s="1"/>
  <c r="K506" i="6"/>
  <c r="L506" i="6" s="1"/>
  <c r="K505" i="6"/>
  <c r="K504" i="6"/>
  <c r="M504" i="6" s="1"/>
  <c r="K503" i="6"/>
  <c r="M503" i="6" s="1"/>
  <c r="K502" i="6"/>
  <c r="M502" i="6" s="1"/>
  <c r="K501" i="6"/>
  <c r="M501" i="6" s="1"/>
  <c r="K500" i="6"/>
  <c r="M500" i="6" s="1"/>
  <c r="K499" i="6"/>
  <c r="L499" i="6" s="1"/>
  <c r="K498" i="6"/>
  <c r="K497" i="6"/>
  <c r="M497" i="6" s="1"/>
  <c r="K496" i="6"/>
  <c r="K495" i="6"/>
  <c r="L495" i="6" s="1"/>
  <c r="K494" i="6"/>
  <c r="M494" i="6" s="1"/>
  <c r="K493" i="6"/>
  <c r="K492" i="6"/>
  <c r="K491" i="6"/>
  <c r="K490" i="6"/>
  <c r="M490" i="6" s="1"/>
  <c r="K489" i="6"/>
  <c r="M489" i="6" s="1"/>
  <c r="K488" i="6"/>
  <c r="M488" i="6" s="1"/>
  <c r="K487" i="6"/>
  <c r="M487" i="6" s="1"/>
  <c r="K486" i="6"/>
  <c r="K485" i="6"/>
  <c r="L485" i="6" s="1"/>
  <c r="K484" i="6"/>
  <c r="K483" i="6"/>
  <c r="M483" i="6" s="1"/>
  <c r="K482" i="6"/>
  <c r="K481" i="6"/>
  <c r="M481" i="6" s="1"/>
  <c r="K480" i="6"/>
  <c r="M480" i="6" s="1"/>
  <c r="K479" i="6"/>
  <c r="K478" i="6"/>
  <c r="L478" i="6" s="1"/>
  <c r="K477" i="6"/>
  <c r="K476" i="6"/>
  <c r="M476" i="6" s="1"/>
  <c r="K475" i="6"/>
  <c r="M475" i="6" s="1"/>
  <c r="K474" i="6"/>
  <c r="L474" i="6" s="1"/>
  <c r="K473" i="6"/>
  <c r="M473" i="6" s="1"/>
  <c r="K472" i="6"/>
  <c r="K471" i="6"/>
  <c r="L471" i="6" s="1"/>
  <c r="K470" i="6"/>
  <c r="K469" i="6"/>
  <c r="K468" i="6"/>
  <c r="L468" i="6" s="1"/>
  <c r="K467" i="6"/>
  <c r="M467" i="6" s="1"/>
  <c r="K466" i="6"/>
  <c r="M466" i="6" s="1"/>
  <c r="K465" i="6"/>
  <c r="K464" i="6"/>
  <c r="L464" i="6" s="1"/>
  <c r="K463" i="6"/>
  <c r="K462" i="6"/>
  <c r="M462" i="6" s="1"/>
  <c r="K461" i="6"/>
  <c r="M461" i="6" s="1"/>
  <c r="K460" i="6"/>
  <c r="M460" i="6" s="1"/>
  <c r="K459" i="6"/>
  <c r="M459" i="6" s="1"/>
  <c r="K458" i="6"/>
  <c r="K457" i="6"/>
  <c r="L457" i="6" s="1"/>
  <c r="K456" i="6"/>
  <c r="K455" i="6"/>
  <c r="M455" i="6" s="1"/>
  <c r="K454" i="6"/>
  <c r="L454" i="6" s="1"/>
  <c r="K453" i="6"/>
  <c r="M453" i="6" s="1"/>
  <c r="K452" i="6"/>
  <c r="M452" i="6" s="1"/>
  <c r="K451" i="6"/>
  <c r="K450" i="6"/>
  <c r="L450" i="6" s="1"/>
  <c r="K449" i="6"/>
  <c r="K448" i="6"/>
  <c r="M448" i="6" s="1"/>
  <c r="K447" i="6"/>
  <c r="M447" i="6" s="1"/>
  <c r="K446" i="6"/>
  <c r="L446" i="6" s="1"/>
  <c r="K445" i="6"/>
  <c r="M445" i="6" s="1"/>
  <c r="K444" i="6"/>
  <c r="K443" i="6"/>
  <c r="L443" i="6" s="1"/>
  <c r="K442" i="6"/>
  <c r="M442" i="6" s="1"/>
  <c r="K441" i="6"/>
  <c r="M441" i="6" s="1"/>
  <c r="K440" i="6"/>
  <c r="M440" i="6" s="1"/>
  <c r="K439" i="6"/>
  <c r="M439" i="6" s="1"/>
  <c r="K438" i="6"/>
  <c r="M438" i="6" s="1"/>
  <c r="K437" i="6"/>
  <c r="K436" i="6"/>
  <c r="L436" i="6" s="1"/>
  <c r="K435" i="6"/>
  <c r="M435" i="6" s="1"/>
  <c r="K434" i="6"/>
  <c r="M434" i="6" s="1"/>
  <c r="K433" i="6"/>
  <c r="L433" i="6" s="1"/>
  <c r="K432" i="6"/>
  <c r="M432" i="6" s="1"/>
  <c r="K431" i="6"/>
  <c r="M431" i="6" s="1"/>
  <c r="K430" i="6"/>
  <c r="K429" i="6"/>
  <c r="L429" i="6" s="1"/>
  <c r="K428" i="6"/>
  <c r="M428" i="6" s="1"/>
  <c r="K427" i="6"/>
  <c r="M427" i="6" s="1"/>
  <c r="K426" i="6"/>
  <c r="L426" i="6" s="1"/>
  <c r="K425" i="6"/>
  <c r="M425" i="6" s="1"/>
  <c r="K424" i="6"/>
  <c r="M424" i="6" s="1"/>
  <c r="K423" i="6"/>
  <c r="K422" i="6"/>
  <c r="L422" i="6" s="1"/>
  <c r="K421" i="6"/>
  <c r="K420" i="6"/>
  <c r="M420" i="6" s="1"/>
  <c r="K419" i="6"/>
  <c r="M419" i="6" s="1"/>
  <c r="K418" i="6"/>
  <c r="M418" i="6" s="1"/>
  <c r="K417" i="6"/>
  <c r="M417" i="6" s="1"/>
  <c r="K416" i="6"/>
  <c r="K415" i="6"/>
  <c r="L415" i="6" s="1"/>
  <c r="L414" i="6"/>
  <c r="N414" i="6" s="1"/>
  <c r="K414" i="6"/>
  <c r="M414" i="6" s="1"/>
  <c r="K413" i="6"/>
  <c r="M413" i="6" s="1"/>
  <c r="K412" i="6"/>
  <c r="M412" i="6" s="1"/>
  <c r="K411" i="6"/>
  <c r="M411" i="6" s="1"/>
  <c r="K410" i="6"/>
  <c r="M410" i="6" s="1"/>
  <c r="K409" i="6"/>
  <c r="K408" i="6"/>
  <c r="L408" i="6" s="1"/>
  <c r="K407" i="6"/>
  <c r="M407" i="6" s="1"/>
  <c r="K406" i="6"/>
  <c r="M406" i="6" s="1"/>
  <c r="K405" i="6"/>
  <c r="M405" i="6" s="1"/>
  <c r="K404" i="6"/>
  <c r="L404" i="6" s="1"/>
  <c r="K403" i="6"/>
  <c r="M403" i="6" s="1"/>
  <c r="K402" i="6"/>
  <c r="K401" i="6"/>
  <c r="L401" i="6" s="1"/>
  <c r="K400" i="6"/>
  <c r="M400" i="6" s="1"/>
  <c r="K399" i="6"/>
  <c r="M399" i="6" s="1"/>
  <c r="K398" i="6"/>
  <c r="M398" i="6" s="1"/>
  <c r="K397" i="6"/>
  <c r="M397" i="6" s="1"/>
  <c r="K396" i="6"/>
  <c r="M396" i="6" s="1"/>
  <c r="K395" i="6"/>
  <c r="K394" i="6"/>
  <c r="L394" i="6" s="1"/>
  <c r="K393" i="6"/>
  <c r="M393" i="6" s="1"/>
  <c r="K392" i="6"/>
  <c r="M392" i="6" s="1"/>
  <c r="K391" i="6"/>
  <c r="M391" i="6" s="1"/>
  <c r="K390" i="6"/>
  <c r="M390" i="6" s="1"/>
  <c r="K389" i="6"/>
  <c r="M389" i="6" s="1"/>
  <c r="K388" i="6"/>
  <c r="K387" i="6"/>
  <c r="L387" i="6" s="1"/>
  <c r="K386" i="6"/>
  <c r="M386" i="6" s="1"/>
  <c r="K385" i="6"/>
  <c r="M385" i="6" s="1"/>
  <c r="K384" i="6"/>
  <c r="L384" i="6" s="1"/>
  <c r="K383" i="6"/>
  <c r="M383" i="6" s="1"/>
  <c r="K382" i="6"/>
  <c r="M382" i="6" s="1"/>
  <c r="K381" i="6"/>
  <c r="K380" i="6"/>
  <c r="L380" i="6" s="1"/>
  <c r="K379" i="6"/>
  <c r="M379" i="6" s="1"/>
  <c r="K378" i="6"/>
  <c r="M378" i="6" s="1"/>
  <c r="K377" i="6"/>
  <c r="L377" i="6" s="1"/>
  <c r="K376" i="6"/>
  <c r="M376" i="6" s="1"/>
  <c r="K375" i="6"/>
  <c r="M375" i="6" s="1"/>
  <c r="K374" i="6"/>
  <c r="K373" i="6"/>
  <c r="L373" i="6" s="1"/>
  <c r="K372" i="6"/>
  <c r="K371" i="6"/>
  <c r="M371" i="6" s="1"/>
  <c r="K370" i="6"/>
  <c r="M370" i="6" s="1"/>
  <c r="K369" i="6"/>
  <c r="M369" i="6" s="1"/>
  <c r="K368" i="6"/>
  <c r="M368" i="6" s="1"/>
  <c r="K367" i="6"/>
  <c r="K366" i="6"/>
  <c r="L366" i="6" s="1"/>
  <c r="K365" i="6"/>
  <c r="M365" i="6" s="1"/>
  <c r="K364" i="6"/>
  <c r="M364" i="6" s="1"/>
  <c r="K363" i="6"/>
  <c r="M363" i="6" s="1"/>
  <c r="K362" i="6"/>
  <c r="M362" i="6" s="1"/>
  <c r="K361" i="6"/>
  <c r="M361" i="6" s="1"/>
  <c r="K360" i="6"/>
  <c r="K359" i="6"/>
  <c r="L359" i="6" s="1"/>
  <c r="K358" i="6"/>
  <c r="M358" i="6" s="1"/>
  <c r="K357" i="6"/>
  <c r="M357" i="6" s="1"/>
  <c r="K356" i="6"/>
  <c r="M356" i="6" s="1"/>
  <c r="K355" i="6"/>
  <c r="L355" i="6" s="1"/>
  <c r="K354" i="6"/>
  <c r="M354" i="6" s="1"/>
  <c r="K353" i="6"/>
  <c r="K352" i="6"/>
  <c r="L352" i="6" s="1"/>
  <c r="K351" i="6"/>
  <c r="M351" i="6" s="1"/>
  <c r="K350" i="6"/>
  <c r="M350" i="6" s="1"/>
  <c r="K349" i="6"/>
  <c r="M349" i="6" s="1"/>
  <c r="K348" i="6"/>
  <c r="M348" i="6" s="1"/>
  <c r="K347" i="6"/>
  <c r="M347" i="6" s="1"/>
  <c r="K346" i="6"/>
  <c r="K345" i="6"/>
  <c r="L345" i="6" s="1"/>
  <c r="K344" i="6"/>
  <c r="M344" i="6" s="1"/>
  <c r="K343" i="6"/>
  <c r="M343" i="6" s="1"/>
  <c r="K342" i="6"/>
  <c r="M342" i="6" s="1"/>
  <c r="K341" i="6"/>
  <c r="M341" i="6" s="1"/>
  <c r="K340" i="6"/>
  <c r="L340" i="6" s="1"/>
  <c r="K339" i="6"/>
  <c r="K338" i="6"/>
  <c r="L338" i="6" s="1"/>
  <c r="K337" i="6"/>
  <c r="M337" i="6" s="1"/>
  <c r="K336" i="6"/>
  <c r="M336" i="6" s="1"/>
  <c r="K335" i="6"/>
  <c r="M335" i="6" s="1"/>
  <c r="K334" i="6"/>
  <c r="M334" i="6" s="1"/>
  <c r="K333" i="6"/>
  <c r="M333" i="6" s="1"/>
  <c r="K332" i="6"/>
  <c r="K331" i="6"/>
  <c r="L331" i="6" s="1"/>
  <c r="K330" i="6"/>
  <c r="M330" i="6" s="1"/>
  <c r="K329" i="6"/>
  <c r="M329" i="6" s="1"/>
  <c r="K328" i="6"/>
  <c r="M328" i="6" s="1"/>
  <c r="K327" i="6"/>
  <c r="L327" i="6" s="1"/>
  <c r="K326" i="6"/>
  <c r="M326" i="6" s="1"/>
  <c r="K325" i="6"/>
  <c r="K324" i="6"/>
  <c r="L324" i="6" s="1"/>
  <c r="K323" i="6"/>
  <c r="M323" i="6" s="1"/>
  <c r="K322" i="6"/>
  <c r="M322" i="6" s="1"/>
  <c r="K321" i="6"/>
  <c r="M321" i="6" s="1"/>
  <c r="K320" i="6"/>
  <c r="L320" i="6" s="1"/>
  <c r="K319" i="6"/>
  <c r="L319" i="6" s="1"/>
  <c r="K318" i="6"/>
  <c r="K317" i="6"/>
  <c r="L317" i="6" s="1"/>
  <c r="K316" i="6"/>
  <c r="M316" i="6" s="1"/>
  <c r="K315" i="6"/>
  <c r="M315" i="6" s="1"/>
  <c r="K314" i="6"/>
  <c r="L314" i="6" s="1"/>
  <c r="K313" i="6"/>
  <c r="M313" i="6" s="1"/>
  <c r="K312" i="6"/>
  <c r="M312" i="6" s="1"/>
  <c r="K311" i="6"/>
  <c r="K310" i="6"/>
  <c r="L310" i="6" s="1"/>
  <c r="K309" i="6"/>
  <c r="M309" i="6" s="1"/>
  <c r="K308" i="6"/>
  <c r="M308" i="6" s="1"/>
  <c r="K307" i="6"/>
  <c r="M307" i="6" s="1"/>
  <c r="K306" i="6"/>
  <c r="M306" i="6" s="1"/>
  <c r="K305" i="6"/>
  <c r="M305" i="6" s="1"/>
  <c r="K304" i="6"/>
  <c r="K303" i="6"/>
  <c r="L303" i="6" s="1"/>
  <c r="K302" i="6"/>
  <c r="M302" i="6" s="1"/>
  <c r="K301" i="6"/>
  <c r="M301" i="6" s="1"/>
  <c r="K300" i="6"/>
  <c r="M300" i="6" s="1"/>
  <c r="K299" i="6"/>
  <c r="L299" i="6" s="1"/>
  <c r="K298" i="6"/>
  <c r="M298" i="6" s="1"/>
  <c r="K297" i="6"/>
  <c r="K296" i="6"/>
  <c r="L296" i="6" s="1"/>
  <c r="K295" i="6"/>
  <c r="M295" i="6" s="1"/>
  <c r="K294" i="6"/>
  <c r="M294" i="6" s="1"/>
  <c r="K293" i="6"/>
  <c r="M293" i="6" s="1"/>
  <c r="K292" i="6"/>
  <c r="L292" i="6" s="1"/>
  <c r="K291" i="6"/>
  <c r="M291" i="6" s="1"/>
  <c r="K290" i="6"/>
  <c r="K289" i="6"/>
  <c r="L289" i="6" s="1"/>
  <c r="K288" i="6"/>
  <c r="M288" i="6" s="1"/>
  <c r="K287" i="6"/>
  <c r="M287" i="6" s="1"/>
  <c r="K286" i="6"/>
  <c r="L286" i="6" s="1"/>
  <c r="K285" i="6"/>
  <c r="M285" i="6" s="1"/>
  <c r="K284" i="6"/>
  <c r="L284" i="6" s="1"/>
  <c r="K283" i="6"/>
  <c r="K282" i="6"/>
  <c r="L282" i="6" s="1"/>
  <c r="K281" i="6"/>
  <c r="M281" i="6" s="1"/>
  <c r="K280" i="6"/>
  <c r="M280" i="6" s="1"/>
  <c r="K279" i="6"/>
  <c r="M279" i="6" s="1"/>
  <c r="K278" i="6"/>
  <c r="L278" i="6" s="1"/>
  <c r="K277" i="6"/>
  <c r="L277" i="6" s="1"/>
  <c r="K276" i="6"/>
  <c r="K275" i="6"/>
  <c r="L275" i="6" s="1"/>
  <c r="K274" i="6"/>
  <c r="M274" i="6" s="1"/>
  <c r="K273" i="6"/>
  <c r="M273" i="6" s="1"/>
  <c r="K272" i="6"/>
  <c r="M272" i="6" s="1"/>
  <c r="K271" i="6"/>
  <c r="L271" i="6" s="1"/>
  <c r="K270" i="6"/>
  <c r="M270" i="6" s="1"/>
  <c r="K269" i="6"/>
  <c r="K268" i="6"/>
  <c r="L268" i="6" s="1"/>
  <c r="K267" i="6"/>
  <c r="M267" i="6" s="1"/>
  <c r="K266" i="6"/>
  <c r="M266" i="6" s="1"/>
  <c r="K265" i="6"/>
  <c r="M265" i="6" s="1"/>
  <c r="K264" i="6"/>
  <c r="M264" i="6" s="1"/>
  <c r="K263" i="6"/>
  <c r="M263" i="6" s="1"/>
  <c r="K262" i="6"/>
  <c r="K261" i="6"/>
  <c r="L261" i="6" s="1"/>
  <c r="K260" i="6"/>
  <c r="M260" i="6" s="1"/>
  <c r="K259" i="6"/>
  <c r="M259" i="6" s="1"/>
  <c r="K258" i="6"/>
  <c r="M258" i="6" s="1"/>
  <c r="K257" i="6"/>
  <c r="L257" i="6" s="1"/>
  <c r="K256" i="6"/>
  <c r="L256" i="6" s="1"/>
  <c r="K255" i="6"/>
  <c r="K254" i="6"/>
  <c r="L254" i="6" s="1"/>
  <c r="K253" i="6"/>
  <c r="M253" i="6" s="1"/>
  <c r="K252" i="6"/>
  <c r="M252" i="6" s="1"/>
  <c r="K251" i="6"/>
  <c r="M251" i="6" s="1"/>
  <c r="K250" i="6"/>
  <c r="L250" i="6" s="1"/>
  <c r="K249" i="6"/>
  <c r="M249" i="6" s="1"/>
  <c r="K248" i="6"/>
  <c r="K247" i="6"/>
  <c r="L247" i="6" s="1"/>
  <c r="K246" i="6"/>
  <c r="M246" i="6" s="1"/>
  <c r="K245" i="6"/>
  <c r="M245" i="6" s="1"/>
  <c r="K244" i="6"/>
  <c r="M244" i="6" s="1"/>
  <c r="K243" i="6"/>
  <c r="L243" i="6" s="1"/>
  <c r="K242" i="6"/>
  <c r="M242" i="6" s="1"/>
  <c r="K241" i="6"/>
  <c r="K240" i="6"/>
  <c r="L240" i="6" s="1"/>
  <c r="K239" i="6"/>
  <c r="M239" i="6" s="1"/>
  <c r="K238" i="6"/>
  <c r="M238" i="6" s="1"/>
  <c r="K237" i="6"/>
  <c r="M237" i="6" s="1"/>
  <c r="K236" i="6"/>
  <c r="L236" i="6" s="1"/>
  <c r="K235" i="6"/>
  <c r="L235" i="6" s="1"/>
  <c r="K234" i="6"/>
  <c r="K233" i="6"/>
  <c r="L233" i="6" s="1"/>
  <c r="K232" i="6"/>
  <c r="M232" i="6" s="1"/>
  <c r="K231" i="6"/>
  <c r="M231" i="6" s="1"/>
  <c r="K230" i="6"/>
  <c r="M230" i="6" s="1"/>
  <c r="K229" i="6"/>
  <c r="M229" i="6" s="1"/>
  <c r="K228" i="6"/>
  <c r="L228" i="6" s="1"/>
  <c r="K227" i="6"/>
  <c r="K226" i="6"/>
  <c r="L226" i="6" s="1"/>
  <c r="K225" i="6"/>
  <c r="M225" i="6" s="1"/>
  <c r="K224" i="6"/>
  <c r="M224" i="6" s="1"/>
  <c r="K223" i="6"/>
  <c r="M223" i="6" s="1"/>
  <c r="K222" i="6"/>
  <c r="M222" i="6" s="1"/>
  <c r="K221" i="6"/>
  <c r="M221" i="6" s="1"/>
  <c r="K220" i="6"/>
  <c r="K219" i="6"/>
  <c r="L219" i="6" s="1"/>
  <c r="K218" i="6"/>
  <c r="M218" i="6" s="1"/>
  <c r="K217" i="6"/>
  <c r="M217" i="6" s="1"/>
  <c r="K216" i="6"/>
  <c r="M216" i="6" s="1"/>
  <c r="K215" i="6"/>
  <c r="L215" i="6" s="1"/>
  <c r="K214" i="6"/>
  <c r="L214" i="6" s="1"/>
  <c r="K213" i="6"/>
  <c r="K212" i="6"/>
  <c r="L212" i="6" s="1"/>
  <c r="K211" i="6"/>
  <c r="M211" i="6" s="1"/>
  <c r="K210" i="6"/>
  <c r="M210" i="6" s="1"/>
  <c r="K209" i="6"/>
  <c r="M209" i="6" s="1"/>
  <c r="K208" i="6"/>
  <c r="M208" i="6" s="1"/>
  <c r="K207" i="6"/>
  <c r="M207" i="6" s="1"/>
  <c r="K206" i="6"/>
  <c r="K205" i="6"/>
  <c r="L205" i="6" s="1"/>
  <c r="K204" i="6"/>
  <c r="M204" i="6" s="1"/>
  <c r="K203" i="6"/>
  <c r="M203" i="6" s="1"/>
  <c r="K202" i="6"/>
  <c r="L202" i="6" s="1"/>
  <c r="K201" i="6"/>
  <c r="M201" i="6" s="1"/>
  <c r="K200" i="6"/>
  <c r="M200" i="6" s="1"/>
  <c r="K199" i="6"/>
  <c r="K198" i="6"/>
  <c r="L198" i="6" s="1"/>
  <c r="K197" i="6"/>
  <c r="M197" i="6" s="1"/>
  <c r="K196" i="6"/>
  <c r="M196" i="6" s="1"/>
  <c r="K195" i="6"/>
  <c r="M195" i="6" s="1"/>
  <c r="K194" i="6"/>
  <c r="L194" i="6" s="1"/>
  <c r="K193" i="6"/>
  <c r="L193" i="6" s="1"/>
  <c r="K192" i="6"/>
  <c r="K191" i="6"/>
  <c r="L191" i="6" s="1"/>
  <c r="K190" i="6"/>
  <c r="M190" i="6" s="1"/>
  <c r="K189" i="6"/>
  <c r="M189" i="6" s="1"/>
  <c r="K188" i="6"/>
  <c r="M188" i="6" s="1"/>
  <c r="K187" i="6"/>
  <c r="L187" i="6" s="1"/>
  <c r="K186" i="6"/>
  <c r="M186" i="6" s="1"/>
  <c r="K185" i="6"/>
  <c r="K184" i="6"/>
  <c r="L184" i="6" s="1"/>
  <c r="K183" i="6"/>
  <c r="M183" i="6" s="1"/>
  <c r="K182" i="6"/>
  <c r="M182" i="6" s="1"/>
  <c r="K181" i="6"/>
  <c r="M181" i="6" s="1"/>
  <c r="K180" i="6"/>
  <c r="M180" i="6" s="1"/>
  <c r="K179" i="6"/>
  <c r="M179" i="6" s="1"/>
  <c r="K178" i="6"/>
  <c r="K177" i="6"/>
  <c r="L177" i="6" s="1"/>
  <c r="K176" i="6"/>
  <c r="M176" i="6" s="1"/>
  <c r="K175" i="6"/>
  <c r="K174" i="6"/>
  <c r="L174" i="6" s="1"/>
  <c r="K173" i="6"/>
  <c r="M173" i="6" s="1"/>
  <c r="K172" i="6"/>
  <c r="M172" i="6" s="1"/>
  <c r="K171" i="6"/>
  <c r="K170" i="6"/>
  <c r="L170" i="6" s="1"/>
  <c r="K169" i="6"/>
  <c r="M169" i="6" s="1"/>
  <c r="K168" i="6"/>
  <c r="M168" i="6" s="1"/>
  <c r="K167" i="6"/>
  <c r="L167" i="6" s="1"/>
  <c r="K166" i="6"/>
  <c r="K165" i="6"/>
  <c r="M165" i="6" s="1"/>
  <c r="K164" i="6"/>
  <c r="K163" i="6"/>
  <c r="L163" i="6" s="1"/>
  <c r="K162" i="6"/>
  <c r="M162" i="6" s="1"/>
  <c r="K161" i="6"/>
  <c r="M161" i="6" s="1"/>
  <c r="K160" i="6"/>
  <c r="L160" i="6" s="1"/>
  <c r="K159" i="6"/>
  <c r="M159" i="6" s="1"/>
  <c r="K158" i="6"/>
  <c r="M158" i="6" s="1"/>
  <c r="K157" i="6"/>
  <c r="K156" i="6"/>
  <c r="L156" i="6" s="1"/>
  <c r="K155" i="6"/>
  <c r="M155" i="6" s="1"/>
  <c r="K154" i="6"/>
  <c r="M154" i="6" s="1"/>
  <c r="K153" i="6"/>
  <c r="M153" i="6" s="1"/>
  <c r="K152" i="6"/>
  <c r="M152" i="6" s="1"/>
  <c r="K151" i="6"/>
  <c r="M151" i="6" s="1"/>
  <c r="K150" i="6"/>
  <c r="K149" i="6"/>
  <c r="L149" i="6" s="1"/>
  <c r="K148" i="6"/>
  <c r="M148" i="6" s="1"/>
  <c r="K147" i="6"/>
  <c r="M147" i="6" s="1"/>
  <c r="K146" i="6"/>
  <c r="K145" i="6"/>
  <c r="M145" i="6" s="1"/>
  <c r="K144" i="6"/>
  <c r="M144" i="6" s="1"/>
  <c r="K143" i="6"/>
  <c r="K142" i="6"/>
  <c r="L142" i="6" s="1"/>
  <c r="K141" i="6"/>
  <c r="M141" i="6" s="1"/>
  <c r="K140" i="6"/>
  <c r="M140" i="6" s="1"/>
  <c r="K139" i="6"/>
  <c r="M139" i="6" s="1"/>
  <c r="K138" i="6"/>
  <c r="L138" i="6" s="1"/>
  <c r="K137" i="6"/>
  <c r="M137" i="6" s="1"/>
  <c r="K136" i="6"/>
  <c r="K135" i="6"/>
  <c r="L135" i="6" s="1"/>
  <c r="K134" i="6"/>
  <c r="M134" i="6" s="1"/>
  <c r="K133" i="6"/>
  <c r="M133" i="6" s="1"/>
  <c r="K132" i="6"/>
  <c r="M132" i="6" s="1"/>
  <c r="K131" i="6"/>
  <c r="L131" i="6" s="1"/>
  <c r="K130" i="6"/>
  <c r="M130" i="6" s="1"/>
  <c r="K129" i="6"/>
  <c r="K128" i="6"/>
  <c r="L128" i="6" s="1"/>
  <c r="K127" i="6"/>
  <c r="M127" i="6" s="1"/>
  <c r="K126" i="6"/>
  <c r="K125" i="6"/>
  <c r="L125" i="6" s="1"/>
  <c r="K124" i="6"/>
  <c r="M124" i="6" s="1"/>
  <c r="K123" i="6"/>
  <c r="L123" i="6" s="1"/>
  <c r="K122" i="6"/>
  <c r="K121" i="6"/>
  <c r="L121" i="6" s="1"/>
  <c r="K120" i="6"/>
  <c r="M120" i="6" s="1"/>
  <c r="K119" i="6"/>
  <c r="M119" i="6" s="1"/>
  <c r="K118" i="6"/>
  <c r="M118" i="6" s="1"/>
  <c r="K117" i="6"/>
  <c r="M117" i="6" s="1"/>
  <c r="K116" i="6"/>
  <c r="M116" i="6" s="1"/>
  <c r="K115" i="6"/>
  <c r="K114" i="6"/>
  <c r="K113" i="6"/>
  <c r="M113" i="6" s="1"/>
  <c r="K112" i="6"/>
  <c r="M112" i="6" s="1"/>
  <c r="K111" i="6"/>
  <c r="L111" i="6" s="1"/>
  <c r="K110" i="6"/>
  <c r="M110" i="6" s="1"/>
  <c r="K109" i="6"/>
  <c r="M109" i="6" s="1"/>
  <c r="K108" i="6"/>
  <c r="K107" i="6"/>
  <c r="L107" i="6" s="1"/>
  <c r="K106" i="6"/>
  <c r="M106" i="6" s="1"/>
  <c r="K105" i="6"/>
  <c r="M105" i="6" s="1"/>
  <c r="K104" i="6"/>
  <c r="M104" i="6" s="1"/>
  <c r="K103" i="6"/>
  <c r="M103" i="6" s="1"/>
  <c r="K102" i="6"/>
  <c r="M102" i="6" s="1"/>
  <c r="K101" i="6"/>
  <c r="K100" i="6"/>
  <c r="K99" i="6"/>
  <c r="M99" i="6" s="1"/>
  <c r="K98" i="6"/>
  <c r="M98" i="6" s="1"/>
  <c r="K97" i="6"/>
  <c r="M97" i="6" s="1"/>
  <c r="K96" i="6"/>
  <c r="L96" i="6" s="1"/>
  <c r="K95" i="6"/>
  <c r="M95" i="6" s="1"/>
  <c r="K94" i="6"/>
  <c r="K93" i="6"/>
  <c r="L93" i="6" s="1"/>
  <c r="K92" i="6"/>
  <c r="M92" i="6" s="1"/>
  <c r="K91" i="6"/>
  <c r="M91" i="6" s="1"/>
  <c r="K90" i="6"/>
  <c r="M90" i="6" s="1"/>
  <c r="K89" i="6"/>
  <c r="M89" i="6" s="1"/>
  <c r="K88" i="6"/>
  <c r="M88" i="6" s="1"/>
  <c r="K87" i="6"/>
  <c r="K86" i="6"/>
  <c r="L86" i="6" s="1"/>
  <c r="K85" i="6"/>
  <c r="M85" i="6" s="1"/>
  <c r="K84" i="6"/>
  <c r="M84" i="6" s="1"/>
  <c r="K83" i="6"/>
  <c r="M83" i="6" s="1"/>
  <c r="K82" i="6"/>
  <c r="M82" i="6" s="1"/>
  <c r="K81" i="6"/>
  <c r="M81" i="6" s="1"/>
  <c r="K80" i="6"/>
  <c r="K79" i="6"/>
  <c r="L79" i="6" s="1"/>
  <c r="K78" i="6"/>
  <c r="M78" i="6" s="1"/>
  <c r="K77" i="6"/>
  <c r="M77" i="6" s="1"/>
  <c r="K76" i="6"/>
  <c r="L76" i="6" s="1"/>
  <c r="K75" i="6"/>
  <c r="L75" i="6" s="1"/>
  <c r="K74" i="6"/>
  <c r="M74" i="6" s="1"/>
  <c r="K73" i="6"/>
  <c r="K72" i="6"/>
  <c r="L72" i="6" s="1"/>
  <c r="K71" i="6"/>
  <c r="M71" i="6" s="1"/>
  <c r="K70" i="6"/>
  <c r="M70" i="6" s="1"/>
  <c r="K69" i="6"/>
  <c r="M69" i="6" s="1"/>
  <c r="K68" i="6"/>
  <c r="M68" i="6" s="1"/>
  <c r="K67" i="6"/>
  <c r="M67" i="6" s="1"/>
  <c r="K66" i="6"/>
  <c r="K65" i="6"/>
  <c r="K64" i="6"/>
  <c r="M64" i="6" s="1"/>
  <c r="K63" i="6"/>
  <c r="M63" i="6" s="1"/>
  <c r="K62" i="6"/>
  <c r="M62" i="6" s="1"/>
  <c r="K61" i="6"/>
  <c r="M61" i="6" s="1"/>
  <c r="K60" i="6"/>
  <c r="M60" i="6" s="1"/>
  <c r="K59" i="6"/>
  <c r="K58" i="6"/>
  <c r="L58" i="6" s="1"/>
  <c r="K57" i="6"/>
  <c r="M57" i="6" s="1"/>
  <c r="K56" i="6"/>
  <c r="M56" i="6" s="1"/>
  <c r="K55" i="6"/>
  <c r="M55" i="6" s="1"/>
  <c r="K54" i="6"/>
  <c r="M54" i="6" s="1"/>
  <c r="K53" i="6"/>
  <c r="M53" i="6" s="1"/>
  <c r="K52" i="6"/>
  <c r="K51" i="6"/>
  <c r="K50" i="6"/>
  <c r="M50" i="6" s="1"/>
  <c r="K49" i="6"/>
  <c r="M49" i="6" s="1"/>
  <c r="K48" i="6"/>
  <c r="M48" i="6" s="1"/>
  <c r="K47" i="6"/>
  <c r="M47" i="6" s="1"/>
  <c r="K46" i="6"/>
  <c r="M46" i="6" s="1"/>
  <c r="K45" i="6"/>
  <c r="K44" i="6"/>
  <c r="L44" i="6" s="1"/>
  <c r="K43" i="6"/>
  <c r="M43" i="6" s="1"/>
  <c r="K42" i="6"/>
  <c r="M42" i="6" s="1"/>
  <c r="K41" i="6"/>
  <c r="L41" i="6" s="1"/>
  <c r="K40" i="6"/>
  <c r="M40" i="6" s="1"/>
  <c r="K39" i="6"/>
  <c r="M39" i="6" s="1"/>
  <c r="K38" i="6"/>
  <c r="K37" i="6"/>
  <c r="L37" i="6" s="1"/>
  <c r="K36" i="6"/>
  <c r="M36" i="6" s="1"/>
  <c r="K35" i="6"/>
  <c r="M35" i="6" s="1"/>
  <c r="K34" i="6"/>
  <c r="M34" i="6" s="1"/>
  <c r="K33" i="6"/>
  <c r="L33" i="6" s="1"/>
  <c r="K32" i="6"/>
  <c r="M32" i="6" s="1"/>
  <c r="K31" i="6"/>
  <c r="K30" i="6"/>
  <c r="L30" i="6" s="1"/>
  <c r="K29" i="6"/>
  <c r="M29" i="6" s="1"/>
  <c r="K28" i="6"/>
  <c r="M28" i="6" s="1"/>
  <c r="K27" i="6"/>
  <c r="L27" i="6" s="1"/>
  <c r="K26" i="6"/>
  <c r="M26" i="6" s="1"/>
  <c r="K25" i="6"/>
  <c r="M25" i="6" s="1"/>
  <c r="K24" i="6"/>
  <c r="K23" i="6"/>
  <c r="L23" i="6" s="1"/>
  <c r="K22" i="6"/>
  <c r="M22" i="6" s="1"/>
  <c r="K21" i="6"/>
  <c r="M21" i="6" s="1"/>
  <c r="K20" i="6"/>
  <c r="M20" i="6" s="1"/>
  <c r="K19" i="6"/>
  <c r="M19" i="6" s="1"/>
  <c r="K18" i="6"/>
  <c r="M18" i="6" s="1"/>
  <c r="K17" i="6"/>
  <c r="K16" i="6"/>
  <c r="L16" i="6" s="1"/>
  <c r="K15" i="6"/>
  <c r="M15" i="6" s="1"/>
  <c r="K14" i="6"/>
  <c r="M14" i="6" s="1"/>
  <c r="K13" i="6"/>
  <c r="L13" i="6" s="1"/>
  <c r="K12" i="6"/>
  <c r="M12" i="6" s="1"/>
  <c r="K11" i="6"/>
  <c r="M11" i="6" s="1"/>
  <c r="K10" i="6"/>
  <c r="K9" i="6"/>
  <c r="L9" i="6" s="1"/>
  <c r="K8" i="6"/>
  <c r="M8" i="6" s="1"/>
  <c r="K7" i="6"/>
  <c r="M7" i="6" s="1"/>
  <c r="K6" i="6"/>
  <c r="L6" i="6" s="1"/>
  <c r="K5" i="6"/>
  <c r="M5" i="6" s="1"/>
  <c r="K4" i="6"/>
  <c r="M4" i="6" s="1"/>
  <c r="K3" i="6"/>
  <c r="M3" i="6" s="1"/>
  <c r="Y3" i="3"/>
  <c r="Z3" i="3" s="1"/>
  <c r="Y1294" i="3"/>
  <c r="AA1294" i="3" s="1"/>
  <c r="Y1293" i="3"/>
  <c r="Y1292" i="3"/>
  <c r="Z1292" i="3" s="1"/>
  <c r="Y1291" i="3"/>
  <c r="Y1290" i="3"/>
  <c r="AA1290" i="3" s="1"/>
  <c r="Y1289" i="3"/>
  <c r="AA1289" i="3" s="1"/>
  <c r="Y1288" i="3"/>
  <c r="Z1288" i="3" s="1"/>
  <c r="Y1287" i="3"/>
  <c r="AA1287" i="3" s="1"/>
  <c r="Y1286" i="3"/>
  <c r="AA1286" i="3" s="1"/>
  <c r="Y1285" i="3"/>
  <c r="AA1285" i="3" s="1"/>
  <c r="Y1284" i="3"/>
  <c r="Y1283" i="3"/>
  <c r="Z1283" i="3" s="1"/>
  <c r="Y1282" i="3"/>
  <c r="AA1282" i="3" s="1"/>
  <c r="Y1281" i="3"/>
  <c r="Y1280" i="3"/>
  <c r="Z1280" i="3" s="1"/>
  <c r="Y1279" i="3"/>
  <c r="Z1279" i="3" s="1"/>
  <c r="Y1278" i="3"/>
  <c r="Z1278" i="3" s="1"/>
  <c r="Y1277" i="3"/>
  <c r="Y1276" i="3"/>
  <c r="AA1276" i="3" s="1"/>
  <c r="Y1275" i="3"/>
  <c r="Z1275" i="3" s="1"/>
  <c r="Y1274" i="3"/>
  <c r="AA1274" i="3" s="1"/>
  <c r="Y1273" i="3"/>
  <c r="AA1273" i="3" s="1"/>
  <c r="Y1272" i="3"/>
  <c r="AA1272" i="3" s="1"/>
  <c r="Y1271" i="3"/>
  <c r="Z1271" i="3" s="1"/>
  <c r="Y1270" i="3"/>
  <c r="Y1269" i="3"/>
  <c r="Z1269" i="3" s="1"/>
  <c r="Y1268" i="3"/>
  <c r="AA1268" i="3" s="1"/>
  <c r="Y1267" i="3"/>
  <c r="AA1267" i="3" s="1"/>
  <c r="Y1266" i="3"/>
  <c r="Z1266" i="3" s="1"/>
  <c r="Y1265" i="3"/>
  <c r="Y1264" i="3"/>
  <c r="AA1264" i="3" s="1"/>
  <c r="Y1263" i="3"/>
  <c r="Y1262" i="3"/>
  <c r="AA1262" i="3" s="1"/>
  <c r="Y1261" i="3"/>
  <c r="AA1261" i="3" s="1"/>
  <c r="Y1260" i="3"/>
  <c r="Y1259" i="3"/>
  <c r="AA1259" i="3" s="1"/>
  <c r="Y1258" i="3"/>
  <c r="AA1258" i="3" s="1"/>
  <c r="Y1257" i="3"/>
  <c r="Z1257" i="3" s="1"/>
  <c r="Y1256" i="3"/>
  <c r="Y1255" i="3"/>
  <c r="Z1255" i="3" s="1"/>
  <c r="Y1254" i="3"/>
  <c r="AA1254" i="3" s="1"/>
  <c r="Y1253" i="3"/>
  <c r="Z1253" i="3" s="1"/>
  <c r="Y1252" i="3"/>
  <c r="Z1252" i="3" s="1"/>
  <c r="Y1251" i="3"/>
  <c r="AA1251" i="3" s="1"/>
  <c r="Y1250" i="3"/>
  <c r="AA1250" i="3" s="1"/>
  <c r="Y1249" i="3"/>
  <c r="Y1248" i="3"/>
  <c r="AA1248" i="3" s="1"/>
  <c r="Y1247" i="3"/>
  <c r="Y1246" i="3"/>
  <c r="AA1246" i="3" s="1"/>
  <c r="Y1245" i="3"/>
  <c r="Z1245" i="3" s="1"/>
  <c r="Y1244" i="3"/>
  <c r="AA1244" i="3" s="1"/>
  <c r="Y1243" i="3"/>
  <c r="AA1243" i="3" s="1"/>
  <c r="Y1242" i="3"/>
  <c r="Y1241" i="3"/>
  <c r="Z1241" i="3" s="1"/>
  <c r="Y1240" i="3"/>
  <c r="Y1239" i="3"/>
  <c r="Y1238" i="3"/>
  <c r="Z1238" i="3" s="1"/>
  <c r="Y1237" i="3"/>
  <c r="Y1236" i="3"/>
  <c r="Z1236" i="3" s="1"/>
  <c r="Y1235" i="3"/>
  <c r="Y1234" i="3"/>
  <c r="AA1234" i="3" s="1"/>
  <c r="Y1233" i="3"/>
  <c r="AA1233" i="3" s="1"/>
  <c r="Y1232" i="3"/>
  <c r="Z1232" i="3" s="1"/>
  <c r="Y1231" i="3"/>
  <c r="Y1230" i="3"/>
  <c r="Z1230" i="3" s="1"/>
  <c r="Y1229" i="3"/>
  <c r="AA1229" i="3" s="1"/>
  <c r="Y1228" i="3"/>
  <c r="Y1227" i="3"/>
  <c r="Z1227" i="3" s="1"/>
  <c r="Y1226" i="3"/>
  <c r="Y1225" i="3"/>
  <c r="Z1225" i="3" s="1"/>
  <c r="Y1224" i="3"/>
  <c r="AA1224" i="3" s="1"/>
  <c r="Y1223" i="3"/>
  <c r="Y1222" i="3"/>
  <c r="Y1221" i="3"/>
  <c r="Y1220" i="3"/>
  <c r="Y1219" i="3"/>
  <c r="Z1219" i="3" s="1"/>
  <c r="Y1218" i="3"/>
  <c r="Y1217" i="3"/>
  <c r="Z1217" i="3" s="1"/>
  <c r="Y1216" i="3"/>
  <c r="Z1216" i="3" s="1"/>
  <c r="Y1215" i="3"/>
  <c r="AA1215" i="3" s="1"/>
  <c r="Y1214" i="3"/>
  <c r="Y1213" i="3"/>
  <c r="AA1213" i="3" s="1"/>
  <c r="Y1212" i="3"/>
  <c r="AA1212" i="3" s="1"/>
  <c r="Y1211" i="3"/>
  <c r="Y1210" i="3"/>
  <c r="AA1210" i="3" s="1"/>
  <c r="Y1209" i="3"/>
  <c r="AA1209" i="3" s="1"/>
  <c r="Y1208" i="3"/>
  <c r="Y1207" i="3"/>
  <c r="Y1206" i="3"/>
  <c r="Y1205" i="3"/>
  <c r="AA1205" i="3" s="1"/>
  <c r="Y1204" i="3"/>
  <c r="Y1203" i="3"/>
  <c r="Y1202" i="3"/>
  <c r="AA1202" i="3" s="1"/>
  <c r="Y1201" i="3"/>
  <c r="Y1200" i="3"/>
  <c r="Y1199" i="3"/>
  <c r="AA1199" i="3" s="1"/>
  <c r="Y1198" i="3"/>
  <c r="Z1198" i="3" s="1"/>
  <c r="Y1197" i="3"/>
  <c r="AA1197" i="3" s="1"/>
  <c r="Y1196" i="3"/>
  <c r="AA1196" i="3" s="1"/>
  <c r="Y1195" i="3"/>
  <c r="Y1194" i="3"/>
  <c r="Y1193" i="3"/>
  <c r="Y1192" i="3"/>
  <c r="Y1191" i="3"/>
  <c r="AA1191" i="3" s="1"/>
  <c r="Y1190" i="3"/>
  <c r="AA1190" i="3" s="1"/>
  <c r="Y1189" i="3"/>
  <c r="AA1189" i="3" s="1"/>
  <c r="Y1188" i="3"/>
  <c r="Y1187" i="3"/>
  <c r="AA1187" i="3" s="1"/>
  <c r="Y1186" i="3"/>
  <c r="Y1185" i="3"/>
  <c r="Y1184" i="3"/>
  <c r="AA1184" i="3" s="1"/>
  <c r="Y1183" i="3"/>
  <c r="Z1183" i="3" s="1"/>
  <c r="Y1182" i="3"/>
  <c r="AA1182" i="3" s="1"/>
  <c r="Y1181" i="3"/>
  <c r="Z1181" i="3" s="1"/>
  <c r="Y1180" i="3"/>
  <c r="Y1179" i="3"/>
  <c r="Y1178" i="3"/>
  <c r="Z1178" i="3" s="1"/>
  <c r="Y1177" i="3"/>
  <c r="AA1177" i="3" s="1"/>
  <c r="Y1176" i="3"/>
  <c r="AA1176" i="3" s="1"/>
  <c r="Y1175" i="3"/>
  <c r="Y1174" i="3"/>
  <c r="Z1174" i="3" s="1"/>
  <c r="Y1173" i="3"/>
  <c r="AA1173" i="3" s="1"/>
  <c r="Y1172" i="3"/>
  <c r="Y1171" i="3"/>
  <c r="AA1171" i="3" s="1"/>
  <c r="Y1170" i="3"/>
  <c r="AA1170" i="3" s="1"/>
  <c r="Y1169" i="3"/>
  <c r="Z1169" i="3" s="1"/>
  <c r="Y1168" i="3"/>
  <c r="AA1168" i="3" s="1"/>
  <c r="Y1167" i="3"/>
  <c r="Y1166" i="3"/>
  <c r="Y1165" i="3"/>
  <c r="Y1164" i="3"/>
  <c r="Z1164" i="3" s="1"/>
  <c r="Y1163" i="3"/>
  <c r="Y1162" i="3"/>
  <c r="Z1162" i="3" s="1"/>
  <c r="Y1161" i="3"/>
  <c r="Z1161" i="3" s="1"/>
  <c r="Y1160" i="3"/>
  <c r="Y1159" i="3"/>
  <c r="Z1159" i="3" s="1"/>
  <c r="Y1158" i="3"/>
  <c r="Y1157" i="3"/>
  <c r="AA1157" i="3" s="1"/>
  <c r="Y1156" i="3"/>
  <c r="AA1156" i="3" s="1"/>
  <c r="Y1155" i="3"/>
  <c r="AA1155" i="3" s="1"/>
  <c r="Y1154" i="3"/>
  <c r="Y1153" i="3"/>
  <c r="Y1152" i="3"/>
  <c r="AA1152" i="3" s="1"/>
  <c r="Y1151" i="3"/>
  <c r="Y1150" i="3"/>
  <c r="Z1150" i="3" s="1"/>
  <c r="Y1149" i="3"/>
  <c r="Z1149" i="3" s="1"/>
  <c r="Y1148" i="3"/>
  <c r="AA1148" i="3" s="1"/>
  <c r="Y1147" i="3"/>
  <c r="AA1147" i="3" s="1"/>
  <c r="Y1146" i="3"/>
  <c r="Z1146" i="3" s="1"/>
  <c r="Y1145" i="3"/>
  <c r="Y1144" i="3"/>
  <c r="Y1143" i="3"/>
  <c r="Z1143" i="3" s="1"/>
  <c r="Y1142" i="3"/>
  <c r="AA1142" i="3" s="1"/>
  <c r="Y1141" i="3"/>
  <c r="Y1140" i="3"/>
  <c r="Y1139" i="3"/>
  <c r="AA1139" i="3" s="1"/>
  <c r="Y1138" i="3"/>
  <c r="AA1138" i="3" s="1"/>
  <c r="Y1137" i="3"/>
  <c r="Y1136" i="3"/>
  <c r="AA1136" i="3" s="1"/>
  <c r="Y1135" i="3"/>
  <c r="AA1135" i="3" s="1"/>
  <c r="Y1134" i="3"/>
  <c r="Z1134" i="3" s="1"/>
  <c r="Y1133" i="3"/>
  <c r="Z1133" i="3" s="1"/>
  <c r="Y1132" i="3"/>
  <c r="Y1131" i="3"/>
  <c r="Z1131" i="3" s="1"/>
  <c r="Y1130" i="3"/>
  <c r="Y1129" i="3"/>
  <c r="AA1129" i="3" s="1"/>
  <c r="Y1128" i="3"/>
  <c r="Y1127" i="3"/>
  <c r="AA1127" i="3" s="1"/>
  <c r="Y1126" i="3"/>
  <c r="Y1125" i="3"/>
  <c r="Y1124" i="3"/>
  <c r="AA1124" i="3" s="1"/>
  <c r="Y1123" i="3"/>
  <c r="Y1122" i="3"/>
  <c r="AA1122" i="3" s="1"/>
  <c r="Y1121" i="3"/>
  <c r="AA1121" i="3" s="1"/>
  <c r="Y1120" i="3"/>
  <c r="AA1120" i="3" s="1"/>
  <c r="Y1119" i="3"/>
  <c r="AA1119" i="3" s="1"/>
  <c r="Y1118" i="3"/>
  <c r="AA1118" i="3" s="1"/>
  <c r="Y1117" i="3"/>
  <c r="Z1117" i="3" s="1"/>
  <c r="Y1116" i="3"/>
  <c r="Y1115" i="3"/>
  <c r="Z1115" i="3" s="1"/>
  <c r="Y1114" i="3"/>
  <c r="Z1114" i="3" s="1"/>
  <c r="Y1113" i="3"/>
  <c r="Z1113" i="3" s="1"/>
  <c r="Y1112" i="3"/>
  <c r="AA1112" i="3" s="1"/>
  <c r="Y1111" i="3"/>
  <c r="AA1111" i="3" s="1"/>
  <c r="Y1110" i="3"/>
  <c r="AA1110" i="3" s="1"/>
  <c r="Y1109" i="3"/>
  <c r="Y1108" i="3"/>
  <c r="AA1108" i="3" s="1"/>
  <c r="Y1107" i="3"/>
  <c r="Y1106" i="3"/>
  <c r="Y1105" i="3"/>
  <c r="AA1105" i="3" s="1"/>
  <c r="Y1104" i="3"/>
  <c r="Y1103" i="3"/>
  <c r="AA1103" i="3" s="1"/>
  <c r="Y1102" i="3"/>
  <c r="Y1101" i="3"/>
  <c r="Z1101" i="3" s="1"/>
  <c r="Y1100" i="3"/>
  <c r="AA1100" i="3" s="1"/>
  <c r="Y1099" i="3"/>
  <c r="Y1098" i="3"/>
  <c r="Y1097" i="3"/>
  <c r="Y1096" i="3"/>
  <c r="AA1096" i="3" s="1"/>
  <c r="Y1095" i="3"/>
  <c r="Y1094" i="3"/>
  <c r="Y1093" i="3"/>
  <c r="AA1093" i="3" s="1"/>
  <c r="Y1092" i="3"/>
  <c r="AA1092" i="3" s="1"/>
  <c r="Y1091" i="3"/>
  <c r="AA1091" i="3" s="1"/>
  <c r="Y1090" i="3"/>
  <c r="AA1090" i="3" s="1"/>
  <c r="Y1089" i="3"/>
  <c r="Z1089" i="3" s="1"/>
  <c r="Y1088" i="3"/>
  <c r="Y1087" i="3"/>
  <c r="AA1087" i="3" s="1"/>
  <c r="Y1086" i="3"/>
  <c r="Z1086" i="3" s="1"/>
  <c r="Y1085" i="3"/>
  <c r="Y1084" i="3"/>
  <c r="AA1084" i="3" s="1"/>
  <c r="Y1083" i="3"/>
  <c r="Z1083" i="3" s="1"/>
  <c r="Y1082" i="3"/>
  <c r="Z1082" i="3" s="1"/>
  <c r="Y1081" i="3"/>
  <c r="Y1080" i="3"/>
  <c r="AA1080" i="3" s="1"/>
  <c r="Y1079" i="3"/>
  <c r="Z1079" i="3" s="1"/>
  <c r="Y1078" i="3"/>
  <c r="AA1078" i="3" s="1"/>
  <c r="Y1077" i="3"/>
  <c r="AA1077" i="3" s="1"/>
  <c r="Y1076" i="3"/>
  <c r="Y1075" i="3"/>
  <c r="Z1075" i="3" s="1"/>
  <c r="Y1074" i="3"/>
  <c r="Y1073" i="3"/>
  <c r="Y1072" i="3"/>
  <c r="AA1072" i="3" s="1"/>
  <c r="Y1071" i="3"/>
  <c r="Y1070" i="3"/>
  <c r="AA1070" i="3" s="1"/>
  <c r="Y1069" i="3"/>
  <c r="AA1069" i="3" s="1"/>
  <c r="Y1068" i="3"/>
  <c r="AA1068" i="3" s="1"/>
  <c r="Y1067" i="3"/>
  <c r="Y1066" i="3"/>
  <c r="Y1065" i="3"/>
  <c r="Z1065" i="3" s="1"/>
  <c r="Y1064" i="3"/>
  <c r="Z1064" i="3" s="1"/>
  <c r="Y1063" i="3"/>
  <c r="AA1063" i="3" s="1"/>
  <c r="Y1062" i="3"/>
  <c r="AA1062" i="3" s="1"/>
  <c r="Y1061" i="3"/>
  <c r="Z1061" i="3" s="1"/>
  <c r="Y1060" i="3"/>
  <c r="Y1059" i="3"/>
  <c r="Z1059" i="3" s="1"/>
  <c r="Y1058" i="3"/>
  <c r="AA1058" i="3" s="1"/>
  <c r="Y1057" i="3"/>
  <c r="AA1057" i="3" s="1"/>
  <c r="Y1056" i="3"/>
  <c r="AA1056" i="3" s="1"/>
  <c r="Y1055" i="3"/>
  <c r="AA1055" i="3" s="1"/>
  <c r="Y1054" i="3"/>
  <c r="AA1054" i="3" s="1"/>
  <c r="Y1053" i="3"/>
  <c r="Y1052" i="3"/>
  <c r="Y1051" i="3"/>
  <c r="Y1050" i="3"/>
  <c r="AA1050" i="3" s="1"/>
  <c r="Y1049" i="3"/>
  <c r="Z1049" i="3" s="1"/>
  <c r="Y1048" i="3"/>
  <c r="AA1048" i="3" s="1"/>
  <c r="Y1047" i="3"/>
  <c r="Z1047" i="3" s="1"/>
  <c r="Y1046" i="3"/>
  <c r="Y1045" i="3"/>
  <c r="Z1045" i="3" s="1"/>
  <c r="Y1044" i="3"/>
  <c r="Z1044" i="3" s="1"/>
  <c r="Y1043" i="3"/>
  <c r="AA1043" i="3" s="1"/>
  <c r="Y1042" i="3"/>
  <c r="Z1042" i="3" s="1"/>
  <c r="Y1041" i="3"/>
  <c r="Z1041" i="3" s="1"/>
  <c r="Y1040" i="3"/>
  <c r="Y1039" i="3"/>
  <c r="Y1038" i="3"/>
  <c r="Z1038" i="3" s="1"/>
  <c r="Y1037" i="3"/>
  <c r="Z1037" i="3" s="1"/>
  <c r="Y1036" i="3"/>
  <c r="AA1036" i="3" s="1"/>
  <c r="Y1035" i="3"/>
  <c r="Y1034" i="3"/>
  <c r="AA1034" i="3" s="1"/>
  <c r="Y1033" i="3"/>
  <c r="Y1032" i="3"/>
  <c r="Y1031" i="3"/>
  <c r="Z1031" i="3" s="1"/>
  <c r="Y1030" i="3"/>
  <c r="Z1030" i="3" s="1"/>
  <c r="Y1029" i="3"/>
  <c r="AA1029" i="3" s="1"/>
  <c r="Y1028" i="3"/>
  <c r="AA1028" i="3" s="1"/>
  <c r="Y1027" i="3"/>
  <c r="Z1027" i="3" s="1"/>
  <c r="Y1026" i="3"/>
  <c r="AA1026" i="3" s="1"/>
  <c r="Y1025" i="3"/>
  <c r="Y1024" i="3"/>
  <c r="Y1023" i="3"/>
  <c r="AA1023" i="3" s="1"/>
  <c r="Y1022" i="3"/>
  <c r="AA1022" i="3" s="1"/>
  <c r="Y1021" i="3"/>
  <c r="AA1021" i="3" s="1"/>
  <c r="Y1020" i="3"/>
  <c r="Z1020" i="3" s="1"/>
  <c r="Y1019" i="3"/>
  <c r="Z1019" i="3" s="1"/>
  <c r="Y1018" i="3"/>
  <c r="Y1017" i="3"/>
  <c r="Z1017" i="3" s="1"/>
  <c r="Y1016" i="3"/>
  <c r="AA1016" i="3" s="1"/>
  <c r="Y1015" i="3"/>
  <c r="AA1015" i="3" s="1"/>
  <c r="Y1014" i="3"/>
  <c r="Y1013" i="3"/>
  <c r="AA1013" i="3" s="1"/>
  <c r="Y1012" i="3"/>
  <c r="Y1011" i="3"/>
  <c r="Y1010" i="3"/>
  <c r="AA1010" i="3" s="1"/>
  <c r="Y1009" i="3"/>
  <c r="AA1009" i="3" s="1"/>
  <c r="Y1008" i="3"/>
  <c r="AA1008" i="3" s="1"/>
  <c r="Y1007" i="3"/>
  <c r="AA1007" i="3" s="1"/>
  <c r="Y1006" i="3"/>
  <c r="Z1006" i="3" s="1"/>
  <c r="Y1005" i="3"/>
  <c r="AA1005" i="3" s="1"/>
  <c r="Y1004" i="3"/>
  <c r="Y1003" i="3"/>
  <c r="Y1002" i="3"/>
  <c r="Z1002" i="3" s="1"/>
  <c r="Y1001" i="3"/>
  <c r="AA1001" i="3" s="1"/>
  <c r="Y1000" i="3"/>
  <c r="AA1000" i="3" s="1"/>
  <c r="Y999" i="3"/>
  <c r="AA999" i="3" s="1"/>
  <c r="Y998" i="3"/>
  <c r="AA998" i="3" s="1"/>
  <c r="Y997" i="3"/>
  <c r="Y996" i="3"/>
  <c r="Y995" i="3"/>
  <c r="AA995" i="3" s="1"/>
  <c r="Y994" i="3"/>
  <c r="Z994" i="3" s="1"/>
  <c r="Y993" i="3"/>
  <c r="Z993" i="3" s="1"/>
  <c r="Y992" i="3"/>
  <c r="AA992" i="3" s="1"/>
  <c r="Y991" i="3"/>
  <c r="Z991" i="3" s="1"/>
  <c r="Y990" i="3"/>
  <c r="Y989" i="3"/>
  <c r="Z989" i="3" s="1"/>
  <c r="Y988" i="3"/>
  <c r="AA988" i="3" s="1"/>
  <c r="Y987" i="3"/>
  <c r="AA987" i="3" s="1"/>
  <c r="Y986" i="3"/>
  <c r="Y985" i="3"/>
  <c r="Z985" i="3" s="1"/>
  <c r="Y984" i="3"/>
  <c r="AA984" i="3" s="1"/>
  <c r="Y983" i="3"/>
  <c r="Y982" i="3"/>
  <c r="Z982" i="3" s="1"/>
  <c r="Y981" i="3"/>
  <c r="AA981" i="3" s="1"/>
  <c r="Y980" i="3"/>
  <c r="Y979" i="3"/>
  <c r="Z979" i="3" s="1"/>
  <c r="Y978" i="3"/>
  <c r="Y977" i="3"/>
  <c r="AA977" i="3" s="1"/>
  <c r="Y976" i="3"/>
  <c r="Y975" i="3"/>
  <c r="Y974" i="3"/>
  <c r="AA974" i="3" s="1"/>
  <c r="Y973" i="3"/>
  <c r="Z973" i="3" s="1"/>
  <c r="Y972" i="3"/>
  <c r="AA972" i="3" s="1"/>
  <c r="Y971" i="3"/>
  <c r="AA971" i="3" s="1"/>
  <c r="Y970" i="3"/>
  <c r="AA970" i="3" s="1"/>
  <c r="Y969" i="3"/>
  <c r="Y968" i="3"/>
  <c r="AA968" i="3" s="1"/>
  <c r="Y967" i="3"/>
  <c r="AA967" i="3" s="1"/>
  <c r="Y966" i="3"/>
  <c r="AA966" i="3" s="1"/>
  <c r="Y965" i="3"/>
  <c r="Z965" i="3" s="1"/>
  <c r="Y964" i="3"/>
  <c r="AA964" i="3" s="1"/>
  <c r="Y963" i="3"/>
  <c r="AA963" i="3" s="1"/>
  <c r="Y962" i="3"/>
  <c r="Y961" i="3"/>
  <c r="Y960" i="3"/>
  <c r="AA960" i="3" s="1"/>
  <c r="Y959" i="3"/>
  <c r="AA959" i="3" s="1"/>
  <c r="Y958" i="3"/>
  <c r="Z958" i="3" s="1"/>
  <c r="Y957" i="3"/>
  <c r="Y956" i="3"/>
  <c r="Z956" i="3" s="1"/>
  <c r="Y955" i="3"/>
  <c r="Y954" i="3"/>
  <c r="AA954" i="3" s="1"/>
  <c r="Y953" i="3"/>
  <c r="AA953" i="3" s="1"/>
  <c r="Y952" i="3"/>
  <c r="Z952" i="3" s="1"/>
  <c r="Y951" i="3"/>
  <c r="Z951" i="3" s="1"/>
  <c r="Y950" i="3"/>
  <c r="AA950" i="3" s="1"/>
  <c r="Y949" i="3"/>
  <c r="Y948" i="3"/>
  <c r="Y947" i="3"/>
  <c r="Z947" i="3" s="1"/>
  <c r="Y946" i="3"/>
  <c r="Z946" i="3" s="1"/>
  <c r="Y945" i="3"/>
  <c r="Y944" i="3"/>
  <c r="Y943" i="3"/>
  <c r="AA943" i="3" s="1"/>
  <c r="Y942" i="3"/>
  <c r="AA942" i="3" s="1"/>
  <c r="Y941" i="3"/>
  <c r="Y940" i="3"/>
  <c r="Z940" i="3" s="1"/>
  <c r="Y939" i="3"/>
  <c r="AA939" i="3" s="1"/>
  <c r="Y938" i="3"/>
  <c r="Z938" i="3" s="1"/>
  <c r="Y937" i="3"/>
  <c r="AA937" i="3" s="1"/>
  <c r="Y936" i="3"/>
  <c r="Y935" i="3"/>
  <c r="Z935" i="3" s="1"/>
  <c r="Y934" i="3"/>
  <c r="Y933" i="3"/>
  <c r="Y932" i="3"/>
  <c r="AA932" i="3" s="1"/>
  <c r="Y931" i="3"/>
  <c r="AA931" i="3" s="1"/>
  <c r="Y930" i="3"/>
  <c r="Y929" i="3"/>
  <c r="AA929" i="3" s="1"/>
  <c r="Y928" i="3"/>
  <c r="AA928" i="3" s="1"/>
  <c r="Y927" i="3"/>
  <c r="Y926" i="3"/>
  <c r="Z926" i="3" s="1"/>
  <c r="Y925" i="3"/>
  <c r="AA925" i="3" s="1"/>
  <c r="Y924" i="3"/>
  <c r="AA924" i="3" s="1"/>
  <c r="Y923" i="3"/>
  <c r="AA923" i="3" s="1"/>
  <c r="Y922" i="3"/>
  <c r="AA922" i="3" s="1"/>
  <c r="Y921" i="3"/>
  <c r="AA921" i="3" s="1"/>
  <c r="Y920" i="3"/>
  <c r="Y919" i="3"/>
  <c r="AA919" i="3" s="1"/>
  <c r="Y918" i="3"/>
  <c r="Z918" i="3" s="1"/>
  <c r="Y917" i="3"/>
  <c r="Z917" i="3" s="1"/>
  <c r="Y916" i="3"/>
  <c r="AA916" i="3" s="1"/>
  <c r="Y915" i="3"/>
  <c r="AA915" i="3" s="1"/>
  <c r="Y914" i="3"/>
  <c r="AA914" i="3" s="1"/>
  <c r="Y913" i="3"/>
  <c r="Y912" i="3"/>
  <c r="Z912" i="3" s="1"/>
  <c r="Y911" i="3"/>
  <c r="AA911" i="3" s="1"/>
  <c r="Y910" i="3"/>
  <c r="Y909" i="3"/>
  <c r="AA909" i="3" s="1"/>
  <c r="Y908" i="3"/>
  <c r="AA908" i="3" s="1"/>
  <c r="Y907" i="3"/>
  <c r="AA907" i="3" s="1"/>
  <c r="Y906" i="3"/>
  <c r="Y905" i="3"/>
  <c r="AA905" i="3" s="1"/>
  <c r="Y904" i="3"/>
  <c r="AA904" i="3" s="1"/>
  <c r="Y903" i="3"/>
  <c r="Y902" i="3"/>
  <c r="Y901" i="3"/>
  <c r="AA901" i="3" s="1"/>
  <c r="Y900" i="3"/>
  <c r="Y899" i="3"/>
  <c r="Y898" i="3"/>
  <c r="Z898" i="3" s="1"/>
  <c r="Y897" i="3"/>
  <c r="AA897" i="3" s="1"/>
  <c r="Y896" i="3"/>
  <c r="AA896" i="3" s="1"/>
  <c r="Y895" i="3"/>
  <c r="AA895" i="3" s="1"/>
  <c r="Y894" i="3"/>
  <c r="AA894" i="3" s="1"/>
  <c r="Y893" i="3"/>
  <c r="AA893" i="3" s="1"/>
  <c r="Y892" i="3"/>
  <c r="Y891" i="3"/>
  <c r="Y890" i="3"/>
  <c r="AA890" i="3" s="1"/>
  <c r="Y889" i="3"/>
  <c r="AA889" i="3" s="1"/>
  <c r="Y888" i="3"/>
  <c r="AA888" i="3" s="1"/>
  <c r="Y887" i="3"/>
  <c r="AA887" i="3" s="1"/>
  <c r="Y886" i="3"/>
  <c r="Y885" i="3"/>
  <c r="Y884" i="3"/>
  <c r="Z884" i="3" s="1"/>
  <c r="Y883" i="3"/>
  <c r="Y882" i="3"/>
  <c r="AA882" i="3" s="1"/>
  <c r="Y881" i="3"/>
  <c r="AA881" i="3" s="1"/>
  <c r="Y880" i="3"/>
  <c r="Z880" i="3" s="1"/>
  <c r="Y879" i="3"/>
  <c r="Z879" i="3" s="1"/>
  <c r="Y878" i="3"/>
  <c r="Y877" i="3"/>
  <c r="AA877" i="3" s="1"/>
  <c r="Y876" i="3"/>
  <c r="Z876" i="3" s="1"/>
  <c r="Y875" i="3"/>
  <c r="AA875" i="3" s="1"/>
  <c r="Y874" i="3"/>
  <c r="Y873" i="3"/>
  <c r="AA873" i="3" s="1"/>
  <c r="Y872" i="3"/>
  <c r="Z872" i="3" s="1"/>
  <c r="Y871" i="3"/>
  <c r="Y870" i="3"/>
  <c r="Z870" i="3" s="1"/>
  <c r="Y869" i="3"/>
  <c r="Z869" i="3" s="1"/>
  <c r="Y868" i="3"/>
  <c r="AA868" i="3" s="1"/>
  <c r="Y867" i="3"/>
  <c r="Z867" i="3" s="1"/>
  <c r="Y866" i="3"/>
  <c r="AA866" i="3" s="1"/>
  <c r="Y865" i="3"/>
  <c r="Z865" i="3" s="1"/>
  <c r="Y864" i="3"/>
  <c r="Y863" i="3"/>
  <c r="Z863" i="3" s="1"/>
  <c r="Y862" i="3"/>
  <c r="AA862" i="3" s="1"/>
  <c r="Y861" i="3"/>
  <c r="AA861" i="3" s="1"/>
  <c r="Y860" i="3"/>
  <c r="Z860" i="3" s="1"/>
  <c r="Y859" i="3"/>
  <c r="Z859" i="3" s="1"/>
  <c r="Y858" i="3"/>
  <c r="AA858" i="3" s="1"/>
  <c r="Y857" i="3"/>
  <c r="Y856" i="3"/>
  <c r="Y855" i="3"/>
  <c r="Y854" i="3"/>
  <c r="Z854" i="3" s="1"/>
  <c r="Y853" i="3"/>
  <c r="AA853" i="3" s="1"/>
  <c r="Y852" i="3"/>
  <c r="Z852" i="3" s="1"/>
  <c r="Y851" i="3"/>
  <c r="AA851" i="3" s="1"/>
  <c r="Y850" i="3"/>
  <c r="Y849" i="3"/>
  <c r="Z849" i="3" s="1"/>
  <c r="Y848" i="3"/>
  <c r="AA848" i="3" s="1"/>
  <c r="Y847" i="3"/>
  <c r="AA847" i="3" s="1"/>
  <c r="Y846" i="3"/>
  <c r="AA846" i="3" s="1"/>
  <c r="Y845" i="3"/>
  <c r="Y844" i="3"/>
  <c r="AA844" i="3" s="1"/>
  <c r="Y843" i="3"/>
  <c r="Y842" i="3"/>
  <c r="AA842" i="3" s="1"/>
  <c r="Y841" i="3"/>
  <c r="AA841" i="3" s="1"/>
  <c r="Y840" i="3"/>
  <c r="Z840" i="3" s="1"/>
  <c r="Y839" i="3"/>
  <c r="AA839" i="3" s="1"/>
  <c r="Y838" i="3"/>
  <c r="Y837" i="3"/>
  <c r="Y836" i="3"/>
  <c r="Y835" i="3"/>
  <c r="AA835" i="3" s="1"/>
  <c r="Y834" i="3"/>
  <c r="Y833" i="3"/>
  <c r="AA833" i="3" s="1"/>
  <c r="Y832" i="3"/>
  <c r="AA832" i="3" s="1"/>
  <c r="Y831" i="3"/>
  <c r="AA831" i="3" s="1"/>
  <c r="Y830" i="3"/>
  <c r="Y829" i="3"/>
  <c r="Y828" i="3"/>
  <c r="AA828" i="3" s="1"/>
  <c r="Y827" i="3"/>
  <c r="AA827" i="3" s="1"/>
  <c r="Y826" i="3"/>
  <c r="Y825" i="3"/>
  <c r="Z825" i="3" s="1"/>
  <c r="Y824" i="3"/>
  <c r="Z824" i="3" s="1"/>
  <c r="Y823" i="3"/>
  <c r="AA823" i="3" s="1"/>
  <c r="Y822" i="3"/>
  <c r="Y821" i="3"/>
  <c r="Z821" i="3" s="1"/>
  <c r="Y820" i="3"/>
  <c r="Z820" i="3" s="1"/>
  <c r="Y819" i="3"/>
  <c r="AA819" i="3" s="1"/>
  <c r="Y818" i="3"/>
  <c r="Z818" i="3" s="1"/>
  <c r="Y817" i="3"/>
  <c r="Y816" i="3"/>
  <c r="Y815" i="3"/>
  <c r="Y814" i="3"/>
  <c r="AA814" i="3" s="1"/>
  <c r="Y813" i="3"/>
  <c r="Z813" i="3" s="1"/>
  <c r="Y812" i="3"/>
  <c r="AA812" i="3" s="1"/>
  <c r="Y811" i="3"/>
  <c r="AA811" i="3" s="1"/>
  <c r="Y810" i="3"/>
  <c r="AA810" i="3" s="1"/>
  <c r="Y809" i="3"/>
  <c r="AA809" i="3" s="1"/>
  <c r="Y808" i="3"/>
  <c r="Y807" i="3"/>
  <c r="AA807" i="3" s="1"/>
  <c r="Y806" i="3"/>
  <c r="AA806" i="3" s="1"/>
  <c r="Y805" i="3"/>
  <c r="AA805" i="3" s="1"/>
  <c r="Y804" i="3"/>
  <c r="Y803" i="3"/>
  <c r="Y802" i="3"/>
  <c r="Z802" i="3" s="1"/>
  <c r="Y801" i="3"/>
  <c r="Y800" i="3"/>
  <c r="Y799" i="3"/>
  <c r="AA799" i="3" s="1"/>
  <c r="Y798" i="3"/>
  <c r="Z798" i="3" s="1"/>
  <c r="Y797" i="3"/>
  <c r="Y796" i="3"/>
  <c r="AA796" i="3" s="1"/>
  <c r="Y795" i="3"/>
  <c r="AA795" i="3" s="1"/>
  <c r="Y794" i="3"/>
  <c r="Y793" i="3"/>
  <c r="AA793" i="3" s="1"/>
  <c r="Y792" i="3"/>
  <c r="Y791" i="3"/>
  <c r="Z791" i="3" s="1"/>
  <c r="Y790" i="3"/>
  <c r="Y789" i="3"/>
  <c r="Z789" i="3" s="1"/>
  <c r="Y788" i="3"/>
  <c r="AA788" i="3" s="1"/>
  <c r="Y787" i="3"/>
  <c r="Y786" i="3"/>
  <c r="AA786" i="3" s="1"/>
  <c r="Y785" i="3"/>
  <c r="Z785" i="3" s="1"/>
  <c r="Y784" i="3"/>
  <c r="AA784" i="3" s="1"/>
  <c r="Y783" i="3"/>
  <c r="AA783" i="3" s="1"/>
  <c r="Y782" i="3"/>
  <c r="AA782" i="3" s="1"/>
  <c r="Y781" i="3"/>
  <c r="AA781" i="3" s="1"/>
  <c r="Y780" i="3"/>
  <c r="Y779" i="3"/>
  <c r="Y778" i="3"/>
  <c r="AA778" i="3" s="1"/>
  <c r="Y777" i="3"/>
  <c r="Z777" i="3" s="1"/>
  <c r="Y776" i="3"/>
  <c r="AA776" i="3" s="1"/>
  <c r="Y775" i="3"/>
  <c r="AA775" i="3" s="1"/>
  <c r="Y774" i="3"/>
  <c r="AA774" i="3" s="1"/>
  <c r="Y773" i="3"/>
  <c r="Y772" i="3"/>
  <c r="AA772" i="3" s="1"/>
  <c r="Y771" i="3"/>
  <c r="Y770" i="3"/>
  <c r="AA770" i="3" s="1"/>
  <c r="Y769" i="3"/>
  <c r="Z769" i="3" s="1"/>
  <c r="Y768" i="3"/>
  <c r="AA768" i="3" s="1"/>
  <c r="Y767" i="3"/>
  <c r="AA767" i="3" s="1"/>
  <c r="Y766" i="3"/>
  <c r="Y765" i="3"/>
  <c r="AA765" i="3" s="1"/>
  <c r="Y764" i="3"/>
  <c r="AA764" i="3" s="1"/>
  <c r="Y763" i="3"/>
  <c r="Y762" i="3"/>
  <c r="AA762" i="3" s="1"/>
  <c r="Y761" i="3"/>
  <c r="Y760" i="3"/>
  <c r="AA760" i="3" s="1"/>
  <c r="Y759" i="3"/>
  <c r="Y758" i="3"/>
  <c r="AA758" i="3" s="1"/>
  <c r="Y757" i="3"/>
  <c r="Y756" i="3"/>
  <c r="Z756" i="3" s="1"/>
  <c r="Y755" i="3"/>
  <c r="AA755" i="3" s="1"/>
  <c r="Y754" i="3"/>
  <c r="Y753" i="3"/>
  <c r="AA753" i="3" s="1"/>
  <c r="Y752" i="3"/>
  <c r="Y751" i="3"/>
  <c r="AA751" i="3" s="1"/>
  <c r="Y750" i="3"/>
  <c r="AA750" i="3" s="1"/>
  <c r="Y749" i="3"/>
  <c r="Y748" i="3"/>
  <c r="AA748" i="3" s="1"/>
  <c r="Y747" i="3"/>
  <c r="Y746" i="3"/>
  <c r="AA746" i="3" s="1"/>
  <c r="Y745" i="3"/>
  <c r="Y744" i="3"/>
  <c r="Y743" i="3"/>
  <c r="Z743" i="3" s="1"/>
  <c r="Y742" i="3"/>
  <c r="Y741" i="3"/>
  <c r="Z741" i="3" s="1"/>
  <c r="Y740" i="3"/>
  <c r="Y739" i="3"/>
  <c r="AA739" i="3" s="1"/>
  <c r="Y738" i="3"/>
  <c r="Y737" i="3"/>
  <c r="AA737" i="3" s="1"/>
  <c r="Y736" i="3"/>
  <c r="AA736" i="3" s="1"/>
  <c r="Y735" i="3"/>
  <c r="Z735" i="3" s="1"/>
  <c r="Y734" i="3"/>
  <c r="AA734" i="3" s="1"/>
  <c r="Y733" i="3"/>
  <c r="Z733" i="3" s="1"/>
  <c r="Y732" i="3"/>
  <c r="AA732" i="3" s="1"/>
  <c r="Y731" i="3"/>
  <c r="Y730" i="3"/>
  <c r="AA730" i="3" s="1"/>
  <c r="Y729" i="3"/>
  <c r="AA729" i="3" s="1"/>
  <c r="Y728" i="3"/>
  <c r="AA728" i="3" s="1"/>
  <c r="Y727" i="3"/>
  <c r="AA727" i="3" s="1"/>
  <c r="Y726" i="3"/>
  <c r="AA726" i="3" s="1"/>
  <c r="Y725" i="3"/>
  <c r="AA725" i="3" s="1"/>
  <c r="Y724" i="3"/>
  <c r="AA724" i="3" s="1"/>
  <c r="Y723" i="3"/>
  <c r="AA723" i="3" s="1"/>
  <c r="Y722" i="3"/>
  <c r="Y721" i="3"/>
  <c r="AA721" i="3" s="1"/>
  <c r="Y720" i="3"/>
  <c r="Z720" i="3" s="1"/>
  <c r="Y719" i="3"/>
  <c r="AA719" i="3" s="1"/>
  <c r="Y718" i="3"/>
  <c r="AA718" i="3" s="1"/>
  <c r="Y717" i="3"/>
  <c r="AA717" i="3" s="1"/>
  <c r="Y716" i="3"/>
  <c r="Z716" i="3" s="1"/>
  <c r="Y715" i="3"/>
  <c r="AA715" i="3" s="1"/>
  <c r="Y714" i="3"/>
  <c r="Z714" i="3" s="1"/>
  <c r="Y713" i="3"/>
  <c r="Y712" i="3"/>
  <c r="AA712" i="3" s="1"/>
  <c r="Y711" i="3"/>
  <c r="AA711" i="3" s="1"/>
  <c r="Y710" i="3"/>
  <c r="AA710" i="3" s="1"/>
  <c r="Y709" i="3"/>
  <c r="Z709" i="3" s="1"/>
  <c r="Y708" i="3"/>
  <c r="AA708" i="3" s="1"/>
  <c r="Y707" i="3"/>
  <c r="Y706" i="3"/>
  <c r="Y705" i="3"/>
  <c r="AA705" i="3" s="1"/>
  <c r="Y704" i="3"/>
  <c r="AA704" i="3" s="1"/>
  <c r="Y703" i="3"/>
  <c r="AA703" i="3" s="1"/>
  <c r="Y702" i="3"/>
  <c r="AA702" i="3" s="1"/>
  <c r="Y701" i="3"/>
  <c r="AA701" i="3" s="1"/>
  <c r="Y700" i="3"/>
  <c r="AA700" i="3" s="1"/>
  <c r="Y699" i="3"/>
  <c r="AA699" i="3" s="1"/>
  <c r="Y698" i="3"/>
  <c r="Z698" i="3" s="1"/>
  <c r="Y697" i="3"/>
  <c r="Z697" i="3" s="1"/>
  <c r="Y696" i="3"/>
  <c r="AA696" i="3" s="1"/>
  <c r="Y695" i="3"/>
  <c r="Y694" i="3"/>
  <c r="AA694" i="3" s="1"/>
  <c r="Y693" i="3"/>
  <c r="Z693" i="3" s="1"/>
  <c r="Y692" i="3"/>
  <c r="Z692" i="3" s="1"/>
  <c r="Y691" i="3"/>
  <c r="AA691" i="3" s="1"/>
  <c r="Y690" i="3"/>
  <c r="Y689" i="3"/>
  <c r="AA689" i="3" s="1"/>
  <c r="Y688" i="3"/>
  <c r="AA688" i="3" s="1"/>
  <c r="Y687" i="3"/>
  <c r="AA687" i="3" s="1"/>
  <c r="Y686" i="3"/>
  <c r="AA686" i="3" s="1"/>
  <c r="Y685" i="3"/>
  <c r="AA685" i="3" s="1"/>
  <c r="Y684" i="3"/>
  <c r="AA684" i="3" s="1"/>
  <c r="Y683" i="3"/>
  <c r="AA683" i="3" s="1"/>
  <c r="Y682" i="3"/>
  <c r="Y681" i="3"/>
  <c r="Y680" i="3"/>
  <c r="Z680" i="3" s="1"/>
  <c r="Y679" i="3"/>
  <c r="Z679" i="3" s="1"/>
  <c r="Y678" i="3"/>
  <c r="AA678" i="3" s="1"/>
  <c r="Y677" i="3"/>
  <c r="Z677" i="3" s="1"/>
  <c r="Y676" i="3"/>
  <c r="Y675" i="3"/>
  <c r="AA675" i="3" s="1"/>
  <c r="Y674" i="3"/>
  <c r="Y673" i="3"/>
  <c r="AA673" i="3" s="1"/>
  <c r="Y672" i="3"/>
  <c r="Z672" i="3" s="1"/>
  <c r="Y671" i="3"/>
  <c r="AA671" i="3" s="1"/>
  <c r="Y670" i="3"/>
  <c r="Z670" i="3" s="1"/>
  <c r="Y669" i="3"/>
  <c r="Z669" i="3" s="1"/>
  <c r="Y668" i="3"/>
  <c r="Z668" i="3" s="1"/>
  <c r="Y667" i="3"/>
  <c r="AA667" i="3" s="1"/>
  <c r="Y666" i="3"/>
  <c r="AA666" i="3" s="1"/>
  <c r="Y665" i="3"/>
  <c r="Z665" i="3" s="1"/>
  <c r="Y664" i="3"/>
  <c r="AA664" i="3" s="1"/>
  <c r="Y663" i="3"/>
  <c r="AA663" i="3" s="1"/>
  <c r="Y662" i="3"/>
  <c r="AA662" i="3" s="1"/>
  <c r="Y661" i="3"/>
  <c r="Z661" i="3" s="1"/>
  <c r="Y660" i="3"/>
  <c r="Y659" i="3"/>
  <c r="AA659" i="3" s="1"/>
  <c r="Y658" i="3"/>
  <c r="AA658" i="3" s="1"/>
  <c r="Y657" i="3"/>
  <c r="AA657" i="3" s="1"/>
  <c r="Y656" i="3"/>
  <c r="Z656" i="3" s="1"/>
  <c r="Y655" i="3"/>
  <c r="AA655" i="3" s="1"/>
  <c r="Y654" i="3"/>
  <c r="AA654" i="3" s="1"/>
  <c r="Y653" i="3"/>
  <c r="AA653" i="3" s="1"/>
  <c r="Y652" i="3"/>
  <c r="AA652" i="3" s="1"/>
  <c r="Y651" i="3"/>
  <c r="AA651" i="3" s="1"/>
  <c r="Y650" i="3"/>
  <c r="Z650" i="3" s="1"/>
  <c r="Y649" i="3"/>
  <c r="AA649" i="3" s="1"/>
  <c r="Y648" i="3"/>
  <c r="AA648" i="3" s="1"/>
  <c r="Y647" i="3"/>
  <c r="Y646" i="3"/>
  <c r="Z646" i="3" s="1"/>
  <c r="Y645" i="3"/>
  <c r="AA645" i="3" s="1"/>
  <c r="Y644" i="3"/>
  <c r="AA644" i="3" s="1"/>
  <c r="Y643" i="3"/>
  <c r="Y642" i="3"/>
  <c r="Z642" i="3" s="1"/>
  <c r="Y641" i="3"/>
  <c r="Z641" i="3" s="1"/>
  <c r="Y640" i="3"/>
  <c r="Z640" i="3" s="1"/>
  <c r="Y639" i="3"/>
  <c r="Z639" i="3" s="1"/>
  <c r="Y638" i="3"/>
  <c r="Y637" i="3"/>
  <c r="AA637" i="3" s="1"/>
  <c r="Y636" i="3"/>
  <c r="AA636" i="3" s="1"/>
  <c r="Y635" i="3"/>
  <c r="AA635" i="3" s="1"/>
  <c r="Y634" i="3"/>
  <c r="Y633" i="3"/>
  <c r="Z633" i="3" s="1"/>
  <c r="Y632" i="3"/>
  <c r="AA632" i="3" s="1"/>
  <c r="Y631" i="3"/>
  <c r="Z631" i="3" s="1"/>
  <c r="Y630" i="3"/>
  <c r="AA630" i="3" s="1"/>
  <c r="Y629" i="3"/>
  <c r="Z629" i="3" s="1"/>
  <c r="Y628" i="3"/>
  <c r="AA628" i="3" s="1"/>
  <c r="Y627" i="3"/>
  <c r="AA627" i="3" s="1"/>
  <c r="Y626" i="3"/>
  <c r="Z626" i="3" s="1"/>
  <c r="Y625" i="3"/>
  <c r="AA625" i="3" s="1"/>
  <c r="Y624" i="3"/>
  <c r="AA624" i="3" s="1"/>
  <c r="Y623" i="3"/>
  <c r="AA623" i="3" s="1"/>
  <c r="Y622" i="3"/>
  <c r="AA622" i="3" s="1"/>
  <c r="Y621" i="3"/>
  <c r="AA621" i="3" s="1"/>
  <c r="Y620" i="3"/>
  <c r="AA620" i="3" s="1"/>
  <c r="Y619" i="3"/>
  <c r="Y618" i="3"/>
  <c r="Y617" i="3"/>
  <c r="AA617" i="3" s="1"/>
  <c r="Y616" i="3"/>
  <c r="AA616" i="3" s="1"/>
  <c r="Y615" i="3"/>
  <c r="Y614" i="3"/>
  <c r="AA614" i="3" s="1"/>
  <c r="Y613" i="3"/>
  <c r="AA613" i="3" s="1"/>
  <c r="Y612" i="3"/>
  <c r="AA612" i="3" s="1"/>
  <c r="Y611" i="3"/>
  <c r="AA611" i="3" s="1"/>
  <c r="Y610" i="3"/>
  <c r="AA610" i="3" s="1"/>
  <c r="Y609" i="3"/>
  <c r="AA609" i="3" s="1"/>
  <c r="Y608" i="3"/>
  <c r="AA608" i="3" s="1"/>
  <c r="Y607" i="3"/>
  <c r="AA607" i="3" s="1"/>
  <c r="Y606" i="3"/>
  <c r="AA606" i="3" s="1"/>
  <c r="Y605" i="3"/>
  <c r="Z605" i="3" s="1"/>
  <c r="Y604" i="3"/>
  <c r="Z604" i="3" s="1"/>
  <c r="Y603" i="3"/>
  <c r="AA603" i="3" s="1"/>
  <c r="Y602" i="3"/>
  <c r="Z602" i="3" s="1"/>
  <c r="Y601" i="3"/>
  <c r="AA601" i="3" s="1"/>
  <c r="Y600" i="3"/>
  <c r="Y599" i="3"/>
  <c r="AA599" i="3" s="1"/>
  <c r="Y598" i="3"/>
  <c r="Y597" i="3"/>
  <c r="AA597" i="3" s="1"/>
  <c r="Y596" i="3"/>
  <c r="Y595" i="3"/>
  <c r="AA595" i="3" s="1"/>
  <c r="Y594" i="3"/>
  <c r="AA594" i="3" s="1"/>
  <c r="Y593" i="3"/>
  <c r="AA593" i="3" s="1"/>
  <c r="Y592" i="3"/>
  <c r="Z592" i="3" s="1"/>
  <c r="Y591" i="3"/>
  <c r="Z591" i="3" s="1"/>
  <c r="Y590" i="3"/>
  <c r="AA590" i="3" s="1"/>
  <c r="Y589" i="3"/>
  <c r="Y588" i="3"/>
  <c r="AA588" i="3" s="1"/>
  <c r="Y587" i="3"/>
  <c r="AA587" i="3" s="1"/>
  <c r="Y586" i="3"/>
  <c r="AA586" i="3" s="1"/>
  <c r="Y585" i="3"/>
  <c r="AA585" i="3" s="1"/>
  <c r="Y584" i="3"/>
  <c r="Y583" i="3"/>
  <c r="AA583" i="3" s="1"/>
  <c r="Y582" i="3"/>
  <c r="AA582" i="3" s="1"/>
  <c r="Y581" i="3"/>
  <c r="AA581" i="3" s="1"/>
  <c r="Y580" i="3"/>
  <c r="Y579" i="3"/>
  <c r="Y578" i="3"/>
  <c r="AA578" i="3" s="1"/>
  <c r="Y577" i="3"/>
  <c r="AA577" i="3" s="1"/>
  <c r="Y576" i="3"/>
  <c r="Z576" i="3" s="1"/>
  <c r="Y575" i="3"/>
  <c r="AA575" i="3" s="1"/>
  <c r="Y574" i="3"/>
  <c r="AA574" i="3" s="1"/>
  <c r="Y573" i="3"/>
  <c r="AA573" i="3" s="1"/>
  <c r="Y572" i="3"/>
  <c r="AA572" i="3" s="1"/>
  <c r="Y571" i="3"/>
  <c r="Z571" i="3" s="1"/>
  <c r="Y570" i="3"/>
  <c r="Z570" i="3" s="1"/>
  <c r="Y569" i="3"/>
  <c r="AA569" i="3" s="1"/>
  <c r="Y568" i="3"/>
  <c r="Z568" i="3" s="1"/>
  <c r="Y567" i="3"/>
  <c r="AA567" i="3" s="1"/>
  <c r="Y566" i="3"/>
  <c r="Z566" i="3" s="1"/>
  <c r="Y565" i="3"/>
  <c r="Y564" i="3"/>
  <c r="AA564" i="3" s="1"/>
  <c r="Y563" i="3"/>
  <c r="AA563" i="3" s="1"/>
  <c r="Y562" i="3"/>
  <c r="Y561" i="3"/>
  <c r="AA561" i="3" s="1"/>
  <c r="Y560" i="3"/>
  <c r="Z560" i="3" s="1"/>
  <c r="Y559" i="3"/>
  <c r="AA559" i="3" s="1"/>
  <c r="Y558" i="3"/>
  <c r="AA558" i="3" s="1"/>
  <c r="Y557" i="3"/>
  <c r="Y556" i="3"/>
  <c r="Z556" i="3" s="1"/>
  <c r="Y555" i="3"/>
  <c r="Z555" i="3" s="1"/>
  <c r="Y554" i="3"/>
  <c r="AA554" i="3" s="1"/>
  <c r="Y553" i="3"/>
  <c r="Z553" i="3" s="1"/>
  <c r="Y552" i="3"/>
  <c r="Z552" i="3" s="1"/>
  <c r="Y551" i="3"/>
  <c r="Z551" i="3" s="1"/>
  <c r="Y550" i="3"/>
  <c r="AA550" i="3" s="1"/>
  <c r="Y549" i="3"/>
  <c r="AA549" i="3" s="1"/>
  <c r="Y548" i="3"/>
  <c r="AA548" i="3" s="1"/>
  <c r="Y547" i="3"/>
  <c r="Y546" i="3"/>
  <c r="AA546" i="3" s="1"/>
  <c r="Y545" i="3"/>
  <c r="AA545" i="3" s="1"/>
  <c r="Y544" i="3"/>
  <c r="AA544" i="3" s="1"/>
  <c r="Y543" i="3"/>
  <c r="AA543" i="3" s="1"/>
  <c r="Y542" i="3"/>
  <c r="Z542" i="3" s="1"/>
  <c r="Y541" i="3"/>
  <c r="AA541" i="3" s="1"/>
  <c r="Y540" i="3"/>
  <c r="AA540" i="3" s="1"/>
  <c r="Y539" i="3"/>
  <c r="AA539" i="3" s="1"/>
  <c r="Y538" i="3"/>
  <c r="Y537" i="3"/>
  <c r="Z537" i="3" s="1"/>
  <c r="Y536" i="3"/>
  <c r="AA536" i="3" s="1"/>
  <c r="Y535" i="3"/>
  <c r="AA535" i="3" s="1"/>
  <c r="Y534" i="3"/>
  <c r="Z534" i="3" s="1"/>
  <c r="Y533" i="3"/>
  <c r="Y532" i="3"/>
  <c r="Z532" i="3" s="1"/>
  <c r="Y531" i="3"/>
  <c r="AA531" i="3" s="1"/>
  <c r="Y530" i="3"/>
  <c r="Y529" i="3"/>
  <c r="AA529" i="3" s="1"/>
  <c r="Y528" i="3"/>
  <c r="Z528" i="3" s="1"/>
  <c r="Y527" i="3"/>
  <c r="Y526" i="3"/>
  <c r="Y525" i="3"/>
  <c r="AA525" i="3" s="1"/>
  <c r="Y524" i="3"/>
  <c r="Z524" i="3" s="1"/>
  <c r="Y523" i="3"/>
  <c r="Z523" i="3" s="1"/>
  <c r="Y522" i="3"/>
  <c r="AA522" i="3" s="1"/>
  <c r="Y521" i="3"/>
  <c r="Z521" i="3" s="1"/>
  <c r="Y520" i="3"/>
  <c r="AA520" i="3" s="1"/>
  <c r="Y519" i="3"/>
  <c r="AA519" i="3" s="1"/>
  <c r="Y518" i="3"/>
  <c r="Z518" i="3" s="1"/>
  <c r="Y517" i="3"/>
  <c r="Z517" i="3" s="1"/>
  <c r="Y516" i="3"/>
  <c r="AA516" i="3" s="1"/>
  <c r="Y515" i="3"/>
  <c r="AA515" i="3" s="1"/>
  <c r="Y514" i="3"/>
  <c r="Z514" i="3" s="1"/>
  <c r="Y513" i="3"/>
  <c r="Y512" i="3"/>
  <c r="Z512" i="3" s="1"/>
  <c r="Y511" i="3"/>
  <c r="AA511" i="3" s="1"/>
  <c r="Y510" i="3"/>
  <c r="AA510" i="3" s="1"/>
  <c r="Y509" i="3"/>
  <c r="Y508" i="3"/>
  <c r="Z508" i="3" s="1"/>
  <c r="Y507" i="3"/>
  <c r="Z507" i="3" s="1"/>
  <c r="Y506" i="3"/>
  <c r="AA506" i="3" s="1"/>
  <c r="Y505" i="3"/>
  <c r="AA505" i="3" s="1"/>
  <c r="Y504" i="3"/>
  <c r="Z504" i="3" s="1"/>
  <c r="Y503" i="3"/>
  <c r="AA503" i="3" s="1"/>
  <c r="Y502" i="3"/>
  <c r="AA502" i="3" s="1"/>
  <c r="Y501" i="3"/>
  <c r="AA501" i="3" s="1"/>
  <c r="Y500" i="3"/>
  <c r="AA500" i="3" s="1"/>
  <c r="Y499" i="3"/>
  <c r="AA499" i="3" s="1"/>
  <c r="Y498" i="3"/>
  <c r="Y497" i="3"/>
  <c r="Z497" i="3" s="1"/>
  <c r="Y496" i="3"/>
  <c r="Y495" i="3"/>
  <c r="Z495" i="3" s="1"/>
  <c r="Y494" i="3"/>
  <c r="AA494" i="3" s="1"/>
  <c r="Y493" i="3"/>
  <c r="AA493" i="3" s="1"/>
  <c r="Y492" i="3"/>
  <c r="AA492" i="3" s="1"/>
  <c r="Y491" i="3"/>
  <c r="Z491" i="3" s="1"/>
  <c r="Y490" i="3"/>
  <c r="AA490" i="3" s="1"/>
  <c r="Y489" i="3"/>
  <c r="AA489" i="3" s="1"/>
  <c r="Y488" i="3"/>
  <c r="AA488" i="3" s="1"/>
  <c r="Y487" i="3"/>
  <c r="AA487" i="3" s="1"/>
  <c r="Y486" i="3"/>
  <c r="Y485" i="3"/>
  <c r="AA485" i="3" s="1"/>
  <c r="Y484" i="3"/>
  <c r="AA484" i="3" s="1"/>
  <c r="Y483" i="3"/>
  <c r="Y482" i="3"/>
  <c r="AA482" i="3" s="1"/>
  <c r="Y481" i="3"/>
  <c r="AA481" i="3" s="1"/>
  <c r="Y480" i="3"/>
  <c r="Z480" i="3" s="1"/>
  <c r="Y479" i="3"/>
  <c r="Z479" i="3" s="1"/>
  <c r="Y478" i="3"/>
  <c r="AA478" i="3" s="1"/>
  <c r="Y477" i="3"/>
  <c r="Z477" i="3" s="1"/>
  <c r="Y476" i="3"/>
  <c r="AA476" i="3" s="1"/>
  <c r="Y475" i="3"/>
  <c r="Z475" i="3" s="1"/>
  <c r="Y474" i="3"/>
  <c r="AA474" i="3" s="1"/>
  <c r="Y473" i="3"/>
  <c r="AA473" i="3" s="1"/>
  <c r="Y472" i="3"/>
  <c r="AA472" i="3" s="1"/>
  <c r="Y471" i="3"/>
  <c r="Z471" i="3" s="1"/>
  <c r="Y470" i="3"/>
  <c r="AA470" i="3" s="1"/>
  <c r="Y469" i="3"/>
  <c r="AA469" i="3" s="1"/>
  <c r="Y468" i="3"/>
  <c r="AA468" i="3" s="1"/>
  <c r="Y467" i="3"/>
  <c r="AA467" i="3" s="1"/>
  <c r="Y466" i="3"/>
  <c r="AA466" i="3" s="1"/>
  <c r="Y465" i="3"/>
  <c r="AA465" i="3" s="1"/>
  <c r="Y464" i="3"/>
  <c r="AA464" i="3" s="1"/>
  <c r="Y463" i="3"/>
  <c r="AA463" i="3" s="1"/>
  <c r="Y462" i="3"/>
  <c r="AA462" i="3" s="1"/>
  <c r="Y461" i="3"/>
  <c r="AA461" i="3" s="1"/>
  <c r="Y460" i="3"/>
  <c r="Z460" i="3" s="1"/>
  <c r="Y459" i="3"/>
  <c r="AA459" i="3" s="1"/>
  <c r="Y458" i="3"/>
  <c r="Z458" i="3" s="1"/>
  <c r="Y457" i="3"/>
  <c r="Y456" i="3"/>
  <c r="Z456" i="3" s="1"/>
  <c r="Y455" i="3"/>
  <c r="Z455" i="3" s="1"/>
  <c r="Y454" i="3"/>
  <c r="Y453" i="3"/>
  <c r="AA453" i="3" s="1"/>
  <c r="Y452" i="3"/>
  <c r="AA452" i="3" s="1"/>
  <c r="Y451" i="3"/>
  <c r="AA451" i="3" s="1"/>
  <c r="Y450" i="3"/>
  <c r="Z450" i="3" s="1"/>
  <c r="Y449" i="3"/>
  <c r="Z449" i="3" s="1"/>
  <c r="Y448" i="3"/>
  <c r="AA448" i="3" s="1"/>
  <c r="Y447" i="3"/>
  <c r="AA447" i="3" s="1"/>
  <c r="Y446" i="3"/>
  <c r="Z446" i="3" s="1"/>
  <c r="Y445" i="3"/>
  <c r="Y444" i="3"/>
  <c r="Y443" i="3"/>
  <c r="Z443" i="3" s="1"/>
  <c r="Y442" i="3"/>
  <c r="Y441" i="3"/>
  <c r="AA441" i="3" s="1"/>
  <c r="Y440" i="3"/>
  <c r="AA440" i="3" s="1"/>
  <c r="Y439" i="3"/>
  <c r="Z439" i="3" s="1"/>
  <c r="Y438" i="3"/>
  <c r="AA438" i="3" s="1"/>
  <c r="Y437" i="3"/>
  <c r="Z437" i="3" s="1"/>
  <c r="Y436" i="3"/>
  <c r="Z436" i="3" s="1"/>
  <c r="Y435" i="3"/>
  <c r="AA435" i="3" s="1"/>
  <c r="Y434" i="3"/>
  <c r="AA434" i="3" s="1"/>
  <c r="Y433" i="3"/>
  <c r="AA433" i="3" s="1"/>
  <c r="Y432" i="3"/>
  <c r="Z432" i="3" s="1"/>
  <c r="Y431" i="3"/>
  <c r="Z431" i="3" s="1"/>
  <c r="Y430" i="3"/>
  <c r="Y429" i="3"/>
  <c r="Z429" i="3" s="1"/>
  <c r="Y428" i="3"/>
  <c r="Y427" i="3"/>
  <c r="Y426" i="3"/>
  <c r="AA426" i="3" s="1"/>
  <c r="Y425" i="3"/>
  <c r="AA425" i="3" s="1"/>
  <c r="Y424" i="3"/>
  <c r="Y423" i="3"/>
  <c r="AA423" i="3" s="1"/>
  <c r="Y422" i="3"/>
  <c r="AA422" i="3" s="1"/>
  <c r="Y421" i="3"/>
  <c r="Z421" i="3" s="1"/>
  <c r="Y420" i="3"/>
  <c r="Z420" i="3" s="1"/>
  <c r="Y419" i="3"/>
  <c r="AA419" i="3" s="1"/>
  <c r="Y418" i="3"/>
  <c r="AA418" i="3" s="1"/>
  <c r="Y417" i="3"/>
  <c r="Z417" i="3" s="1"/>
  <c r="Y416" i="3"/>
  <c r="Y415" i="3"/>
  <c r="AA415" i="3" s="1"/>
  <c r="Y414" i="3"/>
  <c r="Z414" i="3" s="1"/>
  <c r="Y413" i="3"/>
  <c r="AA413" i="3" s="1"/>
  <c r="Y412" i="3"/>
  <c r="Z412" i="3" s="1"/>
  <c r="Y411" i="3"/>
  <c r="AA411" i="3" s="1"/>
  <c r="Y410" i="3"/>
  <c r="Z410" i="3" s="1"/>
  <c r="Y409" i="3"/>
  <c r="Z409" i="3" s="1"/>
  <c r="Y408" i="3"/>
  <c r="AA408" i="3" s="1"/>
  <c r="Y407" i="3"/>
  <c r="Y406" i="3"/>
  <c r="Z406" i="3" s="1"/>
  <c r="Y405" i="3"/>
  <c r="AA405" i="3" s="1"/>
  <c r="Y404" i="3"/>
  <c r="AA404" i="3" s="1"/>
  <c r="Y403" i="3"/>
  <c r="Y402" i="3"/>
  <c r="AA402" i="3" s="1"/>
  <c r="Y401" i="3"/>
  <c r="Z401" i="3" s="1"/>
  <c r="Y400" i="3"/>
  <c r="Z400" i="3" s="1"/>
  <c r="Y399" i="3"/>
  <c r="AA399" i="3" s="1"/>
  <c r="Y398" i="3"/>
  <c r="Y397" i="3"/>
  <c r="AA397" i="3" s="1"/>
  <c r="Y396" i="3"/>
  <c r="AA396" i="3" s="1"/>
  <c r="Y395" i="3"/>
  <c r="Z395" i="3" s="1"/>
  <c r="Y394" i="3"/>
  <c r="AA394" i="3" s="1"/>
  <c r="Y393" i="3"/>
  <c r="Z393" i="3" s="1"/>
  <c r="Y392" i="3"/>
  <c r="AA392" i="3" s="1"/>
  <c r="Y391" i="3"/>
  <c r="Z391" i="3" s="1"/>
  <c r="Y390" i="3"/>
  <c r="Z390" i="3" s="1"/>
  <c r="Y389" i="3"/>
  <c r="Z389" i="3" s="1"/>
  <c r="Y388" i="3"/>
  <c r="AA388" i="3" s="1"/>
  <c r="Y387" i="3"/>
  <c r="Z387" i="3" s="1"/>
  <c r="Y386" i="3"/>
  <c r="Z386" i="3" s="1"/>
  <c r="Y385" i="3"/>
  <c r="AA385" i="3" s="1"/>
  <c r="Y384" i="3"/>
  <c r="AA384" i="3" s="1"/>
  <c r="Y383" i="3"/>
  <c r="Z383" i="3" s="1"/>
  <c r="Y382" i="3"/>
  <c r="Y381" i="3"/>
  <c r="Y380" i="3"/>
  <c r="Z380" i="3" s="1"/>
  <c r="Y379" i="3"/>
  <c r="AA379" i="3" s="1"/>
  <c r="Y378" i="3"/>
  <c r="Y377" i="3"/>
  <c r="AA377" i="3" s="1"/>
  <c r="Y376" i="3"/>
  <c r="Z376" i="3" s="1"/>
  <c r="Y375" i="3"/>
  <c r="AA375" i="3" s="1"/>
  <c r="Y374" i="3"/>
  <c r="AA374" i="3" s="1"/>
  <c r="Y373" i="3"/>
  <c r="AA373" i="3" s="1"/>
  <c r="Y372" i="3"/>
  <c r="AA372" i="3" s="1"/>
  <c r="Y371" i="3"/>
  <c r="AA371" i="3" s="1"/>
  <c r="Y370" i="3"/>
  <c r="AA370" i="3" s="1"/>
  <c r="Y369" i="3"/>
  <c r="Z369" i="3" s="1"/>
  <c r="Y368" i="3"/>
  <c r="Y367" i="3"/>
  <c r="AA367" i="3" s="1"/>
  <c r="Y366" i="3"/>
  <c r="AA366" i="3" s="1"/>
  <c r="Y365" i="3"/>
  <c r="Y364" i="3"/>
  <c r="AA364" i="3" s="1"/>
  <c r="Y363" i="3"/>
  <c r="AA363" i="3" s="1"/>
  <c r="Y362" i="3"/>
  <c r="AA362" i="3" s="1"/>
  <c r="Y361" i="3"/>
  <c r="Y360" i="3"/>
  <c r="Z360" i="3" s="1"/>
  <c r="Y359" i="3"/>
  <c r="Y358" i="3"/>
  <c r="Y357" i="3"/>
  <c r="Y356" i="3"/>
  <c r="AA356" i="3" s="1"/>
  <c r="Y355" i="3"/>
  <c r="AA355" i="3" s="1"/>
  <c r="Y354" i="3"/>
  <c r="AA354" i="3" s="1"/>
  <c r="Y353" i="3"/>
  <c r="AA353" i="3" s="1"/>
  <c r="Y352" i="3"/>
  <c r="AA352" i="3" s="1"/>
  <c r="Y351" i="3"/>
  <c r="Y350" i="3"/>
  <c r="AA350" i="3" s="1"/>
  <c r="Y349" i="3"/>
  <c r="AA349" i="3" s="1"/>
  <c r="Y348" i="3"/>
  <c r="AA348" i="3" s="1"/>
  <c r="Y347" i="3"/>
  <c r="Y346" i="3"/>
  <c r="Z346" i="3" s="1"/>
  <c r="Y345" i="3"/>
  <c r="Z345" i="3" s="1"/>
  <c r="Y344" i="3"/>
  <c r="Y343" i="3"/>
  <c r="AA343" i="3" s="1"/>
  <c r="Y342" i="3"/>
  <c r="AA342" i="3" s="1"/>
  <c r="Y341" i="3"/>
  <c r="Z341" i="3" s="1"/>
  <c r="Y340" i="3"/>
  <c r="Y339" i="3"/>
  <c r="Z339" i="3" s="1"/>
  <c r="Y338" i="3"/>
  <c r="AA338" i="3" s="1"/>
  <c r="Y337" i="3"/>
  <c r="Z337" i="3" s="1"/>
  <c r="Y336" i="3"/>
  <c r="Y335" i="3"/>
  <c r="AA335" i="3" s="1"/>
  <c r="Y334" i="3"/>
  <c r="Z334" i="3" s="1"/>
  <c r="Y333" i="3"/>
  <c r="Y332" i="3"/>
  <c r="AA332" i="3" s="1"/>
  <c r="Y331" i="3"/>
  <c r="AA331" i="3" s="1"/>
  <c r="Y330" i="3"/>
  <c r="Z330" i="3" s="1"/>
  <c r="Y329" i="3"/>
  <c r="Y328" i="3"/>
  <c r="Y327" i="3"/>
  <c r="Z327" i="3" s="1"/>
  <c r="Y326" i="3"/>
  <c r="Y325" i="3"/>
  <c r="AA325" i="3" s="1"/>
  <c r="Y324" i="3"/>
  <c r="AA324" i="3" s="1"/>
  <c r="Y323" i="3"/>
  <c r="Z323" i="3" s="1"/>
  <c r="Y322" i="3"/>
  <c r="AA322" i="3" s="1"/>
  <c r="Y321" i="3"/>
  <c r="Y320" i="3"/>
  <c r="Z320" i="3" s="1"/>
  <c r="Y319" i="3"/>
  <c r="Z319" i="3" s="1"/>
  <c r="Y318" i="3"/>
  <c r="AA318" i="3" s="1"/>
  <c r="Y317" i="3"/>
  <c r="AA317" i="3" s="1"/>
  <c r="Y316" i="3"/>
  <c r="AA316" i="3" s="1"/>
  <c r="Y315" i="3"/>
  <c r="Y314" i="3"/>
  <c r="AA314" i="3" s="1"/>
  <c r="Y313" i="3"/>
  <c r="Z313" i="3" s="1"/>
  <c r="Y312" i="3"/>
  <c r="Z312" i="3" s="1"/>
  <c r="Y311" i="3"/>
  <c r="AA311" i="3" s="1"/>
  <c r="Y310" i="3"/>
  <c r="AA310" i="3" s="1"/>
  <c r="Y309" i="3"/>
  <c r="Z309" i="3" s="1"/>
  <c r="Y308" i="3"/>
  <c r="Z308" i="3" s="1"/>
  <c r="Y307" i="3"/>
  <c r="AA307" i="3" s="1"/>
  <c r="Y306" i="3"/>
  <c r="Z306" i="3" s="1"/>
  <c r="Y305" i="3"/>
  <c r="AA305" i="3" s="1"/>
  <c r="Y304" i="3"/>
  <c r="AA304" i="3" s="1"/>
  <c r="Y303" i="3"/>
  <c r="AA303" i="3" s="1"/>
  <c r="Y302" i="3"/>
  <c r="AA302" i="3" s="1"/>
  <c r="Y301" i="3"/>
  <c r="Z301" i="3" s="1"/>
  <c r="Y300" i="3"/>
  <c r="Z300" i="3" s="1"/>
  <c r="Y299" i="3"/>
  <c r="Y298" i="3"/>
  <c r="Z298" i="3" s="1"/>
  <c r="Y297" i="3"/>
  <c r="AA297" i="3" s="1"/>
  <c r="Y296" i="3"/>
  <c r="Y295" i="3"/>
  <c r="AA295" i="3" s="1"/>
  <c r="Y294" i="3"/>
  <c r="AA294" i="3" s="1"/>
  <c r="Y293" i="3"/>
  <c r="Z293" i="3" s="1"/>
  <c r="Y292" i="3"/>
  <c r="Z292" i="3" s="1"/>
  <c r="Y291" i="3"/>
  <c r="AA291" i="3" s="1"/>
  <c r="Y290" i="3"/>
  <c r="AA290" i="3" s="1"/>
  <c r="Y289" i="3"/>
  <c r="Z289" i="3" s="1"/>
  <c r="Y288" i="3"/>
  <c r="AA288" i="3" s="1"/>
  <c r="Y287" i="3"/>
  <c r="Z287" i="3" s="1"/>
  <c r="Y286" i="3"/>
  <c r="Z286" i="3" s="1"/>
  <c r="Y285" i="3"/>
  <c r="AA285" i="3" s="1"/>
  <c r="Y284" i="3"/>
  <c r="Z284" i="3" s="1"/>
  <c r="Y283" i="3"/>
  <c r="AA283" i="3" s="1"/>
  <c r="Y282" i="3"/>
  <c r="Z282" i="3" s="1"/>
  <c r="Y281" i="3"/>
  <c r="Z281" i="3" s="1"/>
  <c r="Y280" i="3"/>
  <c r="Z280" i="3" s="1"/>
  <c r="Y279" i="3"/>
  <c r="Z279" i="3" s="1"/>
  <c r="Y278" i="3"/>
  <c r="Z278" i="3" s="1"/>
  <c r="Y277" i="3"/>
  <c r="AA277" i="3" s="1"/>
  <c r="Y276" i="3"/>
  <c r="AA276" i="3" s="1"/>
  <c r="Y275" i="3"/>
  <c r="AA275" i="3" s="1"/>
  <c r="Y274" i="3"/>
  <c r="AA274" i="3" s="1"/>
  <c r="Y273" i="3"/>
  <c r="Z273" i="3" s="1"/>
  <c r="Y272" i="3"/>
  <c r="Y271" i="3"/>
  <c r="AA271" i="3" s="1"/>
  <c r="Y270" i="3"/>
  <c r="AA270" i="3" s="1"/>
  <c r="Y269" i="3"/>
  <c r="AA269" i="3" s="1"/>
  <c r="Y268" i="3"/>
  <c r="AA268" i="3" s="1"/>
  <c r="Y267" i="3"/>
  <c r="AA267" i="3" s="1"/>
  <c r="Y266" i="3"/>
  <c r="Z266" i="3" s="1"/>
  <c r="Y265" i="3"/>
  <c r="Z265" i="3" s="1"/>
  <c r="Y264" i="3"/>
  <c r="AA264" i="3" s="1"/>
  <c r="Y263" i="3"/>
  <c r="Y262" i="3"/>
  <c r="AA262" i="3" s="1"/>
  <c r="Y261" i="3"/>
  <c r="Z261" i="3" s="1"/>
  <c r="Y260" i="3"/>
  <c r="AA260" i="3" s="1"/>
  <c r="Y259" i="3"/>
  <c r="AA259" i="3" s="1"/>
  <c r="Y258" i="3"/>
  <c r="AA258" i="3" s="1"/>
  <c r="Y257" i="3"/>
  <c r="AA257" i="3" s="1"/>
  <c r="Y256" i="3"/>
  <c r="AA256" i="3" s="1"/>
  <c r="Y255" i="3"/>
  <c r="AA255" i="3" s="1"/>
  <c r="Y254" i="3"/>
  <c r="AA254" i="3" s="1"/>
  <c r="Y253" i="3"/>
  <c r="AA253" i="3" s="1"/>
  <c r="Y252" i="3"/>
  <c r="Z252" i="3" s="1"/>
  <c r="Y251" i="3"/>
  <c r="Y250" i="3"/>
  <c r="Y249" i="3"/>
  <c r="Y248" i="3"/>
  <c r="AA248" i="3" s="1"/>
  <c r="Y247" i="3"/>
  <c r="Y246" i="3"/>
  <c r="AA246" i="3" s="1"/>
  <c r="Y245" i="3"/>
  <c r="AA245" i="3" s="1"/>
  <c r="Y244" i="3"/>
  <c r="AA244" i="3" s="1"/>
  <c r="Y243" i="3"/>
  <c r="AA243" i="3" s="1"/>
  <c r="Y242" i="3"/>
  <c r="AA242" i="3" s="1"/>
  <c r="Y241" i="3"/>
  <c r="AA241" i="3" s="1"/>
  <c r="Y240" i="3"/>
  <c r="AA240" i="3" s="1"/>
  <c r="Y239" i="3"/>
  <c r="AA239" i="3" s="1"/>
  <c r="Y238" i="3"/>
  <c r="Z238" i="3" s="1"/>
  <c r="Y237" i="3"/>
  <c r="AA237" i="3" s="1"/>
  <c r="Y236" i="3"/>
  <c r="AA236" i="3" s="1"/>
  <c r="Y235" i="3"/>
  <c r="Y234" i="3"/>
  <c r="AA234" i="3" s="1"/>
  <c r="Y233" i="3"/>
  <c r="Y232" i="3"/>
  <c r="AA232" i="3" s="1"/>
  <c r="Y231" i="3"/>
  <c r="AA231" i="3" s="1"/>
  <c r="Y230" i="3"/>
  <c r="AA230" i="3" s="1"/>
  <c r="Y229" i="3"/>
  <c r="Y228" i="3"/>
  <c r="Z228" i="3" s="1"/>
  <c r="Y227" i="3"/>
  <c r="AA227" i="3" s="1"/>
  <c r="Y226" i="3"/>
  <c r="AA226" i="3" s="1"/>
  <c r="Y225" i="3"/>
  <c r="AA225" i="3" s="1"/>
  <c r="Y224" i="3"/>
  <c r="Z224" i="3" s="1"/>
  <c r="Y223" i="3"/>
  <c r="Y222" i="3"/>
  <c r="Z222" i="3" s="1"/>
  <c r="Y221" i="3"/>
  <c r="AA221" i="3" s="1"/>
  <c r="Y220" i="3"/>
  <c r="AA220" i="3" s="1"/>
  <c r="Y219" i="3"/>
  <c r="Y218" i="3"/>
  <c r="Z218" i="3" s="1"/>
  <c r="Y217" i="3"/>
  <c r="AA217" i="3" s="1"/>
  <c r="Y216" i="3"/>
  <c r="AA216" i="3" s="1"/>
  <c r="Y215" i="3"/>
  <c r="AA215" i="3" s="1"/>
  <c r="Y214" i="3"/>
  <c r="AA214" i="3" s="1"/>
  <c r="Y213" i="3"/>
  <c r="Y212" i="3"/>
  <c r="Z212" i="3" s="1"/>
  <c r="Y211" i="3"/>
  <c r="AA211" i="3" s="1"/>
  <c r="Y210" i="3"/>
  <c r="Z210" i="3" s="1"/>
  <c r="Y209" i="3"/>
  <c r="Z209" i="3" s="1"/>
  <c r="Y208" i="3"/>
  <c r="AA208" i="3" s="1"/>
  <c r="Y207" i="3"/>
  <c r="Z207" i="3" s="1"/>
  <c r="Y206" i="3"/>
  <c r="AA206" i="3" s="1"/>
  <c r="Y205" i="3"/>
  <c r="AA205" i="3" s="1"/>
  <c r="Y204" i="3"/>
  <c r="AA204" i="3" s="1"/>
  <c r="Y203" i="3"/>
  <c r="AA203" i="3" s="1"/>
  <c r="Y202" i="3"/>
  <c r="AA202" i="3" s="1"/>
  <c r="Y201" i="3"/>
  <c r="AA201" i="3" s="1"/>
  <c r="Y200" i="3"/>
  <c r="AA200" i="3" s="1"/>
  <c r="Y199" i="3"/>
  <c r="AA199" i="3" s="1"/>
  <c r="Y198" i="3"/>
  <c r="AA198" i="3" s="1"/>
  <c r="Y197" i="3"/>
  <c r="Z197" i="3" s="1"/>
  <c r="Y196" i="3"/>
  <c r="AA196" i="3" s="1"/>
  <c r="Y195" i="3"/>
  <c r="Z195" i="3" s="1"/>
  <c r="Y194" i="3"/>
  <c r="Y193" i="3"/>
  <c r="AA193" i="3" s="1"/>
  <c r="Y192" i="3"/>
  <c r="Y191" i="3"/>
  <c r="AA191" i="3" s="1"/>
  <c r="Y190" i="3"/>
  <c r="AA190" i="3" s="1"/>
  <c r="Y189" i="3"/>
  <c r="AA189" i="3" s="1"/>
  <c r="Y188" i="3"/>
  <c r="AA188" i="3" s="1"/>
  <c r="Y187" i="3"/>
  <c r="AA187" i="3" s="1"/>
  <c r="Y186" i="3"/>
  <c r="Y185" i="3"/>
  <c r="AA185" i="3" s="1"/>
  <c r="Y184" i="3"/>
  <c r="AA184" i="3" s="1"/>
  <c r="Y183" i="3"/>
  <c r="Z183" i="3" s="1"/>
  <c r="Y182" i="3"/>
  <c r="AA182" i="3" s="1"/>
  <c r="Y181" i="3"/>
  <c r="AA181" i="3" s="1"/>
  <c r="Y180" i="3"/>
  <c r="AA180" i="3" s="1"/>
  <c r="Y179" i="3"/>
  <c r="Z179" i="3" s="1"/>
  <c r="Y178" i="3"/>
  <c r="Y177" i="3"/>
  <c r="Y176" i="3"/>
  <c r="Z176" i="3" s="1"/>
  <c r="Y175" i="3"/>
  <c r="AA175" i="3" s="1"/>
  <c r="Y174" i="3"/>
  <c r="Y173" i="3"/>
  <c r="Z173" i="3" s="1"/>
  <c r="Y172" i="3"/>
  <c r="Y171" i="3"/>
  <c r="AA171" i="3" s="1"/>
  <c r="Y170" i="3"/>
  <c r="AA170" i="3" s="1"/>
  <c r="Y169" i="3"/>
  <c r="Z169" i="3" s="1"/>
  <c r="Y168" i="3"/>
  <c r="AA168" i="3" s="1"/>
  <c r="Y167" i="3"/>
  <c r="Z167" i="3" s="1"/>
  <c r="Y166" i="3"/>
  <c r="AA166" i="3" s="1"/>
  <c r="Y165" i="3"/>
  <c r="AA165" i="3" s="1"/>
  <c r="Y164" i="3"/>
  <c r="Y163" i="3"/>
  <c r="Z163" i="3" s="1"/>
  <c r="Y162" i="3"/>
  <c r="Z162" i="3" s="1"/>
  <c r="Y161" i="3"/>
  <c r="AA161" i="3" s="1"/>
  <c r="Y160" i="3"/>
  <c r="AA160" i="3" s="1"/>
  <c r="Y159" i="3"/>
  <c r="AA159" i="3" s="1"/>
  <c r="Y158" i="3"/>
  <c r="Z158" i="3" s="1"/>
  <c r="Y157" i="3"/>
  <c r="Y156" i="3"/>
  <c r="Z156" i="3" s="1"/>
  <c r="Y155" i="3"/>
  <c r="AA155" i="3" s="1"/>
  <c r="Y154" i="3"/>
  <c r="AA154" i="3" s="1"/>
  <c r="Y153" i="3"/>
  <c r="Z153" i="3" s="1"/>
  <c r="Y152" i="3"/>
  <c r="AA152" i="3" s="1"/>
  <c r="Y151" i="3"/>
  <c r="AA151" i="3" s="1"/>
  <c r="Y150" i="3"/>
  <c r="AA150" i="3" s="1"/>
  <c r="Y149" i="3"/>
  <c r="AA149" i="3" s="1"/>
  <c r="Y148" i="3"/>
  <c r="Y147" i="3"/>
  <c r="AA147" i="3" s="1"/>
  <c r="Y146" i="3"/>
  <c r="AA146" i="3" s="1"/>
  <c r="Y145" i="3"/>
  <c r="AA145" i="3" s="1"/>
  <c r="Y144" i="3"/>
  <c r="AA144" i="3" s="1"/>
  <c r="Y143" i="3"/>
  <c r="AA143" i="3" s="1"/>
  <c r="Y142" i="3"/>
  <c r="Z142" i="3" s="1"/>
  <c r="Y141" i="3"/>
  <c r="AA141" i="3" s="1"/>
  <c r="Y140" i="3"/>
  <c r="AA140" i="3" s="1"/>
  <c r="Y139" i="3"/>
  <c r="Y138" i="3"/>
  <c r="AA138" i="3" s="1"/>
  <c r="Y137" i="3"/>
  <c r="AA137" i="3" s="1"/>
  <c r="Y136" i="3"/>
  <c r="AA136" i="3" s="1"/>
  <c r="Y135" i="3"/>
  <c r="AA135" i="3" s="1"/>
  <c r="Y134" i="3"/>
  <c r="Z134" i="3" s="1"/>
  <c r="Y133" i="3"/>
  <c r="AA133" i="3" s="1"/>
  <c r="Y132" i="3"/>
  <c r="AA132" i="3" s="1"/>
  <c r="Y131" i="3"/>
  <c r="AA131" i="3" s="1"/>
  <c r="Y130" i="3"/>
  <c r="Z130" i="3" s="1"/>
  <c r="Y129" i="3"/>
  <c r="AA129" i="3" s="1"/>
  <c r="Y128" i="3"/>
  <c r="Z128" i="3" s="1"/>
  <c r="Y127" i="3"/>
  <c r="Y126" i="3"/>
  <c r="AA126" i="3" s="1"/>
  <c r="Y125" i="3"/>
  <c r="AA125" i="3" s="1"/>
  <c r="Y124" i="3"/>
  <c r="Z124" i="3" s="1"/>
  <c r="Y123" i="3"/>
  <c r="Z123" i="3" s="1"/>
  <c r="Y122" i="3"/>
  <c r="AA122" i="3" s="1"/>
  <c r="Y121" i="3"/>
  <c r="AA121" i="3" s="1"/>
  <c r="Y120" i="3"/>
  <c r="Z120" i="3" s="1"/>
  <c r="Y119" i="3"/>
  <c r="AA119" i="3" s="1"/>
  <c r="Y118" i="3"/>
  <c r="Z118" i="3" s="1"/>
  <c r="Y117" i="3"/>
  <c r="Y116" i="3"/>
  <c r="AA116" i="3" s="1"/>
  <c r="Y115" i="3"/>
  <c r="AA115" i="3" s="1"/>
  <c r="Y114" i="3"/>
  <c r="AA114" i="3" s="1"/>
  <c r="Y113" i="3"/>
  <c r="AA113" i="3" s="1"/>
  <c r="Y112" i="3"/>
  <c r="AA112" i="3" s="1"/>
  <c r="Y111" i="3"/>
  <c r="AA111" i="3" s="1"/>
  <c r="Y110" i="3"/>
  <c r="AA110" i="3" s="1"/>
  <c r="Y109" i="3"/>
  <c r="Z109" i="3" s="1"/>
  <c r="Y108" i="3"/>
  <c r="AA108" i="3" s="1"/>
  <c r="Y107" i="3"/>
  <c r="AA107" i="3" s="1"/>
  <c r="Y106" i="3"/>
  <c r="Z106" i="3" s="1"/>
  <c r="Y105" i="3"/>
  <c r="Z105" i="3" s="1"/>
  <c r="Y104" i="3"/>
  <c r="AA104" i="3" s="1"/>
  <c r="Y103" i="3"/>
  <c r="AA103" i="3" s="1"/>
  <c r="Y102" i="3"/>
  <c r="AA102" i="3" s="1"/>
  <c r="Y101" i="3"/>
  <c r="AA101" i="3" s="1"/>
  <c r="Y100" i="3"/>
  <c r="AA100" i="3" s="1"/>
  <c r="Y99" i="3"/>
  <c r="AA99" i="3" s="1"/>
  <c r="Y98" i="3"/>
  <c r="AA98" i="3" s="1"/>
  <c r="Y97" i="3"/>
  <c r="AA97" i="3" s="1"/>
  <c r="Y96" i="3"/>
  <c r="AA96" i="3" s="1"/>
  <c r="Y95" i="3"/>
  <c r="AA95" i="3" s="1"/>
  <c r="Y94" i="3"/>
  <c r="AA94" i="3" s="1"/>
  <c r="Y93" i="3"/>
  <c r="Z93" i="3" s="1"/>
  <c r="Y92" i="3"/>
  <c r="Y91" i="3"/>
  <c r="Z91" i="3" s="1"/>
  <c r="Y90" i="3"/>
  <c r="Z90" i="3" s="1"/>
  <c r="Y89" i="3"/>
  <c r="AA89" i="3" s="1"/>
  <c r="Y88" i="3"/>
  <c r="Y87" i="3"/>
  <c r="AA87" i="3" s="1"/>
  <c r="Y86" i="3"/>
  <c r="AA86" i="3" s="1"/>
  <c r="Y85" i="3"/>
  <c r="AA85" i="3" s="1"/>
  <c r="Y84" i="3"/>
  <c r="AA84" i="3" s="1"/>
  <c r="Y83" i="3"/>
  <c r="Z83" i="3" s="1"/>
  <c r="Y82" i="3"/>
  <c r="Y81" i="3"/>
  <c r="Z81" i="3" s="1"/>
  <c r="Y80" i="3"/>
  <c r="AA80" i="3" s="1"/>
  <c r="Y79" i="3"/>
  <c r="AA79" i="3" s="1"/>
  <c r="Y78" i="3"/>
  <c r="AA78" i="3" s="1"/>
  <c r="Y77" i="3"/>
  <c r="Z77" i="3" s="1"/>
  <c r="Y76" i="3"/>
  <c r="AA76" i="3" s="1"/>
  <c r="Y75" i="3"/>
  <c r="AA75" i="3" s="1"/>
  <c r="Y74" i="3"/>
  <c r="Z74" i="3" s="1"/>
  <c r="Y73" i="3"/>
  <c r="AA73" i="3" s="1"/>
  <c r="Y72" i="3"/>
  <c r="Y71" i="3"/>
  <c r="Z71" i="3" s="1"/>
  <c r="Y70" i="3"/>
  <c r="AA70" i="3" s="1"/>
  <c r="Y69" i="3"/>
  <c r="Z69" i="3" s="1"/>
  <c r="Y68" i="3"/>
  <c r="AA68" i="3" s="1"/>
  <c r="Y67" i="3"/>
  <c r="AA67" i="3" s="1"/>
  <c r="Y66" i="3"/>
  <c r="AA66" i="3" s="1"/>
  <c r="Y65" i="3"/>
  <c r="Z65" i="3" s="1"/>
  <c r="Y64" i="3"/>
  <c r="AA64" i="3" s="1"/>
  <c r="Y63" i="3"/>
  <c r="Z63" i="3" s="1"/>
  <c r="Y62" i="3"/>
  <c r="Z62" i="3" s="1"/>
  <c r="Y61" i="3"/>
  <c r="AA61" i="3" s="1"/>
  <c r="Y60" i="3"/>
  <c r="AA60" i="3" s="1"/>
  <c r="Y59" i="3"/>
  <c r="AA59" i="3" s="1"/>
  <c r="Y58" i="3"/>
  <c r="Y57" i="3"/>
  <c r="AA57" i="3" s="1"/>
  <c r="Y56" i="3"/>
  <c r="AA56" i="3" s="1"/>
  <c r="Y55" i="3"/>
  <c r="AA55" i="3" s="1"/>
  <c r="Y54" i="3"/>
  <c r="Z54" i="3" s="1"/>
  <c r="Y53" i="3"/>
  <c r="Y52" i="3"/>
  <c r="AA52" i="3" s="1"/>
  <c r="Y51" i="3"/>
  <c r="AA51" i="3" s="1"/>
  <c r="Y50" i="3"/>
  <c r="AA50" i="3" s="1"/>
  <c r="Y49" i="3"/>
  <c r="AA49" i="3" s="1"/>
  <c r="Y48" i="3"/>
  <c r="Y47" i="3"/>
  <c r="Z47" i="3" s="1"/>
  <c r="Y46" i="3"/>
  <c r="Z46" i="3" s="1"/>
  <c r="Y45" i="3"/>
  <c r="AA45" i="3" s="1"/>
  <c r="Y44" i="3"/>
  <c r="Y43" i="3"/>
  <c r="Z43" i="3" s="1"/>
  <c r="Y42" i="3"/>
  <c r="AA42" i="3" s="1"/>
  <c r="Y41" i="3"/>
  <c r="AA41" i="3" s="1"/>
  <c r="Y40" i="3"/>
  <c r="AA40" i="3" s="1"/>
  <c r="Y39" i="3"/>
  <c r="Z39" i="3" s="1"/>
  <c r="Y38" i="3"/>
  <c r="AA38" i="3" s="1"/>
  <c r="Y37" i="3"/>
  <c r="Y36" i="3"/>
  <c r="AA36" i="3" s="1"/>
  <c r="Y35" i="3"/>
  <c r="AA35" i="3" s="1"/>
  <c r="Y34" i="3"/>
  <c r="Z34" i="3" s="1"/>
  <c r="Y33" i="3"/>
  <c r="Y32" i="3"/>
  <c r="Y31" i="3"/>
  <c r="Y30" i="3"/>
  <c r="AA30" i="3" s="1"/>
  <c r="Y29" i="3"/>
  <c r="AA29" i="3" s="1"/>
  <c r="Y28" i="3"/>
  <c r="AA28" i="3" s="1"/>
  <c r="Y27" i="3"/>
  <c r="AA27" i="3" s="1"/>
  <c r="Y26" i="3"/>
  <c r="Z26" i="3" s="1"/>
  <c r="Y25" i="3"/>
  <c r="Y24" i="3"/>
  <c r="AA24" i="3" s="1"/>
  <c r="Y23" i="3"/>
  <c r="AA23" i="3" s="1"/>
  <c r="Y22" i="3"/>
  <c r="Z22" i="3" s="1"/>
  <c r="Y21" i="3"/>
  <c r="AA21" i="3" s="1"/>
  <c r="Y20" i="3"/>
  <c r="Z20" i="3" s="1"/>
  <c r="Y19" i="3"/>
  <c r="Z19" i="3" s="1"/>
  <c r="Y18" i="3"/>
  <c r="AA18" i="3" s="1"/>
  <c r="Y17" i="3"/>
  <c r="Y16" i="3"/>
  <c r="Z16" i="3" s="1"/>
  <c r="Y15" i="3"/>
  <c r="AA15" i="3" s="1"/>
  <c r="Y14" i="3"/>
  <c r="AA14" i="3" s="1"/>
  <c r="Y13" i="3"/>
  <c r="Y12" i="3"/>
  <c r="AA12" i="3" s="1"/>
  <c r="Y11" i="3"/>
  <c r="AA11" i="3" s="1"/>
  <c r="Y10" i="3"/>
  <c r="AA10" i="3" s="1"/>
  <c r="Y9" i="3"/>
  <c r="AA9" i="3" s="1"/>
  <c r="Y8" i="3"/>
  <c r="AA8" i="3" s="1"/>
  <c r="Y7" i="3"/>
  <c r="AA7" i="3" s="1"/>
  <c r="Y6" i="3"/>
  <c r="AA6" i="3" s="1"/>
  <c r="Y5" i="3"/>
  <c r="Z5" i="3" s="1"/>
  <c r="Y4" i="3"/>
  <c r="Z4" i="3" s="1"/>
  <c r="U1294" i="3"/>
  <c r="W1294" i="3" s="1"/>
  <c r="U1293" i="3"/>
  <c r="V1293" i="3" s="1"/>
  <c r="U1292" i="3"/>
  <c r="V1292" i="3" s="1"/>
  <c r="U1291" i="3"/>
  <c r="W1291" i="3" s="1"/>
  <c r="U1290" i="3"/>
  <c r="V1290" i="3" s="1"/>
  <c r="U1289" i="3"/>
  <c r="W1289" i="3" s="1"/>
  <c r="U1288" i="3"/>
  <c r="U1287" i="3"/>
  <c r="W1287" i="3" s="1"/>
  <c r="U1286" i="3"/>
  <c r="V1286" i="3" s="1"/>
  <c r="U1285" i="3"/>
  <c r="U1284" i="3"/>
  <c r="V1284" i="3" s="1"/>
  <c r="U1283" i="3"/>
  <c r="U1282" i="3"/>
  <c r="W1282" i="3" s="1"/>
  <c r="U1281" i="3"/>
  <c r="U1280" i="3"/>
  <c r="W1280" i="3" s="1"/>
  <c r="U1279" i="3"/>
  <c r="U1278" i="3"/>
  <c r="U1277" i="3"/>
  <c r="V1277" i="3" s="1"/>
  <c r="U1276" i="3"/>
  <c r="W1276" i="3" s="1"/>
  <c r="U1275" i="3"/>
  <c r="W1275" i="3" s="1"/>
  <c r="U1274" i="3"/>
  <c r="W1274" i="3" s="1"/>
  <c r="U1273" i="3"/>
  <c r="W1273" i="3" s="1"/>
  <c r="U1272" i="3"/>
  <c r="W1272" i="3" s="1"/>
  <c r="U1271" i="3"/>
  <c r="U1270" i="3"/>
  <c r="W1270" i="3" s="1"/>
  <c r="U1269" i="3"/>
  <c r="W1269" i="3" s="1"/>
  <c r="U1268" i="3"/>
  <c r="W1268" i="3" s="1"/>
  <c r="U1267" i="3"/>
  <c r="V1267" i="3" s="1"/>
  <c r="U1266" i="3"/>
  <c r="W1266" i="3" s="1"/>
  <c r="U1265" i="3"/>
  <c r="W1265" i="3" s="1"/>
  <c r="U1264" i="3"/>
  <c r="W1264" i="3" s="1"/>
  <c r="U1263" i="3"/>
  <c r="W1263" i="3" s="1"/>
  <c r="U1262" i="3"/>
  <c r="V1262" i="3" s="1"/>
  <c r="U1261" i="3"/>
  <c r="W1261" i="3" s="1"/>
  <c r="U1260" i="3"/>
  <c r="V1260" i="3" s="1"/>
  <c r="U1259" i="3"/>
  <c r="U1258" i="3"/>
  <c r="V1258" i="3" s="1"/>
  <c r="U1257" i="3"/>
  <c r="W1257" i="3" s="1"/>
  <c r="U1256" i="3"/>
  <c r="V1256" i="3" s="1"/>
  <c r="U1255" i="3"/>
  <c r="V1255" i="3" s="1"/>
  <c r="U1254" i="3"/>
  <c r="U1253" i="3"/>
  <c r="U1252" i="3"/>
  <c r="W1252" i="3" s="1"/>
  <c r="U1251" i="3"/>
  <c r="V1251" i="3" s="1"/>
  <c r="U1250" i="3"/>
  <c r="U1249" i="3"/>
  <c r="W1249" i="3" s="1"/>
  <c r="U1248" i="3"/>
  <c r="W1248" i="3" s="1"/>
  <c r="U1247" i="3"/>
  <c r="U1246" i="3"/>
  <c r="W1246" i="3" s="1"/>
  <c r="U1245" i="3"/>
  <c r="W1245" i="3" s="1"/>
  <c r="U1244" i="3"/>
  <c r="W1244" i="3" s="1"/>
  <c r="U1243" i="3"/>
  <c r="W1243" i="3" s="1"/>
  <c r="U1242" i="3"/>
  <c r="W1242" i="3" s="1"/>
  <c r="U1241" i="3"/>
  <c r="W1241" i="3" s="1"/>
  <c r="U1240" i="3"/>
  <c r="W1240" i="3" s="1"/>
  <c r="U1239" i="3"/>
  <c r="W1239" i="3" s="1"/>
  <c r="U1238" i="3"/>
  <c r="W1238" i="3" s="1"/>
  <c r="U1237" i="3"/>
  <c r="U1236" i="3"/>
  <c r="U1235" i="3"/>
  <c r="V1235" i="3" s="1"/>
  <c r="U1234" i="3"/>
  <c r="W1234" i="3" s="1"/>
  <c r="U1233" i="3"/>
  <c r="V1233" i="3" s="1"/>
  <c r="U1232" i="3"/>
  <c r="W1232" i="3" s="1"/>
  <c r="U1231" i="3"/>
  <c r="U1230" i="3"/>
  <c r="W1230" i="3" s="1"/>
  <c r="U1229" i="3"/>
  <c r="W1229" i="3" s="1"/>
  <c r="U1228" i="3"/>
  <c r="U1227" i="3"/>
  <c r="V1227" i="3" s="1"/>
  <c r="U1226" i="3"/>
  <c r="V1226" i="3" s="1"/>
  <c r="U1225" i="3"/>
  <c r="W1225" i="3" s="1"/>
  <c r="U1224" i="3"/>
  <c r="W1224" i="3" s="1"/>
  <c r="U1223" i="3"/>
  <c r="U1222" i="3"/>
  <c r="U1221" i="3"/>
  <c r="U1220" i="3"/>
  <c r="W1220" i="3" s="1"/>
  <c r="U1219" i="3"/>
  <c r="W1219" i="3" s="1"/>
  <c r="U1218" i="3"/>
  <c r="W1218" i="3" s="1"/>
  <c r="U1217" i="3"/>
  <c r="U1216" i="3"/>
  <c r="U1215" i="3"/>
  <c r="W1215" i="3" s="1"/>
  <c r="U1214" i="3"/>
  <c r="W1214" i="3" s="1"/>
  <c r="U1213" i="3"/>
  <c r="V1213" i="3" s="1"/>
  <c r="U1212" i="3"/>
  <c r="W1212" i="3" s="1"/>
  <c r="U1211" i="3"/>
  <c r="W1211" i="3" s="1"/>
  <c r="U1210" i="3"/>
  <c r="W1210" i="3" s="1"/>
  <c r="U1209" i="3"/>
  <c r="V1209" i="3" s="1"/>
  <c r="U1208" i="3"/>
  <c r="W1208" i="3" s="1"/>
  <c r="U1207" i="3"/>
  <c r="V1207" i="3" s="1"/>
  <c r="U1206" i="3"/>
  <c r="V1206" i="3" s="1"/>
  <c r="U1205" i="3"/>
  <c r="W1205" i="3" s="1"/>
  <c r="U1204" i="3"/>
  <c r="V1204" i="3" s="1"/>
  <c r="U1203" i="3"/>
  <c r="W1203" i="3" s="1"/>
  <c r="U1202" i="3"/>
  <c r="V1202" i="3" s="1"/>
  <c r="U1201" i="3"/>
  <c r="V1201" i="3" s="1"/>
  <c r="U1200" i="3"/>
  <c r="V1200" i="3" s="1"/>
  <c r="U1199" i="3"/>
  <c r="U1198" i="3"/>
  <c r="U1197" i="3"/>
  <c r="V1197" i="3" s="1"/>
  <c r="U1196" i="3"/>
  <c r="W1196" i="3" s="1"/>
  <c r="U1195" i="3"/>
  <c r="V1195" i="3" s="1"/>
  <c r="U1194" i="3"/>
  <c r="W1194" i="3" s="1"/>
  <c r="U1193" i="3"/>
  <c r="W1193" i="3" s="1"/>
  <c r="U1192" i="3"/>
  <c r="U1191" i="3"/>
  <c r="U1190" i="3"/>
  <c r="W1190" i="3" s="1"/>
  <c r="U1189" i="3"/>
  <c r="W1189" i="3" s="1"/>
  <c r="U1188" i="3"/>
  <c r="W1188" i="3" s="1"/>
  <c r="U1187" i="3"/>
  <c r="V1187" i="3" s="1"/>
  <c r="U1186" i="3"/>
  <c r="W1186" i="3" s="1"/>
  <c r="U1185" i="3"/>
  <c r="U1184" i="3"/>
  <c r="W1184" i="3" s="1"/>
  <c r="U1183" i="3"/>
  <c r="V1183" i="3" s="1"/>
  <c r="U1182" i="3"/>
  <c r="U1181" i="3"/>
  <c r="U1180" i="3"/>
  <c r="W1180" i="3" s="1"/>
  <c r="U1179" i="3"/>
  <c r="W1179" i="3" s="1"/>
  <c r="U1178" i="3"/>
  <c r="V1178" i="3" s="1"/>
  <c r="U1177" i="3"/>
  <c r="W1177" i="3" s="1"/>
  <c r="U1176" i="3"/>
  <c r="V1176" i="3" s="1"/>
  <c r="U1175" i="3"/>
  <c r="U1174" i="3"/>
  <c r="V1174" i="3" s="1"/>
  <c r="U1173" i="3"/>
  <c r="W1173" i="3" s="1"/>
  <c r="U1172" i="3"/>
  <c r="V1172" i="3" s="1"/>
  <c r="U1171" i="3"/>
  <c r="V1171" i="3" s="1"/>
  <c r="U1170" i="3"/>
  <c r="W1170" i="3" s="1"/>
  <c r="U1169" i="3"/>
  <c r="V1169" i="3" s="1"/>
  <c r="U1168" i="3"/>
  <c r="W1168" i="3" s="1"/>
  <c r="U1167" i="3"/>
  <c r="V1167" i="3" s="1"/>
  <c r="U1166" i="3"/>
  <c r="V1166" i="3" s="1"/>
  <c r="U1165" i="3"/>
  <c r="V1165" i="3" s="1"/>
  <c r="U1164" i="3"/>
  <c r="W1164" i="3" s="1"/>
  <c r="U1163" i="3"/>
  <c r="V1163" i="3" s="1"/>
  <c r="U1162" i="3"/>
  <c r="U1161" i="3"/>
  <c r="W1161" i="3" s="1"/>
  <c r="U1160" i="3"/>
  <c r="W1160" i="3" s="1"/>
  <c r="U1159" i="3"/>
  <c r="U1158" i="3"/>
  <c r="U1157" i="3"/>
  <c r="W1157" i="3" s="1"/>
  <c r="U1156" i="3"/>
  <c r="W1156" i="3" s="1"/>
  <c r="U1155" i="3"/>
  <c r="W1155" i="3" s="1"/>
  <c r="U1154" i="3"/>
  <c r="U1153" i="3"/>
  <c r="W1153" i="3" s="1"/>
  <c r="U1152" i="3"/>
  <c r="V1152" i="3" s="1"/>
  <c r="U1151" i="3"/>
  <c r="W1151" i="3" s="1"/>
  <c r="U1150" i="3"/>
  <c r="W1150" i="3" s="1"/>
  <c r="U1149" i="3"/>
  <c r="W1149" i="3" s="1"/>
  <c r="U1148" i="3"/>
  <c r="U1147" i="3"/>
  <c r="U1146" i="3"/>
  <c r="V1146" i="3" s="1"/>
  <c r="U1145" i="3"/>
  <c r="V1145" i="3" s="1"/>
  <c r="U1144" i="3"/>
  <c r="W1144" i="3" s="1"/>
  <c r="U1143" i="3"/>
  <c r="W1143" i="3" s="1"/>
  <c r="U1142" i="3"/>
  <c r="V1142" i="3" s="1"/>
  <c r="U1141" i="3"/>
  <c r="W1141" i="3" s="1"/>
  <c r="U1140" i="3"/>
  <c r="W1140" i="3" s="1"/>
  <c r="U1139" i="3"/>
  <c r="W1139" i="3" s="1"/>
  <c r="U1138" i="3"/>
  <c r="V1138" i="3" s="1"/>
  <c r="U1137" i="3"/>
  <c r="U1136" i="3"/>
  <c r="W1136" i="3" s="1"/>
  <c r="U1135" i="3"/>
  <c r="W1135" i="3" s="1"/>
  <c r="U1134" i="3"/>
  <c r="W1134" i="3" s="1"/>
  <c r="U1133" i="3"/>
  <c r="W1133" i="3" s="1"/>
  <c r="U1132" i="3"/>
  <c r="W1132" i="3" s="1"/>
  <c r="U1131" i="3"/>
  <c r="V1131" i="3" s="1"/>
  <c r="U1130" i="3"/>
  <c r="V1130" i="3" s="1"/>
  <c r="U1129" i="3"/>
  <c r="W1129" i="3" s="1"/>
  <c r="U1128" i="3"/>
  <c r="W1128" i="3" s="1"/>
  <c r="U1127" i="3"/>
  <c r="W1127" i="3" s="1"/>
  <c r="U1126" i="3"/>
  <c r="W1126" i="3" s="1"/>
  <c r="U1125" i="3"/>
  <c r="W1125" i="3" s="1"/>
  <c r="U1124" i="3"/>
  <c r="V1124" i="3" s="1"/>
  <c r="U1123" i="3"/>
  <c r="W1123" i="3" s="1"/>
  <c r="U1122" i="3"/>
  <c r="V1122" i="3" s="1"/>
  <c r="U1121" i="3"/>
  <c r="U1120" i="3"/>
  <c r="U1119" i="3"/>
  <c r="W1119" i="3" s="1"/>
  <c r="U1118" i="3"/>
  <c r="W1118" i="3" s="1"/>
  <c r="U1117" i="3"/>
  <c r="W1117" i="3" s="1"/>
  <c r="U1116" i="3"/>
  <c r="V1116" i="3" s="1"/>
  <c r="U1115" i="3"/>
  <c r="U1114" i="3"/>
  <c r="V1114" i="3" s="1"/>
  <c r="U1113" i="3"/>
  <c r="U1112" i="3"/>
  <c r="U1111" i="3"/>
  <c r="W1111" i="3" s="1"/>
  <c r="U1110" i="3"/>
  <c r="U1109" i="3"/>
  <c r="U1108" i="3"/>
  <c r="W1108" i="3" s="1"/>
  <c r="U1107" i="3"/>
  <c r="V1107" i="3" s="1"/>
  <c r="U1106" i="3"/>
  <c r="U1105" i="3"/>
  <c r="U1104" i="3"/>
  <c r="U1103" i="3"/>
  <c r="W1103" i="3" s="1"/>
  <c r="U1102" i="3"/>
  <c r="W1102" i="3" s="1"/>
  <c r="U1101" i="3"/>
  <c r="U1100" i="3"/>
  <c r="W1100" i="3" s="1"/>
  <c r="U1099" i="3"/>
  <c r="V1099" i="3" s="1"/>
  <c r="U1098" i="3"/>
  <c r="W1098" i="3" s="1"/>
  <c r="U1097" i="3"/>
  <c r="V1097" i="3" s="1"/>
  <c r="U1096" i="3"/>
  <c r="W1096" i="3" s="1"/>
  <c r="U1095" i="3"/>
  <c r="W1095" i="3" s="1"/>
  <c r="U1094" i="3"/>
  <c r="V1094" i="3" s="1"/>
  <c r="U1093" i="3"/>
  <c r="V1093" i="3" s="1"/>
  <c r="U1092" i="3"/>
  <c r="W1092" i="3" s="1"/>
  <c r="U1091" i="3"/>
  <c r="W1091" i="3" s="1"/>
  <c r="U1090" i="3"/>
  <c r="V1090" i="3" s="1"/>
  <c r="U1089" i="3"/>
  <c r="W1089" i="3" s="1"/>
  <c r="U1088" i="3"/>
  <c r="W1088" i="3" s="1"/>
  <c r="U1087" i="3"/>
  <c r="W1087" i="3" s="1"/>
  <c r="U1086" i="3"/>
  <c r="U1085" i="3"/>
  <c r="W1085" i="3" s="1"/>
  <c r="U1084" i="3"/>
  <c r="W1084" i="3" s="1"/>
  <c r="U1083" i="3"/>
  <c r="V1083" i="3" s="1"/>
  <c r="U1082" i="3"/>
  <c r="U1081" i="3"/>
  <c r="V1081" i="3" s="1"/>
  <c r="U1080" i="3"/>
  <c r="V1080" i="3" s="1"/>
  <c r="U1079" i="3"/>
  <c r="W1079" i="3" s="1"/>
  <c r="U1078" i="3"/>
  <c r="V1078" i="3" s="1"/>
  <c r="U1077" i="3"/>
  <c r="W1077" i="3" s="1"/>
  <c r="U1076" i="3"/>
  <c r="U1075" i="3"/>
  <c r="V1075" i="3" s="1"/>
  <c r="U1074" i="3"/>
  <c r="W1074" i="3" s="1"/>
  <c r="U1073" i="3"/>
  <c r="W1073" i="3" s="1"/>
  <c r="U1072" i="3"/>
  <c r="W1072" i="3" s="1"/>
  <c r="U1071" i="3"/>
  <c r="W1071" i="3" s="1"/>
  <c r="U1070" i="3"/>
  <c r="W1070" i="3" s="1"/>
  <c r="U1069" i="3"/>
  <c r="W1069" i="3" s="1"/>
  <c r="U1068" i="3"/>
  <c r="U1067" i="3"/>
  <c r="V1067" i="3" s="1"/>
  <c r="U1066" i="3"/>
  <c r="U1065" i="3"/>
  <c r="W1065" i="3" s="1"/>
  <c r="U1064" i="3"/>
  <c r="W1064" i="3" s="1"/>
  <c r="U1063" i="3"/>
  <c r="W1063" i="3" s="1"/>
  <c r="U1062" i="3"/>
  <c r="U1061" i="3"/>
  <c r="W1061" i="3" s="1"/>
  <c r="U1060" i="3"/>
  <c r="W1060" i="3" s="1"/>
  <c r="U1059" i="3"/>
  <c r="V1059" i="3" s="1"/>
  <c r="U1058" i="3"/>
  <c r="W1058" i="3" s="1"/>
  <c r="U1057" i="3"/>
  <c r="W1057" i="3" s="1"/>
  <c r="U1056" i="3"/>
  <c r="W1056" i="3" s="1"/>
  <c r="U1055" i="3"/>
  <c r="W1055" i="3" s="1"/>
  <c r="U1054" i="3"/>
  <c r="U1053" i="3"/>
  <c r="W1053" i="3" s="1"/>
  <c r="U1052" i="3"/>
  <c r="U1051" i="3"/>
  <c r="U1050" i="3"/>
  <c r="V1050" i="3" s="1"/>
  <c r="U1049" i="3"/>
  <c r="W1049" i="3" s="1"/>
  <c r="U1048" i="3"/>
  <c r="U1047" i="3"/>
  <c r="V1047" i="3" s="1"/>
  <c r="U1046" i="3"/>
  <c r="U1045" i="3"/>
  <c r="U1044" i="3"/>
  <c r="V1044" i="3" s="1"/>
  <c r="U1043" i="3"/>
  <c r="W1043" i="3" s="1"/>
  <c r="U1042" i="3"/>
  <c r="W1042" i="3" s="1"/>
  <c r="U1041" i="3"/>
  <c r="W1041" i="3" s="1"/>
  <c r="U1040" i="3"/>
  <c r="W1040" i="3" s="1"/>
  <c r="U1039" i="3"/>
  <c r="V1039" i="3" s="1"/>
  <c r="U1038" i="3"/>
  <c r="W1038" i="3" s="1"/>
  <c r="U1037" i="3"/>
  <c r="W1037" i="3" s="1"/>
  <c r="U1036" i="3"/>
  <c r="W1036" i="3" s="1"/>
  <c r="U1035" i="3"/>
  <c r="U1034" i="3"/>
  <c r="W1034" i="3" s="1"/>
  <c r="U1033" i="3"/>
  <c r="U1032" i="3"/>
  <c r="W1032" i="3" s="1"/>
  <c r="U1031" i="3"/>
  <c r="W1031" i="3" s="1"/>
  <c r="U1030" i="3"/>
  <c r="U1029" i="3"/>
  <c r="W1029" i="3" s="1"/>
  <c r="U1028" i="3"/>
  <c r="W1028" i="3" s="1"/>
  <c r="U1027" i="3"/>
  <c r="U1026" i="3"/>
  <c r="V1026" i="3" s="1"/>
  <c r="U1025" i="3"/>
  <c r="V1025" i="3" s="1"/>
  <c r="U1024" i="3"/>
  <c r="W1024" i="3" s="1"/>
  <c r="U1023" i="3"/>
  <c r="W1023" i="3" s="1"/>
  <c r="U1022" i="3"/>
  <c r="V1022" i="3" s="1"/>
  <c r="U1021" i="3"/>
  <c r="W1021" i="3" s="1"/>
  <c r="U1020" i="3"/>
  <c r="W1020" i="3" s="1"/>
  <c r="U1019" i="3"/>
  <c r="W1019" i="3" s="1"/>
  <c r="U1018" i="3"/>
  <c r="W1018" i="3" s="1"/>
  <c r="U1017" i="3"/>
  <c r="W1017" i="3" s="1"/>
  <c r="U1016" i="3"/>
  <c r="V1016" i="3" s="1"/>
  <c r="U1015" i="3"/>
  <c r="W1015" i="3" s="1"/>
  <c r="U1014" i="3"/>
  <c r="W1014" i="3" s="1"/>
  <c r="U1013" i="3"/>
  <c r="V1013" i="3" s="1"/>
  <c r="U1012" i="3"/>
  <c r="W1012" i="3" s="1"/>
  <c r="U1011" i="3"/>
  <c r="V1011" i="3" s="1"/>
  <c r="U1010" i="3"/>
  <c r="W1010" i="3" s="1"/>
  <c r="U1009" i="3"/>
  <c r="W1009" i="3" s="1"/>
  <c r="U1008" i="3"/>
  <c r="V1008" i="3" s="1"/>
  <c r="U1007" i="3"/>
  <c r="W1007" i="3" s="1"/>
  <c r="U1006" i="3"/>
  <c r="U1005" i="3"/>
  <c r="W1005" i="3" s="1"/>
  <c r="U1004" i="3"/>
  <c r="V1004" i="3" s="1"/>
  <c r="U1003" i="3"/>
  <c r="W1003" i="3" s="1"/>
  <c r="U1002" i="3"/>
  <c r="V1002" i="3" s="1"/>
  <c r="U1001" i="3"/>
  <c r="W1001" i="3" s="1"/>
  <c r="U1000" i="3"/>
  <c r="W1000" i="3" s="1"/>
  <c r="U999" i="3"/>
  <c r="V999" i="3" s="1"/>
  <c r="U998" i="3"/>
  <c r="W998" i="3" s="1"/>
  <c r="U997" i="3"/>
  <c r="W997" i="3" s="1"/>
  <c r="U996" i="3"/>
  <c r="U995" i="3"/>
  <c r="W995" i="3" s="1"/>
  <c r="U994" i="3"/>
  <c r="W994" i="3" s="1"/>
  <c r="U993" i="3"/>
  <c r="W993" i="3" s="1"/>
  <c r="U992" i="3"/>
  <c r="V992" i="3" s="1"/>
  <c r="U991" i="3"/>
  <c r="V991" i="3" s="1"/>
  <c r="U990" i="3"/>
  <c r="U989" i="3"/>
  <c r="U988" i="3"/>
  <c r="W988" i="3" s="1"/>
  <c r="U987" i="3"/>
  <c r="W987" i="3" s="1"/>
  <c r="U986" i="3"/>
  <c r="U985" i="3"/>
  <c r="W985" i="3" s="1"/>
  <c r="U984" i="3"/>
  <c r="U983" i="3"/>
  <c r="V983" i="3" s="1"/>
  <c r="U982" i="3"/>
  <c r="V982" i="3" s="1"/>
  <c r="U981" i="3"/>
  <c r="U980" i="3"/>
  <c r="V980" i="3" s="1"/>
  <c r="U979" i="3"/>
  <c r="U978" i="3"/>
  <c r="U977" i="3"/>
  <c r="V977" i="3" s="1"/>
  <c r="U976" i="3"/>
  <c r="W976" i="3" s="1"/>
  <c r="U975" i="3"/>
  <c r="W975" i="3" s="1"/>
  <c r="U974" i="3"/>
  <c r="W974" i="3" s="1"/>
  <c r="U973" i="3"/>
  <c r="W973" i="3" s="1"/>
  <c r="U972" i="3"/>
  <c r="W972" i="3" s="1"/>
  <c r="U971" i="3"/>
  <c r="W971" i="3" s="1"/>
  <c r="U970" i="3"/>
  <c r="V970" i="3" s="1"/>
  <c r="U969" i="3"/>
  <c r="W969" i="3" s="1"/>
  <c r="U968" i="3"/>
  <c r="V968" i="3" s="1"/>
  <c r="U967" i="3"/>
  <c r="W967" i="3" s="1"/>
  <c r="U966" i="3"/>
  <c r="W966" i="3" s="1"/>
  <c r="U965" i="3"/>
  <c r="W965" i="3" s="1"/>
  <c r="U964" i="3"/>
  <c r="U963" i="3"/>
  <c r="W963" i="3" s="1"/>
  <c r="U962" i="3"/>
  <c r="W962" i="3" s="1"/>
  <c r="U961" i="3"/>
  <c r="W961" i="3" s="1"/>
  <c r="U960" i="3"/>
  <c r="V960" i="3" s="1"/>
  <c r="U959" i="3"/>
  <c r="W959" i="3" s="1"/>
  <c r="U958" i="3"/>
  <c r="U957" i="3"/>
  <c r="V957" i="3" s="1"/>
  <c r="U956" i="3"/>
  <c r="U955" i="3"/>
  <c r="W955" i="3" s="1"/>
  <c r="U954" i="3"/>
  <c r="V954" i="3" s="1"/>
  <c r="U953" i="3"/>
  <c r="U952" i="3"/>
  <c r="U951" i="3"/>
  <c r="U950" i="3"/>
  <c r="W950" i="3" s="1"/>
  <c r="U949" i="3"/>
  <c r="W949" i="3" s="1"/>
  <c r="U948" i="3"/>
  <c r="W948" i="3" s="1"/>
  <c r="U947" i="3"/>
  <c r="W947" i="3" s="1"/>
  <c r="U946" i="3"/>
  <c r="V946" i="3" s="1"/>
  <c r="U945" i="3"/>
  <c r="W945" i="3" s="1"/>
  <c r="U944" i="3"/>
  <c r="W944" i="3" s="1"/>
  <c r="U943" i="3"/>
  <c r="U942" i="3"/>
  <c r="V942" i="3" s="1"/>
  <c r="U941" i="3"/>
  <c r="U940" i="3"/>
  <c r="V940" i="3" s="1"/>
  <c r="U939" i="3"/>
  <c r="V939" i="3" s="1"/>
  <c r="U938" i="3"/>
  <c r="V938" i="3" s="1"/>
  <c r="U937" i="3"/>
  <c r="W937" i="3" s="1"/>
  <c r="U936" i="3"/>
  <c r="U935" i="3"/>
  <c r="U934" i="3"/>
  <c r="W934" i="3" s="1"/>
  <c r="U933" i="3"/>
  <c r="W933" i="3" s="1"/>
  <c r="U932" i="3"/>
  <c r="W932" i="3" s="1"/>
  <c r="U931" i="3"/>
  <c r="V931" i="3" s="1"/>
  <c r="U930" i="3"/>
  <c r="U929" i="3"/>
  <c r="U928" i="3"/>
  <c r="W928" i="3" s="1"/>
  <c r="U927" i="3"/>
  <c r="V927" i="3" s="1"/>
  <c r="U926" i="3"/>
  <c r="W926" i="3" s="1"/>
  <c r="U925" i="3"/>
  <c r="V925" i="3" s="1"/>
  <c r="U924" i="3"/>
  <c r="V924" i="3" s="1"/>
  <c r="U923" i="3"/>
  <c r="W923" i="3" s="1"/>
  <c r="U922" i="3"/>
  <c r="W922" i="3" s="1"/>
  <c r="U921" i="3"/>
  <c r="U920" i="3"/>
  <c r="W920" i="3" s="1"/>
  <c r="U919" i="3"/>
  <c r="W919" i="3" s="1"/>
  <c r="U918" i="3"/>
  <c r="V918" i="3" s="1"/>
  <c r="U917" i="3"/>
  <c r="U916" i="3"/>
  <c r="W916" i="3" s="1"/>
  <c r="U915" i="3"/>
  <c r="U914" i="3"/>
  <c r="W914" i="3" s="1"/>
  <c r="U913" i="3"/>
  <c r="W913" i="3" s="1"/>
  <c r="U912" i="3"/>
  <c r="U911" i="3"/>
  <c r="W911" i="3" s="1"/>
  <c r="U910" i="3"/>
  <c r="U909" i="3"/>
  <c r="U908" i="3"/>
  <c r="U907" i="3"/>
  <c r="W907" i="3" s="1"/>
  <c r="U906" i="3"/>
  <c r="W906" i="3" s="1"/>
  <c r="U905" i="3"/>
  <c r="W905" i="3" s="1"/>
  <c r="U904" i="3"/>
  <c r="W904" i="3" s="1"/>
  <c r="U903" i="3"/>
  <c r="W903" i="3" s="1"/>
  <c r="U902" i="3"/>
  <c r="U901" i="3"/>
  <c r="U900" i="3"/>
  <c r="W900" i="3" s="1"/>
  <c r="U899" i="3"/>
  <c r="W899" i="3" s="1"/>
  <c r="U898" i="3"/>
  <c r="W898" i="3" s="1"/>
  <c r="U897" i="3"/>
  <c r="V897" i="3" s="1"/>
  <c r="U896" i="3"/>
  <c r="W896" i="3" s="1"/>
  <c r="U895" i="3"/>
  <c r="W895" i="3" s="1"/>
  <c r="U894" i="3"/>
  <c r="U893" i="3"/>
  <c r="U892" i="3"/>
  <c r="W892" i="3" s="1"/>
  <c r="U891" i="3"/>
  <c r="V891" i="3" s="1"/>
  <c r="U890" i="3"/>
  <c r="V890" i="3" s="1"/>
  <c r="U889" i="3"/>
  <c r="V889" i="3" s="1"/>
  <c r="U888" i="3"/>
  <c r="W888" i="3" s="1"/>
  <c r="U887" i="3"/>
  <c r="V887" i="3" s="1"/>
  <c r="U886" i="3"/>
  <c r="U885" i="3"/>
  <c r="W885" i="3" s="1"/>
  <c r="U884" i="3"/>
  <c r="V884" i="3" s="1"/>
  <c r="U883" i="3"/>
  <c r="U882" i="3"/>
  <c r="W882" i="3" s="1"/>
  <c r="U881" i="3"/>
  <c r="W881" i="3" s="1"/>
  <c r="U880" i="3"/>
  <c r="W880" i="3" s="1"/>
  <c r="U879" i="3"/>
  <c r="V879" i="3" s="1"/>
  <c r="U878" i="3"/>
  <c r="W878" i="3" s="1"/>
  <c r="U877" i="3"/>
  <c r="U876" i="3"/>
  <c r="U875" i="3"/>
  <c r="W875" i="3" s="1"/>
  <c r="U874" i="3"/>
  <c r="U873" i="3"/>
  <c r="W873" i="3" s="1"/>
  <c r="U872" i="3"/>
  <c r="W872" i="3" s="1"/>
  <c r="U871" i="3"/>
  <c r="W871" i="3" s="1"/>
  <c r="U870" i="3"/>
  <c r="U869" i="3"/>
  <c r="U868" i="3"/>
  <c r="V868" i="3" s="1"/>
  <c r="U867" i="3"/>
  <c r="W867" i="3" s="1"/>
  <c r="U866" i="3"/>
  <c r="U865" i="3"/>
  <c r="W865" i="3" s="1"/>
  <c r="U864" i="3"/>
  <c r="U863" i="3"/>
  <c r="U862" i="3"/>
  <c r="W862" i="3" s="1"/>
  <c r="U861" i="3"/>
  <c r="U860" i="3"/>
  <c r="W860" i="3" s="1"/>
  <c r="U859" i="3"/>
  <c r="W859" i="3" s="1"/>
  <c r="U858" i="3"/>
  <c r="V858" i="3" s="1"/>
  <c r="U857" i="3"/>
  <c r="W857" i="3" s="1"/>
  <c r="U856" i="3"/>
  <c r="W856" i="3" s="1"/>
  <c r="U855" i="3"/>
  <c r="U854" i="3"/>
  <c r="V854" i="3" s="1"/>
  <c r="U853" i="3"/>
  <c r="U852" i="3"/>
  <c r="V852" i="3" s="1"/>
  <c r="U851" i="3"/>
  <c r="W851" i="3" s="1"/>
  <c r="U850" i="3"/>
  <c r="U849" i="3"/>
  <c r="W849" i="3" s="1"/>
  <c r="U848" i="3"/>
  <c r="W848" i="3" s="1"/>
  <c r="U847" i="3"/>
  <c r="W847" i="3" s="1"/>
  <c r="U846" i="3"/>
  <c r="W846" i="3" s="1"/>
  <c r="U845" i="3"/>
  <c r="W845" i="3" s="1"/>
  <c r="U844" i="3"/>
  <c r="W844" i="3" s="1"/>
  <c r="U843" i="3"/>
  <c r="W843" i="3" s="1"/>
  <c r="U842" i="3"/>
  <c r="W842" i="3" s="1"/>
  <c r="U841" i="3"/>
  <c r="W841" i="3" s="1"/>
  <c r="U840" i="3"/>
  <c r="W840" i="3" s="1"/>
  <c r="U839" i="3"/>
  <c r="U838" i="3"/>
  <c r="U837" i="3"/>
  <c r="V837" i="3" s="1"/>
  <c r="U836" i="3"/>
  <c r="W836" i="3" s="1"/>
  <c r="U835" i="3"/>
  <c r="W835" i="3" s="1"/>
  <c r="U834" i="3"/>
  <c r="W834" i="3" s="1"/>
  <c r="U833" i="3"/>
  <c r="U832" i="3"/>
  <c r="W832" i="3" s="1"/>
  <c r="U831" i="3"/>
  <c r="U830" i="3"/>
  <c r="V830" i="3" s="1"/>
  <c r="U829" i="3"/>
  <c r="W829" i="3" s="1"/>
  <c r="U828" i="3"/>
  <c r="V828" i="3" s="1"/>
  <c r="U827" i="3"/>
  <c r="W827" i="3" s="1"/>
  <c r="U826" i="3"/>
  <c r="U825" i="3"/>
  <c r="W825" i="3" s="1"/>
  <c r="U824" i="3"/>
  <c r="U823" i="3"/>
  <c r="W823" i="3" s="1"/>
  <c r="U822" i="3"/>
  <c r="U821" i="3"/>
  <c r="U820" i="3"/>
  <c r="W820" i="3" s="1"/>
  <c r="U819" i="3"/>
  <c r="W819" i="3" s="1"/>
  <c r="U818" i="3"/>
  <c r="W818" i="3" s="1"/>
  <c r="U817" i="3"/>
  <c r="W817" i="3" s="1"/>
  <c r="U816" i="3"/>
  <c r="W816" i="3" s="1"/>
  <c r="U815" i="3"/>
  <c r="V815" i="3" s="1"/>
  <c r="U814" i="3"/>
  <c r="W814" i="3" s="1"/>
  <c r="U813" i="3"/>
  <c r="V813" i="3" s="1"/>
  <c r="U812" i="3"/>
  <c r="U811" i="3"/>
  <c r="U810" i="3"/>
  <c r="U809" i="3"/>
  <c r="U808" i="3"/>
  <c r="V808" i="3" s="1"/>
  <c r="U807" i="3"/>
  <c r="U806" i="3"/>
  <c r="W806" i="3" s="1"/>
  <c r="U805" i="3"/>
  <c r="V805" i="3" s="1"/>
  <c r="U804" i="3"/>
  <c r="U803" i="3"/>
  <c r="V803" i="3" s="1"/>
  <c r="U802" i="3"/>
  <c r="V802" i="3" s="1"/>
  <c r="U801" i="3"/>
  <c r="U800" i="3"/>
  <c r="U799" i="3"/>
  <c r="W799" i="3" s="1"/>
  <c r="U798" i="3"/>
  <c r="V798" i="3" s="1"/>
  <c r="U797" i="3"/>
  <c r="W797" i="3" s="1"/>
  <c r="U796" i="3"/>
  <c r="W796" i="3" s="1"/>
  <c r="U795" i="3"/>
  <c r="W795" i="3" s="1"/>
  <c r="U794" i="3"/>
  <c r="U793" i="3"/>
  <c r="U792" i="3"/>
  <c r="U791" i="3"/>
  <c r="W791" i="3" s="1"/>
  <c r="U790" i="3"/>
  <c r="W790" i="3" s="1"/>
  <c r="U789" i="3"/>
  <c r="V789" i="3" s="1"/>
  <c r="U788" i="3"/>
  <c r="W788" i="3" s="1"/>
  <c r="U787" i="3"/>
  <c r="W787" i="3" s="1"/>
  <c r="U786" i="3"/>
  <c r="U785" i="3"/>
  <c r="W785" i="3" s="1"/>
  <c r="U784" i="3"/>
  <c r="U783" i="3"/>
  <c r="W783" i="3" s="1"/>
  <c r="U782" i="3"/>
  <c r="V782" i="3" s="1"/>
  <c r="U781" i="3"/>
  <c r="W781" i="3" s="1"/>
  <c r="U780" i="3"/>
  <c r="V780" i="3" s="1"/>
  <c r="U779" i="3"/>
  <c r="W779" i="3" s="1"/>
  <c r="U778" i="3"/>
  <c r="W778" i="3" s="1"/>
  <c r="U777" i="3"/>
  <c r="W777" i="3" s="1"/>
  <c r="U776" i="3"/>
  <c r="U775" i="3"/>
  <c r="V775" i="3" s="1"/>
  <c r="U774" i="3"/>
  <c r="U773" i="3"/>
  <c r="W773" i="3" s="1"/>
  <c r="U772" i="3"/>
  <c r="U771" i="3"/>
  <c r="W771" i="3" s="1"/>
  <c r="U770" i="3"/>
  <c r="V770" i="3" s="1"/>
  <c r="U769" i="3"/>
  <c r="W769" i="3" s="1"/>
  <c r="U768" i="3"/>
  <c r="W768" i="3" s="1"/>
  <c r="U767" i="3"/>
  <c r="W767" i="3" s="1"/>
  <c r="U766" i="3"/>
  <c r="W766" i="3" s="1"/>
  <c r="U765" i="3"/>
  <c r="W765" i="3" s="1"/>
  <c r="U764" i="3"/>
  <c r="V764" i="3" s="1"/>
  <c r="U763" i="3"/>
  <c r="U762" i="3"/>
  <c r="W762" i="3" s="1"/>
  <c r="U761" i="3"/>
  <c r="W761" i="3" s="1"/>
  <c r="U760" i="3"/>
  <c r="V760" i="3" s="1"/>
  <c r="U759" i="3"/>
  <c r="U758" i="3"/>
  <c r="W758" i="3" s="1"/>
  <c r="U757" i="3"/>
  <c r="W757" i="3" s="1"/>
  <c r="U756" i="3"/>
  <c r="U755" i="3"/>
  <c r="W755" i="3" s="1"/>
  <c r="U754" i="3"/>
  <c r="W754" i="3" s="1"/>
  <c r="U753" i="3"/>
  <c r="W753" i="3" s="1"/>
  <c r="U752" i="3"/>
  <c r="U751" i="3"/>
  <c r="W751" i="3" s="1"/>
  <c r="U750" i="3"/>
  <c r="W750" i="3" s="1"/>
  <c r="U749" i="3"/>
  <c r="V749" i="3" s="1"/>
  <c r="U748" i="3"/>
  <c r="W748" i="3" s="1"/>
  <c r="U747" i="3"/>
  <c r="V747" i="3" s="1"/>
  <c r="U746" i="3"/>
  <c r="W746" i="3" s="1"/>
  <c r="U745" i="3"/>
  <c r="U744" i="3"/>
  <c r="W744" i="3" s="1"/>
  <c r="U743" i="3"/>
  <c r="W743" i="3" s="1"/>
  <c r="U742" i="3"/>
  <c r="V742" i="3" s="1"/>
  <c r="U741" i="3"/>
  <c r="W741" i="3" s="1"/>
  <c r="U740" i="3"/>
  <c r="W740" i="3" s="1"/>
  <c r="U739" i="3"/>
  <c r="W739" i="3" s="1"/>
  <c r="U738" i="3"/>
  <c r="W738" i="3" s="1"/>
  <c r="U737" i="3"/>
  <c r="W737" i="3" s="1"/>
  <c r="U736" i="3"/>
  <c r="V736" i="3" s="1"/>
  <c r="U735" i="3"/>
  <c r="V735" i="3" s="1"/>
  <c r="U734" i="3"/>
  <c r="W734" i="3" s="1"/>
  <c r="U733" i="3"/>
  <c r="U732" i="3"/>
  <c r="W732" i="3" s="1"/>
  <c r="U731" i="3"/>
  <c r="W731" i="3" s="1"/>
  <c r="U730" i="3"/>
  <c r="W730" i="3" s="1"/>
  <c r="U729" i="3"/>
  <c r="V729" i="3" s="1"/>
  <c r="U728" i="3"/>
  <c r="W728" i="3" s="1"/>
  <c r="U727" i="3"/>
  <c r="U726" i="3"/>
  <c r="W726" i="3" s="1"/>
  <c r="U725" i="3"/>
  <c r="V725" i="3" s="1"/>
  <c r="U724" i="3"/>
  <c r="W724" i="3" s="1"/>
  <c r="U723" i="3"/>
  <c r="V723" i="3" s="1"/>
  <c r="U722" i="3"/>
  <c r="W722" i="3" s="1"/>
  <c r="U721" i="3"/>
  <c r="W721" i="3" s="1"/>
  <c r="U720" i="3"/>
  <c r="U719" i="3"/>
  <c r="V719" i="3" s="1"/>
  <c r="U718" i="3"/>
  <c r="V718" i="3" s="1"/>
  <c r="U717" i="3"/>
  <c r="V717" i="3" s="1"/>
  <c r="U716" i="3"/>
  <c r="W716" i="3" s="1"/>
  <c r="U715" i="3"/>
  <c r="V715" i="3" s="1"/>
  <c r="U714" i="3"/>
  <c r="U713" i="3"/>
  <c r="U712" i="3"/>
  <c r="W712" i="3" s="1"/>
  <c r="U711" i="3"/>
  <c r="U710" i="3"/>
  <c r="W710" i="3" s="1"/>
  <c r="U709" i="3"/>
  <c r="V709" i="3" s="1"/>
  <c r="U708" i="3"/>
  <c r="U707" i="3"/>
  <c r="V707" i="3" s="1"/>
  <c r="U706" i="3"/>
  <c r="W706" i="3" s="1"/>
  <c r="U705" i="3"/>
  <c r="U704" i="3"/>
  <c r="W704" i="3" s="1"/>
  <c r="U703" i="3"/>
  <c r="W703" i="3" s="1"/>
  <c r="U702" i="3"/>
  <c r="U701" i="3"/>
  <c r="W701" i="3" s="1"/>
  <c r="U700" i="3"/>
  <c r="W700" i="3" s="1"/>
  <c r="U699" i="3"/>
  <c r="V699" i="3" s="1"/>
  <c r="U698" i="3"/>
  <c r="U697" i="3"/>
  <c r="U696" i="3"/>
  <c r="W696" i="3" s="1"/>
  <c r="U695" i="3"/>
  <c r="V695" i="3" s="1"/>
  <c r="U694" i="3"/>
  <c r="W694" i="3" s="1"/>
  <c r="U693" i="3"/>
  <c r="V693" i="3" s="1"/>
  <c r="U692" i="3"/>
  <c r="V692" i="3" s="1"/>
  <c r="U691" i="3"/>
  <c r="V691" i="3" s="1"/>
  <c r="U690" i="3"/>
  <c r="W690" i="3" s="1"/>
  <c r="U689" i="3"/>
  <c r="W689" i="3" s="1"/>
  <c r="U688" i="3"/>
  <c r="V688" i="3" s="1"/>
  <c r="U687" i="3"/>
  <c r="U686" i="3"/>
  <c r="W686" i="3" s="1"/>
  <c r="U685" i="3"/>
  <c r="W685" i="3" s="1"/>
  <c r="U684" i="3"/>
  <c r="V684" i="3" s="1"/>
  <c r="U683" i="3"/>
  <c r="W683" i="3" s="1"/>
  <c r="U682" i="3"/>
  <c r="W682" i="3" s="1"/>
  <c r="U681" i="3"/>
  <c r="W681" i="3" s="1"/>
  <c r="U680" i="3"/>
  <c r="V680" i="3" s="1"/>
  <c r="U679" i="3"/>
  <c r="W679" i="3" s="1"/>
  <c r="U678" i="3"/>
  <c r="W678" i="3" s="1"/>
  <c r="U677" i="3"/>
  <c r="V677" i="3" s="1"/>
  <c r="U676" i="3"/>
  <c r="U675" i="3"/>
  <c r="U674" i="3"/>
  <c r="V674" i="3" s="1"/>
  <c r="U673" i="3"/>
  <c r="V673" i="3" s="1"/>
  <c r="U672" i="3"/>
  <c r="W672" i="3" s="1"/>
  <c r="U671" i="3"/>
  <c r="W671" i="3" s="1"/>
  <c r="U670" i="3"/>
  <c r="V670" i="3" s="1"/>
  <c r="U669" i="3"/>
  <c r="W669" i="3" s="1"/>
  <c r="U668" i="3"/>
  <c r="W668" i="3" s="1"/>
  <c r="U667" i="3"/>
  <c r="W667" i="3" s="1"/>
  <c r="U666" i="3"/>
  <c r="U665" i="3"/>
  <c r="U664" i="3"/>
  <c r="W664" i="3" s="1"/>
  <c r="U663" i="3"/>
  <c r="V663" i="3" s="1"/>
  <c r="U662" i="3"/>
  <c r="U661" i="3"/>
  <c r="W661" i="3" s="1"/>
  <c r="U660" i="3"/>
  <c r="W660" i="3" s="1"/>
  <c r="U659" i="3"/>
  <c r="U658" i="3"/>
  <c r="U657" i="3"/>
  <c r="W657" i="3" s="1"/>
  <c r="U656" i="3"/>
  <c r="V656" i="3" s="1"/>
  <c r="U655" i="3"/>
  <c r="U654" i="3"/>
  <c r="W654" i="3" s="1"/>
  <c r="U653" i="3"/>
  <c r="W653" i="3" s="1"/>
  <c r="U652" i="3"/>
  <c r="W652" i="3" s="1"/>
  <c r="U651" i="3"/>
  <c r="U650" i="3"/>
  <c r="V650" i="3" s="1"/>
  <c r="U649" i="3"/>
  <c r="V649" i="3" s="1"/>
  <c r="U648" i="3"/>
  <c r="U647" i="3"/>
  <c r="V647" i="3" s="1"/>
  <c r="U646" i="3"/>
  <c r="W646" i="3" s="1"/>
  <c r="U645" i="3"/>
  <c r="U644" i="3"/>
  <c r="U643" i="3"/>
  <c r="W643" i="3" s="1"/>
  <c r="U642" i="3"/>
  <c r="U641" i="3"/>
  <c r="V641" i="3" s="1"/>
  <c r="U640" i="3"/>
  <c r="U639" i="3"/>
  <c r="W639" i="3" s="1"/>
  <c r="U638" i="3"/>
  <c r="W638" i="3" s="1"/>
  <c r="U637" i="3"/>
  <c r="W637" i="3" s="1"/>
  <c r="U636" i="3"/>
  <c r="U635" i="3"/>
  <c r="U634" i="3"/>
  <c r="V634" i="3" s="1"/>
  <c r="U633" i="3"/>
  <c r="W633" i="3" s="1"/>
  <c r="U632" i="3"/>
  <c r="V632" i="3" s="1"/>
  <c r="U631" i="3"/>
  <c r="W631" i="3" s="1"/>
  <c r="U630" i="3"/>
  <c r="V630" i="3" s="1"/>
  <c r="U629" i="3"/>
  <c r="V629" i="3" s="1"/>
  <c r="U628" i="3"/>
  <c r="V628" i="3" s="1"/>
  <c r="U627" i="3"/>
  <c r="V627" i="3" s="1"/>
  <c r="U626" i="3"/>
  <c r="W626" i="3" s="1"/>
  <c r="U625" i="3"/>
  <c r="W625" i="3" s="1"/>
  <c r="U624" i="3"/>
  <c r="W624" i="3" s="1"/>
  <c r="U623" i="3"/>
  <c r="U622" i="3"/>
  <c r="V622" i="3" s="1"/>
  <c r="U621" i="3"/>
  <c r="V621" i="3" s="1"/>
  <c r="U620" i="3"/>
  <c r="W620" i="3" s="1"/>
  <c r="U619" i="3"/>
  <c r="W619" i="3" s="1"/>
  <c r="U618" i="3"/>
  <c r="W618" i="3" s="1"/>
  <c r="U617" i="3"/>
  <c r="U616" i="3"/>
  <c r="W616" i="3" s="1"/>
  <c r="U615" i="3"/>
  <c r="W615" i="3" s="1"/>
  <c r="U614" i="3"/>
  <c r="V614" i="3" s="1"/>
  <c r="U613" i="3"/>
  <c r="W613" i="3" s="1"/>
  <c r="U612" i="3"/>
  <c r="U611" i="3"/>
  <c r="U610" i="3"/>
  <c r="V610" i="3" s="1"/>
  <c r="U609" i="3"/>
  <c r="W609" i="3" s="1"/>
  <c r="U608" i="3"/>
  <c r="W608" i="3" s="1"/>
  <c r="U607" i="3"/>
  <c r="V607" i="3" s="1"/>
  <c r="U606" i="3"/>
  <c r="V606" i="3" s="1"/>
  <c r="U605" i="3"/>
  <c r="W605" i="3" s="1"/>
  <c r="U604" i="3"/>
  <c r="W604" i="3" s="1"/>
  <c r="U603" i="3"/>
  <c r="W603" i="3" s="1"/>
  <c r="U602" i="3"/>
  <c r="W602" i="3" s="1"/>
  <c r="U601" i="3"/>
  <c r="V601" i="3" s="1"/>
  <c r="U600" i="3"/>
  <c r="V600" i="3" s="1"/>
  <c r="U599" i="3"/>
  <c r="V599" i="3" s="1"/>
  <c r="U598" i="3"/>
  <c r="U597" i="3"/>
  <c r="U596" i="3"/>
  <c r="W596" i="3" s="1"/>
  <c r="U595" i="3"/>
  <c r="U594" i="3"/>
  <c r="W594" i="3" s="1"/>
  <c r="U593" i="3"/>
  <c r="V593" i="3" s="1"/>
  <c r="U592" i="3"/>
  <c r="V592" i="3" s="1"/>
  <c r="U591" i="3"/>
  <c r="V591" i="3" s="1"/>
  <c r="U590" i="3"/>
  <c r="W590" i="3" s="1"/>
  <c r="U589" i="3"/>
  <c r="U588" i="3"/>
  <c r="W588" i="3" s="1"/>
  <c r="U587" i="3"/>
  <c r="W587" i="3" s="1"/>
  <c r="U586" i="3"/>
  <c r="V586" i="3" s="1"/>
  <c r="U585" i="3"/>
  <c r="W585" i="3" s="1"/>
  <c r="U584" i="3"/>
  <c r="V584" i="3" s="1"/>
  <c r="U583" i="3"/>
  <c r="W583" i="3" s="1"/>
  <c r="U582" i="3"/>
  <c r="V582" i="3" s="1"/>
  <c r="U581" i="3"/>
  <c r="W581" i="3" s="1"/>
  <c r="U580" i="3"/>
  <c r="V580" i="3" s="1"/>
  <c r="U579" i="3"/>
  <c r="V579" i="3" s="1"/>
  <c r="U578" i="3"/>
  <c r="W578" i="3" s="1"/>
  <c r="U577" i="3"/>
  <c r="W577" i="3" s="1"/>
  <c r="U576" i="3"/>
  <c r="W576" i="3" s="1"/>
  <c r="U575" i="3"/>
  <c r="V575" i="3" s="1"/>
  <c r="U574" i="3"/>
  <c r="V574" i="3" s="1"/>
  <c r="U573" i="3"/>
  <c r="U572" i="3"/>
  <c r="V572" i="3" s="1"/>
  <c r="U571" i="3"/>
  <c r="V571" i="3" s="1"/>
  <c r="U570" i="3"/>
  <c r="U569" i="3"/>
  <c r="U568" i="3"/>
  <c r="V568" i="3" s="1"/>
  <c r="U567" i="3"/>
  <c r="U566" i="3"/>
  <c r="W566" i="3" s="1"/>
  <c r="U565" i="3"/>
  <c r="V565" i="3" s="1"/>
  <c r="U564" i="3"/>
  <c r="V564" i="3" s="1"/>
  <c r="U563" i="3"/>
  <c r="V563" i="3" s="1"/>
  <c r="U562" i="3"/>
  <c r="W562" i="3" s="1"/>
  <c r="U561" i="3"/>
  <c r="U560" i="3"/>
  <c r="V560" i="3" s="1"/>
  <c r="U559" i="3"/>
  <c r="V559" i="3" s="1"/>
  <c r="U558" i="3"/>
  <c r="V558" i="3" s="1"/>
  <c r="U557" i="3"/>
  <c r="V557" i="3" s="1"/>
  <c r="U556" i="3"/>
  <c r="V556" i="3" s="1"/>
  <c r="U555" i="3"/>
  <c r="W555" i="3" s="1"/>
  <c r="U554" i="3"/>
  <c r="W554" i="3" s="1"/>
  <c r="U553" i="3"/>
  <c r="V553" i="3" s="1"/>
  <c r="U552" i="3"/>
  <c r="W552" i="3" s="1"/>
  <c r="U551" i="3"/>
  <c r="U550" i="3"/>
  <c r="W550" i="3" s="1"/>
  <c r="U549" i="3"/>
  <c r="V549" i="3" s="1"/>
  <c r="U548" i="3"/>
  <c r="W548" i="3" s="1"/>
  <c r="U547" i="3"/>
  <c r="U546" i="3"/>
  <c r="W546" i="3" s="1"/>
  <c r="U545" i="3"/>
  <c r="W545" i="3" s="1"/>
  <c r="U544" i="3"/>
  <c r="U543" i="3"/>
  <c r="V543" i="3" s="1"/>
  <c r="U542" i="3"/>
  <c r="W542" i="3" s="1"/>
  <c r="U541" i="3"/>
  <c r="W541" i="3" s="1"/>
  <c r="U540" i="3"/>
  <c r="V540" i="3" s="1"/>
  <c r="U539" i="3"/>
  <c r="W539" i="3" s="1"/>
  <c r="U538" i="3"/>
  <c r="V538" i="3" s="1"/>
  <c r="U537" i="3"/>
  <c r="U536" i="3"/>
  <c r="U535" i="3"/>
  <c r="V535" i="3" s="1"/>
  <c r="U534" i="3"/>
  <c r="W534" i="3" s="1"/>
  <c r="U533" i="3"/>
  <c r="U532" i="3"/>
  <c r="W532" i="3" s="1"/>
  <c r="U531" i="3"/>
  <c r="V531" i="3" s="1"/>
  <c r="U530" i="3"/>
  <c r="V530" i="3" s="1"/>
  <c r="U529" i="3"/>
  <c r="V529" i="3" s="1"/>
  <c r="U528" i="3"/>
  <c r="V528" i="3" s="1"/>
  <c r="U527" i="3"/>
  <c r="U526" i="3"/>
  <c r="U525" i="3"/>
  <c r="W525" i="3" s="1"/>
  <c r="U524" i="3"/>
  <c r="V524" i="3" s="1"/>
  <c r="U523" i="3"/>
  <c r="U522" i="3"/>
  <c r="W522" i="3" s="1"/>
  <c r="U521" i="3"/>
  <c r="W521" i="3" s="1"/>
  <c r="U520" i="3"/>
  <c r="U519" i="3"/>
  <c r="W519" i="3" s="1"/>
  <c r="U518" i="3"/>
  <c r="W518" i="3" s="1"/>
  <c r="U517" i="3"/>
  <c r="U516" i="3"/>
  <c r="V516" i="3" s="1"/>
  <c r="U515" i="3"/>
  <c r="W515" i="3" s="1"/>
  <c r="U514" i="3"/>
  <c r="U513" i="3"/>
  <c r="W513" i="3" s="1"/>
  <c r="U512" i="3"/>
  <c r="W512" i="3" s="1"/>
  <c r="U511" i="3"/>
  <c r="U510" i="3"/>
  <c r="W510" i="3" s="1"/>
  <c r="U509" i="3"/>
  <c r="V509" i="3" s="1"/>
  <c r="U508" i="3"/>
  <c r="W508" i="3" s="1"/>
  <c r="U507" i="3"/>
  <c r="W507" i="3" s="1"/>
  <c r="U506" i="3"/>
  <c r="U505" i="3"/>
  <c r="U504" i="3"/>
  <c r="W504" i="3" s="1"/>
  <c r="U503" i="3"/>
  <c r="W503" i="3" s="1"/>
  <c r="U502" i="3"/>
  <c r="U501" i="3"/>
  <c r="U500" i="3"/>
  <c r="U499" i="3"/>
  <c r="U498" i="3"/>
  <c r="V498" i="3" s="1"/>
  <c r="U497" i="3"/>
  <c r="V497" i="3" s="1"/>
  <c r="U496" i="3"/>
  <c r="U495" i="3"/>
  <c r="V495" i="3" s="1"/>
  <c r="U494" i="3"/>
  <c r="U493" i="3"/>
  <c r="U492" i="3"/>
  <c r="W492" i="3" s="1"/>
  <c r="U491" i="3"/>
  <c r="W491" i="3" s="1"/>
  <c r="U490" i="3"/>
  <c r="V490" i="3" s="1"/>
  <c r="U489" i="3"/>
  <c r="W489" i="3" s="1"/>
  <c r="U488" i="3"/>
  <c r="W488" i="3" s="1"/>
  <c r="U487" i="3"/>
  <c r="V487" i="3" s="1"/>
  <c r="U486" i="3"/>
  <c r="W486" i="3" s="1"/>
  <c r="U485" i="3"/>
  <c r="W485" i="3" s="1"/>
  <c r="U484" i="3"/>
  <c r="W484" i="3" s="1"/>
  <c r="U483" i="3"/>
  <c r="W483" i="3" s="1"/>
  <c r="U482" i="3"/>
  <c r="W482" i="3" s="1"/>
  <c r="U481" i="3"/>
  <c r="W481" i="3" s="1"/>
  <c r="U480" i="3"/>
  <c r="W480" i="3" s="1"/>
  <c r="U479" i="3"/>
  <c r="W479" i="3" s="1"/>
  <c r="U478" i="3"/>
  <c r="V478" i="3" s="1"/>
  <c r="U477" i="3"/>
  <c r="U476" i="3"/>
  <c r="W476" i="3" s="1"/>
  <c r="U475" i="3"/>
  <c r="V475" i="3" s="1"/>
  <c r="U474" i="3"/>
  <c r="V474" i="3" s="1"/>
  <c r="U473" i="3"/>
  <c r="V473" i="3" s="1"/>
  <c r="U472" i="3"/>
  <c r="W472" i="3" s="1"/>
  <c r="U471" i="3"/>
  <c r="V471" i="3" s="1"/>
  <c r="U470" i="3"/>
  <c r="W470" i="3" s="1"/>
  <c r="U469" i="3"/>
  <c r="W469" i="3" s="1"/>
  <c r="U468" i="3"/>
  <c r="V468" i="3" s="1"/>
  <c r="U467" i="3"/>
  <c r="U466" i="3"/>
  <c r="W466" i="3" s="1"/>
  <c r="U465" i="3"/>
  <c r="W465" i="3" s="1"/>
  <c r="U464" i="3"/>
  <c r="U463" i="3"/>
  <c r="W463" i="3" s="1"/>
  <c r="U462" i="3"/>
  <c r="W462" i="3" s="1"/>
  <c r="U461" i="3"/>
  <c r="V461" i="3" s="1"/>
  <c r="U460" i="3"/>
  <c r="W460" i="3" s="1"/>
  <c r="U459" i="3"/>
  <c r="W459" i="3" s="1"/>
  <c r="U458" i="3"/>
  <c r="V458" i="3" s="1"/>
  <c r="U457" i="3"/>
  <c r="W457" i="3" s="1"/>
  <c r="U456" i="3"/>
  <c r="V456" i="3" s="1"/>
  <c r="U455" i="3"/>
  <c r="W455" i="3" s="1"/>
  <c r="U454" i="3"/>
  <c r="U453" i="3"/>
  <c r="W453" i="3" s="1"/>
  <c r="U452" i="3"/>
  <c r="W452" i="3" s="1"/>
  <c r="U451" i="3"/>
  <c r="W451" i="3" s="1"/>
  <c r="U450" i="3"/>
  <c r="W450" i="3" s="1"/>
  <c r="U449" i="3"/>
  <c r="W449" i="3" s="1"/>
  <c r="U448" i="3"/>
  <c r="V448" i="3" s="1"/>
  <c r="U447" i="3"/>
  <c r="V447" i="3" s="1"/>
  <c r="U446" i="3"/>
  <c r="V446" i="3" s="1"/>
  <c r="U445" i="3"/>
  <c r="W445" i="3" s="1"/>
  <c r="U444" i="3"/>
  <c r="U443" i="3"/>
  <c r="V443" i="3" s="1"/>
  <c r="U442" i="3"/>
  <c r="W442" i="3" s="1"/>
  <c r="U441" i="3"/>
  <c r="W441" i="3" s="1"/>
  <c r="U440" i="3"/>
  <c r="V440" i="3" s="1"/>
  <c r="U439" i="3"/>
  <c r="W439" i="3" s="1"/>
  <c r="U438" i="3"/>
  <c r="V438" i="3" s="1"/>
  <c r="U437" i="3"/>
  <c r="U436" i="3"/>
  <c r="U435" i="3"/>
  <c r="W435" i="3" s="1"/>
  <c r="U434" i="3"/>
  <c r="W434" i="3" s="1"/>
  <c r="U433" i="3"/>
  <c r="W433" i="3" s="1"/>
  <c r="U432" i="3"/>
  <c r="U431" i="3"/>
  <c r="U430" i="3"/>
  <c r="W430" i="3" s="1"/>
  <c r="U429" i="3"/>
  <c r="U428" i="3"/>
  <c r="W428" i="3" s="1"/>
  <c r="U427" i="3"/>
  <c r="U426" i="3"/>
  <c r="W426" i="3" s="1"/>
  <c r="U425" i="3"/>
  <c r="U424" i="3"/>
  <c r="V424" i="3" s="1"/>
  <c r="U423" i="3"/>
  <c r="W423" i="3" s="1"/>
  <c r="U422" i="3"/>
  <c r="W422" i="3" s="1"/>
  <c r="U421" i="3"/>
  <c r="V421" i="3" s="1"/>
  <c r="U420" i="3"/>
  <c r="W420" i="3" s="1"/>
  <c r="U419" i="3"/>
  <c r="V419" i="3" s="1"/>
  <c r="U418" i="3"/>
  <c r="W418" i="3" s="1"/>
  <c r="U417" i="3"/>
  <c r="U416" i="3"/>
  <c r="U415" i="3"/>
  <c r="U414" i="3"/>
  <c r="U413" i="3"/>
  <c r="W413" i="3" s="1"/>
  <c r="U412" i="3"/>
  <c r="U411" i="3"/>
  <c r="W411" i="3" s="1"/>
  <c r="U410" i="3"/>
  <c r="W410" i="3" s="1"/>
  <c r="U409" i="3"/>
  <c r="W409" i="3" s="1"/>
  <c r="U408" i="3"/>
  <c r="W408" i="3" s="1"/>
  <c r="U407" i="3"/>
  <c r="W407" i="3" s="1"/>
  <c r="U406" i="3"/>
  <c r="W406" i="3" s="1"/>
  <c r="U405" i="3"/>
  <c r="W405" i="3" s="1"/>
  <c r="U404" i="3"/>
  <c r="W404" i="3" s="1"/>
  <c r="U403" i="3"/>
  <c r="U402" i="3"/>
  <c r="V402" i="3" s="1"/>
  <c r="U401" i="3"/>
  <c r="W401" i="3" s="1"/>
  <c r="U400" i="3"/>
  <c r="U399" i="3"/>
  <c r="V399" i="3" s="1"/>
  <c r="U398" i="3"/>
  <c r="U397" i="3"/>
  <c r="U396" i="3"/>
  <c r="U395" i="3"/>
  <c r="U394" i="3"/>
  <c r="U393" i="3"/>
  <c r="W393" i="3" s="1"/>
  <c r="U392" i="3"/>
  <c r="U391" i="3"/>
  <c r="W391" i="3" s="1"/>
  <c r="U390" i="3"/>
  <c r="V390" i="3" s="1"/>
  <c r="U389" i="3"/>
  <c r="V389" i="3" s="1"/>
  <c r="U388" i="3"/>
  <c r="W388" i="3" s="1"/>
  <c r="U387" i="3"/>
  <c r="U386" i="3"/>
  <c r="U385" i="3"/>
  <c r="V385" i="3" s="1"/>
  <c r="U384" i="3"/>
  <c r="W384" i="3" s="1"/>
  <c r="U383" i="3"/>
  <c r="W383" i="3" s="1"/>
  <c r="U382" i="3"/>
  <c r="V382" i="3" s="1"/>
  <c r="U381" i="3"/>
  <c r="W381" i="3" s="1"/>
  <c r="U380" i="3"/>
  <c r="V380" i="3" s="1"/>
  <c r="U379" i="3"/>
  <c r="V379" i="3" s="1"/>
  <c r="U378" i="3"/>
  <c r="V378" i="3" s="1"/>
  <c r="U377" i="3"/>
  <c r="V377" i="3" s="1"/>
  <c r="U376" i="3"/>
  <c r="V376" i="3" s="1"/>
  <c r="U375" i="3"/>
  <c r="W375" i="3" s="1"/>
  <c r="U374" i="3"/>
  <c r="V374" i="3" s="1"/>
  <c r="U373" i="3"/>
  <c r="W373" i="3" s="1"/>
  <c r="U372" i="3"/>
  <c r="W372" i="3" s="1"/>
  <c r="U371" i="3"/>
  <c r="V371" i="3" s="1"/>
  <c r="U370" i="3"/>
  <c r="W370" i="3" s="1"/>
  <c r="U369" i="3"/>
  <c r="V369" i="3" s="1"/>
  <c r="U368" i="3"/>
  <c r="U367" i="3"/>
  <c r="W367" i="3" s="1"/>
  <c r="U366" i="3"/>
  <c r="W366" i="3" s="1"/>
  <c r="U365" i="3"/>
  <c r="W365" i="3" s="1"/>
  <c r="U364" i="3"/>
  <c r="U363" i="3"/>
  <c r="W363" i="3" s="1"/>
  <c r="U362" i="3"/>
  <c r="W362" i="3" s="1"/>
  <c r="U361" i="3"/>
  <c r="W361" i="3" s="1"/>
  <c r="U360" i="3"/>
  <c r="V360" i="3" s="1"/>
  <c r="U359" i="3"/>
  <c r="W359" i="3" s="1"/>
  <c r="U358" i="3"/>
  <c r="V358" i="3" s="1"/>
  <c r="U357" i="3"/>
  <c r="V357" i="3" s="1"/>
  <c r="U356" i="3"/>
  <c r="W356" i="3" s="1"/>
  <c r="U355" i="3"/>
  <c r="W355" i="3" s="1"/>
  <c r="U354" i="3"/>
  <c r="W354" i="3" s="1"/>
  <c r="U353" i="3"/>
  <c r="V353" i="3" s="1"/>
  <c r="U352" i="3"/>
  <c r="W352" i="3" s="1"/>
  <c r="U351" i="3"/>
  <c r="U350" i="3"/>
  <c r="U349" i="3"/>
  <c r="W349" i="3" s="1"/>
  <c r="U348" i="3"/>
  <c r="W348" i="3" s="1"/>
  <c r="U347" i="3"/>
  <c r="W347" i="3" s="1"/>
  <c r="U346" i="3"/>
  <c r="U345" i="3"/>
  <c r="W345" i="3" s="1"/>
  <c r="U344" i="3"/>
  <c r="V344" i="3" s="1"/>
  <c r="U343" i="3"/>
  <c r="U342" i="3"/>
  <c r="W342" i="3" s="1"/>
  <c r="U341" i="3"/>
  <c r="U340" i="3"/>
  <c r="W340" i="3" s="1"/>
  <c r="U339" i="3"/>
  <c r="W339" i="3" s="1"/>
  <c r="U338" i="3"/>
  <c r="W338" i="3" s="1"/>
  <c r="U337" i="3"/>
  <c r="U336" i="3"/>
  <c r="W336" i="3" s="1"/>
  <c r="U335" i="3"/>
  <c r="W335" i="3" s="1"/>
  <c r="U334" i="3"/>
  <c r="W334" i="3" s="1"/>
  <c r="U333" i="3"/>
  <c r="W333" i="3" s="1"/>
  <c r="U332" i="3"/>
  <c r="V332" i="3" s="1"/>
  <c r="U331" i="3"/>
  <c r="W331" i="3" s="1"/>
  <c r="U330" i="3"/>
  <c r="W330" i="3" s="1"/>
  <c r="U329" i="3"/>
  <c r="W329" i="3" s="1"/>
  <c r="U328" i="3"/>
  <c r="V328" i="3" s="1"/>
  <c r="U327" i="3"/>
  <c r="U326" i="3"/>
  <c r="W326" i="3" s="1"/>
  <c r="U325" i="3"/>
  <c r="W325" i="3" s="1"/>
  <c r="U324" i="3"/>
  <c r="W324" i="3" s="1"/>
  <c r="U323" i="3"/>
  <c r="W323" i="3" s="1"/>
  <c r="U322" i="3"/>
  <c r="V322" i="3" s="1"/>
  <c r="U321" i="3"/>
  <c r="W321" i="3" s="1"/>
  <c r="U320" i="3"/>
  <c r="U319" i="3"/>
  <c r="U318" i="3"/>
  <c r="W318" i="3" s="1"/>
  <c r="U317" i="3"/>
  <c r="W317" i="3" s="1"/>
  <c r="U316" i="3"/>
  <c r="U315" i="3"/>
  <c r="U314" i="3"/>
  <c r="V314" i="3" s="1"/>
  <c r="U313" i="3"/>
  <c r="U312" i="3"/>
  <c r="U311" i="3"/>
  <c r="U310" i="3"/>
  <c r="W310" i="3" s="1"/>
  <c r="U309" i="3"/>
  <c r="W309" i="3" s="1"/>
  <c r="U308" i="3"/>
  <c r="W308" i="3" s="1"/>
  <c r="U307" i="3"/>
  <c r="W307" i="3" s="1"/>
  <c r="U306" i="3"/>
  <c r="W306" i="3" s="1"/>
  <c r="U305" i="3"/>
  <c r="W305" i="3" s="1"/>
  <c r="U304" i="3"/>
  <c r="V304" i="3" s="1"/>
  <c r="U303" i="3"/>
  <c r="W303" i="3" s="1"/>
  <c r="U302" i="3"/>
  <c r="V302" i="3" s="1"/>
  <c r="U301" i="3"/>
  <c r="W301" i="3" s="1"/>
  <c r="U300" i="3"/>
  <c r="W300" i="3" s="1"/>
  <c r="U299" i="3"/>
  <c r="U298" i="3"/>
  <c r="W298" i="3" s="1"/>
  <c r="U297" i="3"/>
  <c r="W297" i="3" s="1"/>
  <c r="U296" i="3"/>
  <c r="W296" i="3" s="1"/>
  <c r="U295" i="3"/>
  <c r="W295" i="3" s="1"/>
  <c r="U294" i="3"/>
  <c r="W294" i="3" s="1"/>
  <c r="U293" i="3"/>
  <c r="W293" i="3" s="1"/>
  <c r="U292" i="3"/>
  <c r="W292" i="3" s="1"/>
  <c r="U291" i="3"/>
  <c r="U290" i="3"/>
  <c r="W290" i="3" s="1"/>
  <c r="U289" i="3"/>
  <c r="W289" i="3" s="1"/>
  <c r="U288" i="3"/>
  <c r="W288" i="3" s="1"/>
  <c r="U287" i="3"/>
  <c r="W287" i="3" s="1"/>
  <c r="U286" i="3"/>
  <c r="W286" i="3" s="1"/>
  <c r="U285" i="3"/>
  <c r="U284" i="3"/>
  <c r="W284" i="3" s="1"/>
  <c r="U283" i="3"/>
  <c r="V283" i="3" s="1"/>
  <c r="U282" i="3"/>
  <c r="W282" i="3" s="1"/>
  <c r="U281" i="3"/>
  <c r="U280" i="3"/>
  <c r="W280" i="3" s="1"/>
  <c r="U279" i="3"/>
  <c r="V279" i="3" s="1"/>
  <c r="U278" i="3"/>
  <c r="W278" i="3" s="1"/>
  <c r="U277" i="3"/>
  <c r="W277" i="3" s="1"/>
  <c r="U276" i="3"/>
  <c r="U275" i="3"/>
  <c r="W275" i="3" s="1"/>
  <c r="U274" i="3"/>
  <c r="U273" i="3"/>
  <c r="V273" i="3" s="1"/>
  <c r="U272" i="3"/>
  <c r="W272" i="3" s="1"/>
  <c r="U271" i="3"/>
  <c r="W271" i="3" s="1"/>
  <c r="U270" i="3"/>
  <c r="U269" i="3"/>
  <c r="W269" i="3" s="1"/>
  <c r="U268" i="3"/>
  <c r="W268" i="3" s="1"/>
  <c r="U267" i="3"/>
  <c r="W267" i="3" s="1"/>
  <c r="U266" i="3"/>
  <c r="V266" i="3" s="1"/>
  <c r="U265" i="3"/>
  <c r="W265" i="3" s="1"/>
  <c r="U264" i="3"/>
  <c r="V264" i="3" s="1"/>
  <c r="U263" i="3"/>
  <c r="U262" i="3"/>
  <c r="W262" i="3" s="1"/>
  <c r="U261" i="3"/>
  <c r="W261" i="3" s="1"/>
  <c r="U260" i="3"/>
  <c r="V260" i="3" s="1"/>
  <c r="U259" i="3"/>
  <c r="V259" i="3" s="1"/>
  <c r="U258" i="3"/>
  <c r="U257" i="3"/>
  <c r="W257" i="3" s="1"/>
  <c r="U256" i="3"/>
  <c r="U255" i="3"/>
  <c r="W255" i="3" s="1"/>
  <c r="U254" i="3"/>
  <c r="W254" i="3" s="1"/>
  <c r="U253" i="3"/>
  <c r="V253" i="3" s="1"/>
  <c r="U252" i="3"/>
  <c r="U251" i="3"/>
  <c r="W251" i="3" s="1"/>
  <c r="U250" i="3"/>
  <c r="V250" i="3" s="1"/>
  <c r="U249" i="3"/>
  <c r="V249" i="3" s="1"/>
  <c r="U248" i="3"/>
  <c r="W248" i="3" s="1"/>
  <c r="U247" i="3"/>
  <c r="W247" i="3" s="1"/>
  <c r="U246" i="3"/>
  <c r="W246" i="3" s="1"/>
  <c r="U245" i="3"/>
  <c r="W245" i="3" s="1"/>
  <c r="U244" i="3"/>
  <c r="W244" i="3" s="1"/>
  <c r="U243" i="3"/>
  <c r="W243" i="3" s="1"/>
  <c r="U242" i="3"/>
  <c r="W242" i="3" s="1"/>
  <c r="U241" i="3"/>
  <c r="W241" i="3" s="1"/>
  <c r="U240" i="3"/>
  <c r="W240" i="3" s="1"/>
  <c r="U239" i="3"/>
  <c r="V239" i="3" s="1"/>
  <c r="U238" i="3"/>
  <c r="V238" i="3" s="1"/>
  <c r="U237" i="3"/>
  <c r="W237" i="3" s="1"/>
  <c r="U236" i="3"/>
  <c r="W236" i="3" s="1"/>
  <c r="U235" i="3"/>
  <c r="U234" i="3"/>
  <c r="V234" i="3" s="1"/>
  <c r="U233" i="3"/>
  <c r="W233" i="3" s="1"/>
  <c r="U232" i="3"/>
  <c r="W232" i="3" s="1"/>
  <c r="U231" i="3"/>
  <c r="U230" i="3"/>
  <c r="V230" i="3" s="1"/>
  <c r="U229" i="3"/>
  <c r="W229" i="3" s="1"/>
  <c r="U228" i="3"/>
  <c r="W228" i="3" s="1"/>
  <c r="U227" i="3"/>
  <c r="U226" i="3"/>
  <c r="W226" i="3" s="1"/>
  <c r="U225" i="3"/>
  <c r="W225" i="3" s="1"/>
  <c r="U224" i="3"/>
  <c r="V224" i="3" s="1"/>
  <c r="U223" i="3"/>
  <c r="W223" i="3" s="1"/>
  <c r="U222" i="3"/>
  <c r="W222" i="3" s="1"/>
  <c r="U221" i="3"/>
  <c r="U220" i="3"/>
  <c r="W220" i="3" s="1"/>
  <c r="U219" i="3"/>
  <c r="W219" i="3" s="1"/>
  <c r="U218" i="3"/>
  <c r="W218" i="3" s="1"/>
  <c r="U217" i="3"/>
  <c r="W217" i="3" s="1"/>
  <c r="U216" i="3"/>
  <c r="V216" i="3" s="1"/>
  <c r="U215" i="3"/>
  <c r="W215" i="3" s="1"/>
  <c r="U214" i="3"/>
  <c r="V214" i="3" s="1"/>
  <c r="U213" i="3"/>
  <c r="W213" i="3" s="1"/>
  <c r="U212" i="3"/>
  <c r="W212" i="3" s="1"/>
  <c r="U211" i="3"/>
  <c r="V211" i="3" s="1"/>
  <c r="U210" i="3"/>
  <c r="W210" i="3" s="1"/>
  <c r="U209" i="3"/>
  <c r="V209" i="3" s="1"/>
  <c r="U208" i="3"/>
  <c r="V208" i="3" s="1"/>
  <c r="U207" i="3"/>
  <c r="U206" i="3"/>
  <c r="V206" i="3" s="1"/>
  <c r="U205" i="3"/>
  <c r="W205" i="3" s="1"/>
  <c r="U204" i="3"/>
  <c r="W204" i="3" s="1"/>
  <c r="U203" i="3"/>
  <c r="W203" i="3" s="1"/>
  <c r="U202" i="3"/>
  <c r="U201" i="3"/>
  <c r="W201" i="3" s="1"/>
  <c r="U200" i="3"/>
  <c r="W200" i="3" s="1"/>
  <c r="U199" i="3"/>
  <c r="W199" i="3" s="1"/>
  <c r="U198" i="3"/>
  <c r="W198" i="3" s="1"/>
  <c r="U197" i="3"/>
  <c r="W197" i="3" s="1"/>
  <c r="U196" i="3"/>
  <c r="V196" i="3" s="1"/>
  <c r="U195" i="3"/>
  <c r="W195" i="3" s="1"/>
  <c r="U194" i="3"/>
  <c r="U193" i="3"/>
  <c r="W193" i="3" s="1"/>
  <c r="U192" i="3"/>
  <c r="U191" i="3"/>
  <c r="W191" i="3" s="1"/>
  <c r="U190" i="3"/>
  <c r="W190" i="3" s="1"/>
  <c r="U189" i="3"/>
  <c r="W189" i="3" s="1"/>
  <c r="U188" i="3"/>
  <c r="V188" i="3" s="1"/>
  <c r="U187" i="3"/>
  <c r="W187" i="3" s="1"/>
  <c r="U186" i="3"/>
  <c r="V186" i="3" s="1"/>
  <c r="U185" i="3"/>
  <c r="W185" i="3" s="1"/>
  <c r="U184" i="3"/>
  <c r="W184" i="3" s="1"/>
  <c r="U183" i="3"/>
  <c r="W183" i="3" s="1"/>
  <c r="U182" i="3"/>
  <c r="W182" i="3" s="1"/>
  <c r="U181" i="3"/>
  <c r="V181" i="3" s="1"/>
  <c r="U180" i="3"/>
  <c r="U179" i="3"/>
  <c r="V179" i="3" s="1"/>
  <c r="U178" i="3"/>
  <c r="V178" i="3" s="1"/>
  <c r="U177" i="3"/>
  <c r="W177" i="3" s="1"/>
  <c r="U176" i="3"/>
  <c r="V176" i="3" s="1"/>
  <c r="U175" i="3"/>
  <c r="W175" i="3" s="1"/>
  <c r="U174" i="3"/>
  <c r="V174" i="3" s="1"/>
  <c r="U173" i="3"/>
  <c r="W173" i="3" s="1"/>
  <c r="U172" i="3"/>
  <c r="U171" i="3"/>
  <c r="W171" i="3" s="1"/>
  <c r="U170" i="3"/>
  <c r="W170" i="3" s="1"/>
  <c r="U169" i="3"/>
  <c r="U168" i="3"/>
  <c r="U167" i="3"/>
  <c r="W167" i="3" s="1"/>
  <c r="U166" i="3"/>
  <c r="V166" i="3" s="1"/>
  <c r="U165" i="3"/>
  <c r="U164" i="3"/>
  <c r="U163" i="3"/>
  <c r="W163" i="3" s="1"/>
  <c r="U162" i="3"/>
  <c r="W162" i="3" s="1"/>
  <c r="U161" i="3"/>
  <c r="W161" i="3" s="1"/>
  <c r="U160" i="3"/>
  <c r="U159" i="3"/>
  <c r="V159" i="3" s="1"/>
  <c r="U158" i="3"/>
  <c r="W158" i="3" s="1"/>
  <c r="U157" i="3"/>
  <c r="V157" i="3" s="1"/>
  <c r="U156" i="3"/>
  <c r="U155" i="3"/>
  <c r="U154" i="3"/>
  <c r="W154" i="3" s="1"/>
  <c r="U153" i="3"/>
  <c r="V153" i="3" s="1"/>
  <c r="U152" i="3"/>
  <c r="V152" i="3" s="1"/>
  <c r="U151" i="3"/>
  <c r="V151" i="3" s="1"/>
  <c r="U150" i="3"/>
  <c r="W150" i="3" s="1"/>
  <c r="U149" i="3"/>
  <c r="W149" i="3" s="1"/>
  <c r="U148" i="3"/>
  <c r="V148" i="3" s="1"/>
  <c r="U147" i="3"/>
  <c r="W147" i="3" s="1"/>
  <c r="U146" i="3"/>
  <c r="U145" i="3"/>
  <c r="W145" i="3" s="1"/>
  <c r="U144" i="3"/>
  <c r="V144" i="3" s="1"/>
  <c r="U143" i="3"/>
  <c r="W143" i="3" s="1"/>
  <c r="U142" i="3"/>
  <c r="W142" i="3" s="1"/>
  <c r="U141" i="3"/>
  <c r="W141" i="3" s="1"/>
  <c r="U140" i="3"/>
  <c r="W140" i="3" s="1"/>
  <c r="U139" i="3"/>
  <c r="W139" i="3" s="1"/>
  <c r="U138" i="3"/>
  <c r="V138" i="3" s="1"/>
  <c r="U137" i="3"/>
  <c r="U136" i="3"/>
  <c r="V136" i="3" s="1"/>
  <c r="U135" i="3"/>
  <c r="W135" i="3" s="1"/>
  <c r="U134" i="3"/>
  <c r="U133" i="3"/>
  <c r="W133" i="3" s="1"/>
  <c r="U132" i="3"/>
  <c r="V132" i="3" s="1"/>
  <c r="U131" i="3"/>
  <c r="W131" i="3" s="1"/>
  <c r="U130" i="3"/>
  <c r="V130" i="3" s="1"/>
  <c r="U129" i="3"/>
  <c r="V129" i="3" s="1"/>
  <c r="U128" i="3"/>
  <c r="W128" i="3" s="1"/>
  <c r="U127" i="3"/>
  <c r="W127" i="3" s="1"/>
  <c r="U126" i="3"/>
  <c r="V126" i="3" s="1"/>
  <c r="U125" i="3"/>
  <c r="V125" i="3" s="1"/>
  <c r="U124" i="3"/>
  <c r="W124" i="3" s="1"/>
  <c r="U123" i="3"/>
  <c r="U122" i="3"/>
  <c r="V122" i="3" s="1"/>
  <c r="U121" i="3"/>
  <c r="U120" i="3"/>
  <c r="U119" i="3"/>
  <c r="W119" i="3" s="1"/>
  <c r="U118" i="3"/>
  <c r="U117" i="3"/>
  <c r="W117" i="3" s="1"/>
  <c r="U116" i="3"/>
  <c r="W116" i="3" s="1"/>
  <c r="U115" i="3"/>
  <c r="W115" i="3" s="1"/>
  <c r="U114" i="3"/>
  <c r="W114" i="3" s="1"/>
  <c r="U113" i="3"/>
  <c r="W113" i="3" s="1"/>
  <c r="U112" i="3"/>
  <c r="W112" i="3" s="1"/>
  <c r="U111" i="3"/>
  <c r="W111" i="3" s="1"/>
  <c r="U110" i="3"/>
  <c r="U109" i="3"/>
  <c r="U108" i="3"/>
  <c r="W108" i="3" s="1"/>
  <c r="U107" i="3"/>
  <c r="W107" i="3" s="1"/>
  <c r="U106" i="3"/>
  <c r="W106" i="3" s="1"/>
  <c r="U105" i="3"/>
  <c r="W105" i="3" s="1"/>
  <c r="U104" i="3"/>
  <c r="W104" i="3" s="1"/>
  <c r="U103" i="3"/>
  <c r="U102" i="3"/>
  <c r="V102" i="3" s="1"/>
  <c r="U101" i="3"/>
  <c r="W101" i="3" s="1"/>
  <c r="U100" i="3"/>
  <c r="W100" i="3" s="1"/>
  <c r="U99" i="3"/>
  <c r="W99" i="3" s="1"/>
  <c r="U98" i="3"/>
  <c r="U97" i="3"/>
  <c r="W97" i="3" s="1"/>
  <c r="U96" i="3"/>
  <c r="V96" i="3" s="1"/>
  <c r="U95" i="3"/>
  <c r="V95" i="3" s="1"/>
  <c r="U94" i="3"/>
  <c r="W94" i="3" s="1"/>
  <c r="U93" i="3"/>
  <c r="W93" i="3" s="1"/>
  <c r="U92" i="3"/>
  <c r="W92" i="3" s="1"/>
  <c r="U91" i="3"/>
  <c r="V91" i="3" s="1"/>
  <c r="U90" i="3"/>
  <c r="W90" i="3" s="1"/>
  <c r="U89" i="3"/>
  <c r="W89" i="3" s="1"/>
  <c r="U88" i="3"/>
  <c r="U87" i="3"/>
  <c r="W87" i="3" s="1"/>
  <c r="U86" i="3"/>
  <c r="W86" i="3" s="1"/>
  <c r="U85" i="3"/>
  <c r="W85" i="3" s="1"/>
  <c r="U84" i="3"/>
  <c r="W84" i="3" s="1"/>
  <c r="U83" i="3"/>
  <c r="W83" i="3" s="1"/>
  <c r="U82" i="3"/>
  <c r="W82" i="3" s="1"/>
  <c r="U81" i="3"/>
  <c r="W81" i="3" s="1"/>
  <c r="U80" i="3"/>
  <c r="W80" i="3" s="1"/>
  <c r="U79" i="3"/>
  <c r="U78" i="3"/>
  <c r="W78" i="3" s="1"/>
  <c r="U77" i="3"/>
  <c r="W77" i="3" s="1"/>
  <c r="U76" i="3"/>
  <c r="W76" i="3" s="1"/>
  <c r="U75" i="3"/>
  <c r="U74" i="3"/>
  <c r="V74" i="3" s="1"/>
  <c r="U73" i="3"/>
  <c r="V73" i="3" s="1"/>
  <c r="U72" i="3"/>
  <c r="W72" i="3" s="1"/>
  <c r="U71" i="3"/>
  <c r="U70" i="3"/>
  <c r="W70" i="3" s="1"/>
  <c r="U69" i="3"/>
  <c r="V69" i="3" s="1"/>
  <c r="U68" i="3"/>
  <c r="W68" i="3" s="1"/>
  <c r="U67" i="3"/>
  <c r="U66" i="3"/>
  <c r="V66" i="3" s="1"/>
  <c r="U65" i="3"/>
  <c r="W65" i="3" s="1"/>
  <c r="U64" i="3"/>
  <c r="W64" i="3" s="1"/>
  <c r="U63" i="3"/>
  <c r="W63" i="3" s="1"/>
  <c r="U62" i="3"/>
  <c r="V62" i="3" s="1"/>
  <c r="U61" i="3"/>
  <c r="W61" i="3" s="1"/>
  <c r="U60" i="3"/>
  <c r="W60" i="3" s="1"/>
  <c r="U59" i="3"/>
  <c r="W59" i="3" s="1"/>
  <c r="U58" i="3"/>
  <c r="U57" i="3"/>
  <c r="W57" i="3" s="1"/>
  <c r="U56" i="3"/>
  <c r="W56" i="3" s="1"/>
  <c r="U55" i="3"/>
  <c r="U54" i="3"/>
  <c r="V54" i="3" s="1"/>
  <c r="U53" i="3"/>
  <c r="W53" i="3" s="1"/>
  <c r="U52" i="3"/>
  <c r="W52" i="3" s="1"/>
  <c r="U51" i="3"/>
  <c r="U50" i="3"/>
  <c r="W50" i="3" s="1"/>
  <c r="U49" i="3"/>
  <c r="W49" i="3" s="1"/>
  <c r="U48" i="3"/>
  <c r="U47" i="3"/>
  <c r="W47" i="3" s="1"/>
  <c r="U46" i="3"/>
  <c r="V46" i="3" s="1"/>
  <c r="U45" i="3"/>
  <c r="W45" i="3" s="1"/>
  <c r="U44" i="3"/>
  <c r="W44" i="3" s="1"/>
  <c r="U43" i="3"/>
  <c r="V43" i="3" s="1"/>
  <c r="U42" i="3"/>
  <c r="W42" i="3" s="1"/>
  <c r="U41" i="3"/>
  <c r="V41" i="3" s="1"/>
  <c r="U40" i="3"/>
  <c r="V40" i="3" s="1"/>
  <c r="U39" i="3"/>
  <c r="W39" i="3" s="1"/>
  <c r="U38" i="3"/>
  <c r="W38" i="3" s="1"/>
  <c r="U37" i="3"/>
  <c r="W37" i="3" s="1"/>
  <c r="U36" i="3"/>
  <c r="W36" i="3" s="1"/>
  <c r="U35" i="3"/>
  <c r="U34" i="3"/>
  <c r="W34" i="3" s="1"/>
  <c r="U33" i="3"/>
  <c r="V33" i="3" s="1"/>
  <c r="U32" i="3"/>
  <c r="W32" i="3" s="1"/>
  <c r="U31" i="3"/>
  <c r="W31" i="3" s="1"/>
  <c r="U30" i="3"/>
  <c r="W30" i="3" s="1"/>
  <c r="U29" i="3"/>
  <c r="W29" i="3" s="1"/>
  <c r="U28" i="3"/>
  <c r="U27" i="3"/>
  <c r="W27" i="3" s="1"/>
  <c r="U26" i="3"/>
  <c r="W26" i="3" s="1"/>
  <c r="U25" i="3"/>
  <c r="V25" i="3" s="1"/>
  <c r="U24" i="3"/>
  <c r="U23" i="3"/>
  <c r="U22" i="3"/>
  <c r="U21" i="3"/>
  <c r="W21" i="3" s="1"/>
  <c r="U20" i="3"/>
  <c r="W20" i="3" s="1"/>
  <c r="U19" i="3"/>
  <c r="W19" i="3" s="1"/>
  <c r="U18" i="3"/>
  <c r="V18" i="3" s="1"/>
  <c r="U17" i="3"/>
  <c r="V17" i="3" s="1"/>
  <c r="U16" i="3"/>
  <c r="W16" i="3" s="1"/>
  <c r="U15" i="3"/>
  <c r="W15" i="3" s="1"/>
  <c r="U14" i="3"/>
  <c r="W14" i="3" s="1"/>
  <c r="U13" i="3"/>
  <c r="W13" i="3" s="1"/>
  <c r="U12" i="3"/>
  <c r="W12" i="3" s="1"/>
  <c r="U11" i="3"/>
  <c r="W11" i="3" s="1"/>
  <c r="U10" i="3"/>
  <c r="W10" i="3" s="1"/>
  <c r="U9" i="3"/>
  <c r="W9" i="3" s="1"/>
  <c r="U8" i="3"/>
  <c r="U7" i="3"/>
  <c r="W7" i="3" s="1"/>
  <c r="U6" i="3"/>
  <c r="W6" i="3" s="1"/>
  <c r="U5" i="3"/>
  <c r="V5" i="3" s="1"/>
  <c r="U4" i="3"/>
  <c r="V4" i="3" s="1"/>
  <c r="U3" i="3"/>
  <c r="W3" i="3" s="1"/>
  <c r="Q1294" i="3"/>
  <c r="Q1293" i="3"/>
  <c r="S1293" i="3" s="1"/>
  <c r="Q1292" i="3"/>
  <c r="Q1291" i="3"/>
  <c r="S1291" i="3" s="1"/>
  <c r="Q1290" i="3"/>
  <c r="S1290" i="3" s="1"/>
  <c r="Q1289" i="3"/>
  <c r="Q1288" i="3"/>
  <c r="Q1287" i="3"/>
  <c r="Q1286" i="3"/>
  <c r="S1286" i="3" s="1"/>
  <c r="Q1285" i="3"/>
  <c r="Q1284" i="3"/>
  <c r="S1284" i="3" s="1"/>
  <c r="Q1283" i="3"/>
  <c r="S1283" i="3" s="1"/>
  <c r="Q1282" i="3"/>
  <c r="Q1281" i="3"/>
  <c r="S1281" i="3" s="1"/>
  <c r="Q1280" i="3"/>
  <c r="R1280" i="3" s="1"/>
  <c r="Q1279" i="3"/>
  <c r="Q1278" i="3"/>
  <c r="R1278" i="3" s="1"/>
  <c r="Q1277" i="3"/>
  <c r="S1277" i="3" s="1"/>
  <c r="Q1276" i="3"/>
  <c r="R1276" i="3" s="1"/>
  <c r="Q1275" i="3"/>
  <c r="Q1274" i="3"/>
  <c r="R1274" i="3" s="1"/>
  <c r="Q1273" i="3"/>
  <c r="R1273" i="3" s="1"/>
  <c r="Q1272" i="3"/>
  <c r="S1272" i="3" s="1"/>
  <c r="Q1271" i="3"/>
  <c r="R1271" i="3" s="1"/>
  <c r="Q1270" i="3"/>
  <c r="Q1269" i="3"/>
  <c r="S1269" i="3" s="1"/>
  <c r="Q1268" i="3"/>
  <c r="R1268" i="3" s="1"/>
  <c r="Q1267" i="3"/>
  <c r="Q1266" i="3"/>
  <c r="R1266" i="3" s="1"/>
  <c r="Q1265" i="3"/>
  <c r="Q1264" i="3"/>
  <c r="R1264" i="3" s="1"/>
  <c r="Q1263" i="3"/>
  <c r="S1263" i="3" s="1"/>
  <c r="Q1262" i="3"/>
  <c r="Q1261" i="3"/>
  <c r="R1261" i="3" s="1"/>
  <c r="Q1260" i="3"/>
  <c r="R1260" i="3" s="1"/>
  <c r="Q1259" i="3"/>
  <c r="R1259" i="3" s="1"/>
  <c r="Q1258" i="3"/>
  <c r="Q1257" i="3"/>
  <c r="R1257" i="3" s="1"/>
  <c r="Q1256" i="3"/>
  <c r="S1256" i="3" s="1"/>
  <c r="Q1255" i="3"/>
  <c r="R1255" i="3" s="1"/>
  <c r="Q1254" i="3"/>
  <c r="Q1253" i="3"/>
  <c r="Q1252" i="3"/>
  <c r="R1252" i="3" s="1"/>
  <c r="Q1251" i="3"/>
  <c r="Q1250" i="3"/>
  <c r="R1250" i="3" s="1"/>
  <c r="Q1249" i="3"/>
  <c r="R1249" i="3" s="1"/>
  <c r="Q1248" i="3"/>
  <c r="S1248" i="3" s="1"/>
  <c r="Q1247" i="3"/>
  <c r="Q1246" i="3"/>
  <c r="R1246" i="3" s="1"/>
  <c r="Q1245" i="3"/>
  <c r="Q1244" i="3"/>
  <c r="R1244" i="3" s="1"/>
  <c r="Q1243" i="3"/>
  <c r="Q1242" i="3"/>
  <c r="S1242" i="3" s="1"/>
  <c r="Q1241" i="3"/>
  <c r="R1241" i="3" s="1"/>
  <c r="Q1240" i="3"/>
  <c r="R1240" i="3" s="1"/>
  <c r="Q1239" i="3"/>
  <c r="Q1238" i="3"/>
  <c r="R1238" i="3" s="1"/>
  <c r="Q1237" i="3"/>
  <c r="S1237" i="3" s="1"/>
  <c r="Q1236" i="3"/>
  <c r="R1236" i="3" s="1"/>
  <c r="Q1235" i="3"/>
  <c r="Q1234" i="3"/>
  <c r="Q1233" i="3"/>
  <c r="Q1232" i="3"/>
  <c r="S1232" i="3" s="1"/>
  <c r="Q1231" i="3"/>
  <c r="Q1230" i="3"/>
  <c r="R1230" i="3" s="1"/>
  <c r="Q1229" i="3"/>
  <c r="R1229" i="3" s="1"/>
  <c r="Q1228" i="3"/>
  <c r="R1228" i="3" s="1"/>
  <c r="Q1227" i="3"/>
  <c r="Q1226" i="3"/>
  <c r="Q1225" i="3"/>
  <c r="R1225" i="3" s="1"/>
  <c r="Q1224" i="3"/>
  <c r="Q1223" i="3"/>
  <c r="S1223" i="3" s="1"/>
  <c r="Q1222" i="3"/>
  <c r="R1222" i="3" s="1"/>
  <c r="Q1221" i="3"/>
  <c r="S1221" i="3" s="1"/>
  <c r="Q1220" i="3"/>
  <c r="R1220" i="3" s="1"/>
  <c r="Q1219" i="3"/>
  <c r="Q1218" i="3"/>
  <c r="S1218" i="3" s="1"/>
  <c r="Q1217" i="3"/>
  <c r="Q1216" i="3"/>
  <c r="R1216" i="3" s="1"/>
  <c r="Q1215" i="3"/>
  <c r="R1215" i="3" s="1"/>
  <c r="Q1214" i="3"/>
  <c r="Q1213" i="3"/>
  <c r="S1213" i="3" s="1"/>
  <c r="Q1212" i="3"/>
  <c r="Q1211" i="3"/>
  <c r="S1211" i="3" s="1"/>
  <c r="Q1210" i="3"/>
  <c r="R1210" i="3" s="1"/>
  <c r="Q1209" i="3"/>
  <c r="Q1208" i="3"/>
  <c r="R1208" i="3" s="1"/>
  <c r="Q1207" i="3"/>
  <c r="R1207" i="3" s="1"/>
  <c r="Q1206" i="3"/>
  <c r="R1206" i="3" s="1"/>
  <c r="Q1205" i="3"/>
  <c r="S1205" i="3" s="1"/>
  <c r="Q1204" i="3"/>
  <c r="S1204" i="3" s="1"/>
  <c r="Q1203" i="3"/>
  <c r="R1203" i="3" s="1"/>
  <c r="Q1202" i="3"/>
  <c r="Q1201" i="3"/>
  <c r="Q1200" i="3"/>
  <c r="Q1199" i="3"/>
  <c r="S1199" i="3" s="1"/>
  <c r="Q1198" i="3"/>
  <c r="S1198" i="3" s="1"/>
  <c r="Q1197" i="3"/>
  <c r="Q1196" i="3"/>
  <c r="Q1195" i="3"/>
  <c r="Q1194" i="3"/>
  <c r="R1194" i="3" s="1"/>
  <c r="Q1193" i="3"/>
  <c r="Q1192" i="3"/>
  <c r="S1192" i="3" s="1"/>
  <c r="Q1191" i="3"/>
  <c r="S1191" i="3" s="1"/>
  <c r="Q1190" i="3"/>
  <c r="R1190" i="3" s="1"/>
  <c r="Q1189" i="3"/>
  <c r="R1189" i="3" s="1"/>
  <c r="Q1188" i="3"/>
  <c r="Q1187" i="3"/>
  <c r="R1187" i="3" s="1"/>
  <c r="Q1186" i="3"/>
  <c r="S1186" i="3" s="1"/>
  <c r="Q1185" i="3"/>
  <c r="S1185" i="3" s="1"/>
  <c r="Q1184" i="3"/>
  <c r="S1184" i="3" s="1"/>
  <c r="Q1183" i="3"/>
  <c r="Q1182" i="3"/>
  <c r="R1182" i="3" s="1"/>
  <c r="Q1181" i="3"/>
  <c r="S1181" i="3" s="1"/>
  <c r="Q1180" i="3"/>
  <c r="R1180" i="3" s="1"/>
  <c r="Q1179" i="3"/>
  <c r="S1179" i="3" s="1"/>
  <c r="Q1178" i="3"/>
  <c r="S1178" i="3" s="1"/>
  <c r="Q1177" i="3"/>
  <c r="S1177" i="3" s="1"/>
  <c r="Q1176" i="3"/>
  <c r="S1176" i="3" s="1"/>
  <c r="Q1175" i="3"/>
  <c r="R1175" i="3" s="1"/>
  <c r="Q1174" i="3"/>
  <c r="S1174" i="3" s="1"/>
  <c r="Q1173" i="3"/>
  <c r="Q1172" i="3"/>
  <c r="S1172" i="3" s="1"/>
  <c r="Q1171" i="3"/>
  <c r="S1171" i="3" s="1"/>
  <c r="Q1170" i="3"/>
  <c r="Q1169" i="3"/>
  <c r="Q1168" i="3"/>
  <c r="Q1167" i="3"/>
  <c r="S1167" i="3" s="1"/>
  <c r="Q1166" i="3"/>
  <c r="Q1165" i="3"/>
  <c r="R1165" i="3" s="1"/>
  <c r="Q1164" i="3"/>
  <c r="S1164" i="3" s="1"/>
  <c r="Q1163" i="3"/>
  <c r="S1163" i="3" s="1"/>
  <c r="Q1162" i="3"/>
  <c r="R1162" i="3" s="1"/>
  <c r="Q1161" i="3"/>
  <c r="R1161" i="3" s="1"/>
  <c r="Q1160" i="3"/>
  <c r="S1160" i="3" s="1"/>
  <c r="Q1159" i="3"/>
  <c r="R1159" i="3" s="1"/>
  <c r="Q1158" i="3"/>
  <c r="S1158" i="3" s="1"/>
  <c r="Q1157" i="3"/>
  <c r="S1157" i="3" s="1"/>
  <c r="Q1156" i="3"/>
  <c r="S1156" i="3" s="1"/>
  <c r="Q1155" i="3"/>
  <c r="Q1154" i="3"/>
  <c r="R1154" i="3" s="1"/>
  <c r="Q1153" i="3"/>
  <c r="Q1152" i="3"/>
  <c r="R1152" i="3" s="1"/>
  <c r="Q1151" i="3"/>
  <c r="Q1150" i="3"/>
  <c r="Q1149" i="3"/>
  <c r="S1149" i="3" s="1"/>
  <c r="Q1148" i="3"/>
  <c r="Q1147" i="3"/>
  <c r="R1147" i="3" s="1"/>
  <c r="Q1146" i="3"/>
  <c r="R1146" i="3" s="1"/>
  <c r="Q1145" i="3"/>
  <c r="R1145" i="3" s="1"/>
  <c r="Q1144" i="3"/>
  <c r="S1144" i="3" s="1"/>
  <c r="Q1143" i="3"/>
  <c r="R1143" i="3" s="1"/>
  <c r="Q1142" i="3"/>
  <c r="S1142" i="3" s="1"/>
  <c r="Q1141" i="3"/>
  <c r="Q1140" i="3"/>
  <c r="R1140" i="3" s="1"/>
  <c r="Q1139" i="3"/>
  <c r="R1139" i="3" s="1"/>
  <c r="Q1138" i="3"/>
  <c r="R1138" i="3" s="1"/>
  <c r="Q1137" i="3"/>
  <c r="S1137" i="3" s="1"/>
  <c r="Q1136" i="3"/>
  <c r="Q1135" i="3"/>
  <c r="S1135" i="3" s="1"/>
  <c r="Q1134" i="3"/>
  <c r="Q1133" i="3"/>
  <c r="R1133" i="3" s="1"/>
  <c r="Q1132" i="3"/>
  <c r="S1132" i="3" s="1"/>
  <c r="Q1131" i="3"/>
  <c r="R1131" i="3" s="1"/>
  <c r="Q1130" i="3"/>
  <c r="S1130" i="3" s="1"/>
  <c r="Q1129" i="3"/>
  <c r="R1129" i="3" s="1"/>
  <c r="Q1128" i="3"/>
  <c r="Q1127" i="3"/>
  <c r="S1127" i="3" s="1"/>
  <c r="Q1126" i="3"/>
  <c r="Q1125" i="3"/>
  <c r="S1125" i="3" s="1"/>
  <c r="Q1124" i="3"/>
  <c r="Q1123" i="3"/>
  <c r="S1123" i="3" s="1"/>
  <c r="Q1122" i="3"/>
  <c r="R1122" i="3" s="1"/>
  <c r="Q1121" i="3"/>
  <c r="S1121" i="3" s="1"/>
  <c r="Q1120" i="3"/>
  <c r="Q1119" i="3"/>
  <c r="Q1118" i="3"/>
  <c r="Q1117" i="3"/>
  <c r="Q1116" i="3"/>
  <c r="Q1115" i="3"/>
  <c r="R1115" i="3" s="1"/>
  <c r="Q1114" i="3"/>
  <c r="S1114" i="3" s="1"/>
  <c r="Q1113" i="3"/>
  <c r="Q1112" i="3"/>
  <c r="R1112" i="3" s="1"/>
  <c r="Q1111" i="3"/>
  <c r="R1111" i="3" s="1"/>
  <c r="Q1110" i="3"/>
  <c r="R1110" i="3" s="1"/>
  <c r="Q1109" i="3"/>
  <c r="Q1108" i="3"/>
  <c r="Q1107" i="3"/>
  <c r="Q1106" i="3"/>
  <c r="Q1105" i="3"/>
  <c r="R1105" i="3" s="1"/>
  <c r="Q1104" i="3"/>
  <c r="Q1103" i="3"/>
  <c r="R1103" i="3" s="1"/>
  <c r="Q1102" i="3"/>
  <c r="S1102" i="3" s="1"/>
  <c r="Q1101" i="3"/>
  <c r="Q1100" i="3"/>
  <c r="Q1099" i="3"/>
  <c r="S1099" i="3" s="1"/>
  <c r="Q1098" i="3"/>
  <c r="R1098" i="3" s="1"/>
  <c r="Q1097" i="3"/>
  <c r="Q1096" i="3"/>
  <c r="Q1095" i="3"/>
  <c r="Q1094" i="3"/>
  <c r="S1094" i="3" s="1"/>
  <c r="Q1093" i="3"/>
  <c r="Q1092" i="3"/>
  <c r="S1092" i="3" s="1"/>
  <c r="Q1091" i="3"/>
  <c r="Q1090" i="3"/>
  <c r="R1090" i="3" s="1"/>
  <c r="Q1089" i="3"/>
  <c r="R1089" i="3" s="1"/>
  <c r="Q1088" i="3"/>
  <c r="S1088" i="3" s="1"/>
  <c r="Q1087" i="3"/>
  <c r="Q1086" i="3"/>
  <c r="S1086" i="3" s="1"/>
  <c r="Q1085" i="3"/>
  <c r="S1085" i="3" s="1"/>
  <c r="Q1084" i="3"/>
  <c r="R1084" i="3" s="1"/>
  <c r="Q1083" i="3"/>
  <c r="R1083" i="3" s="1"/>
  <c r="Q1082" i="3"/>
  <c r="R1082" i="3" s="1"/>
  <c r="Q1081" i="3"/>
  <c r="S1081" i="3" s="1"/>
  <c r="Q1080" i="3"/>
  <c r="Q1079" i="3"/>
  <c r="R1079" i="3" s="1"/>
  <c r="Q1078" i="3"/>
  <c r="S1078" i="3" s="1"/>
  <c r="Q1077" i="3"/>
  <c r="Q1076" i="3"/>
  <c r="R1076" i="3" s="1"/>
  <c r="Q1075" i="3"/>
  <c r="R1075" i="3" s="1"/>
  <c r="Q1074" i="3"/>
  <c r="Q1073" i="3"/>
  <c r="S1073" i="3" s="1"/>
  <c r="Q1072" i="3"/>
  <c r="S1072" i="3" s="1"/>
  <c r="Q1071" i="3"/>
  <c r="S1071" i="3" s="1"/>
  <c r="Q1070" i="3"/>
  <c r="R1070" i="3" s="1"/>
  <c r="Q1069" i="3"/>
  <c r="Q1068" i="3"/>
  <c r="R1068" i="3" s="1"/>
  <c r="Q1067" i="3"/>
  <c r="S1067" i="3" s="1"/>
  <c r="Q1066" i="3"/>
  <c r="S1066" i="3" s="1"/>
  <c r="Q1065" i="3"/>
  <c r="R1065" i="3" s="1"/>
  <c r="Q1064" i="3"/>
  <c r="Q1063" i="3"/>
  <c r="R1063" i="3" s="1"/>
  <c r="Q1062" i="3"/>
  <c r="R1062" i="3" s="1"/>
  <c r="Q1061" i="3"/>
  <c r="R1061" i="3" s="1"/>
  <c r="Q1060" i="3"/>
  <c r="S1060" i="3" s="1"/>
  <c r="Q1059" i="3"/>
  <c r="Q1058" i="3"/>
  <c r="S1058" i="3" s="1"/>
  <c r="Q1057" i="3"/>
  <c r="S1057" i="3" s="1"/>
  <c r="Q1056" i="3"/>
  <c r="R1056" i="3" s="1"/>
  <c r="Q1055" i="3"/>
  <c r="S1055" i="3" s="1"/>
  <c r="Q1054" i="3"/>
  <c r="R1054" i="3" s="1"/>
  <c r="Q1053" i="3"/>
  <c r="S1053" i="3" s="1"/>
  <c r="Q1052" i="3"/>
  <c r="S1052" i="3" s="1"/>
  <c r="Q1051" i="3"/>
  <c r="Q1050" i="3"/>
  <c r="S1050" i="3" s="1"/>
  <c r="Q1049" i="3"/>
  <c r="R1049" i="3" s="1"/>
  <c r="Q1048" i="3"/>
  <c r="R1048" i="3" s="1"/>
  <c r="Q1047" i="3"/>
  <c r="Q1046" i="3"/>
  <c r="S1046" i="3" s="1"/>
  <c r="Q1045" i="3"/>
  <c r="S1045" i="3" s="1"/>
  <c r="Q1044" i="3"/>
  <c r="S1044" i="3" s="1"/>
  <c r="Q1043" i="3"/>
  <c r="Q1042" i="3"/>
  <c r="R1042" i="3" s="1"/>
  <c r="Q1041" i="3"/>
  <c r="R1041" i="3" s="1"/>
  <c r="Q1040" i="3"/>
  <c r="R1040" i="3" s="1"/>
  <c r="Q1039" i="3"/>
  <c r="R1039" i="3" s="1"/>
  <c r="Q1038" i="3"/>
  <c r="Q1037" i="3"/>
  <c r="R1037" i="3" s="1"/>
  <c r="Q1036" i="3"/>
  <c r="S1036" i="3" s="1"/>
  <c r="Q1035" i="3"/>
  <c r="R1035" i="3" s="1"/>
  <c r="Q1034" i="3"/>
  <c r="R1034" i="3" s="1"/>
  <c r="Q1033" i="3"/>
  <c r="R1033" i="3" s="1"/>
  <c r="Q1032" i="3"/>
  <c r="S1032" i="3" s="1"/>
  <c r="Q1031" i="3"/>
  <c r="S1031" i="3" s="1"/>
  <c r="Q1030" i="3"/>
  <c r="S1030" i="3" s="1"/>
  <c r="Q1029" i="3"/>
  <c r="S1029" i="3" s="1"/>
  <c r="Q1028" i="3"/>
  <c r="Q1027" i="3"/>
  <c r="S1027" i="3" s="1"/>
  <c r="Q1026" i="3"/>
  <c r="R1026" i="3" s="1"/>
  <c r="Q1025" i="3"/>
  <c r="R1025" i="3" s="1"/>
  <c r="Q1024" i="3"/>
  <c r="R1024" i="3" s="1"/>
  <c r="Q1023" i="3"/>
  <c r="S1023" i="3" s="1"/>
  <c r="Q1022" i="3"/>
  <c r="S1022" i="3" s="1"/>
  <c r="Q1021" i="3"/>
  <c r="Q1020" i="3"/>
  <c r="Q1019" i="3"/>
  <c r="R1019" i="3" s="1"/>
  <c r="Q1018" i="3"/>
  <c r="S1018" i="3" s="1"/>
  <c r="Q1017" i="3"/>
  <c r="S1017" i="3" s="1"/>
  <c r="Q1016" i="3"/>
  <c r="R1016" i="3" s="1"/>
  <c r="Q1015" i="3"/>
  <c r="R1015" i="3" s="1"/>
  <c r="Q1014" i="3"/>
  <c r="R1014" i="3" s="1"/>
  <c r="Q1013" i="3"/>
  <c r="R1013" i="3" s="1"/>
  <c r="Q1012" i="3"/>
  <c r="Q1011" i="3"/>
  <c r="S1011" i="3" s="1"/>
  <c r="Q1010" i="3"/>
  <c r="S1010" i="3" s="1"/>
  <c r="Q1009" i="3"/>
  <c r="R1009" i="3" s="1"/>
  <c r="Q1008" i="3"/>
  <c r="Q1007" i="3"/>
  <c r="R1007" i="3" s="1"/>
  <c r="Q1006" i="3"/>
  <c r="Q1005" i="3"/>
  <c r="R1005" i="3" s="1"/>
  <c r="Q1004" i="3"/>
  <c r="R1004" i="3" s="1"/>
  <c r="Q1003" i="3"/>
  <c r="S1003" i="3" s="1"/>
  <c r="Q1002" i="3"/>
  <c r="Q1001" i="3"/>
  <c r="S1001" i="3" s="1"/>
  <c r="Q1000" i="3"/>
  <c r="R1000" i="3" s="1"/>
  <c r="Q999" i="3"/>
  <c r="R999" i="3" s="1"/>
  <c r="Q998" i="3"/>
  <c r="R998" i="3" s="1"/>
  <c r="Q997" i="3"/>
  <c r="S997" i="3" s="1"/>
  <c r="Q996" i="3"/>
  <c r="S996" i="3" s="1"/>
  <c r="Q995" i="3"/>
  <c r="S995" i="3" s="1"/>
  <c r="Q994" i="3"/>
  <c r="Q993" i="3"/>
  <c r="R993" i="3" s="1"/>
  <c r="Q992" i="3"/>
  <c r="R992" i="3" s="1"/>
  <c r="Q991" i="3"/>
  <c r="R991" i="3" s="1"/>
  <c r="Q990" i="3"/>
  <c r="Q989" i="3"/>
  <c r="R989" i="3" s="1"/>
  <c r="Q988" i="3"/>
  <c r="S988" i="3" s="1"/>
  <c r="Q987" i="3"/>
  <c r="Q986" i="3"/>
  <c r="R986" i="3" s="1"/>
  <c r="Q985" i="3"/>
  <c r="S985" i="3" s="1"/>
  <c r="Q984" i="3"/>
  <c r="R984" i="3" s="1"/>
  <c r="Q983" i="3"/>
  <c r="S983" i="3" s="1"/>
  <c r="Q982" i="3"/>
  <c r="S982" i="3" s="1"/>
  <c r="Q981" i="3"/>
  <c r="S981" i="3" s="1"/>
  <c r="Q980" i="3"/>
  <c r="S980" i="3" s="1"/>
  <c r="Q979" i="3"/>
  <c r="Q978" i="3"/>
  <c r="S978" i="3" s="1"/>
  <c r="Q977" i="3"/>
  <c r="R977" i="3" s="1"/>
  <c r="Q976" i="3"/>
  <c r="S976" i="3" s="1"/>
  <c r="Q975" i="3"/>
  <c r="S975" i="3" s="1"/>
  <c r="Q974" i="3"/>
  <c r="Q973" i="3"/>
  <c r="R973" i="3" s="1"/>
  <c r="Q972" i="3"/>
  <c r="R972" i="3" s="1"/>
  <c r="Q971" i="3"/>
  <c r="Q970" i="3"/>
  <c r="R970" i="3" s="1"/>
  <c r="Q969" i="3"/>
  <c r="S969" i="3" s="1"/>
  <c r="Q968" i="3"/>
  <c r="S968" i="3" s="1"/>
  <c r="Q967" i="3"/>
  <c r="S967" i="3" s="1"/>
  <c r="Q966" i="3"/>
  <c r="S966" i="3" s="1"/>
  <c r="Q965" i="3"/>
  <c r="R965" i="3" s="1"/>
  <c r="Q964" i="3"/>
  <c r="R964" i="3" s="1"/>
  <c r="Q963" i="3"/>
  <c r="R963" i="3" s="1"/>
  <c r="Q962" i="3"/>
  <c r="S962" i="3" s="1"/>
  <c r="Q961" i="3"/>
  <c r="S961" i="3" s="1"/>
  <c r="Q960" i="3"/>
  <c r="S960" i="3" s="1"/>
  <c r="Q959" i="3"/>
  <c r="R959" i="3" s="1"/>
  <c r="Q958" i="3"/>
  <c r="R958" i="3" s="1"/>
  <c r="Q957" i="3"/>
  <c r="Q956" i="3"/>
  <c r="R956" i="3" s="1"/>
  <c r="Q955" i="3"/>
  <c r="R955" i="3" s="1"/>
  <c r="Q954" i="3"/>
  <c r="S954" i="3" s="1"/>
  <c r="Q953" i="3"/>
  <c r="S953" i="3" s="1"/>
  <c r="Q952" i="3"/>
  <c r="S952" i="3" s="1"/>
  <c r="Q951" i="3"/>
  <c r="R951" i="3" s="1"/>
  <c r="Q950" i="3"/>
  <c r="S950" i="3" s="1"/>
  <c r="Q949" i="3"/>
  <c r="Q948" i="3"/>
  <c r="R948" i="3" s="1"/>
  <c r="Q947" i="3"/>
  <c r="R947" i="3" s="1"/>
  <c r="Q946" i="3"/>
  <c r="S946" i="3" s="1"/>
  <c r="Q945" i="3"/>
  <c r="S945" i="3" s="1"/>
  <c r="Q944" i="3"/>
  <c r="Q943" i="3"/>
  <c r="S943" i="3" s="1"/>
  <c r="Q942" i="3"/>
  <c r="R942" i="3" s="1"/>
  <c r="Q941" i="3"/>
  <c r="S941" i="3" s="1"/>
  <c r="Q940" i="3"/>
  <c r="Q939" i="3"/>
  <c r="S939" i="3" s="1"/>
  <c r="Q938" i="3"/>
  <c r="S938" i="3" s="1"/>
  <c r="Q937" i="3"/>
  <c r="Q936" i="3"/>
  <c r="Q935" i="3"/>
  <c r="R935" i="3" s="1"/>
  <c r="Q934" i="3"/>
  <c r="S934" i="3" s="1"/>
  <c r="Q933" i="3"/>
  <c r="R933" i="3" s="1"/>
  <c r="Q932" i="3"/>
  <c r="S932" i="3" s="1"/>
  <c r="Q931" i="3"/>
  <c r="S931" i="3" s="1"/>
  <c r="Q930" i="3"/>
  <c r="Q929" i="3"/>
  <c r="S929" i="3" s="1"/>
  <c r="Q928" i="3"/>
  <c r="R928" i="3" s="1"/>
  <c r="Q927" i="3"/>
  <c r="Q926" i="3"/>
  <c r="Q925" i="3"/>
  <c r="R925" i="3" s="1"/>
  <c r="Q924" i="3"/>
  <c r="R924" i="3" s="1"/>
  <c r="Q923" i="3"/>
  <c r="Q922" i="3"/>
  <c r="Q921" i="3"/>
  <c r="R921" i="3" s="1"/>
  <c r="Q920" i="3"/>
  <c r="Q919" i="3"/>
  <c r="S919" i="3" s="1"/>
  <c r="Q918" i="3"/>
  <c r="S918" i="3" s="1"/>
  <c r="Q917" i="3"/>
  <c r="S917" i="3" s="1"/>
  <c r="Q916" i="3"/>
  <c r="R916" i="3" s="1"/>
  <c r="Q915" i="3"/>
  <c r="R915" i="3" s="1"/>
  <c r="Q914" i="3"/>
  <c r="Q913" i="3"/>
  <c r="R913" i="3" s="1"/>
  <c r="Q912" i="3"/>
  <c r="R912" i="3" s="1"/>
  <c r="Q911" i="3"/>
  <c r="R911" i="3" s="1"/>
  <c r="Q910" i="3"/>
  <c r="S910" i="3" s="1"/>
  <c r="Q909" i="3"/>
  <c r="Q908" i="3"/>
  <c r="Q907" i="3"/>
  <c r="R907" i="3" s="1"/>
  <c r="Q906" i="3"/>
  <c r="S906" i="3" s="1"/>
  <c r="Q905" i="3"/>
  <c r="R905" i="3" s="1"/>
  <c r="Q904" i="3"/>
  <c r="Q903" i="3"/>
  <c r="S903" i="3" s="1"/>
  <c r="Q902" i="3"/>
  <c r="R902" i="3" s="1"/>
  <c r="Q901" i="3"/>
  <c r="R901" i="3" s="1"/>
  <c r="Q900" i="3"/>
  <c r="Q899" i="3"/>
  <c r="Q898" i="3"/>
  <c r="Q897" i="3"/>
  <c r="S897" i="3" s="1"/>
  <c r="Q896" i="3"/>
  <c r="Q895" i="3"/>
  <c r="R895" i="3" s="1"/>
  <c r="Q894" i="3"/>
  <c r="R894" i="3" s="1"/>
  <c r="Q893" i="3"/>
  <c r="R893" i="3" s="1"/>
  <c r="Q892" i="3"/>
  <c r="S892" i="3" s="1"/>
  <c r="Q891" i="3"/>
  <c r="S891" i="3" s="1"/>
  <c r="Q890" i="3"/>
  <c r="R890" i="3" s="1"/>
  <c r="Q889" i="3"/>
  <c r="S889" i="3" s="1"/>
  <c r="Q888" i="3"/>
  <c r="R888" i="3" s="1"/>
  <c r="Q887" i="3"/>
  <c r="Q886" i="3"/>
  <c r="R886" i="3" s="1"/>
  <c r="Q885" i="3"/>
  <c r="S885" i="3" s="1"/>
  <c r="Q884" i="3"/>
  <c r="Q883" i="3"/>
  <c r="S883" i="3" s="1"/>
  <c r="Q882" i="3"/>
  <c r="S882" i="3" s="1"/>
  <c r="Q881" i="3"/>
  <c r="Q880" i="3"/>
  <c r="S880" i="3" s="1"/>
  <c r="Q879" i="3"/>
  <c r="Q878" i="3"/>
  <c r="S878" i="3" s="1"/>
  <c r="Q877" i="3"/>
  <c r="Q876" i="3"/>
  <c r="R876" i="3" s="1"/>
  <c r="Q875" i="3"/>
  <c r="R875" i="3" s="1"/>
  <c r="Q874" i="3"/>
  <c r="R874" i="3" s="1"/>
  <c r="Q873" i="3"/>
  <c r="S873" i="3" s="1"/>
  <c r="Q872" i="3"/>
  <c r="R872" i="3" s="1"/>
  <c r="Q871" i="3"/>
  <c r="S871" i="3" s="1"/>
  <c r="Q870" i="3"/>
  <c r="S870" i="3" s="1"/>
  <c r="Q869" i="3"/>
  <c r="Q868" i="3"/>
  <c r="S868" i="3" s="1"/>
  <c r="Q867" i="3"/>
  <c r="Q866" i="3"/>
  <c r="S866" i="3" s="1"/>
  <c r="Q865" i="3"/>
  <c r="Q864" i="3"/>
  <c r="R864" i="3" s="1"/>
  <c r="Q863" i="3"/>
  <c r="S863" i="3" s="1"/>
  <c r="Q862" i="3"/>
  <c r="Q861" i="3"/>
  <c r="S861" i="3" s="1"/>
  <c r="Q860" i="3"/>
  <c r="R860" i="3" s="1"/>
  <c r="Q859" i="3"/>
  <c r="R859" i="3" s="1"/>
  <c r="Q858" i="3"/>
  <c r="Q857" i="3"/>
  <c r="S857" i="3" s="1"/>
  <c r="Q856" i="3"/>
  <c r="S856" i="3" s="1"/>
  <c r="Q855" i="3"/>
  <c r="S855" i="3" s="1"/>
  <c r="Q854" i="3"/>
  <c r="Q853" i="3"/>
  <c r="R853" i="3" s="1"/>
  <c r="Q852" i="3"/>
  <c r="S852" i="3" s="1"/>
  <c r="Q851" i="3"/>
  <c r="R851" i="3" s="1"/>
  <c r="Q850" i="3"/>
  <c r="Q849" i="3"/>
  <c r="S849" i="3" s="1"/>
  <c r="Q848" i="3"/>
  <c r="S848" i="3" s="1"/>
  <c r="Q847" i="3"/>
  <c r="S847" i="3" s="1"/>
  <c r="Q846" i="3"/>
  <c r="Q845" i="3"/>
  <c r="Q844" i="3"/>
  <c r="Q843" i="3"/>
  <c r="R843" i="3" s="1"/>
  <c r="Q842" i="3"/>
  <c r="S842" i="3" s="1"/>
  <c r="Q841" i="3"/>
  <c r="R841" i="3" s="1"/>
  <c r="Q840" i="3"/>
  <c r="S840" i="3" s="1"/>
  <c r="Q839" i="3"/>
  <c r="R839" i="3" s="1"/>
  <c r="Q838" i="3"/>
  <c r="Q837" i="3"/>
  <c r="R837" i="3" s="1"/>
  <c r="Q836" i="3"/>
  <c r="S836" i="3" s="1"/>
  <c r="Q835" i="3"/>
  <c r="S835" i="3" s="1"/>
  <c r="Q834" i="3"/>
  <c r="R834" i="3" s="1"/>
  <c r="Q833" i="3"/>
  <c r="S833" i="3" s="1"/>
  <c r="Q832" i="3"/>
  <c r="Q831" i="3"/>
  <c r="R831" i="3" s="1"/>
  <c r="Q830" i="3"/>
  <c r="R830" i="3" s="1"/>
  <c r="Q829" i="3"/>
  <c r="R829" i="3" s="1"/>
  <c r="Q828" i="3"/>
  <c r="S828" i="3" s="1"/>
  <c r="Q827" i="3"/>
  <c r="Q826" i="3"/>
  <c r="R826" i="3" s="1"/>
  <c r="Q825" i="3"/>
  <c r="Q824" i="3"/>
  <c r="R824" i="3" s="1"/>
  <c r="Q823" i="3"/>
  <c r="Q822" i="3"/>
  <c r="S822" i="3" s="1"/>
  <c r="Q821" i="3"/>
  <c r="S821" i="3" s="1"/>
  <c r="Q820" i="3"/>
  <c r="S820" i="3" s="1"/>
  <c r="Q819" i="3"/>
  <c r="S819" i="3" s="1"/>
  <c r="Q818" i="3"/>
  <c r="R818" i="3" s="1"/>
  <c r="Q817" i="3"/>
  <c r="R817" i="3" s="1"/>
  <c r="Q816" i="3"/>
  <c r="R816" i="3" s="1"/>
  <c r="Q815" i="3"/>
  <c r="R815" i="3" s="1"/>
  <c r="Q814" i="3"/>
  <c r="R814" i="3" s="1"/>
  <c r="Q813" i="3"/>
  <c r="Q812" i="3"/>
  <c r="R812" i="3" s="1"/>
  <c r="Q811" i="3"/>
  <c r="R811" i="3" s="1"/>
  <c r="Q810" i="3"/>
  <c r="Q809" i="3"/>
  <c r="R809" i="3" s="1"/>
  <c r="Q808" i="3"/>
  <c r="Q807" i="3"/>
  <c r="Q806" i="3"/>
  <c r="S806" i="3" s="1"/>
  <c r="Q805" i="3"/>
  <c r="R805" i="3" s="1"/>
  <c r="Q804" i="3"/>
  <c r="R804" i="3" s="1"/>
  <c r="Q803" i="3"/>
  <c r="Q802" i="3"/>
  <c r="R802" i="3" s="1"/>
  <c r="Q801" i="3"/>
  <c r="R801" i="3" s="1"/>
  <c r="Q800" i="3"/>
  <c r="R800" i="3" s="1"/>
  <c r="Q799" i="3"/>
  <c r="R799" i="3" s="1"/>
  <c r="Q798" i="3"/>
  <c r="R798" i="3" s="1"/>
  <c r="Q797" i="3"/>
  <c r="R797" i="3" s="1"/>
  <c r="Q796" i="3"/>
  <c r="S796" i="3" s="1"/>
  <c r="Q795" i="3"/>
  <c r="R795" i="3" s="1"/>
  <c r="Q794" i="3"/>
  <c r="S794" i="3" s="1"/>
  <c r="Q793" i="3"/>
  <c r="S793" i="3" s="1"/>
  <c r="Q792" i="3"/>
  <c r="Q791" i="3"/>
  <c r="R791" i="3" s="1"/>
  <c r="Q790" i="3"/>
  <c r="Q789" i="3"/>
  <c r="Q788" i="3"/>
  <c r="R788" i="3" s="1"/>
  <c r="Q787" i="3"/>
  <c r="R787" i="3" s="1"/>
  <c r="Q786" i="3"/>
  <c r="S786" i="3" s="1"/>
  <c r="Q785" i="3"/>
  <c r="S785" i="3" s="1"/>
  <c r="Q784" i="3"/>
  <c r="S784" i="3" s="1"/>
  <c r="Q783" i="3"/>
  <c r="R783" i="3" s="1"/>
  <c r="Q782" i="3"/>
  <c r="S782" i="3" s="1"/>
  <c r="Q781" i="3"/>
  <c r="R781" i="3" s="1"/>
  <c r="Q780" i="3"/>
  <c r="S780" i="3" s="1"/>
  <c r="Q779" i="3"/>
  <c r="S779" i="3" s="1"/>
  <c r="Q778" i="3"/>
  <c r="S778" i="3" s="1"/>
  <c r="Q777" i="3"/>
  <c r="R777" i="3" s="1"/>
  <c r="Q776" i="3"/>
  <c r="R776" i="3" s="1"/>
  <c r="Q775" i="3"/>
  <c r="S775" i="3" s="1"/>
  <c r="Q774" i="3"/>
  <c r="R774" i="3" s="1"/>
  <c r="Q773" i="3"/>
  <c r="R773" i="3" s="1"/>
  <c r="Q772" i="3"/>
  <c r="R772" i="3" s="1"/>
  <c r="Q771" i="3"/>
  <c r="R771" i="3" s="1"/>
  <c r="Q770" i="3"/>
  <c r="S770" i="3" s="1"/>
  <c r="Q769" i="3"/>
  <c r="R769" i="3" s="1"/>
  <c r="Q768" i="3"/>
  <c r="R768" i="3" s="1"/>
  <c r="Q767" i="3"/>
  <c r="R767" i="3" s="1"/>
  <c r="Q766" i="3"/>
  <c r="R766" i="3" s="1"/>
  <c r="Q765" i="3"/>
  <c r="S765" i="3" s="1"/>
  <c r="Q764" i="3"/>
  <c r="S764" i="3" s="1"/>
  <c r="Q763" i="3"/>
  <c r="S763" i="3" s="1"/>
  <c r="Q762" i="3"/>
  <c r="R762" i="3" s="1"/>
  <c r="Q761" i="3"/>
  <c r="Q760" i="3"/>
  <c r="Q759" i="3"/>
  <c r="Q758" i="3"/>
  <c r="S758" i="3" s="1"/>
  <c r="Q757" i="3"/>
  <c r="R757" i="3" s="1"/>
  <c r="Q756" i="3"/>
  <c r="R756" i="3" s="1"/>
  <c r="Q755" i="3"/>
  <c r="R755" i="3" s="1"/>
  <c r="Q754" i="3"/>
  <c r="R754" i="3" s="1"/>
  <c r="Q753" i="3"/>
  <c r="R753" i="3" s="1"/>
  <c r="Q752" i="3"/>
  <c r="S752" i="3" s="1"/>
  <c r="Q751" i="3"/>
  <c r="S751" i="3" s="1"/>
  <c r="Q750" i="3"/>
  <c r="S750" i="3" s="1"/>
  <c r="Q749" i="3"/>
  <c r="Q748" i="3"/>
  <c r="Q747" i="3"/>
  <c r="Q746" i="3"/>
  <c r="R746" i="3" s="1"/>
  <c r="Q745" i="3"/>
  <c r="Q744" i="3"/>
  <c r="S744" i="3" s="1"/>
  <c r="Q743" i="3"/>
  <c r="S743" i="3" s="1"/>
  <c r="Q742" i="3"/>
  <c r="S742" i="3" s="1"/>
  <c r="Q741" i="3"/>
  <c r="R741" i="3" s="1"/>
  <c r="Q740" i="3"/>
  <c r="S740" i="3" s="1"/>
  <c r="Q739" i="3"/>
  <c r="Q738" i="3"/>
  <c r="S738" i="3" s="1"/>
  <c r="Q737" i="3"/>
  <c r="S737" i="3" s="1"/>
  <c r="Q736" i="3"/>
  <c r="S736" i="3" s="1"/>
  <c r="Q735" i="3"/>
  <c r="S735" i="3" s="1"/>
  <c r="Q734" i="3"/>
  <c r="S734" i="3" s="1"/>
  <c r="Q733" i="3"/>
  <c r="S733" i="3" s="1"/>
  <c r="Q732" i="3"/>
  <c r="R732" i="3" s="1"/>
  <c r="Q731" i="3"/>
  <c r="Q730" i="3"/>
  <c r="S730" i="3" s="1"/>
  <c r="Q729" i="3"/>
  <c r="S729" i="3" s="1"/>
  <c r="Q728" i="3"/>
  <c r="Q727" i="3"/>
  <c r="R727" i="3" s="1"/>
  <c r="Q726" i="3"/>
  <c r="R726" i="3" s="1"/>
  <c r="Q725" i="3"/>
  <c r="R725" i="3" s="1"/>
  <c r="Q724" i="3"/>
  <c r="Q723" i="3"/>
  <c r="Q722" i="3"/>
  <c r="R722" i="3" s="1"/>
  <c r="Q721" i="3"/>
  <c r="R721" i="3" s="1"/>
  <c r="Q720" i="3"/>
  <c r="S720" i="3" s="1"/>
  <c r="Q719" i="3"/>
  <c r="S719" i="3" s="1"/>
  <c r="Q718" i="3"/>
  <c r="Q717" i="3"/>
  <c r="S717" i="3" s="1"/>
  <c r="Q716" i="3"/>
  <c r="R716" i="3" s="1"/>
  <c r="Q715" i="3"/>
  <c r="R715" i="3" s="1"/>
  <c r="Q714" i="3"/>
  <c r="S714" i="3" s="1"/>
  <c r="Q713" i="3"/>
  <c r="Q712" i="3"/>
  <c r="S712" i="3" s="1"/>
  <c r="Q711" i="3"/>
  <c r="R711" i="3" s="1"/>
  <c r="Q710" i="3"/>
  <c r="S710" i="3" s="1"/>
  <c r="Q709" i="3"/>
  <c r="Q708" i="3"/>
  <c r="R708" i="3" s="1"/>
  <c r="Q707" i="3"/>
  <c r="S707" i="3" s="1"/>
  <c r="Q706" i="3"/>
  <c r="S706" i="3" s="1"/>
  <c r="Q705" i="3"/>
  <c r="S705" i="3" s="1"/>
  <c r="Q704" i="3"/>
  <c r="R704" i="3" s="1"/>
  <c r="Q703" i="3"/>
  <c r="Q702" i="3"/>
  <c r="R702" i="3" s="1"/>
  <c r="Q701" i="3"/>
  <c r="S701" i="3" s="1"/>
  <c r="Q700" i="3"/>
  <c r="S700" i="3" s="1"/>
  <c r="Q699" i="3"/>
  <c r="R699" i="3" s="1"/>
  <c r="Q698" i="3"/>
  <c r="R698" i="3" s="1"/>
  <c r="Q697" i="3"/>
  <c r="S697" i="3" s="1"/>
  <c r="Q696" i="3"/>
  <c r="R696" i="3" s="1"/>
  <c r="Q695" i="3"/>
  <c r="R695" i="3" s="1"/>
  <c r="Q694" i="3"/>
  <c r="S694" i="3" s="1"/>
  <c r="Q693" i="3"/>
  <c r="S693" i="3" s="1"/>
  <c r="Q692" i="3"/>
  <c r="R692" i="3" s="1"/>
  <c r="Q691" i="3"/>
  <c r="Q690" i="3"/>
  <c r="S690" i="3" s="1"/>
  <c r="Q689" i="3"/>
  <c r="S689" i="3" s="1"/>
  <c r="Q688" i="3"/>
  <c r="S688" i="3" s="1"/>
  <c r="Q687" i="3"/>
  <c r="S687" i="3" s="1"/>
  <c r="Q686" i="3"/>
  <c r="Q685" i="3"/>
  <c r="R685" i="3" s="1"/>
  <c r="Q684" i="3"/>
  <c r="R684" i="3" s="1"/>
  <c r="Q683" i="3"/>
  <c r="Q682" i="3"/>
  <c r="R682" i="3" s="1"/>
  <c r="Q681" i="3"/>
  <c r="S681" i="3" s="1"/>
  <c r="Q680" i="3"/>
  <c r="S680" i="3" s="1"/>
  <c r="Q679" i="3"/>
  <c r="S679" i="3" s="1"/>
  <c r="Q678" i="3"/>
  <c r="R678" i="3" s="1"/>
  <c r="Q677" i="3"/>
  <c r="R677" i="3" s="1"/>
  <c r="Q676" i="3"/>
  <c r="S676" i="3" s="1"/>
  <c r="Q675" i="3"/>
  <c r="S675" i="3" s="1"/>
  <c r="Q674" i="3"/>
  <c r="S674" i="3" s="1"/>
  <c r="Q673" i="3"/>
  <c r="Q672" i="3"/>
  <c r="S672" i="3" s="1"/>
  <c r="Q671" i="3"/>
  <c r="R671" i="3" s="1"/>
  <c r="Q670" i="3"/>
  <c r="R670" i="3" s="1"/>
  <c r="Q669" i="3"/>
  <c r="Q668" i="3"/>
  <c r="S668" i="3" s="1"/>
  <c r="Q667" i="3"/>
  <c r="R667" i="3" s="1"/>
  <c r="Q666" i="3"/>
  <c r="Q665" i="3"/>
  <c r="R665" i="3" s="1"/>
  <c r="Q664" i="3"/>
  <c r="R664" i="3" s="1"/>
  <c r="Q663" i="3"/>
  <c r="S663" i="3" s="1"/>
  <c r="Q662" i="3"/>
  <c r="S662" i="3" s="1"/>
  <c r="Q661" i="3"/>
  <c r="S661" i="3" s="1"/>
  <c r="Q660" i="3"/>
  <c r="Q659" i="3"/>
  <c r="S659" i="3" s="1"/>
  <c r="Q658" i="3"/>
  <c r="S658" i="3" s="1"/>
  <c r="Q657" i="3"/>
  <c r="Q656" i="3"/>
  <c r="Q655" i="3"/>
  <c r="R655" i="3" s="1"/>
  <c r="Q654" i="3"/>
  <c r="R654" i="3" s="1"/>
  <c r="Q653" i="3"/>
  <c r="S653" i="3" s="1"/>
  <c r="Q652" i="3"/>
  <c r="Q651" i="3"/>
  <c r="Q650" i="3"/>
  <c r="R650" i="3" s="1"/>
  <c r="Q649" i="3"/>
  <c r="R649" i="3" s="1"/>
  <c r="Q648" i="3"/>
  <c r="R648" i="3" s="1"/>
  <c r="Q647" i="3"/>
  <c r="S647" i="3" s="1"/>
  <c r="Q646" i="3"/>
  <c r="S646" i="3" s="1"/>
  <c r="Q645" i="3"/>
  <c r="S645" i="3" s="1"/>
  <c r="Q644" i="3"/>
  <c r="S644" i="3" s="1"/>
  <c r="Q643" i="3"/>
  <c r="R643" i="3" s="1"/>
  <c r="Q642" i="3"/>
  <c r="S642" i="3" s="1"/>
  <c r="Q641" i="3"/>
  <c r="R641" i="3" s="1"/>
  <c r="Q640" i="3"/>
  <c r="Q639" i="3"/>
  <c r="Q638" i="3"/>
  <c r="Q637" i="3"/>
  <c r="S637" i="3" s="1"/>
  <c r="Q636" i="3"/>
  <c r="R636" i="3" s="1"/>
  <c r="Q635" i="3"/>
  <c r="S635" i="3" s="1"/>
  <c r="Q634" i="3"/>
  <c r="Q633" i="3"/>
  <c r="S633" i="3" s="1"/>
  <c r="Q632" i="3"/>
  <c r="S632" i="3" s="1"/>
  <c r="Q631" i="3"/>
  <c r="S631" i="3" s="1"/>
  <c r="Q630" i="3"/>
  <c r="S630" i="3" s="1"/>
  <c r="Q629" i="3"/>
  <c r="R629" i="3" s="1"/>
  <c r="Q628" i="3"/>
  <c r="S628" i="3" s="1"/>
  <c r="Q627" i="3"/>
  <c r="S627" i="3" s="1"/>
  <c r="Q626" i="3"/>
  <c r="R626" i="3" s="1"/>
  <c r="Q625" i="3"/>
  <c r="R625" i="3" s="1"/>
  <c r="Q624" i="3"/>
  <c r="Q623" i="3"/>
  <c r="S623" i="3" s="1"/>
  <c r="Q622" i="3"/>
  <c r="R622" i="3" s="1"/>
  <c r="Q621" i="3"/>
  <c r="S621" i="3" s="1"/>
  <c r="Q620" i="3"/>
  <c r="Q619" i="3"/>
  <c r="R619" i="3" s="1"/>
  <c r="Q618" i="3"/>
  <c r="S618" i="3" s="1"/>
  <c r="Q617" i="3"/>
  <c r="S617" i="3" s="1"/>
  <c r="Q616" i="3"/>
  <c r="Q615" i="3"/>
  <c r="R615" i="3" s="1"/>
  <c r="Q614" i="3"/>
  <c r="R614" i="3" s="1"/>
  <c r="Q613" i="3"/>
  <c r="S613" i="3" s="1"/>
  <c r="Q612" i="3"/>
  <c r="R612" i="3" s="1"/>
  <c r="Q611" i="3"/>
  <c r="Q610" i="3"/>
  <c r="R610" i="3" s="1"/>
  <c r="Q609" i="3"/>
  <c r="R609" i="3" s="1"/>
  <c r="Q608" i="3"/>
  <c r="Q607" i="3"/>
  <c r="Q606" i="3"/>
  <c r="R606" i="3" s="1"/>
  <c r="Q605" i="3"/>
  <c r="S605" i="3" s="1"/>
  <c r="Q604" i="3"/>
  <c r="R604" i="3" s="1"/>
  <c r="Q603" i="3"/>
  <c r="S603" i="3" s="1"/>
  <c r="Q602" i="3"/>
  <c r="R602" i="3" s="1"/>
  <c r="Q601" i="3"/>
  <c r="R601" i="3" s="1"/>
  <c r="Q600" i="3"/>
  <c r="S600" i="3" s="1"/>
  <c r="Q599" i="3"/>
  <c r="R599" i="3" s="1"/>
  <c r="Q598" i="3"/>
  <c r="Q597" i="3"/>
  <c r="R597" i="3" s="1"/>
  <c r="Q596" i="3"/>
  <c r="Q595" i="3"/>
  <c r="Q594" i="3"/>
  <c r="R594" i="3" s="1"/>
  <c r="Q593" i="3"/>
  <c r="R593" i="3" s="1"/>
  <c r="Q592" i="3"/>
  <c r="S592" i="3" s="1"/>
  <c r="Q591" i="3"/>
  <c r="S591" i="3" s="1"/>
  <c r="Q590" i="3"/>
  <c r="R590" i="3" s="1"/>
  <c r="Q589" i="3"/>
  <c r="S589" i="3" s="1"/>
  <c r="Q588" i="3"/>
  <c r="S588" i="3" s="1"/>
  <c r="Q587" i="3"/>
  <c r="R587" i="3" s="1"/>
  <c r="Q586" i="3"/>
  <c r="S586" i="3" s="1"/>
  <c r="Q585" i="3"/>
  <c r="S585" i="3" s="1"/>
  <c r="Q584" i="3"/>
  <c r="Q583" i="3"/>
  <c r="R583" i="3" s="1"/>
  <c r="Q582" i="3"/>
  <c r="Q581" i="3"/>
  <c r="S581" i="3" s="1"/>
  <c r="Q580" i="3"/>
  <c r="R580" i="3" s="1"/>
  <c r="Q579" i="3"/>
  <c r="S579" i="3" s="1"/>
  <c r="Q578" i="3"/>
  <c r="S578" i="3" s="1"/>
  <c r="Q577" i="3"/>
  <c r="Q576" i="3"/>
  <c r="S576" i="3" s="1"/>
  <c r="Q575" i="3"/>
  <c r="S575" i="3" s="1"/>
  <c r="Q574" i="3"/>
  <c r="S574" i="3" s="1"/>
  <c r="Q573" i="3"/>
  <c r="Q572" i="3"/>
  <c r="Q571" i="3"/>
  <c r="S571" i="3" s="1"/>
  <c r="Q570" i="3"/>
  <c r="S570" i="3" s="1"/>
  <c r="Q569" i="3"/>
  <c r="R569" i="3" s="1"/>
  <c r="Q568" i="3"/>
  <c r="R568" i="3" s="1"/>
  <c r="Q567" i="3"/>
  <c r="R567" i="3" s="1"/>
  <c r="Q566" i="3"/>
  <c r="R566" i="3" s="1"/>
  <c r="Q565" i="3"/>
  <c r="Q564" i="3"/>
  <c r="S564" i="3" s="1"/>
  <c r="Q563" i="3"/>
  <c r="S563" i="3" s="1"/>
  <c r="Q562" i="3"/>
  <c r="R562" i="3" s="1"/>
  <c r="Q561" i="3"/>
  <c r="Q560" i="3"/>
  <c r="S560" i="3" s="1"/>
  <c r="Q559" i="3"/>
  <c r="R559" i="3" s="1"/>
  <c r="Q558" i="3"/>
  <c r="R558" i="3" s="1"/>
  <c r="Q557" i="3"/>
  <c r="R557" i="3" s="1"/>
  <c r="Q556" i="3"/>
  <c r="S556" i="3" s="1"/>
  <c r="Q555" i="3"/>
  <c r="R555" i="3" s="1"/>
  <c r="Q554" i="3"/>
  <c r="R554" i="3" s="1"/>
  <c r="Q553" i="3"/>
  <c r="Q552" i="3"/>
  <c r="R552" i="3" s="1"/>
  <c r="Q551" i="3"/>
  <c r="Q550" i="3"/>
  <c r="R550" i="3" s="1"/>
  <c r="Q549" i="3"/>
  <c r="S549" i="3" s="1"/>
  <c r="Q548" i="3"/>
  <c r="S548" i="3" s="1"/>
  <c r="Q547" i="3"/>
  <c r="S547" i="3" s="1"/>
  <c r="Q546" i="3"/>
  <c r="S546" i="3" s="1"/>
  <c r="Q545" i="3"/>
  <c r="Q544" i="3"/>
  <c r="Q543" i="3"/>
  <c r="R543" i="3" s="1"/>
  <c r="Q542" i="3"/>
  <c r="Q541" i="3"/>
  <c r="Q540" i="3"/>
  <c r="S540" i="3" s="1"/>
  <c r="Q539" i="3"/>
  <c r="R539" i="3" s="1"/>
  <c r="Q538" i="3"/>
  <c r="R538" i="3" s="1"/>
  <c r="Q537" i="3"/>
  <c r="S537" i="3" s="1"/>
  <c r="Q536" i="3"/>
  <c r="S536" i="3" s="1"/>
  <c r="Q535" i="3"/>
  <c r="Q534" i="3"/>
  <c r="R534" i="3" s="1"/>
  <c r="Q533" i="3"/>
  <c r="S533" i="3" s="1"/>
  <c r="Q532" i="3"/>
  <c r="S532" i="3" s="1"/>
  <c r="Q531" i="3"/>
  <c r="Q530" i="3"/>
  <c r="R530" i="3" s="1"/>
  <c r="Q529" i="3"/>
  <c r="R529" i="3" s="1"/>
  <c r="Q528" i="3"/>
  <c r="S528" i="3" s="1"/>
  <c r="Q527" i="3"/>
  <c r="R527" i="3" s="1"/>
  <c r="Q526" i="3"/>
  <c r="S526" i="3" s="1"/>
  <c r="Q525" i="3"/>
  <c r="S525" i="3" s="1"/>
  <c r="Q524" i="3"/>
  <c r="R524" i="3" s="1"/>
  <c r="Q523" i="3"/>
  <c r="Q522" i="3"/>
  <c r="Q521" i="3"/>
  <c r="R521" i="3" s="1"/>
  <c r="Q520" i="3"/>
  <c r="Q519" i="3"/>
  <c r="S519" i="3" s="1"/>
  <c r="Q518" i="3"/>
  <c r="S518" i="3" s="1"/>
  <c r="Q517" i="3"/>
  <c r="R517" i="3" s="1"/>
  <c r="Q516" i="3"/>
  <c r="R516" i="3" s="1"/>
  <c r="Q515" i="3"/>
  <c r="R515" i="3" s="1"/>
  <c r="Q514" i="3"/>
  <c r="S514" i="3" s="1"/>
  <c r="Q513" i="3"/>
  <c r="R513" i="3" s="1"/>
  <c r="Q512" i="3"/>
  <c r="S512" i="3" s="1"/>
  <c r="Q511" i="3"/>
  <c r="S511" i="3" s="1"/>
  <c r="Q510" i="3"/>
  <c r="R510" i="3" s="1"/>
  <c r="Q509" i="3"/>
  <c r="S509" i="3" s="1"/>
  <c r="Q508" i="3"/>
  <c r="S508" i="3" s="1"/>
  <c r="Q507" i="3"/>
  <c r="R507" i="3" s="1"/>
  <c r="Q506" i="3"/>
  <c r="S506" i="3" s="1"/>
  <c r="Q505" i="3"/>
  <c r="Q504" i="3"/>
  <c r="S504" i="3" s="1"/>
  <c r="Q503" i="3"/>
  <c r="R503" i="3" s="1"/>
  <c r="Q502" i="3"/>
  <c r="Q501" i="3"/>
  <c r="R501" i="3" s="1"/>
  <c r="Q500" i="3"/>
  <c r="S500" i="3" s="1"/>
  <c r="Q499" i="3"/>
  <c r="R499" i="3" s="1"/>
  <c r="Q498" i="3"/>
  <c r="S498" i="3" s="1"/>
  <c r="Q497" i="3"/>
  <c r="S497" i="3" s="1"/>
  <c r="Q496" i="3"/>
  <c r="R496" i="3" s="1"/>
  <c r="Q495" i="3"/>
  <c r="S495" i="3" s="1"/>
  <c r="Q494" i="3"/>
  <c r="S494" i="3" s="1"/>
  <c r="Q493" i="3"/>
  <c r="S493" i="3" s="1"/>
  <c r="Q492" i="3"/>
  <c r="S492" i="3" s="1"/>
  <c r="Q491" i="3"/>
  <c r="Q490" i="3"/>
  <c r="R490" i="3" s="1"/>
  <c r="Q489" i="3"/>
  <c r="Q488" i="3"/>
  <c r="R488" i="3" s="1"/>
  <c r="Q487" i="3"/>
  <c r="Q486" i="3"/>
  <c r="R486" i="3" s="1"/>
  <c r="Q485" i="3"/>
  <c r="S485" i="3" s="1"/>
  <c r="Q484" i="3"/>
  <c r="S484" i="3" s="1"/>
  <c r="Q483" i="3"/>
  <c r="S483" i="3" s="1"/>
  <c r="Q482" i="3"/>
  <c r="R482" i="3" s="1"/>
  <c r="Q481" i="3"/>
  <c r="R481" i="3" s="1"/>
  <c r="Q480" i="3"/>
  <c r="S480" i="3" s="1"/>
  <c r="Q479" i="3"/>
  <c r="Q478" i="3"/>
  <c r="R478" i="3" s="1"/>
  <c r="Q477" i="3"/>
  <c r="S477" i="3" s="1"/>
  <c r="Q476" i="3"/>
  <c r="R476" i="3" s="1"/>
  <c r="Q475" i="3"/>
  <c r="R475" i="3" s="1"/>
  <c r="Q474" i="3"/>
  <c r="R474" i="3" s="1"/>
  <c r="Q473" i="3"/>
  <c r="Q472" i="3"/>
  <c r="S472" i="3" s="1"/>
  <c r="Q471" i="3"/>
  <c r="R471" i="3" s="1"/>
  <c r="Q470" i="3"/>
  <c r="S470" i="3" s="1"/>
  <c r="Q469" i="3"/>
  <c r="R469" i="3" s="1"/>
  <c r="Q468" i="3"/>
  <c r="Q467" i="3"/>
  <c r="S467" i="3" s="1"/>
  <c r="Q466" i="3"/>
  <c r="S466" i="3" s="1"/>
  <c r="Q465" i="3"/>
  <c r="Q464" i="3"/>
  <c r="S464" i="3" s="1"/>
  <c r="Q463" i="3"/>
  <c r="S463" i="3" s="1"/>
  <c r="Q462" i="3"/>
  <c r="S462" i="3" s="1"/>
  <c r="Q461" i="3"/>
  <c r="R461" i="3" s="1"/>
  <c r="Q460" i="3"/>
  <c r="S460" i="3" s="1"/>
  <c r="Q459" i="3"/>
  <c r="R459" i="3" s="1"/>
  <c r="Q458" i="3"/>
  <c r="R458" i="3" s="1"/>
  <c r="Q457" i="3"/>
  <c r="Q456" i="3"/>
  <c r="S456" i="3" s="1"/>
  <c r="Q455" i="3"/>
  <c r="S455" i="3" s="1"/>
  <c r="Q454" i="3"/>
  <c r="Q453" i="3"/>
  <c r="S453" i="3" s="1"/>
  <c r="Q452" i="3"/>
  <c r="Q451" i="3"/>
  <c r="S451" i="3" s="1"/>
  <c r="Q450" i="3"/>
  <c r="R450" i="3" s="1"/>
  <c r="Q449" i="3"/>
  <c r="S449" i="3" s="1"/>
  <c r="Q448" i="3"/>
  <c r="R448" i="3" s="1"/>
  <c r="Q447" i="3"/>
  <c r="R447" i="3" s="1"/>
  <c r="Q446" i="3"/>
  <c r="S446" i="3" s="1"/>
  <c r="Q445" i="3"/>
  <c r="R445" i="3" s="1"/>
  <c r="Q444" i="3"/>
  <c r="Q443" i="3"/>
  <c r="S443" i="3" s="1"/>
  <c r="Q442" i="3"/>
  <c r="R442" i="3" s="1"/>
  <c r="Q441" i="3"/>
  <c r="S441" i="3" s="1"/>
  <c r="Q440" i="3"/>
  <c r="R440" i="3" s="1"/>
  <c r="Q439" i="3"/>
  <c r="R439" i="3" s="1"/>
  <c r="Q438" i="3"/>
  <c r="S438" i="3" s="1"/>
  <c r="Q437" i="3"/>
  <c r="R437" i="3" s="1"/>
  <c r="Q436" i="3"/>
  <c r="S436" i="3" s="1"/>
  <c r="Q435" i="3"/>
  <c r="Q434" i="3"/>
  <c r="S434" i="3" s="1"/>
  <c r="Q433" i="3"/>
  <c r="R433" i="3" s="1"/>
  <c r="Q432" i="3"/>
  <c r="Q431" i="3"/>
  <c r="S431" i="3" s="1"/>
  <c r="Q430" i="3"/>
  <c r="R430" i="3" s="1"/>
  <c r="Q429" i="3"/>
  <c r="R429" i="3" s="1"/>
  <c r="Q428" i="3"/>
  <c r="S428" i="3" s="1"/>
  <c r="Q427" i="3"/>
  <c r="S427" i="3" s="1"/>
  <c r="Q426" i="3"/>
  <c r="R426" i="3" s="1"/>
  <c r="Q425" i="3"/>
  <c r="S425" i="3" s="1"/>
  <c r="Q424" i="3"/>
  <c r="Q423" i="3"/>
  <c r="S423" i="3" s="1"/>
  <c r="Q422" i="3"/>
  <c r="R422" i="3" s="1"/>
  <c r="Q421" i="3"/>
  <c r="S421" i="3" s="1"/>
  <c r="Q420" i="3"/>
  <c r="S420" i="3" s="1"/>
  <c r="Q419" i="3"/>
  <c r="R419" i="3" s="1"/>
  <c r="Q418" i="3"/>
  <c r="Q417" i="3"/>
  <c r="S417" i="3" s="1"/>
  <c r="Q416" i="3"/>
  <c r="S416" i="3" s="1"/>
  <c r="Q415" i="3"/>
  <c r="Q414" i="3"/>
  <c r="S414" i="3" s="1"/>
  <c r="Q413" i="3"/>
  <c r="S413" i="3" s="1"/>
  <c r="Q412" i="3"/>
  <c r="R412" i="3" s="1"/>
  <c r="Q411" i="3"/>
  <c r="S411" i="3" s="1"/>
  <c r="Q410" i="3"/>
  <c r="S410" i="3" s="1"/>
  <c r="Q409" i="3"/>
  <c r="Q408" i="3"/>
  <c r="R408" i="3" s="1"/>
  <c r="Q407" i="3"/>
  <c r="S407" i="3" s="1"/>
  <c r="Q406" i="3"/>
  <c r="R406" i="3" s="1"/>
  <c r="Q405" i="3"/>
  <c r="R405" i="3" s="1"/>
  <c r="Q404" i="3"/>
  <c r="S404" i="3" s="1"/>
  <c r="Q403" i="3"/>
  <c r="Q402" i="3"/>
  <c r="S402" i="3" s="1"/>
  <c r="Q401" i="3"/>
  <c r="R401" i="3" s="1"/>
  <c r="Q400" i="3"/>
  <c r="Q399" i="3"/>
  <c r="R399" i="3" s="1"/>
  <c r="Q398" i="3"/>
  <c r="R398" i="3" s="1"/>
  <c r="Q397" i="3"/>
  <c r="Q396" i="3"/>
  <c r="R396" i="3" s="1"/>
  <c r="Q395" i="3"/>
  <c r="R395" i="3" s="1"/>
  <c r="Q394" i="3"/>
  <c r="S394" i="3" s="1"/>
  <c r="Q393" i="3"/>
  <c r="S393" i="3" s="1"/>
  <c r="Q392" i="3"/>
  <c r="Q391" i="3"/>
  <c r="R391" i="3" s="1"/>
  <c r="Q390" i="3"/>
  <c r="S390" i="3" s="1"/>
  <c r="Q389" i="3"/>
  <c r="S389" i="3" s="1"/>
  <c r="Q388" i="3"/>
  <c r="R388" i="3" s="1"/>
  <c r="Q387" i="3"/>
  <c r="R387" i="3" s="1"/>
  <c r="Q386" i="3"/>
  <c r="S386" i="3" s="1"/>
  <c r="Q385" i="3"/>
  <c r="Q384" i="3"/>
  <c r="S384" i="3" s="1"/>
  <c r="Q383" i="3"/>
  <c r="S383" i="3" s="1"/>
  <c r="Q382" i="3"/>
  <c r="S382" i="3" s="1"/>
  <c r="Q381" i="3"/>
  <c r="S381" i="3" s="1"/>
  <c r="Q380" i="3"/>
  <c r="S380" i="3" s="1"/>
  <c r="Q379" i="3"/>
  <c r="S379" i="3" s="1"/>
  <c r="Q378" i="3"/>
  <c r="S378" i="3" s="1"/>
  <c r="Q377" i="3"/>
  <c r="Q376" i="3"/>
  <c r="S376" i="3" s="1"/>
  <c r="Q375" i="3"/>
  <c r="S375" i="3" s="1"/>
  <c r="Q374" i="3"/>
  <c r="S374" i="3" s="1"/>
  <c r="Q373" i="3"/>
  <c r="R373" i="3" s="1"/>
  <c r="Q372" i="3"/>
  <c r="R372" i="3" s="1"/>
  <c r="Q371" i="3"/>
  <c r="S371" i="3" s="1"/>
  <c r="Q370" i="3"/>
  <c r="R370" i="3" s="1"/>
  <c r="Q369" i="3"/>
  <c r="Q368" i="3"/>
  <c r="S368" i="3" s="1"/>
  <c r="Q367" i="3"/>
  <c r="S367" i="3" s="1"/>
  <c r="Q366" i="3"/>
  <c r="R366" i="3" s="1"/>
  <c r="Q365" i="3"/>
  <c r="Q364" i="3"/>
  <c r="S364" i="3" s="1"/>
  <c r="Q363" i="3"/>
  <c r="S363" i="3" s="1"/>
  <c r="Q362" i="3"/>
  <c r="S362" i="3" s="1"/>
  <c r="Q361" i="3"/>
  <c r="R361" i="3" s="1"/>
  <c r="Q360" i="3"/>
  <c r="S360" i="3" s="1"/>
  <c r="Q359" i="3"/>
  <c r="R359" i="3" s="1"/>
  <c r="Q358" i="3"/>
  <c r="R358" i="3" s="1"/>
  <c r="Q357" i="3"/>
  <c r="S357" i="3" s="1"/>
  <c r="Q356" i="3"/>
  <c r="S356" i="3" s="1"/>
  <c r="Q355" i="3"/>
  <c r="S355" i="3" s="1"/>
  <c r="Q354" i="3"/>
  <c r="S354" i="3" s="1"/>
  <c r="Q353" i="3"/>
  <c r="R353" i="3" s="1"/>
  <c r="Q352" i="3"/>
  <c r="R352" i="3" s="1"/>
  <c r="Q351" i="3"/>
  <c r="S351" i="3" s="1"/>
  <c r="Q350" i="3"/>
  <c r="S350" i="3" s="1"/>
  <c r="Q349" i="3"/>
  <c r="Q348" i="3"/>
  <c r="R348" i="3" s="1"/>
  <c r="Q347" i="3"/>
  <c r="S347" i="3" s="1"/>
  <c r="Q346" i="3"/>
  <c r="R346" i="3" s="1"/>
  <c r="Q345" i="3"/>
  <c r="Q344" i="3"/>
  <c r="R344" i="3" s="1"/>
  <c r="Q343" i="3"/>
  <c r="R343" i="3" s="1"/>
  <c r="Q342" i="3"/>
  <c r="R342" i="3" s="1"/>
  <c r="Q341" i="3"/>
  <c r="R341" i="3" s="1"/>
  <c r="Q340" i="3"/>
  <c r="R340" i="3" s="1"/>
  <c r="Q339" i="3"/>
  <c r="S339" i="3" s="1"/>
  <c r="Q338" i="3"/>
  <c r="S338" i="3" s="1"/>
  <c r="Q337" i="3"/>
  <c r="R337" i="3" s="1"/>
  <c r="Q336" i="3"/>
  <c r="S336" i="3" s="1"/>
  <c r="Q335" i="3"/>
  <c r="S335" i="3" s="1"/>
  <c r="Q334" i="3"/>
  <c r="S334" i="3" s="1"/>
  <c r="Q333" i="3"/>
  <c r="Q332" i="3"/>
  <c r="R332" i="3" s="1"/>
  <c r="Q331" i="3"/>
  <c r="R331" i="3" s="1"/>
  <c r="Q330" i="3"/>
  <c r="S330" i="3" s="1"/>
  <c r="Q329" i="3"/>
  <c r="Q328" i="3"/>
  <c r="S328" i="3" s="1"/>
  <c r="Q327" i="3"/>
  <c r="S327" i="3" s="1"/>
  <c r="Q326" i="3"/>
  <c r="Q325" i="3"/>
  <c r="S325" i="3" s="1"/>
  <c r="Q324" i="3"/>
  <c r="S324" i="3" s="1"/>
  <c r="Q323" i="3"/>
  <c r="Q322" i="3"/>
  <c r="S322" i="3" s="1"/>
  <c r="Q321" i="3"/>
  <c r="R321" i="3" s="1"/>
  <c r="Q320" i="3"/>
  <c r="S320" i="3" s="1"/>
  <c r="Q319" i="3"/>
  <c r="R319" i="3" s="1"/>
  <c r="Q318" i="3"/>
  <c r="Q317" i="3"/>
  <c r="R317" i="3" s="1"/>
  <c r="Q316" i="3"/>
  <c r="S316" i="3" s="1"/>
  <c r="Q315" i="3"/>
  <c r="R315" i="3" s="1"/>
  <c r="Q314" i="3"/>
  <c r="R314" i="3" s="1"/>
  <c r="Q313" i="3"/>
  <c r="S313" i="3" s="1"/>
  <c r="Q312" i="3"/>
  <c r="Q311" i="3"/>
  <c r="S311" i="3" s="1"/>
  <c r="Q310" i="3"/>
  <c r="R310" i="3" s="1"/>
  <c r="Q309" i="3"/>
  <c r="S309" i="3" s="1"/>
  <c r="Q308" i="3"/>
  <c r="R308" i="3" s="1"/>
  <c r="Q307" i="3"/>
  <c r="S307" i="3" s="1"/>
  <c r="Q306" i="3"/>
  <c r="R306" i="3" s="1"/>
  <c r="Q305" i="3"/>
  <c r="S305" i="3" s="1"/>
  <c r="Q304" i="3"/>
  <c r="S304" i="3" s="1"/>
  <c r="Q303" i="3"/>
  <c r="R303" i="3" s="1"/>
  <c r="Q302" i="3"/>
  <c r="R302" i="3" s="1"/>
  <c r="Q301" i="3"/>
  <c r="R301" i="3" s="1"/>
  <c r="Q300" i="3"/>
  <c r="Q299" i="3"/>
  <c r="R299" i="3" s="1"/>
  <c r="Q298" i="3"/>
  <c r="R298" i="3" s="1"/>
  <c r="Q297" i="3"/>
  <c r="S297" i="3" s="1"/>
  <c r="Q296" i="3"/>
  <c r="R296" i="3" s="1"/>
  <c r="Q295" i="3"/>
  <c r="R295" i="3" s="1"/>
  <c r="Q294" i="3"/>
  <c r="R294" i="3" s="1"/>
  <c r="Q293" i="3"/>
  <c r="S293" i="3" s="1"/>
  <c r="Q292" i="3"/>
  <c r="R292" i="3" s="1"/>
  <c r="Q291" i="3"/>
  <c r="S291" i="3" s="1"/>
  <c r="Q290" i="3"/>
  <c r="R290" i="3" s="1"/>
  <c r="Q289" i="3"/>
  <c r="Q288" i="3"/>
  <c r="S288" i="3" s="1"/>
  <c r="Q287" i="3"/>
  <c r="Q286" i="3"/>
  <c r="R286" i="3" s="1"/>
  <c r="Q285" i="3"/>
  <c r="S285" i="3" s="1"/>
  <c r="Q284" i="3"/>
  <c r="S284" i="3" s="1"/>
  <c r="Q283" i="3"/>
  <c r="S283" i="3" s="1"/>
  <c r="Q282" i="3"/>
  <c r="S282" i="3" s="1"/>
  <c r="Q281" i="3"/>
  <c r="R281" i="3" s="1"/>
  <c r="Q280" i="3"/>
  <c r="S280" i="3" s="1"/>
  <c r="Q279" i="3"/>
  <c r="S279" i="3" s="1"/>
  <c r="Q278" i="3"/>
  <c r="Q277" i="3"/>
  <c r="R277" i="3" s="1"/>
  <c r="Q276" i="3"/>
  <c r="S276" i="3" s="1"/>
  <c r="Q275" i="3"/>
  <c r="S275" i="3" s="1"/>
  <c r="Q274" i="3"/>
  <c r="S274" i="3" s="1"/>
  <c r="Q273" i="3"/>
  <c r="R273" i="3" s="1"/>
  <c r="Q272" i="3"/>
  <c r="S272" i="3" s="1"/>
  <c r="Q271" i="3"/>
  <c r="Q270" i="3"/>
  <c r="S270" i="3" s="1"/>
  <c r="Q269" i="3"/>
  <c r="S269" i="3" s="1"/>
  <c r="Q268" i="3"/>
  <c r="R268" i="3" s="1"/>
  <c r="Q267" i="3"/>
  <c r="S267" i="3" s="1"/>
  <c r="Q266" i="3"/>
  <c r="S266" i="3" s="1"/>
  <c r="Q265" i="3"/>
  <c r="S265" i="3" s="1"/>
  <c r="Q264" i="3"/>
  <c r="S264" i="3" s="1"/>
  <c r="Q263" i="3"/>
  <c r="S263" i="3" s="1"/>
  <c r="Q262" i="3"/>
  <c r="S262" i="3" s="1"/>
  <c r="Q261" i="3"/>
  <c r="S261" i="3" s="1"/>
  <c r="Q260" i="3"/>
  <c r="S260" i="3" s="1"/>
  <c r="Q259" i="3"/>
  <c r="Q258" i="3"/>
  <c r="R258" i="3" s="1"/>
  <c r="Q257" i="3"/>
  <c r="R257" i="3" s="1"/>
  <c r="Q256" i="3"/>
  <c r="S256" i="3" s="1"/>
  <c r="Q255" i="3"/>
  <c r="R255" i="3" s="1"/>
  <c r="Q254" i="3"/>
  <c r="Q253" i="3"/>
  <c r="S253" i="3" s="1"/>
  <c r="Q252" i="3"/>
  <c r="Q251" i="3"/>
  <c r="S251" i="3" s="1"/>
  <c r="Q250" i="3"/>
  <c r="S250" i="3" s="1"/>
  <c r="Q249" i="3"/>
  <c r="S249" i="3" s="1"/>
  <c r="Q248" i="3"/>
  <c r="R248" i="3" s="1"/>
  <c r="Q247" i="3"/>
  <c r="R247" i="3" s="1"/>
  <c r="Q246" i="3"/>
  <c r="R246" i="3" s="1"/>
  <c r="Q245" i="3"/>
  <c r="S245" i="3" s="1"/>
  <c r="Q244" i="3"/>
  <c r="S244" i="3" s="1"/>
  <c r="Q243" i="3"/>
  <c r="S243" i="3" s="1"/>
  <c r="Q242" i="3"/>
  <c r="Q241" i="3"/>
  <c r="Q240" i="3"/>
  <c r="R240" i="3" s="1"/>
  <c r="Q239" i="3"/>
  <c r="S239" i="3" s="1"/>
  <c r="Q238" i="3"/>
  <c r="R238" i="3" s="1"/>
  <c r="Q237" i="3"/>
  <c r="S237" i="3" s="1"/>
  <c r="Q236" i="3"/>
  <c r="S236" i="3" s="1"/>
  <c r="Q235" i="3"/>
  <c r="S235" i="3" s="1"/>
  <c r="Q234" i="3"/>
  <c r="S234" i="3" s="1"/>
  <c r="Q233" i="3"/>
  <c r="R233" i="3" s="1"/>
  <c r="Q232" i="3"/>
  <c r="R232" i="3" s="1"/>
  <c r="Q231" i="3"/>
  <c r="R231" i="3" s="1"/>
  <c r="Q230" i="3"/>
  <c r="S230" i="3" s="1"/>
  <c r="Q229" i="3"/>
  <c r="R229" i="3" s="1"/>
  <c r="Q228" i="3"/>
  <c r="S228" i="3" s="1"/>
  <c r="Q227" i="3"/>
  <c r="R227" i="3" s="1"/>
  <c r="Q226" i="3"/>
  <c r="R226" i="3" s="1"/>
  <c r="Q225" i="3"/>
  <c r="S225" i="3" s="1"/>
  <c r="Q224" i="3"/>
  <c r="Q223" i="3"/>
  <c r="R223" i="3" s="1"/>
  <c r="Q222" i="3"/>
  <c r="Q221" i="3"/>
  <c r="S221" i="3" s="1"/>
  <c r="Q220" i="3"/>
  <c r="S220" i="3" s="1"/>
  <c r="Q219" i="3"/>
  <c r="S219" i="3" s="1"/>
  <c r="Q218" i="3"/>
  <c r="S218" i="3" s="1"/>
  <c r="Q217" i="3"/>
  <c r="Q216" i="3"/>
  <c r="R216" i="3" s="1"/>
  <c r="Q215" i="3"/>
  <c r="Q214" i="3"/>
  <c r="S214" i="3" s="1"/>
  <c r="Q213" i="3"/>
  <c r="S213" i="3" s="1"/>
  <c r="Q212" i="3"/>
  <c r="R212" i="3" s="1"/>
  <c r="Q211" i="3"/>
  <c r="S211" i="3" s="1"/>
  <c r="Q210" i="3"/>
  <c r="S210" i="3" s="1"/>
  <c r="Q209" i="3"/>
  <c r="R209" i="3" s="1"/>
  <c r="Q208" i="3"/>
  <c r="R208" i="3" s="1"/>
  <c r="Q207" i="3"/>
  <c r="S207" i="3" s="1"/>
  <c r="Q206" i="3"/>
  <c r="S206" i="3" s="1"/>
  <c r="Q205" i="3"/>
  <c r="R205" i="3" s="1"/>
  <c r="Q204" i="3"/>
  <c r="S204" i="3" s="1"/>
  <c r="Q203" i="3"/>
  <c r="S203" i="3" s="1"/>
  <c r="Q202" i="3"/>
  <c r="R202" i="3" s="1"/>
  <c r="Q201" i="3"/>
  <c r="S201" i="3" s="1"/>
  <c r="Q200" i="3"/>
  <c r="S200" i="3" s="1"/>
  <c r="Q199" i="3"/>
  <c r="Q198" i="3"/>
  <c r="S198" i="3" s="1"/>
  <c r="Q197" i="3"/>
  <c r="S197" i="3" s="1"/>
  <c r="Q196" i="3"/>
  <c r="S196" i="3" s="1"/>
  <c r="Q195" i="3"/>
  <c r="S195" i="3" s="1"/>
  <c r="Q194" i="3"/>
  <c r="S194" i="3" s="1"/>
  <c r="Q193" i="3"/>
  <c r="Q192" i="3"/>
  <c r="S192" i="3" s="1"/>
  <c r="Q191" i="3"/>
  <c r="R191" i="3" s="1"/>
  <c r="Q190" i="3"/>
  <c r="S190" i="3" s="1"/>
  <c r="Q189" i="3"/>
  <c r="R189" i="3" s="1"/>
  <c r="Q188" i="3"/>
  <c r="Q187" i="3"/>
  <c r="S187" i="3" s="1"/>
  <c r="Q186" i="3"/>
  <c r="S186" i="3" s="1"/>
  <c r="Q185" i="3"/>
  <c r="S185" i="3" s="1"/>
  <c r="Q184" i="3"/>
  <c r="R184" i="3" s="1"/>
  <c r="Q183" i="3"/>
  <c r="S183" i="3" s="1"/>
  <c r="Q182" i="3"/>
  <c r="S182" i="3" s="1"/>
  <c r="Q181" i="3"/>
  <c r="Q180" i="3"/>
  <c r="Q179" i="3"/>
  <c r="S179" i="3" s="1"/>
  <c r="Q178" i="3"/>
  <c r="R178" i="3" s="1"/>
  <c r="Q177" i="3"/>
  <c r="S177" i="3" s="1"/>
  <c r="Q176" i="3"/>
  <c r="Q175" i="3"/>
  <c r="S175" i="3" s="1"/>
  <c r="Q174" i="3"/>
  <c r="S174" i="3" s="1"/>
  <c r="Q173" i="3"/>
  <c r="R173" i="3" s="1"/>
  <c r="Q172" i="3"/>
  <c r="S172" i="3" s="1"/>
  <c r="Q171" i="3"/>
  <c r="R171" i="3" s="1"/>
  <c r="Q170" i="3"/>
  <c r="Q169" i="3"/>
  <c r="R169" i="3" s="1"/>
  <c r="Q168" i="3"/>
  <c r="R168" i="3" s="1"/>
  <c r="Q167" i="3"/>
  <c r="S167" i="3" s="1"/>
  <c r="Q166" i="3"/>
  <c r="S166" i="3" s="1"/>
  <c r="Q165" i="3"/>
  <c r="S165" i="3" s="1"/>
  <c r="Q164" i="3"/>
  <c r="Q163" i="3"/>
  <c r="S163" i="3" s="1"/>
  <c r="Q162" i="3"/>
  <c r="S162" i="3" s="1"/>
  <c r="Q161" i="3"/>
  <c r="R161" i="3" s="1"/>
  <c r="Q160" i="3"/>
  <c r="Q159" i="3"/>
  <c r="S159" i="3" s="1"/>
  <c r="Q158" i="3"/>
  <c r="S158" i="3" s="1"/>
  <c r="Q157" i="3"/>
  <c r="R157" i="3" s="1"/>
  <c r="Q156" i="3"/>
  <c r="R156" i="3" s="1"/>
  <c r="Q155" i="3"/>
  <c r="S155" i="3" s="1"/>
  <c r="Q154" i="3"/>
  <c r="S154" i="3" s="1"/>
  <c r="Q153" i="3"/>
  <c r="S153" i="3" s="1"/>
  <c r="Q152" i="3"/>
  <c r="R152" i="3" s="1"/>
  <c r="Q151" i="3"/>
  <c r="S151" i="3" s="1"/>
  <c r="Q150" i="3"/>
  <c r="S150" i="3" s="1"/>
  <c r="Q149" i="3"/>
  <c r="R149" i="3" s="1"/>
  <c r="Q148" i="3"/>
  <c r="S148" i="3" s="1"/>
  <c r="Q147" i="3"/>
  <c r="S147" i="3" s="1"/>
  <c r="Q146" i="3"/>
  <c r="R146" i="3" s="1"/>
  <c r="Q145" i="3"/>
  <c r="S145" i="3" s="1"/>
  <c r="Q144" i="3"/>
  <c r="Q143" i="3"/>
  <c r="S143" i="3" s="1"/>
  <c r="Q142" i="3"/>
  <c r="S142" i="3" s="1"/>
  <c r="Q141" i="3"/>
  <c r="R141" i="3" s="1"/>
  <c r="Q140" i="3"/>
  <c r="S140" i="3" s="1"/>
  <c r="Q139" i="3"/>
  <c r="R139" i="3" s="1"/>
  <c r="Q138" i="3"/>
  <c r="R138" i="3" s="1"/>
  <c r="Q137" i="3"/>
  <c r="S137" i="3" s="1"/>
  <c r="Q136" i="3"/>
  <c r="S136" i="3" s="1"/>
  <c r="Q135" i="3"/>
  <c r="S135" i="3" s="1"/>
  <c r="Q134" i="3"/>
  <c r="R134" i="3" s="1"/>
  <c r="Q133" i="3"/>
  <c r="S133" i="3" s="1"/>
  <c r="Q132" i="3"/>
  <c r="R132" i="3" s="1"/>
  <c r="Q131" i="3"/>
  <c r="Q130" i="3"/>
  <c r="S130" i="3" s="1"/>
  <c r="Q129" i="3"/>
  <c r="S129" i="3" s="1"/>
  <c r="Q128" i="3"/>
  <c r="S128" i="3" s="1"/>
  <c r="Q127" i="3"/>
  <c r="Q126" i="3"/>
  <c r="Q125" i="3"/>
  <c r="R125" i="3" s="1"/>
  <c r="Q124" i="3"/>
  <c r="R124" i="3" s="1"/>
  <c r="Q123" i="3"/>
  <c r="S123" i="3" s="1"/>
  <c r="Q122" i="3"/>
  <c r="Q121" i="3"/>
  <c r="R121" i="3" s="1"/>
  <c r="Q120" i="3"/>
  <c r="Q119" i="3"/>
  <c r="S119" i="3" s="1"/>
  <c r="Q118" i="3"/>
  <c r="R118" i="3" s="1"/>
  <c r="Q117" i="3"/>
  <c r="S117" i="3" s="1"/>
  <c r="Q116" i="3"/>
  <c r="S116" i="3" s="1"/>
  <c r="Q115" i="3"/>
  <c r="S115" i="3" s="1"/>
  <c r="Q114" i="3"/>
  <c r="S114" i="3" s="1"/>
  <c r="Q113" i="3"/>
  <c r="R113" i="3" s="1"/>
  <c r="Q112" i="3"/>
  <c r="S112" i="3" s="1"/>
  <c r="Q111" i="3"/>
  <c r="Q110" i="3"/>
  <c r="S110" i="3" s="1"/>
  <c r="Q109" i="3"/>
  <c r="S109" i="3" s="1"/>
  <c r="Q108" i="3"/>
  <c r="S108" i="3" s="1"/>
  <c r="Q107" i="3"/>
  <c r="R107" i="3" s="1"/>
  <c r="Q106" i="3"/>
  <c r="S106" i="3" s="1"/>
  <c r="Q105" i="3"/>
  <c r="R105" i="3" s="1"/>
  <c r="Q104" i="3"/>
  <c r="S104" i="3" s="1"/>
  <c r="Q103" i="3"/>
  <c r="S103" i="3" s="1"/>
  <c r="Q102" i="3"/>
  <c r="S102" i="3" s="1"/>
  <c r="Q101" i="3"/>
  <c r="S101" i="3" s="1"/>
  <c r="Q100" i="3"/>
  <c r="Q99" i="3"/>
  <c r="S99" i="3" s="1"/>
  <c r="Q98" i="3"/>
  <c r="Q97" i="3"/>
  <c r="S97" i="3" s="1"/>
  <c r="Q96" i="3"/>
  <c r="Q95" i="3"/>
  <c r="S95" i="3" s="1"/>
  <c r="Q94" i="3"/>
  <c r="Q93" i="3"/>
  <c r="S93" i="3" s="1"/>
  <c r="Q92" i="3"/>
  <c r="S92" i="3" s="1"/>
  <c r="Q91" i="3"/>
  <c r="S91" i="3" s="1"/>
  <c r="Q90" i="3"/>
  <c r="R90" i="3" s="1"/>
  <c r="Q89" i="3"/>
  <c r="S89" i="3" s="1"/>
  <c r="Q88" i="3"/>
  <c r="S88" i="3" s="1"/>
  <c r="Q87" i="3"/>
  <c r="Q86" i="3"/>
  <c r="R86" i="3" s="1"/>
  <c r="Q85" i="3"/>
  <c r="S85" i="3" s="1"/>
  <c r="Q84" i="3"/>
  <c r="S84" i="3" s="1"/>
  <c r="Q83" i="3"/>
  <c r="R83" i="3" s="1"/>
  <c r="Q82" i="3"/>
  <c r="Q81" i="3"/>
  <c r="S81" i="3" s="1"/>
  <c r="Q80" i="3"/>
  <c r="R80" i="3" s="1"/>
  <c r="Q79" i="3"/>
  <c r="S79" i="3" s="1"/>
  <c r="Q78" i="3"/>
  <c r="Q77" i="3"/>
  <c r="R77" i="3" s="1"/>
  <c r="Q76" i="3"/>
  <c r="S76" i="3" s="1"/>
  <c r="Q75" i="3"/>
  <c r="S75" i="3" s="1"/>
  <c r="Q74" i="3"/>
  <c r="S74" i="3" s="1"/>
  <c r="Q73" i="3"/>
  <c r="R73" i="3" s="1"/>
  <c r="Q72" i="3"/>
  <c r="R72" i="3" s="1"/>
  <c r="Q71" i="3"/>
  <c r="R71" i="3" s="1"/>
  <c r="Q70" i="3"/>
  <c r="Q69" i="3"/>
  <c r="R69" i="3" s="1"/>
  <c r="Q68" i="3"/>
  <c r="R68" i="3" s="1"/>
  <c r="Q67" i="3"/>
  <c r="Q66" i="3"/>
  <c r="S66" i="3" s="1"/>
  <c r="Q65" i="3"/>
  <c r="R65" i="3" s="1"/>
  <c r="Q64" i="3"/>
  <c r="S64" i="3" s="1"/>
  <c r="Q63" i="3"/>
  <c r="S63" i="3" s="1"/>
  <c r="Q62" i="3"/>
  <c r="S62" i="3" s="1"/>
  <c r="Q61" i="3"/>
  <c r="R61" i="3" s="1"/>
  <c r="Q60" i="3"/>
  <c r="S60" i="3" s="1"/>
  <c r="Q59" i="3"/>
  <c r="S59" i="3" s="1"/>
  <c r="Q58" i="3"/>
  <c r="R58" i="3" s="1"/>
  <c r="Q57" i="3"/>
  <c r="R57" i="3" s="1"/>
  <c r="Q56" i="3"/>
  <c r="R56" i="3" s="1"/>
  <c r="Q55" i="3"/>
  <c r="R55" i="3" s="1"/>
  <c r="Q54" i="3"/>
  <c r="R54" i="3" s="1"/>
  <c r="Q53" i="3"/>
  <c r="S53" i="3" s="1"/>
  <c r="Q52" i="3"/>
  <c r="R52" i="3" s="1"/>
  <c r="Q51" i="3"/>
  <c r="R51" i="3" s="1"/>
  <c r="Q50" i="3"/>
  <c r="S50" i="3" s="1"/>
  <c r="Q49" i="3"/>
  <c r="Q48" i="3"/>
  <c r="Q47" i="3"/>
  <c r="R47" i="3" s="1"/>
  <c r="Q46" i="3"/>
  <c r="S46" i="3" s="1"/>
  <c r="Q45" i="3"/>
  <c r="Q44" i="3"/>
  <c r="S44" i="3" s="1"/>
  <c r="Q43" i="3"/>
  <c r="S43" i="3" s="1"/>
  <c r="Q42" i="3"/>
  <c r="R42" i="3" s="1"/>
  <c r="Q41" i="3"/>
  <c r="S41" i="3" s="1"/>
  <c r="Q40" i="3"/>
  <c r="S40" i="3" s="1"/>
  <c r="Q39" i="3"/>
  <c r="S39" i="3" s="1"/>
  <c r="Q38" i="3"/>
  <c r="S38" i="3" s="1"/>
  <c r="Q37" i="3"/>
  <c r="Q36" i="3"/>
  <c r="S36" i="3" s="1"/>
  <c r="Q35" i="3"/>
  <c r="R35" i="3" s="1"/>
  <c r="Q34" i="3"/>
  <c r="R34" i="3" s="1"/>
  <c r="Q33" i="3"/>
  <c r="S33" i="3" s="1"/>
  <c r="Q32" i="3"/>
  <c r="S32" i="3" s="1"/>
  <c r="Q31" i="3"/>
  <c r="Q30" i="3"/>
  <c r="R30" i="3" s="1"/>
  <c r="Q29" i="3"/>
  <c r="S29" i="3" s="1"/>
  <c r="Q28" i="3"/>
  <c r="S28" i="3" s="1"/>
  <c r="Q27" i="3"/>
  <c r="R27" i="3" s="1"/>
  <c r="Q26" i="3"/>
  <c r="R26" i="3" s="1"/>
  <c r="Q25" i="3"/>
  <c r="S25" i="3" s="1"/>
  <c r="Q24" i="3"/>
  <c r="Q23" i="3"/>
  <c r="R23" i="3" s="1"/>
  <c r="Q22" i="3"/>
  <c r="S22" i="3" s="1"/>
  <c r="Q21" i="3"/>
  <c r="R21" i="3" s="1"/>
  <c r="Q20" i="3"/>
  <c r="Q19" i="3"/>
  <c r="S19" i="3" s="1"/>
  <c r="Q18" i="3"/>
  <c r="S18" i="3" s="1"/>
  <c r="Q17" i="3"/>
  <c r="S17" i="3" s="1"/>
  <c r="Q16" i="3"/>
  <c r="S16" i="3" s="1"/>
  <c r="Q15" i="3"/>
  <c r="R15" i="3" s="1"/>
  <c r="Q14" i="3"/>
  <c r="S14" i="3" s="1"/>
  <c r="Q13" i="3"/>
  <c r="Q12" i="3"/>
  <c r="S12" i="3" s="1"/>
  <c r="Q11" i="3"/>
  <c r="S11" i="3" s="1"/>
  <c r="Q10" i="3"/>
  <c r="Q9" i="3"/>
  <c r="S9" i="3" s="1"/>
  <c r="Q8" i="3"/>
  <c r="Q7" i="3"/>
  <c r="S7" i="3" s="1"/>
  <c r="Q6" i="3"/>
  <c r="S6" i="3" s="1"/>
  <c r="Q5" i="3"/>
  <c r="S5" i="3" s="1"/>
  <c r="Q4" i="3"/>
  <c r="S4" i="3" s="1"/>
  <c r="Q3" i="3"/>
  <c r="S3" i="3" s="1"/>
  <c r="M1294" i="3"/>
  <c r="M1293" i="3"/>
  <c r="O1293" i="3" s="1"/>
  <c r="M1292" i="3"/>
  <c r="O1292" i="3" s="1"/>
  <c r="M1291" i="3"/>
  <c r="O1291" i="3" s="1"/>
  <c r="M1290" i="3"/>
  <c r="O1290" i="3" s="1"/>
  <c r="M1289" i="3"/>
  <c r="N1289" i="3" s="1"/>
  <c r="M1288" i="3"/>
  <c r="M1287" i="3"/>
  <c r="M1286" i="3"/>
  <c r="M1285" i="3"/>
  <c r="M1284" i="3"/>
  <c r="M1283" i="3"/>
  <c r="N1283" i="3" s="1"/>
  <c r="M1282" i="3"/>
  <c r="M1281" i="3"/>
  <c r="O1281" i="3" s="1"/>
  <c r="M1280" i="3"/>
  <c r="O1280" i="3" s="1"/>
  <c r="M1279" i="3"/>
  <c r="O1279" i="3" s="1"/>
  <c r="M1278" i="3"/>
  <c r="O1278" i="3" s="1"/>
  <c r="M1277" i="3"/>
  <c r="O1277" i="3" s="1"/>
  <c r="M1276" i="3"/>
  <c r="O1276" i="3" s="1"/>
  <c r="M1275" i="3"/>
  <c r="O1275" i="3" s="1"/>
  <c r="M1274" i="3"/>
  <c r="O1274" i="3" s="1"/>
  <c r="M1273" i="3"/>
  <c r="O1273" i="3" s="1"/>
  <c r="M1272" i="3"/>
  <c r="M1271" i="3"/>
  <c r="O1271" i="3" s="1"/>
  <c r="M1270" i="3"/>
  <c r="M1269" i="3"/>
  <c r="N1269" i="3" s="1"/>
  <c r="M1268" i="3"/>
  <c r="M1267" i="3"/>
  <c r="M1266" i="3"/>
  <c r="N1266" i="3" s="1"/>
  <c r="M1265" i="3"/>
  <c r="M1264" i="3"/>
  <c r="M1263" i="3"/>
  <c r="O1263" i="3" s="1"/>
  <c r="M1262" i="3"/>
  <c r="O1262" i="3" s="1"/>
  <c r="M1261" i="3"/>
  <c r="N1261" i="3" s="1"/>
  <c r="M1260" i="3"/>
  <c r="O1260" i="3" s="1"/>
  <c r="M1259" i="3"/>
  <c r="O1259" i="3" s="1"/>
  <c r="M1258" i="3"/>
  <c r="O1258" i="3" s="1"/>
  <c r="M1257" i="3"/>
  <c r="O1257" i="3" s="1"/>
  <c r="M1256" i="3"/>
  <c r="O1256" i="3" s="1"/>
  <c r="M1255" i="3"/>
  <c r="N1255" i="3" s="1"/>
  <c r="M1254" i="3"/>
  <c r="M1253" i="3"/>
  <c r="M1252" i="3"/>
  <c r="M1251" i="3"/>
  <c r="M1250" i="3"/>
  <c r="M1249" i="3"/>
  <c r="N1249" i="3" s="1"/>
  <c r="M1248" i="3"/>
  <c r="N1248" i="3" s="1"/>
  <c r="M1247" i="3"/>
  <c r="M1246" i="3"/>
  <c r="N1246" i="3" s="1"/>
  <c r="M1245" i="3"/>
  <c r="N1245" i="3" s="1"/>
  <c r="M1244" i="3"/>
  <c r="M1243" i="3"/>
  <c r="O1243" i="3" s="1"/>
  <c r="M1242" i="3"/>
  <c r="M1241" i="3"/>
  <c r="N1241" i="3" s="1"/>
  <c r="M1240" i="3"/>
  <c r="M1239" i="3"/>
  <c r="N1239" i="3" s="1"/>
  <c r="M1238" i="3"/>
  <c r="M1237" i="3"/>
  <c r="O1237" i="3" s="1"/>
  <c r="M1236" i="3"/>
  <c r="O1236" i="3" s="1"/>
  <c r="M1235" i="3"/>
  <c r="N1235" i="3" s="1"/>
  <c r="M1234" i="3"/>
  <c r="M1233" i="3"/>
  <c r="N1233" i="3" s="1"/>
  <c r="M1232" i="3"/>
  <c r="O1232" i="3" s="1"/>
  <c r="M1231" i="3"/>
  <c r="O1231" i="3" s="1"/>
  <c r="M1230" i="3"/>
  <c r="O1230" i="3" s="1"/>
  <c r="M1229" i="3"/>
  <c r="M1228" i="3"/>
  <c r="O1228" i="3" s="1"/>
  <c r="M1227" i="3"/>
  <c r="O1227" i="3" s="1"/>
  <c r="M1226" i="3"/>
  <c r="M1225" i="3"/>
  <c r="O1225" i="3" s="1"/>
  <c r="M1224" i="3"/>
  <c r="M1223" i="3"/>
  <c r="O1223" i="3" s="1"/>
  <c r="M1222" i="3"/>
  <c r="O1222" i="3" s="1"/>
  <c r="M1221" i="3"/>
  <c r="N1221" i="3" s="1"/>
  <c r="M1220" i="3"/>
  <c r="N1220" i="3" s="1"/>
  <c r="M1219" i="3"/>
  <c r="N1219" i="3" s="1"/>
  <c r="M1218" i="3"/>
  <c r="N1218" i="3" s="1"/>
  <c r="M1217" i="3"/>
  <c r="N1217" i="3" s="1"/>
  <c r="M1216" i="3"/>
  <c r="M1215" i="3"/>
  <c r="M1214" i="3"/>
  <c r="M1213" i="3"/>
  <c r="M1212" i="3"/>
  <c r="M1211" i="3"/>
  <c r="M1210" i="3"/>
  <c r="N1210" i="3" s="1"/>
  <c r="M1209" i="3"/>
  <c r="O1209" i="3" s="1"/>
  <c r="M1208" i="3"/>
  <c r="M1207" i="3"/>
  <c r="N1207" i="3" s="1"/>
  <c r="M1206" i="3"/>
  <c r="O1206" i="3" s="1"/>
  <c r="M1205" i="3"/>
  <c r="N1205" i="3" s="1"/>
  <c r="M1204" i="3"/>
  <c r="N1204" i="3" s="1"/>
  <c r="M1203" i="3"/>
  <c r="O1203" i="3" s="1"/>
  <c r="M1202" i="3"/>
  <c r="O1202" i="3" s="1"/>
  <c r="M1201" i="3"/>
  <c r="M1200" i="3"/>
  <c r="N1200" i="3" s="1"/>
  <c r="M1199" i="3"/>
  <c r="N1199" i="3" s="1"/>
  <c r="M1198" i="3"/>
  <c r="M1197" i="3"/>
  <c r="O1197" i="3" s="1"/>
  <c r="M1196" i="3"/>
  <c r="O1196" i="3" s="1"/>
  <c r="M1195" i="3"/>
  <c r="O1195" i="3" s="1"/>
  <c r="M1194" i="3"/>
  <c r="O1194" i="3" s="1"/>
  <c r="M1193" i="3"/>
  <c r="M1192" i="3"/>
  <c r="O1192" i="3" s="1"/>
  <c r="M1191" i="3"/>
  <c r="O1191" i="3" s="1"/>
  <c r="M1190" i="3"/>
  <c r="O1190" i="3" s="1"/>
  <c r="M1189" i="3"/>
  <c r="M1188" i="3"/>
  <c r="M1187" i="3"/>
  <c r="O1187" i="3" s="1"/>
  <c r="M1186" i="3"/>
  <c r="M1185" i="3"/>
  <c r="N1185" i="3" s="1"/>
  <c r="M1184" i="3"/>
  <c r="M1183" i="3"/>
  <c r="M1182" i="3"/>
  <c r="M1181" i="3"/>
  <c r="N1181" i="3" s="1"/>
  <c r="M1180" i="3"/>
  <c r="M1179" i="3"/>
  <c r="N1179" i="3" s="1"/>
  <c r="M1178" i="3"/>
  <c r="N1178" i="3" s="1"/>
  <c r="M1177" i="3"/>
  <c r="O1177" i="3" s="1"/>
  <c r="M1176" i="3"/>
  <c r="O1176" i="3" s="1"/>
  <c r="M1175" i="3"/>
  <c r="O1175" i="3" s="1"/>
  <c r="M1174" i="3"/>
  <c r="O1174" i="3" s="1"/>
  <c r="M1173" i="3"/>
  <c r="O1173" i="3" s="1"/>
  <c r="M1172" i="3"/>
  <c r="O1172" i="3" s="1"/>
  <c r="M1171" i="3"/>
  <c r="N1171" i="3" s="1"/>
  <c r="M1170" i="3"/>
  <c r="O1170" i="3" s="1"/>
  <c r="M1169" i="3"/>
  <c r="M1168" i="3"/>
  <c r="O1168" i="3" s="1"/>
  <c r="M1167" i="3"/>
  <c r="O1167" i="3" s="1"/>
  <c r="M1166" i="3"/>
  <c r="O1166" i="3" s="1"/>
  <c r="M1165" i="3"/>
  <c r="M1164" i="3"/>
  <c r="O1164" i="3" s="1"/>
  <c r="M1163" i="3"/>
  <c r="N1163" i="3" s="1"/>
  <c r="M1162" i="3"/>
  <c r="O1162" i="3" s="1"/>
  <c r="M1161" i="3"/>
  <c r="O1161" i="3" s="1"/>
  <c r="M1160" i="3"/>
  <c r="O1160" i="3" s="1"/>
  <c r="M1159" i="3"/>
  <c r="O1159" i="3" s="1"/>
  <c r="M1158" i="3"/>
  <c r="M1157" i="3"/>
  <c r="N1157" i="3" s="1"/>
  <c r="M1156" i="3"/>
  <c r="M1155" i="3"/>
  <c r="M1154" i="3"/>
  <c r="N1154" i="3" s="1"/>
  <c r="M1153" i="3"/>
  <c r="O1153" i="3" s="1"/>
  <c r="M1152" i="3"/>
  <c r="O1152" i="3" s="1"/>
  <c r="M1151" i="3"/>
  <c r="N1151" i="3" s="1"/>
  <c r="M1150" i="3"/>
  <c r="N1150" i="3" s="1"/>
  <c r="M1149" i="3"/>
  <c r="N1149" i="3" s="1"/>
  <c r="M1148" i="3"/>
  <c r="M1147" i="3"/>
  <c r="N1147" i="3" s="1"/>
  <c r="M1146" i="3"/>
  <c r="M1145" i="3"/>
  <c r="M1144" i="3"/>
  <c r="M1143" i="3"/>
  <c r="N1143" i="3" s="1"/>
  <c r="M1142" i="3"/>
  <c r="M1141" i="3"/>
  <c r="N1141" i="3" s="1"/>
  <c r="M1140" i="3"/>
  <c r="N1140" i="3" s="1"/>
  <c r="M1139" i="3"/>
  <c r="N1139" i="3" s="1"/>
  <c r="M1138" i="3"/>
  <c r="M1137" i="3"/>
  <c r="O1137" i="3" s="1"/>
  <c r="M1136" i="3"/>
  <c r="N1136" i="3" s="1"/>
  <c r="M1135" i="3"/>
  <c r="O1135" i="3" s="1"/>
  <c r="M1134" i="3"/>
  <c r="O1134" i="3" s="1"/>
  <c r="M1133" i="3"/>
  <c r="O1133" i="3" s="1"/>
  <c r="M1132" i="3"/>
  <c r="O1132" i="3" s="1"/>
  <c r="M1131" i="3"/>
  <c r="O1131" i="3" s="1"/>
  <c r="M1130" i="3"/>
  <c r="M1129" i="3"/>
  <c r="M1128" i="3"/>
  <c r="M1127" i="3"/>
  <c r="M1126" i="3"/>
  <c r="N1126" i="3" s="1"/>
  <c r="M1125" i="3"/>
  <c r="N1125" i="3" s="1"/>
  <c r="M1124" i="3"/>
  <c r="O1124" i="3" s="1"/>
  <c r="M1123" i="3"/>
  <c r="N1123" i="3" s="1"/>
  <c r="M1122" i="3"/>
  <c r="M1121" i="3"/>
  <c r="N1121" i="3" s="1"/>
  <c r="M1120" i="3"/>
  <c r="N1120" i="3" s="1"/>
  <c r="M1119" i="3"/>
  <c r="O1119" i="3" s="1"/>
  <c r="M1118" i="3"/>
  <c r="M1117" i="3"/>
  <c r="M1116" i="3"/>
  <c r="O1116" i="3" s="1"/>
  <c r="M1115" i="3"/>
  <c r="N1115" i="3" s="1"/>
  <c r="M1114" i="3"/>
  <c r="O1114" i="3" s="1"/>
  <c r="M1113" i="3"/>
  <c r="O1113" i="3" s="1"/>
  <c r="M1112" i="3"/>
  <c r="M1111" i="3"/>
  <c r="O1111" i="3" s="1"/>
  <c r="M1110" i="3"/>
  <c r="O1110" i="3" s="1"/>
  <c r="M1109" i="3"/>
  <c r="O1109" i="3" s="1"/>
  <c r="M1108" i="3"/>
  <c r="O1108" i="3" s="1"/>
  <c r="M1107" i="3"/>
  <c r="O1107" i="3" s="1"/>
  <c r="M1106" i="3"/>
  <c r="O1106" i="3" s="1"/>
  <c r="M1105" i="3"/>
  <c r="O1105" i="3" s="1"/>
  <c r="M1104" i="3"/>
  <c r="O1104" i="3" s="1"/>
  <c r="M1103" i="3"/>
  <c r="O1103" i="3" s="1"/>
  <c r="M1102" i="3"/>
  <c r="M1101" i="3"/>
  <c r="N1101" i="3" s="1"/>
  <c r="M1100" i="3"/>
  <c r="M1099" i="3"/>
  <c r="M1098" i="3"/>
  <c r="N1098" i="3" s="1"/>
  <c r="M1097" i="3"/>
  <c r="O1097" i="3" s="1"/>
  <c r="M1096" i="3"/>
  <c r="O1096" i="3" s="1"/>
  <c r="M1095" i="3"/>
  <c r="O1095" i="3" s="1"/>
  <c r="M1094" i="3"/>
  <c r="O1094" i="3" s="1"/>
  <c r="M1093" i="3"/>
  <c r="N1093" i="3" s="1"/>
  <c r="M1092" i="3"/>
  <c r="N1092" i="3" s="1"/>
  <c r="M1091" i="3"/>
  <c r="N1091" i="3" s="1"/>
  <c r="M1090" i="3"/>
  <c r="M1089" i="3"/>
  <c r="M1088" i="3"/>
  <c r="M1087" i="3"/>
  <c r="N1087" i="3" s="1"/>
  <c r="M1086" i="3"/>
  <c r="M1085" i="3"/>
  <c r="M1084" i="3"/>
  <c r="N1084" i="3" s="1"/>
  <c r="M1083" i="3"/>
  <c r="N1083" i="3" s="1"/>
  <c r="M1082" i="3"/>
  <c r="M1081" i="3"/>
  <c r="N1081" i="3" s="1"/>
  <c r="M1080" i="3"/>
  <c r="O1080" i="3" s="1"/>
  <c r="M1079" i="3"/>
  <c r="O1079" i="3" s="1"/>
  <c r="M1078" i="3"/>
  <c r="O1078" i="3" s="1"/>
  <c r="M1077" i="3"/>
  <c r="O1077" i="3" s="1"/>
  <c r="M1076" i="3"/>
  <c r="O1076" i="3" s="1"/>
  <c r="M1075" i="3"/>
  <c r="O1075" i="3" s="1"/>
  <c r="M1074" i="3"/>
  <c r="N1074" i="3" s="1"/>
  <c r="M1073" i="3"/>
  <c r="N1073" i="3" s="1"/>
  <c r="M1072" i="3"/>
  <c r="M1071" i="3"/>
  <c r="M1070" i="3"/>
  <c r="O1070" i="3" s="1"/>
  <c r="M1069" i="3"/>
  <c r="N1069" i="3" s="1"/>
  <c r="M1068" i="3"/>
  <c r="O1068" i="3" s="1"/>
  <c r="M1067" i="3"/>
  <c r="N1067" i="3" s="1"/>
  <c r="M1066" i="3"/>
  <c r="N1066" i="3" s="1"/>
  <c r="M1065" i="3"/>
  <c r="M1064" i="3"/>
  <c r="O1064" i="3" s="1"/>
  <c r="M1063" i="3"/>
  <c r="O1063" i="3" s="1"/>
  <c r="M1062" i="3"/>
  <c r="O1062" i="3" s="1"/>
  <c r="M1061" i="3"/>
  <c r="M1060" i="3"/>
  <c r="O1060" i="3" s="1"/>
  <c r="M1059" i="3"/>
  <c r="O1059" i="3" s="1"/>
  <c r="M1058" i="3"/>
  <c r="O1058" i="3" s="1"/>
  <c r="M1057" i="3"/>
  <c r="O1057" i="3" s="1"/>
  <c r="M1056" i="3"/>
  <c r="O1056" i="3" s="1"/>
  <c r="M1055" i="3"/>
  <c r="O1055" i="3" s="1"/>
  <c r="M1054" i="3"/>
  <c r="M1053" i="3"/>
  <c r="N1053" i="3" s="1"/>
  <c r="M1052" i="3"/>
  <c r="N1052" i="3" s="1"/>
  <c r="M1051" i="3"/>
  <c r="N1051" i="3" s="1"/>
  <c r="M1050" i="3"/>
  <c r="N1050" i="3" s="1"/>
  <c r="M1049" i="3"/>
  <c r="N1049" i="3" s="1"/>
  <c r="M1048" i="3"/>
  <c r="O1048" i="3" s="1"/>
  <c r="M1047" i="3"/>
  <c r="O1047" i="3" s="1"/>
  <c r="M1046" i="3"/>
  <c r="M1045" i="3"/>
  <c r="N1045" i="3" s="1"/>
  <c r="M1044" i="3"/>
  <c r="M1043" i="3"/>
  <c r="M1042" i="3"/>
  <c r="N1042" i="3" s="1"/>
  <c r="M1041" i="3"/>
  <c r="N1041" i="3" s="1"/>
  <c r="M1040" i="3"/>
  <c r="O1040" i="3" s="1"/>
  <c r="M1039" i="3"/>
  <c r="N1039" i="3" s="1"/>
  <c r="M1038" i="3"/>
  <c r="O1038" i="3" s="1"/>
  <c r="M1037" i="3"/>
  <c r="N1037" i="3" s="1"/>
  <c r="M1036" i="3"/>
  <c r="M1035" i="3"/>
  <c r="N1035" i="3" s="1"/>
  <c r="M1034" i="3"/>
  <c r="M1033" i="3"/>
  <c r="O1033" i="3" s="1"/>
  <c r="M1032" i="3"/>
  <c r="M1031" i="3"/>
  <c r="N1031" i="3" s="1"/>
  <c r="M1030" i="3"/>
  <c r="M1029" i="3"/>
  <c r="O1029" i="3" s="1"/>
  <c r="M1028" i="3"/>
  <c r="O1028" i="3" s="1"/>
  <c r="M1027" i="3"/>
  <c r="O1027" i="3" s="1"/>
  <c r="M1026" i="3"/>
  <c r="O1026" i="3" s="1"/>
  <c r="M1025" i="3"/>
  <c r="N1025" i="3" s="1"/>
  <c r="M1024" i="3"/>
  <c r="O1024" i="3" s="1"/>
  <c r="M1023" i="3"/>
  <c r="O1023" i="3" s="1"/>
  <c r="M1022" i="3"/>
  <c r="N1022" i="3" s="1"/>
  <c r="M1021" i="3"/>
  <c r="N1021" i="3" s="1"/>
  <c r="M1020" i="3"/>
  <c r="M1019" i="3"/>
  <c r="N1019" i="3" s="1"/>
  <c r="M1018" i="3"/>
  <c r="M1017" i="3"/>
  <c r="N1017" i="3" s="1"/>
  <c r="M1016" i="3"/>
  <c r="M1015" i="3"/>
  <c r="M1014" i="3"/>
  <c r="N1014" i="3" s="1"/>
  <c r="M1013" i="3"/>
  <c r="M1012" i="3"/>
  <c r="M1011" i="3"/>
  <c r="M1010" i="3"/>
  <c r="O1010" i="3" s="1"/>
  <c r="M1009" i="3"/>
  <c r="N1009" i="3" s="1"/>
  <c r="M1008" i="3"/>
  <c r="O1008" i="3" s="1"/>
  <c r="M1007" i="3"/>
  <c r="O1007" i="3" s="1"/>
  <c r="M1006" i="3"/>
  <c r="O1006" i="3" s="1"/>
  <c r="M1005" i="3"/>
  <c r="O1005" i="3" s="1"/>
  <c r="M1004" i="3"/>
  <c r="O1004" i="3" s="1"/>
  <c r="M1003" i="3"/>
  <c r="N1003" i="3" s="1"/>
  <c r="M1002" i="3"/>
  <c r="M1001" i="3"/>
  <c r="O1001" i="3" s="1"/>
  <c r="M1000" i="3"/>
  <c r="O1000" i="3" s="1"/>
  <c r="M999" i="3"/>
  <c r="N999" i="3" s="1"/>
  <c r="M998" i="3"/>
  <c r="M997" i="3"/>
  <c r="O997" i="3" s="1"/>
  <c r="M996" i="3"/>
  <c r="M995" i="3"/>
  <c r="N995" i="3" s="1"/>
  <c r="M994" i="3"/>
  <c r="O994" i="3" s="1"/>
  <c r="M993" i="3"/>
  <c r="O993" i="3" s="1"/>
  <c r="M992" i="3"/>
  <c r="M991" i="3"/>
  <c r="M990" i="3"/>
  <c r="M989" i="3"/>
  <c r="N989" i="3" s="1"/>
  <c r="M988" i="3"/>
  <c r="M987" i="3"/>
  <c r="M986" i="3"/>
  <c r="N986" i="3" s="1"/>
  <c r="M985" i="3"/>
  <c r="N985" i="3" s="1"/>
  <c r="M984" i="3"/>
  <c r="M983" i="3"/>
  <c r="N983" i="3" s="1"/>
  <c r="M982" i="3"/>
  <c r="M981" i="3"/>
  <c r="N981" i="3" s="1"/>
  <c r="M980" i="3"/>
  <c r="O980" i="3" s="1"/>
  <c r="M979" i="3"/>
  <c r="N979" i="3" s="1"/>
  <c r="M978" i="3"/>
  <c r="O978" i="3" s="1"/>
  <c r="M977" i="3"/>
  <c r="O977" i="3" s="1"/>
  <c r="M976" i="3"/>
  <c r="M975" i="3"/>
  <c r="N975" i="3" s="1"/>
  <c r="M974" i="3"/>
  <c r="O974" i="3" s="1"/>
  <c r="M973" i="3"/>
  <c r="O973" i="3" s="1"/>
  <c r="M972" i="3"/>
  <c r="N972" i="3" s="1"/>
  <c r="M971" i="3"/>
  <c r="N971" i="3" s="1"/>
  <c r="M970" i="3"/>
  <c r="O970" i="3" s="1"/>
  <c r="M969" i="3"/>
  <c r="N969" i="3" s="1"/>
  <c r="M968" i="3"/>
  <c r="N968" i="3" s="1"/>
  <c r="M967" i="3"/>
  <c r="O967" i="3" s="1"/>
  <c r="M966" i="3"/>
  <c r="N966" i="3" s="1"/>
  <c r="M965" i="3"/>
  <c r="M964" i="3"/>
  <c r="M963" i="3"/>
  <c r="M962" i="3"/>
  <c r="M961" i="3"/>
  <c r="N961" i="3" s="1"/>
  <c r="M960" i="3"/>
  <c r="M959" i="3"/>
  <c r="M958" i="3"/>
  <c r="O958" i="3" s="1"/>
  <c r="M957" i="3"/>
  <c r="N957" i="3" s="1"/>
  <c r="M956" i="3"/>
  <c r="O956" i="3" s="1"/>
  <c r="M955" i="3"/>
  <c r="M954" i="3"/>
  <c r="M953" i="3"/>
  <c r="N953" i="3" s="1"/>
  <c r="M952" i="3"/>
  <c r="N952" i="3" s="1"/>
  <c r="M951" i="3"/>
  <c r="N951" i="3" s="1"/>
  <c r="M950" i="3"/>
  <c r="M949" i="3"/>
  <c r="M948" i="3"/>
  <c r="O948" i="3" s="1"/>
  <c r="M947" i="3"/>
  <c r="O947" i="3" s="1"/>
  <c r="M946" i="3"/>
  <c r="M945" i="3"/>
  <c r="O945" i="3" s="1"/>
  <c r="M944" i="3"/>
  <c r="O944" i="3" s="1"/>
  <c r="M943" i="3"/>
  <c r="O943" i="3" s="1"/>
  <c r="M942" i="3"/>
  <c r="O942" i="3" s="1"/>
  <c r="M941" i="3"/>
  <c r="O941" i="3" s="1"/>
  <c r="M940" i="3"/>
  <c r="O940" i="3" s="1"/>
  <c r="M939" i="3"/>
  <c r="O939" i="3" s="1"/>
  <c r="M938" i="3"/>
  <c r="N938" i="3" s="1"/>
  <c r="M937" i="3"/>
  <c r="M936" i="3"/>
  <c r="O936" i="3" s="1"/>
  <c r="M935" i="3"/>
  <c r="M934" i="3"/>
  <c r="M933" i="3"/>
  <c r="N933" i="3" s="1"/>
  <c r="M932" i="3"/>
  <c r="M931" i="3"/>
  <c r="M930" i="3"/>
  <c r="O930" i="3" s="1"/>
  <c r="M929" i="3"/>
  <c r="N929" i="3" s="1"/>
  <c r="M928" i="3"/>
  <c r="O928" i="3" s="1"/>
  <c r="M927" i="3"/>
  <c r="O927" i="3" s="1"/>
  <c r="M926" i="3"/>
  <c r="N926" i="3" s="1"/>
  <c r="M925" i="3"/>
  <c r="N925" i="3" s="1"/>
  <c r="M924" i="3"/>
  <c r="N924" i="3" s="1"/>
  <c r="M923" i="3"/>
  <c r="N923" i="3" s="1"/>
  <c r="M922" i="3"/>
  <c r="O922" i="3" s="1"/>
  <c r="M921" i="3"/>
  <c r="O921" i="3" s="1"/>
  <c r="M920" i="3"/>
  <c r="M919" i="3"/>
  <c r="M918" i="3"/>
  <c r="M917" i="3"/>
  <c r="N917" i="3" s="1"/>
  <c r="M916" i="3"/>
  <c r="N916" i="3" s="1"/>
  <c r="M915" i="3"/>
  <c r="N915" i="3" s="1"/>
  <c r="M914" i="3"/>
  <c r="O914" i="3" s="1"/>
  <c r="M913" i="3"/>
  <c r="O913" i="3" s="1"/>
  <c r="M912" i="3"/>
  <c r="N912" i="3" s="1"/>
  <c r="M911" i="3"/>
  <c r="M910" i="3"/>
  <c r="N910" i="3" s="1"/>
  <c r="M909" i="3"/>
  <c r="N909" i="3" s="1"/>
  <c r="M908" i="3"/>
  <c r="O908" i="3" s="1"/>
  <c r="M907" i="3"/>
  <c r="O907" i="3" s="1"/>
  <c r="M906" i="3"/>
  <c r="N906" i="3" s="1"/>
  <c r="M905" i="3"/>
  <c r="N905" i="3" s="1"/>
  <c r="M904" i="3"/>
  <c r="M903" i="3"/>
  <c r="M902" i="3"/>
  <c r="O902" i="3" s="1"/>
  <c r="M901" i="3"/>
  <c r="O901" i="3" s="1"/>
  <c r="M900" i="3"/>
  <c r="O900" i="3" s="1"/>
  <c r="M899" i="3"/>
  <c r="O899" i="3" s="1"/>
  <c r="M898" i="3"/>
  <c r="O898" i="3" s="1"/>
  <c r="M897" i="3"/>
  <c r="O897" i="3" s="1"/>
  <c r="M896" i="3"/>
  <c r="O896" i="3" s="1"/>
  <c r="M895" i="3"/>
  <c r="O895" i="3" s="1"/>
  <c r="M894" i="3"/>
  <c r="O894" i="3" s="1"/>
  <c r="M893" i="3"/>
  <c r="M892" i="3"/>
  <c r="M891" i="3"/>
  <c r="N891" i="3" s="1"/>
  <c r="M890" i="3"/>
  <c r="M889" i="3"/>
  <c r="M888" i="3"/>
  <c r="N888" i="3" s="1"/>
  <c r="M887" i="3"/>
  <c r="N887" i="3" s="1"/>
  <c r="M886" i="3"/>
  <c r="M885" i="3"/>
  <c r="N885" i="3" s="1"/>
  <c r="M884" i="3"/>
  <c r="N884" i="3" s="1"/>
  <c r="M883" i="3"/>
  <c r="N883" i="3" s="1"/>
  <c r="M882" i="3"/>
  <c r="N882" i="3" s="1"/>
  <c r="M881" i="3"/>
  <c r="N881" i="3" s="1"/>
  <c r="M880" i="3"/>
  <c r="O880" i="3" s="1"/>
  <c r="M879" i="3"/>
  <c r="O879" i="3" s="1"/>
  <c r="M878" i="3"/>
  <c r="M877" i="3"/>
  <c r="N877" i="3" s="1"/>
  <c r="M876" i="3"/>
  <c r="M875" i="3"/>
  <c r="M874" i="3"/>
  <c r="N874" i="3" s="1"/>
  <c r="M873" i="3"/>
  <c r="N873" i="3" s="1"/>
  <c r="M872" i="3"/>
  <c r="M871" i="3"/>
  <c r="N871" i="3" s="1"/>
  <c r="M870" i="3"/>
  <c r="N870" i="3" s="1"/>
  <c r="M869" i="3"/>
  <c r="N869" i="3" s="1"/>
  <c r="M868" i="3"/>
  <c r="N868" i="3" s="1"/>
  <c r="M867" i="3"/>
  <c r="O867" i="3" s="1"/>
  <c r="M866" i="3"/>
  <c r="O866" i="3" s="1"/>
  <c r="M865" i="3"/>
  <c r="O865" i="3" s="1"/>
  <c r="M864" i="3"/>
  <c r="O864" i="3" s="1"/>
  <c r="M863" i="3"/>
  <c r="N863" i="3" s="1"/>
  <c r="M862" i="3"/>
  <c r="O862" i="3" s="1"/>
  <c r="M861" i="3"/>
  <c r="O861" i="3" s="1"/>
  <c r="M860" i="3"/>
  <c r="O860" i="3" s="1"/>
  <c r="M859" i="3"/>
  <c r="O859" i="3" s="1"/>
  <c r="M858" i="3"/>
  <c r="M857" i="3"/>
  <c r="M856" i="3"/>
  <c r="N856" i="3" s="1"/>
  <c r="M855" i="3"/>
  <c r="N855" i="3" s="1"/>
  <c r="M854" i="3"/>
  <c r="N854" i="3" s="1"/>
  <c r="M853" i="3"/>
  <c r="N853" i="3" s="1"/>
  <c r="M852" i="3"/>
  <c r="M851" i="3"/>
  <c r="O851" i="3" s="1"/>
  <c r="M850" i="3"/>
  <c r="M849" i="3"/>
  <c r="N849" i="3" s="1"/>
  <c r="M848" i="3"/>
  <c r="M847" i="3"/>
  <c r="M846" i="3"/>
  <c r="O846" i="3" s="1"/>
  <c r="M845" i="3"/>
  <c r="N845" i="3" s="1"/>
  <c r="M844" i="3"/>
  <c r="O844" i="3" s="1"/>
  <c r="M843" i="3"/>
  <c r="O843" i="3" s="1"/>
  <c r="M842" i="3"/>
  <c r="O842" i="3" s="1"/>
  <c r="M841" i="3"/>
  <c r="O841" i="3" s="1"/>
  <c r="M840" i="3"/>
  <c r="O840" i="3" s="1"/>
  <c r="M839" i="3"/>
  <c r="N839" i="3" s="1"/>
  <c r="M838" i="3"/>
  <c r="M837" i="3"/>
  <c r="M836" i="3"/>
  <c r="M835" i="3"/>
  <c r="N835" i="3" s="1"/>
  <c r="M834" i="3"/>
  <c r="O834" i="3" s="1"/>
  <c r="M833" i="3"/>
  <c r="M832" i="3"/>
  <c r="N832" i="3" s="1"/>
  <c r="M831" i="3"/>
  <c r="N831" i="3" s="1"/>
  <c r="M830" i="3"/>
  <c r="M829" i="3"/>
  <c r="N829" i="3" s="1"/>
  <c r="M828" i="3"/>
  <c r="O828" i="3" s="1"/>
  <c r="M827" i="3"/>
  <c r="O827" i="3" s="1"/>
  <c r="M826" i="3"/>
  <c r="N826" i="3" s="1"/>
  <c r="M825" i="3"/>
  <c r="N825" i="3" s="1"/>
  <c r="M824" i="3"/>
  <c r="M823" i="3"/>
  <c r="N823" i="3" s="1"/>
  <c r="M822" i="3"/>
  <c r="M821" i="3"/>
  <c r="M820" i="3"/>
  <c r="M819" i="3"/>
  <c r="M818" i="3"/>
  <c r="N818" i="3" s="1"/>
  <c r="M817" i="3"/>
  <c r="M816" i="3"/>
  <c r="O816" i="3" s="1"/>
  <c r="M815" i="3"/>
  <c r="N815" i="3" s="1"/>
  <c r="M814" i="3"/>
  <c r="M813" i="3"/>
  <c r="N813" i="3" s="1"/>
  <c r="M812" i="3"/>
  <c r="N812" i="3" s="1"/>
  <c r="M811" i="3"/>
  <c r="O811" i="3" s="1"/>
  <c r="M810" i="3"/>
  <c r="O810" i="3" s="1"/>
  <c r="M809" i="3"/>
  <c r="O809" i="3" s="1"/>
  <c r="M808" i="3"/>
  <c r="O808" i="3" s="1"/>
  <c r="M807" i="3"/>
  <c r="O807" i="3" s="1"/>
  <c r="M806" i="3"/>
  <c r="O806" i="3" s="1"/>
  <c r="M805" i="3"/>
  <c r="O805" i="3" s="1"/>
  <c r="M804" i="3"/>
  <c r="O804" i="3" s="1"/>
  <c r="M803" i="3"/>
  <c r="O803" i="3" s="1"/>
  <c r="M802" i="3"/>
  <c r="O802" i="3" s="1"/>
  <c r="M801" i="3"/>
  <c r="M800" i="3"/>
  <c r="M799" i="3"/>
  <c r="M798" i="3"/>
  <c r="N798" i="3" s="1"/>
  <c r="M797" i="3"/>
  <c r="N797" i="3" s="1"/>
  <c r="M796" i="3"/>
  <c r="M795" i="3"/>
  <c r="M794" i="3"/>
  <c r="M793" i="3"/>
  <c r="N793" i="3" s="1"/>
  <c r="M792" i="3"/>
  <c r="M791" i="3"/>
  <c r="M790" i="3"/>
  <c r="N790" i="3" s="1"/>
  <c r="M789" i="3"/>
  <c r="N789" i="3" s="1"/>
  <c r="M788" i="3"/>
  <c r="M787" i="3"/>
  <c r="N787" i="3" s="1"/>
  <c r="M786" i="3"/>
  <c r="M785" i="3"/>
  <c r="N785" i="3" s="1"/>
  <c r="M784" i="3"/>
  <c r="N784" i="3" s="1"/>
  <c r="M783" i="3"/>
  <c r="O783" i="3" s="1"/>
  <c r="M782" i="3"/>
  <c r="O782" i="3" s="1"/>
  <c r="M781" i="3"/>
  <c r="O781" i="3" s="1"/>
  <c r="M780" i="3"/>
  <c r="O780" i="3" s="1"/>
  <c r="M779" i="3"/>
  <c r="O779" i="3" s="1"/>
  <c r="M778" i="3"/>
  <c r="M777" i="3"/>
  <c r="M776" i="3"/>
  <c r="N776" i="3" s="1"/>
  <c r="M775" i="3"/>
  <c r="N775" i="3" s="1"/>
  <c r="M774" i="3"/>
  <c r="M773" i="3"/>
  <c r="N773" i="3" s="1"/>
  <c r="M772" i="3"/>
  <c r="O772" i="3" s="1"/>
  <c r="M771" i="3"/>
  <c r="O771" i="3" s="1"/>
  <c r="M770" i="3"/>
  <c r="O770" i="3" s="1"/>
  <c r="M769" i="3"/>
  <c r="O769" i="3" s="1"/>
  <c r="M768" i="3"/>
  <c r="O768" i="3" s="1"/>
  <c r="M767" i="3"/>
  <c r="O767" i="3" s="1"/>
  <c r="M766" i="3"/>
  <c r="M765" i="3"/>
  <c r="N765" i="3" s="1"/>
  <c r="M764" i="3"/>
  <c r="M763" i="3"/>
  <c r="M762" i="3"/>
  <c r="O762" i="3" s="1"/>
  <c r="M761" i="3"/>
  <c r="N761" i="3" s="1"/>
  <c r="M760" i="3"/>
  <c r="O760" i="3" s="1"/>
  <c r="M759" i="3"/>
  <c r="N759" i="3" s="1"/>
  <c r="M758" i="3"/>
  <c r="M757" i="3"/>
  <c r="N757" i="3" s="1"/>
  <c r="M756" i="3"/>
  <c r="M755" i="3"/>
  <c r="N755" i="3" s="1"/>
  <c r="M754" i="3"/>
  <c r="M753" i="3"/>
  <c r="M752" i="3"/>
  <c r="O752" i="3" s="1"/>
  <c r="M751" i="3"/>
  <c r="M750" i="3"/>
  <c r="O750" i="3" s="1"/>
  <c r="M749" i="3"/>
  <c r="M748" i="3"/>
  <c r="O748" i="3" s="1"/>
  <c r="M747" i="3"/>
  <c r="N747" i="3" s="1"/>
  <c r="M746" i="3"/>
  <c r="M745" i="3"/>
  <c r="N745" i="3" s="1"/>
  <c r="M744" i="3"/>
  <c r="O744" i="3" s="1"/>
  <c r="M743" i="3"/>
  <c r="O743" i="3" s="1"/>
  <c r="M742" i="3"/>
  <c r="O742" i="3" s="1"/>
  <c r="M741" i="3"/>
  <c r="N741" i="3" s="1"/>
  <c r="M740" i="3"/>
  <c r="O740" i="3" s="1"/>
  <c r="M739" i="3"/>
  <c r="O739" i="3" s="1"/>
  <c r="M738" i="3"/>
  <c r="M737" i="3"/>
  <c r="N737" i="3" s="1"/>
  <c r="M736" i="3"/>
  <c r="M735" i="3"/>
  <c r="M734" i="3"/>
  <c r="O734" i="3" s="1"/>
  <c r="M733" i="3"/>
  <c r="M732" i="3"/>
  <c r="O732" i="3" s="1"/>
  <c r="M731" i="3"/>
  <c r="O731" i="3" s="1"/>
  <c r="M730" i="3"/>
  <c r="M729" i="3"/>
  <c r="N729" i="3" s="1"/>
  <c r="M728" i="3"/>
  <c r="N728" i="3" s="1"/>
  <c r="M727" i="3"/>
  <c r="N727" i="3" s="1"/>
  <c r="M726" i="3"/>
  <c r="M725" i="3"/>
  <c r="M724" i="3"/>
  <c r="M723" i="3"/>
  <c r="N723" i="3" s="1"/>
  <c r="M722" i="3"/>
  <c r="M721" i="3"/>
  <c r="N721" i="3" s="1"/>
  <c r="M720" i="3"/>
  <c r="N720" i="3" s="1"/>
  <c r="M719" i="3"/>
  <c r="N719" i="3" s="1"/>
  <c r="M718" i="3"/>
  <c r="O718" i="3" s="1"/>
  <c r="M717" i="3"/>
  <c r="O717" i="3" s="1"/>
  <c r="M716" i="3"/>
  <c r="O716" i="3" s="1"/>
  <c r="M715" i="3"/>
  <c r="O715" i="3" s="1"/>
  <c r="M714" i="3"/>
  <c r="N714" i="3" s="1"/>
  <c r="M713" i="3"/>
  <c r="N713" i="3" s="1"/>
  <c r="M712" i="3"/>
  <c r="M711" i="3"/>
  <c r="M710" i="3"/>
  <c r="M709" i="3"/>
  <c r="N709" i="3" s="1"/>
  <c r="M708" i="3"/>
  <c r="M707" i="3"/>
  <c r="M706" i="3"/>
  <c r="M705" i="3"/>
  <c r="N705" i="3" s="1"/>
  <c r="M704" i="3"/>
  <c r="M703" i="3"/>
  <c r="O703" i="3" s="1"/>
  <c r="M702" i="3"/>
  <c r="O702" i="3" s="1"/>
  <c r="M701" i="3"/>
  <c r="N701" i="3" s="1"/>
  <c r="M700" i="3"/>
  <c r="O700" i="3" s="1"/>
  <c r="M699" i="3"/>
  <c r="O699" i="3" s="1"/>
  <c r="M698" i="3"/>
  <c r="O698" i="3" s="1"/>
  <c r="M697" i="3"/>
  <c r="O697" i="3" s="1"/>
  <c r="M696" i="3"/>
  <c r="O696" i="3" s="1"/>
  <c r="M695" i="3"/>
  <c r="O695" i="3" s="1"/>
  <c r="M694" i="3"/>
  <c r="M693" i="3"/>
  <c r="M692" i="3"/>
  <c r="N692" i="3" s="1"/>
  <c r="M691" i="3"/>
  <c r="M690" i="3"/>
  <c r="M689" i="3"/>
  <c r="N689" i="3" s="1"/>
  <c r="M688" i="3"/>
  <c r="O688" i="3" s="1"/>
  <c r="M687" i="3"/>
  <c r="O687" i="3" s="1"/>
  <c r="M686" i="3"/>
  <c r="N686" i="3" s="1"/>
  <c r="M685" i="3"/>
  <c r="N685" i="3" s="1"/>
  <c r="M684" i="3"/>
  <c r="O684" i="3" s="1"/>
  <c r="M683" i="3"/>
  <c r="M682" i="3"/>
  <c r="N682" i="3" s="1"/>
  <c r="M681" i="3"/>
  <c r="N681" i="3" s="1"/>
  <c r="M680" i="3"/>
  <c r="M679" i="3"/>
  <c r="M678" i="3"/>
  <c r="O678" i="3" s="1"/>
  <c r="M677" i="3"/>
  <c r="O677" i="3" s="1"/>
  <c r="M676" i="3"/>
  <c r="M675" i="3"/>
  <c r="N675" i="3" s="1"/>
  <c r="M674" i="3"/>
  <c r="N674" i="3" s="1"/>
  <c r="M673" i="3"/>
  <c r="M672" i="3"/>
  <c r="N672" i="3" s="1"/>
  <c r="M671" i="3"/>
  <c r="N671" i="3" s="1"/>
  <c r="M670" i="3"/>
  <c r="M669" i="3"/>
  <c r="M668" i="3"/>
  <c r="M667" i="3"/>
  <c r="N667" i="3" s="1"/>
  <c r="M666" i="3"/>
  <c r="M665" i="3"/>
  <c r="M664" i="3"/>
  <c r="M663" i="3"/>
  <c r="O663" i="3" s="1"/>
  <c r="M662" i="3"/>
  <c r="M661" i="3"/>
  <c r="M660" i="3"/>
  <c r="M659" i="3"/>
  <c r="M658" i="3"/>
  <c r="N658" i="3" s="1"/>
  <c r="M657" i="3"/>
  <c r="N657" i="3" s="1"/>
  <c r="M656" i="3"/>
  <c r="O656" i="3" s="1"/>
  <c r="M655" i="3"/>
  <c r="O655" i="3" s="1"/>
  <c r="M654" i="3"/>
  <c r="M653" i="3"/>
  <c r="N653" i="3" s="1"/>
  <c r="M652" i="3"/>
  <c r="M651" i="3"/>
  <c r="M650" i="3"/>
  <c r="O650" i="3" s="1"/>
  <c r="M649" i="3"/>
  <c r="O649" i="3" s="1"/>
  <c r="M648" i="3"/>
  <c r="M647" i="3"/>
  <c r="M646" i="3"/>
  <c r="M645" i="3"/>
  <c r="O645" i="3" s="1"/>
  <c r="M644" i="3"/>
  <c r="O644" i="3" s="1"/>
  <c r="M643" i="3"/>
  <c r="O643" i="3" s="1"/>
  <c r="M642" i="3"/>
  <c r="O642" i="3" s="1"/>
  <c r="M641" i="3"/>
  <c r="M640" i="3"/>
  <c r="M639" i="3"/>
  <c r="O639" i="3" s="1"/>
  <c r="M638" i="3"/>
  <c r="O638" i="3" s="1"/>
  <c r="M637" i="3"/>
  <c r="O637" i="3" s="1"/>
  <c r="M636" i="3"/>
  <c r="N636" i="3" s="1"/>
  <c r="M635" i="3"/>
  <c r="O635" i="3" s="1"/>
  <c r="M634" i="3"/>
  <c r="M633" i="3"/>
  <c r="N633" i="3" s="1"/>
  <c r="M632" i="3"/>
  <c r="M631" i="3"/>
  <c r="N631" i="3" s="1"/>
  <c r="M630" i="3"/>
  <c r="N630" i="3" s="1"/>
  <c r="M629" i="3"/>
  <c r="M628" i="3"/>
  <c r="M627" i="3"/>
  <c r="M626" i="3"/>
  <c r="M625" i="3"/>
  <c r="N625" i="3" s="1"/>
  <c r="M624" i="3"/>
  <c r="M623" i="3"/>
  <c r="M622" i="3"/>
  <c r="M621" i="3"/>
  <c r="N621" i="3" s="1"/>
  <c r="M620" i="3"/>
  <c r="M619" i="3"/>
  <c r="N619" i="3" s="1"/>
  <c r="M618" i="3"/>
  <c r="M617" i="3"/>
  <c r="N617" i="3" s="1"/>
  <c r="M616" i="3"/>
  <c r="N616" i="3" s="1"/>
  <c r="M615" i="3"/>
  <c r="N615" i="3" s="1"/>
  <c r="M614" i="3"/>
  <c r="M613" i="3"/>
  <c r="M612" i="3"/>
  <c r="M611" i="3"/>
  <c r="O611" i="3" s="1"/>
  <c r="M610" i="3"/>
  <c r="O610" i="3" s="1"/>
  <c r="M609" i="3"/>
  <c r="O609" i="3" s="1"/>
  <c r="M608" i="3"/>
  <c r="O608" i="3" s="1"/>
  <c r="M607" i="3"/>
  <c r="O607" i="3" s="1"/>
  <c r="M606" i="3"/>
  <c r="M605" i="3"/>
  <c r="O605" i="3" s="1"/>
  <c r="M604" i="3"/>
  <c r="O604" i="3" s="1"/>
  <c r="M603" i="3"/>
  <c r="M602" i="3"/>
  <c r="N602" i="3" s="1"/>
  <c r="M601" i="3"/>
  <c r="N601" i="3" s="1"/>
  <c r="M600" i="3"/>
  <c r="M599" i="3"/>
  <c r="M598" i="3"/>
  <c r="M597" i="3"/>
  <c r="N597" i="3" s="1"/>
  <c r="M596" i="3"/>
  <c r="M595" i="3"/>
  <c r="M594" i="3"/>
  <c r="N594" i="3" s="1"/>
  <c r="M593" i="3"/>
  <c r="N593" i="3" s="1"/>
  <c r="M592" i="3"/>
  <c r="M591" i="3"/>
  <c r="N591" i="3" s="1"/>
  <c r="M590" i="3"/>
  <c r="M589" i="3"/>
  <c r="N589" i="3" s="1"/>
  <c r="M588" i="3"/>
  <c r="O588" i="3" s="1"/>
  <c r="M587" i="3"/>
  <c r="O587" i="3" s="1"/>
  <c r="M586" i="3"/>
  <c r="M585" i="3"/>
  <c r="M584" i="3"/>
  <c r="M583" i="3"/>
  <c r="N583" i="3" s="1"/>
  <c r="M582" i="3"/>
  <c r="O582" i="3" s="1"/>
  <c r="M581" i="3"/>
  <c r="M580" i="3"/>
  <c r="N580" i="3" s="1"/>
  <c r="M579" i="3"/>
  <c r="O579" i="3" s="1"/>
  <c r="M578" i="3"/>
  <c r="M577" i="3"/>
  <c r="N577" i="3" s="1"/>
  <c r="M576" i="3"/>
  <c r="O576" i="3" s="1"/>
  <c r="M575" i="3"/>
  <c r="O575" i="3" s="1"/>
  <c r="M574" i="3"/>
  <c r="O574" i="3" s="1"/>
  <c r="M573" i="3"/>
  <c r="N573" i="3" s="1"/>
  <c r="M572" i="3"/>
  <c r="O572" i="3" s="1"/>
  <c r="M571" i="3"/>
  <c r="O571" i="3" s="1"/>
  <c r="M570" i="3"/>
  <c r="M569" i="3"/>
  <c r="M568" i="3"/>
  <c r="M567" i="3"/>
  <c r="M566" i="3"/>
  <c r="M565" i="3"/>
  <c r="N565" i="3" s="1"/>
  <c r="M564" i="3"/>
  <c r="M563" i="3"/>
  <c r="M562" i="3"/>
  <c r="M561" i="3"/>
  <c r="N561" i="3" s="1"/>
  <c r="M560" i="3"/>
  <c r="N560" i="3" s="1"/>
  <c r="M559" i="3"/>
  <c r="N559" i="3" s="1"/>
  <c r="M558" i="3"/>
  <c r="M557" i="3"/>
  <c r="M556" i="3"/>
  <c r="M555" i="3"/>
  <c r="N555" i="3" s="1"/>
  <c r="M554" i="3"/>
  <c r="M553" i="3"/>
  <c r="O553" i="3" s="1"/>
  <c r="M552" i="3"/>
  <c r="O552" i="3" s="1"/>
  <c r="M551" i="3"/>
  <c r="O551" i="3" s="1"/>
  <c r="M550" i="3"/>
  <c r="O550" i="3" s="1"/>
  <c r="M549" i="3"/>
  <c r="O549" i="3" s="1"/>
  <c r="M548" i="3"/>
  <c r="M547" i="3"/>
  <c r="N547" i="3" s="1"/>
  <c r="M546" i="3"/>
  <c r="N546" i="3" s="1"/>
  <c r="M545" i="3"/>
  <c r="M544" i="3"/>
  <c r="M543" i="3"/>
  <c r="M542" i="3"/>
  <c r="M541" i="3"/>
  <c r="N541" i="3" s="1"/>
  <c r="M540" i="3"/>
  <c r="M539" i="3"/>
  <c r="M538" i="3"/>
  <c r="N538" i="3" s="1"/>
  <c r="M537" i="3"/>
  <c r="N537" i="3" s="1"/>
  <c r="M536" i="3"/>
  <c r="M535" i="3"/>
  <c r="O535" i="3" s="1"/>
  <c r="M534" i="3"/>
  <c r="O534" i="3" s="1"/>
  <c r="M533" i="3"/>
  <c r="O533" i="3" s="1"/>
  <c r="M532" i="3"/>
  <c r="O532" i="3" s="1"/>
  <c r="M531" i="3"/>
  <c r="O531" i="3" s="1"/>
  <c r="M530" i="3"/>
  <c r="M529" i="3"/>
  <c r="M528" i="3"/>
  <c r="M527" i="3"/>
  <c r="N527" i="3" s="1"/>
  <c r="M526" i="3"/>
  <c r="M525" i="3"/>
  <c r="M524" i="3"/>
  <c r="O524" i="3" s="1"/>
  <c r="M523" i="3"/>
  <c r="O523" i="3" s="1"/>
  <c r="M522" i="3"/>
  <c r="O522" i="3" s="1"/>
  <c r="M521" i="3"/>
  <c r="O521" i="3" s="1"/>
  <c r="M520" i="3"/>
  <c r="O520" i="3" s="1"/>
  <c r="M519" i="3"/>
  <c r="N519" i="3" s="1"/>
  <c r="M518" i="3"/>
  <c r="N518" i="3" s="1"/>
  <c r="M517" i="3"/>
  <c r="O517" i="3" s="1"/>
  <c r="M516" i="3"/>
  <c r="O516" i="3" s="1"/>
  <c r="M515" i="3"/>
  <c r="O515" i="3" s="1"/>
  <c r="M514" i="3"/>
  <c r="M513" i="3"/>
  <c r="N513" i="3" s="1"/>
  <c r="M512" i="3"/>
  <c r="M511" i="3"/>
  <c r="M510" i="3"/>
  <c r="O510" i="3" s="1"/>
  <c r="M509" i="3"/>
  <c r="O509" i="3" s="1"/>
  <c r="M508" i="3"/>
  <c r="O508" i="3" s="1"/>
  <c r="M507" i="3"/>
  <c r="O507" i="3" s="1"/>
  <c r="M506" i="3"/>
  <c r="N506" i="3" s="1"/>
  <c r="M505" i="3"/>
  <c r="N505" i="3" s="1"/>
  <c r="M504" i="3"/>
  <c r="N504" i="3" s="1"/>
  <c r="M503" i="3"/>
  <c r="M502" i="3"/>
  <c r="O502" i="3" s="1"/>
  <c r="M501" i="3"/>
  <c r="M500" i="3"/>
  <c r="M499" i="3"/>
  <c r="O499" i="3" s="1"/>
  <c r="M498" i="3"/>
  <c r="M497" i="3"/>
  <c r="M496" i="3"/>
  <c r="N496" i="3" s="1"/>
  <c r="M495" i="3"/>
  <c r="N495" i="3" s="1"/>
  <c r="M494" i="3"/>
  <c r="M493" i="3"/>
  <c r="N493" i="3" s="1"/>
  <c r="M492" i="3"/>
  <c r="O492" i="3" s="1"/>
  <c r="M491" i="3"/>
  <c r="O491" i="3" s="1"/>
  <c r="M490" i="3"/>
  <c r="O490" i="3" s="1"/>
  <c r="M489" i="3"/>
  <c r="N489" i="3" s="1"/>
  <c r="M488" i="3"/>
  <c r="O488" i="3" s="1"/>
  <c r="M487" i="3"/>
  <c r="O487" i="3" s="1"/>
  <c r="M486" i="3"/>
  <c r="M485" i="3"/>
  <c r="M484" i="3"/>
  <c r="M483" i="3"/>
  <c r="M482" i="3"/>
  <c r="N482" i="3" s="1"/>
  <c r="M481" i="3"/>
  <c r="M480" i="3"/>
  <c r="O480" i="3" s="1"/>
  <c r="M479" i="3"/>
  <c r="O479" i="3" s="1"/>
  <c r="M478" i="3"/>
  <c r="O478" i="3" s="1"/>
  <c r="M477" i="3"/>
  <c r="M476" i="3"/>
  <c r="O476" i="3" s="1"/>
  <c r="M475" i="3"/>
  <c r="N475" i="3" s="1"/>
  <c r="M474" i="3"/>
  <c r="M473" i="3"/>
  <c r="O473" i="3" s="1"/>
  <c r="M472" i="3"/>
  <c r="O472" i="3" s="1"/>
  <c r="M471" i="3"/>
  <c r="O471" i="3" s="1"/>
  <c r="M470" i="3"/>
  <c r="O470" i="3" s="1"/>
  <c r="M469" i="3"/>
  <c r="N469" i="3" s="1"/>
  <c r="M468" i="3"/>
  <c r="N468" i="3" s="1"/>
  <c r="M467" i="3"/>
  <c r="N467" i="3" s="1"/>
  <c r="M466" i="3"/>
  <c r="M465" i="3"/>
  <c r="M464" i="3"/>
  <c r="M463" i="3"/>
  <c r="N463" i="3" s="1"/>
  <c r="M462" i="3"/>
  <c r="N462" i="3" s="1"/>
  <c r="M461" i="3"/>
  <c r="N461" i="3" s="1"/>
  <c r="M460" i="3"/>
  <c r="O460" i="3" s="1"/>
  <c r="M459" i="3"/>
  <c r="M458" i="3"/>
  <c r="M457" i="3"/>
  <c r="M456" i="3"/>
  <c r="M455" i="3"/>
  <c r="M454" i="3"/>
  <c r="N454" i="3" s="1"/>
  <c r="M453" i="3"/>
  <c r="N453" i="3" s="1"/>
  <c r="M452" i="3"/>
  <c r="M451" i="3"/>
  <c r="O451" i="3" s="1"/>
  <c r="M450" i="3"/>
  <c r="O450" i="3" s="1"/>
  <c r="M449" i="3"/>
  <c r="M448" i="3"/>
  <c r="N448" i="3" s="1"/>
  <c r="M447" i="3"/>
  <c r="N447" i="3" s="1"/>
  <c r="M446" i="3"/>
  <c r="O446" i="3" s="1"/>
  <c r="M445" i="3"/>
  <c r="O445" i="3" s="1"/>
  <c r="M444" i="3"/>
  <c r="M443" i="3"/>
  <c r="N443" i="3" s="1"/>
  <c r="M442" i="3"/>
  <c r="O442" i="3" s="1"/>
  <c r="M441" i="3"/>
  <c r="O441" i="3" s="1"/>
  <c r="M440" i="3"/>
  <c r="N440" i="3" s="1"/>
  <c r="M439" i="3"/>
  <c r="M438" i="3"/>
  <c r="M437" i="3"/>
  <c r="M436" i="3"/>
  <c r="O436" i="3" s="1"/>
  <c r="M435" i="3"/>
  <c r="O435" i="3" s="1"/>
  <c r="M434" i="3"/>
  <c r="N434" i="3" s="1"/>
  <c r="M433" i="3"/>
  <c r="N433" i="3" s="1"/>
  <c r="M432" i="3"/>
  <c r="M431" i="3"/>
  <c r="M430" i="3"/>
  <c r="M429" i="3"/>
  <c r="N429" i="3" s="1"/>
  <c r="M428" i="3"/>
  <c r="M427" i="3"/>
  <c r="M426" i="3"/>
  <c r="N426" i="3" s="1"/>
  <c r="M425" i="3"/>
  <c r="N425" i="3" s="1"/>
  <c r="M424" i="3"/>
  <c r="O424" i="3" s="1"/>
  <c r="M423" i="3"/>
  <c r="O423" i="3" s="1"/>
  <c r="M422" i="3"/>
  <c r="O422" i="3" s="1"/>
  <c r="M421" i="3"/>
  <c r="O421" i="3" s="1"/>
  <c r="M420" i="3"/>
  <c r="N420" i="3" s="1"/>
  <c r="M419" i="3"/>
  <c r="M418" i="3"/>
  <c r="M417" i="3"/>
  <c r="M416" i="3"/>
  <c r="N416" i="3" s="1"/>
  <c r="M415" i="3"/>
  <c r="N415" i="3" s="1"/>
  <c r="M414" i="3"/>
  <c r="M413" i="3"/>
  <c r="O413" i="3" s="1"/>
  <c r="M412" i="3"/>
  <c r="M411" i="3"/>
  <c r="N411" i="3" s="1"/>
  <c r="M410" i="3"/>
  <c r="M409" i="3"/>
  <c r="N409" i="3" s="1"/>
  <c r="M408" i="3"/>
  <c r="O408" i="3" s="1"/>
  <c r="M407" i="3"/>
  <c r="O407" i="3" s="1"/>
  <c r="M406" i="3"/>
  <c r="M405" i="3"/>
  <c r="O405" i="3" s="1"/>
  <c r="M404" i="3"/>
  <c r="O404" i="3" s="1"/>
  <c r="M403" i="3"/>
  <c r="O403" i="3" s="1"/>
  <c r="M402" i="3"/>
  <c r="M401" i="3"/>
  <c r="N401" i="3" s="1"/>
  <c r="M400" i="3"/>
  <c r="M399" i="3"/>
  <c r="M398" i="3"/>
  <c r="M397" i="3"/>
  <c r="N397" i="3" s="1"/>
  <c r="M396" i="3"/>
  <c r="M395" i="3"/>
  <c r="N395" i="3" s="1"/>
  <c r="M394" i="3"/>
  <c r="M393" i="3"/>
  <c r="N393" i="3" s="1"/>
  <c r="M392" i="3"/>
  <c r="M391" i="3"/>
  <c r="N391" i="3" s="1"/>
  <c r="M390" i="3"/>
  <c r="M389" i="3"/>
  <c r="O389" i="3" s="1"/>
  <c r="M388" i="3"/>
  <c r="O388" i="3" s="1"/>
  <c r="M387" i="3"/>
  <c r="O387" i="3" s="1"/>
  <c r="M386" i="3"/>
  <c r="O386" i="3" s="1"/>
  <c r="M385" i="3"/>
  <c r="N385" i="3" s="1"/>
  <c r="M384" i="3"/>
  <c r="O384" i="3" s="1"/>
  <c r="M383" i="3"/>
  <c r="O383" i="3" s="1"/>
  <c r="M382" i="3"/>
  <c r="M381" i="3"/>
  <c r="N381" i="3" s="1"/>
  <c r="M380" i="3"/>
  <c r="M379" i="3"/>
  <c r="N379" i="3" s="1"/>
  <c r="M378" i="3"/>
  <c r="O378" i="3" s="1"/>
  <c r="M377" i="3"/>
  <c r="M376" i="3"/>
  <c r="M375" i="3"/>
  <c r="O375" i="3" s="1"/>
  <c r="M374" i="3"/>
  <c r="M373" i="3"/>
  <c r="N373" i="3" s="1"/>
  <c r="M372" i="3"/>
  <c r="M371" i="3"/>
  <c r="M370" i="3"/>
  <c r="M369" i="3"/>
  <c r="M368" i="3"/>
  <c r="O368" i="3" s="1"/>
  <c r="M367" i="3"/>
  <c r="N367" i="3" s="1"/>
  <c r="M366" i="3"/>
  <c r="M365" i="3"/>
  <c r="N365" i="3" s="1"/>
  <c r="M364" i="3"/>
  <c r="M363" i="3"/>
  <c r="N363" i="3" s="1"/>
  <c r="M362" i="3"/>
  <c r="M361" i="3"/>
  <c r="N361" i="3" s="1"/>
  <c r="M360" i="3"/>
  <c r="O360" i="3" s="1"/>
  <c r="M359" i="3"/>
  <c r="O359" i="3" s="1"/>
  <c r="M358" i="3"/>
  <c r="O358" i="3" s="1"/>
  <c r="M357" i="3"/>
  <c r="O357" i="3" s="1"/>
  <c r="M356" i="3"/>
  <c r="M355" i="3"/>
  <c r="M354" i="3"/>
  <c r="M353" i="3"/>
  <c r="N353" i="3" s="1"/>
  <c r="M352" i="3"/>
  <c r="O352" i="3" s="1"/>
  <c r="M351" i="3"/>
  <c r="M350" i="3"/>
  <c r="N350" i="3" s="1"/>
  <c r="M349" i="3"/>
  <c r="N349" i="3" s="1"/>
  <c r="M348" i="3"/>
  <c r="O348" i="3" s="1"/>
  <c r="M347" i="3"/>
  <c r="M346" i="3"/>
  <c r="M345" i="3"/>
  <c r="M344" i="3"/>
  <c r="M343" i="3"/>
  <c r="M342" i="3"/>
  <c r="M341" i="3"/>
  <c r="M340" i="3"/>
  <c r="M339" i="3"/>
  <c r="N339" i="3" s="1"/>
  <c r="M338" i="3"/>
  <c r="M337" i="3"/>
  <c r="N337" i="3" s="1"/>
  <c r="M336" i="3"/>
  <c r="O336" i="3" s="1"/>
  <c r="M335" i="3"/>
  <c r="N335" i="3" s="1"/>
  <c r="M334" i="3"/>
  <c r="M333" i="3"/>
  <c r="N333" i="3" s="1"/>
  <c r="M332" i="3"/>
  <c r="M331" i="3"/>
  <c r="M330" i="3"/>
  <c r="M329" i="3"/>
  <c r="M328" i="3"/>
  <c r="O328" i="3" s="1"/>
  <c r="M327" i="3"/>
  <c r="O327" i="3" s="1"/>
  <c r="M326" i="3"/>
  <c r="O326" i="3" s="1"/>
  <c r="M325" i="3"/>
  <c r="O325" i="3" s="1"/>
  <c r="M324" i="3"/>
  <c r="O324" i="3" s="1"/>
  <c r="M323" i="3"/>
  <c r="N323" i="3" s="1"/>
  <c r="M322" i="3"/>
  <c r="N322" i="3" s="1"/>
  <c r="M321" i="3"/>
  <c r="N321" i="3" s="1"/>
  <c r="M320" i="3"/>
  <c r="N320" i="3" s="1"/>
  <c r="M319" i="3"/>
  <c r="O319" i="3" s="1"/>
  <c r="M318" i="3"/>
  <c r="M317" i="3"/>
  <c r="N317" i="3" s="1"/>
  <c r="M316" i="3"/>
  <c r="M315" i="3"/>
  <c r="M314" i="3"/>
  <c r="O314" i="3" s="1"/>
  <c r="M313" i="3"/>
  <c r="O313" i="3" s="1"/>
  <c r="M312" i="3"/>
  <c r="O312" i="3" s="1"/>
  <c r="M311" i="3"/>
  <c r="O311" i="3" s="1"/>
  <c r="M310" i="3"/>
  <c r="O310" i="3" s="1"/>
  <c r="M309" i="3"/>
  <c r="O309" i="3" s="1"/>
  <c r="M308" i="3"/>
  <c r="M307" i="3"/>
  <c r="N307" i="3" s="1"/>
  <c r="M306" i="3"/>
  <c r="M305" i="3"/>
  <c r="M304" i="3"/>
  <c r="N304" i="3" s="1"/>
  <c r="M303" i="3"/>
  <c r="N303" i="3" s="1"/>
  <c r="M302" i="3"/>
  <c r="M301" i="3"/>
  <c r="M300" i="3"/>
  <c r="M299" i="3"/>
  <c r="M298" i="3"/>
  <c r="M297" i="3"/>
  <c r="N297" i="3" s="1"/>
  <c r="M296" i="3"/>
  <c r="M295" i="3"/>
  <c r="N295" i="3" s="1"/>
  <c r="M294" i="3"/>
  <c r="N294" i="3" s="1"/>
  <c r="M293" i="3"/>
  <c r="N293" i="3" s="1"/>
  <c r="M292" i="3"/>
  <c r="O292" i="3" s="1"/>
  <c r="M291" i="3"/>
  <c r="O291" i="3" s="1"/>
  <c r="M290" i="3"/>
  <c r="M289" i="3"/>
  <c r="N289" i="3" s="1"/>
  <c r="M288" i="3"/>
  <c r="M287" i="3"/>
  <c r="N287" i="3" s="1"/>
  <c r="M286" i="3"/>
  <c r="M285" i="3"/>
  <c r="O285" i="3" s="1"/>
  <c r="M284" i="3"/>
  <c r="M283" i="3"/>
  <c r="N283" i="3" s="1"/>
  <c r="M282" i="3"/>
  <c r="M281" i="3"/>
  <c r="N281" i="3" s="1"/>
  <c r="M280" i="3"/>
  <c r="N280" i="3" s="1"/>
  <c r="M279" i="3"/>
  <c r="N279" i="3" s="1"/>
  <c r="M278" i="3"/>
  <c r="M277" i="3"/>
  <c r="M276" i="3"/>
  <c r="O276" i="3" s="1"/>
  <c r="M275" i="3"/>
  <c r="O275" i="3" s="1"/>
  <c r="M274" i="3"/>
  <c r="O274" i="3" s="1"/>
  <c r="M273" i="3"/>
  <c r="O273" i="3" s="1"/>
  <c r="M272" i="3"/>
  <c r="O272" i="3" s="1"/>
  <c r="M271" i="3"/>
  <c r="O271" i="3" s="1"/>
  <c r="M270" i="3"/>
  <c r="M269" i="3"/>
  <c r="N269" i="3" s="1"/>
  <c r="M268" i="3"/>
  <c r="M267" i="3"/>
  <c r="N267" i="3" s="1"/>
  <c r="M266" i="3"/>
  <c r="N266" i="3" s="1"/>
  <c r="M265" i="3"/>
  <c r="M264" i="3"/>
  <c r="M263" i="3"/>
  <c r="M262" i="3"/>
  <c r="M261" i="3"/>
  <c r="N261" i="3" s="1"/>
  <c r="M260" i="3"/>
  <c r="M259" i="3"/>
  <c r="M258" i="3"/>
  <c r="M257" i="3"/>
  <c r="N257" i="3" s="1"/>
  <c r="M256" i="3"/>
  <c r="O256" i="3" s="1"/>
  <c r="M255" i="3"/>
  <c r="N255" i="3" s="1"/>
  <c r="M254" i="3"/>
  <c r="N254" i="3" s="1"/>
  <c r="M253" i="3"/>
  <c r="N253" i="3" s="1"/>
  <c r="M252" i="3"/>
  <c r="O252" i="3" s="1"/>
  <c r="M251" i="3"/>
  <c r="M250" i="3"/>
  <c r="O250" i="3" s="1"/>
  <c r="M249" i="3"/>
  <c r="M248" i="3"/>
  <c r="M247" i="3"/>
  <c r="N247" i="3" s="1"/>
  <c r="M246" i="3"/>
  <c r="M245" i="3"/>
  <c r="O245" i="3" s="1"/>
  <c r="M244" i="3"/>
  <c r="M243" i="3"/>
  <c r="N243" i="3" s="1"/>
  <c r="M242" i="3"/>
  <c r="M241" i="3"/>
  <c r="O241" i="3" s="1"/>
  <c r="M240" i="3"/>
  <c r="O240" i="3" s="1"/>
  <c r="M239" i="3"/>
  <c r="O239" i="3" s="1"/>
  <c r="M238" i="3"/>
  <c r="N238" i="3" s="1"/>
  <c r="M237" i="3"/>
  <c r="N237" i="3" s="1"/>
  <c r="M236" i="3"/>
  <c r="N236" i="3" s="1"/>
  <c r="M235" i="3"/>
  <c r="M234" i="3"/>
  <c r="M233" i="3"/>
  <c r="N233" i="3" s="1"/>
  <c r="M232" i="3"/>
  <c r="M231" i="3"/>
  <c r="M230" i="3"/>
  <c r="M229" i="3"/>
  <c r="M228" i="3"/>
  <c r="O228" i="3" s="1"/>
  <c r="M227" i="3"/>
  <c r="N227" i="3" s="1"/>
  <c r="M226" i="3"/>
  <c r="M225" i="3"/>
  <c r="O225" i="3" s="1"/>
  <c r="M224" i="3"/>
  <c r="O224" i="3" s="1"/>
  <c r="M223" i="3"/>
  <c r="N223" i="3" s="1"/>
  <c r="M222" i="3"/>
  <c r="M221" i="3"/>
  <c r="N221" i="3" s="1"/>
  <c r="M220" i="3"/>
  <c r="M219" i="3"/>
  <c r="N219" i="3" s="1"/>
  <c r="M218" i="3"/>
  <c r="M217" i="3"/>
  <c r="M216" i="3"/>
  <c r="N216" i="3" s="1"/>
  <c r="M215" i="3"/>
  <c r="O215" i="3" s="1"/>
  <c r="M214" i="3"/>
  <c r="O214" i="3" s="1"/>
  <c r="M213" i="3"/>
  <c r="O213" i="3" s="1"/>
  <c r="M212" i="3"/>
  <c r="M211" i="3"/>
  <c r="N211" i="3" s="1"/>
  <c r="M210" i="3"/>
  <c r="M209" i="3"/>
  <c r="O209" i="3" s="1"/>
  <c r="M208" i="3"/>
  <c r="N208" i="3" s="1"/>
  <c r="M207" i="3"/>
  <c r="M206" i="3"/>
  <c r="N206" i="3" s="1"/>
  <c r="M205" i="3"/>
  <c r="N205" i="3" s="1"/>
  <c r="M204" i="3"/>
  <c r="M203" i="3"/>
  <c r="M202" i="3"/>
  <c r="M201" i="3"/>
  <c r="N201" i="3" s="1"/>
  <c r="M200" i="3"/>
  <c r="M199" i="3"/>
  <c r="N199" i="3" s="1"/>
  <c r="M198" i="3"/>
  <c r="O198" i="3" s="1"/>
  <c r="M197" i="3"/>
  <c r="O197" i="3" s="1"/>
  <c r="M196" i="3"/>
  <c r="O196" i="3" s="1"/>
  <c r="M195" i="3"/>
  <c r="O195" i="3" s="1"/>
  <c r="M194" i="3"/>
  <c r="N194" i="3" s="1"/>
  <c r="M193" i="3"/>
  <c r="O193" i="3" s="1"/>
  <c r="M192" i="3"/>
  <c r="O192" i="3" s="1"/>
  <c r="M191" i="3"/>
  <c r="O191" i="3" s="1"/>
  <c r="M190" i="3"/>
  <c r="M189" i="3"/>
  <c r="M188" i="3"/>
  <c r="O188" i="3" s="1"/>
  <c r="M187" i="3"/>
  <c r="N187" i="3" s="1"/>
  <c r="M186" i="3"/>
  <c r="M185" i="3"/>
  <c r="N185" i="3" s="1"/>
  <c r="M184" i="3"/>
  <c r="O184" i="3" s="1"/>
  <c r="M183" i="3"/>
  <c r="N183" i="3" s="1"/>
  <c r="M182" i="3"/>
  <c r="N182" i="3" s="1"/>
  <c r="M181" i="3"/>
  <c r="N181" i="3" s="1"/>
  <c r="M180" i="3"/>
  <c r="O180" i="3" s="1"/>
  <c r="M179" i="3"/>
  <c r="M178" i="3"/>
  <c r="N178" i="3" s="1"/>
  <c r="M177" i="3"/>
  <c r="N177" i="3" s="1"/>
  <c r="M176" i="3"/>
  <c r="M175" i="3"/>
  <c r="N175" i="3" s="1"/>
  <c r="M174" i="3"/>
  <c r="N174" i="3" s="1"/>
  <c r="M173" i="3"/>
  <c r="O173" i="3" s="1"/>
  <c r="M172" i="3"/>
  <c r="M171" i="3"/>
  <c r="M170" i="3"/>
  <c r="O170" i="3" s="1"/>
  <c r="M169" i="3"/>
  <c r="O169" i="3" s="1"/>
  <c r="M168" i="3"/>
  <c r="O168" i="3" s="1"/>
  <c r="M167" i="3"/>
  <c r="O167" i="3" s="1"/>
  <c r="M166" i="3"/>
  <c r="O166" i="3" s="1"/>
  <c r="M165" i="3"/>
  <c r="O165" i="3" s="1"/>
  <c r="M164" i="3"/>
  <c r="O164" i="3" s="1"/>
  <c r="M163" i="3"/>
  <c r="O163" i="3" s="1"/>
  <c r="M162" i="3"/>
  <c r="O162" i="3" s="1"/>
  <c r="M161" i="3"/>
  <c r="O161" i="3" s="1"/>
  <c r="M160" i="3"/>
  <c r="O160" i="3" s="1"/>
  <c r="M159" i="3"/>
  <c r="N159" i="3" s="1"/>
  <c r="M158" i="3"/>
  <c r="M157" i="3"/>
  <c r="N157" i="3" s="1"/>
  <c r="M156" i="3"/>
  <c r="M155" i="3"/>
  <c r="N155" i="3" s="1"/>
  <c r="M154" i="3"/>
  <c r="N154" i="3" s="1"/>
  <c r="M153" i="3"/>
  <c r="N153" i="3" s="1"/>
  <c r="M152" i="3"/>
  <c r="O152" i="3" s="1"/>
  <c r="M151" i="3"/>
  <c r="M150" i="3"/>
  <c r="M149" i="3"/>
  <c r="M148" i="3"/>
  <c r="M147" i="3"/>
  <c r="M146" i="3"/>
  <c r="N146" i="3" s="1"/>
  <c r="M145" i="3"/>
  <c r="N145" i="3" s="1"/>
  <c r="M144" i="3"/>
  <c r="O144" i="3" s="1"/>
  <c r="M143" i="3"/>
  <c r="M142" i="3"/>
  <c r="M141" i="3"/>
  <c r="N141" i="3" s="1"/>
  <c r="M140" i="3"/>
  <c r="M139" i="3"/>
  <c r="N139" i="3" s="1"/>
  <c r="M138" i="3"/>
  <c r="M137" i="3"/>
  <c r="M136" i="3"/>
  <c r="O136" i="3" s="1"/>
  <c r="M135" i="3"/>
  <c r="N135" i="3" s="1"/>
  <c r="M134" i="3"/>
  <c r="M133" i="3"/>
  <c r="O133" i="3" s="1"/>
  <c r="M132" i="3"/>
  <c r="O132" i="3" s="1"/>
  <c r="M131" i="3"/>
  <c r="N131" i="3" s="1"/>
  <c r="M130" i="3"/>
  <c r="O130" i="3" s="1"/>
  <c r="M129" i="3"/>
  <c r="N129" i="3" s="1"/>
  <c r="M128" i="3"/>
  <c r="O128" i="3" s="1"/>
  <c r="M127" i="3"/>
  <c r="N127" i="3" s="1"/>
  <c r="M126" i="3"/>
  <c r="N126" i="3" s="1"/>
  <c r="M125" i="3"/>
  <c r="O125" i="3" s="1"/>
  <c r="M124" i="3"/>
  <c r="O124" i="3" s="1"/>
  <c r="M123" i="3"/>
  <c r="M122" i="3"/>
  <c r="M121" i="3"/>
  <c r="N121" i="3" s="1"/>
  <c r="M120" i="3"/>
  <c r="M119" i="3"/>
  <c r="M118" i="3"/>
  <c r="N118" i="3" s="1"/>
  <c r="M117" i="3"/>
  <c r="O117" i="3" s="1"/>
  <c r="M116" i="3"/>
  <c r="O116" i="3" s="1"/>
  <c r="M115" i="3"/>
  <c r="O115" i="3" s="1"/>
  <c r="M114" i="3"/>
  <c r="O114" i="3" s="1"/>
  <c r="M113" i="3"/>
  <c r="M112" i="3"/>
  <c r="N112" i="3" s="1"/>
  <c r="M111" i="3"/>
  <c r="N111" i="3" s="1"/>
  <c r="M110" i="3"/>
  <c r="M109" i="3"/>
  <c r="M108" i="3"/>
  <c r="O108" i="3" s="1"/>
  <c r="M107" i="3"/>
  <c r="N107" i="3" s="1"/>
  <c r="M106" i="3"/>
  <c r="M105" i="3"/>
  <c r="O105" i="3" s="1"/>
  <c r="M104" i="3"/>
  <c r="N104" i="3" s="1"/>
  <c r="M103" i="3"/>
  <c r="M102" i="3"/>
  <c r="M101" i="3"/>
  <c r="O101" i="3" s="1"/>
  <c r="M100" i="3"/>
  <c r="O100" i="3" s="1"/>
  <c r="M99" i="3"/>
  <c r="O99" i="3" s="1"/>
  <c r="M98" i="3"/>
  <c r="O98" i="3" s="1"/>
  <c r="M97" i="3"/>
  <c r="N97" i="3" s="1"/>
  <c r="M96" i="3"/>
  <c r="O96" i="3" s="1"/>
  <c r="M95" i="3"/>
  <c r="M94" i="3"/>
  <c r="M93" i="3"/>
  <c r="M92" i="3"/>
  <c r="M91" i="3"/>
  <c r="M90" i="3"/>
  <c r="N90" i="3" s="1"/>
  <c r="M89" i="3"/>
  <c r="O89" i="3" s="1"/>
  <c r="M88" i="3"/>
  <c r="O88" i="3" s="1"/>
  <c r="M87" i="3"/>
  <c r="O87" i="3" s="1"/>
  <c r="M86" i="3"/>
  <c r="O86" i="3" s="1"/>
  <c r="M85" i="3"/>
  <c r="M84" i="3"/>
  <c r="N84" i="3" s="1"/>
  <c r="M83" i="3"/>
  <c r="N83" i="3" s="1"/>
  <c r="M82" i="3"/>
  <c r="O82" i="3" s="1"/>
  <c r="M81" i="3"/>
  <c r="M80" i="3"/>
  <c r="M79" i="3"/>
  <c r="N79" i="3" s="1"/>
  <c r="M78" i="3"/>
  <c r="O78" i="3" s="1"/>
  <c r="M77" i="3"/>
  <c r="O77" i="3" s="1"/>
  <c r="M76" i="3"/>
  <c r="O76" i="3" s="1"/>
  <c r="M75" i="3"/>
  <c r="N75" i="3" s="1"/>
  <c r="M74" i="3"/>
  <c r="M73" i="3"/>
  <c r="N73" i="3" s="1"/>
  <c r="M72" i="3"/>
  <c r="N72" i="3" s="1"/>
  <c r="M71" i="3"/>
  <c r="O71" i="3" s="1"/>
  <c r="M70" i="3"/>
  <c r="N70" i="3" s="1"/>
  <c r="M69" i="3"/>
  <c r="N69" i="3" s="1"/>
  <c r="M68" i="3"/>
  <c r="O68" i="3" s="1"/>
  <c r="M67" i="3"/>
  <c r="M66" i="3"/>
  <c r="N66" i="3" s="1"/>
  <c r="M65" i="3"/>
  <c r="N65" i="3" s="1"/>
  <c r="M64" i="3"/>
  <c r="M63" i="3"/>
  <c r="M62" i="3"/>
  <c r="N62" i="3" s="1"/>
  <c r="M61" i="3"/>
  <c r="N61" i="3" s="1"/>
  <c r="M60" i="3"/>
  <c r="M59" i="3"/>
  <c r="N59" i="3" s="1"/>
  <c r="M58" i="3"/>
  <c r="N58" i="3" s="1"/>
  <c r="M57" i="3"/>
  <c r="N57" i="3" s="1"/>
  <c r="M56" i="3"/>
  <c r="M55" i="3"/>
  <c r="N55" i="3" s="1"/>
  <c r="M54" i="3"/>
  <c r="O54" i="3" s="1"/>
  <c r="M53" i="3"/>
  <c r="O53" i="3" s="1"/>
  <c r="M52" i="3"/>
  <c r="O52" i="3" s="1"/>
  <c r="M51" i="3"/>
  <c r="O51" i="3" s="1"/>
  <c r="M50" i="3"/>
  <c r="O50" i="3" s="1"/>
  <c r="M49" i="3"/>
  <c r="M48" i="3"/>
  <c r="N48" i="3" s="1"/>
  <c r="M47" i="3"/>
  <c r="N47" i="3" s="1"/>
  <c r="M46" i="3"/>
  <c r="O46" i="3" s="1"/>
  <c r="M45" i="3"/>
  <c r="O45" i="3" s="1"/>
  <c r="M44" i="3"/>
  <c r="N44" i="3" s="1"/>
  <c r="M43" i="3"/>
  <c r="O43" i="3" s="1"/>
  <c r="M42" i="3"/>
  <c r="O42" i="3" s="1"/>
  <c r="M41" i="3"/>
  <c r="N41" i="3" s="1"/>
  <c r="M40" i="3"/>
  <c r="M39" i="3"/>
  <c r="M38" i="3"/>
  <c r="M37" i="3"/>
  <c r="N37" i="3" s="1"/>
  <c r="M36" i="3"/>
  <c r="M35" i="3"/>
  <c r="M34" i="3"/>
  <c r="N34" i="3" s="1"/>
  <c r="M33" i="3"/>
  <c r="N33" i="3" s="1"/>
  <c r="M32" i="3"/>
  <c r="M31" i="3"/>
  <c r="N31" i="3" s="1"/>
  <c r="M30" i="3"/>
  <c r="M29" i="3"/>
  <c r="N29" i="3" s="1"/>
  <c r="M28" i="3"/>
  <c r="M27" i="3"/>
  <c r="N27" i="3" s="1"/>
  <c r="M26" i="3"/>
  <c r="M25" i="3"/>
  <c r="M24" i="3"/>
  <c r="M23" i="3"/>
  <c r="N23" i="3" s="1"/>
  <c r="M22" i="3"/>
  <c r="O22" i="3" s="1"/>
  <c r="M21" i="3"/>
  <c r="M20" i="3"/>
  <c r="N20" i="3" s="1"/>
  <c r="M19" i="3"/>
  <c r="N19" i="3" s="1"/>
  <c r="M18" i="3"/>
  <c r="O18" i="3" s="1"/>
  <c r="M17" i="3"/>
  <c r="O17" i="3" s="1"/>
  <c r="M16" i="3"/>
  <c r="M15" i="3"/>
  <c r="O15" i="3" s="1"/>
  <c r="M14" i="3"/>
  <c r="O14" i="3" s="1"/>
  <c r="M13" i="3"/>
  <c r="O13" i="3" s="1"/>
  <c r="M12" i="3"/>
  <c r="N12" i="3" s="1"/>
  <c r="M11" i="3"/>
  <c r="M10" i="3"/>
  <c r="M9" i="3"/>
  <c r="M8" i="3"/>
  <c r="M7" i="3"/>
  <c r="M6" i="3"/>
  <c r="N6" i="3" s="1"/>
  <c r="M5" i="3"/>
  <c r="N5" i="3" s="1"/>
  <c r="M4" i="3"/>
  <c r="O4" i="3" s="1"/>
  <c r="M3" i="3"/>
  <c r="D8" i="2"/>
  <c r="P9" i="12" l="1"/>
  <c r="P14" i="12"/>
  <c r="P7" i="12"/>
  <c r="P8" i="12"/>
  <c r="P13" i="12"/>
  <c r="P12" i="12"/>
  <c r="P11" i="12"/>
  <c r="P10" i="12"/>
  <c r="P6" i="12"/>
  <c r="P5" i="12"/>
  <c r="P4" i="12"/>
  <c r="P3" i="12"/>
  <c r="AA3" i="3"/>
  <c r="N43" i="10"/>
  <c r="N114" i="10"/>
  <c r="N134" i="10"/>
  <c r="N155" i="10"/>
  <c r="M57" i="10"/>
  <c r="N57" i="10" s="1"/>
  <c r="L140" i="10"/>
  <c r="N140" i="10" s="1"/>
  <c r="M5" i="10"/>
  <c r="N5" i="10" s="1"/>
  <c r="L63" i="10"/>
  <c r="N63" i="10" s="1"/>
  <c r="L142" i="10"/>
  <c r="N142" i="10" s="1"/>
  <c r="M82" i="10"/>
  <c r="L7" i="10"/>
  <c r="N7" i="10" s="1"/>
  <c r="L28" i="10"/>
  <c r="N28" i="10" s="1"/>
  <c r="L47" i="10"/>
  <c r="N47" i="10" s="1"/>
  <c r="N145" i="10"/>
  <c r="L29" i="10"/>
  <c r="L98" i="10"/>
  <c r="N98" i="10" s="1"/>
  <c r="M117" i="10"/>
  <c r="N117" i="10" s="1"/>
  <c r="N65" i="10"/>
  <c r="L8" i="10"/>
  <c r="N8" i="10" s="1"/>
  <c r="L49" i="10"/>
  <c r="L85" i="10"/>
  <c r="N85" i="10" s="1"/>
  <c r="L126" i="10"/>
  <c r="N126" i="10" s="1"/>
  <c r="L168" i="10"/>
  <c r="N168" i="10" s="1"/>
  <c r="L68" i="10"/>
  <c r="N68" i="10" s="1"/>
  <c r="L51" i="10"/>
  <c r="N51" i="10" s="1"/>
  <c r="L128" i="10"/>
  <c r="N128" i="10" s="1"/>
  <c r="L70" i="10"/>
  <c r="L42" i="10"/>
  <c r="L3" i="10"/>
  <c r="L100" i="10"/>
  <c r="N100" i="10" s="1"/>
  <c r="L119" i="10"/>
  <c r="N119" i="10" s="1"/>
  <c r="L14" i="10"/>
  <c r="N14" i="10" s="1"/>
  <c r="L91" i="10"/>
  <c r="N91" i="10" s="1"/>
  <c r="L21" i="10"/>
  <c r="N21" i="10" s="1"/>
  <c r="L22" i="10"/>
  <c r="N22" i="10" s="1"/>
  <c r="L112" i="10"/>
  <c r="N112" i="10" s="1"/>
  <c r="L77" i="10"/>
  <c r="N77" i="10" s="1"/>
  <c r="L37" i="10"/>
  <c r="N37" i="10" s="1"/>
  <c r="L154" i="10"/>
  <c r="N154" i="10" s="1"/>
  <c r="L160" i="10"/>
  <c r="N160" i="10" s="1"/>
  <c r="L161" i="10"/>
  <c r="N161" i="10" s="1"/>
  <c r="L133" i="10"/>
  <c r="M100" i="11"/>
  <c r="N59" i="11"/>
  <c r="L80" i="11"/>
  <c r="N80" i="11" s="1"/>
  <c r="L120" i="11"/>
  <c r="N120" i="11" s="1"/>
  <c r="M142" i="11"/>
  <c r="N142" i="11" s="1"/>
  <c r="M122" i="11"/>
  <c r="N122" i="11" s="1"/>
  <c r="L145" i="11"/>
  <c r="N145" i="11" s="1"/>
  <c r="N121" i="11"/>
  <c r="N44" i="11"/>
  <c r="M65" i="11"/>
  <c r="N65" i="11" s="1"/>
  <c r="M44" i="11"/>
  <c r="N149" i="11"/>
  <c r="N107" i="11"/>
  <c r="N128" i="11"/>
  <c r="M149" i="11"/>
  <c r="M23" i="11"/>
  <c r="L8" i="11"/>
  <c r="N8" i="11" s="1"/>
  <c r="L68" i="11"/>
  <c r="N68" i="11" s="1"/>
  <c r="N9" i="11"/>
  <c r="L108" i="11"/>
  <c r="N108" i="11" s="1"/>
  <c r="N86" i="11"/>
  <c r="M86" i="11"/>
  <c r="M30" i="11"/>
  <c r="N30" i="11" s="1"/>
  <c r="L50" i="11"/>
  <c r="N50" i="11" s="1"/>
  <c r="N72" i="11"/>
  <c r="L92" i="11"/>
  <c r="N92" i="11" s="1"/>
  <c r="M121" i="11"/>
  <c r="L39" i="11"/>
  <c r="M12" i="11"/>
  <c r="N12" i="11" s="1"/>
  <c r="L31" i="11"/>
  <c r="N31" i="11" s="1"/>
  <c r="M51" i="11"/>
  <c r="N51" i="11" s="1"/>
  <c r="M93" i="11"/>
  <c r="N93" i="11" s="1"/>
  <c r="N135" i="11"/>
  <c r="M156" i="11"/>
  <c r="N156" i="11" s="1"/>
  <c r="N114" i="11"/>
  <c r="M135" i="11"/>
  <c r="N53" i="11"/>
  <c r="M114" i="11"/>
  <c r="L137" i="11"/>
  <c r="N137" i="11" s="1"/>
  <c r="M16" i="11"/>
  <c r="N23" i="11"/>
  <c r="N116" i="11"/>
  <c r="L95" i="11"/>
  <c r="N95" i="11" s="1"/>
  <c r="N100" i="11"/>
  <c r="L22" i="11"/>
  <c r="N22" i="11" s="1"/>
  <c r="N16" i="11"/>
  <c r="M116" i="11"/>
  <c r="N79" i="11"/>
  <c r="L96" i="11"/>
  <c r="N96" i="11" s="1"/>
  <c r="N37" i="11"/>
  <c r="N58" i="11"/>
  <c r="M79" i="11"/>
  <c r="L43" i="9"/>
  <c r="L44" i="9"/>
  <c r="N44" i="9" s="1"/>
  <c r="N23" i="9"/>
  <c r="L9" i="9"/>
  <c r="N9" i="9" s="1"/>
  <c r="L29" i="9"/>
  <c r="N29" i="9" s="1"/>
  <c r="M30" i="9"/>
  <c r="N30" i="9" s="1"/>
  <c r="L32" i="9"/>
  <c r="N32" i="9" s="1"/>
  <c r="L50" i="9"/>
  <c r="N50" i="9" s="1"/>
  <c r="L16" i="9"/>
  <c r="N16" i="9" s="1"/>
  <c r="L25" i="9"/>
  <c r="L36" i="9"/>
  <c r="L8" i="9"/>
  <c r="L37" i="9"/>
  <c r="N37" i="9" s="1"/>
  <c r="L22" i="9"/>
  <c r="N66" i="8"/>
  <c r="L25" i="8"/>
  <c r="N25" i="8" s="1"/>
  <c r="M45" i="8"/>
  <c r="N45" i="8" s="1"/>
  <c r="L87" i="8"/>
  <c r="N87" i="8" s="1"/>
  <c r="L116" i="8"/>
  <c r="N116" i="8" s="1"/>
  <c r="M181" i="8"/>
  <c r="N181" i="8" s="1"/>
  <c r="L30" i="8"/>
  <c r="N30" i="8" s="1"/>
  <c r="L11" i="8"/>
  <c r="N11" i="8" s="1"/>
  <c r="L73" i="8"/>
  <c r="N73" i="8" s="1"/>
  <c r="M142" i="8"/>
  <c r="N142" i="8" s="1"/>
  <c r="M72" i="8"/>
  <c r="N72" i="8" s="1"/>
  <c r="L163" i="8"/>
  <c r="N163" i="8" s="1"/>
  <c r="N121" i="8"/>
  <c r="N164" i="8"/>
  <c r="N185" i="8"/>
  <c r="L28" i="8"/>
  <c r="N28" i="8" s="1"/>
  <c r="M17" i="8"/>
  <c r="N17" i="8" s="1"/>
  <c r="L77" i="8"/>
  <c r="N77" i="8" s="1"/>
  <c r="L147" i="8"/>
  <c r="N147" i="8" s="1"/>
  <c r="L3" i="8"/>
  <c r="N3" i="8" s="1"/>
  <c r="L18" i="8"/>
  <c r="N18" i="8" s="1"/>
  <c r="L126" i="8"/>
  <c r="N126" i="8" s="1"/>
  <c r="L149" i="8"/>
  <c r="N149" i="8" s="1"/>
  <c r="M69" i="8"/>
  <c r="N69" i="8" s="1"/>
  <c r="L56" i="8"/>
  <c r="N56" i="8" s="1"/>
  <c r="M100" i="8"/>
  <c r="L80" i="8"/>
  <c r="N80" i="8" s="1"/>
  <c r="M76" i="8"/>
  <c r="L165" i="8"/>
  <c r="N165" i="8" s="1"/>
  <c r="M115" i="8"/>
  <c r="L151" i="8"/>
  <c r="N151" i="8" s="1"/>
  <c r="N76" i="8"/>
  <c r="L23" i="8"/>
  <c r="N23" i="8" s="1"/>
  <c r="M174" i="8"/>
  <c r="N174" i="8" s="1"/>
  <c r="L196" i="8"/>
  <c r="N196" i="8" s="1"/>
  <c r="N115" i="8"/>
  <c r="N100" i="8"/>
  <c r="N44" i="8"/>
  <c r="L109" i="8"/>
  <c r="N109" i="8" s="1"/>
  <c r="M132" i="8"/>
  <c r="N132" i="8" s="1"/>
  <c r="N51" i="8"/>
  <c r="N160" i="8"/>
  <c r="N139" i="8"/>
  <c r="N94" i="8"/>
  <c r="N97" i="8"/>
  <c r="N146" i="8"/>
  <c r="N167" i="8"/>
  <c r="N171" i="8"/>
  <c r="N195" i="8"/>
  <c r="L170" i="8"/>
  <c r="N170" i="8" s="1"/>
  <c r="M34" i="8"/>
  <c r="N34" i="8" s="1"/>
  <c r="L88" i="8"/>
  <c r="N88" i="8" s="1"/>
  <c r="M153" i="8"/>
  <c r="N153" i="8" s="1"/>
  <c r="L14" i="8"/>
  <c r="N14" i="8" s="1"/>
  <c r="M58" i="8"/>
  <c r="N58" i="8" s="1"/>
  <c r="M101" i="8"/>
  <c r="N101" i="8" s="1"/>
  <c r="L112" i="8"/>
  <c r="N112" i="8" s="1"/>
  <c r="M177" i="8"/>
  <c r="N177" i="8" s="1"/>
  <c r="M188" i="8"/>
  <c r="N188" i="8" s="1"/>
  <c r="M178" i="8"/>
  <c r="N178" i="8" s="1"/>
  <c r="L186" i="8"/>
  <c r="M186" i="8"/>
  <c r="M13" i="8"/>
  <c r="N13" i="8" s="1"/>
  <c r="L24" i="8"/>
  <c r="N24" i="8" s="1"/>
  <c r="L67" i="8"/>
  <c r="N67" i="8" s="1"/>
  <c r="L79" i="8"/>
  <c r="N79" i="8" s="1"/>
  <c r="M111" i="8"/>
  <c r="N111" i="8" s="1"/>
  <c r="L35" i="8"/>
  <c r="N35" i="8" s="1"/>
  <c r="L122" i="8"/>
  <c r="N122" i="8" s="1"/>
  <c r="M143" i="8"/>
  <c r="N143" i="8" s="1"/>
  <c r="L154" i="8"/>
  <c r="N154" i="8" s="1"/>
  <c r="L46" i="8"/>
  <c r="N46" i="8" s="1"/>
  <c r="M90" i="8"/>
  <c r="N90" i="8" s="1"/>
  <c r="L133" i="8"/>
  <c r="N133" i="8" s="1"/>
  <c r="L91" i="8"/>
  <c r="N91" i="8" s="1"/>
  <c r="L123" i="8"/>
  <c r="N123" i="8" s="1"/>
  <c r="L135" i="8"/>
  <c r="N135" i="8" s="1"/>
  <c r="L4" i="8"/>
  <c r="N4" i="8" s="1"/>
  <c r="L16" i="8"/>
  <c r="N16" i="8" s="1"/>
  <c r="M48" i="8"/>
  <c r="N48" i="8" s="1"/>
  <c r="L59" i="8"/>
  <c r="N59" i="8" s="1"/>
  <c r="L102" i="8"/>
  <c r="N102" i="8" s="1"/>
  <c r="L114" i="8"/>
  <c r="N114" i="8" s="1"/>
  <c r="M167" i="8"/>
  <c r="L189" i="8"/>
  <c r="N189" i="8" s="1"/>
  <c r="L70" i="8"/>
  <c r="N70" i="8" s="1"/>
  <c r="M27" i="8"/>
  <c r="N27" i="8" s="1"/>
  <c r="L38" i="8"/>
  <c r="N38" i="8" s="1"/>
  <c r="L81" i="8"/>
  <c r="N81" i="8" s="1"/>
  <c r="L93" i="8"/>
  <c r="N93" i="8" s="1"/>
  <c r="M146" i="8"/>
  <c r="L157" i="8"/>
  <c r="N157" i="8" s="1"/>
  <c r="L49" i="8"/>
  <c r="N49" i="8" s="1"/>
  <c r="M125" i="8"/>
  <c r="N125" i="8" s="1"/>
  <c r="L136" i="8"/>
  <c r="N136" i="8" s="1"/>
  <c r="L168" i="8"/>
  <c r="N168" i="8" s="1"/>
  <c r="L191" i="8"/>
  <c r="N191" i="8" s="1"/>
  <c r="M6" i="8"/>
  <c r="N6" i="8" s="1"/>
  <c r="L60" i="8"/>
  <c r="N60" i="8" s="1"/>
  <c r="M104" i="8"/>
  <c r="N104" i="8" s="1"/>
  <c r="L179" i="8"/>
  <c r="N179" i="8" s="1"/>
  <c r="L192" i="8"/>
  <c r="N192" i="8" s="1"/>
  <c r="L7" i="8"/>
  <c r="N7" i="8" s="1"/>
  <c r="M51" i="8"/>
  <c r="M94" i="8"/>
  <c r="L105" i="8"/>
  <c r="N105" i="8" s="1"/>
  <c r="L137" i="8"/>
  <c r="N137" i="8" s="1"/>
  <c r="M171" i="8"/>
  <c r="L182" i="8"/>
  <c r="N182" i="8" s="1"/>
  <c r="M139" i="8"/>
  <c r="M31" i="8"/>
  <c r="N31" i="8" s="1"/>
  <c r="L42" i="8"/>
  <c r="N42" i="8" s="1"/>
  <c r="M86" i="8"/>
  <c r="N86" i="8" s="1"/>
  <c r="L129" i="8"/>
  <c r="N129" i="8" s="1"/>
  <c r="M150" i="8"/>
  <c r="N150" i="8" s="1"/>
  <c r="L161" i="8"/>
  <c r="N161" i="8" s="1"/>
  <c r="L158" i="8"/>
  <c r="N158" i="8" s="1"/>
  <c r="M107" i="8"/>
  <c r="N107" i="8" s="1"/>
  <c r="L53" i="8"/>
  <c r="N53" i="8" s="1"/>
  <c r="L108" i="8"/>
  <c r="N108" i="8" s="1"/>
  <c r="L140" i="8"/>
  <c r="N140" i="8" s="1"/>
  <c r="M10" i="8"/>
  <c r="N10" i="8" s="1"/>
  <c r="L21" i="8"/>
  <c r="N21" i="8" s="1"/>
  <c r="M65" i="8"/>
  <c r="N65" i="8" s="1"/>
  <c r="L119" i="8"/>
  <c r="N119" i="8" s="1"/>
  <c r="M184" i="8"/>
  <c r="N184" i="8" s="1"/>
  <c r="L39" i="8"/>
  <c r="N39" i="8" s="1"/>
  <c r="M83" i="8"/>
  <c r="N83" i="8" s="1"/>
  <c r="L84" i="8"/>
  <c r="N84" i="8" s="1"/>
  <c r="L128" i="8"/>
  <c r="N128" i="8" s="1"/>
  <c r="L9" i="8"/>
  <c r="N9" i="8" s="1"/>
  <c r="M41" i="8"/>
  <c r="N41" i="8" s="1"/>
  <c r="L52" i="8"/>
  <c r="N52" i="8" s="1"/>
  <c r="L95" i="8"/>
  <c r="N95" i="8" s="1"/>
  <c r="M160" i="8"/>
  <c r="L63" i="8"/>
  <c r="N63" i="8" s="1"/>
  <c r="M20" i="8"/>
  <c r="N20" i="8" s="1"/>
  <c r="L74" i="8"/>
  <c r="N74" i="8" s="1"/>
  <c r="M118" i="8"/>
  <c r="N118" i="8" s="1"/>
  <c r="M195" i="8"/>
  <c r="M97" i="8"/>
  <c r="L172" i="8"/>
  <c r="N172" i="8" s="1"/>
  <c r="L98" i="8"/>
  <c r="N98" i="8" s="1"/>
  <c r="L130" i="8"/>
  <c r="N130" i="8" s="1"/>
  <c r="L5" i="8"/>
  <c r="N5" i="8" s="1"/>
  <c r="L12" i="8"/>
  <c r="N12" i="8" s="1"/>
  <c r="L19" i="8"/>
  <c r="N19" i="8" s="1"/>
  <c r="L26" i="8"/>
  <c r="N26" i="8" s="1"/>
  <c r="L33" i="8"/>
  <c r="N33" i="8" s="1"/>
  <c r="L40" i="8"/>
  <c r="N40" i="8" s="1"/>
  <c r="L47" i="8"/>
  <c r="N47" i="8" s="1"/>
  <c r="L54" i="8"/>
  <c r="N54" i="8" s="1"/>
  <c r="L61" i="8"/>
  <c r="N61" i="8" s="1"/>
  <c r="L68" i="8"/>
  <c r="N68" i="8" s="1"/>
  <c r="L75" i="8"/>
  <c r="N75" i="8" s="1"/>
  <c r="L82" i="8"/>
  <c r="N82" i="8" s="1"/>
  <c r="L89" i="8"/>
  <c r="N89" i="8" s="1"/>
  <c r="L96" i="8"/>
  <c r="N96" i="8" s="1"/>
  <c r="L103" i="8"/>
  <c r="N103" i="8" s="1"/>
  <c r="L110" i="8"/>
  <c r="N110" i="8" s="1"/>
  <c r="L117" i="8"/>
  <c r="N117" i="8" s="1"/>
  <c r="L124" i="8"/>
  <c r="N124" i="8" s="1"/>
  <c r="L131" i="8"/>
  <c r="N131" i="8" s="1"/>
  <c r="L138" i="8"/>
  <c r="N138" i="8" s="1"/>
  <c r="L145" i="8"/>
  <c r="N145" i="8" s="1"/>
  <c r="L152" i="8"/>
  <c r="N152" i="8" s="1"/>
  <c r="L159" i="8"/>
  <c r="N159" i="8" s="1"/>
  <c r="L166" i="8"/>
  <c r="N166" i="8" s="1"/>
  <c r="L173" i="8"/>
  <c r="N173" i="8" s="1"/>
  <c r="L180" i="8"/>
  <c r="N180" i="8" s="1"/>
  <c r="L187" i="8"/>
  <c r="N187" i="8" s="1"/>
  <c r="L194" i="8"/>
  <c r="N194" i="8" s="1"/>
  <c r="L193" i="8"/>
  <c r="N193" i="8" s="1"/>
  <c r="L8" i="8"/>
  <c r="N8" i="8" s="1"/>
  <c r="L15" i="8"/>
  <c r="N15" i="8" s="1"/>
  <c r="L22" i="8"/>
  <c r="N22" i="8" s="1"/>
  <c r="L29" i="8"/>
  <c r="N29" i="8" s="1"/>
  <c r="L36" i="8"/>
  <c r="N36" i="8" s="1"/>
  <c r="L43" i="8"/>
  <c r="N43" i="8" s="1"/>
  <c r="L57" i="8"/>
  <c r="N57" i="8" s="1"/>
  <c r="L64" i="8"/>
  <c r="N64" i="8" s="1"/>
  <c r="L71" i="8"/>
  <c r="N71" i="8" s="1"/>
  <c r="L78" i="8"/>
  <c r="N78" i="8" s="1"/>
  <c r="L85" i="8"/>
  <c r="N85" i="8" s="1"/>
  <c r="L92" i="8"/>
  <c r="N92" i="8" s="1"/>
  <c r="L99" i="8"/>
  <c r="N99" i="8" s="1"/>
  <c r="L106" i="8"/>
  <c r="N106" i="8" s="1"/>
  <c r="L113" i="8"/>
  <c r="N113" i="8" s="1"/>
  <c r="L120" i="8"/>
  <c r="N120" i="8" s="1"/>
  <c r="L127" i="8"/>
  <c r="N127" i="8" s="1"/>
  <c r="L134" i="8"/>
  <c r="N134" i="8" s="1"/>
  <c r="L141" i="8"/>
  <c r="N141" i="8" s="1"/>
  <c r="L148" i="8"/>
  <c r="N148" i="8" s="1"/>
  <c r="L155" i="8"/>
  <c r="N155" i="8" s="1"/>
  <c r="L162" i="8"/>
  <c r="N162" i="8" s="1"/>
  <c r="L169" i="8"/>
  <c r="N169" i="8" s="1"/>
  <c r="L176" i="8"/>
  <c r="N176" i="8" s="1"/>
  <c r="L183" i="8"/>
  <c r="N183" i="8" s="1"/>
  <c r="L190" i="8"/>
  <c r="N190" i="8" s="1"/>
  <c r="L50" i="8"/>
  <c r="N50" i="8" s="1"/>
  <c r="M197" i="8"/>
  <c r="N197" i="8" s="1"/>
  <c r="N15" i="9"/>
  <c r="N36" i="9"/>
  <c r="N18" i="9"/>
  <c r="N22" i="9"/>
  <c r="N43" i="9"/>
  <c r="N25" i="9"/>
  <c r="N46" i="9"/>
  <c r="N8" i="9"/>
  <c r="L10" i="9"/>
  <c r="N10" i="9" s="1"/>
  <c r="L17" i="9"/>
  <c r="N17" i="9" s="1"/>
  <c r="L24" i="9"/>
  <c r="N24" i="9" s="1"/>
  <c r="L31" i="9"/>
  <c r="N31" i="9" s="1"/>
  <c r="L38" i="9"/>
  <c r="N38" i="9" s="1"/>
  <c r="L45" i="9"/>
  <c r="N45" i="9" s="1"/>
  <c r="L39" i="9"/>
  <c r="N39" i="9" s="1"/>
  <c r="M4" i="9"/>
  <c r="N4" i="9" s="1"/>
  <c r="M11" i="9"/>
  <c r="N11" i="9" s="1"/>
  <c r="M18" i="9"/>
  <c r="M46" i="9"/>
  <c r="L5" i="9"/>
  <c r="N5" i="9" s="1"/>
  <c r="L12" i="9"/>
  <c r="N12" i="9" s="1"/>
  <c r="L19" i="9"/>
  <c r="N19" i="9" s="1"/>
  <c r="L26" i="9"/>
  <c r="N26" i="9" s="1"/>
  <c r="L33" i="9"/>
  <c r="N33" i="9" s="1"/>
  <c r="L40" i="9"/>
  <c r="N40" i="9" s="1"/>
  <c r="L47" i="9"/>
  <c r="N47" i="9" s="1"/>
  <c r="L34" i="9"/>
  <c r="N34" i="9" s="1"/>
  <c r="M13" i="9"/>
  <c r="N13" i="9" s="1"/>
  <c r="M48" i="9"/>
  <c r="N48" i="9" s="1"/>
  <c r="L42" i="9"/>
  <c r="N42" i="9" s="1"/>
  <c r="M7" i="9"/>
  <c r="N7" i="9" s="1"/>
  <c r="M14" i="9"/>
  <c r="N14" i="9" s="1"/>
  <c r="M21" i="9"/>
  <c r="N21" i="9" s="1"/>
  <c r="M28" i="9"/>
  <c r="N28" i="9" s="1"/>
  <c r="M35" i="9"/>
  <c r="N35" i="9" s="1"/>
  <c r="M49" i="9"/>
  <c r="N49" i="9" s="1"/>
  <c r="M6" i="9"/>
  <c r="N6" i="9" s="1"/>
  <c r="M41" i="9"/>
  <c r="N41" i="9" s="1"/>
  <c r="L20" i="9"/>
  <c r="N20" i="9" s="1"/>
  <c r="L27" i="9"/>
  <c r="N27" i="9" s="1"/>
  <c r="N39" i="11"/>
  <c r="N38" i="11"/>
  <c r="L110" i="11"/>
  <c r="N110" i="11" s="1"/>
  <c r="L134" i="11"/>
  <c r="N134" i="11" s="1"/>
  <c r="L78" i="11"/>
  <c r="N78" i="11" s="1"/>
  <c r="L10" i="11"/>
  <c r="N10" i="11" s="1"/>
  <c r="L32" i="11"/>
  <c r="N32" i="11" s="1"/>
  <c r="L67" i="11"/>
  <c r="N67" i="11" s="1"/>
  <c r="L124" i="11"/>
  <c r="N124" i="11" s="1"/>
  <c r="L45" i="11"/>
  <c r="N45" i="11" s="1"/>
  <c r="L102" i="11"/>
  <c r="N102" i="11" s="1"/>
  <c r="L148" i="11"/>
  <c r="N148" i="11" s="1"/>
  <c r="L123" i="11"/>
  <c r="N123" i="11" s="1"/>
  <c r="L54" i="11"/>
  <c r="N54" i="11" s="1"/>
  <c r="M101" i="11"/>
  <c r="N101" i="11" s="1"/>
  <c r="L11" i="11"/>
  <c r="N11" i="11" s="1"/>
  <c r="L33" i="11"/>
  <c r="N33" i="11" s="1"/>
  <c r="L57" i="11"/>
  <c r="N57" i="11" s="1"/>
  <c r="L115" i="11"/>
  <c r="N115" i="11" s="1"/>
  <c r="L113" i="11"/>
  <c r="N113" i="11" s="1"/>
  <c r="M136" i="11"/>
  <c r="N136" i="11" s="1"/>
  <c r="L46" i="11"/>
  <c r="N46" i="11" s="1"/>
  <c r="L103" i="11"/>
  <c r="N103" i="11" s="1"/>
  <c r="L127" i="11"/>
  <c r="N127" i="11" s="1"/>
  <c r="L150" i="11"/>
  <c r="N150" i="11" s="1"/>
  <c r="L19" i="11"/>
  <c r="N19" i="11" s="1"/>
  <c r="L89" i="11"/>
  <c r="N89" i="11" s="1"/>
  <c r="L24" i="11"/>
  <c r="N24" i="11" s="1"/>
  <c r="L81" i="11"/>
  <c r="N81" i="11" s="1"/>
  <c r="L138" i="11"/>
  <c r="N138" i="11" s="1"/>
  <c r="L43" i="11"/>
  <c r="N43" i="11" s="1"/>
  <c r="L151" i="11"/>
  <c r="N151" i="11" s="1"/>
  <c r="L71" i="11"/>
  <c r="N71" i="11" s="1"/>
  <c r="L82" i="11"/>
  <c r="N82" i="11" s="1"/>
  <c r="M25" i="11"/>
  <c r="N25" i="11" s="1"/>
  <c r="L60" i="11"/>
  <c r="N60" i="11" s="1"/>
  <c r="L117" i="11"/>
  <c r="N117" i="11" s="1"/>
  <c r="L141" i="11"/>
  <c r="N141" i="11" s="1"/>
  <c r="L129" i="11"/>
  <c r="N129" i="11" s="1"/>
  <c r="L4" i="11"/>
  <c r="N4" i="11" s="1"/>
  <c r="L15" i="11"/>
  <c r="N15" i="11" s="1"/>
  <c r="L73" i="11"/>
  <c r="N73" i="11" s="1"/>
  <c r="L130" i="11"/>
  <c r="N130" i="11" s="1"/>
  <c r="L152" i="11"/>
  <c r="N152" i="11" s="1"/>
  <c r="L61" i="11"/>
  <c r="N61" i="11" s="1"/>
  <c r="L85" i="11"/>
  <c r="N85" i="11" s="1"/>
  <c r="L143" i="11"/>
  <c r="N143" i="11" s="1"/>
  <c r="L66" i="11"/>
  <c r="N66" i="11" s="1"/>
  <c r="L106" i="11"/>
  <c r="N106" i="11" s="1"/>
  <c r="L5" i="11"/>
  <c r="N5" i="11" s="1"/>
  <c r="L17" i="11"/>
  <c r="N17" i="11" s="1"/>
  <c r="L74" i="11"/>
  <c r="N74" i="11" s="1"/>
  <c r="L131" i="11"/>
  <c r="N131" i="11" s="1"/>
  <c r="L52" i="11"/>
  <c r="N52" i="11" s="1"/>
  <c r="L109" i="11"/>
  <c r="N109" i="11" s="1"/>
  <c r="L155" i="11"/>
  <c r="N155" i="11" s="1"/>
  <c r="L47" i="11"/>
  <c r="N47" i="11" s="1"/>
  <c r="L29" i="11"/>
  <c r="N29" i="11" s="1"/>
  <c r="L87" i="11"/>
  <c r="N87" i="11" s="1"/>
  <c r="L144" i="11"/>
  <c r="N144" i="11" s="1"/>
  <c r="L40" i="11"/>
  <c r="N40" i="11" s="1"/>
  <c r="L64" i="11"/>
  <c r="N64" i="11" s="1"/>
  <c r="L6" i="11"/>
  <c r="N6" i="11" s="1"/>
  <c r="L13" i="11"/>
  <c r="N13" i="11" s="1"/>
  <c r="L20" i="11"/>
  <c r="N20" i="11" s="1"/>
  <c r="L27" i="11"/>
  <c r="N27" i="11" s="1"/>
  <c r="L34" i="11"/>
  <c r="N34" i="11" s="1"/>
  <c r="L41" i="11"/>
  <c r="N41" i="11" s="1"/>
  <c r="L48" i="11"/>
  <c r="N48" i="11" s="1"/>
  <c r="L55" i="11"/>
  <c r="N55" i="11" s="1"/>
  <c r="L62" i="11"/>
  <c r="N62" i="11" s="1"/>
  <c r="L69" i="11"/>
  <c r="N69" i="11" s="1"/>
  <c r="L76" i="11"/>
  <c r="N76" i="11" s="1"/>
  <c r="L83" i="11"/>
  <c r="N83" i="11" s="1"/>
  <c r="L90" i="11"/>
  <c r="N90" i="11" s="1"/>
  <c r="L97" i="11"/>
  <c r="N97" i="11" s="1"/>
  <c r="L104" i="11"/>
  <c r="N104" i="11" s="1"/>
  <c r="L111" i="11"/>
  <c r="N111" i="11" s="1"/>
  <c r="L118" i="11"/>
  <c r="N118" i="11" s="1"/>
  <c r="L125" i="11"/>
  <c r="N125" i="11" s="1"/>
  <c r="L132" i="11"/>
  <c r="N132" i="11" s="1"/>
  <c r="L139" i="11"/>
  <c r="N139" i="11" s="1"/>
  <c r="L146" i="11"/>
  <c r="N146" i="11" s="1"/>
  <c r="L153" i="11"/>
  <c r="N153" i="11" s="1"/>
  <c r="L7" i="11"/>
  <c r="N7" i="11" s="1"/>
  <c r="L14" i="11"/>
  <c r="N14" i="11" s="1"/>
  <c r="L21" i="11"/>
  <c r="N21" i="11" s="1"/>
  <c r="L28" i="11"/>
  <c r="N28" i="11" s="1"/>
  <c r="L35" i="11"/>
  <c r="N35" i="11" s="1"/>
  <c r="L42" i="11"/>
  <c r="N42" i="11" s="1"/>
  <c r="L49" i="11"/>
  <c r="N49" i="11" s="1"/>
  <c r="L56" i="11"/>
  <c r="N56" i="11" s="1"/>
  <c r="L63" i="11"/>
  <c r="N63" i="11" s="1"/>
  <c r="L70" i="11"/>
  <c r="N70" i="11" s="1"/>
  <c r="L77" i="11"/>
  <c r="N77" i="11" s="1"/>
  <c r="L84" i="11"/>
  <c r="N84" i="11" s="1"/>
  <c r="L91" i="11"/>
  <c r="N91" i="11" s="1"/>
  <c r="L98" i="11"/>
  <c r="N98" i="11" s="1"/>
  <c r="L105" i="11"/>
  <c r="N105" i="11" s="1"/>
  <c r="L112" i="11"/>
  <c r="N112" i="11" s="1"/>
  <c r="L119" i="11"/>
  <c r="N119" i="11" s="1"/>
  <c r="L126" i="11"/>
  <c r="N126" i="11" s="1"/>
  <c r="L133" i="11"/>
  <c r="N133" i="11" s="1"/>
  <c r="L140" i="11"/>
  <c r="N140" i="11" s="1"/>
  <c r="L147" i="11"/>
  <c r="N147" i="11" s="1"/>
  <c r="L154" i="11"/>
  <c r="N154" i="11" s="1"/>
  <c r="N19" i="10"/>
  <c r="N135" i="10"/>
  <c r="N166" i="10"/>
  <c r="N29" i="10"/>
  <c r="M135" i="10"/>
  <c r="M10" i="10"/>
  <c r="L10" i="10"/>
  <c r="N10" i="10" s="1"/>
  <c r="L148" i="10"/>
  <c r="N148" i="10" s="1"/>
  <c r="M12" i="10"/>
  <c r="N12" i="10" s="1"/>
  <c r="L23" i="10"/>
  <c r="N23" i="10" s="1"/>
  <c r="N56" i="10"/>
  <c r="M159" i="10"/>
  <c r="N159" i="10" s="1"/>
  <c r="L79" i="10"/>
  <c r="N79" i="10" s="1"/>
  <c r="M124" i="10"/>
  <c r="N124" i="10" s="1"/>
  <c r="L92" i="10"/>
  <c r="N92" i="10" s="1"/>
  <c r="L103" i="10"/>
  <c r="N103" i="10" s="1"/>
  <c r="L36" i="10"/>
  <c r="N36" i="10" s="1"/>
  <c r="L127" i="10"/>
  <c r="N127" i="10" s="1"/>
  <c r="L138" i="10"/>
  <c r="N138" i="10" s="1"/>
  <c r="M149" i="10"/>
  <c r="N149" i="10" s="1"/>
  <c r="L33" i="10"/>
  <c r="N33" i="10" s="1"/>
  <c r="L44" i="10"/>
  <c r="N44" i="10" s="1"/>
  <c r="L15" i="10"/>
  <c r="N15" i="10" s="1"/>
  <c r="L58" i="10"/>
  <c r="N58" i="10" s="1"/>
  <c r="N70" i="10"/>
  <c r="L162" i="10"/>
  <c r="N162" i="10" s="1"/>
  <c r="L26" i="10"/>
  <c r="N26" i="10" s="1"/>
  <c r="L93" i="10"/>
  <c r="N93" i="10" s="1"/>
  <c r="N105" i="10"/>
  <c r="L89" i="10"/>
  <c r="N89" i="10" s="1"/>
  <c r="M113" i="10"/>
  <c r="N113" i="10" s="1"/>
  <c r="N82" i="10"/>
  <c r="L163" i="10"/>
  <c r="N163" i="10" s="1"/>
  <c r="M17" i="10"/>
  <c r="L17" i="10"/>
  <c r="N17" i="10" s="1"/>
  <c r="M50" i="10"/>
  <c r="N50" i="10" s="1"/>
  <c r="L61" i="10"/>
  <c r="N61" i="10" s="1"/>
  <c r="M72" i="10"/>
  <c r="N72" i="10" s="1"/>
  <c r="L107" i="10"/>
  <c r="N107" i="10" s="1"/>
  <c r="N96" i="10"/>
  <c r="L40" i="10"/>
  <c r="N40" i="10" s="1"/>
  <c r="L120" i="10"/>
  <c r="N120" i="10" s="1"/>
  <c r="L131" i="10"/>
  <c r="N131" i="10" s="1"/>
  <c r="L78" i="10"/>
  <c r="N78" i="10" s="1"/>
  <c r="M19" i="10"/>
  <c r="L30" i="10"/>
  <c r="N30" i="10" s="1"/>
  <c r="L86" i="10"/>
  <c r="N86" i="10" s="1"/>
  <c r="M166" i="10"/>
  <c r="N147" i="10"/>
  <c r="L141" i="10"/>
  <c r="N141" i="10" s="1"/>
  <c r="L64" i="10"/>
  <c r="N64" i="10" s="1"/>
  <c r="L75" i="10"/>
  <c r="N75" i="10" s="1"/>
  <c r="L121" i="10"/>
  <c r="N121" i="10" s="1"/>
  <c r="N133" i="10"/>
  <c r="L16" i="10"/>
  <c r="N16" i="10" s="1"/>
  <c r="N49" i="10"/>
  <c r="L152" i="10"/>
  <c r="N152" i="10" s="1"/>
  <c r="N84" i="10"/>
  <c r="L9" i="10"/>
  <c r="N9" i="10" s="1"/>
  <c r="N42" i="10"/>
  <c r="L99" i="10"/>
  <c r="N99" i="10" s="1"/>
  <c r="L110" i="10"/>
  <c r="N110" i="10" s="1"/>
  <c r="L156" i="10"/>
  <c r="N156" i="10" s="1"/>
  <c r="L52" i="10"/>
  <c r="N52" i="10" s="1"/>
  <c r="L66" i="10"/>
  <c r="N66" i="10" s="1"/>
  <c r="L80" i="10"/>
  <c r="N80" i="10" s="1"/>
  <c r="L94" i="10"/>
  <c r="N94" i="10" s="1"/>
  <c r="L101" i="10"/>
  <c r="N101" i="10" s="1"/>
  <c r="L115" i="10"/>
  <c r="N115" i="10" s="1"/>
  <c r="L129" i="10"/>
  <c r="N129" i="10" s="1"/>
  <c r="L143" i="10"/>
  <c r="N143" i="10" s="1"/>
  <c r="L150" i="10"/>
  <c r="N150" i="10" s="1"/>
  <c r="L157" i="10"/>
  <c r="N157" i="10" s="1"/>
  <c r="M38" i="10"/>
  <c r="N38" i="10" s="1"/>
  <c r="M59" i="10"/>
  <c r="N59" i="10" s="1"/>
  <c r="L4" i="10"/>
  <c r="N4" i="10" s="1"/>
  <c r="L11" i="10"/>
  <c r="N11" i="10" s="1"/>
  <c r="L18" i="10"/>
  <c r="N18" i="10" s="1"/>
  <c r="L25" i="10"/>
  <c r="N25" i="10" s="1"/>
  <c r="L32" i="10"/>
  <c r="N32" i="10" s="1"/>
  <c r="L39" i="10"/>
  <c r="N39" i="10" s="1"/>
  <c r="L46" i="10"/>
  <c r="N46" i="10" s="1"/>
  <c r="L53" i="10"/>
  <c r="N53" i="10" s="1"/>
  <c r="L60" i="10"/>
  <c r="N60" i="10" s="1"/>
  <c r="L67" i="10"/>
  <c r="N67" i="10" s="1"/>
  <c r="L74" i="10"/>
  <c r="N74" i="10" s="1"/>
  <c r="L81" i="10"/>
  <c r="N81" i="10" s="1"/>
  <c r="L88" i="10"/>
  <c r="N88" i="10" s="1"/>
  <c r="L95" i="10"/>
  <c r="N95" i="10" s="1"/>
  <c r="L102" i="10"/>
  <c r="N102" i="10" s="1"/>
  <c r="L109" i="10"/>
  <c r="N109" i="10" s="1"/>
  <c r="L116" i="10"/>
  <c r="N116" i="10" s="1"/>
  <c r="L123" i="10"/>
  <c r="N123" i="10" s="1"/>
  <c r="L130" i="10"/>
  <c r="N130" i="10" s="1"/>
  <c r="L137" i="10"/>
  <c r="N137" i="10" s="1"/>
  <c r="L144" i="10"/>
  <c r="N144" i="10" s="1"/>
  <c r="L151" i="10"/>
  <c r="N151" i="10" s="1"/>
  <c r="L158" i="10"/>
  <c r="N158" i="10" s="1"/>
  <c r="L165" i="10"/>
  <c r="N165" i="10" s="1"/>
  <c r="L24" i="10"/>
  <c r="N24" i="10" s="1"/>
  <c r="L31" i="10"/>
  <c r="N31" i="10" s="1"/>
  <c r="L45" i="10"/>
  <c r="N45" i="10" s="1"/>
  <c r="L73" i="10"/>
  <c r="N73" i="10" s="1"/>
  <c r="L87" i="10"/>
  <c r="N87" i="10" s="1"/>
  <c r="L108" i="10"/>
  <c r="N108" i="10" s="1"/>
  <c r="L122" i="10"/>
  <c r="N122" i="10" s="1"/>
  <c r="L136" i="10"/>
  <c r="N136" i="10" s="1"/>
  <c r="L164" i="10"/>
  <c r="N164" i="10" s="1"/>
  <c r="M153" i="10"/>
  <c r="N153" i="10" s="1"/>
  <c r="L6" i="10"/>
  <c r="N6" i="10" s="1"/>
  <c r="L13" i="10"/>
  <c r="N13" i="10" s="1"/>
  <c r="L20" i="10"/>
  <c r="N20" i="10" s="1"/>
  <c r="L27" i="10"/>
  <c r="N27" i="10" s="1"/>
  <c r="L34" i="10"/>
  <c r="N34" i="10" s="1"/>
  <c r="L41" i="10"/>
  <c r="N41" i="10" s="1"/>
  <c r="L48" i="10"/>
  <c r="N48" i="10" s="1"/>
  <c r="L55" i="10"/>
  <c r="N55" i="10" s="1"/>
  <c r="L62" i="10"/>
  <c r="N62" i="10" s="1"/>
  <c r="L69" i="10"/>
  <c r="N69" i="10" s="1"/>
  <c r="L76" i="10"/>
  <c r="N76" i="10" s="1"/>
  <c r="L83" i="10"/>
  <c r="N83" i="10" s="1"/>
  <c r="L90" i="10"/>
  <c r="N90" i="10" s="1"/>
  <c r="L97" i="10"/>
  <c r="N97" i="10" s="1"/>
  <c r="L104" i="10"/>
  <c r="N104" i="10" s="1"/>
  <c r="L111" i="10"/>
  <c r="N111" i="10" s="1"/>
  <c r="L118" i="10"/>
  <c r="N118" i="10" s="1"/>
  <c r="L125" i="10"/>
  <c r="N125" i="10" s="1"/>
  <c r="L132" i="10"/>
  <c r="N132" i="10" s="1"/>
  <c r="L139" i="10"/>
  <c r="N139" i="10" s="1"/>
  <c r="L146" i="10"/>
  <c r="N146" i="10" s="1"/>
  <c r="L167" i="10"/>
  <c r="N167" i="10" s="1"/>
  <c r="N3" i="10"/>
  <c r="L3" i="11"/>
  <c r="N3" i="11" s="1"/>
  <c r="L3" i="9"/>
  <c r="N3" i="9" s="1"/>
  <c r="L81" i="7"/>
  <c r="N81" i="7" s="1"/>
  <c r="L102" i="7"/>
  <c r="L192" i="7"/>
  <c r="N192" i="7" s="1"/>
  <c r="M38" i="7"/>
  <c r="N38" i="7" s="1"/>
  <c r="L103" i="7"/>
  <c r="N103" i="7" s="1"/>
  <c r="L19" i="7"/>
  <c r="N19" i="7" s="1"/>
  <c r="M149" i="7"/>
  <c r="N149" i="7" s="1"/>
  <c r="M172" i="7"/>
  <c r="N129" i="7"/>
  <c r="N172" i="7"/>
  <c r="N87" i="7"/>
  <c r="L45" i="7"/>
  <c r="N45" i="7" s="1"/>
  <c r="M130" i="7"/>
  <c r="N130" i="7" s="1"/>
  <c r="L199" i="7"/>
  <c r="N199" i="7" s="1"/>
  <c r="M179" i="7"/>
  <c r="N25" i="7"/>
  <c r="M25" i="7"/>
  <c r="L115" i="7"/>
  <c r="N115" i="7" s="1"/>
  <c r="N179" i="7"/>
  <c r="N94" i="7"/>
  <c r="N136" i="7"/>
  <c r="M51" i="7"/>
  <c r="N51" i="7" s="1"/>
  <c r="M74" i="7"/>
  <c r="N74" i="7" s="1"/>
  <c r="L31" i="7"/>
  <c r="N31" i="7" s="1"/>
  <c r="L117" i="7"/>
  <c r="N117" i="7" s="1"/>
  <c r="N186" i="7"/>
  <c r="M123" i="7"/>
  <c r="N123" i="7" s="1"/>
  <c r="L152" i="7"/>
  <c r="N152" i="7" s="1"/>
  <c r="L32" i="7"/>
  <c r="N32" i="7" s="1"/>
  <c r="L54" i="7"/>
  <c r="N54" i="7" s="1"/>
  <c r="N101" i="7"/>
  <c r="N102" i="7"/>
  <c r="N88" i="7"/>
  <c r="N156" i="7"/>
  <c r="N93" i="7"/>
  <c r="N144" i="7"/>
  <c r="N9" i="7"/>
  <c r="N53" i="7"/>
  <c r="N163" i="7"/>
  <c r="N16" i="7"/>
  <c r="N112" i="7"/>
  <c r="M201" i="7"/>
  <c r="L201" i="7"/>
  <c r="N201" i="7" s="1"/>
  <c r="L178" i="7"/>
  <c r="N178" i="7" s="1"/>
  <c r="N56" i="7"/>
  <c r="M205" i="7"/>
  <c r="N205" i="7" s="1"/>
  <c r="N119" i="7"/>
  <c r="L206" i="7"/>
  <c r="N206" i="7" s="1"/>
  <c r="L124" i="7"/>
  <c r="N124" i="7" s="1"/>
  <c r="L138" i="7"/>
  <c r="N138" i="7" s="1"/>
  <c r="L207" i="7"/>
  <c r="N207" i="7" s="1"/>
  <c r="L137" i="7"/>
  <c r="N137" i="7" s="1"/>
  <c r="M142" i="7"/>
  <c r="N142" i="7" s="1"/>
  <c r="M157" i="7"/>
  <c r="N157" i="7" s="1"/>
  <c r="M194" i="7"/>
  <c r="L194" i="7"/>
  <c r="N194" i="7" s="1"/>
  <c r="L150" i="7"/>
  <c r="N150" i="7" s="1"/>
  <c r="M177" i="7"/>
  <c r="N177" i="7" s="1"/>
  <c r="M156" i="7"/>
  <c r="M144" i="7"/>
  <c r="L11" i="7"/>
  <c r="N11" i="7" s="1"/>
  <c r="L24" i="7"/>
  <c r="N24" i="7" s="1"/>
  <c r="L47" i="7"/>
  <c r="N47" i="7" s="1"/>
  <c r="L60" i="7"/>
  <c r="N60" i="7" s="1"/>
  <c r="L73" i="7"/>
  <c r="N73" i="7" s="1"/>
  <c r="L96" i="7"/>
  <c r="N96" i="7" s="1"/>
  <c r="L109" i="7"/>
  <c r="N109" i="7" s="1"/>
  <c r="L122" i="7"/>
  <c r="N122" i="7" s="1"/>
  <c r="L158" i="7"/>
  <c r="N158" i="7" s="1"/>
  <c r="L171" i="7"/>
  <c r="N171" i="7" s="1"/>
  <c r="M184" i="7"/>
  <c r="N184" i="7" s="1"/>
  <c r="L173" i="7"/>
  <c r="M173" i="7"/>
  <c r="L39" i="7"/>
  <c r="N39" i="7" s="1"/>
  <c r="L75" i="7"/>
  <c r="N75" i="7" s="1"/>
  <c r="M16" i="7"/>
  <c r="M88" i="7"/>
  <c r="M114" i="7"/>
  <c r="N114" i="7" s="1"/>
  <c r="M163" i="7"/>
  <c r="L17" i="7"/>
  <c r="N17" i="7" s="1"/>
  <c r="L66" i="7"/>
  <c r="N66" i="7" s="1"/>
  <c r="M200" i="7"/>
  <c r="N200" i="7" s="1"/>
  <c r="M4" i="7"/>
  <c r="N4" i="7" s="1"/>
  <c r="M53" i="7"/>
  <c r="M128" i="7"/>
  <c r="N128" i="7" s="1"/>
  <c r="M164" i="7"/>
  <c r="N164" i="7" s="1"/>
  <c r="M107" i="7"/>
  <c r="N107" i="7" s="1"/>
  <c r="L82" i="7"/>
  <c r="N82" i="7" s="1"/>
  <c r="L108" i="7"/>
  <c r="N108" i="7" s="1"/>
  <c r="L193" i="7"/>
  <c r="N193" i="7" s="1"/>
  <c r="M59" i="7"/>
  <c r="N59" i="7" s="1"/>
  <c r="M72" i="7"/>
  <c r="N72" i="7" s="1"/>
  <c r="M37" i="7"/>
  <c r="N37" i="7" s="1"/>
  <c r="M86" i="7"/>
  <c r="N86" i="7" s="1"/>
  <c r="M135" i="7"/>
  <c r="N135" i="7" s="1"/>
  <c r="M208" i="7"/>
  <c r="L208" i="7"/>
  <c r="L26" i="7"/>
  <c r="N26" i="7" s="1"/>
  <c r="L52" i="7"/>
  <c r="N52" i="7" s="1"/>
  <c r="N174" i="7"/>
  <c r="N27" i="7"/>
  <c r="M65" i="7"/>
  <c r="N65" i="7" s="1"/>
  <c r="L187" i="7"/>
  <c r="N187" i="7" s="1"/>
  <c r="M30" i="7"/>
  <c r="N30" i="7" s="1"/>
  <c r="M79" i="7"/>
  <c r="N79" i="7" s="1"/>
  <c r="M191" i="7"/>
  <c r="N191" i="7" s="1"/>
  <c r="M9" i="7"/>
  <c r="L180" i="7"/>
  <c r="N180" i="7" s="1"/>
  <c r="L10" i="7"/>
  <c r="N10" i="7" s="1"/>
  <c r="L46" i="7"/>
  <c r="N46" i="7" s="1"/>
  <c r="L95" i="7"/>
  <c r="N95" i="7" s="1"/>
  <c r="M23" i="7"/>
  <c r="N23" i="7" s="1"/>
  <c r="M121" i="7"/>
  <c r="N121" i="7" s="1"/>
  <c r="L145" i="7"/>
  <c r="N145" i="7" s="1"/>
  <c r="N196" i="7"/>
  <c r="N147" i="7"/>
  <c r="L151" i="7"/>
  <c r="N151" i="7" s="1"/>
  <c r="M170" i="7"/>
  <c r="N170" i="7" s="1"/>
  <c r="L185" i="7"/>
  <c r="N185" i="7" s="1"/>
  <c r="N175" i="7"/>
  <c r="L40" i="7"/>
  <c r="N40" i="7" s="1"/>
  <c r="L89" i="7"/>
  <c r="N89" i="7" s="1"/>
  <c r="M44" i="7"/>
  <c r="N44" i="7" s="1"/>
  <c r="M93" i="7"/>
  <c r="M58" i="7"/>
  <c r="N58" i="7" s="1"/>
  <c r="L33" i="7"/>
  <c r="N33" i="7" s="1"/>
  <c r="L131" i="7"/>
  <c r="N131" i="7" s="1"/>
  <c r="L12" i="7"/>
  <c r="N12" i="7" s="1"/>
  <c r="L61" i="7"/>
  <c r="N61" i="7" s="1"/>
  <c r="L110" i="7"/>
  <c r="N110" i="7" s="1"/>
  <c r="L159" i="7"/>
  <c r="N159" i="7" s="1"/>
  <c r="M198" i="7"/>
  <c r="N198" i="7" s="1"/>
  <c r="M27" i="7"/>
  <c r="M175" i="7"/>
  <c r="L6" i="7"/>
  <c r="N6" i="7" s="1"/>
  <c r="L34" i="7"/>
  <c r="N34" i="7" s="1"/>
  <c r="L55" i="7"/>
  <c r="N55" i="7" s="1"/>
  <c r="L90" i="7"/>
  <c r="N90" i="7" s="1"/>
  <c r="L125" i="7"/>
  <c r="N125" i="7" s="1"/>
  <c r="L160" i="7"/>
  <c r="N160" i="7" s="1"/>
  <c r="L209" i="7"/>
  <c r="N209" i="7" s="1"/>
  <c r="M20" i="7"/>
  <c r="N20" i="7" s="1"/>
  <c r="M48" i="7"/>
  <c r="N48" i="7" s="1"/>
  <c r="M69" i="7"/>
  <c r="N69" i="7" s="1"/>
  <c r="M104" i="7"/>
  <c r="N104" i="7" s="1"/>
  <c r="M146" i="7"/>
  <c r="N146" i="7" s="1"/>
  <c r="M174" i="7"/>
  <c r="L7" i="7"/>
  <c r="N7" i="7" s="1"/>
  <c r="L14" i="7"/>
  <c r="N14" i="7" s="1"/>
  <c r="L28" i="7"/>
  <c r="N28" i="7" s="1"/>
  <c r="L35" i="7"/>
  <c r="N35" i="7" s="1"/>
  <c r="L49" i="7"/>
  <c r="N49" i="7" s="1"/>
  <c r="L63" i="7"/>
  <c r="N63" i="7" s="1"/>
  <c r="L84" i="7"/>
  <c r="N84" i="7" s="1"/>
  <c r="L105" i="7"/>
  <c r="N105" i="7" s="1"/>
  <c r="L133" i="7"/>
  <c r="N133" i="7" s="1"/>
  <c r="L161" i="7"/>
  <c r="N161" i="7" s="1"/>
  <c r="L182" i="7"/>
  <c r="N182" i="7" s="1"/>
  <c r="L210" i="7"/>
  <c r="N210" i="7" s="1"/>
  <c r="M42" i="7"/>
  <c r="N42" i="7" s="1"/>
  <c r="M56" i="7"/>
  <c r="M70" i="7"/>
  <c r="N70" i="7" s="1"/>
  <c r="M77" i="7"/>
  <c r="N77" i="7" s="1"/>
  <c r="M91" i="7"/>
  <c r="N91" i="7" s="1"/>
  <c r="M112" i="7"/>
  <c r="M119" i="7"/>
  <c r="M126" i="7"/>
  <c r="N126" i="7" s="1"/>
  <c r="M147" i="7"/>
  <c r="M154" i="7"/>
  <c r="N154" i="7" s="1"/>
  <c r="M168" i="7"/>
  <c r="N168" i="7" s="1"/>
  <c r="L13" i="7"/>
  <c r="N13" i="7" s="1"/>
  <c r="L76" i="7"/>
  <c r="N76" i="7" s="1"/>
  <c r="L132" i="7"/>
  <c r="N132" i="7" s="1"/>
  <c r="L153" i="7"/>
  <c r="N153" i="7" s="1"/>
  <c r="L202" i="7"/>
  <c r="N202" i="7" s="1"/>
  <c r="M41" i="7"/>
  <c r="N41" i="7" s="1"/>
  <c r="M62" i="7"/>
  <c r="N62" i="7" s="1"/>
  <c r="M83" i="7"/>
  <c r="N83" i="7" s="1"/>
  <c r="M111" i="7"/>
  <c r="N111" i="7" s="1"/>
  <c r="M167" i="7"/>
  <c r="N167" i="7" s="1"/>
  <c r="M188" i="7"/>
  <c r="N188" i="7" s="1"/>
  <c r="L21" i="7"/>
  <c r="N21" i="7" s="1"/>
  <c r="L203" i="7"/>
  <c r="N203" i="7" s="1"/>
  <c r="M189" i="7"/>
  <c r="N189" i="7" s="1"/>
  <c r="L8" i="7"/>
  <c r="N8" i="7" s="1"/>
  <c r="L15" i="7"/>
  <c r="N15" i="7" s="1"/>
  <c r="L22" i="7"/>
  <c r="N22" i="7" s="1"/>
  <c r="L29" i="7"/>
  <c r="N29" i="7" s="1"/>
  <c r="L36" i="7"/>
  <c r="N36" i="7" s="1"/>
  <c r="L43" i="7"/>
  <c r="N43" i="7" s="1"/>
  <c r="L50" i="7"/>
  <c r="N50" i="7" s="1"/>
  <c r="L57" i="7"/>
  <c r="N57" i="7" s="1"/>
  <c r="L64" i="7"/>
  <c r="N64" i="7" s="1"/>
  <c r="L71" i="7"/>
  <c r="N71" i="7" s="1"/>
  <c r="L78" i="7"/>
  <c r="N78" i="7" s="1"/>
  <c r="L85" i="7"/>
  <c r="N85" i="7" s="1"/>
  <c r="L92" i="7"/>
  <c r="N92" i="7" s="1"/>
  <c r="L99" i="7"/>
  <c r="N99" i="7" s="1"/>
  <c r="L106" i="7"/>
  <c r="N106" i="7" s="1"/>
  <c r="L113" i="7"/>
  <c r="N113" i="7" s="1"/>
  <c r="L120" i="7"/>
  <c r="N120" i="7" s="1"/>
  <c r="L127" i="7"/>
  <c r="N127" i="7" s="1"/>
  <c r="L134" i="7"/>
  <c r="N134" i="7" s="1"/>
  <c r="L141" i="7"/>
  <c r="N141" i="7" s="1"/>
  <c r="L148" i="7"/>
  <c r="N148" i="7" s="1"/>
  <c r="L155" i="7"/>
  <c r="N155" i="7" s="1"/>
  <c r="L162" i="7"/>
  <c r="N162" i="7" s="1"/>
  <c r="L169" i="7"/>
  <c r="N169" i="7" s="1"/>
  <c r="L176" i="7"/>
  <c r="N176" i="7" s="1"/>
  <c r="L183" i="7"/>
  <c r="N183" i="7" s="1"/>
  <c r="L190" i="7"/>
  <c r="N190" i="7" s="1"/>
  <c r="L197" i="7"/>
  <c r="N197" i="7" s="1"/>
  <c r="L204" i="7"/>
  <c r="N204" i="7" s="1"/>
  <c r="L211" i="7"/>
  <c r="N211" i="7" s="1"/>
  <c r="M196" i="7"/>
  <c r="L97" i="7"/>
  <c r="N97" i="7" s="1"/>
  <c r="L118" i="7"/>
  <c r="N118" i="7" s="1"/>
  <c r="L139" i="7"/>
  <c r="N139" i="7" s="1"/>
  <c r="L181" i="7"/>
  <c r="N181" i="7" s="1"/>
  <c r="L195" i="7"/>
  <c r="N195" i="7" s="1"/>
  <c r="L98" i="7"/>
  <c r="N98" i="7" s="1"/>
  <c r="L140" i="7"/>
  <c r="N140" i="7" s="1"/>
  <c r="L333" i="6"/>
  <c r="M314" i="6"/>
  <c r="L396" i="6"/>
  <c r="L312" i="6"/>
  <c r="L322" i="6"/>
  <c r="N322" i="6" s="1"/>
  <c r="L417" i="6"/>
  <c r="M187" i="6"/>
  <c r="N187" i="6" s="1"/>
  <c r="L11" i="6"/>
  <c r="N11" i="6" s="1"/>
  <c r="L200" i="6"/>
  <c r="N200" i="6" s="1"/>
  <c r="L375" i="6"/>
  <c r="N375" i="6" s="1"/>
  <c r="M464" i="6"/>
  <c r="N464" i="6" s="1"/>
  <c r="L148" i="6"/>
  <c r="N148" i="6" s="1"/>
  <c r="M499" i="6"/>
  <c r="N499" i="6" s="1"/>
  <c r="L28" i="6"/>
  <c r="N28" i="6" s="1"/>
  <c r="L258" i="6"/>
  <c r="N258" i="6" s="1"/>
  <c r="L308" i="6"/>
  <c r="N308" i="6" s="1"/>
  <c r="L382" i="6"/>
  <c r="N382" i="6" s="1"/>
  <c r="M284" i="6"/>
  <c r="N284" i="6" s="1"/>
  <c r="L99" i="6"/>
  <c r="N99" i="6" s="1"/>
  <c r="L280" i="6"/>
  <c r="N280" i="6" s="1"/>
  <c r="N333" i="6"/>
  <c r="N460" i="6"/>
  <c r="M408" i="6"/>
  <c r="N408" i="6" s="1"/>
  <c r="L460" i="6"/>
  <c r="L210" i="6"/>
  <c r="N210" i="6" s="1"/>
  <c r="M235" i="6"/>
  <c r="N235" i="6" s="1"/>
  <c r="L361" i="6"/>
  <c r="N361" i="6" s="1"/>
  <c r="M510" i="6"/>
  <c r="N510" i="6" s="1"/>
  <c r="L362" i="6"/>
  <c r="N362" i="6" s="1"/>
  <c r="L85" i="6"/>
  <c r="N85" i="6" s="1"/>
  <c r="L137" i="6"/>
  <c r="N137" i="6" s="1"/>
  <c r="N314" i="6"/>
  <c r="L36" i="6"/>
  <c r="N36" i="6" s="1"/>
  <c r="L165" i="6"/>
  <c r="N165" i="6" s="1"/>
  <c r="L291" i="6"/>
  <c r="N291" i="6" s="1"/>
  <c r="L490" i="6"/>
  <c r="N490" i="6" s="1"/>
  <c r="L424" i="6"/>
  <c r="N424" i="6" s="1"/>
  <c r="M202" i="6"/>
  <c r="M327" i="6"/>
  <c r="N327" i="6" s="1"/>
  <c r="L64" i="6"/>
  <c r="N64" i="6" s="1"/>
  <c r="L403" i="6"/>
  <c r="N403" i="6" s="1"/>
  <c r="L90" i="6"/>
  <c r="N90" i="6" s="1"/>
  <c r="M394" i="6"/>
  <c r="N394" i="6" s="1"/>
  <c r="L501" i="6"/>
  <c r="N501" i="6" s="1"/>
  <c r="M478" i="6"/>
  <c r="N478" i="6" s="1"/>
  <c r="L480" i="6"/>
  <c r="N480" i="6" s="1"/>
  <c r="M170" i="6"/>
  <c r="N170" i="6" s="1"/>
  <c r="M41" i="6"/>
  <c r="N41" i="6" s="1"/>
  <c r="L67" i="6"/>
  <c r="N67" i="6" s="1"/>
  <c r="L221" i="6"/>
  <c r="N221" i="6" s="1"/>
  <c r="N202" i="6"/>
  <c r="L130" i="6"/>
  <c r="N130" i="6" s="1"/>
  <c r="L196" i="6"/>
  <c r="N196" i="6" s="1"/>
  <c r="L3" i="7"/>
  <c r="N3" i="7" s="1"/>
  <c r="AC3" i="3"/>
  <c r="AE3" i="3" s="1"/>
  <c r="L389" i="6"/>
  <c r="N389" i="6" s="1"/>
  <c r="L390" i="6"/>
  <c r="N390" i="6" s="1"/>
  <c r="M76" i="6"/>
  <c r="N76" i="6" s="1"/>
  <c r="M93" i="6"/>
  <c r="N93" i="6" s="1"/>
  <c r="M299" i="6"/>
  <c r="N299" i="6" s="1"/>
  <c r="L445" i="6"/>
  <c r="N445" i="6" s="1"/>
  <c r="L354" i="6"/>
  <c r="N354" i="6" s="1"/>
  <c r="M174" i="6"/>
  <c r="N174" i="6" s="1"/>
  <c r="M193" i="6"/>
  <c r="N193" i="6" s="1"/>
  <c r="L242" i="6"/>
  <c r="N242" i="6" s="1"/>
  <c r="L305" i="6"/>
  <c r="N305" i="6" s="1"/>
  <c r="L431" i="6"/>
  <c r="N431" i="6" s="1"/>
  <c r="M30" i="6"/>
  <c r="N30" i="6" s="1"/>
  <c r="L47" i="6"/>
  <c r="N47" i="6" s="1"/>
  <c r="M177" i="6"/>
  <c r="N177" i="6" s="1"/>
  <c r="M228" i="6"/>
  <c r="N228" i="6" s="1"/>
  <c r="M340" i="6"/>
  <c r="N340" i="6" s="1"/>
  <c r="L473" i="6"/>
  <c r="N473" i="6" s="1"/>
  <c r="L410" i="6"/>
  <c r="N410" i="6" s="1"/>
  <c r="M433" i="6"/>
  <c r="N433" i="6" s="1"/>
  <c r="L368" i="6"/>
  <c r="N368" i="6" s="1"/>
  <c r="L60" i="6"/>
  <c r="N60" i="6" s="1"/>
  <c r="L285" i="6"/>
  <c r="N285" i="6" s="1"/>
  <c r="M191" i="6"/>
  <c r="N191" i="6" s="1"/>
  <c r="L61" i="6"/>
  <c r="N61" i="6" s="1"/>
  <c r="M256" i="6"/>
  <c r="N256" i="6" s="1"/>
  <c r="L224" i="6"/>
  <c r="N224" i="6" s="1"/>
  <c r="M319" i="6"/>
  <c r="N319" i="6" s="1"/>
  <c r="L508" i="6"/>
  <c r="N508" i="6" s="1"/>
  <c r="M257" i="6"/>
  <c r="N257" i="6" s="1"/>
  <c r="M194" i="6"/>
  <c r="N194" i="6" s="1"/>
  <c r="L84" i="6"/>
  <c r="N84" i="6" s="1"/>
  <c r="L158" i="6"/>
  <c r="N158" i="6" s="1"/>
  <c r="L211" i="6"/>
  <c r="N211" i="6" s="1"/>
  <c r="M275" i="6"/>
  <c r="N275" i="6" s="1"/>
  <c r="M454" i="6"/>
  <c r="N454" i="6" s="1"/>
  <c r="L102" i="6"/>
  <c r="N102" i="6" s="1"/>
  <c r="L494" i="6"/>
  <c r="N494" i="6" s="1"/>
  <c r="L515" i="6"/>
  <c r="N515" i="6" s="1"/>
  <c r="L162" i="6"/>
  <c r="N162" i="6" s="1"/>
  <c r="M214" i="6"/>
  <c r="N214" i="6" s="1"/>
  <c r="M277" i="6"/>
  <c r="N277" i="6" s="1"/>
  <c r="L326" i="6"/>
  <c r="N326" i="6" s="1"/>
  <c r="L419" i="6"/>
  <c r="N419" i="6" s="1"/>
  <c r="L50" i="6"/>
  <c r="N50" i="6" s="1"/>
  <c r="L70" i="6"/>
  <c r="N70" i="6" s="1"/>
  <c r="M123" i="6"/>
  <c r="N123" i="6" s="1"/>
  <c r="L263" i="6"/>
  <c r="N263" i="6" s="1"/>
  <c r="L342" i="6"/>
  <c r="N342" i="6" s="1"/>
  <c r="M380" i="6"/>
  <c r="N380" i="6" s="1"/>
  <c r="L438" i="6"/>
  <c r="N438" i="6" s="1"/>
  <c r="L15" i="6"/>
  <c r="N15" i="6" s="1"/>
  <c r="L88" i="6"/>
  <c r="N88" i="6" s="1"/>
  <c r="M163" i="6"/>
  <c r="N163" i="6" s="1"/>
  <c r="M215" i="6"/>
  <c r="N215" i="6" s="1"/>
  <c r="L230" i="6"/>
  <c r="N230" i="6" s="1"/>
  <c r="M278" i="6"/>
  <c r="N278" i="6" s="1"/>
  <c r="L294" i="6"/>
  <c r="N294" i="6" s="1"/>
  <c r="L420" i="6"/>
  <c r="N420" i="6" s="1"/>
  <c r="L517" i="6"/>
  <c r="N517" i="6" s="1"/>
  <c r="L113" i="6"/>
  <c r="N113" i="6" s="1"/>
  <c r="L350" i="6"/>
  <c r="N350" i="6" s="1"/>
  <c r="L270" i="6"/>
  <c r="N270" i="6" s="1"/>
  <c r="L26" i="6"/>
  <c r="N26" i="6" s="1"/>
  <c r="L133" i="6"/>
  <c r="N133" i="6" s="1"/>
  <c r="L207" i="6"/>
  <c r="N207" i="6" s="1"/>
  <c r="L239" i="6"/>
  <c r="N239" i="6" s="1"/>
  <c r="M303" i="6"/>
  <c r="N303" i="6" s="1"/>
  <c r="L4" i="6"/>
  <c r="N4" i="6" s="1"/>
  <c r="L173" i="6"/>
  <c r="N173" i="6" s="1"/>
  <c r="L489" i="6"/>
  <c r="N489" i="6" s="1"/>
  <c r="L81" i="6"/>
  <c r="N81" i="6" s="1"/>
  <c r="M286" i="6"/>
  <c r="N286" i="6" s="1"/>
  <c r="L46" i="6"/>
  <c r="N46" i="6" s="1"/>
  <c r="L119" i="6"/>
  <c r="N119" i="6" s="1"/>
  <c r="L323" i="6"/>
  <c r="N323" i="6" s="1"/>
  <c r="L229" i="6"/>
  <c r="N229" i="6" s="1"/>
  <c r="M359" i="6"/>
  <c r="N359" i="6" s="1"/>
  <c r="L32" i="6"/>
  <c r="N32" i="6" s="1"/>
  <c r="M142" i="6"/>
  <c r="N142" i="6" s="1"/>
  <c r="L179" i="6"/>
  <c r="N179" i="6" s="1"/>
  <c r="M495" i="6"/>
  <c r="N495" i="6" s="1"/>
  <c r="N312" i="6"/>
  <c r="M125" i="6"/>
  <c r="N125" i="6" s="1"/>
  <c r="L144" i="6"/>
  <c r="N144" i="6" s="1"/>
  <c r="L216" i="6"/>
  <c r="N216" i="6" s="1"/>
  <c r="L249" i="6"/>
  <c r="N249" i="6" s="1"/>
  <c r="L295" i="6"/>
  <c r="N295" i="6" s="1"/>
  <c r="M429" i="6"/>
  <c r="N429" i="6" s="1"/>
  <c r="L18" i="6"/>
  <c r="N18" i="6" s="1"/>
  <c r="L53" i="6"/>
  <c r="N53" i="6" s="1"/>
  <c r="L109" i="6"/>
  <c r="N109" i="6" s="1"/>
  <c r="L145" i="6"/>
  <c r="N145" i="6" s="1"/>
  <c r="L201" i="6"/>
  <c r="N201" i="6" s="1"/>
  <c r="L266" i="6"/>
  <c r="N266" i="6" s="1"/>
  <c r="L313" i="6"/>
  <c r="N313" i="6" s="1"/>
  <c r="L461" i="6"/>
  <c r="N461" i="6" s="1"/>
  <c r="L428" i="6"/>
  <c r="N428" i="6" s="1"/>
  <c r="L25" i="6"/>
  <c r="N25" i="6" s="1"/>
  <c r="L238" i="6"/>
  <c r="N238" i="6" s="1"/>
  <c r="L95" i="6"/>
  <c r="N95" i="6" s="1"/>
  <c r="L43" i="6"/>
  <c r="N43" i="6" s="1"/>
  <c r="M468" i="6"/>
  <c r="N468" i="6" s="1"/>
  <c r="L116" i="6"/>
  <c r="N116" i="6" s="1"/>
  <c r="L452" i="6"/>
  <c r="N452" i="6" s="1"/>
  <c r="M355" i="6"/>
  <c r="N355" i="6" s="1"/>
  <c r="L376" i="6"/>
  <c r="N376" i="6" s="1"/>
  <c r="L341" i="6"/>
  <c r="N341" i="6" s="1"/>
  <c r="L379" i="6"/>
  <c r="N379" i="6" s="1"/>
  <c r="M247" i="6"/>
  <c r="N247" i="6" s="1"/>
  <c r="L74" i="6"/>
  <c r="N74" i="6" s="1"/>
  <c r="M404" i="6"/>
  <c r="N404" i="6" s="1"/>
  <c r="M443" i="6"/>
  <c r="N443" i="6" s="1"/>
  <c r="L466" i="6"/>
  <c r="N466" i="6" s="1"/>
  <c r="L110" i="6"/>
  <c r="N110" i="6" s="1"/>
  <c r="M128" i="6"/>
  <c r="N128" i="6" s="1"/>
  <c r="M167" i="6"/>
  <c r="N167" i="6" s="1"/>
  <c r="L186" i="6"/>
  <c r="N186" i="6" s="1"/>
  <c r="M219" i="6"/>
  <c r="N219" i="6" s="1"/>
  <c r="L298" i="6"/>
  <c r="N298" i="6" s="1"/>
  <c r="M331" i="6"/>
  <c r="N331" i="6" s="1"/>
  <c r="L347" i="6"/>
  <c r="N347" i="6" s="1"/>
  <c r="M384" i="6"/>
  <c r="N384" i="6" s="1"/>
  <c r="L151" i="6"/>
  <c r="N151" i="6" s="1"/>
  <c r="M79" i="6"/>
  <c r="N79" i="6" s="1"/>
  <c r="L172" i="6"/>
  <c r="N172" i="6" s="1"/>
  <c r="L351" i="6"/>
  <c r="N351" i="6" s="1"/>
  <c r="L487" i="6"/>
  <c r="N487" i="6" s="1"/>
  <c r="M96" i="6"/>
  <c r="N96" i="6" s="1"/>
  <c r="M271" i="6"/>
  <c r="N271" i="6" s="1"/>
  <c r="L336" i="6"/>
  <c r="N336" i="6" s="1"/>
  <c r="M44" i="6"/>
  <c r="N44" i="6" s="1"/>
  <c r="M27" i="6"/>
  <c r="N27" i="6" s="1"/>
  <c r="L155" i="6"/>
  <c r="N155" i="6" s="1"/>
  <c r="L272" i="6"/>
  <c r="N272" i="6" s="1"/>
  <c r="M138" i="6"/>
  <c r="N138" i="6" s="1"/>
  <c r="M243" i="6"/>
  <c r="N243" i="6" s="1"/>
  <c r="M474" i="6"/>
  <c r="N474" i="6" s="1"/>
  <c r="M86" i="6"/>
  <c r="N86" i="6" s="1"/>
  <c r="L459" i="6"/>
  <c r="N459" i="6" s="1"/>
  <c r="L39" i="6"/>
  <c r="N39" i="6" s="1"/>
  <c r="M75" i="6"/>
  <c r="N75" i="6" s="1"/>
  <c r="L92" i="6"/>
  <c r="N92" i="6" s="1"/>
  <c r="L252" i="6"/>
  <c r="N252" i="6" s="1"/>
  <c r="L267" i="6"/>
  <c r="N267" i="6" s="1"/>
  <c r="L365" i="6"/>
  <c r="N365" i="6" s="1"/>
  <c r="L425" i="6"/>
  <c r="N425" i="6" s="1"/>
  <c r="L522" i="6"/>
  <c r="N522" i="6" s="1"/>
  <c r="L104" i="6"/>
  <c r="N104" i="6" s="1"/>
  <c r="M220" i="6"/>
  <c r="L220" i="6"/>
  <c r="L231" i="6"/>
  <c r="N231" i="6" s="1"/>
  <c r="L337" i="6"/>
  <c r="N337" i="6" s="1"/>
  <c r="M381" i="6"/>
  <c r="L381" i="6"/>
  <c r="M444" i="6"/>
  <c r="L444" i="6"/>
  <c r="L475" i="6"/>
  <c r="N475" i="6" s="1"/>
  <c r="M506" i="6"/>
  <c r="N506" i="6" s="1"/>
  <c r="L134" i="6"/>
  <c r="N134" i="6" s="1"/>
  <c r="M164" i="6"/>
  <c r="L164" i="6"/>
  <c r="M324" i="6"/>
  <c r="N324" i="6" s="1"/>
  <c r="M491" i="6"/>
  <c r="L491" i="6"/>
  <c r="M6" i="6"/>
  <c r="N6" i="6" s="1"/>
  <c r="L8" i="6"/>
  <c r="N8" i="6" s="1"/>
  <c r="M80" i="6"/>
  <c r="L80" i="6"/>
  <c r="L124" i="6"/>
  <c r="N124" i="6" s="1"/>
  <c r="M184" i="6"/>
  <c r="N184" i="6" s="1"/>
  <c r="M250" i="6"/>
  <c r="N250" i="6" s="1"/>
  <c r="L328" i="6"/>
  <c r="N328" i="6" s="1"/>
  <c r="L434" i="6"/>
  <c r="N434" i="6" s="1"/>
  <c r="M450" i="6"/>
  <c r="N450" i="6" s="1"/>
  <c r="L481" i="6"/>
  <c r="N481" i="6" s="1"/>
  <c r="M512" i="6"/>
  <c r="L512" i="6"/>
  <c r="M17" i="6"/>
  <c r="L17" i="6"/>
  <c r="M178" i="6"/>
  <c r="L178" i="6"/>
  <c r="M297" i="6"/>
  <c r="L297" i="6"/>
  <c r="L19" i="6"/>
  <c r="N19" i="6" s="1"/>
  <c r="L105" i="6"/>
  <c r="N105" i="6" s="1"/>
  <c r="M325" i="6"/>
  <c r="L325" i="6"/>
  <c r="M352" i="6"/>
  <c r="N352" i="6" s="1"/>
  <c r="L399" i="6"/>
  <c r="N399" i="6" s="1"/>
  <c r="M430" i="6"/>
  <c r="L430" i="6"/>
  <c r="L492" i="6"/>
  <c r="M492" i="6"/>
  <c r="M135" i="6"/>
  <c r="N135" i="6" s="1"/>
  <c r="M166" i="6"/>
  <c r="L166" i="6"/>
  <c r="M248" i="6"/>
  <c r="L248" i="6"/>
  <c r="L259" i="6"/>
  <c r="N259" i="6" s="1"/>
  <c r="L35" i="6"/>
  <c r="N35" i="6" s="1"/>
  <c r="L77" i="6"/>
  <c r="N77" i="6" s="1"/>
  <c r="L182" i="6"/>
  <c r="N182" i="6" s="1"/>
  <c r="L222" i="6"/>
  <c r="N222" i="6" s="1"/>
  <c r="L400" i="6"/>
  <c r="N400" i="6" s="1"/>
  <c r="L21" i="6"/>
  <c r="N21" i="6" s="1"/>
  <c r="L48" i="6"/>
  <c r="N48" i="6" s="1"/>
  <c r="L106" i="6"/>
  <c r="N106" i="6" s="1"/>
  <c r="L300" i="6"/>
  <c r="N300" i="6" s="1"/>
  <c r="L448" i="6"/>
  <c r="N448" i="6" s="1"/>
  <c r="M479" i="6"/>
  <c r="L479" i="6"/>
  <c r="L7" i="6"/>
  <c r="N7" i="6" s="1"/>
  <c r="L183" i="6"/>
  <c r="N183" i="6" s="1"/>
  <c r="L385" i="6"/>
  <c r="N385" i="6" s="1"/>
  <c r="M449" i="6"/>
  <c r="L449" i="6"/>
  <c r="L153" i="6"/>
  <c r="N153" i="6" s="1"/>
  <c r="L168" i="6"/>
  <c r="N168" i="6" s="1"/>
  <c r="M276" i="6"/>
  <c r="L276" i="6"/>
  <c r="L287" i="6"/>
  <c r="N287" i="6" s="1"/>
  <c r="L370" i="6"/>
  <c r="N370" i="6" s="1"/>
  <c r="M401" i="6"/>
  <c r="N401" i="6" s="1"/>
  <c r="M511" i="6"/>
  <c r="L511" i="6"/>
  <c r="L65" i="6"/>
  <c r="M65" i="6"/>
  <c r="M94" i="6"/>
  <c r="L94" i="6"/>
  <c r="L197" i="6"/>
  <c r="N197" i="6" s="1"/>
  <c r="M37" i="6"/>
  <c r="N37" i="6" s="1"/>
  <c r="L51" i="6"/>
  <c r="M51" i="6"/>
  <c r="M66" i="6"/>
  <c r="L66" i="6"/>
  <c r="L154" i="6"/>
  <c r="N154" i="6" s="1"/>
  <c r="L371" i="6"/>
  <c r="N371" i="6" s="1"/>
  <c r="M496" i="6"/>
  <c r="L496" i="6"/>
  <c r="L139" i="6"/>
  <c r="N139" i="6" s="1"/>
  <c r="M304" i="6"/>
  <c r="L304" i="6"/>
  <c r="L315" i="6"/>
  <c r="N315" i="6" s="1"/>
  <c r="L356" i="6"/>
  <c r="N356" i="6" s="1"/>
  <c r="M513" i="6"/>
  <c r="L513" i="6"/>
  <c r="M38" i="6"/>
  <c r="L38" i="6"/>
  <c r="M212" i="6"/>
  <c r="N212" i="6" s="1"/>
  <c r="L225" i="6"/>
  <c r="N225" i="6" s="1"/>
  <c r="M372" i="6"/>
  <c r="L372" i="6"/>
  <c r="M482" i="6"/>
  <c r="L482" i="6"/>
  <c r="L68" i="6"/>
  <c r="N68" i="6" s="1"/>
  <c r="M213" i="6"/>
  <c r="L213" i="6"/>
  <c r="L343" i="6"/>
  <c r="N343" i="6" s="1"/>
  <c r="L405" i="6"/>
  <c r="N405" i="6" s="1"/>
  <c r="M31" i="6"/>
  <c r="L31" i="6"/>
  <c r="M126" i="6"/>
  <c r="L126" i="6"/>
  <c r="M332" i="6"/>
  <c r="L332" i="6"/>
  <c r="L12" i="6"/>
  <c r="N12" i="6" s="1"/>
  <c r="L55" i="6"/>
  <c r="N55" i="6" s="1"/>
  <c r="L97" i="6"/>
  <c r="N97" i="6" s="1"/>
  <c r="M240" i="6"/>
  <c r="N240" i="6" s="1"/>
  <c r="L253" i="6"/>
  <c r="N253" i="6" s="1"/>
  <c r="L306" i="6"/>
  <c r="N306" i="6" s="1"/>
  <c r="L391" i="6"/>
  <c r="N391" i="6" s="1"/>
  <c r="L439" i="6"/>
  <c r="N439" i="6" s="1"/>
  <c r="M485" i="6"/>
  <c r="N485" i="6" s="1"/>
  <c r="M143" i="6"/>
  <c r="L143" i="6"/>
  <c r="L188" i="6"/>
  <c r="N188" i="6" s="1"/>
  <c r="M360" i="6"/>
  <c r="L360" i="6"/>
  <c r="N360" i="6" s="1"/>
  <c r="M470" i="6"/>
  <c r="L470" i="6"/>
  <c r="M241" i="6"/>
  <c r="L241" i="6"/>
  <c r="L56" i="6"/>
  <c r="N56" i="6" s="1"/>
  <c r="L114" i="6"/>
  <c r="M114" i="6"/>
  <c r="L159" i="6"/>
  <c r="N159" i="6" s="1"/>
  <c r="L440" i="6"/>
  <c r="N440" i="6" s="1"/>
  <c r="L502" i="6"/>
  <c r="N502" i="6" s="1"/>
  <c r="M129" i="6"/>
  <c r="L129" i="6"/>
  <c r="M268" i="6"/>
  <c r="N268" i="6" s="1"/>
  <c r="L281" i="6"/>
  <c r="N281" i="6" s="1"/>
  <c r="L334" i="6"/>
  <c r="N334" i="6" s="1"/>
  <c r="M409" i="6"/>
  <c r="L409" i="6"/>
  <c r="M471" i="6"/>
  <c r="N471" i="6" s="1"/>
  <c r="M421" i="6"/>
  <c r="L421" i="6"/>
  <c r="L100" i="6"/>
  <c r="M100" i="6"/>
  <c r="M115" i="6"/>
  <c r="L115" i="6"/>
  <c r="M175" i="6"/>
  <c r="L175" i="6"/>
  <c r="L57" i="6"/>
  <c r="N57" i="6" s="1"/>
  <c r="M269" i="6"/>
  <c r="L269" i="6"/>
  <c r="M87" i="6"/>
  <c r="L87" i="6"/>
  <c r="N87" i="6" s="1"/>
  <c r="M192" i="6"/>
  <c r="L192" i="6"/>
  <c r="L203" i="6"/>
  <c r="N203" i="6" s="1"/>
  <c r="L503" i="6"/>
  <c r="N503" i="6" s="1"/>
  <c r="M16" i="6"/>
  <c r="N16" i="6" s="1"/>
  <c r="M146" i="6"/>
  <c r="L146" i="6"/>
  <c r="M296" i="6"/>
  <c r="N296" i="6" s="1"/>
  <c r="L309" i="6"/>
  <c r="N309" i="6" s="1"/>
  <c r="M395" i="6"/>
  <c r="L395" i="6"/>
  <c r="L411" i="6"/>
  <c r="N411" i="6" s="1"/>
  <c r="M469" i="6"/>
  <c r="L469" i="6"/>
  <c r="M45" i="6"/>
  <c r="L45" i="6"/>
  <c r="L117" i="6"/>
  <c r="N117" i="6" s="1"/>
  <c r="L244" i="6"/>
  <c r="N244" i="6" s="1"/>
  <c r="M458" i="6"/>
  <c r="L458" i="6"/>
  <c r="M353" i="6"/>
  <c r="L353" i="6"/>
  <c r="M451" i="6"/>
  <c r="L451" i="6"/>
  <c r="M136" i="6"/>
  <c r="L136" i="6"/>
  <c r="M185" i="6"/>
  <c r="L185" i="6"/>
  <c r="L363" i="6"/>
  <c r="N363" i="6" s="1"/>
  <c r="L383" i="6"/>
  <c r="N383" i="6" s="1"/>
  <c r="L392" i="6"/>
  <c r="N392" i="6" s="1"/>
  <c r="M402" i="6"/>
  <c r="L402" i="6"/>
  <c r="L412" i="6"/>
  <c r="N412" i="6" s="1"/>
  <c r="L432" i="6"/>
  <c r="N432" i="6" s="1"/>
  <c r="L441" i="6"/>
  <c r="N441" i="6" s="1"/>
  <c r="M472" i="6"/>
  <c r="L472" i="6"/>
  <c r="M9" i="6"/>
  <c r="N9" i="6" s="1"/>
  <c r="M58" i="6"/>
  <c r="N58" i="6" s="1"/>
  <c r="M107" i="6"/>
  <c r="N107" i="6" s="1"/>
  <c r="L195" i="6"/>
  <c r="N195" i="6" s="1"/>
  <c r="L204" i="6"/>
  <c r="N204" i="6" s="1"/>
  <c r="L223" i="6"/>
  <c r="N223" i="6" s="1"/>
  <c r="L232" i="6"/>
  <c r="N232" i="6" s="1"/>
  <c r="L251" i="6"/>
  <c r="N251" i="6" s="1"/>
  <c r="L260" i="6"/>
  <c r="N260" i="6" s="1"/>
  <c r="L279" i="6"/>
  <c r="N279" i="6" s="1"/>
  <c r="L288" i="6"/>
  <c r="N288" i="6" s="1"/>
  <c r="L307" i="6"/>
  <c r="N307" i="6" s="1"/>
  <c r="L316" i="6"/>
  <c r="N316" i="6" s="1"/>
  <c r="L335" i="6"/>
  <c r="N335" i="6" s="1"/>
  <c r="L344" i="6"/>
  <c r="N344" i="6" s="1"/>
  <c r="M493" i="6"/>
  <c r="L493" i="6"/>
  <c r="L29" i="6"/>
  <c r="N29" i="6" s="1"/>
  <c r="L78" i="6"/>
  <c r="N78" i="6" s="1"/>
  <c r="M156" i="6"/>
  <c r="N156" i="6" s="1"/>
  <c r="M373" i="6"/>
  <c r="N373" i="6" s="1"/>
  <c r="M422" i="6"/>
  <c r="N422" i="6" s="1"/>
  <c r="L462" i="6"/>
  <c r="N462" i="6" s="1"/>
  <c r="L516" i="6"/>
  <c r="N516" i="6" s="1"/>
  <c r="M10" i="6"/>
  <c r="L10" i="6"/>
  <c r="L20" i="6"/>
  <c r="N20" i="6" s="1"/>
  <c r="L40" i="6"/>
  <c r="N40" i="6" s="1"/>
  <c r="L49" i="6"/>
  <c r="N49" i="6" s="1"/>
  <c r="M59" i="6"/>
  <c r="L59" i="6"/>
  <c r="L69" i="6"/>
  <c r="N69" i="6" s="1"/>
  <c r="L89" i="6"/>
  <c r="N89" i="6" s="1"/>
  <c r="L98" i="6"/>
  <c r="N98" i="6" s="1"/>
  <c r="M108" i="6"/>
  <c r="L108" i="6"/>
  <c r="L118" i="6"/>
  <c r="N118" i="6" s="1"/>
  <c r="L127" i="6"/>
  <c r="N127" i="6" s="1"/>
  <c r="L176" i="6"/>
  <c r="N176" i="6" s="1"/>
  <c r="L393" i="6"/>
  <c r="N393" i="6" s="1"/>
  <c r="L442" i="6"/>
  <c r="N442" i="6" s="1"/>
  <c r="L453" i="6"/>
  <c r="N453" i="6" s="1"/>
  <c r="L483" i="6"/>
  <c r="N483" i="6" s="1"/>
  <c r="L504" i="6"/>
  <c r="N504" i="6" s="1"/>
  <c r="L147" i="6"/>
  <c r="N147" i="6" s="1"/>
  <c r="M157" i="6"/>
  <c r="L157" i="6"/>
  <c r="N157" i="6" s="1"/>
  <c r="M205" i="6"/>
  <c r="N205" i="6" s="1"/>
  <c r="M233" i="6"/>
  <c r="N233" i="6" s="1"/>
  <c r="M261" i="6"/>
  <c r="N261" i="6" s="1"/>
  <c r="M289" i="6"/>
  <c r="N289" i="6" s="1"/>
  <c r="M317" i="6"/>
  <c r="N317" i="6" s="1"/>
  <c r="M345" i="6"/>
  <c r="N345" i="6" s="1"/>
  <c r="L364" i="6"/>
  <c r="N364" i="6" s="1"/>
  <c r="M374" i="6"/>
  <c r="L374" i="6"/>
  <c r="L413" i="6"/>
  <c r="N413" i="6" s="1"/>
  <c r="M423" i="6"/>
  <c r="L423" i="6"/>
  <c r="N423" i="6" s="1"/>
  <c r="M463" i="6"/>
  <c r="L463" i="6"/>
  <c r="M484" i="6"/>
  <c r="L484" i="6"/>
  <c r="M505" i="6"/>
  <c r="L505" i="6"/>
  <c r="M206" i="6"/>
  <c r="L206" i="6"/>
  <c r="M234" i="6"/>
  <c r="L234" i="6"/>
  <c r="M262" i="6"/>
  <c r="L262" i="6"/>
  <c r="M290" i="6"/>
  <c r="L290" i="6"/>
  <c r="M318" i="6"/>
  <c r="L318" i="6"/>
  <c r="N318" i="6" s="1"/>
  <c r="M346" i="6"/>
  <c r="L346" i="6"/>
  <c r="N346" i="6" s="1"/>
  <c r="M465" i="6"/>
  <c r="L465" i="6"/>
  <c r="L22" i="6"/>
  <c r="N22" i="6" s="1"/>
  <c r="L71" i="6"/>
  <c r="N71" i="6" s="1"/>
  <c r="L120" i="6"/>
  <c r="N120" i="6" s="1"/>
  <c r="M366" i="6"/>
  <c r="N366" i="6" s="1"/>
  <c r="N396" i="6"/>
  <c r="M415" i="6"/>
  <c r="N415" i="6" s="1"/>
  <c r="M486" i="6"/>
  <c r="L486" i="6"/>
  <c r="L518" i="6"/>
  <c r="N518" i="6" s="1"/>
  <c r="L62" i="6"/>
  <c r="N62" i="6" s="1"/>
  <c r="L208" i="6"/>
  <c r="N208" i="6" s="1"/>
  <c r="M13" i="6"/>
  <c r="N13" i="6" s="1"/>
  <c r="M111" i="6"/>
  <c r="N111" i="6" s="1"/>
  <c r="L180" i="6"/>
  <c r="N180" i="6" s="1"/>
  <c r="M236" i="6"/>
  <c r="N236" i="6" s="1"/>
  <c r="M292" i="6"/>
  <c r="N292" i="6" s="1"/>
  <c r="L329" i="6"/>
  <c r="N329" i="6" s="1"/>
  <c r="M367" i="6"/>
  <c r="L367" i="6"/>
  <c r="L397" i="6"/>
  <c r="N397" i="6" s="1"/>
  <c r="M23" i="6"/>
  <c r="N23" i="6" s="1"/>
  <c r="M72" i="6"/>
  <c r="N72" i="6" s="1"/>
  <c r="M121" i="6"/>
  <c r="N121" i="6" s="1"/>
  <c r="M131" i="6"/>
  <c r="N131" i="6" s="1"/>
  <c r="M160" i="6"/>
  <c r="N160" i="6" s="1"/>
  <c r="M199" i="6"/>
  <c r="L199" i="6"/>
  <c r="M227" i="6"/>
  <c r="L227" i="6"/>
  <c r="M255" i="6"/>
  <c r="L255" i="6"/>
  <c r="M283" i="6"/>
  <c r="L283" i="6"/>
  <c r="M311" i="6"/>
  <c r="L311" i="6"/>
  <c r="M339" i="6"/>
  <c r="L339" i="6"/>
  <c r="M377" i="6"/>
  <c r="N377" i="6" s="1"/>
  <c r="M426" i="6"/>
  <c r="N426" i="6" s="1"/>
  <c r="M446" i="6"/>
  <c r="N446" i="6" s="1"/>
  <c r="M456" i="6"/>
  <c r="L456" i="6"/>
  <c r="L467" i="6"/>
  <c r="N467" i="6" s="1"/>
  <c r="L497" i="6"/>
  <c r="N497" i="6" s="1"/>
  <c r="L509" i="6"/>
  <c r="N509" i="6" s="1"/>
  <c r="L42" i="6"/>
  <c r="N42" i="6" s="1"/>
  <c r="M101" i="6"/>
  <c r="L101" i="6"/>
  <c r="M338" i="6"/>
  <c r="N338" i="6" s="1"/>
  <c r="M33" i="6"/>
  <c r="N33" i="6" s="1"/>
  <c r="M150" i="6"/>
  <c r="L150" i="6"/>
  <c r="L189" i="6"/>
  <c r="N189" i="6" s="1"/>
  <c r="L245" i="6"/>
  <c r="N245" i="6" s="1"/>
  <c r="M320" i="6"/>
  <c r="N320" i="6" s="1"/>
  <c r="L357" i="6"/>
  <c r="N357" i="6" s="1"/>
  <c r="L476" i="6"/>
  <c r="N476" i="6" s="1"/>
  <c r="M387" i="6"/>
  <c r="N387" i="6" s="1"/>
  <c r="N417" i="6"/>
  <c r="M436" i="6"/>
  <c r="N436" i="6" s="1"/>
  <c r="M477" i="6"/>
  <c r="L477" i="6"/>
  <c r="L488" i="6"/>
  <c r="N488" i="6" s="1"/>
  <c r="M520" i="6"/>
  <c r="L520" i="6"/>
  <c r="N520" i="6" s="1"/>
  <c r="M52" i="6"/>
  <c r="L52" i="6"/>
  <c r="L91" i="6"/>
  <c r="N91" i="6" s="1"/>
  <c r="L169" i="6"/>
  <c r="N169" i="6" s="1"/>
  <c r="M226" i="6"/>
  <c r="N226" i="6" s="1"/>
  <c r="L264" i="6"/>
  <c r="N264" i="6" s="1"/>
  <c r="L348" i="6"/>
  <c r="N348" i="6" s="1"/>
  <c r="L455" i="6"/>
  <c r="N455" i="6" s="1"/>
  <c r="L217" i="6"/>
  <c r="N217" i="6" s="1"/>
  <c r="L301" i="6"/>
  <c r="N301" i="6" s="1"/>
  <c r="L406" i="6"/>
  <c r="N406" i="6" s="1"/>
  <c r="L5" i="6"/>
  <c r="N5" i="6" s="1"/>
  <c r="L14" i="6"/>
  <c r="N14" i="6" s="1"/>
  <c r="M24" i="6"/>
  <c r="L24" i="6"/>
  <c r="L34" i="6"/>
  <c r="N34" i="6" s="1"/>
  <c r="L54" i="6"/>
  <c r="N54" i="6" s="1"/>
  <c r="L63" i="6"/>
  <c r="N63" i="6" s="1"/>
  <c r="M73" i="6"/>
  <c r="L73" i="6"/>
  <c r="L83" i="6"/>
  <c r="N83" i="6" s="1"/>
  <c r="L103" i="6"/>
  <c r="N103" i="6" s="1"/>
  <c r="L112" i="6"/>
  <c r="N112" i="6" s="1"/>
  <c r="M122" i="6"/>
  <c r="L122" i="6"/>
  <c r="L141" i="6"/>
  <c r="N141" i="6" s="1"/>
  <c r="L190" i="6"/>
  <c r="N190" i="6" s="1"/>
  <c r="L209" i="6"/>
  <c r="N209" i="6" s="1"/>
  <c r="L218" i="6"/>
  <c r="N218" i="6" s="1"/>
  <c r="L237" i="6"/>
  <c r="N237" i="6" s="1"/>
  <c r="L246" i="6"/>
  <c r="N246" i="6" s="1"/>
  <c r="L265" i="6"/>
  <c r="N265" i="6" s="1"/>
  <c r="L274" i="6"/>
  <c r="N274" i="6" s="1"/>
  <c r="L293" i="6"/>
  <c r="N293" i="6" s="1"/>
  <c r="L302" i="6"/>
  <c r="N302" i="6" s="1"/>
  <c r="L321" i="6"/>
  <c r="N321" i="6" s="1"/>
  <c r="L330" i="6"/>
  <c r="N330" i="6" s="1"/>
  <c r="L349" i="6"/>
  <c r="N349" i="6" s="1"/>
  <c r="L358" i="6"/>
  <c r="N358" i="6" s="1"/>
  <c r="L407" i="6"/>
  <c r="N407" i="6" s="1"/>
  <c r="M498" i="6"/>
  <c r="L498" i="6"/>
  <c r="L82" i="6"/>
  <c r="N82" i="6" s="1"/>
  <c r="M254" i="6"/>
  <c r="N254" i="6" s="1"/>
  <c r="M310" i="6"/>
  <c r="N310" i="6" s="1"/>
  <c r="L140" i="6"/>
  <c r="N140" i="6" s="1"/>
  <c r="L273" i="6"/>
  <c r="N273" i="6" s="1"/>
  <c r="M416" i="6"/>
  <c r="L416" i="6"/>
  <c r="M519" i="6"/>
  <c r="L519" i="6"/>
  <c r="L132" i="6"/>
  <c r="N132" i="6" s="1"/>
  <c r="L152" i="6"/>
  <c r="N152" i="6" s="1"/>
  <c r="L161" i="6"/>
  <c r="N161" i="6" s="1"/>
  <c r="M171" i="6"/>
  <c r="L171" i="6"/>
  <c r="L181" i="6"/>
  <c r="N181" i="6" s="1"/>
  <c r="L369" i="6"/>
  <c r="N369" i="6" s="1"/>
  <c r="L378" i="6"/>
  <c r="N378" i="6" s="1"/>
  <c r="M388" i="6"/>
  <c r="L388" i="6"/>
  <c r="L398" i="6"/>
  <c r="N398" i="6" s="1"/>
  <c r="L418" i="6"/>
  <c r="N418" i="6" s="1"/>
  <c r="L427" i="6"/>
  <c r="N427" i="6" s="1"/>
  <c r="M437" i="6"/>
  <c r="L437" i="6"/>
  <c r="L447" i="6"/>
  <c r="N447" i="6" s="1"/>
  <c r="M457" i="6"/>
  <c r="N457" i="6" s="1"/>
  <c r="M149" i="6"/>
  <c r="N149" i="6" s="1"/>
  <c r="M198" i="6"/>
  <c r="N198" i="6" s="1"/>
  <c r="M282" i="6"/>
  <c r="N282" i="6" s="1"/>
  <c r="L386" i="6"/>
  <c r="N386" i="6" s="1"/>
  <c r="L435" i="6"/>
  <c r="N435" i="6" s="1"/>
  <c r="L500" i="6"/>
  <c r="N500" i="6" s="1"/>
  <c r="L507" i="6"/>
  <c r="N507" i="6" s="1"/>
  <c r="L514" i="6"/>
  <c r="N514" i="6" s="1"/>
  <c r="L521" i="6"/>
  <c r="N521" i="6" s="1"/>
  <c r="L3" i="6"/>
  <c r="N3" i="6" s="1"/>
  <c r="AD3" i="3"/>
  <c r="AA207" i="3"/>
  <c r="AB207" i="3" s="1"/>
  <c r="AA534" i="3"/>
  <c r="AB534" i="3" s="1"/>
  <c r="Z126" i="3"/>
  <c r="AB126" i="3" s="1"/>
  <c r="AA1101" i="3"/>
  <c r="AB1101" i="3" s="1"/>
  <c r="AA1049" i="3"/>
  <c r="AB1049" i="3" s="1"/>
  <c r="AA77" i="3"/>
  <c r="AB77" i="3" s="1"/>
  <c r="Z28" i="3"/>
  <c r="AB28" i="3" s="1"/>
  <c r="Z226" i="3"/>
  <c r="AB226" i="3" s="1"/>
  <c r="AA1030" i="3"/>
  <c r="AB1030" i="3" s="1"/>
  <c r="Z1170" i="3"/>
  <c r="AB1170" i="3" s="1"/>
  <c r="Z1197" i="3"/>
  <c r="AB1197" i="3" s="1"/>
  <c r="AA1065" i="3"/>
  <c r="AB1065" i="3" s="1"/>
  <c r="AA1253" i="3"/>
  <c r="AB1253" i="3" s="1"/>
  <c r="AA458" i="3"/>
  <c r="AB458" i="3" s="1"/>
  <c r="AA679" i="3"/>
  <c r="AB679" i="3" s="1"/>
  <c r="Z732" i="3"/>
  <c r="AB732" i="3" s="1"/>
  <c r="Z404" i="3"/>
  <c r="AB404" i="3" s="1"/>
  <c r="AA680" i="3"/>
  <c r="AB680" i="3" s="1"/>
  <c r="Z190" i="3"/>
  <c r="AB190" i="3" s="1"/>
  <c r="Z160" i="3"/>
  <c r="AB160" i="3" s="1"/>
  <c r="AA1149" i="3"/>
  <c r="AB1149" i="3" s="1"/>
  <c r="Z1202" i="3"/>
  <c r="AB1202" i="3" s="1"/>
  <c r="AA400" i="3"/>
  <c r="AB400" i="3" s="1"/>
  <c r="Z1286" i="3"/>
  <c r="AB1286" i="3" s="1"/>
  <c r="AA209" i="3"/>
  <c r="AB209" i="3" s="1"/>
  <c r="Z683" i="3"/>
  <c r="AB683" i="3" s="1"/>
  <c r="Z637" i="3"/>
  <c r="AB637" i="3" s="1"/>
  <c r="AA940" i="3"/>
  <c r="AB940" i="3" s="1"/>
  <c r="Z1290" i="3"/>
  <c r="AB1290" i="3" s="1"/>
  <c r="Z254" i="3"/>
  <c r="AB254" i="3" s="1"/>
  <c r="AA280" i="3"/>
  <c r="AB280" i="3" s="1"/>
  <c r="AA1266" i="3"/>
  <c r="AB1266" i="3" s="1"/>
  <c r="Z1136" i="3"/>
  <c r="AB1136" i="3" s="1"/>
  <c r="AA183" i="3"/>
  <c r="AB183" i="3" s="1"/>
  <c r="Z231" i="3"/>
  <c r="AB231" i="3" s="1"/>
  <c r="AA387" i="3"/>
  <c r="AB387" i="3" s="1"/>
  <c r="AA410" i="3"/>
  <c r="AB410" i="3" s="1"/>
  <c r="AA560" i="3"/>
  <c r="AB560" i="3" s="1"/>
  <c r="AA991" i="3"/>
  <c r="AB991" i="3" s="1"/>
  <c r="Z488" i="3"/>
  <c r="AB488" i="3" s="1"/>
  <c r="Z966" i="3"/>
  <c r="AB966" i="3" s="1"/>
  <c r="AA592" i="3"/>
  <c r="AB592" i="3" s="1"/>
  <c r="AA641" i="3"/>
  <c r="AB641" i="3" s="1"/>
  <c r="AA665" i="3"/>
  <c r="AB665" i="3" s="1"/>
  <c r="Z760" i="3"/>
  <c r="AB760" i="3" s="1"/>
  <c r="AA785" i="3"/>
  <c r="AB785" i="3" s="1"/>
  <c r="AA840" i="3"/>
  <c r="AB840" i="3" s="1"/>
  <c r="Z1122" i="3"/>
  <c r="AB1122" i="3" s="1"/>
  <c r="Z492" i="3"/>
  <c r="AB492" i="3" s="1"/>
  <c r="AA867" i="3"/>
  <c r="AB867" i="3" s="1"/>
  <c r="AA1252" i="3"/>
  <c r="AB1252" i="3" s="1"/>
  <c r="AA90" i="3"/>
  <c r="AB90" i="3" s="1"/>
  <c r="Z237" i="3"/>
  <c r="AB237" i="3" s="1"/>
  <c r="AA517" i="3"/>
  <c r="AB517" i="3" s="1"/>
  <c r="Z666" i="3"/>
  <c r="AB666" i="3" s="1"/>
  <c r="Z1022" i="3"/>
  <c r="AB1022" i="3" s="1"/>
  <c r="AA693" i="3"/>
  <c r="AB693" i="3" s="1"/>
  <c r="Z718" i="3"/>
  <c r="AB718" i="3" s="1"/>
  <c r="AA741" i="3"/>
  <c r="AB741" i="3" s="1"/>
  <c r="AA951" i="3"/>
  <c r="AB951" i="3" s="1"/>
  <c r="Z1105" i="3"/>
  <c r="AB1105" i="3" s="1"/>
  <c r="AA120" i="3"/>
  <c r="AB120" i="3" s="1"/>
  <c r="AA293" i="3"/>
  <c r="AB293" i="3" s="1"/>
  <c r="Z627" i="3"/>
  <c r="AB627" i="3" s="1"/>
  <c r="Z1054" i="3"/>
  <c r="AB1054" i="3" s="1"/>
  <c r="Z171" i="3"/>
  <c r="AB171" i="3" s="1"/>
  <c r="Z244" i="3"/>
  <c r="AB244" i="3" s="1"/>
  <c r="Z423" i="3"/>
  <c r="AB423" i="3" s="1"/>
  <c r="AA650" i="3"/>
  <c r="AB650" i="3" s="1"/>
  <c r="AA849" i="3"/>
  <c r="AB849" i="3" s="1"/>
  <c r="AA979" i="3"/>
  <c r="AB979" i="3" s="1"/>
  <c r="Z529" i="3"/>
  <c r="AB529" i="3" s="1"/>
  <c r="AA553" i="3"/>
  <c r="AB553" i="3" s="1"/>
  <c r="AA631" i="3"/>
  <c r="AB631" i="3" s="1"/>
  <c r="AA1086" i="3"/>
  <c r="AB1086" i="3" s="1"/>
  <c r="Z1111" i="3"/>
  <c r="AB1111" i="3" s="1"/>
  <c r="Z35" i="3"/>
  <c r="AB35" i="3" s="1"/>
  <c r="Z943" i="3"/>
  <c r="AB943" i="3" s="1"/>
  <c r="Z15" i="3"/>
  <c r="AB15" i="3" s="1"/>
  <c r="AA495" i="3"/>
  <c r="AB495" i="3" s="1"/>
  <c r="Z397" i="3"/>
  <c r="AB397" i="3" s="1"/>
  <c r="AA69" i="3"/>
  <c r="AB69" i="3" s="1"/>
  <c r="AA1232" i="3"/>
  <c r="AB1232" i="3" s="1"/>
  <c r="Z350" i="3"/>
  <c r="AB350" i="3" s="1"/>
  <c r="AA720" i="3"/>
  <c r="AB720" i="3" s="1"/>
  <c r="AA224" i="3"/>
  <c r="AB224" i="3" s="1"/>
  <c r="AA604" i="3"/>
  <c r="AB604" i="3" s="1"/>
  <c r="Z1008" i="3"/>
  <c r="AB1008" i="3" s="1"/>
  <c r="Z506" i="3"/>
  <c r="AB506" i="3" s="1"/>
  <c r="Z775" i="3"/>
  <c r="AB775" i="3" s="1"/>
  <c r="Z119" i="3"/>
  <c r="AB119" i="3" s="1"/>
  <c r="Z472" i="3"/>
  <c r="AB472" i="3" s="1"/>
  <c r="Z925" i="3"/>
  <c r="AB925" i="3" s="1"/>
  <c r="Z94" i="3"/>
  <c r="AB94" i="3" s="1"/>
  <c r="AA266" i="3"/>
  <c r="AB266" i="3" s="1"/>
  <c r="AA1133" i="3"/>
  <c r="AB1133" i="3" s="1"/>
  <c r="AA479" i="3"/>
  <c r="AB479" i="3" s="1"/>
  <c r="AA698" i="3"/>
  <c r="AB698" i="3" s="1"/>
  <c r="Z658" i="3"/>
  <c r="AB658" i="3" s="1"/>
  <c r="Z702" i="3"/>
  <c r="AB702" i="3" s="1"/>
  <c r="AA134" i="3"/>
  <c r="AB134" i="3" s="1"/>
  <c r="AA640" i="3"/>
  <c r="AB640" i="3" s="1"/>
  <c r="Z686" i="3"/>
  <c r="AB686" i="3" s="1"/>
  <c r="AA1019" i="3"/>
  <c r="AB1019" i="3" s="1"/>
  <c r="Z161" i="3"/>
  <c r="AB161" i="3" s="1"/>
  <c r="Z413" i="3"/>
  <c r="AB413" i="3" s="1"/>
  <c r="AA733" i="3"/>
  <c r="AB733" i="3" s="1"/>
  <c r="Z67" i="3"/>
  <c r="AB67" i="3" s="1"/>
  <c r="AA292" i="3"/>
  <c r="AB292" i="3" s="1"/>
  <c r="AA872" i="3"/>
  <c r="AB872" i="3" s="1"/>
  <c r="AA106" i="3"/>
  <c r="AB106" i="3" s="1"/>
  <c r="Z485" i="3"/>
  <c r="AB485" i="3" s="1"/>
  <c r="AA912" i="3"/>
  <c r="AB912" i="3" s="1"/>
  <c r="AA130" i="3"/>
  <c r="AB130" i="3" s="1"/>
  <c r="Z332" i="3"/>
  <c r="AB332" i="3" s="1"/>
  <c r="AA1245" i="3"/>
  <c r="AB1245" i="3" s="1"/>
  <c r="AA1236" i="3"/>
  <c r="AB1236" i="3" s="1"/>
  <c r="AA284" i="3"/>
  <c r="AB284" i="3" s="1"/>
  <c r="Z307" i="3"/>
  <c r="AB307" i="3" s="1"/>
  <c r="Z394" i="3"/>
  <c r="AB394" i="3" s="1"/>
  <c r="AA455" i="3"/>
  <c r="AB455" i="3" s="1"/>
  <c r="AA602" i="3"/>
  <c r="AB602" i="3" s="1"/>
  <c r="Z620" i="3"/>
  <c r="AB620" i="3" s="1"/>
  <c r="Z1189" i="3"/>
  <c r="AB1189" i="3" s="1"/>
  <c r="Z1213" i="3"/>
  <c r="AB1213" i="3" s="1"/>
  <c r="Z80" i="3"/>
  <c r="AB80" i="3" s="1"/>
  <c r="Z243" i="3"/>
  <c r="AB243" i="3" s="1"/>
  <c r="Z377" i="3"/>
  <c r="AB377" i="3" s="1"/>
  <c r="Z433" i="3"/>
  <c r="AB433" i="3" s="1"/>
  <c r="Z582" i="3"/>
  <c r="AB582" i="3" s="1"/>
  <c r="Z685" i="3"/>
  <c r="AB685" i="3" s="1"/>
  <c r="AA743" i="3"/>
  <c r="AB743" i="3" s="1"/>
  <c r="Z765" i="3"/>
  <c r="AB765" i="3" s="1"/>
  <c r="Z809" i="3"/>
  <c r="AB809" i="3" s="1"/>
  <c r="Z1190" i="3"/>
  <c r="AB1190" i="3" s="1"/>
  <c r="Z103" i="3"/>
  <c r="AB103" i="3" s="1"/>
  <c r="Z140" i="3"/>
  <c r="AB140" i="3" s="1"/>
  <c r="AA480" i="3"/>
  <c r="AB480" i="3" s="1"/>
  <c r="Z881" i="3"/>
  <c r="AB881" i="3" s="1"/>
  <c r="Z904" i="3"/>
  <c r="AB904" i="3" s="1"/>
  <c r="AA926" i="3"/>
  <c r="AB926" i="3" s="1"/>
  <c r="Z992" i="3"/>
  <c r="AB992" i="3" s="1"/>
  <c r="Z1055" i="3"/>
  <c r="AB1055" i="3" s="1"/>
  <c r="AA1079" i="3"/>
  <c r="AB1079" i="3" s="1"/>
  <c r="Z1215" i="3"/>
  <c r="AB1215" i="3" s="1"/>
  <c r="Z125" i="3"/>
  <c r="AB125" i="3" s="1"/>
  <c r="AA380" i="3"/>
  <c r="AB380" i="3" s="1"/>
  <c r="Z545" i="3"/>
  <c r="AB545" i="3" s="1"/>
  <c r="Z85" i="3"/>
  <c r="AB85" i="3" s="1"/>
  <c r="Z144" i="3"/>
  <c r="AB144" i="3" s="1"/>
  <c r="AA210" i="3"/>
  <c r="AB210" i="3" s="1"/>
  <c r="Z269" i="3"/>
  <c r="AB269" i="3" s="1"/>
  <c r="Z291" i="3"/>
  <c r="AB291" i="3" s="1"/>
  <c r="Z335" i="3"/>
  <c r="AB335" i="3" s="1"/>
  <c r="Z399" i="3"/>
  <c r="AB399" i="3" s="1"/>
  <c r="Z484" i="3"/>
  <c r="AB484" i="3" s="1"/>
  <c r="Z502" i="3"/>
  <c r="AB502" i="3" s="1"/>
  <c r="Z606" i="3"/>
  <c r="AB606" i="3" s="1"/>
  <c r="AA626" i="3"/>
  <c r="AB626" i="3" s="1"/>
  <c r="Z688" i="3"/>
  <c r="AB688" i="3" s="1"/>
  <c r="Z708" i="3"/>
  <c r="AB708" i="3" s="1"/>
  <c r="AA769" i="3"/>
  <c r="AB769" i="3" s="1"/>
  <c r="Z972" i="3"/>
  <c r="AB972" i="3" s="1"/>
  <c r="AA1238" i="3"/>
  <c r="AB1238" i="3" s="1"/>
  <c r="AA1280" i="3"/>
  <c r="AB1280" i="3" s="1"/>
  <c r="Z41" i="3"/>
  <c r="AB41" i="3" s="1"/>
  <c r="AA63" i="3"/>
  <c r="AB63" i="3" s="1"/>
  <c r="AA105" i="3"/>
  <c r="AB105" i="3" s="1"/>
  <c r="AA417" i="3"/>
  <c r="AB417" i="3" s="1"/>
  <c r="Z522" i="3"/>
  <c r="AB522" i="3" s="1"/>
  <c r="AA566" i="3"/>
  <c r="AB566" i="3" s="1"/>
  <c r="AA668" i="3"/>
  <c r="AB668" i="3" s="1"/>
  <c r="AA884" i="3"/>
  <c r="AB884" i="3" s="1"/>
  <c r="AA22" i="3"/>
  <c r="AB22" i="3" s="1"/>
  <c r="Z418" i="3"/>
  <c r="AB418" i="3" s="1"/>
  <c r="AA669" i="3"/>
  <c r="AB669" i="3" s="1"/>
  <c r="AA1216" i="3"/>
  <c r="AB1216" i="3" s="1"/>
  <c r="Z227" i="3"/>
  <c r="AB227" i="3" s="1"/>
  <c r="AA212" i="3"/>
  <c r="AB212" i="3" s="1"/>
  <c r="Z271" i="3"/>
  <c r="AB271" i="3" s="1"/>
  <c r="AA337" i="3"/>
  <c r="AB337" i="3" s="1"/>
  <c r="AA383" i="3"/>
  <c r="AB383" i="3" s="1"/>
  <c r="Z464" i="3"/>
  <c r="AB464" i="3" s="1"/>
  <c r="Z503" i="3"/>
  <c r="AB503" i="3" s="1"/>
  <c r="Z569" i="3"/>
  <c r="AB569" i="3" s="1"/>
  <c r="Z608" i="3"/>
  <c r="AB608" i="3" s="1"/>
  <c r="Z751" i="3"/>
  <c r="AB751" i="3" s="1"/>
  <c r="AA865" i="3"/>
  <c r="AB865" i="3" s="1"/>
  <c r="Z887" i="3"/>
  <c r="AB887" i="3" s="1"/>
  <c r="Z911" i="3"/>
  <c r="AB911" i="3" s="1"/>
  <c r="Z1176" i="3"/>
  <c r="AB1176" i="3" s="1"/>
  <c r="Z544" i="3"/>
  <c r="AB544" i="3" s="1"/>
  <c r="AA1279" i="3"/>
  <c r="AB1279" i="3" s="1"/>
  <c r="Z187" i="3"/>
  <c r="AB187" i="3" s="1"/>
  <c r="Z355" i="3"/>
  <c r="AB355" i="3" s="1"/>
  <c r="AA605" i="3"/>
  <c r="AB605" i="3" s="1"/>
  <c r="AA1017" i="3"/>
  <c r="AB1017" i="3" s="1"/>
  <c r="AA312" i="3"/>
  <c r="AB312" i="3" s="1"/>
  <c r="AA46" i="3"/>
  <c r="AB46" i="3" s="1"/>
  <c r="Z89" i="3"/>
  <c r="AB89" i="3" s="1"/>
  <c r="Z317" i="3"/>
  <c r="AB317" i="3" s="1"/>
  <c r="AA421" i="3"/>
  <c r="AB421" i="3" s="1"/>
  <c r="AA443" i="3"/>
  <c r="AB443" i="3" s="1"/>
  <c r="AA570" i="3"/>
  <c r="AB570" i="3" s="1"/>
  <c r="AA591" i="3"/>
  <c r="AB591" i="3" s="1"/>
  <c r="Z609" i="3"/>
  <c r="AB609" i="3" s="1"/>
  <c r="AA672" i="3"/>
  <c r="AB672" i="3" s="1"/>
  <c r="Z796" i="3"/>
  <c r="AB796" i="3" s="1"/>
  <c r="Z819" i="3"/>
  <c r="AB819" i="3" s="1"/>
  <c r="Z842" i="3"/>
  <c r="AB842" i="3" s="1"/>
  <c r="AA935" i="3"/>
  <c r="AB935" i="3" s="1"/>
  <c r="Z1021" i="3"/>
  <c r="AB1021" i="3" s="1"/>
  <c r="Z1063" i="3"/>
  <c r="AB1063" i="3" s="1"/>
  <c r="Z68" i="3"/>
  <c r="AB68" i="3" s="1"/>
  <c r="AA109" i="3"/>
  <c r="AB109" i="3" s="1"/>
  <c r="Z362" i="3"/>
  <c r="AB362" i="3" s="1"/>
  <c r="Z712" i="3"/>
  <c r="AB712" i="3" s="1"/>
  <c r="Z954" i="3"/>
  <c r="AB954" i="3" s="1"/>
  <c r="Z1001" i="3"/>
  <c r="AB1001" i="3" s="1"/>
  <c r="Z1177" i="3"/>
  <c r="AB1177" i="3" s="1"/>
  <c r="Z1224" i="3"/>
  <c r="AB1224" i="3" s="1"/>
  <c r="Z1285" i="3"/>
  <c r="AB1285" i="3" s="1"/>
  <c r="Z246" i="3"/>
  <c r="AB246" i="3" s="1"/>
  <c r="Z500" i="3"/>
  <c r="AB500" i="3" s="1"/>
  <c r="Z644" i="3"/>
  <c r="AB644" i="3" s="1"/>
  <c r="Z726" i="3"/>
  <c r="AB726" i="3" s="1"/>
  <c r="Z767" i="3"/>
  <c r="AB767" i="3" s="1"/>
  <c r="AA993" i="3"/>
  <c r="AB993" i="3" s="1"/>
  <c r="Z49" i="3"/>
  <c r="AB49" i="3" s="1"/>
  <c r="Z175" i="3"/>
  <c r="AB175" i="3" s="1"/>
  <c r="Z405" i="3"/>
  <c r="AB405" i="3" s="1"/>
  <c r="AA446" i="3"/>
  <c r="AB446" i="3" s="1"/>
  <c r="Z489" i="3"/>
  <c r="AB489" i="3" s="1"/>
  <c r="Z611" i="3"/>
  <c r="AB611" i="3" s="1"/>
  <c r="Z734" i="3"/>
  <c r="AB734" i="3" s="1"/>
  <c r="AA938" i="3"/>
  <c r="AB938" i="3" s="1"/>
  <c r="AA956" i="3"/>
  <c r="AB956" i="3" s="1"/>
  <c r="Z1023" i="3"/>
  <c r="AB1023" i="3" s="1"/>
  <c r="AA1047" i="3"/>
  <c r="AB1047" i="3" s="1"/>
  <c r="AA5" i="3"/>
  <c r="AB5" i="3" s="1"/>
  <c r="Z29" i="3"/>
  <c r="AB29" i="3" s="1"/>
  <c r="Z70" i="3"/>
  <c r="AB70" i="3" s="1"/>
  <c r="Z112" i="3"/>
  <c r="AB112" i="3" s="1"/>
  <c r="Z236" i="3"/>
  <c r="AB236" i="3" s="1"/>
  <c r="AA298" i="3"/>
  <c r="AB298" i="3" s="1"/>
  <c r="Z343" i="3"/>
  <c r="AB343" i="3" s="1"/>
  <c r="Z470" i="3"/>
  <c r="AB470" i="3" s="1"/>
  <c r="AA507" i="3"/>
  <c r="AB507" i="3" s="1"/>
  <c r="Z574" i="3"/>
  <c r="AB574" i="3" s="1"/>
  <c r="Z594" i="3"/>
  <c r="AB594" i="3" s="1"/>
  <c r="AA777" i="3"/>
  <c r="AB777" i="3" s="1"/>
  <c r="Z823" i="3"/>
  <c r="AB823" i="3" s="1"/>
  <c r="Z893" i="3"/>
  <c r="AB893" i="3" s="1"/>
  <c r="AA1225" i="3"/>
  <c r="AB1225" i="3" s="1"/>
  <c r="Z133" i="3"/>
  <c r="AB133" i="3" s="1"/>
  <c r="Z154" i="3"/>
  <c r="AB154" i="3" s="1"/>
  <c r="AA218" i="3"/>
  <c r="AB218" i="3" s="1"/>
  <c r="Z255" i="3"/>
  <c r="AB255" i="3" s="1"/>
  <c r="AA278" i="3"/>
  <c r="AB278" i="3" s="1"/>
  <c r="Z425" i="3"/>
  <c r="AB425" i="3" s="1"/>
  <c r="Z490" i="3"/>
  <c r="AB490" i="3" s="1"/>
  <c r="AA716" i="3"/>
  <c r="AB716" i="3" s="1"/>
  <c r="Z939" i="3"/>
  <c r="AB939" i="3" s="1"/>
  <c r="Z1048" i="3"/>
  <c r="AB1048" i="3" s="1"/>
  <c r="Z1112" i="3"/>
  <c r="AB1112" i="3" s="1"/>
  <c r="Z1135" i="3"/>
  <c r="AB1135" i="3" s="1"/>
  <c r="Z1268" i="3"/>
  <c r="AB1268" i="3" s="1"/>
  <c r="Z30" i="3"/>
  <c r="AB30" i="3" s="1"/>
  <c r="AA323" i="3"/>
  <c r="AB323" i="3" s="1"/>
  <c r="AA389" i="3"/>
  <c r="AB389" i="3" s="1"/>
  <c r="Z448" i="3"/>
  <c r="AB448" i="3" s="1"/>
  <c r="Z575" i="3"/>
  <c r="AB575" i="3" s="1"/>
  <c r="AA735" i="3"/>
  <c r="AB735" i="3" s="1"/>
  <c r="Z758" i="3"/>
  <c r="AB758" i="3" s="1"/>
  <c r="AA824" i="3"/>
  <c r="AB824" i="3" s="1"/>
  <c r="AA958" i="3"/>
  <c r="AB958" i="3" s="1"/>
  <c r="Z1093" i="3"/>
  <c r="AB1093" i="3" s="1"/>
  <c r="AA1159" i="3"/>
  <c r="AB1159" i="3" s="1"/>
  <c r="Z1248" i="3"/>
  <c r="AB1248" i="3" s="1"/>
  <c r="AA179" i="3"/>
  <c r="AB179" i="3" s="1"/>
  <c r="Z220" i="3"/>
  <c r="AB220" i="3" s="1"/>
  <c r="Z1036" i="3"/>
  <c r="AB1036" i="3" s="1"/>
  <c r="AA54" i="3"/>
  <c r="AB54" i="3" s="1"/>
  <c r="Z239" i="3"/>
  <c r="AB239" i="3" s="1"/>
  <c r="Z259" i="3"/>
  <c r="AB259" i="3" s="1"/>
  <c r="Z348" i="3"/>
  <c r="AB348" i="3" s="1"/>
  <c r="Z392" i="3"/>
  <c r="AB392" i="3" s="1"/>
  <c r="Z559" i="3"/>
  <c r="AB559" i="3" s="1"/>
  <c r="Z577" i="3"/>
  <c r="AB577" i="3" s="1"/>
  <c r="Z617" i="3"/>
  <c r="AB617" i="3" s="1"/>
  <c r="Z699" i="3"/>
  <c r="AB699" i="3" s="1"/>
  <c r="Z805" i="3"/>
  <c r="AB805" i="3" s="1"/>
  <c r="AA898" i="3"/>
  <c r="AB898" i="3" s="1"/>
  <c r="Z942" i="3"/>
  <c r="AB942" i="3" s="1"/>
  <c r="AA1115" i="3"/>
  <c r="AB1115" i="3" s="1"/>
  <c r="AA1230" i="3"/>
  <c r="AB1230" i="3" s="1"/>
  <c r="Z135" i="3"/>
  <c r="AB135" i="3" s="1"/>
  <c r="Z181" i="3"/>
  <c r="AB181" i="3" s="1"/>
  <c r="AA222" i="3"/>
  <c r="AB222" i="3" s="1"/>
  <c r="AA327" i="3"/>
  <c r="AB327" i="3" s="1"/>
  <c r="Z411" i="3"/>
  <c r="AB411" i="3" s="1"/>
  <c r="AA429" i="3"/>
  <c r="AB429" i="3" s="1"/>
  <c r="Z783" i="3"/>
  <c r="AB783" i="3" s="1"/>
  <c r="AA852" i="3"/>
  <c r="AB852" i="3" s="1"/>
  <c r="Z1096" i="3"/>
  <c r="AB1096" i="3" s="1"/>
  <c r="Z1251" i="3"/>
  <c r="AB1251" i="3" s="1"/>
  <c r="Z1273" i="3"/>
  <c r="AB1273" i="3" s="1"/>
  <c r="Z1080" i="3"/>
  <c r="AB1080" i="3" s="1"/>
  <c r="Z1057" i="3"/>
  <c r="AB1057" i="3" s="1"/>
  <c r="AA393" i="3"/>
  <c r="AB393" i="3" s="1"/>
  <c r="Z1139" i="3"/>
  <c r="AB1139" i="3" s="1"/>
  <c r="Z721" i="3"/>
  <c r="AB721" i="3" s="1"/>
  <c r="Z60" i="3"/>
  <c r="AB60" i="3" s="1"/>
  <c r="AA74" i="3"/>
  <c r="AB74" i="3" s="1"/>
  <c r="Z147" i="3"/>
  <c r="AB147" i="3" s="1"/>
  <c r="AA163" i="3"/>
  <c r="AB163" i="3" s="1"/>
  <c r="Z208" i="3"/>
  <c r="AB208" i="3" s="1"/>
  <c r="AA320" i="3"/>
  <c r="AB320" i="3" s="1"/>
  <c r="Z366" i="3"/>
  <c r="AB366" i="3" s="1"/>
  <c r="AA409" i="3"/>
  <c r="AB409" i="3" s="1"/>
  <c r="Z435" i="3"/>
  <c r="AB435" i="3" s="1"/>
  <c r="Z453" i="3"/>
  <c r="AB453" i="3" s="1"/>
  <c r="Z466" i="3"/>
  <c r="AB466" i="3" s="1"/>
  <c r="AA514" i="3"/>
  <c r="AB514" i="3" s="1"/>
  <c r="Z540" i="3"/>
  <c r="AB540" i="3" s="1"/>
  <c r="Z564" i="3"/>
  <c r="AB564" i="3" s="1"/>
  <c r="Z613" i="3"/>
  <c r="AB613" i="3" s="1"/>
  <c r="Z625" i="3"/>
  <c r="AB625" i="3" s="1"/>
  <c r="Z652" i="3"/>
  <c r="AB652" i="3" s="1"/>
  <c r="Z750" i="3"/>
  <c r="AB750" i="3" s="1"/>
  <c r="AA818" i="3"/>
  <c r="AB818" i="3" s="1"/>
  <c r="Z832" i="3"/>
  <c r="AB832" i="3" s="1"/>
  <c r="Z851" i="3"/>
  <c r="AB851" i="3" s="1"/>
  <c r="Z866" i="3"/>
  <c r="AB866" i="3" s="1"/>
  <c r="Z882" i="3"/>
  <c r="AB882" i="3" s="1"/>
  <c r="Z895" i="3"/>
  <c r="AB895" i="3" s="1"/>
  <c r="Z1029" i="3"/>
  <c r="AB1029" i="3" s="1"/>
  <c r="Z1142" i="3"/>
  <c r="AB1142" i="3" s="1"/>
  <c r="Z1191" i="3"/>
  <c r="AB1191" i="3" s="1"/>
  <c r="Z1209" i="3"/>
  <c r="AB1209" i="3" s="1"/>
  <c r="Z165" i="3"/>
  <c r="AB165" i="3" s="1"/>
  <c r="Z180" i="3"/>
  <c r="AB180" i="3" s="1"/>
  <c r="Z193" i="3"/>
  <c r="AB193" i="3" s="1"/>
  <c r="Z294" i="3"/>
  <c r="AB294" i="3" s="1"/>
  <c r="Z322" i="3"/>
  <c r="AB322" i="3" s="1"/>
  <c r="Z352" i="3"/>
  <c r="AB352" i="3" s="1"/>
  <c r="Z367" i="3"/>
  <c r="AB367" i="3" s="1"/>
  <c r="Z467" i="3"/>
  <c r="AB467" i="3" s="1"/>
  <c r="AA491" i="3"/>
  <c r="AB491" i="3" s="1"/>
  <c r="Z531" i="3"/>
  <c r="AB531" i="3" s="1"/>
  <c r="Z554" i="3"/>
  <c r="AB554" i="3" s="1"/>
  <c r="Z614" i="3"/>
  <c r="AB614" i="3" s="1"/>
  <c r="Z694" i="3"/>
  <c r="AB694" i="3" s="1"/>
  <c r="Z788" i="3"/>
  <c r="AB788" i="3" s="1"/>
  <c r="Z929" i="3"/>
  <c r="AB929" i="3" s="1"/>
  <c r="Z1005" i="3"/>
  <c r="AB1005" i="3" s="1"/>
  <c r="AA1143" i="3"/>
  <c r="AB1143" i="3" s="1"/>
  <c r="Z1210" i="3"/>
  <c r="AB1210" i="3" s="1"/>
  <c r="AA1241" i="3"/>
  <c r="AB1241" i="3" s="1"/>
  <c r="AA308" i="3"/>
  <c r="AB308" i="3" s="1"/>
  <c r="Z541" i="3"/>
  <c r="AB541" i="3" s="1"/>
  <c r="Z578" i="3"/>
  <c r="AB578" i="3" s="1"/>
  <c r="AA820" i="3"/>
  <c r="AB820" i="3" s="1"/>
  <c r="Z959" i="3"/>
  <c r="AB959" i="3" s="1"/>
  <c r="AA1031" i="3"/>
  <c r="AB1031" i="3" s="1"/>
  <c r="AA1064" i="3"/>
  <c r="AB1064" i="3" s="1"/>
  <c r="AA1082" i="3"/>
  <c r="AB1082" i="3" s="1"/>
  <c r="AA1161" i="3"/>
  <c r="AB1161" i="3" s="1"/>
  <c r="Z1254" i="3"/>
  <c r="AB1254" i="3" s="1"/>
  <c r="AA1269" i="3"/>
  <c r="AB1269" i="3" s="1"/>
  <c r="AA341" i="3"/>
  <c r="AB341" i="3" s="1"/>
  <c r="Z616" i="3"/>
  <c r="AB616" i="3" s="1"/>
  <c r="AA854" i="3"/>
  <c r="AB854" i="3" s="1"/>
  <c r="AA994" i="3"/>
  <c r="AB994" i="3" s="1"/>
  <c r="AA1006" i="3"/>
  <c r="AB1006" i="3" s="1"/>
  <c r="AA1083" i="3"/>
  <c r="AB1083" i="3" s="1"/>
  <c r="AA1131" i="3"/>
  <c r="AB1131" i="3" s="1"/>
  <c r="AA1146" i="3"/>
  <c r="AB1146" i="3" s="1"/>
  <c r="AA1178" i="3"/>
  <c r="AB1178" i="3" s="1"/>
  <c r="Z1196" i="3"/>
  <c r="AB1196" i="3" s="1"/>
  <c r="Z1212" i="3"/>
  <c r="AB1212" i="3" s="1"/>
  <c r="Z1244" i="3"/>
  <c r="AB1244" i="3" s="1"/>
  <c r="AA1271" i="3"/>
  <c r="AB1271" i="3" s="1"/>
  <c r="AA1283" i="3"/>
  <c r="AB1283" i="3" s="1"/>
  <c r="AA439" i="3"/>
  <c r="AB439" i="3" s="1"/>
  <c r="AA47" i="3"/>
  <c r="AB47" i="3" s="1"/>
  <c r="AA4" i="3"/>
  <c r="AB4" i="3" s="1"/>
  <c r="AA34" i="3"/>
  <c r="AB34" i="3" s="1"/>
  <c r="AA91" i="3"/>
  <c r="AB91" i="3" s="1"/>
  <c r="AA124" i="3"/>
  <c r="AB124" i="3" s="1"/>
  <c r="Z137" i="3"/>
  <c r="AB137" i="3" s="1"/>
  <c r="Z182" i="3"/>
  <c r="AB182" i="3" s="1"/>
  <c r="Z196" i="3"/>
  <c r="AB196" i="3" s="1"/>
  <c r="Z225" i="3"/>
  <c r="AB225" i="3" s="1"/>
  <c r="AA238" i="3"/>
  <c r="AB238" i="3" s="1"/>
  <c r="Z268" i="3"/>
  <c r="AB268" i="3" s="1"/>
  <c r="AA282" i="3"/>
  <c r="AB282" i="3" s="1"/>
  <c r="Z325" i="3"/>
  <c r="AB325" i="3" s="1"/>
  <c r="Z385" i="3"/>
  <c r="AB385" i="3" s="1"/>
  <c r="AA412" i="3"/>
  <c r="AB412" i="3" s="1"/>
  <c r="AA456" i="3"/>
  <c r="AB456" i="3" s="1"/>
  <c r="Z481" i="3"/>
  <c r="AB481" i="3" s="1"/>
  <c r="AA504" i="3"/>
  <c r="AB504" i="3" s="1"/>
  <c r="AA518" i="3"/>
  <c r="AB518" i="3" s="1"/>
  <c r="Z567" i="3"/>
  <c r="AB567" i="3" s="1"/>
  <c r="Z593" i="3"/>
  <c r="AB593" i="3" s="1"/>
  <c r="AA697" i="3"/>
  <c r="AB697" i="3" s="1"/>
  <c r="Z710" i="3"/>
  <c r="AB710" i="3" s="1"/>
  <c r="Z737" i="3"/>
  <c r="AB737" i="3" s="1"/>
  <c r="Z755" i="3"/>
  <c r="AB755" i="3" s="1"/>
  <c r="AA870" i="3"/>
  <c r="AB870" i="3" s="1"/>
  <c r="AA946" i="3"/>
  <c r="AB946" i="3" s="1"/>
  <c r="Z981" i="3"/>
  <c r="AB981" i="3" s="1"/>
  <c r="AA1020" i="3"/>
  <c r="AB1020" i="3" s="1"/>
  <c r="Z1050" i="3"/>
  <c r="AB1050" i="3" s="1"/>
  <c r="Z21" i="3"/>
  <c r="AB21" i="3" s="1"/>
  <c r="AA65" i="3"/>
  <c r="AB65" i="3" s="1"/>
  <c r="Z79" i="3"/>
  <c r="AB79" i="3" s="1"/>
  <c r="Z168" i="3"/>
  <c r="AB168" i="3" s="1"/>
  <c r="Z211" i="3"/>
  <c r="AB211" i="3" s="1"/>
  <c r="Z342" i="3"/>
  <c r="AB342" i="3" s="1"/>
  <c r="Z426" i="3"/>
  <c r="AB426" i="3" s="1"/>
  <c r="Z494" i="3"/>
  <c r="AB494" i="3" s="1"/>
  <c r="Z581" i="3"/>
  <c r="AB581" i="3" s="1"/>
  <c r="Z630" i="3"/>
  <c r="AB630" i="3" s="1"/>
  <c r="Z774" i="3"/>
  <c r="AB774" i="3" s="1"/>
  <c r="AA791" i="3"/>
  <c r="AB791" i="3" s="1"/>
  <c r="Z839" i="3"/>
  <c r="AB839" i="3" s="1"/>
  <c r="Z901" i="3"/>
  <c r="AB901" i="3" s="1"/>
  <c r="Z995" i="3"/>
  <c r="AB995" i="3" s="1"/>
  <c r="Z1007" i="3"/>
  <c r="AB1007" i="3" s="1"/>
  <c r="Z1084" i="3"/>
  <c r="AB1084" i="3" s="1"/>
  <c r="AA1114" i="3"/>
  <c r="AB1114" i="3" s="1"/>
  <c r="AA1164" i="3"/>
  <c r="AB1164" i="3" s="1"/>
  <c r="Z1229" i="3"/>
  <c r="AB1229" i="3" s="1"/>
  <c r="AA1257" i="3"/>
  <c r="AB1257" i="3" s="1"/>
  <c r="Z1272" i="3"/>
  <c r="AB1272" i="3" s="1"/>
  <c r="AA19" i="3"/>
  <c r="AB19" i="3" s="1"/>
  <c r="AA1162" i="3"/>
  <c r="AB1162" i="3" s="1"/>
  <c r="Z66" i="3"/>
  <c r="AB66" i="3" s="1"/>
  <c r="Z372" i="3"/>
  <c r="AB372" i="3" s="1"/>
  <c r="Z558" i="3"/>
  <c r="AB558" i="3" s="1"/>
  <c r="AA568" i="3"/>
  <c r="AB568" i="3" s="1"/>
  <c r="Z607" i="3"/>
  <c r="AB607" i="3" s="1"/>
  <c r="Z711" i="3"/>
  <c r="AB711" i="3" s="1"/>
  <c r="AA918" i="3"/>
  <c r="AB918" i="3" s="1"/>
  <c r="AA947" i="3"/>
  <c r="AB947" i="3" s="1"/>
  <c r="AA965" i="3"/>
  <c r="AB965" i="3" s="1"/>
  <c r="AA982" i="3"/>
  <c r="AB982" i="3" s="1"/>
  <c r="Z1258" i="3"/>
  <c r="AB1258" i="3" s="1"/>
  <c r="AA789" i="3"/>
  <c r="AB789" i="3" s="1"/>
  <c r="Z914" i="3"/>
  <c r="AB914" i="3" s="1"/>
  <c r="Z807" i="3"/>
  <c r="AB807" i="3" s="1"/>
  <c r="Z1259" i="3"/>
  <c r="AB1259" i="3" s="1"/>
  <c r="Z772" i="3"/>
  <c r="AB772" i="3" s="1"/>
  <c r="AA167" i="3"/>
  <c r="AB167" i="3" s="1"/>
  <c r="AA309" i="3"/>
  <c r="AB309" i="3" s="1"/>
  <c r="AA821" i="3"/>
  <c r="AB821" i="3" s="1"/>
  <c r="Z23" i="3"/>
  <c r="AB23" i="3" s="1"/>
  <c r="Z51" i="3"/>
  <c r="AB51" i="3" s="1"/>
  <c r="AA81" i="3"/>
  <c r="AB81" i="3" s="1"/>
  <c r="Z95" i="3"/>
  <c r="AB95" i="3" s="1"/>
  <c r="AA156" i="3"/>
  <c r="AB156" i="3" s="1"/>
  <c r="Z170" i="3"/>
  <c r="AB170" i="3" s="1"/>
  <c r="Z184" i="3"/>
  <c r="AB184" i="3" s="1"/>
  <c r="Z200" i="3"/>
  <c r="AB200" i="3" s="1"/>
  <c r="Z285" i="3"/>
  <c r="AB285" i="3" s="1"/>
  <c r="AA313" i="3"/>
  <c r="AB313" i="3" s="1"/>
  <c r="Z374" i="3"/>
  <c r="AB374" i="3" s="1"/>
  <c r="Z535" i="3"/>
  <c r="AB535" i="3" s="1"/>
  <c r="Z546" i="3"/>
  <c r="AB546" i="3" s="1"/>
  <c r="Z645" i="3"/>
  <c r="AB645" i="3" s="1"/>
  <c r="Z659" i="3"/>
  <c r="AB659" i="3" s="1"/>
  <c r="Z673" i="3"/>
  <c r="AB673" i="3" s="1"/>
  <c r="Z776" i="3"/>
  <c r="AB776" i="3" s="1"/>
  <c r="Z795" i="3"/>
  <c r="AB795" i="3" s="1"/>
  <c r="Z841" i="3"/>
  <c r="AB841" i="3" s="1"/>
  <c r="AA859" i="3"/>
  <c r="AB859" i="3" s="1"/>
  <c r="Z984" i="3"/>
  <c r="AB984" i="3" s="1"/>
  <c r="Z998" i="3"/>
  <c r="AB998" i="3" s="1"/>
  <c r="AA1150" i="3"/>
  <c r="AB1150" i="3" s="1"/>
  <c r="Z1168" i="3"/>
  <c r="AB1168" i="3" s="1"/>
  <c r="AA1198" i="3"/>
  <c r="AB1198" i="3" s="1"/>
  <c r="Z1287" i="3"/>
  <c r="AB1287" i="3" s="1"/>
  <c r="Z7" i="3"/>
  <c r="AB7" i="3" s="1"/>
  <c r="Z38" i="3"/>
  <c r="AB38" i="3" s="1"/>
  <c r="AA228" i="3"/>
  <c r="AB228" i="3" s="1"/>
  <c r="Z242" i="3"/>
  <c r="AB242" i="3" s="1"/>
  <c r="Z256" i="3"/>
  <c r="AB256" i="3" s="1"/>
  <c r="AA300" i="3"/>
  <c r="AB300" i="3" s="1"/>
  <c r="AA345" i="3"/>
  <c r="AB345" i="3" s="1"/>
  <c r="Z402" i="3"/>
  <c r="AB402" i="3" s="1"/>
  <c r="Z459" i="3"/>
  <c r="AB459" i="3" s="1"/>
  <c r="AA523" i="3"/>
  <c r="AB523" i="3" s="1"/>
  <c r="Z583" i="3"/>
  <c r="AB583" i="3" s="1"/>
  <c r="Z595" i="3"/>
  <c r="AB595" i="3" s="1"/>
  <c r="Z700" i="3"/>
  <c r="AB700" i="3" s="1"/>
  <c r="Z811" i="3"/>
  <c r="AB811" i="3" s="1"/>
  <c r="AA825" i="3"/>
  <c r="AB825" i="3" s="1"/>
  <c r="Z889" i="3"/>
  <c r="AB889" i="3" s="1"/>
  <c r="Z921" i="3"/>
  <c r="AB921" i="3" s="1"/>
  <c r="Z1009" i="3"/>
  <c r="AB1009" i="3" s="1"/>
  <c r="Z1087" i="3"/>
  <c r="AB1087" i="3" s="1"/>
  <c r="Z1103" i="3"/>
  <c r="AB1103" i="3" s="1"/>
  <c r="AA1117" i="3"/>
  <c r="AB1117" i="3" s="1"/>
  <c r="Z1274" i="3"/>
  <c r="AB1274" i="3" s="1"/>
  <c r="AA1255" i="3"/>
  <c r="AB1255" i="3" s="1"/>
  <c r="AA252" i="3"/>
  <c r="AB252" i="3" s="1"/>
  <c r="Z493" i="3"/>
  <c r="AB493" i="3" s="1"/>
  <c r="Z468" i="3"/>
  <c r="AB468" i="3" s="1"/>
  <c r="AA542" i="3"/>
  <c r="AB542" i="3" s="1"/>
  <c r="Z8" i="3"/>
  <c r="AB8" i="3" s="1"/>
  <c r="AA39" i="3"/>
  <c r="AB39" i="3" s="1"/>
  <c r="Z84" i="3"/>
  <c r="AB84" i="3" s="1"/>
  <c r="AA128" i="3"/>
  <c r="AB128" i="3" s="1"/>
  <c r="AA142" i="3"/>
  <c r="AB142" i="3" s="1"/>
  <c r="AA158" i="3"/>
  <c r="AB158" i="3" s="1"/>
  <c r="Z203" i="3"/>
  <c r="AB203" i="3" s="1"/>
  <c r="Z230" i="3"/>
  <c r="AB230" i="3" s="1"/>
  <c r="Z258" i="3"/>
  <c r="AB258" i="3" s="1"/>
  <c r="AA273" i="3"/>
  <c r="AB273" i="3" s="1"/>
  <c r="AA287" i="3"/>
  <c r="AB287" i="3" s="1"/>
  <c r="AA301" i="3"/>
  <c r="AB301" i="3" s="1"/>
  <c r="Z316" i="3"/>
  <c r="AB316" i="3" s="1"/>
  <c r="AA330" i="3"/>
  <c r="AB330" i="3" s="1"/>
  <c r="AA360" i="3"/>
  <c r="AB360" i="3" s="1"/>
  <c r="AA376" i="3"/>
  <c r="AB376" i="3" s="1"/>
  <c r="AA390" i="3"/>
  <c r="AB390" i="3" s="1"/>
  <c r="AA431" i="3"/>
  <c r="AB431" i="3" s="1"/>
  <c r="AA460" i="3"/>
  <c r="AB460" i="3" s="1"/>
  <c r="Z474" i="3"/>
  <c r="AB474" i="3" s="1"/>
  <c r="AA497" i="3"/>
  <c r="AB497" i="3" s="1"/>
  <c r="AA508" i="3"/>
  <c r="AB508" i="3" s="1"/>
  <c r="AA524" i="3"/>
  <c r="AB524" i="3" s="1"/>
  <c r="Z536" i="3"/>
  <c r="AB536" i="3" s="1"/>
  <c r="Z548" i="3"/>
  <c r="AB548" i="3" s="1"/>
  <c r="Z621" i="3"/>
  <c r="AB621" i="3" s="1"/>
  <c r="AA633" i="3"/>
  <c r="AB633" i="3" s="1"/>
  <c r="AA646" i="3"/>
  <c r="AB646" i="3" s="1"/>
  <c r="AA661" i="3"/>
  <c r="AB661" i="3" s="1"/>
  <c r="Z675" i="3"/>
  <c r="AB675" i="3" s="1"/>
  <c r="AA714" i="3"/>
  <c r="AB714" i="3" s="1"/>
  <c r="Z812" i="3"/>
  <c r="AB812" i="3" s="1"/>
  <c r="Z827" i="3"/>
  <c r="AB827" i="3" s="1"/>
  <c r="Z862" i="3"/>
  <c r="AB862" i="3" s="1"/>
  <c r="Z877" i="3"/>
  <c r="AB877" i="3" s="1"/>
  <c r="Z890" i="3"/>
  <c r="AB890" i="3" s="1"/>
  <c r="Z907" i="3"/>
  <c r="AB907" i="3" s="1"/>
  <c r="Z999" i="3"/>
  <c r="AB999" i="3" s="1"/>
  <c r="Z1010" i="3"/>
  <c r="AB1010" i="3" s="1"/>
  <c r="AA1041" i="3"/>
  <c r="AB1041" i="3" s="1"/>
  <c r="AA1075" i="3"/>
  <c r="AB1075" i="3" s="1"/>
  <c r="Z1187" i="3"/>
  <c r="AB1187" i="3" s="1"/>
  <c r="Z1262" i="3"/>
  <c r="AB1262" i="3" s="1"/>
  <c r="AA123" i="3"/>
  <c r="AB123" i="3" s="1"/>
  <c r="AA656" i="3"/>
  <c r="AB656" i="3" s="1"/>
  <c r="Z295" i="3"/>
  <c r="AB295" i="3" s="1"/>
  <c r="AA642" i="3"/>
  <c r="AB642" i="3" s="1"/>
  <c r="Z24" i="3"/>
  <c r="AB24" i="3" s="1"/>
  <c r="Z727" i="3"/>
  <c r="AB727" i="3" s="1"/>
  <c r="AA985" i="3"/>
  <c r="AB985" i="3" s="1"/>
  <c r="Z1118" i="3"/>
  <c r="AB1118" i="3" s="1"/>
  <c r="AA1169" i="3"/>
  <c r="AB1169" i="3" s="1"/>
  <c r="AA1275" i="3"/>
  <c r="AB1275" i="3" s="1"/>
  <c r="AA26" i="3"/>
  <c r="AB26" i="3" s="1"/>
  <c r="Z40" i="3"/>
  <c r="AB40" i="3" s="1"/>
  <c r="Z98" i="3"/>
  <c r="AB98" i="3" s="1"/>
  <c r="Z217" i="3"/>
  <c r="AB217" i="3" s="1"/>
  <c r="Z302" i="3"/>
  <c r="AB302" i="3" s="1"/>
  <c r="AA391" i="3"/>
  <c r="AB391" i="3" s="1"/>
  <c r="AA432" i="3"/>
  <c r="AB432" i="3" s="1"/>
  <c r="Z487" i="3"/>
  <c r="AB487" i="3" s="1"/>
  <c r="Z525" i="3"/>
  <c r="AB525" i="3" s="1"/>
  <c r="Z561" i="3"/>
  <c r="AB561" i="3" s="1"/>
  <c r="Z586" i="3"/>
  <c r="AB586" i="3" s="1"/>
  <c r="Z610" i="3"/>
  <c r="AB610" i="3" s="1"/>
  <c r="Z662" i="3"/>
  <c r="AB662" i="3" s="1"/>
  <c r="Z715" i="3"/>
  <c r="AB715" i="3" s="1"/>
  <c r="Z746" i="3"/>
  <c r="AB746" i="3" s="1"/>
  <c r="AA813" i="3"/>
  <c r="AB813" i="3" s="1"/>
  <c r="Z923" i="3"/>
  <c r="AB923" i="3" s="1"/>
  <c r="Z953" i="3"/>
  <c r="AB953" i="3" s="1"/>
  <c r="Z971" i="3"/>
  <c r="AB971" i="3" s="1"/>
  <c r="Z1000" i="3"/>
  <c r="AB1000" i="3" s="1"/>
  <c r="AA1089" i="3"/>
  <c r="AB1089" i="3" s="1"/>
  <c r="Z1120" i="3"/>
  <c r="AB1120" i="3" s="1"/>
  <c r="Z1138" i="3"/>
  <c r="AB1138" i="3" s="1"/>
  <c r="AA1219" i="3"/>
  <c r="AB1219" i="3" s="1"/>
  <c r="Z1234" i="3"/>
  <c r="AB1234" i="3" s="1"/>
  <c r="Z1276" i="3"/>
  <c r="AB1276" i="3" s="1"/>
  <c r="AA709" i="3"/>
  <c r="AB709" i="3" s="1"/>
  <c r="AA537" i="3"/>
  <c r="AB537" i="3" s="1"/>
  <c r="Z573" i="3"/>
  <c r="AB573" i="3" s="1"/>
  <c r="Z599" i="3"/>
  <c r="AB599" i="3" s="1"/>
  <c r="Z622" i="3"/>
  <c r="AB622" i="3" s="1"/>
  <c r="Z691" i="3"/>
  <c r="AB691" i="3" s="1"/>
  <c r="Z730" i="3"/>
  <c r="AB730" i="3" s="1"/>
  <c r="AA798" i="3"/>
  <c r="AB798" i="3" s="1"/>
  <c r="AA863" i="3"/>
  <c r="AB863" i="3" s="1"/>
  <c r="Z908" i="3"/>
  <c r="AB908" i="3" s="1"/>
  <c r="Z1026" i="3"/>
  <c r="AB1026" i="3" s="1"/>
  <c r="Z1077" i="3"/>
  <c r="AB1077" i="3" s="1"/>
  <c r="Z1155" i="3"/>
  <c r="AB1155" i="3" s="1"/>
  <c r="Z1250" i="3"/>
  <c r="AB1250" i="3" s="1"/>
  <c r="Z151" i="3"/>
  <c r="AB151" i="3" s="1"/>
  <c r="AA369" i="3"/>
  <c r="AB369" i="3" s="1"/>
  <c r="AA1227" i="3"/>
  <c r="AB1227" i="3" s="1"/>
  <c r="Z56" i="3"/>
  <c r="AB56" i="3" s="1"/>
  <c r="Z115" i="3"/>
  <c r="AB115" i="3" s="1"/>
  <c r="Z188" i="3"/>
  <c r="AB188" i="3" s="1"/>
  <c r="Z276" i="3"/>
  <c r="AB276" i="3" s="1"/>
  <c r="AA449" i="3"/>
  <c r="AB449" i="3" s="1"/>
  <c r="AA475" i="3"/>
  <c r="AB475" i="3" s="1"/>
  <c r="Z511" i="3"/>
  <c r="AB511" i="3" s="1"/>
  <c r="Z550" i="3"/>
  <c r="AB550" i="3" s="1"/>
  <c r="Z635" i="3"/>
  <c r="AB635" i="3" s="1"/>
  <c r="Z703" i="3"/>
  <c r="AB703" i="3" s="1"/>
  <c r="Z814" i="3"/>
  <c r="AB814" i="3" s="1"/>
  <c r="Z847" i="3"/>
  <c r="AB847" i="3" s="1"/>
  <c r="AA879" i="3"/>
  <c r="AB879" i="3" s="1"/>
  <c r="AA989" i="3"/>
  <c r="AB989" i="3" s="1"/>
  <c r="Z1058" i="3"/>
  <c r="AB1058" i="3" s="1"/>
  <c r="Z1264" i="3"/>
  <c r="AB1264" i="3" s="1"/>
  <c r="Z354" i="3"/>
  <c r="AB354" i="3" s="1"/>
  <c r="AA532" i="3"/>
  <c r="AB532" i="3" s="1"/>
  <c r="Z696" i="3"/>
  <c r="AB696" i="3" s="1"/>
  <c r="Z78" i="3"/>
  <c r="AB78" i="3" s="1"/>
  <c r="Z96" i="3"/>
  <c r="AB96" i="3" s="1"/>
  <c r="Z215" i="3"/>
  <c r="AB215" i="3" s="1"/>
  <c r="AA346" i="3"/>
  <c r="AB346" i="3" s="1"/>
  <c r="Z1152" i="3"/>
  <c r="AB1152" i="3" s="1"/>
  <c r="Z86" i="3"/>
  <c r="AB86" i="3" s="1"/>
  <c r="Z132" i="3"/>
  <c r="AB132" i="3" s="1"/>
  <c r="Z189" i="3"/>
  <c r="AB189" i="3" s="1"/>
  <c r="Z232" i="3"/>
  <c r="AB232" i="3" s="1"/>
  <c r="Z245" i="3"/>
  <c r="AB245" i="3" s="1"/>
  <c r="Z260" i="3"/>
  <c r="AB260" i="3" s="1"/>
  <c r="Z277" i="3"/>
  <c r="AB277" i="3" s="1"/>
  <c r="Z318" i="3"/>
  <c r="AB318" i="3" s="1"/>
  <c r="Z349" i="3"/>
  <c r="AB349" i="3" s="1"/>
  <c r="AA420" i="3"/>
  <c r="AB420" i="3" s="1"/>
  <c r="AA450" i="3"/>
  <c r="AB450" i="3" s="1"/>
  <c r="Z476" i="3"/>
  <c r="AB476" i="3" s="1"/>
  <c r="AA551" i="3"/>
  <c r="AB551" i="3" s="1"/>
  <c r="Z563" i="3"/>
  <c r="AB563" i="3" s="1"/>
  <c r="Z623" i="3"/>
  <c r="AB623" i="3" s="1"/>
  <c r="Z664" i="3"/>
  <c r="AB664" i="3" s="1"/>
  <c r="Z678" i="3"/>
  <c r="AB678" i="3" s="1"/>
  <c r="Z748" i="3"/>
  <c r="AB748" i="3" s="1"/>
  <c r="AA880" i="3"/>
  <c r="AB880" i="3" s="1"/>
  <c r="Z909" i="3"/>
  <c r="AB909" i="3" s="1"/>
  <c r="AA1045" i="3"/>
  <c r="AB1045" i="3" s="1"/>
  <c r="Z1078" i="3"/>
  <c r="AB1078" i="3" s="1"/>
  <c r="Z1092" i="3"/>
  <c r="AB1092" i="3" s="1"/>
  <c r="Z1108" i="3"/>
  <c r="AB1108" i="3" s="1"/>
  <c r="AA1278" i="3"/>
  <c r="AB1278" i="3" s="1"/>
  <c r="Z1294" i="3"/>
  <c r="AB1294" i="3" s="1"/>
  <c r="Z14" i="3"/>
  <c r="AB14" i="3" s="1"/>
  <c r="Z42" i="3"/>
  <c r="AB42" i="3" s="1"/>
  <c r="Z146" i="3"/>
  <c r="AB146" i="3" s="1"/>
  <c r="AA176" i="3"/>
  <c r="AB176" i="3" s="1"/>
  <c r="AA334" i="3"/>
  <c r="AB334" i="3" s="1"/>
  <c r="Z364" i="3"/>
  <c r="AB364" i="3" s="1"/>
  <c r="Z379" i="3"/>
  <c r="AB379" i="3" s="1"/>
  <c r="Z434" i="3"/>
  <c r="AB434" i="3" s="1"/>
  <c r="Z465" i="3"/>
  <c r="AB465" i="3" s="1"/>
  <c r="Z501" i="3"/>
  <c r="AB501" i="3" s="1"/>
  <c r="AA512" i="3"/>
  <c r="AB512" i="3" s="1"/>
  <c r="AA528" i="3"/>
  <c r="AB528" i="3" s="1"/>
  <c r="Z539" i="3"/>
  <c r="AB539" i="3" s="1"/>
  <c r="Z588" i="3"/>
  <c r="AB588" i="3" s="1"/>
  <c r="Z651" i="3"/>
  <c r="AB651" i="3" s="1"/>
  <c r="AA692" i="3"/>
  <c r="AB692" i="3" s="1"/>
  <c r="Z704" i="3"/>
  <c r="AB704" i="3" s="1"/>
  <c r="Z831" i="3"/>
  <c r="AB831" i="3" s="1"/>
  <c r="Z1015" i="3"/>
  <c r="AB1015" i="3" s="1"/>
  <c r="Z1028" i="3"/>
  <c r="AB1028" i="3" s="1"/>
  <c r="AA1059" i="3"/>
  <c r="AB1059" i="3" s="1"/>
  <c r="Z1156" i="3"/>
  <c r="AB1156" i="3" s="1"/>
  <c r="AA555" i="3"/>
  <c r="AB555" i="3" s="1"/>
  <c r="Z73" i="3"/>
  <c r="AB73" i="3" s="1"/>
  <c r="AA162" i="3"/>
  <c r="AB162" i="3" s="1"/>
  <c r="AA261" i="3"/>
  <c r="AB261" i="3" s="1"/>
  <c r="AA306" i="3"/>
  <c r="AB306" i="3" s="1"/>
  <c r="AA319" i="3"/>
  <c r="AB319" i="3" s="1"/>
  <c r="Z612" i="3"/>
  <c r="AB612" i="3" s="1"/>
  <c r="AA802" i="3"/>
  <c r="AB802" i="3" s="1"/>
  <c r="AA973" i="3"/>
  <c r="AB973" i="3" s="1"/>
  <c r="AA1002" i="3"/>
  <c r="AB1002" i="3" s="1"/>
  <c r="Z321" i="3"/>
  <c r="AA321" i="3"/>
  <c r="AA195" i="3"/>
  <c r="AB195" i="3" s="1"/>
  <c r="AA944" i="3"/>
  <c r="Z944" i="3"/>
  <c r="AA1226" i="3"/>
  <c r="Z1226" i="3"/>
  <c r="AA454" i="3"/>
  <c r="Z454" i="3"/>
  <c r="AA1211" i="3"/>
  <c r="Z1211" i="3"/>
  <c r="AA82" i="3"/>
  <c r="Z82" i="3"/>
  <c r="AA1179" i="3"/>
  <c r="Z1179" i="3"/>
  <c r="AA975" i="3"/>
  <c r="Z975" i="3"/>
  <c r="Z107" i="3"/>
  <c r="AB107" i="3" s="1"/>
  <c r="AA172" i="3"/>
  <c r="Z172" i="3"/>
  <c r="AA619" i="3"/>
  <c r="Z619" i="3"/>
  <c r="AA826" i="3"/>
  <c r="Z826" i="3"/>
  <c r="Z145" i="3"/>
  <c r="AB145" i="3" s="1"/>
  <c r="AA361" i="3"/>
  <c r="Z361" i="3"/>
  <c r="AA797" i="3"/>
  <c r="Z797" i="3"/>
  <c r="AA1088" i="3"/>
  <c r="Z1088" i="3"/>
  <c r="AA43" i="3"/>
  <c r="AB43" i="3" s="1"/>
  <c r="AA31" i="3"/>
  <c r="Z31" i="3"/>
  <c r="AA526" i="3"/>
  <c r="Z526" i="3"/>
  <c r="AA538" i="3"/>
  <c r="Z538" i="3"/>
  <c r="Z272" i="3"/>
  <c r="AA272" i="3"/>
  <c r="AA766" i="3"/>
  <c r="Z766" i="3"/>
  <c r="AA1239" i="3"/>
  <c r="Z1239" i="3"/>
  <c r="AA157" i="3"/>
  <c r="Z157" i="3"/>
  <c r="Z270" i="3"/>
  <c r="AB270" i="3" s="1"/>
  <c r="AA347" i="3"/>
  <c r="Z347" i="3"/>
  <c r="Z810" i="3"/>
  <c r="AB810" i="3" s="1"/>
  <c r="AA885" i="3"/>
  <c r="Z885" i="3"/>
  <c r="Z1013" i="3"/>
  <c r="AB1013" i="3" s="1"/>
  <c r="Z1163" i="3"/>
  <c r="AA1163" i="3"/>
  <c r="AA1240" i="3"/>
  <c r="Z1240" i="3"/>
  <c r="AA359" i="3"/>
  <c r="Z359" i="3"/>
  <c r="AA219" i="3"/>
  <c r="Z219" i="3"/>
  <c r="AA900" i="3"/>
  <c r="Z900" i="3"/>
  <c r="Z388" i="3"/>
  <c r="AB388" i="3" s="1"/>
  <c r="AA174" i="3"/>
  <c r="Z174" i="3"/>
  <c r="AA235" i="3"/>
  <c r="Z235" i="3"/>
  <c r="AA427" i="3"/>
  <c r="Z427" i="3"/>
  <c r="AA1107" i="3"/>
  <c r="Z1107" i="3"/>
  <c r="Z59" i="3"/>
  <c r="AB59" i="3" s="1"/>
  <c r="AA71" i="3"/>
  <c r="AB71" i="3" s="1"/>
  <c r="Z97" i="3"/>
  <c r="AB97" i="3" s="1"/>
  <c r="AA186" i="3"/>
  <c r="Z186" i="3"/>
  <c r="AA223" i="3"/>
  <c r="Z223" i="3"/>
  <c r="AA530" i="3"/>
  <c r="Z530" i="3"/>
  <c r="Z723" i="3"/>
  <c r="AB723" i="3" s="1"/>
  <c r="AA1061" i="3"/>
  <c r="AB1061" i="3" s="1"/>
  <c r="AA1185" i="3"/>
  <c r="Z1185" i="3"/>
  <c r="Z441" i="3"/>
  <c r="AB441" i="3" s="1"/>
  <c r="Z515" i="3"/>
  <c r="AB515" i="3" s="1"/>
  <c r="AA660" i="3"/>
  <c r="Z660" i="3"/>
  <c r="AA72" i="3"/>
  <c r="Z72" i="3"/>
  <c r="Z110" i="3"/>
  <c r="AB110" i="3" s="1"/>
  <c r="AA148" i="3"/>
  <c r="Z148" i="3"/>
  <c r="Z311" i="3"/>
  <c r="AB311" i="3" s="1"/>
  <c r="Z338" i="3"/>
  <c r="AB338" i="3" s="1"/>
  <c r="AA457" i="3"/>
  <c r="Z457" i="3"/>
  <c r="Z600" i="3"/>
  <c r="AA600" i="3"/>
  <c r="AA674" i="3"/>
  <c r="Z674" i="3"/>
  <c r="AA1153" i="3"/>
  <c r="Z1153" i="3"/>
  <c r="Z185" i="3"/>
  <c r="AB185" i="3" s="1"/>
  <c r="AA980" i="3"/>
  <c r="Z980" i="3"/>
  <c r="AA247" i="3"/>
  <c r="Z247" i="3"/>
  <c r="AA299" i="3"/>
  <c r="Z299" i="3"/>
  <c r="AA365" i="3"/>
  <c r="Z365" i="3"/>
  <c r="AA340" i="3"/>
  <c r="Z340" i="3"/>
  <c r="Z248" i="3"/>
  <c r="AB248" i="3" s="1"/>
  <c r="AA445" i="3"/>
  <c r="Z445" i="3"/>
  <c r="Z689" i="3"/>
  <c r="AB689" i="3" s="1"/>
  <c r="AA756" i="3"/>
  <c r="AB756" i="3" s="1"/>
  <c r="AA864" i="3"/>
  <c r="Z864" i="3"/>
  <c r="Z922" i="3"/>
  <c r="AB922" i="3" s="1"/>
  <c r="AA1033" i="3"/>
  <c r="Z1033" i="3"/>
  <c r="AA1281" i="3"/>
  <c r="Z1281" i="3"/>
  <c r="AA296" i="3"/>
  <c r="Z296" i="3"/>
  <c r="AA336" i="3"/>
  <c r="Z336" i="3"/>
  <c r="AA961" i="3"/>
  <c r="Z961" i="3"/>
  <c r="AA978" i="3"/>
  <c r="Z978" i="3"/>
  <c r="AA1003" i="3"/>
  <c r="Z1003" i="3"/>
  <c r="Z32" i="3"/>
  <c r="AA32" i="3"/>
  <c r="AA44" i="3"/>
  <c r="Z44" i="3"/>
  <c r="AA58" i="3"/>
  <c r="Z58" i="3"/>
  <c r="AA173" i="3"/>
  <c r="AB173" i="3" s="1"/>
  <c r="Z221" i="3"/>
  <c r="AB221" i="3" s="1"/>
  <c r="AA598" i="3"/>
  <c r="Z598" i="3"/>
  <c r="Z784" i="3"/>
  <c r="AB784" i="3" s="1"/>
  <c r="AA1060" i="3"/>
  <c r="Z1060" i="3"/>
  <c r="AA20" i="3"/>
  <c r="AB20" i="3" s="1"/>
  <c r="AA33" i="3"/>
  <c r="Z33" i="3"/>
  <c r="Z234" i="3"/>
  <c r="AB234" i="3" s="1"/>
  <c r="AA401" i="3"/>
  <c r="AB401" i="3" s="1"/>
  <c r="Z587" i="3"/>
  <c r="AB587" i="3" s="1"/>
  <c r="Z861" i="3"/>
  <c r="AB861" i="3" s="1"/>
  <c r="AA874" i="3"/>
  <c r="Z874" i="3"/>
  <c r="AA962" i="3"/>
  <c r="Z962" i="3"/>
  <c r="AA1106" i="3"/>
  <c r="Z1106" i="3"/>
  <c r="AA936" i="3"/>
  <c r="Z936" i="3"/>
  <c r="AA949" i="3"/>
  <c r="Z949" i="3"/>
  <c r="AA1154" i="3"/>
  <c r="Z1154" i="3"/>
  <c r="AA48" i="3"/>
  <c r="Z48" i="3"/>
  <c r="Z288" i="3"/>
  <c r="AB288" i="3" s="1"/>
  <c r="AA430" i="3"/>
  <c r="Z430" i="3"/>
  <c r="AA444" i="3"/>
  <c r="Z444" i="3"/>
  <c r="Z848" i="3"/>
  <c r="AB848" i="3" s="1"/>
  <c r="Z201" i="3"/>
  <c r="AB201" i="3" s="1"/>
  <c r="Z262" i="3"/>
  <c r="AB262" i="3" s="1"/>
  <c r="Z11" i="3"/>
  <c r="AB11" i="3" s="1"/>
  <c r="Z99" i="3"/>
  <c r="AB99" i="3" s="1"/>
  <c r="Z138" i="3"/>
  <c r="AB138" i="3" s="1"/>
  <c r="AA164" i="3"/>
  <c r="Z164" i="3"/>
  <c r="Z249" i="3"/>
  <c r="AA249" i="3"/>
  <c r="AA263" i="3"/>
  <c r="Z263" i="3"/>
  <c r="AA62" i="3"/>
  <c r="AB62" i="3" s="1"/>
  <c r="Z87" i="3"/>
  <c r="AB87" i="3" s="1"/>
  <c r="Z152" i="3"/>
  <c r="AB152" i="3" s="1"/>
  <c r="AA177" i="3"/>
  <c r="Z177" i="3"/>
  <c r="AA250" i="3"/>
  <c r="Z250" i="3"/>
  <c r="AA483" i="3"/>
  <c r="Z483" i="3"/>
  <c r="AA742" i="3"/>
  <c r="Z742" i="3"/>
  <c r="AA757" i="3"/>
  <c r="Z757" i="3"/>
  <c r="Z1125" i="3"/>
  <c r="AA1125" i="3"/>
  <c r="AA1140" i="3"/>
  <c r="Z1140" i="3"/>
  <c r="AA1203" i="3"/>
  <c r="Z1203" i="3"/>
  <c r="AA88" i="3"/>
  <c r="Z88" i="3"/>
  <c r="AA251" i="3"/>
  <c r="Z251" i="3"/>
  <c r="AA1141" i="3"/>
  <c r="Z1141" i="3"/>
  <c r="Z12" i="3"/>
  <c r="AB12" i="3" s="1"/>
  <c r="AA25" i="3"/>
  <c r="Z25" i="3"/>
  <c r="Z50" i="3"/>
  <c r="AB50" i="3" s="1"/>
  <c r="Z419" i="3"/>
  <c r="AB419" i="3" s="1"/>
  <c r="AA556" i="3"/>
  <c r="AB556" i="3" s="1"/>
  <c r="AA580" i="3"/>
  <c r="Z580" i="3"/>
  <c r="AA638" i="3"/>
  <c r="Z638" i="3"/>
  <c r="Z833" i="3"/>
  <c r="AB833" i="3" s="1"/>
  <c r="AA533" i="3"/>
  <c r="Z533" i="3"/>
  <c r="Z579" i="3"/>
  <c r="AA579" i="3"/>
  <c r="Z114" i="3"/>
  <c r="AB114" i="3" s="1"/>
  <c r="AA153" i="3"/>
  <c r="AB153" i="3" s="1"/>
  <c r="AA328" i="3"/>
  <c r="Z328" i="3"/>
  <c r="AA368" i="3"/>
  <c r="Z368" i="3"/>
  <c r="AA407" i="3"/>
  <c r="Z407" i="3"/>
  <c r="Z473" i="3"/>
  <c r="AB473" i="3" s="1"/>
  <c r="AA557" i="3"/>
  <c r="Z557" i="3"/>
  <c r="AA1206" i="3"/>
  <c r="Z1206" i="3"/>
  <c r="Z1220" i="3"/>
  <c r="AA1220" i="3"/>
  <c r="AA279" i="3"/>
  <c r="AB279" i="3" s="1"/>
  <c r="Z329" i="3"/>
  <c r="AA329" i="3"/>
  <c r="Z381" i="3"/>
  <c r="AA381" i="3"/>
  <c r="AA744" i="3"/>
  <c r="Z744" i="3"/>
  <c r="AA834" i="3"/>
  <c r="Z834" i="3"/>
  <c r="AA986" i="3"/>
  <c r="Z986" i="3"/>
  <c r="AA1128" i="3"/>
  <c r="Z1128" i="3"/>
  <c r="AA13" i="3"/>
  <c r="Z13" i="3"/>
  <c r="AA1221" i="3"/>
  <c r="Z1221" i="3"/>
  <c r="Z129" i="3"/>
  <c r="AB129" i="3" s="1"/>
  <c r="Z191" i="3"/>
  <c r="AB191" i="3" s="1"/>
  <c r="Z240" i="3"/>
  <c r="AB240" i="3" s="1"/>
  <c r="Z267" i="3"/>
  <c r="AB267" i="3" s="1"/>
  <c r="Z356" i="3"/>
  <c r="AB356" i="3" s="1"/>
  <c r="AA1113" i="3"/>
  <c r="AB1113" i="3" s="1"/>
  <c r="AA1208" i="3"/>
  <c r="Z1208" i="3"/>
  <c r="Z52" i="3"/>
  <c r="AB52" i="3" s="1"/>
  <c r="AA117" i="3"/>
  <c r="Z117" i="3"/>
  <c r="Z305" i="3"/>
  <c r="AB305" i="3" s="1"/>
  <c r="Z370" i="3"/>
  <c r="AB370" i="3" s="1"/>
  <c r="Z896" i="3"/>
  <c r="AB896" i="3" s="1"/>
  <c r="Z53" i="3"/>
  <c r="AA53" i="3"/>
  <c r="AA192" i="3"/>
  <c r="Z192" i="3"/>
  <c r="Z205" i="3"/>
  <c r="AB205" i="3" s="1"/>
  <c r="AA357" i="3"/>
  <c r="Z357" i="3"/>
  <c r="Z422" i="3"/>
  <c r="AB422" i="3" s="1"/>
  <c r="AA498" i="3"/>
  <c r="Z498" i="3"/>
  <c r="AA547" i="3"/>
  <c r="Z547" i="3"/>
  <c r="Z655" i="3"/>
  <c r="AB655" i="3" s="1"/>
  <c r="AA747" i="3"/>
  <c r="Z747" i="3"/>
  <c r="AA1145" i="3"/>
  <c r="Z1145" i="3"/>
  <c r="AA838" i="3"/>
  <c r="Z838" i="3"/>
  <c r="Z1040" i="3"/>
  <c r="AA1040" i="3"/>
  <c r="AA1237" i="3"/>
  <c r="Z1237" i="3"/>
  <c r="AA118" i="3"/>
  <c r="AB118" i="3" s="1"/>
  <c r="AA629" i="3"/>
  <c r="AB629" i="3" s="1"/>
  <c r="AA990" i="3"/>
  <c r="Z990" i="3"/>
  <c r="AA740" i="3"/>
  <c r="Z740" i="3"/>
  <c r="AA754" i="3"/>
  <c r="Z754" i="3"/>
  <c r="AA780" i="3"/>
  <c r="Z780" i="3"/>
  <c r="AA934" i="3"/>
  <c r="Z934" i="3"/>
  <c r="AA1073" i="3"/>
  <c r="Z1073" i="3"/>
  <c r="AA1085" i="3"/>
  <c r="Z1085" i="3"/>
  <c r="AA1231" i="3"/>
  <c r="Z1231" i="3"/>
  <c r="AA229" i="3"/>
  <c r="Z229" i="3"/>
  <c r="Z396" i="3"/>
  <c r="AB396" i="3" s="1"/>
  <c r="AA406" i="3"/>
  <c r="AB406" i="3" s="1"/>
  <c r="AA428" i="3"/>
  <c r="Z428" i="3"/>
  <c r="Z452" i="3"/>
  <c r="AB452" i="3" s="1"/>
  <c r="Z462" i="3"/>
  <c r="AB462" i="3" s="1"/>
  <c r="Z684" i="3"/>
  <c r="AB684" i="3" s="1"/>
  <c r="Z717" i="3"/>
  <c r="AB717" i="3" s="1"/>
  <c r="Z894" i="3"/>
  <c r="AB894" i="3" s="1"/>
  <c r="AA945" i="3"/>
  <c r="Z945" i="3"/>
  <c r="AA1151" i="3"/>
  <c r="Z1151" i="3"/>
  <c r="AA1204" i="3"/>
  <c r="Z1204" i="3"/>
  <c r="Z440" i="3"/>
  <c r="AB440" i="3" s="1"/>
  <c r="Z513" i="3"/>
  <c r="AA513" i="3"/>
  <c r="AA695" i="3"/>
  <c r="Z695" i="3"/>
  <c r="Z729" i="3"/>
  <c r="AB729" i="3" s="1"/>
  <c r="AA860" i="3"/>
  <c r="AB860" i="3" s="1"/>
  <c r="AA883" i="3"/>
  <c r="Z883" i="3"/>
  <c r="AA1074" i="3"/>
  <c r="Z1074" i="3"/>
  <c r="Z1100" i="3"/>
  <c r="AB1100" i="3" s="1"/>
  <c r="Z1126" i="3"/>
  <c r="AA1126" i="3"/>
  <c r="AA398" i="3"/>
  <c r="Z398" i="3"/>
  <c r="AA771" i="3"/>
  <c r="Z771" i="3"/>
  <c r="AA1194" i="3"/>
  <c r="Z1194" i="3"/>
  <c r="AA1222" i="3"/>
  <c r="Z1222" i="3"/>
  <c r="Z136" i="3"/>
  <c r="AB136" i="3" s="1"/>
  <c r="Z290" i="3"/>
  <c r="AB290" i="3" s="1"/>
  <c r="AA358" i="3"/>
  <c r="Z358" i="3"/>
  <c r="AA378" i="3"/>
  <c r="Z378" i="3"/>
  <c r="AA837" i="3"/>
  <c r="Z837" i="3"/>
  <c r="Z873" i="3"/>
  <c r="AB873" i="3" s="1"/>
  <c r="AA886" i="3"/>
  <c r="Z886" i="3"/>
  <c r="AA948" i="3"/>
  <c r="Z948" i="3"/>
  <c r="Z963" i="3"/>
  <c r="AB963" i="3" s="1"/>
  <c r="Z977" i="3"/>
  <c r="AB977" i="3" s="1"/>
  <c r="Z1180" i="3"/>
  <c r="AA1180" i="3"/>
  <c r="AA127" i="3"/>
  <c r="Z127" i="3"/>
  <c r="AA899" i="3"/>
  <c r="Z899" i="3"/>
  <c r="AA213" i="3"/>
  <c r="Z213" i="3"/>
  <c r="AA486" i="3"/>
  <c r="Z486" i="3"/>
  <c r="AA676" i="3"/>
  <c r="Z676" i="3"/>
  <c r="Z166" i="3"/>
  <c r="AB166" i="3" s="1"/>
  <c r="Z194" i="3"/>
  <c r="AA194" i="3"/>
  <c r="Z204" i="3"/>
  <c r="AB204" i="3" s="1"/>
  <c r="Z233" i="3"/>
  <c r="AA233" i="3"/>
  <c r="Z643" i="3"/>
  <c r="AA643" i="3"/>
  <c r="Z654" i="3"/>
  <c r="AB654" i="3" s="1"/>
  <c r="AA722" i="3"/>
  <c r="Z722" i="3"/>
  <c r="Z1024" i="3"/>
  <c r="AA1024" i="3"/>
  <c r="AA1037" i="3"/>
  <c r="AB1037" i="3" s="1"/>
  <c r="Z1132" i="3"/>
  <c r="AA1132" i="3"/>
  <c r="Z1182" i="3"/>
  <c r="AB1182" i="3" s="1"/>
  <c r="AA690" i="3"/>
  <c r="Z690" i="3"/>
  <c r="AA902" i="3"/>
  <c r="Z902" i="3"/>
  <c r="AA927" i="3"/>
  <c r="Z927" i="3"/>
  <c r="AA1014" i="3"/>
  <c r="Z1014" i="3"/>
  <c r="Z101" i="3"/>
  <c r="AB101" i="3" s="1"/>
  <c r="Z111" i="3"/>
  <c r="AB111" i="3" s="1"/>
  <c r="Z139" i="3"/>
  <c r="AA139" i="3"/>
  <c r="Z283" i="3"/>
  <c r="AB283" i="3" s="1"/>
  <c r="AA477" i="3"/>
  <c r="AB477" i="3" s="1"/>
  <c r="Z519" i="3"/>
  <c r="AB519" i="3" s="1"/>
  <c r="AA713" i="3"/>
  <c r="Z713" i="3"/>
  <c r="AA749" i="3"/>
  <c r="Z749" i="3"/>
  <c r="AA903" i="3"/>
  <c r="Z903" i="3"/>
  <c r="Z967" i="3"/>
  <c r="AB967" i="3" s="1"/>
  <c r="AA1265" i="3"/>
  <c r="Z1265" i="3"/>
  <c r="AA1291" i="3"/>
  <c r="Z1291" i="3"/>
  <c r="AA571" i="3"/>
  <c r="AB571" i="3" s="1"/>
  <c r="AA1292" i="3"/>
  <c r="AB1292" i="3" s="1"/>
  <c r="AA17" i="3"/>
  <c r="Z17" i="3"/>
  <c r="Z27" i="3"/>
  <c r="AB27" i="3" s="1"/>
  <c r="Z55" i="3"/>
  <c r="AB55" i="3" s="1"/>
  <c r="Z75" i="3"/>
  <c r="AB75" i="3" s="1"/>
  <c r="AA83" i="3"/>
  <c r="AB83" i="3" s="1"/>
  <c r="AA93" i="3"/>
  <c r="AB93" i="3" s="1"/>
  <c r="Z131" i="3"/>
  <c r="AB131" i="3" s="1"/>
  <c r="AA169" i="3"/>
  <c r="AB169" i="3" s="1"/>
  <c r="AA197" i="3"/>
  <c r="AB197" i="3" s="1"/>
  <c r="Z303" i="3"/>
  <c r="AB303" i="3" s="1"/>
  <c r="AA333" i="3"/>
  <c r="Z333" i="3"/>
  <c r="Z353" i="3"/>
  <c r="AB353" i="3" s="1"/>
  <c r="Z373" i="3"/>
  <c r="AB373" i="3" s="1"/>
  <c r="AA414" i="3"/>
  <c r="AB414" i="3" s="1"/>
  <c r="AA436" i="3"/>
  <c r="AB436" i="3" s="1"/>
  <c r="Z469" i="3"/>
  <c r="AB469" i="3" s="1"/>
  <c r="Z510" i="3"/>
  <c r="AB510" i="3" s="1"/>
  <c r="AA521" i="3"/>
  <c r="AB521" i="3" s="1"/>
  <c r="AA552" i="3"/>
  <c r="AB552" i="3" s="1"/>
  <c r="Z828" i="3"/>
  <c r="AB828" i="3" s="1"/>
  <c r="AA856" i="3"/>
  <c r="Z856" i="3"/>
  <c r="Z868" i="3"/>
  <c r="AB868" i="3" s="1"/>
  <c r="AA891" i="3"/>
  <c r="Z891" i="3"/>
  <c r="AA917" i="3"/>
  <c r="AB917" i="3" s="1"/>
  <c r="AA1042" i="3"/>
  <c r="AB1042" i="3" s="1"/>
  <c r="Z1056" i="3"/>
  <c r="AB1056" i="3" s="1"/>
  <c r="AA1109" i="3"/>
  <c r="Z1109" i="3"/>
  <c r="AA1174" i="3"/>
  <c r="AB1174" i="3" s="1"/>
  <c r="Z113" i="3"/>
  <c r="AB113" i="3" s="1"/>
  <c r="Z122" i="3"/>
  <c r="AB122" i="3" s="1"/>
  <c r="Z141" i="3"/>
  <c r="AB141" i="3" s="1"/>
  <c r="Z150" i="3"/>
  <c r="AB150" i="3" s="1"/>
  <c r="Z275" i="3"/>
  <c r="AB275" i="3" s="1"/>
  <c r="AA315" i="3"/>
  <c r="Z315" i="3"/>
  <c r="Z324" i="3"/>
  <c r="AB324" i="3" s="1"/>
  <c r="Z384" i="3"/>
  <c r="AB384" i="3" s="1"/>
  <c r="Z415" i="3"/>
  <c r="AB415" i="3" s="1"/>
  <c r="AA681" i="3"/>
  <c r="Z681" i="3"/>
  <c r="Z778" i="3"/>
  <c r="AB778" i="3" s="1"/>
  <c r="Z806" i="3"/>
  <c r="AB806" i="3" s="1"/>
  <c r="Z817" i="3"/>
  <c r="AA817" i="3"/>
  <c r="Z905" i="3"/>
  <c r="AB905" i="3" s="1"/>
  <c r="Z930" i="3"/>
  <c r="AA930" i="3"/>
  <c r="Z1070" i="3"/>
  <c r="AB1070" i="3" s="1"/>
  <c r="AA1188" i="3"/>
  <c r="Z1188" i="3"/>
  <c r="AA424" i="3"/>
  <c r="Z424" i="3"/>
  <c r="AA615" i="3"/>
  <c r="Z615" i="3"/>
  <c r="Z739" i="3"/>
  <c r="AB739" i="3" s="1"/>
  <c r="AA794" i="3"/>
  <c r="Z794" i="3"/>
  <c r="AA843" i="3"/>
  <c r="Z843" i="3"/>
  <c r="Z92" i="3"/>
  <c r="AA92" i="3"/>
  <c r="AA382" i="3"/>
  <c r="Z382" i="3"/>
  <c r="AA16" i="3"/>
  <c r="AB16" i="3" s="1"/>
  <c r="Z36" i="3"/>
  <c r="AB36" i="3" s="1"/>
  <c r="Z64" i="3"/>
  <c r="AB64" i="3" s="1"/>
  <c r="Z102" i="3"/>
  <c r="AB102" i="3" s="1"/>
  <c r="Z121" i="3"/>
  <c r="AB121" i="3" s="1"/>
  <c r="AA178" i="3"/>
  <c r="Z178" i="3"/>
  <c r="Z216" i="3"/>
  <c r="AB216" i="3" s="1"/>
  <c r="Z274" i="3"/>
  <c r="AB274" i="3" s="1"/>
  <c r="Z478" i="3"/>
  <c r="AB478" i="3" s="1"/>
  <c r="Z499" i="3"/>
  <c r="AB499" i="3" s="1"/>
  <c r="AA634" i="3"/>
  <c r="Z634" i="3"/>
  <c r="Z657" i="3"/>
  <c r="AB657" i="3" s="1"/>
  <c r="Z725" i="3"/>
  <c r="AB725" i="3" s="1"/>
  <c r="Z762" i="3"/>
  <c r="AB762" i="3" s="1"/>
  <c r="AA790" i="3"/>
  <c r="Z790" i="3"/>
  <c r="AA855" i="3"/>
  <c r="Z855" i="3"/>
  <c r="Z916" i="3"/>
  <c r="AB916" i="3" s="1"/>
  <c r="Z968" i="3"/>
  <c r="AB968" i="3" s="1"/>
  <c r="AA1027" i="3"/>
  <c r="AB1027" i="3" s="1"/>
  <c r="Z1068" i="3"/>
  <c r="AB1068" i="3" s="1"/>
  <c r="AA1094" i="3"/>
  <c r="Z1094" i="3"/>
  <c r="Z149" i="3"/>
  <c r="AB149" i="3" s="1"/>
  <c r="Z264" i="3"/>
  <c r="AB264" i="3" s="1"/>
  <c r="AA403" i="3"/>
  <c r="Z403" i="3"/>
  <c r="AA815" i="3"/>
  <c r="Z815" i="3"/>
  <c r="Z1147" i="3"/>
  <c r="AB1147" i="3" s="1"/>
  <c r="AA1160" i="3"/>
  <c r="Z1160" i="3"/>
  <c r="AA1242" i="3"/>
  <c r="Z1242" i="3"/>
  <c r="Z37" i="3"/>
  <c r="AA37" i="3"/>
  <c r="AA792" i="3"/>
  <c r="Z792" i="3"/>
  <c r="AA816" i="3"/>
  <c r="Z816" i="3"/>
  <c r="AA1175" i="3"/>
  <c r="Z1175" i="3"/>
  <c r="AA1293" i="3"/>
  <c r="Z1293" i="3"/>
  <c r="Z9" i="3"/>
  <c r="AB9" i="3" s="1"/>
  <c r="Z76" i="3"/>
  <c r="AB76" i="3" s="1"/>
  <c r="Z199" i="3"/>
  <c r="AB199" i="3" s="1"/>
  <c r="AA286" i="3"/>
  <c r="AB286" i="3" s="1"/>
  <c r="Z304" i="3"/>
  <c r="AB304" i="3" s="1"/>
  <c r="Z461" i="3"/>
  <c r="AB461" i="3" s="1"/>
  <c r="AA584" i="3"/>
  <c r="Z584" i="3"/>
  <c r="AA647" i="3"/>
  <c r="Z647" i="3"/>
  <c r="AA670" i="3"/>
  <c r="AB670" i="3" s="1"/>
  <c r="AA779" i="3"/>
  <c r="Z779" i="3"/>
  <c r="AA869" i="3"/>
  <c r="AB869" i="3" s="1"/>
  <c r="AA1071" i="3"/>
  <c r="Z1071" i="3"/>
  <c r="AA1097" i="3"/>
  <c r="Z1097" i="3"/>
  <c r="AA565" i="3"/>
  <c r="Z565" i="3"/>
  <c r="AA618" i="3"/>
  <c r="Z618" i="3"/>
  <c r="AA801" i="3"/>
  <c r="Z801" i="3"/>
  <c r="Z6" i="3"/>
  <c r="AB6" i="3" s="1"/>
  <c r="Z45" i="3"/>
  <c r="AB45" i="3" s="1"/>
  <c r="Z61" i="3"/>
  <c r="AB61" i="3" s="1"/>
  <c r="Z100" i="3"/>
  <c r="AB100" i="3" s="1"/>
  <c r="Z116" i="3"/>
  <c r="AB116" i="3" s="1"/>
  <c r="Z155" i="3"/>
  <c r="AB155" i="3" s="1"/>
  <c r="Z202" i="3"/>
  <c r="AB202" i="3" s="1"/>
  <c r="Z241" i="3"/>
  <c r="AB241" i="3" s="1"/>
  <c r="Z257" i="3"/>
  <c r="AB257" i="3" s="1"/>
  <c r="AA281" i="3"/>
  <c r="AB281" i="3" s="1"/>
  <c r="AA289" i="3"/>
  <c r="AB289" i="3" s="1"/>
  <c r="Z314" i="3"/>
  <c r="AB314" i="3" s="1"/>
  <c r="Z331" i="3"/>
  <c r="AB331" i="3" s="1"/>
  <c r="AA339" i="3"/>
  <c r="AB339" i="3" s="1"/>
  <c r="Z363" i="3"/>
  <c r="AB363" i="3" s="1"/>
  <c r="Z371" i="3"/>
  <c r="AB371" i="3" s="1"/>
  <c r="AA395" i="3"/>
  <c r="AB395" i="3" s="1"/>
  <c r="AA437" i="3"/>
  <c r="AB437" i="3" s="1"/>
  <c r="Z447" i="3"/>
  <c r="AB447" i="3" s="1"/>
  <c r="Z463" i="3"/>
  <c r="AB463" i="3" s="1"/>
  <c r="AA471" i="3"/>
  <c r="AB471" i="3" s="1"/>
  <c r="Z505" i="3"/>
  <c r="AB505" i="3" s="1"/>
  <c r="Z549" i="3"/>
  <c r="AB549" i="3" s="1"/>
  <c r="AA576" i="3"/>
  <c r="AB576" i="3" s="1"/>
  <c r="Z603" i="3"/>
  <c r="AB603" i="3" s="1"/>
  <c r="AA639" i="3"/>
  <c r="AB639" i="3" s="1"/>
  <c r="Z649" i="3"/>
  <c r="AB649" i="3" s="1"/>
  <c r="AA677" i="3"/>
  <c r="AB677" i="3" s="1"/>
  <c r="Z705" i="3"/>
  <c r="AB705" i="3" s="1"/>
  <c r="Z770" i="3"/>
  <c r="AB770" i="3" s="1"/>
  <c r="Z781" i="3"/>
  <c r="AB781" i="3" s="1"/>
  <c r="Z793" i="3"/>
  <c r="AB793" i="3" s="1"/>
  <c r="Z846" i="3"/>
  <c r="AB846" i="3" s="1"/>
  <c r="AA876" i="3"/>
  <c r="AB876" i="3" s="1"/>
  <c r="AA920" i="3"/>
  <c r="Z920" i="3"/>
  <c r="Z931" i="3"/>
  <c r="AB931" i="3" s="1"/>
  <c r="AA952" i="3"/>
  <c r="AB952" i="3" s="1"/>
  <c r="Z987" i="3"/>
  <c r="AB987" i="3" s="1"/>
  <c r="AA1051" i="3"/>
  <c r="Z1051" i="3"/>
  <c r="AA1098" i="3"/>
  <c r="Z1098" i="3"/>
  <c r="Z1121" i="3"/>
  <c r="AB1121" i="3" s="1"/>
  <c r="AA1166" i="3"/>
  <c r="Z1166" i="3"/>
  <c r="AA1201" i="3"/>
  <c r="Z1201" i="3"/>
  <c r="AA1223" i="3"/>
  <c r="Z1223" i="3"/>
  <c r="AA1235" i="3"/>
  <c r="Z1235" i="3"/>
  <c r="Z1246" i="3"/>
  <c r="AB1246" i="3" s="1"/>
  <c r="AA1288" i="3"/>
  <c r="AB1288" i="3" s="1"/>
  <c r="AA496" i="3"/>
  <c r="Z496" i="3"/>
  <c r="Z297" i="3"/>
  <c r="AB297" i="3" s="1"/>
  <c r="AA386" i="3"/>
  <c r="AB386" i="3" s="1"/>
  <c r="AA803" i="3"/>
  <c r="Z803" i="3"/>
  <c r="Z964" i="3"/>
  <c r="AB964" i="3" s="1"/>
  <c r="AA1165" i="3"/>
  <c r="Z1165" i="3"/>
  <c r="Z108" i="3"/>
  <c r="AB108" i="3" s="1"/>
  <c r="AA265" i="3"/>
  <c r="AB265" i="3" s="1"/>
  <c r="AA706" i="3"/>
  <c r="Z706" i="3"/>
  <c r="AA836" i="3"/>
  <c r="Z836" i="3"/>
  <c r="AA857" i="3"/>
  <c r="Z857" i="3"/>
  <c r="AA1018" i="3"/>
  <c r="Z1018" i="3"/>
  <c r="AA1076" i="3"/>
  <c r="Z1076" i="3"/>
  <c r="AA1099" i="3"/>
  <c r="Z1099" i="3"/>
  <c r="Z1267" i="3"/>
  <c r="AB1267" i="3" s="1"/>
  <c r="AA1052" i="3"/>
  <c r="Z1052" i="3"/>
  <c r="AA1144" i="3"/>
  <c r="Z1144" i="3"/>
  <c r="AA596" i="3"/>
  <c r="Z596" i="3"/>
  <c r="AA761" i="3"/>
  <c r="Z761" i="3"/>
  <c r="AA850" i="3"/>
  <c r="Z850" i="3"/>
  <c r="AA1066" i="3"/>
  <c r="Z1066" i="3"/>
  <c r="AA1102" i="3"/>
  <c r="Z1102" i="3"/>
  <c r="AA1192" i="3"/>
  <c r="Z1192" i="3"/>
  <c r="AA1249" i="3"/>
  <c r="Z1249" i="3"/>
  <c r="AA1270" i="3"/>
  <c r="Z1270" i="3"/>
  <c r="AA326" i="3"/>
  <c r="Z326" i="3"/>
  <c r="AA351" i="3"/>
  <c r="Z351" i="3"/>
  <c r="AA562" i="3"/>
  <c r="Z562" i="3"/>
  <c r="AA731" i="3"/>
  <c r="Z731" i="3"/>
  <c r="AA752" i="3"/>
  <c r="Z752" i="3"/>
  <c r="AA957" i="3"/>
  <c r="Z957" i="3"/>
  <c r="AA1137" i="3"/>
  <c r="Z1137" i="3"/>
  <c r="AA1172" i="3"/>
  <c r="Z1172" i="3"/>
  <c r="AA416" i="3"/>
  <c r="Z416" i="3"/>
  <c r="AA763" i="3"/>
  <c r="Z763" i="3"/>
  <c r="AA787" i="3"/>
  <c r="Z787" i="3"/>
  <c r="AA913" i="3"/>
  <c r="Z913" i="3"/>
  <c r="AA1011" i="3"/>
  <c r="Z1011" i="3"/>
  <c r="AA1046" i="3"/>
  <c r="Z1046" i="3"/>
  <c r="AA1260" i="3"/>
  <c r="Z1260" i="3"/>
  <c r="Z1282" i="3"/>
  <c r="AB1282" i="3" s="1"/>
  <c r="Z18" i="3"/>
  <c r="AB18" i="3" s="1"/>
  <c r="Z57" i="3"/>
  <c r="AB57" i="3" s="1"/>
  <c r="Z104" i="3"/>
  <c r="AB104" i="3" s="1"/>
  <c r="Z143" i="3"/>
  <c r="AB143" i="3" s="1"/>
  <c r="Z159" i="3"/>
  <c r="AB159" i="3" s="1"/>
  <c r="Z198" i="3"/>
  <c r="AB198" i="3" s="1"/>
  <c r="Z214" i="3"/>
  <c r="AB214" i="3" s="1"/>
  <c r="Z253" i="3"/>
  <c r="AB253" i="3" s="1"/>
  <c r="Z310" i="3"/>
  <c r="AB310" i="3" s="1"/>
  <c r="Z375" i="3"/>
  <c r="AB375" i="3" s="1"/>
  <c r="AA442" i="3"/>
  <c r="Z442" i="3"/>
  <c r="Z451" i="3"/>
  <c r="AB451" i="3" s="1"/>
  <c r="AA509" i="3"/>
  <c r="Z509" i="3"/>
  <c r="AA527" i="3"/>
  <c r="Z527" i="3"/>
  <c r="Z572" i="3"/>
  <c r="AB572" i="3" s="1"/>
  <c r="Z590" i="3"/>
  <c r="AB590" i="3" s="1"/>
  <c r="Z653" i="3"/>
  <c r="AB653" i="3" s="1"/>
  <c r="Z701" i="3"/>
  <c r="AB701" i="3" s="1"/>
  <c r="AA1104" i="3"/>
  <c r="Z1104" i="3"/>
  <c r="Z1127" i="3"/>
  <c r="AB1127" i="3" s="1"/>
  <c r="AA1183" i="3"/>
  <c r="AB1183" i="3" s="1"/>
  <c r="Z10" i="3"/>
  <c r="AB10" i="3" s="1"/>
  <c r="Z206" i="3"/>
  <c r="AB206" i="3" s="1"/>
  <c r="AA344" i="3"/>
  <c r="Z344" i="3"/>
  <c r="Z408" i="3"/>
  <c r="AB408" i="3" s="1"/>
  <c r="AA682" i="3"/>
  <c r="Z682" i="3"/>
  <c r="Z753" i="3"/>
  <c r="AB753" i="3" s="1"/>
  <c r="AA830" i="3"/>
  <c r="Z830" i="3"/>
  <c r="AA1012" i="3"/>
  <c r="Z1012" i="3"/>
  <c r="AA1035" i="3"/>
  <c r="Z1035" i="3"/>
  <c r="Z1069" i="3"/>
  <c r="AB1069" i="3" s="1"/>
  <c r="Z1173" i="3"/>
  <c r="AB1173" i="3" s="1"/>
  <c r="AA1195" i="3"/>
  <c r="Z1195" i="3"/>
  <c r="AA1207" i="3"/>
  <c r="Z1207" i="3"/>
  <c r="AA1217" i="3"/>
  <c r="AB1217" i="3" s="1"/>
  <c r="AA941" i="3"/>
  <c r="Z941" i="3"/>
  <c r="AA969" i="3"/>
  <c r="Z969" i="3"/>
  <c r="AA997" i="3"/>
  <c r="Z997" i="3"/>
  <c r="Z1289" i="3"/>
  <c r="AB1289" i="3" s="1"/>
  <c r="Z624" i="3"/>
  <c r="AB624" i="3" s="1"/>
  <c r="Z632" i="3"/>
  <c r="AB632" i="3" s="1"/>
  <c r="Z663" i="3"/>
  <c r="AB663" i="3" s="1"/>
  <c r="Z719" i="3"/>
  <c r="AB719" i="3" s="1"/>
  <c r="Z736" i="3"/>
  <c r="AB736" i="3" s="1"/>
  <c r="AA745" i="3"/>
  <c r="Z745" i="3"/>
  <c r="Z799" i="3"/>
  <c r="AB799" i="3" s="1"/>
  <c r="Z844" i="3"/>
  <c r="AB844" i="3" s="1"/>
  <c r="Z853" i="3"/>
  <c r="AB853" i="3" s="1"/>
  <c r="Z888" i="3"/>
  <c r="AB888" i="3" s="1"/>
  <c r="AA906" i="3"/>
  <c r="Z906" i="3"/>
  <c r="Z932" i="3"/>
  <c r="AB932" i="3" s="1"/>
  <c r="Z950" i="3"/>
  <c r="AB950" i="3" s="1"/>
  <c r="Z988" i="3"/>
  <c r="AB988" i="3" s="1"/>
  <c r="Z1043" i="3"/>
  <c r="AB1043" i="3" s="1"/>
  <c r="Z1062" i="3"/>
  <c r="AB1062" i="3" s="1"/>
  <c r="AA1081" i="3"/>
  <c r="Z1081" i="3"/>
  <c r="Z1110" i="3"/>
  <c r="AB1110" i="3" s="1"/>
  <c r="AA1186" i="3"/>
  <c r="Z1186" i="3"/>
  <c r="Z1243" i="3"/>
  <c r="AB1243" i="3" s="1"/>
  <c r="Z1261" i="3"/>
  <c r="AB1261" i="3" s="1"/>
  <c r="Z585" i="3"/>
  <c r="AB585" i="3" s="1"/>
  <c r="Z601" i="3"/>
  <c r="AB601" i="3" s="1"/>
  <c r="Z648" i="3"/>
  <c r="AB648" i="3" s="1"/>
  <c r="Z671" i="3"/>
  <c r="AB671" i="3" s="1"/>
  <c r="Z687" i="3"/>
  <c r="AB687" i="3" s="1"/>
  <c r="Z728" i="3"/>
  <c r="AB728" i="3" s="1"/>
  <c r="Z764" i="3"/>
  <c r="AB764" i="3" s="1"/>
  <c r="AA773" i="3"/>
  <c r="Z773" i="3"/>
  <c r="Z782" i="3"/>
  <c r="AB782" i="3" s="1"/>
  <c r="Z835" i="3"/>
  <c r="AB835" i="3" s="1"/>
  <c r="Z897" i="3"/>
  <c r="AB897" i="3" s="1"/>
  <c r="Z915" i="3"/>
  <c r="AB915" i="3" s="1"/>
  <c r="Z924" i="3"/>
  <c r="AB924" i="3" s="1"/>
  <c r="Z960" i="3"/>
  <c r="AB960" i="3" s="1"/>
  <c r="Z970" i="3"/>
  <c r="AB970" i="3" s="1"/>
  <c r="Z1016" i="3"/>
  <c r="AB1016" i="3" s="1"/>
  <c r="AA1025" i="3"/>
  <c r="Z1025" i="3"/>
  <c r="Z1034" i="3"/>
  <c r="AB1034" i="3" s="1"/>
  <c r="AA1053" i="3"/>
  <c r="Z1053" i="3"/>
  <c r="Z1091" i="3"/>
  <c r="AB1091" i="3" s="1"/>
  <c r="Z1119" i="3"/>
  <c r="AB1119" i="3" s="1"/>
  <c r="Z1148" i="3"/>
  <c r="AB1148" i="3" s="1"/>
  <c r="AA1167" i="3"/>
  <c r="Z1167" i="3"/>
  <c r="Z1233" i="3"/>
  <c r="AB1233" i="3" s="1"/>
  <c r="Z516" i="3"/>
  <c r="AB516" i="3" s="1"/>
  <c r="AA1044" i="3"/>
  <c r="AB1044" i="3" s="1"/>
  <c r="Z1072" i="3"/>
  <c r="AB1072" i="3" s="1"/>
  <c r="Z1129" i="3"/>
  <c r="AB1129" i="3" s="1"/>
  <c r="Z1157" i="3"/>
  <c r="AB1157" i="3" s="1"/>
  <c r="Z1205" i="3"/>
  <c r="AB1205" i="3" s="1"/>
  <c r="AA845" i="3"/>
  <c r="Z845" i="3"/>
  <c r="AA933" i="3"/>
  <c r="Z933" i="3"/>
  <c r="AA1130" i="3"/>
  <c r="Z1130" i="3"/>
  <c r="AA1158" i="3"/>
  <c r="Z1158" i="3"/>
  <c r="AA1218" i="3"/>
  <c r="Z1218" i="3"/>
  <c r="AA1247" i="3"/>
  <c r="Z1247" i="3"/>
  <c r="AA892" i="3"/>
  <c r="Z892" i="3"/>
  <c r="AA910" i="3"/>
  <c r="Z910" i="3"/>
  <c r="AA983" i="3"/>
  <c r="Z983" i="3"/>
  <c r="AA1095" i="3"/>
  <c r="Z1095" i="3"/>
  <c r="AA1123" i="3"/>
  <c r="Z1123" i="3"/>
  <c r="AA1256" i="3"/>
  <c r="Z1256" i="3"/>
  <c r="Z438" i="3"/>
  <c r="AB438" i="3" s="1"/>
  <c r="Z482" i="3"/>
  <c r="AB482" i="3" s="1"/>
  <c r="Z543" i="3"/>
  <c r="AB543" i="3" s="1"/>
  <c r="AA589" i="3"/>
  <c r="Z589" i="3"/>
  <c r="Z597" i="3"/>
  <c r="AB597" i="3" s="1"/>
  <c r="Z628" i="3"/>
  <c r="AB628" i="3" s="1"/>
  <c r="Z667" i="3"/>
  <c r="AB667" i="3" s="1"/>
  <c r="AA707" i="3"/>
  <c r="Z707" i="3"/>
  <c r="Z768" i="3"/>
  <c r="AB768" i="3" s="1"/>
  <c r="Z786" i="3"/>
  <c r="AB786" i="3" s="1"/>
  <c r="Z858" i="3"/>
  <c r="AB858" i="3" s="1"/>
  <c r="Z875" i="3"/>
  <c r="AB875" i="3" s="1"/>
  <c r="Z919" i="3"/>
  <c r="AB919" i="3" s="1"/>
  <c r="Z928" i="3"/>
  <c r="AB928" i="3" s="1"/>
  <c r="AA955" i="3"/>
  <c r="Z955" i="3"/>
  <c r="Z974" i="3"/>
  <c r="AB974" i="3" s="1"/>
  <c r="AA1038" i="3"/>
  <c r="AB1038" i="3" s="1"/>
  <c r="Z1171" i="3"/>
  <c r="AB1171" i="3" s="1"/>
  <c r="Z1199" i="3"/>
  <c r="AB1199" i="3" s="1"/>
  <c r="AA1284" i="3"/>
  <c r="Z1284" i="3"/>
  <c r="Z520" i="3"/>
  <c r="AB520" i="3" s="1"/>
  <c r="Z636" i="3"/>
  <c r="AB636" i="3" s="1"/>
  <c r="Z724" i="3"/>
  <c r="AB724" i="3" s="1"/>
  <c r="AA759" i="3"/>
  <c r="Z759" i="3"/>
  <c r="AA804" i="3"/>
  <c r="Z804" i="3"/>
  <c r="AA822" i="3"/>
  <c r="Z822" i="3"/>
  <c r="Z937" i="3"/>
  <c r="AB937" i="3" s="1"/>
  <c r="Z1124" i="3"/>
  <c r="AB1124" i="3" s="1"/>
  <c r="AA1134" i="3"/>
  <c r="AB1134" i="3" s="1"/>
  <c r="AA1181" i="3"/>
  <c r="AB1181" i="3" s="1"/>
  <c r="AA800" i="3"/>
  <c r="Z800" i="3"/>
  <c r="AA976" i="3"/>
  <c r="Z976" i="3"/>
  <c r="AA1214" i="3"/>
  <c r="Z1214" i="3"/>
  <c r="AA996" i="3"/>
  <c r="Z996" i="3"/>
  <c r="AA738" i="3"/>
  <c r="Z738" i="3"/>
  <c r="AA878" i="3"/>
  <c r="Z878" i="3"/>
  <c r="AA1039" i="3"/>
  <c r="Z1039" i="3"/>
  <c r="AA829" i="3"/>
  <c r="Z829" i="3"/>
  <c r="Z1090" i="3"/>
  <c r="AB1090" i="3" s="1"/>
  <c r="AA1116" i="3"/>
  <c r="Z1116" i="3"/>
  <c r="Z1184" i="3"/>
  <c r="AB1184" i="3" s="1"/>
  <c r="AA1193" i="3"/>
  <c r="Z1193" i="3"/>
  <c r="AA1277" i="3"/>
  <c r="Z1277" i="3"/>
  <c r="AA1032" i="3"/>
  <c r="Z1032" i="3"/>
  <c r="AA1228" i="3"/>
  <c r="Z1228" i="3"/>
  <c r="AA808" i="3"/>
  <c r="Z808" i="3"/>
  <c r="AA1004" i="3"/>
  <c r="Z1004" i="3"/>
  <c r="AA1200" i="3"/>
  <c r="Z1200" i="3"/>
  <c r="AA871" i="3"/>
  <c r="Z871" i="3"/>
  <c r="AA1067" i="3"/>
  <c r="Z1067" i="3"/>
  <c r="AA1263" i="3"/>
  <c r="Z1263" i="3"/>
  <c r="AB3" i="3"/>
  <c r="V608" i="3"/>
  <c r="X608" i="3" s="1"/>
  <c r="V785" i="3"/>
  <c r="X785" i="3" s="1"/>
  <c r="W66" i="3"/>
  <c r="X66" i="3" s="1"/>
  <c r="V105" i="3"/>
  <c r="X105" i="3" s="1"/>
  <c r="W717" i="3"/>
  <c r="X717" i="3" s="1"/>
  <c r="W556" i="3"/>
  <c r="X556" i="3" s="1"/>
  <c r="W803" i="3"/>
  <c r="X803" i="3" s="1"/>
  <c r="V914" i="3"/>
  <c r="X914" i="3" s="1"/>
  <c r="W283" i="3"/>
  <c r="X283" i="3" s="1"/>
  <c r="W446" i="3"/>
  <c r="X446" i="3" s="1"/>
  <c r="W808" i="3"/>
  <c r="X808" i="3" s="1"/>
  <c r="V233" i="3"/>
  <c r="X233" i="3" s="1"/>
  <c r="W4" i="3"/>
  <c r="X4" i="3" s="1"/>
  <c r="W186" i="3"/>
  <c r="X186" i="3" s="1"/>
  <c r="V806" i="3"/>
  <c r="X806" i="3" s="1"/>
  <c r="W136" i="3"/>
  <c r="X136" i="3" s="1"/>
  <c r="V191" i="3"/>
  <c r="X191" i="3" s="1"/>
  <c r="V761" i="3"/>
  <c r="X761" i="3" s="1"/>
  <c r="W837" i="3"/>
  <c r="X837" i="3" s="1"/>
  <c r="V64" i="3"/>
  <c r="X64" i="3" s="1"/>
  <c r="W302" i="3"/>
  <c r="X302" i="3" s="1"/>
  <c r="V682" i="3"/>
  <c r="X682" i="3" s="1"/>
  <c r="V974" i="3"/>
  <c r="X974" i="3" s="1"/>
  <c r="V1194" i="3"/>
  <c r="X1194" i="3" s="1"/>
  <c r="V14" i="3"/>
  <c r="X14" i="3" s="1"/>
  <c r="V303" i="3"/>
  <c r="X303" i="3" s="1"/>
  <c r="V949" i="3"/>
  <c r="X949" i="3" s="1"/>
  <c r="W43" i="3"/>
  <c r="X43" i="3" s="1"/>
  <c r="V899" i="3"/>
  <c r="X899" i="3" s="1"/>
  <c r="V472" i="3"/>
  <c r="X472" i="3" s="1"/>
  <c r="V167" i="3"/>
  <c r="X167" i="3" s="1"/>
  <c r="W600" i="3"/>
  <c r="X600" i="3" s="1"/>
  <c r="V100" i="3"/>
  <c r="X100" i="3" s="1"/>
  <c r="W273" i="3"/>
  <c r="X273" i="3" s="1"/>
  <c r="W982" i="3"/>
  <c r="X982" i="3" s="1"/>
  <c r="V1065" i="3"/>
  <c r="X1065" i="3" s="1"/>
  <c r="W890" i="3"/>
  <c r="X890" i="3" s="1"/>
  <c r="W102" i="3"/>
  <c r="X102" i="3" s="1"/>
  <c r="V370" i="3"/>
  <c r="X370" i="3" s="1"/>
  <c r="W157" i="3"/>
  <c r="X157" i="3" s="1"/>
  <c r="W563" i="3"/>
  <c r="X563" i="3" s="1"/>
  <c r="W1078" i="3"/>
  <c r="X1078" i="3" s="1"/>
  <c r="W599" i="3"/>
  <c r="X599" i="3" s="1"/>
  <c r="V27" i="3"/>
  <c r="X27" i="3" s="1"/>
  <c r="V372" i="3"/>
  <c r="X372" i="3" s="1"/>
  <c r="W884" i="3"/>
  <c r="X884" i="3" s="1"/>
  <c r="W1124" i="3"/>
  <c r="X1124" i="3" s="1"/>
  <c r="V479" i="3"/>
  <c r="X479" i="3" s="1"/>
  <c r="W1166" i="3"/>
  <c r="X1166" i="3" s="1"/>
  <c r="V1215" i="3"/>
  <c r="X1215" i="3" s="1"/>
  <c r="V39" i="3"/>
  <c r="X39" i="3" s="1"/>
  <c r="W632" i="3"/>
  <c r="X632" i="3" s="1"/>
  <c r="W1116" i="3"/>
  <c r="X1116" i="3" s="1"/>
  <c r="V937" i="3"/>
  <c r="X937" i="3" s="1"/>
  <c r="W1093" i="3"/>
  <c r="X1093" i="3" s="1"/>
  <c r="W188" i="3"/>
  <c r="X188" i="3" s="1"/>
  <c r="V265" i="3"/>
  <c r="X265" i="3" s="1"/>
  <c r="V287" i="3"/>
  <c r="X287" i="3" s="1"/>
  <c r="W538" i="3"/>
  <c r="X538" i="3" s="1"/>
  <c r="W610" i="3"/>
  <c r="X610" i="3" s="1"/>
  <c r="V738" i="3"/>
  <c r="X738" i="3" s="1"/>
  <c r="W789" i="3"/>
  <c r="X789" i="3" s="1"/>
  <c r="W438" i="3"/>
  <c r="X438" i="3" s="1"/>
  <c r="W461" i="3"/>
  <c r="X461" i="3" s="1"/>
  <c r="W1172" i="3"/>
  <c r="X1172" i="3" s="1"/>
  <c r="W1197" i="3"/>
  <c r="X1197" i="3" s="1"/>
  <c r="V143" i="3"/>
  <c r="X143" i="3" s="1"/>
  <c r="W540" i="3"/>
  <c r="X540" i="3" s="1"/>
  <c r="W1277" i="3"/>
  <c r="X1277" i="3" s="1"/>
  <c r="V1218" i="3"/>
  <c r="X1218" i="3" s="1"/>
  <c r="V47" i="3"/>
  <c r="X47" i="3" s="1"/>
  <c r="V97" i="3"/>
  <c r="X97" i="3" s="1"/>
  <c r="V871" i="3"/>
  <c r="X871" i="3" s="1"/>
  <c r="V1049" i="3"/>
  <c r="X1049" i="3" s="1"/>
  <c r="V1100" i="3"/>
  <c r="X1100" i="3" s="1"/>
  <c r="V147" i="3"/>
  <c r="X147" i="3" s="1"/>
  <c r="W419" i="3"/>
  <c r="X419" i="3" s="1"/>
  <c r="W970" i="3"/>
  <c r="X970" i="3" s="1"/>
  <c r="W1255" i="3"/>
  <c r="X1255" i="3" s="1"/>
  <c r="V293" i="3"/>
  <c r="X293" i="3" s="1"/>
  <c r="W369" i="3"/>
  <c r="X369" i="3" s="1"/>
  <c r="W468" i="3"/>
  <c r="X468" i="3" s="1"/>
  <c r="V696" i="3"/>
  <c r="X696" i="3" s="1"/>
  <c r="V896" i="3"/>
  <c r="X896" i="3" s="1"/>
  <c r="W946" i="3"/>
  <c r="X946" i="3" s="1"/>
  <c r="W571" i="3"/>
  <c r="X571" i="3" s="1"/>
  <c r="V149" i="3"/>
  <c r="X149" i="3" s="1"/>
  <c r="V345" i="3"/>
  <c r="X345" i="3" s="1"/>
  <c r="W524" i="3"/>
  <c r="X524" i="3" s="1"/>
  <c r="W1130" i="3"/>
  <c r="X1130" i="3" s="1"/>
  <c r="W1206" i="3"/>
  <c r="X1206" i="3" s="1"/>
  <c r="V244" i="3"/>
  <c r="X244" i="3" s="1"/>
  <c r="W1201" i="3"/>
  <c r="X1201" i="3" s="1"/>
  <c r="V177" i="3"/>
  <c r="X177" i="3" s="1"/>
  <c r="V1056" i="3"/>
  <c r="X1056" i="3" s="1"/>
  <c r="V426" i="3"/>
  <c r="X426" i="3" s="1"/>
  <c r="V626" i="3"/>
  <c r="X626" i="3" s="1"/>
  <c r="W854" i="3"/>
  <c r="X854" i="3" s="1"/>
  <c r="W879" i="3"/>
  <c r="X879" i="3" s="1"/>
  <c r="W211" i="3"/>
  <c r="X211" i="3" s="1"/>
  <c r="V1150" i="3"/>
  <c r="X1150" i="3" s="1"/>
  <c r="V203" i="3"/>
  <c r="X203" i="3" s="1"/>
  <c r="V324" i="3"/>
  <c r="X324" i="3" s="1"/>
  <c r="W528" i="3"/>
  <c r="X528" i="3" s="1"/>
  <c r="W399" i="3"/>
  <c r="X399" i="3" s="1"/>
  <c r="W332" i="3"/>
  <c r="X332" i="3" s="1"/>
  <c r="V290" i="3"/>
  <c r="X290" i="3" s="1"/>
  <c r="V694" i="3"/>
  <c r="X694" i="3" s="1"/>
  <c r="V7" i="3"/>
  <c r="X7" i="3" s="1"/>
  <c r="V10" i="3"/>
  <c r="X10" i="3" s="1"/>
  <c r="V83" i="3"/>
  <c r="X83" i="3" s="1"/>
  <c r="V453" i="3"/>
  <c r="X453" i="3" s="1"/>
  <c r="V654" i="3"/>
  <c r="X654" i="3" s="1"/>
  <c r="V832" i="3"/>
  <c r="X832" i="3" s="1"/>
  <c r="V856" i="3"/>
  <c r="X856" i="3" s="1"/>
  <c r="W954" i="3"/>
  <c r="X954" i="3" s="1"/>
  <c r="V1189" i="3"/>
  <c r="X1189" i="3" s="1"/>
  <c r="W606" i="3"/>
  <c r="X606" i="3" s="1"/>
  <c r="W629" i="3"/>
  <c r="X629" i="3" s="1"/>
  <c r="V732" i="3"/>
  <c r="X732" i="3" s="1"/>
  <c r="W174" i="3"/>
  <c r="X174" i="3" s="1"/>
  <c r="V1232" i="3"/>
  <c r="X1232" i="3" s="1"/>
  <c r="V111" i="3"/>
  <c r="X111" i="3" s="1"/>
  <c r="V1211" i="3"/>
  <c r="X1211" i="3" s="1"/>
  <c r="W443" i="3"/>
  <c r="X443" i="3" s="1"/>
  <c r="V6" i="3"/>
  <c r="X6" i="3" s="1"/>
  <c r="W25" i="3"/>
  <c r="X25" i="3" s="1"/>
  <c r="V45" i="3"/>
  <c r="X45" i="3" s="1"/>
  <c r="W125" i="3"/>
  <c r="X125" i="3" s="1"/>
  <c r="V205" i="3"/>
  <c r="X205" i="3" s="1"/>
  <c r="V413" i="3"/>
  <c r="X413" i="3" s="1"/>
  <c r="W852" i="3"/>
  <c r="X852" i="3" s="1"/>
  <c r="V976" i="3"/>
  <c r="X976" i="3" s="1"/>
  <c r="W1094" i="3"/>
  <c r="X1094" i="3" s="1"/>
  <c r="V1225" i="3"/>
  <c r="X1225" i="3" s="1"/>
  <c r="V289" i="3"/>
  <c r="X289" i="3" s="1"/>
  <c r="W371" i="3"/>
  <c r="X371" i="3" s="1"/>
  <c r="W456" i="3"/>
  <c r="X456" i="3" s="1"/>
  <c r="V678" i="3"/>
  <c r="X678" i="3" s="1"/>
  <c r="V721" i="3"/>
  <c r="X721" i="3" s="1"/>
  <c r="W742" i="3"/>
  <c r="X742" i="3" s="1"/>
  <c r="V834" i="3"/>
  <c r="X834" i="3" s="1"/>
  <c r="V1139" i="3"/>
  <c r="X1139" i="3" s="1"/>
  <c r="V247" i="3"/>
  <c r="X247" i="3" s="1"/>
  <c r="W475" i="3"/>
  <c r="X475" i="3" s="1"/>
  <c r="V588" i="3"/>
  <c r="X588" i="3" s="1"/>
  <c r="V875" i="3"/>
  <c r="X875" i="3" s="1"/>
  <c r="W918" i="3"/>
  <c r="X918" i="3" s="1"/>
  <c r="W957" i="3"/>
  <c r="X957" i="3" s="1"/>
  <c r="V1161" i="3"/>
  <c r="X1161" i="3" s="1"/>
  <c r="V87" i="3"/>
  <c r="X87" i="3" s="1"/>
  <c r="V271" i="3"/>
  <c r="X271" i="3" s="1"/>
  <c r="V307" i="3"/>
  <c r="X307" i="3" s="1"/>
  <c r="V657" i="3"/>
  <c r="X657" i="3" s="1"/>
  <c r="W699" i="3"/>
  <c r="X699" i="3" s="1"/>
  <c r="V919" i="3"/>
  <c r="X919" i="3" s="1"/>
  <c r="V1028" i="3"/>
  <c r="X1028" i="3" s="1"/>
  <c r="W1122" i="3"/>
  <c r="X1122" i="3" s="1"/>
  <c r="V1140" i="3"/>
  <c r="X1140" i="3" s="1"/>
  <c r="W209" i="3"/>
  <c r="X209" i="3" s="1"/>
  <c r="W353" i="3"/>
  <c r="X353" i="3" s="1"/>
  <c r="W813" i="3"/>
  <c r="X813" i="3" s="1"/>
  <c r="W938" i="3"/>
  <c r="X938" i="3" s="1"/>
  <c r="V959" i="3"/>
  <c r="X959" i="3" s="1"/>
  <c r="V9" i="3"/>
  <c r="X9" i="3" s="1"/>
  <c r="V68" i="3"/>
  <c r="X68" i="3" s="1"/>
  <c r="W130" i="3"/>
  <c r="X130" i="3" s="1"/>
  <c r="W250" i="3"/>
  <c r="X250" i="3" s="1"/>
  <c r="W440" i="3"/>
  <c r="X440" i="3" s="1"/>
  <c r="W591" i="3"/>
  <c r="X591" i="3" s="1"/>
  <c r="V878" i="3"/>
  <c r="X878" i="3" s="1"/>
  <c r="V1188" i="3"/>
  <c r="X1188" i="3" s="1"/>
  <c r="V1208" i="3"/>
  <c r="X1208" i="3" s="1"/>
  <c r="W458" i="3"/>
  <c r="X458" i="3" s="1"/>
  <c r="W498" i="3"/>
  <c r="X498" i="3" s="1"/>
  <c r="V835" i="3"/>
  <c r="X835" i="3" s="1"/>
  <c r="V330" i="3"/>
  <c r="X330" i="3" s="1"/>
  <c r="W132" i="3"/>
  <c r="X132" i="3" s="1"/>
  <c r="V237" i="3"/>
  <c r="X237" i="3" s="1"/>
  <c r="V297" i="3"/>
  <c r="X297" i="3" s="1"/>
  <c r="V336" i="3"/>
  <c r="X336" i="3" s="1"/>
  <c r="W531" i="3"/>
  <c r="X531" i="3" s="1"/>
  <c r="V618" i="3"/>
  <c r="X618" i="3" s="1"/>
  <c r="V686" i="3"/>
  <c r="X686" i="3" s="1"/>
  <c r="V730" i="3"/>
  <c r="X730" i="3" s="1"/>
  <c r="V753" i="3"/>
  <c r="X753" i="3" s="1"/>
  <c r="V1127" i="3"/>
  <c r="X1127" i="3" s="1"/>
  <c r="V1193" i="3"/>
  <c r="X1193" i="3" s="1"/>
  <c r="V37" i="3"/>
  <c r="X37" i="3" s="1"/>
  <c r="V113" i="3"/>
  <c r="X113" i="3" s="1"/>
  <c r="W153" i="3"/>
  <c r="X153" i="3" s="1"/>
  <c r="W196" i="3"/>
  <c r="X196" i="3" s="1"/>
  <c r="W314" i="3"/>
  <c r="X314" i="3" s="1"/>
  <c r="V405" i="3"/>
  <c r="X405" i="3" s="1"/>
  <c r="V465" i="3"/>
  <c r="X465" i="3" s="1"/>
  <c r="V664" i="3"/>
  <c r="X664" i="3" s="1"/>
  <c r="V841" i="3"/>
  <c r="X841" i="3" s="1"/>
  <c r="W924" i="3"/>
  <c r="X924" i="3" s="1"/>
  <c r="W1083" i="3"/>
  <c r="X1083" i="3" s="1"/>
  <c r="W1286" i="3"/>
  <c r="X1286" i="3" s="1"/>
  <c r="V150" i="3"/>
  <c r="X150" i="3" s="1"/>
  <c r="W376" i="3"/>
  <c r="X376" i="3" s="1"/>
  <c r="V773" i="3"/>
  <c r="X773" i="3" s="1"/>
  <c r="V922" i="3"/>
  <c r="X922" i="3" s="1"/>
  <c r="V212" i="3"/>
  <c r="X212" i="3" s="1"/>
  <c r="W253" i="3"/>
  <c r="X253" i="3" s="1"/>
  <c r="V661" i="3"/>
  <c r="X661" i="3" s="1"/>
  <c r="W858" i="3"/>
  <c r="X858" i="3" s="1"/>
  <c r="W151" i="3"/>
  <c r="X151" i="3" s="1"/>
  <c r="W421" i="3"/>
  <c r="X421" i="3" s="1"/>
  <c r="V482" i="3"/>
  <c r="X482" i="3" s="1"/>
  <c r="W553" i="3"/>
  <c r="X553" i="3" s="1"/>
  <c r="V796" i="3"/>
  <c r="X796" i="3" s="1"/>
  <c r="V197" i="3"/>
  <c r="X197" i="3" s="1"/>
  <c r="W216" i="3"/>
  <c r="X216" i="3" s="1"/>
  <c r="W238" i="3"/>
  <c r="X238" i="3" s="1"/>
  <c r="V298" i="3"/>
  <c r="X298" i="3" s="1"/>
  <c r="V362" i="3"/>
  <c r="X362" i="3" s="1"/>
  <c r="W925" i="3"/>
  <c r="X925" i="3" s="1"/>
  <c r="W1013" i="3"/>
  <c r="X1013" i="3" s="1"/>
  <c r="W1039" i="3"/>
  <c r="X1039" i="3" s="1"/>
  <c r="V1063" i="3"/>
  <c r="X1063" i="3" s="1"/>
  <c r="V1263" i="3"/>
  <c r="X1263" i="3" s="1"/>
  <c r="V728" i="3"/>
  <c r="X728" i="3" s="1"/>
  <c r="V53" i="3"/>
  <c r="X53" i="3" s="1"/>
  <c r="V616" i="3"/>
  <c r="X616" i="3" s="1"/>
  <c r="W684" i="3"/>
  <c r="X684" i="3" s="1"/>
  <c r="V1009" i="3"/>
  <c r="X1009" i="3" s="1"/>
  <c r="W358" i="3"/>
  <c r="X358" i="3" s="1"/>
  <c r="V463" i="3"/>
  <c r="X463" i="3" s="1"/>
  <c r="V840" i="3"/>
  <c r="X840" i="3" s="1"/>
  <c r="V881" i="3"/>
  <c r="X881" i="3" s="1"/>
  <c r="V923" i="3"/>
  <c r="X923" i="3" s="1"/>
  <c r="V963" i="3"/>
  <c r="X963" i="3" s="1"/>
  <c r="W1284" i="3"/>
  <c r="X1284" i="3" s="1"/>
  <c r="V93" i="3"/>
  <c r="X93" i="3" s="1"/>
  <c r="V213" i="3"/>
  <c r="X213" i="3" s="1"/>
  <c r="V254" i="3"/>
  <c r="X254" i="3" s="1"/>
  <c r="V13" i="3"/>
  <c r="X13" i="3" s="1"/>
  <c r="W73" i="3"/>
  <c r="X73" i="3" s="1"/>
  <c r="V59" i="3"/>
  <c r="X59" i="3" s="1"/>
  <c r="W178" i="3"/>
  <c r="X178" i="3" s="1"/>
  <c r="V217" i="3"/>
  <c r="X217" i="3" s="1"/>
  <c r="W239" i="3"/>
  <c r="X239" i="3" s="1"/>
  <c r="V317" i="3"/>
  <c r="X317" i="3" s="1"/>
  <c r="V340" i="3"/>
  <c r="X340" i="3" s="1"/>
  <c r="V384" i="3"/>
  <c r="X384" i="3" s="1"/>
  <c r="V407" i="3"/>
  <c r="X407" i="3" s="1"/>
  <c r="W487" i="3"/>
  <c r="X487" i="3" s="1"/>
  <c r="W535" i="3"/>
  <c r="X535" i="3" s="1"/>
  <c r="W557" i="3"/>
  <c r="X557" i="3" s="1"/>
  <c r="W580" i="3"/>
  <c r="X580" i="3" s="1"/>
  <c r="V825" i="3"/>
  <c r="X825" i="3" s="1"/>
  <c r="V926" i="3"/>
  <c r="X926" i="3" s="1"/>
  <c r="W991" i="3"/>
  <c r="X991" i="3" s="1"/>
  <c r="W1174" i="3"/>
  <c r="X1174" i="3" s="1"/>
  <c r="V1289" i="3"/>
  <c r="X1289" i="3" s="1"/>
  <c r="V1126" i="3"/>
  <c r="X1126" i="3" s="1"/>
  <c r="V1058" i="3"/>
  <c r="X1058" i="3" s="1"/>
  <c r="W18" i="3"/>
  <c r="X18" i="3" s="1"/>
  <c r="V139" i="3"/>
  <c r="X139" i="3" s="1"/>
  <c r="V218" i="3"/>
  <c r="X218" i="3" s="1"/>
  <c r="V300" i="3"/>
  <c r="X300" i="3" s="1"/>
  <c r="W385" i="3"/>
  <c r="X385" i="3" s="1"/>
  <c r="V408" i="3"/>
  <c r="X408" i="3" s="1"/>
  <c r="W782" i="3"/>
  <c r="X782" i="3" s="1"/>
  <c r="W1080" i="3"/>
  <c r="X1080" i="3" s="1"/>
  <c r="V1103" i="3"/>
  <c r="X1103" i="3" s="1"/>
  <c r="W1146" i="3"/>
  <c r="X1146" i="3" s="1"/>
  <c r="V99" i="3"/>
  <c r="X99" i="3" s="1"/>
  <c r="V241" i="3"/>
  <c r="X241" i="3" s="1"/>
  <c r="V489" i="3"/>
  <c r="X489" i="3" s="1"/>
  <c r="W559" i="3"/>
  <c r="X559" i="3" s="1"/>
  <c r="V847" i="3"/>
  <c r="X847" i="3" s="1"/>
  <c r="W868" i="3"/>
  <c r="X868" i="3" s="1"/>
  <c r="V993" i="3"/>
  <c r="X993" i="3" s="1"/>
  <c r="V1089" i="3"/>
  <c r="X1089" i="3" s="1"/>
  <c r="V1132" i="3"/>
  <c r="X1132" i="3" s="1"/>
  <c r="V1242" i="3"/>
  <c r="X1242" i="3" s="1"/>
  <c r="V42" i="3"/>
  <c r="X42" i="3" s="1"/>
  <c r="V61" i="3"/>
  <c r="X61" i="3" s="1"/>
  <c r="V81" i="3"/>
  <c r="X81" i="3" s="1"/>
  <c r="W159" i="3"/>
  <c r="X159" i="3" s="1"/>
  <c r="V201" i="3"/>
  <c r="X201" i="3" s="1"/>
  <c r="V470" i="3"/>
  <c r="X470" i="3" s="1"/>
  <c r="V583" i="3"/>
  <c r="X583" i="3" s="1"/>
  <c r="W650" i="3"/>
  <c r="X650" i="3" s="1"/>
  <c r="W693" i="3"/>
  <c r="X693" i="3" s="1"/>
  <c r="V972" i="3"/>
  <c r="X972" i="3" s="1"/>
  <c r="V1220" i="3"/>
  <c r="X1220" i="3" s="1"/>
  <c r="V945" i="3"/>
  <c r="X945" i="3" s="1"/>
  <c r="V409" i="3"/>
  <c r="X409" i="3" s="1"/>
  <c r="W490" i="3"/>
  <c r="X490" i="3" s="1"/>
  <c r="W560" i="3"/>
  <c r="X560" i="3" s="1"/>
  <c r="V848" i="3"/>
  <c r="X848" i="3" s="1"/>
  <c r="W1067" i="3"/>
  <c r="X1067" i="3" s="1"/>
  <c r="W1178" i="3"/>
  <c r="X1178" i="3" s="1"/>
  <c r="W1200" i="3"/>
  <c r="X1200" i="3" s="1"/>
  <c r="W274" i="3"/>
  <c r="V274" i="3"/>
  <c r="W921" i="3"/>
  <c r="V921" i="3"/>
  <c r="W256" i="3"/>
  <c r="V256" i="3"/>
  <c r="W378" i="3"/>
  <c r="X378" i="3" s="1"/>
  <c r="V532" i="3"/>
  <c r="X532" i="3" s="1"/>
  <c r="V171" i="3"/>
  <c r="X171" i="3" s="1"/>
  <c r="W1250" i="3"/>
  <c r="V1250" i="3"/>
  <c r="W54" i="3"/>
  <c r="X54" i="3" s="1"/>
  <c r="V117" i="3"/>
  <c r="X117" i="3" s="1"/>
  <c r="V342" i="3"/>
  <c r="X342" i="3" s="1"/>
  <c r="V513" i="3"/>
  <c r="X513" i="3" s="1"/>
  <c r="V325" i="3"/>
  <c r="X325" i="3" s="1"/>
  <c r="V103" i="3"/>
  <c r="W103" i="3"/>
  <c r="V935" i="3"/>
  <c r="W935" i="3"/>
  <c r="V116" i="3"/>
  <c r="X116" i="3" s="1"/>
  <c r="W377" i="3"/>
  <c r="X377" i="3" s="1"/>
  <c r="W396" i="3"/>
  <c r="V396" i="3"/>
  <c r="V437" i="3"/>
  <c r="W437" i="3"/>
  <c r="V512" i="3"/>
  <c r="X512" i="3" s="1"/>
  <c r="V550" i="3"/>
  <c r="X550" i="3" s="1"/>
  <c r="W589" i="3"/>
  <c r="V589" i="3"/>
  <c r="W649" i="3"/>
  <c r="X649" i="3" s="1"/>
  <c r="W1167" i="3"/>
  <c r="X1167" i="3" s="1"/>
  <c r="W276" i="3"/>
  <c r="V276" i="3"/>
  <c r="W364" i="3"/>
  <c r="V364" i="3"/>
  <c r="W474" i="3"/>
  <c r="X474" i="3" s="1"/>
  <c r="V594" i="3"/>
  <c r="X594" i="3" s="1"/>
  <c r="V829" i="3"/>
  <c r="X829" i="3" s="1"/>
  <c r="V710" i="3"/>
  <c r="X710" i="3" s="1"/>
  <c r="W74" i="3"/>
  <c r="X74" i="3" s="1"/>
  <c r="V194" i="3"/>
  <c r="W194" i="3"/>
  <c r="W260" i="3"/>
  <c r="X260" i="3" s="1"/>
  <c r="V310" i="3"/>
  <c r="X310" i="3" s="1"/>
  <c r="V442" i="3"/>
  <c r="X442" i="3" s="1"/>
  <c r="V459" i="3"/>
  <c r="X459" i="3" s="1"/>
  <c r="V496" i="3"/>
  <c r="W496" i="3"/>
  <c r="W536" i="3"/>
  <c r="V536" i="3"/>
  <c r="W674" i="3"/>
  <c r="X674" i="3" s="1"/>
  <c r="W692" i="3"/>
  <c r="X692" i="3" s="1"/>
  <c r="W981" i="3"/>
  <c r="V981" i="3"/>
  <c r="V1281" i="3"/>
  <c r="W1281" i="3"/>
  <c r="W863" i="3"/>
  <c r="V863" i="3"/>
  <c r="W979" i="3"/>
  <c r="V979" i="3"/>
  <c r="W75" i="3"/>
  <c r="V75" i="3"/>
  <c r="V751" i="3"/>
  <c r="X751" i="3" s="1"/>
  <c r="V1005" i="3"/>
  <c r="X1005" i="3" s="1"/>
  <c r="W1209" i="3"/>
  <c r="X1209" i="3" s="1"/>
  <c r="V242" i="3"/>
  <c r="X242" i="3" s="1"/>
  <c r="V309" i="3"/>
  <c r="X309" i="3" s="1"/>
  <c r="W516" i="3"/>
  <c r="X516" i="3" s="1"/>
  <c r="V1021" i="3"/>
  <c r="X1021" i="3" s="1"/>
  <c r="W1068" i="3"/>
  <c r="V1068" i="3"/>
  <c r="W41" i="3"/>
  <c r="X41" i="3" s="1"/>
  <c r="V90" i="3"/>
  <c r="X90" i="3" s="1"/>
  <c r="W328" i="3"/>
  <c r="X328" i="3" s="1"/>
  <c r="W517" i="3"/>
  <c r="V517" i="3"/>
  <c r="V768" i="3"/>
  <c r="X768" i="3" s="1"/>
  <c r="V845" i="3"/>
  <c r="X845" i="3" s="1"/>
  <c r="W1090" i="3"/>
  <c r="X1090" i="3" s="1"/>
  <c r="V107" i="3"/>
  <c r="X107" i="3" s="1"/>
  <c r="V261" i="3"/>
  <c r="X261" i="3" s="1"/>
  <c r="W752" i="3"/>
  <c r="V752" i="3"/>
  <c r="V810" i="3"/>
  <c r="W810" i="3"/>
  <c r="V1071" i="3"/>
  <c r="X1071" i="3" s="1"/>
  <c r="V1153" i="3"/>
  <c r="X1153" i="3" s="1"/>
  <c r="W1195" i="3"/>
  <c r="X1195" i="3" s="1"/>
  <c r="V441" i="3"/>
  <c r="X441" i="3" s="1"/>
  <c r="W23" i="3"/>
  <c r="V23" i="3"/>
  <c r="W121" i="3"/>
  <c r="V121" i="3"/>
  <c r="V296" i="3"/>
  <c r="X296" i="3" s="1"/>
  <c r="V1280" i="3"/>
  <c r="X1280" i="3" s="1"/>
  <c r="W8" i="3"/>
  <c r="V8" i="3"/>
  <c r="W281" i="3"/>
  <c r="V281" i="3"/>
  <c r="W313" i="3"/>
  <c r="V313" i="3"/>
  <c r="W636" i="3"/>
  <c r="V636" i="3"/>
  <c r="W1006" i="3"/>
  <c r="V1006" i="3"/>
  <c r="V26" i="3"/>
  <c r="X26" i="3" s="1"/>
  <c r="V76" i="3"/>
  <c r="X76" i="3" s="1"/>
  <c r="V108" i="3"/>
  <c r="X108" i="3" s="1"/>
  <c r="W160" i="3"/>
  <c r="V160" i="3"/>
  <c r="V229" i="3"/>
  <c r="X229" i="3" s="1"/>
  <c r="W478" i="3"/>
  <c r="X478" i="3" s="1"/>
  <c r="V499" i="3"/>
  <c r="W499" i="3"/>
  <c r="V521" i="3"/>
  <c r="X521" i="3" s="1"/>
  <c r="W677" i="3"/>
  <c r="X677" i="3" s="1"/>
  <c r="W792" i="3"/>
  <c r="V792" i="3"/>
  <c r="V1072" i="3"/>
  <c r="X1072" i="3" s="1"/>
  <c r="V1135" i="3"/>
  <c r="X1135" i="3" s="1"/>
  <c r="V1177" i="3"/>
  <c r="X1177" i="3" s="1"/>
  <c r="V1230" i="3"/>
  <c r="X1230" i="3" s="1"/>
  <c r="W58" i="3"/>
  <c r="V58" i="3"/>
  <c r="V226" i="3"/>
  <c r="X226" i="3" s="1"/>
  <c r="W733" i="3"/>
  <c r="V733" i="3"/>
  <c r="W964" i="3"/>
  <c r="V964" i="3"/>
  <c r="W1237" i="3"/>
  <c r="V1237" i="3"/>
  <c r="V163" i="3"/>
  <c r="X163" i="3" s="1"/>
  <c r="V215" i="3"/>
  <c r="X215" i="3" s="1"/>
  <c r="W249" i="3"/>
  <c r="X249" i="3" s="1"/>
  <c r="W266" i="3"/>
  <c r="X266" i="3" s="1"/>
  <c r="W390" i="3"/>
  <c r="X390" i="3" s="1"/>
  <c r="W601" i="3"/>
  <c r="X601" i="3" s="1"/>
  <c r="W697" i="3"/>
  <c r="V697" i="3"/>
  <c r="W718" i="3"/>
  <c r="X718" i="3" s="1"/>
  <c r="V816" i="3"/>
  <c r="X816" i="3" s="1"/>
  <c r="V1265" i="3"/>
  <c r="X1265" i="3" s="1"/>
  <c r="W62" i="3"/>
  <c r="X62" i="3" s="1"/>
  <c r="W429" i="3"/>
  <c r="V429" i="3"/>
  <c r="V1033" i="3"/>
  <c r="W1033" i="3"/>
  <c r="V844" i="3"/>
  <c r="X844" i="3" s="1"/>
  <c r="V826" i="3"/>
  <c r="W826" i="3"/>
  <c r="W258" i="3"/>
  <c r="V258" i="3"/>
  <c r="W651" i="3"/>
  <c r="V651" i="3"/>
  <c r="V20" i="3"/>
  <c r="X20" i="3" s="1"/>
  <c r="W71" i="3"/>
  <c r="V71" i="3"/>
  <c r="V1019" i="3"/>
  <c r="X1019" i="3" s="1"/>
  <c r="V1066" i="3"/>
  <c r="W1066" i="3"/>
  <c r="W1109" i="3"/>
  <c r="V1109" i="3"/>
  <c r="V89" i="3"/>
  <c r="X89" i="3" s="1"/>
  <c r="V327" i="3"/>
  <c r="W327" i="3"/>
  <c r="V363" i="3"/>
  <c r="X363" i="3" s="1"/>
  <c r="W630" i="3"/>
  <c r="X630" i="3" s="1"/>
  <c r="W902" i="3"/>
  <c r="V902" i="3"/>
  <c r="W137" i="3"/>
  <c r="V137" i="3"/>
  <c r="W259" i="3"/>
  <c r="X259" i="3" s="1"/>
  <c r="W611" i="3"/>
  <c r="V611" i="3"/>
  <c r="W749" i="3"/>
  <c r="X749" i="3" s="1"/>
  <c r="V862" i="3"/>
  <c r="X862" i="3" s="1"/>
  <c r="W79" i="3"/>
  <c r="V79" i="3"/>
  <c r="V162" i="3"/>
  <c r="X162" i="3" s="1"/>
  <c r="V231" i="3"/>
  <c r="W231" i="3"/>
  <c r="W774" i="3"/>
  <c r="V774" i="3"/>
  <c r="W927" i="3"/>
  <c r="X927" i="3" s="1"/>
  <c r="W986" i="3"/>
  <c r="V986" i="3"/>
  <c r="W214" i="3"/>
  <c r="X214" i="3" s="1"/>
  <c r="V248" i="3"/>
  <c r="X248" i="3" s="1"/>
  <c r="V755" i="3"/>
  <c r="X755" i="3" s="1"/>
  <c r="V966" i="3"/>
  <c r="X966" i="3" s="1"/>
  <c r="V1030" i="3"/>
  <c r="W1030" i="3"/>
  <c r="W1120" i="3"/>
  <c r="V1120" i="3"/>
  <c r="W1159" i="3"/>
  <c r="V1159" i="3"/>
  <c r="V198" i="3"/>
  <c r="X198" i="3" s="1"/>
  <c r="V354" i="3"/>
  <c r="X354" i="3" s="1"/>
  <c r="V503" i="3"/>
  <c r="X503" i="3" s="1"/>
  <c r="W756" i="3"/>
  <c r="V756" i="3"/>
  <c r="V929" i="3"/>
  <c r="W929" i="3"/>
  <c r="V48" i="3"/>
  <c r="W48" i="3"/>
  <c r="W164" i="3"/>
  <c r="V164" i="3"/>
  <c r="V391" i="3"/>
  <c r="X391" i="3" s="1"/>
  <c r="V466" i="3"/>
  <c r="X466" i="3" s="1"/>
  <c r="V602" i="3"/>
  <c r="X602" i="3" s="1"/>
  <c r="V1221" i="3"/>
  <c r="W1221" i="3"/>
  <c r="V131" i="3"/>
  <c r="X131" i="3" s="1"/>
  <c r="W467" i="3"/>
  <c r="V467" i="3"/>
  <c r="W564" i="3"/>
  <c r="X564" i="3" s="1"/>
  <c r="W798" i="3"/>
  <c r="X798" i="3" s="1"/>
  <c r="W894" i="3"/>
  <c r="V894" i="3"/>
  <c r="V932" i="3"/>
  <c r="X932" i="3" s="1"/>
  <c r="V950" i="3"/>
  <c r="X950" i="3" s="1"/>
  <c r="V1012" i="3"/>
  <c r="X1012" i="3" s="1"/>
  <c r="W1202" i="3"/>
  <c r="X1202" i="3" s="1"/>
  <c r="V1243" i="3"/>
  <c r="X1243" i="3" s="1"/>
  <c r="W33" i="3"/>
  <c r="X33" i="3" s="1"/>
  <c r="W148" i="3"/>
  <c r="X148" i="3" s="1"/>
  <c r="V185" i="3"/>
  <c r="X185" i="3" s="1"/>
  <c r="W252" i="3"/>
  <c r="V252" i="3"/>
  <c r="V411" i="3"/>
  <c r="X411" i="3" s="1"/>
  <c r="V451" i="3"/>
  <c r="X451" i="3" s="1"/>
  <c r="V646" i="3"/>
  <c r="X646" i="3" s="1"/>
  <c r="W780" i="3"/>
  <c r="X780" i="3" s="1"/>
  <c r="V1101" i="3"/>
  <c r="W1101" i="3"/>
  <c r="V1184" i="3"/>
  <c r="X1184" i="3" s="1"/>
  <c r="V114" i="3"/>
  <c r="X114" i="3" s="1"/>
  <c r="V339" i="3"/>
  <c r="X339" i="3" s="1"/>
  <c r="V375" i="3"/>
  <c r="X375" i="3" s="1"/>
  <c r="V393" i="3"/>
  <c r="X393" i="3" s="1"/>
  <c r="W412" i="3"/>
  <c r="V412" i="3"/>
  <c r="V548" i="3"/>
  <c r="X548" i="3" s="1"/>
  <c r="V587" i="3"/>
  <c r="X587" i="3" s="1"/>
  <c r="V700" i="3"/>
  <c r="X700" i="3" s="1"/>
  <c r="V1185" i="3"/>
  <c r="W1185" i="3"/>
  <c r="W828" i="3"/>
  <c r="X828" i="3" s="1"/>
  <c r="V119" i="3"/>
  <c r="X119" i="3" s="1"/>
  <c r="W202" i="3"/>
  <c r="V202" i="3"/>
  <c r="W953" i="3"/>
  <c r="V953" i="3"/>
  <c r="V765" i="3"/>
  <c r="X765" i="3" s="1"/>
  <c r="W55" i="3"/>
  <c r="V55" i="3"/>
  <c r="W118" i="3"/>
  <c r="V118" i="3"/>
  <c r="W172" i="3"/>
  <c r="V172" i="3"/>
  <c r="W379" i="3"/>
  <c r="X379" i="3" s="1"/>
  <c r="W572" i="3"/>
  <c r="X572" i="3" s="1"/>
  <c r="V308" i="3"/>
  <c r="X308" i="3" s="1"/>
  <c r="W473" i="3"/>
  <c r="X473" i="3" s="1"/>
  <c r="V534" i="3"/>
  <c r="X534" i="3" s="1"/>
  <c r="W573" i="3"/>
  <c r="V573" i="3"/>
  <c r="V104" i="3"/>
  <c r="X104" i="3" s="1"/>
  <c r="W155" i="3"/>
  <c r="V155" i="3"/>
  <c r="V275" i="3"/>
  <c r="X275" i="3" s="1"/>
  <c r="V493" i="3"/>
  <c r="W493" i="3"/>
  <c r="W501" i="3"/>
  <c r="V501" i="3"/>
  <c r="W1054" i="3"/>
  <c r="V1054" i="3"/>
  <c r="V1119" i="3"/>
  <c r="X1119" i="3" s="1"/>
  <c r="V660" i="3"/>
  <c r="X660" i="3" s="1"/>
  <c r="W46" i="3"/>
  <c r="X46" i="3" s="1"/>
  <c r="W776" i="3"/>
  <c r="V776" i="3"/>
  <c r="V1287" i="3"/>
  <c r="X1287" i="3" s="1"/>
  <c r="V184" i="3"/>
  <c r="X184" i="3" s="1"/>
  <c r="V200" i="3"/>
  <c r="X200" i="3" s="1"/>
  <c r="W234" i="3"/>
  <c r="X234" i="3" s="1"/>
  <c r="W719" i="3"/>
  <c r="X719" i="3" s="1"/>
  <c r="V356" i="3"/>
  <c r="X356" i="3" s="1"/>
  <c r="W917" i="3"/>
  <c r="V917" i="3"/>
  <c r="V16" i="3"/>
  <c r="X16" i="3" s="1"/>
  <c r="W67" i="3"/>
  <c r="V67" i="3"/>
  <c r="V168" i="3"/>
  <c r="W168" i="3"/>
  <c r="W394" i="3"/>
  <c r="V394" i="3"/>
  <c r="V934" i="3"/>
  <c r="X934" i="3" s="1"/>
  <c r="W1162" i="3"/>
  <c r="V1162" i="3"/>
  <c r="W1283" i="3"/>
  <c r="V1283" i="3"/>
  <c r="V1088" i="3"/>
  <c r="X1088" i="3" s="1"/>
  <c r="W1107" i="3"/>
  <c r="X1107" i="3" s="1"/>
  <c r="W120" i="3"/>
  <c r="V120" i="3"/>
  <c r="W169" i="3"/>
  <c r="V169" i="3"/>
  <c r="W343" i="3"/>
  <c r="V343" i="3"/>
  <c r="W662" i="3"/>
  <c r="V662" i="3"/>
  <c r="V933" i="3"/>
  <c r="X933" i="3" s="1"/>
  <c r="V1010" i="3"/>
  <c r="X1010" i="3" s="1"/>
  <c r="V1029" i="3"/>
  <c r="X1029" i="3" s="1"/>
  <c r="W595" i="3"/>
  <c r="V595" i="3"/>
  <c r="W666" i="3"/>
  <c r="V666" i="3"/>
  <c r="W109" i="3"/>
  <c r="V109" i="3"/>
  <c r="W221" i="3"/>
  <c r="V221" i="3"/>
  <c r="V286" i="3"/>
  <c r="X286" i="3" s="1"/>
  <c r="V452" i="3"/>
  <c r="X452" i="3" s="1"/>
  <c r="W579" i="3"/>
  <c r="X579" i="3" s="1"/>
  <c r="W614" i="3"/>
  <c r="X614" i="3" s="1"/>
  <c r="W866" i="3"/>
  <c r="V866" i="3"/>
  <c r="V995" i="3"/>
  <c r="X995" i="3" s="1"/>
  <c r="V1057" i="3"/>
  <c r="X1057" i="3" s="1"/>
  <c r="V1073" i="3"/>
  <c r="X1073" i="3" s="1"/>
  <c r="V1149" i="3"/>
  <c r="X1149" i="3" s="1"/>
  <c r="V1168" i="3"/>
  <c r="X1168" i="3" s="1"/>
  <c r="W1267" i="3"/>
  <c r="X1267" i="3" s="1"/>
  <c r="W17" i="3"/>
  <c r="X17" i="3" s="1"/>
  <c r="V34" i="3"/>
  <c r="X34" i="3" s="1"/>
  <c r="W95" i="3"/>
  <c r="X95" i="3" s="1"/>
  <c r="W110" i="3"/>
  <c r="V110" i="3"/>
  <c r="V140" i="3"/>
  <c r="X140" i="3" s="1"/>
  <c r="W156" i="3"/>
  <c r="V156" i="3"/>
  <c r="V173" i="3"/>
  <c r="X173" i="3" s="1"/>
  <c r="V190" i="3"/>
  <c r="X190" i="3" s="1"/>
  <c r="V349" i="3"/>
  <c r="X349" i="3" s="1"/>
  <c r="V504" i="3"/>
  <c r="X504" i="3" s="1"/>
  <c r="V597" i="3"/>
  <c r="W597" i="3"/>
  <c r="V652" i="3"/>
  <c r="X652" i="3" s="1"/>
  <c r="V739" i="3"/>
  <c r="X739" i="3" s="1"/>
  <c r="V777" i="3"/>
  <c r="X777" i="3" s="1"/>
  <c r="W794" i="3"/>
  <c r="V794" i="3"/>
  <c r="V885" i="3"/>
  <c r="X885" i="3" s="1"/>
  <c r="V903" i="3"/>
  <c r="X903" i="3" s="1"/>
  <c r="V615" i="3"/>
  <c r="X615" i="3" s="1"/>
  <c r="V633" i="3"/>
  <c r="X633" i="3" s="1"/>
  <c r="W723" i="3"/>
  <c r="X723" i="3" s="1"/>
  <c r="V1037" i="3"/>
  <c r="X1037" i="3" s="1"/>
  <c r="W1169" i="3"/>
  <c r="X1169" i="3" s="1"/>
  <c r="V35" i="3"/>
  <c r="W35" i="3"/>
  <c r="W505" i="3"/>
  <c r="V505" i="3"/>
  <c r="W833" i="3"/>
  <c r="V833" i="3"/>
  <c r="W5" i="3"/>
  <c r="X5" i="3" s="1"/>
  <c r="V19" i="3"/>
  <c r="X19" i="3" s="1"/>
  <c r="V128" i="3"/>
  <c r="X128" i="3" s="1"/>
  <c r="V142" i="3"/>
  <c r="X142" i="3" s="1"/>
  <c r="V240" i="3"/>
  <c r="X240" i="3" s="1"/>
  <c r="V272" i="3"/>
  <c r="X272" i="3" s="1"/>
  <c r="V301" i="3"/>
  <c r="X301" i="3" s="1"/>
  <c r="V404" i="3"/>
  <c r="X404" i="3" s="1"/>
  <c r="W454" i="3"/>
  <c r="V454" i="3"/>
  <c r="V488" i="3"/>
  <c r="X488" i="3" s="1"/>
  <c r="V545" i="3"/>
  <c r="X545" i="3" s="1"/>
  <c r="W634" i="3"/>
  <c r="X634" i="3" s="1"/>
  <c r="W887" i="3"/>
  <c r="X887" i="3" s="1"/>
  <c r="W977" i="3"/>
  <c r="X977" i="3" s="1"/>
  <c r="W1059" i="3"/>
  <c r="X1059" i="3" s="1"/>
  <c r="V1117" i="3"/>
  <c r="X1117" i="3" s="1"/>
  <c r="V1133" i="3"/>
  <c r="X1133" i="3" s="1"/>
  <c r="V1170" i="3"/>
  <c r="X1170" i="3" s="1"/>
  <c r="W51" i="3"/>
  <c r="V51" i="3"/>
  <c r="V65" i="3"/>
  <c r="X65" i="3" s="1"/>
  <c r="W224" i="3"/>
  <c r="X224" i="3" s="1"/>
  <c r="W316" i="3"/>
  <c r="V316" i="3"/>
  <c r="W351" i="3"/>
  <c r="V351" i="3"/>
  <c r="V653" i="3"/>
  <c r="X653" i="3" s="1"/>
  <c r="V706" i="3"/>
  <c r="X706" i="3" s="1"/>
  <c r="V193" i="3"/>
  <c r="X193" i="3" s="1"/>
  <c r="V225" i="3"/>
  <c r="X225" i="3" s="1"/>
  <c r="V288" i="3"/>
  <c r="X288" i="3" s="1"/>
  <c r="V335" i="3"/>
  <c r="X335" i="3" s="1"/>
  <c r="W691" i="3"/>
  <c r="X691" i="3" s="1"/>
  <c r="W707" i="3"/>
  <c r="X707" i="3" s="1"/>
  <c r="W725" i="3"/>
  <c r="X725" i="3" s="1"/>
  <c r="V779" i="3"/>
  <c r="X779" i="3" s="1"/>
  <c r="V797" i="3"/>
  <c r="X797" i="3" s="1"/>
  <c r="W815" i="3"/>
  <c r="X815" i="3" s="1"/>
  <c r="V1018" i="3"/>
  <c r="X1018" i="3" s="1"/>
  <c r="V1249" i="3"/>
  <c r="X1249" i="3" s="1"/>
  <c r="V146" i="3"/>
  <c r="W146" i="3"/>
  <c r="V778" i="3"/>
  <c r="X778" i="3" s="1"/>
  <c r="V898" i="3"/>
  <c r="X898" i="3" s="1"/>
  <c r="V948" i="3"/>
  <c r="X948" i="3" s="1"/>
  <c r="V1036" i="3"/>
  <c r="X1036" i="3" s="1"/>
  <c r="V1069" i="3"/>
  <c r="X1069" i="3" s="1"/>
  <c r="V1085" i="3"/>
  <c r="X1085" i="3" s="1"/>
  <c r="W1138" i="3"/>
  <c r="X1138" i="3" s="1"/>
  <c r="V1244" i="3"/>
  <c r="X1244" i="3" s="1"/>
  <c r="W22" i="3"/>
  <c r="V22" i="3"/>
  <c r="W230" i="3"/>
  <c r="X230" i="3" s="1"/>
  <c r="V486" i="3"/>
  <c r="X486" i="3" s="1"/>
  <c r="W663" i="3"/>
  <c r="X663" i="3" s="1"/>
  <c r="V748" i="3"/>
  <c r="X748" i="3" s="1"/>
  <c r="W764" i="3"/>
  <c r="X764" i="3" s="1"/>
  <c r="V965" i="3"/>
  <c r="X965" i="3" s="1"/>
  <c r="W980" i="3"/>
  <c r="X980" i="3" s="1"/>
  <c r="W1227" i="3"/>
  <c r="X1227" i="3" s="1"/>
  <c r="V1288" i="3"/>
  <c r="W1288" i="3"/>
  <c r="V1270" i="3"/>
  <c r="X1270" i="3" s="1"/>
  <c r="V82" i="3"/>
  <c r="X82" i="3" s="1"/>
  <c r="W179" i="3"/>
  <c r="X179" i="3" s="1"/>
  <c r="W380" i="3"/>
  <c r="X380" i="3" s="1"/>
  <c r="W432" i="3"/>
  <c r="V432" i="3"/>
  <c r="W621" i="3"/>
  <c r="X621" i="3" s="1"/>
  <c r="W735" i="3"/>
  <c r="X735" i="3" s="1"/>
  <c r="V769" i="3"/>
  <c r="X769" i="3" s="1"/>
  <c r="V784" i="3"/>
  <c r="W784" i="3"/>
  <c r="V888" i="3"/>
  <c r="X888" i="3" s="1"/>
  <c r="V936" i="3"/>
  <c r="W936" i="3"/>
  <c r="V1041" i="3"/>
  <c r="X1041" i="3" s="1"/>
  <c r="V1060" i="3"/>
  <c r="X1060" i="3" s="1"/>
  <c r="V1074" i="3"/>
  <c r="X1074" i="3" s="1"/>
  <c r="V1091" i="3"/>
  <c r="X1091" i="3" s="1"/>
  <c r="W1233" i="3"/>
  <c r="X1233" i="3" s="1"/>
  <c r="W180" i="3"/>
  <c r="V180" i="3"/>
  <c r="W506" i="3"/>
  <c r="V506" i="3"/>
  <c r="V15" i="3"/>
  <c r="X15" i="3" s="1"/>
  <c r="V30" i="3"/>
  <c r="X30" i="3" s="1"/>
  <c r="V112" i="3"/>
  <c r="X112" i="3" s="1"/>
  <c r="W138" i="3"/>
  <c r="X138" i="3" s="1"/>
  <c r="W166" i="3"/>
  <c r="X166" i="3" s="1"/>
  <c r="W181" i="3"/>
  <c r="X181" i="3" s="1"/>
  <c r="V223" i="3"/>
  <c r="X223" i="3" s="1"/>
  <c r="V251" i="3"/>
  <c r="X251" i="3" s="1"/>
  <c r="W264" i="3"/>
  <c r="X264" i="3" s="1"/>
  <c r="W322" i="3"/>
  <c r="X322" i="3" s="1"/>
  <c r="W414" i="3"/>
  <c r="V414" i="3"/>
  <c r="W447" i="3"/>
  <c r="X447" i="3" s="1"/>
  <c r="V476" i="3"/>
  <c r="X476" i="3" s="1"/>
  <c r="W607" i="3"/>
  <c r="X607" i="3" s="1"/>
  <c r="W622" i="3"/>
  <c r="X622" i="3" s="1"/>
  <c r="V722" i="3"/>
  <c r="X722" i="3" s="1"/>
  <c r="V737" i="3"/>
  <c r="X737" i="3" s="1"/>
  <c r="W889" i="3"/>
  <c r="X889" i="3" s="1"/>
  <c r="V973" i="3"/>
  <c r="X973" i="3" s="1"/>
  <c r="V1043" i="3"/>
  <c r="X1043" i="3" s="1"/>
  <c r="W1075" i="3"/>
  <c r="X1075" i="3" s="1"/>
  <c r="V56" i="3"/>
  <c r="X56" i="3" s="1"/>
  <c r="V98" i="3"/>
  <c r="W98" i="3"/>
  <c r="V210" i="3"/>
  <c r="X210" i="3" s="1"/>
  <c r="V352" i="3"/>
  <c r="X352" i="3" s="1"/>
  <c r="W398" i="3"/>
  <c r="V398" i="3"/>
  <c r="V542" i="3"/>
  <c r="X542" i="3" s="1"/>
  <c r="W574" i="3"/>
  <c r="X574" i="3" s="1"/>
  <c r="V590" i="3"/>
  <c r="X590" i="3" s="1"/>
  <c r="W655" i="3"/>
  <c r="V655" i="3"/>
  <c r="V672" i="3"/>
  <c r="X672" i="3" s="1"/>
  <c r="W688" i="3"/>
  <c r="X688" i="3" s="1"/>
  <c r="W770" i="3"/>
  <c r="X770" i="3" s="1"/>
  <c r="V873" i="3"/>
  <c r="X873" i="3" s="1"/>
  <c r="V906" i="3"/>
  <c r="X906" i="3" s="1"/>
  <c r="V988" i="3"/>
  <c r="X988" i="3" s="1"/>
  <c r="V1007" i="3"/>
  <c r="X1007" i="3" s="1"/>
  <c r="W1113" i="3"/>
  <c r="V1113" i="3"/>
  <c r="W1163" i="3"/>
  <c r="X1163" i="3" s="1"/>
  <c r="V1234" i="3"/>
  <c r="X1234" i="3" s="1"/>
  <c r="S905" i="3"/>
  <c r="T905" i="3" s="1"/>
  <c r="V44" i="3"/>
  <c r="X44" i="3" s="1"/>
  <c r="V57" i="3"/>
  <c r="X57" i="3" s="1"/>
  <c r="W69" i="3"/>
  <c r="X69" i="3" s="1"/>
  <c r="W126" i="3"/>
  <c r="X126" i="3" s="1"/>
  <c r="W279" i="3"/>
  <c r="X279" i="3" s="1"/>
  <c r="V338" i="3"/>
  <c r="X338" i="3" s="1"/>
  <c r="V462" i="3"/>
  <c r="X462" i="3" s="1"/>
  <c r="V491" i="3"/>
  <c r="X491" i="3" s="1"/>
  <c r="W543" i="3"/>
  <c r="X543" i="3" s="1"/>
  <c r="W673" i="3"/>
  <c r="X673" i="3" s="1"/>
  <c r="V689" i="3"/>
  <c r="X689" i="3" s="1"/>
  <c r="V754" i="3"/>
  <c r="X754" i="3" s="1"/>
  <c r="W772" i="3"/>
  <c r="V772" i="3"/>
  <c r="V786" i="3"/>
  <c r="W786" i="3"/>
  <c r="V823" i="3"/>
  <c r="X823" i="3" s="1"/>
  <c r="W1026" i="3"/>
  <c r="X1026" i="3" s="1"/>
  <c r="W1235" i="3"/>
  <c r="X1235" i="3" s="1"/>
  <c r="V331" i="3"/>
  <c r="X331" i="3" s="1"/>
  <c r="V552" i="3"/>
  <c r="X552" i="3" s="1"/>
  <c r="V566" i="3"/>
  <c r="X566" i="3" s="1"/>
  <c r="V712" i="3"/>
  <c r="X712" i="3" s="1"/>
  <c r="V880" i="3"/>
  <c r="X880" i="3" s="1"/>
  <c r="V892" i="3"/>
  <c r="X892" i="3" s="1"/>
  <c r="W1047" i="3"/>
  <c r="X1047" i="3" s="1"/>
  <c r="V1141" i="3"/>
  <c r="X1141" i="3" s="1"/>
  <c r="V1156" i="3"/>
  <c r="X1156" i="3" s="1"/>
  <c r="W1171" i="3"/>
  <c r="X1171" i="3" s="1"/>
  <c r="W1204" i="3"/>
  <c r="X1204" i="3" s="1"/>
  <c r="W495" i="3"/>
  <c r="X495" i="3" s="1"/>
  <c r="V596" i="3"/>
  <c r="X596" i="3" s="1"/>
  <c r="W641" i="3"/>
  <c r="X641" i="3" s="1"/>
  <c r="V818" i="3"/>
  <c r="X818" i="3" s="1"/>
  <c r="V865" i="3"/>
  <c r="X865" i="3" s="1"/>
  <c r="V1000" i="3"/>
  <c r="X1000" i="3" s="1"/>
  <c r="V1032" i="3"/>
  <c r="X1032" i="3" s="1"/>
  <c r="W1142" i="3"/>
  <c r="X1142" i="3" s="1"/>
  <c r="V1239" i="3"/>
  <c r="X1239" i="3" s="1"/>
  <c r="V1274" i="3"/>
  <c r="X1274" i="3" s="1"/>
  <c r="V1224" i="3"/>
  <c r="X1224" i="3" s="1"/>
  <c r="V1240" i="3"/>
  <c r="X1240" i="3" s="1"/>
  <c r="V38" i="3"/>
  <c r="X38" i="3" s="1"/>
  <c r="V195" i="3"/>
  <c r="X195" i="3" s="1"/>
  <c r="V219" i="3"/>
  <c r="X219" i="3" s="1"/>
  <c r="V268" i="3"/>
  <c r="X268" i="3" s="1"/>
  <c r="V306" i="3"/>
  <c r="X306" i="3" s="1"/>
  <c r="V359" i="3"/>
  <c r="X359" i="3" s="1"/>
  <c r="V388" i="3"/>
  <c r="X388" i="3" s="1"/>
  <c r="V445" i="3"/>
  <c r="X445" i="3" s="1"/>
  <c r="V469" i="3"/>
  <c r="X469" i="3" s="1"/>
  <c r="V510" i="3"/>
  <c r="X510" i="3" s="1"/>
  <c r="V525" i="3"/>
  <c r="X525" i="3" s="1"/>
  <c r="V539" i="3"/>
  <c r="X539" i="3" s="1"/>
  <c r="V643" i="3"/>
  <c r="X643" i="3" s="1"/>
  <c r="V685" i="3"/>
  <c r="X685" i="3" s="1"/>
  <c r="V820" i="3"/>
  <c r="X820" i="3" s="1"/>
  <c r="V882" i="3"/>
  <c r="X882" i="3" s="1"/>
  <c r="V913" i="3"/>
  <c r="X913" i="3" s="1"/>
  <c r="W939" i="3"/>
  <c r="X939" i="3" s="1"/>
  <c r="V971" i="3"/>
  <c r="X971" i="3" s="1"/>
  <c r="V1095" i="3"/>
  <c r="X1095" i="3" s="1"/>
  <c r="V1144" i="3"/>
  <c r="X1144" i="3" s="1"/>
  <c r="V1173" i="3"/>
  <c r="X1173" i="3" s="1"/>
  <c r="W1256" i="3"/>
  <c r="X1256" i="3" s="1"/>
  <c r="V1276" i="3"/>
  <c r="X1276" i="3" s="1"/>
  <c r="W1292" i="3"/>
  <c r="X1292" i="3" s="1"/>
  <c r="V49" i="3"/>
  <c r="X49" i="3" s="1"/>
  <c r="V60" i="3"/>
  <c r="X60" i="3" s="1"/>
  <c r="V72" i="3"/>
  <c r="X72" i="3" s="1"/>
  <c r="V86" i="3"/>
  <c r="X86" i="3" s="1"/>
  <c r="V135" i="3"/>
  <c r="X135" i="3" s="1"/>
  <c r="V158" i="3"/>
  <c r="X158" i="3" s="1"/>
  <c r="V170" i="3"/>
  <c r="X170" i="3" s="1"/>
  <c r="V183" i="3"/>
  <c r="X183" i="3" s="1"/>
  <c r="V232" i="3"/>
  <c r="X232" i="3" s="1"/>
  <c r="V245" i="3"/>
  <c r="X245" i="3" s="1"/>
  <c r="V257" i="3"/>
  <c r="X257" i="3" s="1"/>
  <c r="V294" i="3"/>
  <c r="X294" i="3" s="1"/>
  <c r="V321" i="3"/>
  <c r="X321" i="3" s="1"/>
  <c r="V334" i="3"/>
  <c r="X334" i="3" s="1"/>
  <c r="V347" i="3"/>
  <c r="X347" i="3" s="1"/>
  <c r="V433" i="3"/>
  <c r="X433" i="3" s="1"/>
  <c r="V483" i="3"/>
  <c r="X483" i="3" s="1"/>
  <c r="V555" i="3"/>
  <c r="X555" i="3" s="1"/>
  <c r="W656" i="3"/>
  <c r="X656" i="3" s="1"/>
  <c r="V671" i="3"/>
  <c r="X671" i="3" s="1"/>
  <c r="V716" i="3"/>
  <c r="X716" i="3" s="1"/>
  <c r="W729" i="3"/>
  <c r="X729" i="3" s="1"/>
  <c r="W805" i="3"/>
  <c r="X805" i="3" s="1"/>
  <c r="V867" i="3"/>
  <c r="X867" i="3" s="1"/>
  <c r="W983" i="3"/>
  <c r="X983" i="3" s="1"/>
  <c r="V1017" i="3"/>
  <c r="X1017" i="3" s="1"/>
  <c r="V1034" i="3"/>
  <c r="X1034" i="3" s="1"/>
  <c r="V1079" i="3"/>
  <c r="X1079" i="3" s="1"/>
  <c r="W1114" i="3"/>
  <c r="X1114" i="3" s="1"/>
  <c r="V1129" i="3"/>
  <c r="X1129" i="3" s="1"/>
  <c r="V1160" i="3"/>
  <c r="X1160" i="3" s="1"/>
  <c r="V12" i="3"/>
  <c r="X12" i="3" s="1"/>
  <c r="W122" i="3"/>
  <c r="X122" i="3" s="1"/>
  <c r="V282" i="3"/>
  <c r="X282" i="3" s="1"/>
  <c r="W374" i="3"/>
  <c r="X374" i="3" s="1"/>
  <c r="W389" i="3"/>
  <c r="X389" i="3" s="1"/>
  <c r="W497" i="3"/>
  <c r="X497" i="3" s="1"/>
  <c r="W586" i="3"/>
  <c r="X586" i="3" s="1"/>
  <c r="W747" i="3"/>
  <c r="X747" i="3" s="1"/>
  <c r="W775" i="3"/>
  <c r="X775" i="3" s="1"/>
  <c r="V895" i="3"/>
  <c r="X895" i="3" s="1"/>
  <c r="W1004" i="3"/>
  <c r="X1004" i="3" s="1"/>
  <c r="W1145" i="3"/>
  <c r="X1145" i="3" s="1"/>
  <c r="W511" i="3"/>
  <c r="V511" i="3"/>
  <c r="V842" i="3"/>
  <c r="X842" i="3" s="1"/>
  <c r="W28" i="3"/>
  <c r="V28" i="3"/>
  <c r="V667" i="3"/>
  <c r="X667" i="3" s="1"/>
  <c r="W312" i="3"/>
  <c r="V312" i="3"/>
  <c r="V526" i="3"/>
  <c r="W526" i="3"/>
  <c r="W1147" i="3"/>
  <c r="V1147" i="3"/>
  <c r="W341" i="3"/>
  <c r="V341" i="3"/>
  <c r="V801" i="3"/>
  <c r="W801" i="3"/>
  <c r="V220" i="3"/>
  <c r="X220" i="3" s="1"/>
  <c r="W658" i="3"/>
  <c r="V658" i="3"/>
  <c r="V77" i="3"/>
  <c r="X77" i="3" s="1"/>
  <c r="V280" i="3"/>
  <c r="X280" i="3" s="1"/>
  <c r="W659" i="3"/>
  <c r="V659" i="3"/>
  <c r="W908" i="3"/>
  <c r="V908" i="3"/>
  <c r="V1104" i="3"/>
  <c r="W1104" i="3"/>
  <c r="V187" i="3"/>
  <c r="X187" i="3" s="1"/>
  <c r="W176" i="3"/>
  <c r="X176" i="3" s="1"/>
  <c r="V1048" i="3"/>
  <c r="W1048" i="3"/>
  <c r="V870" i="3"/>
  <c r="W870" i="3"/>
  <c r="W1236" i="3"/>
  <c r="V1236" i="3"/>
  <c r="V278" i="3"/>
  <c r="X278" i="3" s="1"/>
  <c r="V1222" i="3"/>
  <c r="W1222" i="3"/>
  <c r="V537" i="3"/>
  <c r="W537" i="3"/>
  <c r="W811" i="3"/>
  <c r="V811" i="3"/>
  <c r="W270" i="3"/>
  <c r="V270" i="3"/>
  <c r="W1044" i="3"/>
  <c r="X1044" i="3" s="1"/>
  <c r="V36" i="3"/>
  <c r="X36" i="3" s="1"/>
  <c r="W853" i="3"/>
  <c r="V853" i="3"/>
  <c r="W869" i="3"/>
  <c r="V869" i="3"/>
  <c r="V705" i="3"/>
  <c r="W705" i="3"/>
  <c r="W812" i="3"/>
  <c r="V812" i="3"/>
  <c r="W989" i="3"/>
  <c r="V989" i="3"/>
  <c r="W207" i="3"/>
  <c r="V207" i="3"/>
  <c r="W648" i="3"/>
  <c r="V648" i="3"/>
  <c r="W893" i="3"/>
  <c r="V893" i="3"/>
  <c r="V1061" i="3"/>
  <c r="X1061" i="3" s="1"/>
  <c r="V562" i="3"/>
  <c r="X562" i="3" s="1"/>
  <c r="V386" i="3"/>
  <c r="W386" i="3"/>
  <c r="W96" i="3"/>
  <c r="X96" i="3" s="1"/>
  <c r="V361" i="3"/>
  <c r="X361" i="3" s="1"/>
  <c r="W299" i="3"/>
  <c r="V299" i="3"/>
  <c r="W395" i="3"/>
  <c r="V395" i="3"/>
  <c r="W759" i="3"/>
  <c r="V759" i="3"/>
  <c r="W990" i="3"/>
  <c r="V990" i="3"/>
  <c r="W1062" i="3"/>
  <c r="V1062" i="3"/>
  <c r="V127" i="3"/>
  <c r="X127" i="3" s="1"/>
  <c r="V420" i="3"/>
  <c r="X420" i="3" s="1"/>
  <c r="W500" i="3"/>
  <c r="V500" i="3"/>
  <c r="V561" i="3"/>
  <c r="W561" i="3"/>
  <c r="W647" i="3"/>
  <c r="X647" i="3" s="1"/>
  <c r="V669" i="3"/>
  <c r="X669" i="3" s="1"/>
  <c r="W800" i="3"/>
  <c r="V800" i="3"/>
  <c r="W1106" i="3"/>
  <c r="V1106" i="3"/>
  <c r="V323" i="3"/>
  <c r="X323" i="3" s="1"/>
  <c r="V457" i="3"/>
  <c r="X457" i="3" s="1"/>
  <c r="V576" i="3"/>
  <c r="X576" i="3" s="1"/>
  <c r="W830" i="3"/>
  <c r="X830" i="3" s="1"/>
  <c r="W978" i="3"/>
  <c r="V978" i="3"/>
  <c r="W1008" i="3"/>
  <c r="X1008" i="3" s="1"/>
  <c r="V1092" i="3"/>
  <c r="X1092" i="3" s="1"/>
  <c r="V29" i="3"/>
  <c r="X29" i="3" s="1"/>
  <c r="W129" i="3"/>
  <c r="X129" i="3" s="1"/>
  <c r="V262" i="3"/>
  <c r="X262" i="3" s="1"/>
  <c r="W291" i="3"/>
  <c r="V291" i="3"/>
  <c r="V502" i="3"/>
  <c r="W502" i="3"/>
  <c r="W763" i="3"/>
  <c r="V763" i="3"/>
  <c r="V843" i="3"/>
  <c r="X843" i="3" s="1"/>
  <c r="V857" i="3"/>
  <c r="X857" i="3" s="1"/>
  <c r="W1050" i="3"/>
  <c r="X1050" i="3" s="1"/>
  <c r="V708" i="3"/>
  <c r="W708" i="3"/>
  <c r="W387" i="3"/>
  <c r="V387" i="3"/>
  <c r="V527" i="3"/>
  <c r="W527" i="3"/>
  <c r="W623" i="3"/>
  <c r="V623" i="3"/>
  <c r="W1051" i="3"/>
  <c r="V1051" i="3"/>
  <c r="V1252" i="3"/>
  <c r="X1252" i="3" s="1"/>
  <c r="W1285" i="3"/>
  <c r="V1285" i="3"/>
  <c r="V1052" i="3"/>
  <c r="W1052" i="3"/>
  <c r="W192" i="3"/>
  <c r="V192" i="3"/>
  <c r="V243" i="3"/>
  <c r="X243" i="3" s="1"/>
  <c r="W263" i="3"/>
  <c r="V263" i="3"/>
  <c r="W344" i="3"/>
  <c r="X344" i="3" s="1"/>
  <c r="V365" i="3"/>
  <c r="X365" i="3" s="1"/>
  <c r="V480" i="3"/>
  <c r="X480" i="3" s="1"/>
  <c r="V624" i="3"/>
  <c r="X624" i="3" s="1"/>
  <c r="V637" i="3"/>
  <c r="X637" i="3" s="1"/>
  <c r="V967" i="3"/>
  <c r="X967" i="3" s="1"/>
  <c r="V1023" i="3"/>
  <c r="X1023" i="3" s="1"/>
  <c r="V1164" i="3"/>
  <c r="X1164" i="3" s="1"/>
  <c r="V397" i="3"/>
  <c r="W397" i="3"/>
  <c r="V635" i="3"/>
  <c r="W635" i="3"/>
  <c r="V612" i="3"/>
  <c r="W612" i="3"/>
  <c r="V31" i="3"/>
  <c r="X31" i="3" s="1"/>
  <c r="W804" i="3"/>
  <c r="V804" i="3"/>
  <c r="V1272" i="3"/>
  <c r="X1272" i="3" s="1"/>
  <c r="W91" i="3"/>
  <c r="X91" i="3" s="1"/>
  <c r="V182" i="3"/>
  <c r="X182" i="3" s="1"/>
  <c r="V724" i="3"/>
  <c r="X724" i="3" s="1"/>
  <c r="V997" i="3"/>
  <c r="X997" i="3" s="1"/>
  <c r="W1165" i="3"/>
  <c r="X1165" i="3" s="1"/>
  <c r="V1210" i="3"/>
  <c r="X1210" i="3" s="1"/>
  <c r="V70" i="3"/>
  <c r="X70" i="3" s="1"/>
  <c r="V101" i="3"/>
  <c r="X101" i="3" s="1"/>
  <c r="W304" i="3"/>
  <c r="X304" i="3" s="1"/>
  <c r="V367" i="3"/>
  <c r="X367" i="3" s="1"/>
  <c r="W427" i="3"/>
  <c r="V427" i="3"/>
  <c r="V613" i="3"/>
  <c r="X613" i="3" s="1"/>
  <c r="V791" i="3"/>
  <c r="X791" i="3" s="1"/>
  <c r="V901" i="3"/>
  <c r="W901" i="3"/>
  <c r="V955" i="3"/>
  <c r="X955" i="3" s="1"/>
  <c r="V1241" i="3"/>
  <c r="X1241" i="3" s="1"/>
  <c r="W1154" i="3"/>
  <c r="V1154" i="3"/>
  <c r="V284" i="3"/>
  <c r="X284" i="3" s="1"/>
  <c r="W357" i="3"/>
  <c r="X357" i="3" s="1"/>
  <c r="V428" i="3"/>
  <c r="X428" i="3" s="1"/>
  <c r="W592" i="3"/>
  <c r="X592" i="3" s="1"/>
  <c r="W640" i="3"/>
  <c r="V640" i="3"/>
  <c r="V767" i="3"/>
  <c r="X767" i="3" s="1"/>
  <c r="W877" i="3"/>
  <c r="V877" i="3"/>
  <c r="V928" i="3"/>
  <c r="X928" i="3" s="1"/>
  <c r="V956" i="3"/>
  <c r="W956" i="3"/>
  <c r="V21" i="3"/>
  <c r="X21" i="3" s="1"/>
  <c r="V154" i="3"/>
  <c r="X154" i="3" s="1"/>
  <c r="V204" i="3"/>
  <c r="X204" i="3" s="1"/>
  <c r="W235" i="3"/>
  <c r="V235" i="3"/>
  <c r="V295" i="3"/>
  <c r="X295" i="3" s="1"/>
  <c r="W471" i="3"/>
  <c r="X471" i="3" s="1"/>
  <c r="W568" i="3"/>
  <c r="X568" i="3" s="1"/>
  <c r="V603" i="3"/>
  <c r="X603" i="3" s="1"/>
  <c r="W628" i="3"/>
  <c r="X628" i="3" s="1"/>
  <c r="W715" i="3"/>
  <c r="X715" i="3" s="1"/>
  <c r="W943" i="3"/>
  <c r="V943" i="3"/>
  <c r="V1155" i="3"/>
  <c r="X1155" i="3" s="1"/>
  <c r="W1198" i="3"/>
  <c r="V1198" i="3"/>
  <c r="W1228" i="3"/>
  <c r="V1228" i="3"/>
  <c r="V514" i="3"/>
  <c r="W514" i="3"/>
  <c r="W40" i="3"/>
  <c r="X40" i="3" s="1"/>
  <c r="V790" i="3"/>
  <c r="X790" i="3" s="1"/>
  <c r="W346" i="3"/>
  <c r="V346" i="3"/>
  <c r="V449" i="3"/>
  <c r="X449" i="3" s="1"/>
  <c r="V481" i="3"/>
  <c r="X481" i="3" s="1"/>
  <c r="W940" i="3"/>
  <c r="X940" i="3" s="1"/>
  <c r="V326" i="3"/>
  <c r="X326" i="3" s="1"/>
  <c r="W403" i="3"/>
  <c r="V403" i="3"/>
  <c r="V92" i="3"/>
  <c r="X92" i="3" s="1"/>
  <c r="V305" i="3"/>
  <c r="X305" i="3" s="1"/>
  <c r="W494" i="3"/>
  <c r="V494" i="3"/>
  <c r="W569" i="3"/>
  <c r="V569" i="3"/>
  <c r="W864" i="3"/>
  <c r="V864" i="3"/>
  <c r="V52" i="3"/>
  <c r="X52" i="3" s="1"/>
  <c r="W134" i="3"/>
  <c r="V134" i="3"/>
  <c r="W144" i="3"/>
  <c r="X144" i="3" s="1"/>
  <c r="V236" i="3"/>
  <c r="X236" i="3" s="1"/>
  <c r="W285" i="3"/>
  <c r="V285" i="3"/>
  <c r="V348" i="3"/>
  <c r="X348" i="3" s="1"/>
  <c r="V533" i="3"/>
  <c r="W533" i="3"/>
  <c r="W593" i="3"/>
  <c r="X593" i="3" s="1"/>
  <c r="W1182" i="3"/>
  <c r="V1182" i="3"/>
  <c r="W1199" i="3"/>
  <c r="V1199" i="3"/>
  <c r="V392" i="3"/>
  <c r="W392" i="3"/>
  <c r="V415" i="3"/>
  <c r="W415" i="3"/>
  <c r="W727" i="3"/>
  <c r="V727" i="3"/>
  <c r="W958" i="3"/>
  <c r="V958" i="3"/>
  <c r="V984" i="3"/>
  <c r="W984" i="3"/>
  <c r="W850" i="3"/>
  <c r="V850" i="3"/>
  <c r="V63" i="3"/>
  <c r="X63" i="3" s="1"/>
  <c r="V85" i="3"/>
  <c r="X85" i="3" s="1"/>
  <c r="W206" i="3"/>
  <c r="X206" i="3" s="1"/>
  <c r="W382" i="3"/>
  <c r="X382" i="3" s="1"/>
  <c r="V406" i="3"/>
  <c r="X406" i="3" s="1"/>
  <c r="W417" i="3"/>
  <c r="V417" i="3"/>
  <c r="V546" i="3"/>
  <c r="X546" i="3" s="1"/>
  <c r="W584" i="3"/>
  <c r="X584" i="3" s="1"/>
  <c r="V704" i="3"/>
  <c r="X704" i="3" s="1"/>
  <c r="V851" i="3"/>
  <c r="X851" i="3" s="1"/>
  <c r="W891" i="3"/>
  <c r="X891" i="3" s="1"/>
  <c r="V920" i="3"/>
  <c r="X920" i="3" s="1"/>
  <c r="V1086" i="3"/>
  <c r="W1086" i="3"/>
  <c r="W1131" i="3"/>
  <c r="X1131" i="3" s="1"/>
  <c r="W425" i="3"/>
  <c r="V425" i="3"/>
  <c r="W1253" i="3"/>
  <c r="V1253" i="3"/>
  <c r="W915" i="3"/>
  <c r="V915" i="3"/>
  <c r="W996" i="3"/>
  <c r="V996" i="3"/>
  <c r="V222" i="3"/>
  <c r="X222" i="3" s="1"/>
  <c r="W736" i="3"/>
  <c r="X736" i="3" s="1"/>
  <c r="V819" i="3"/>
  <c r="X819" i="3" s="1"/>
  <c r="V439" i="3"/>
  <c r="X439" i="3" s="1"/>
  <c r="V638" i="3"/>
  <c r="X638" i="3" s="1"/>
  <c r="W315" i="3"/>
  <c r="V315" i="3"/>
  <c r="W123" i="3"/>
  <c r="V123" i="3"/>
  <c r="V84" i="3"/>
  <c r="X84" i="3" s="1"/>
  <c r="V94" i="3"/>
  <c r="X94" i="3" s="1"/>
  <c r="V145" i="3"/>
  <c r="X145" i="3" s="1"/>
  <c r="W165" i="3"/>
  <c r="V165" i="3"/>
  <c r="V318" i="3"/>
  <c r="X318" i="3" s="1"/>
  <c r="V430" i="3"/>
  <c r="X430" i="3" s="1"/>
  <c r="V605" i="3"/>
  <c r="X605" i="3" s="1"/>
  <c r="W930" i="3"/>
  <c r="V930" i="3"/>
  <c r="W24" i="3"/>
  <c r="V24" i="3"/>
  <c r="V175" i="3"/>
  <c r="X175" i="3" s="1"/>
  <c r="V267" i="3"/>
  <c r="X267" i="3" s="1"/>
  <c r="W416" i="3"/>
  <c r="V416" i="3"/>
  <c r="V679" i="3"/>
  <c r="X679" i="3" s="1"/>
  <c r="V740" i="3"/>
  <c r="X740" i="3" s="1"/>
  <c r="W809" i="3"/>
  <c r="V809" i="3"/>
  <c r="V905" i="3"/>
  <c r="X905" i="3" s="1"/>
  <c r="V1042" i="3"/>
  <c r="X1042" i="3" s="1"/>
  <c r="W1216" i="3"/>
  <c r="V1216" i="3"/>
  <c r="W319" i="3"/>
  <c r="V319" i="3"/>
  <c r="W360" i="3"/>
  <c r="X360" i="3" s="1"/>
  <c r="W431" i="3"/>
  <c r="V431" i="3"/>
  <c r="W464" i="3"/>
  <c r="V464" i="3"/>
  <c r="V522" i="3"/>
  <c r="X522" i="3" s="1"/>
  <c r="W617" i="3"/>
  <c r="V617" i="3"/>
  <c r="V947" i="3"/>
  <c r="X947" i="3" s="1"/>
  <c r="V1031" i="3"/>
  <c r="X1031" i="3" s="1"/>
  <c r="W702" i="3"/>
  <c r="V702" i="3"/>
  <c r="W838" i="3"/>
  <c r="V838" i="3"/>
  <c r="V1148" i="3"/>
  <c r="W1148" i="3"/>
  <c r="W793" i="3"/>
  <c r="V793" i="3"/>
  <c r="W675" i="3"/>
  <c r="V675" i="3"/>
  <c r="W687" i="3"/>
  <c r="V687" i="3"/>
  <c r="W709" i="3"/>
  <c r="X709" i="3" s="1"/>
  <c r="V757" i="3"/>
  <c r="X757" i="3" s="1"/>
  <c r="W999" i="3"/>
  <c r="X999" i="3" s="1"/>
  <c r="V1136" i="3"/>
  <c r="X1136" i="3" s="1"/>
  <c r="V32" i="3"/>
  <c r="X32" i="3" s="1"/>
  <c r="V106" i="3"/>
  <c r="X106" i="3" s="1"/>
  <c r="V115" i="3"/>
  <c r="X115" i="3" s="1"/>
  <c r="V141" i="3"/>
  <c r="X141" i="3" s="1"/>
  <c r="V189" i="3"/>
  <c r="X189" i="3" s="1"/>
  <c r="V227" i="3"/>
  <c r="W227" i="3"/>
  <c r="V255" i="3"/>
  <c r="X255" i="3" s="1"/>
  <c r="V368" i="3"/>
  <c r="W368" i="3"/>
  <c r="W400" i="3"/>
  <c r="V400" i="3"/>
  <c r="V410" i="3"/>
  <c r="X410" i="3" s="1"/>
  <c r="V434" i="3"/>
  <c r="X434" i="3" s="1"/>
  <c r="W530" i="3"/>
  <c r="X530" i="3" s="1"/>
  <c r="V541" i="3"/>
  <c r="X541" i="3" s="1"/>
  <c r="V676" i="3"/>
  <c r="W676" i="3"/>
  <c r="V746" i="3"/>
  <c r="X746" i="3" s="1"/>
  <c r="V781" i="3"/>
  <c r="X781" i="3" s="1"/>
  <c r="V859" i="3"/>
  <c r="X859" i="3" s="1"/>
  <c r="V911" i="3"/>
  <c r="X911" i="3" s="1"/>
  <c r="V962" i="3"/>
  <c r="X962" i="3" s="1"/>
  <c r="V1111" i="3"/>
  <c r="X1111" i="3" s="1"/>
  <c r="V1123" i="3"/>
  <c r="X1123" i="3" s="1"/>
  <c r="W1137" i="3"/>
  <c r="V1137" i="3"/>
  <c r="V1261" i="3"/>
  <c r="X1261" i="3" s="1"/>
  <c r="W1290" i="3"/>
  <c r="X1290" i="3" s="1"/>
  <c r="W88" i="3"/>
  <c r="V88" i="3"/>
  <c r="V642" i="3"/>
  <c r="W642" i="3"/>
  <c r="V698" i="3"/>
  <c r="W698" i="3"/>
  <c r="V50" i="3"/>
  <c r="X50" i="3" s="1"/>
  <c r="V78" i="3"/>
  <c r="X78" i="3" s="1"/>
  <c r="W208" i="3"/>
  <c r="X208" i="3" s="1"/>
  <c r="V228" i="3"/>
  <c r="X228" i="3" s="1"/>
  <c r="V246" i="3"/>
  <c r="X246" i="3" s="1"/>
  <c r="V329" i="3"/>
  <c r="X329" i="3" s="1"/>
  <c r="V423" i="3"/>
  <c r="X423" i="3" s="1"/>
  <c r="V435" i="3"/>
  <c r="X435" i="3" s="1"/>
  <c r="W444" i="3"/>
  <c r="V444" i="3"/>
  <c r="V484" i="3"/>
  <c r="X484" i="3" s="1"/>
  <c r="V519" i="3"/>
  <c r="X519" i="3" s="1"/>
  <c r="V577" i="3"/>
  <c r="X577" i="3" s="1"/>
  <c r="V631" i="3"/>
  <c r="X631" i="3" s="1"/>
  <c r="V771" i="3"/>
  <c r="X771" i="3" s="1"/>
  <c r="V795" i="3"/>
  <c r="X795" i="3" s="1"/>
  <c r="W912" i="3"/>
  <c r="V912" i="3"/>
  <c r="W1112" i="3"/>
  <c r="V1112" i="3"/>
  <c r="V124" i="3"/>
  <c r="X124" i="3" s="1"/>
  <c r="V133" i="3"/>
  <c r="X133" i="3" s="1"/>
  <c r="V199" i="3"/>
  <c r="X199" i="3" s="1"/>
  <c r="V292" i="3"/>
  <c r="X292" i="3" s="1"/>
  <c r="V401" i="3"/>
  <c r="X401" i="3" s="1"/>
  <c r="W598" i="3"/>
  <c r="V598" i="3"/>
  <c r="V620" i="3"/>
  <c r="X620" i="3" s="1"/>
  <c r="V734" i="3"/>
  <c r="X734" i="3" s="1"/>
  <c r="V758" i="3"/>
  <c r="X758" i="3" s="1"/>
  <c r="V860" i="3"/>
  <c r="X860" i="3" s="1"/>
  <c r="V987" i="3"/>
  <c r="X987" i="3" s="1"/>
  <c r="V1001" i="3"/>
  <c r="X1001" i="3" s="1"/>
  <c r="V1190" i="3"/>
  <c r="X1190" i="3" s="1"/>
  <c r="V1205" i="3"/>
  <c r="X1205" i="3" s="1"/>
  <c r="V1246" i="3"/>
  <c r="X1246" i="3" s="1"/>
  <c r="W1278" i="3"/>
  <c r="V1278" i="3"/>
  <c r="V665" i="3"/>
  <c r="W665" i="3"/>
  <c r="W861" i="3"/>
  <c r="V861" i="3"/>
  <c r="W1191" i="3"/>
  <c r="V1191" i="3"/>
  <c r="W1110" i="3"/>
  <c r="V1110" i="3"/>
  <c r="W821" i="3"/>
  <c r="V821" i="3"/>
  <c r="V311" i="3"/>
  <c r="W311" i="3"/>
  <c r="W350" i="3"/>
  <c r="V350" i="3"/>
  <c r="W424" i="3"/>
  <c r="X424" i="3" s="1"/>
  <c r="W436" i="3"/>
  <c r="V436" i="3"/>
  <c r="W509" i="3"/>
  <c r="X509" i="3" s="1"/>
  <c r="W520" i="3"/>
  <c r="V520" i="3"/>
  <c r="V567" i="3"/>
  <c r="W567" i="3"/>
  <c r="V824" i="3"/>
  <c r="W824" i="3"/>
  <c r="V975" i="3"/>
  <c r="X975" i="3" s="1"/>
  <c r="W1175" i="3"/>
  <c r="V1175" i="3"/>
  <c r="V1121" i="3"/>
  <c r="W1121" i="3"/>
  <c r="W644" i="3"/>
  <c r="V644" i="3"/>
  <c r="W883" i="3"/>
  <c r="V883" i="3"/>
  <c r="W951" i="3"/>
  <c r="V951" i="3"/>
  <c r="V333" i="3"/>
  <c r="X333" i="3" s="1"/>
  <c r="V523" i="3"/>
  <c r="W523" i="3"/>
  <c r="V544" i="3"/>
  <c r="W544" i="3"/>
  <c r="V554" i="3"/>
  <c r="X554" i="3" s="1"/>
  <c r="W575" i="3"/>
  <c r="X575" i="3" s="1"/>
  <c r="V585" i="3"/>
  <c r="X585" i="3" s="1"/>
  <c r="V604" i="3"/>
  <c r="X604" i="3" s="1"/>
  <c r="W645" i="3"/>
  <c r="V645" i="3"/>
  <c r="V726" i="3"/>
  <c r="X726" i="3" s="1"/>
  <c r="V750" i="3"/>
  <c r="X750" i="3" s="1"/>
  <c r="W839" i="3"/>
  <c r="V839" i="3"/>
  <c r="V872" i="3"/>
  <c r="X872" i="3" s="1"/>
  <c r="W952" i="3"/>
  <c r="V952" i="3"/>
  <c r="V998" i="3"/>
  <c r="X998" i="3" s="1"/>
  <c r="W1022" i="3"/>
  <c r="X1022" i="3" s="1"/>
  <c r="V1084" i="3"/>
  <c r="X1084" i="3" s="1"/>
  <c r="V1157" i="3"/>
  <c r="X1157" i="3" s="1"/>
  <c r="V1179" i="3"/>
  <c r="X1179" i="3" s="1"/>
  <c r="W1258" i="3"/>
  <c r="X1258" i="3" s="1"/>
  <c r="W152" i="3"/>
  <c r="X152" i="3" s="1"/>
  <c r="V161" i="3"/>
  <c r="X161" i="3" s="1"/>
  <c r="V492" i="3"/>
  <c r="X492" i="3" s="1"/>
  <c r="W565" i="3"/>
  <c r="X565" i="3" s="1"/>
  <c r="V1245" i="3"/>
  <c r="X1245" i="3" s="1"/>
  <c r="W1259" i="3"/>
  <c r="V1259" i="3"/>
  <c r="V1273" i="3"/>
  <c r="X1273" i="3" s="1"/>
  <c r="W807" i="3"/>
  <c r="V807" i="3"/>
  <c r="W886" i="3"/>
  <c r="V886" i="3"/>
  <c r="W1223" i="3"/>
  <c r="V1223" i="3"/>
  <c r="V876" i="3"/>
  <c r="W876" i="3"/>
  <c r="W1027" i="3"/>
  <c r="V1027" i="3"/>
  <c r="V383" i="3"/>
  <c r="X383" i="3" s="1"/>
  <c r="W558" i="3"/>
  <c r="X558" i="3" s="1"/>
  <c r="V690" i="3"/>
  <c r="X690" i="3" s="1"/>
  <c r="V766" i="3"/>
  <c r="X766" i="3" s="1"/>
  <c r="V787" i="3"/>
  <c r="X787" i="3" s="1"/>
  <c r="V1053" i="3"/>
  <c r="X1053" i="3" s="1"/>
  <c r="W1076" i="3"/>
  <c r="V1076" i="3"/>
  <c r="V1102" i="3"/>
  <c r="X1102" i="3" s="1"/>
  <c r="V1264" i="3"/>
  <c r="X1264" i="3" s="1"/>
  <c r="V269" i="3"/>
  <c r="X269" i="3" s="1"/>
  <c r="V277" i="3"/>
  <c r="X277" i="3" s="1"/>
  <c r="W337" i="3"/>
  <c r="V337" i="3"/>
  <c r="V355" i="3"/>
  <c r="X355" i="3" s="1"/>
  <c r="V373" i="3"/>
  <c r="X373" i="3" s="1"/>
  <c r="W402" i="3"/>
  <c r="X402" i="3" s="1"/>
  <c r="V422" i="3"/>
  <c r="X422" i="3" s="1"/>
  <c r="V507" i="3"/>
  <c r="X507" i="3" s="1"/>
  <c r="V518" i="3"/>
  <c r="X518" i="3" s="1"/>
  <c r="W549" i="3"/>
  <c r="X549" i="3" s="1"/>
  <c r="W570" i="3"/>
  <c r="V570" i="3"/>
  <c r="V609" i="3"/>
  <c r="X609" i="3" s="1"/>
  <c r="V619" i="3"/>
  <c r="X619" i="3" s="1"/>
  <c r="V639" i="3"/>
  <c r="X639" i="3" s="1"/>
  <c r="V681" i="3"/>
  <c r="X681" i="3" s="1"/>
  <c r="W711" i="3"/>
  <c r="V711" i="3"/>
  <c r="V744" i="3"/>
  <c r="X744" i="3" s="1"/>
  <c r="V799" i="3"/>
  <c r="X799" i="3" s="1"/>
  <c r="W968" i="3"/>
  <c r="X968" i="3" s="1"/>
  <c r="W1016" i="3"/>
  <c r="X1016" i="3" s="1"/>
  <c r="V1040" i="3"/>
  <c r="X1040" i="3" s="1"/>
  <c r="W1152" i="3"/>
  <c r="X1152" i="3" s="1"/>
  <c r="W1187" i="3"/>
  <c r="X1187" i="3" s="1"/>
  <c r="W1213" i="3"/>
  <c r="X1213" i="3" s="1"/>
  <c r="V450" i="3"/>
  <c r="X450" i="3" s="1"/>
  <c r="W1279" i="3"/>
  <c r="V1279" i="3"/>
  <c r="V11" i="3"/>
  <c r="X11" i="3" s="1"/>
  <c r="V80" i="3"/>
  <c r="X80" i="3" s="1"/>
  <c r="W320" i="3"/>
  <c r="V320" i="3"/>
  <c r="V460" i="3"/>
  <c r="X460" i="3" s="1"/>
  <c r="W670" i="3"/>
  <c r="X670" i="3" s="1"/>
  <c r="W745" i="3"/>
  <c r="V745" i="3"/>
  <c r="W1251" i="3"/>
  <c r="X1251" i="3" s="1"/>
  <c r="V551" i="3"/>
  <c r="W551" i="3"/>
  <c r="W720" i="3"/>
  <c r="V720" i="3"/>
  <c r="W822" i="3"/>
  <c r="V822" i="3"/>
  <c r="V1158" i="3"/>
  <c r="W1158" i="3"/>
  <c r="W1254" i="3"/>
  <c r="V1254" i="3"/>
  <c r="W1115" i="3"/>
  <c r="V1115" i="3"/>
  <c r="V731" i="3"/>
  <c r="X731" i="3" s="1"/>
  <c r="V762" i="3"/>
  <c r="X762" i="3" s="1"/>
  <c r="W802" i="3"/>
  <c r="X802" i="3" s="1"/>
  <c r="V916" i="3"/>
  <c r="X916" i="3" s="1"/>
  <c r="W1002" i="3"/>
  <c r="X1002" i="3" s="1"/>
  <c r="V1024" i="3"/>
  <c r="X1024" i="3" s="1"/>
  <c r="W1181" i="3"/>
  <c r="V1181" i="3"/>
  <c r="W1231" i="3"/>
  <c r="V1231" i="3"/>
  <c r="V1268" i="3"/>
  <c r="X1268" i="3" s="1"/>
  <c r="V1291" i="3"/>
  <c r="X1291" i="3" s="1"/>
  <c r="V515" i="3"/>
  <c r="X515" i="3" s="1"/>
  <c r="V581" i="3"/>
  <c r="X581" i="3" s="1"/>
  <c r="W627" i="3"/>
  <c r="X627" i="3" s="1"/>
  <c r="V683" i="3"/>
  <c r="X683" i="3" s="1"/>
  <c r="V701" i="3"/>
  <c r="X701" i="3" s="1"/>
  <c r="V743" i="3"/>
  <c r="X743" i="3" s="1"/>
  <c r="V907" i="3"/>
  <c r="X907" i="3" s="1"/>
  <c r="W960" i="3"/>
  <c r="X960" i="3" s="1"/>
  <c r="V1014" i="3"/>
  <c r="X1014" i="3" s="1"/>
  <c r="V1070" i="3"/>
  <c r="X1070" i="3" s="1"/>
  <c r="V1128" i="3"/>
  <c r="X1128" i="3" s="1"/>
  <c r="V1196" i="3"/>
  <c r="X1196" i="3" s="1"/>
  <c r="V1219" i="3"/>
  <c r="X1219" i="3" s="1"/>
  <c r="V1269" i="3"/>
  <c r="X1269" i="3" s="1"/>
  <c r="W855" i="3"/>
  <c r="V855" i="3"/>
  <c r="V783" i="3"/>
  <c r="X783" i="3" s="1"/>
  <c r="W897" i="3"/>
  <c r="X897" i="3" s="1"/>
  <c r="W992" i="3"/>
  <c r="X992" i="3" s="1"/>
  <c r="W1105" i="3"/>
  <c r="V1105" i="3"/>
  <c r="W1183" i="3"/>
  <c r="X1183" i="3" s="1"/>
  <c r="W1207" i="3"/>
  <c r="X1207" i="3" s="1"/>
  <c r="W941" i="3"/>
  <c r="V941" i="3"/>
  <c r="V817" i="3"/>
  <c r="X817" i="3" s="1"/>
  <c r="V827" i="3"/>
  <c r="X827" i="3" s="1"/>
  <c r="V836" i="3"/>
  <c r="X836" i="3" s="1"/>
  <c r="W874" i="3"/>
  <c r="V874" i="3"/>
  <c r="W931" i="3"/>
  <c r="X931" i="3" s="1"/>
  <c r="V1015" i="3"/>
  <c r="X1015" i="3" s="1"/>
  <c r="W1035" i="3"/>
  <c r="V1035" i="3"/>
  <c r="W1045" i="3"/>
  <c r="V1045" i="3"/>
  <c r="V1087" i="3"/>
  <c r="X1087" i="3" s="1"/>
  <c r="V1096" i="3"/>
  <c r="X1096" i="3" s="1"/>
  <c r="V1118" i="3"/>
  <c r="X1118" i="3" s="1"/>
  <c r="V1180" i="3"/>
  <c r="X1180" i="3" s="1"/>
  <c r="W1192" i="3"/>
  <c r="V1192" i="3"/>
  <c r="V477" i="3"/>
  <c r="W477" i="3"/>
  <c r="W713" i="3"/>
  <c r="V713" i="3"/>
  <c r="W1046" i="3"/>
  <c r="V1046" i="3"/>
  <c r="V1214" i="3"/>
  <c r="X1214" i="3" s="1"/>
  <c r="W1260" i="3"/>
  <c r="X1260" i="3" s="1"/>
  <c r="W1271" i="3"/>
  <c r="V1271" i="3"/>
  <c r="V1282" i="3"/>
  <c r="X1282" i="3" s="1"/>
  <c r="W529" i="3"/>
  <c r="X529" i="3" s="1"/>
  <c r="W547" i="3"/>
  <c r="V547" i="3"/>
  <c r="W582" i="3"/>
  <c r="X582" i="3" s="1"/>
  <c r="V668" i="3"/>
  <c r="X668" i="3" s="1"/>
  <c r="W714" i="3"/>
  <c r="V714" i="3"/>
  <c r="V741" i="3"/>
  <c r="X741" i="3" s="1"/>
  <c r="W760" i="3"/>
  <c r="X760" i="3" s="1"/>
  <c r="V846" i="3"/>
  <c r="X846" i="3" s="1"/>
  <c r="V904" i="3"/>
  <c r="X904" i="3" s="1"/>
  <c r="W942" i="3"/>
  <c r="X942" i="3" s="1"/>
  <c r="W1025" i="3"/>
  <c r="X1025" i="3" s="1"/>
  <c r="V1077" i="3"/>
  <c r="X1077" i="3" s="1"/>
  <c r="W1217" i="3"/>
  <c r="V1217" i="3"/>
  <c r="W1226" i="3"/>
  <c r="X1226" i="3" s="1"/>
  <c r="W1262" i="3"/>
  <c r="X1262" i="3" s="1"/>
  <c r="W1247" i="3"/>
  <c r="V1247" i="3"/>
  <c r="W1097" i="3"/>
  <c r="X1097" i="3" s="1"/>
  <c r="W1176" i="3"/>
  <c r="X1176" i="3" s="1"/>
  <c r="W831" i="3"/>
  <c r="V831" i="3"/>
  <c r="V1229" i="3"/>
  <c r="X1229" i="3" s="1"/>
  <c r="V1238" i="3"/>
  <c r="X1238" i="3" s="1"/>
  <c r="V1248" i="3"/>
  <c r="X1248" i="3" s="1"/>
  <c r="V366" i="3"/>
  <c r="X366" i="3" s="1"/>
  <c r="V381" i="3"/>
  <c r="X381" i="3" s="1"/>
  <c r="V418" i="3"/>
  <c r="X418" i="3" s="1"/>
  <c r="V455" i="3"/>
  <c r="X455" i="3" s="1"/>
  <c r="V485" i="3"/>
  <c r="X485" i="3" s="1"/>
  <c r="V508" i="3"/>
  <c r="X508" i="3" s="1"/>
  <c r="V578" i="3"/>
  <c r="X578" i="3" s="1"/>
  <c r="V625" i="3"/>
  <c r="X625" i="3" s="1"/>
  <c r="W695" i="3"/>
  <c r="X695" i="3" s="1"/>
  <c r="V703" i="3"/>
  <c r="X703" i="3" s="1"/>
  <c r="V788" i="3"/>
  <c r="X788" i="3" s="1"/>
  <c r="V814" i="3"/>
  <c r="X814" i="3" s="1"/>
  <c r="V849" i="3"/>
  <c r="X849" i="3" s="1"/>
  <c r="V900" i="3"/>
  <c r="X900" i="3" s="1"/>
  <c r="V994" i="3"/>
  <c r="X994" i="3" s="1"/>
  <c r="W1011" i="3"/>
  <c r="X1011" i="3" s="1"/>
  <c r="V1020" i="3"/>
  <c r="X1020" i="3" s="1"/>
  <c r="V1038" i="3"/>
  <c r="X1038" i="3" s="1"/>
  <c r="V1055" i="3"/>
  <c r="X1055" i="3" s="1"/>
  <c r="V1064" i="3"/>
  <c r="X1064" i="3" s="1"/>
  <c r="W1099" i="3"/>
  <c r="X1099" i="3" s="1"/>
  <c r="V1108" i="3"/>
  <c r="X1108" i="3" s="1"/>
  <c r="V1134" i="3"/>
  <c r="X1134" i="3" s="1"/>
  <c r="V1151" i="3"/>
  <c r="X1151" i="3" s="1"/>
  <c r="V1203" i="3"/>
  <c r="X1203" i="3" s="1"/>
  <c r="V1212" i="3"/>
  <c r="X1212" i="3" s="1"/>
  <c r="V1275" i="3"/>
  <c r="X1275" i="3" s="1"/>
  <c r="W909" i="3"/>
  <c r="V909" i="3"/>
  <c r="V961" i="3"/>
  <c r="X961" i="3" s="1"/>
  <c r="V969" i="3"/>
  <c r="X969" i="3" s="1"/>
  <c r="V985" i="3"/>
  <c r="X985" i="3" s="1"/>
  <c r="V1003" i="3"/>
  <c r="X1003" i="3" s="1"/>
  <c r="W1081" i="3"/>
  <c r="X1081" i="3" s="1"/>
  <c r="V1125" i="3"/>
  <c r="X1125" i="3" s="1"/>
  <c r="V1143" i="3"/>
  <c r="X1143" i="3" s="1"/>
  <c r="V1186" i="3"/>
  <c r="X1186" i="3" s="1"/>
  <c r="V1257" i="3"/>
  <c r="X1257" i="3" s="1"/>
  <c r="V1266" i="3"/>
  <c r="X1266" i="3" s="1"/>
  <c r="W1293" i="3"/>
  <c r="X1293" i="3" s="1"/>
  <c r="W448" i="3"/>
  <c r="X448" i="3" s="1"/>
  <c r="W680" i="3"/>
  <c r="X680" i="3" s="1"/>
  <c r="W910" i="3"/>
  <c r="V910" i="3"/>
  <c r="V944" i="3"/>
  <c r="X944" i="3" s="1"/>
  <c r="W1082" i="3"/>
  <c r="V1082" i="3"/>
  <c r="V1098" i="3"/>
  <c r="X1098" i="3" s="1"/>
  <c r="V1294" i="3"/>
  <c r="X1294" i="3" s="1"/>
  <c r="V3" i="3"/>
  <c r="X3" i="3" s="1"/>
  <c r="S332" i="3"/>
  <c r="T332" i="3" s="1"/>
  <c r="R518" i="3"/>
  <c r="T518" i="3" s="1"/>
  <c r="R285" i="3"/>
  <c r="T285" i="3" s="1"/>
  <c r="R357" i="3"/>
  <c r="T357" i="3" s="1"/>
  <c r="S972" i="3"/>
  <c r="T972" i="3" s="1"/>
  <c r="S604" i="3"/>
  <c r="T604" i="3" s="1"/>
  <c r="S998" i="3"/>
  <c r="T998" i="3" s="1"/>
  <c r="S232" i="3"/>
  <c r="T232" i="3" s="1"/>
  <c r="R855" i="3"/>
  <c r="T855" i="3" s="1"/>
  <c r="R672" i="3"/>
  <c r="T672" i="3" s="1"/>
  <c r="S569" i="3"/>
  <c r="T569" i="3" s="1"/>
  <c r="R1272" i="3"/>
  <c r="T1272" i="3" s="1"/>
  <c r="R939" i="3"/>
  <c r="T939" i="3" s="1"/>
  <c r="R1121" i="3"/>
  <c r="T1121" i="3" s="1"/>
  <c r="R1248" i="3"/>
  <c r="T1248" i="3" s="1"/>
  <c r="S1152" i="3"/>
  <c r="T1152" i="3" s="1"/>
  <c r="S344" i="3"/>
  <c r="T344" i="3" s="1"/>
  <c r="R549" i="3"/>
  <c r="T549" i="3" s="1"/>
  <c r="R446" i="3"/>
  <c r="T446" i="3" s="1"/>
  <c r="R1177" i="3"/>
  <c r="T1177" i="3" s="1"/>
  <c r="R1092" i="3"/>
  <c r="T1092" i="3" s="1"/>
  <c r="S132" i="3"/>
  <c r="T132" i="3" s="1"/>
  <c r="S1065" i="3"/>
  <c r="T1065" i="3" s="1"/>
  <c r="S1103" i="3"/>
  <c r="T1103" i="3" s="1"/>
  <c r="R871" i="3"/>
  <c r="T871" i="3" s="1"/>
  <c r="R1156" i="3"/>
  <c r="T1156" i="3" s="1"/>
  <c r="S1180" i="3"/>
  <c r="T1180" i="3" s="1"/>
  <c r="S1145" i="3"/>
  <c r="T1145" i="3" s="1"/>
  <c r="R142" i="3"/>
  <c r="T142" i="3" s="1"/>
  <c r="R1052" i="3"/>
  <c r="T1052" i="3" s="1"/>
  <c r="R425" i="3"/>
  <c r="T425" i="3" s="1"/>
  <c r="S352" i="3"/>
  <c r="T352" i="3" s="1"/>
  <c r="S1260" i="3"/>
  <c r="T1260" i="3" s="1"/>
  <c r="R1057" i="3"/>
  <c r="T1057" i="3" s="1"/>
  <c r="R43" i="3"/>
  <c r="T43" i="3" s="1"/>
  <c r="S146" i="3"/>
  <c r="T146" i="3" s="1"/>
  <c r="S303" i="3"/>
  <c r="T303" i="3" s="1"/>
  <c r="R536" i="3"/>
  <c r="T536" i="3" s="1"/>
  <c r="S773" i="3"/>
  <c r="T773" i="3" s="1"/>
  <c r="S800" i="3"/>
  <c r="T800" i="3" s="1"/>
  <c r="S1162" i="3"/>
  <c r="T1162" i="3" s="1"/>
  <c r="R1186" i="3"/>
  <c r="T1186" i="3" s="1"/>
  <c r="S227" i="3"/>
  <c r="T227" i="3" s="1"/>
  <c r="S667" i="3"/>
  <c r="T667" i="3" s="1"/>
  <c r="S1240" i="3"/>
  <c r="T1240" i="3" s="1"/>
  <c r="S1025" i="3"/>
  <c r="T1025" i="3" s="1"/>
  <c r="S529" i="3"/>
  <c r="T529" i="3" s="1"/>
  <c r="R1232" i="3"/>
  <c r="T1232" i="3" s="1"/>
  <c r="S824" i="3"/>
  <c r="T824" i="3" s="1"/>
  <c r="R932" i="3"/>
  <c r="T932" i="3" s="1"/>
  <c r="S984" i="3"/>
  <c r="T984" i="3" s="1"/>
  <c r="S1216" i="3"/>
  <c r="T1216" i="3" s="1"/>
  <c r="S543" i="3"/>
  <c r="T543" i="3" s="1"/>
  <c r="S1274" i="3"/>
  <c r="T1274" i="3" s="1"/>
  <c r="R393" i="3"/>
  <c r="T393" i="3" s="1"/>
  <c r="R88" i="3"/>
  <c r="T88" i="3" s="1"/>
  <c r="S372" i="3"/>
  <c r="T372" i="3" s="1"/>
  <c r="S65" i="3"/>
  <c r="T65" i="3" s="1"/>
  <c r="S277" i="3"/>
  <c r="T277" i="3" s="1"/>
  <c r="S928" i="3"/>
  <c r="T928" i="3" s="1"/>
  <c r="S353" i="3"/>
  <c r="T353" i="3" s="1"/>
  <c r="R690" i="3"/>
  <c r="T690" i="3" s="1"/>
  <c r="R434" i="3"/>
  <c r="T434" i="3" s="1"/>
  <c r="S488" i="3"/>
  <c r="T488" i="3" s="1"/>
  <c r="S643" i="3"/>
  <c r="T643" i="3" s="1"/>
  <c r="R856" i="3"/>
  <c r="T856" i="3" s="1"/>
  <c r="S1165" i="3"/>
  <c r="T1165" i="3" s="1"/>
  <c r="R109" i="3"/>
  <c r="T109" i="3" s="1"/>
  <c r="R631" i="3"/>
  <c r="T631" i="3" s="1"/>
  <c r="S684" i="3"/>
  <c r="T684" i="3" s="1"/>
  <c r="S171" i="3"/>
  <c r="T171" i="3" s="1"/>
  <c r="R204" i="3"/>
  <c r="T204" i="3" s="1"/>
  <c r="S1259" i="3"/>
  <c r="T1259" i="3" s="1"/>
  <c r="S1004" i="3"/>
  <c r="T1004" i="3" s="1"/>
  <c r="S772" i="3"/>
  <c r="T772" i="3" s="1"/>
  <c r="S619" i="3"/>
  <c r="T619" i="3" s="1"/>
  <c r="S805" i="3"/>
  <c r="T805" i="3" s="1"/>
  <c r="S1244" i="3"/>
  <c r="T1244" i="3" s="1"/>
  <c r="R11" i="3"/>
  <c r="T11" i="3" s="1"/>
  <c r="S55" i="3"/>
  <c r="T55" i="3" s="1"/>
  <c r="S295" i="3"/>
  <c r="T295" i="3" s="1"/>
  <c r="R436" i="3"/>
  <c r="T436" i="3" s="1"/>
  <c r="S539" i="3"/>
  <c r="T539" i="3" s="1"/>
  <c r="S583" i="3"/>
  <c r="T583" i="3" s="1"/>
  <c r="R794" i="3"/>
  <c r="T794" i="3" s="1"/>
  <c r="S834" i="3"/>
  <c r="T834" i="3" s="1"/>
  <c r="R1205" i="3"/>
  <c r="T1205" i="3" s="1"/>
  <c r="R207" i="3"/>
  <c r="T207" i="3" s="1"/>
  <c r="S437" i="3"/>
  <c r="T437" i="3" s="1"/>
  <c r="R480" i="3"/>
  <c r="T480" i="3" s="1"/>
  <c r="R729" i="3"/>
  <c r="T729" i="3" s="1"/>
  <c r="S815" i="3"/>
  <c r="T815" i="3" s="1"/>
  <c r="R857" i="3"/>
  <c r="T857" i="3" s="1"/>
  <c r="R897" i="3"/>
  <c r="T897" i="3" s="1"/>
  <c r="S963" i="3"/>
  <c r="T963" i="3" s="1"/>
  <c r="R1164" i="3"/>
  <c r="T1164" i="3" s="1"/>
  <c r="S1230" i="3"/>
  <c r="T1230" i="3" s="1"/>
  <c r="S35" i="3"/>
  <c r="T35" i="3" s="1"/>
  <c r="S56" i="3"/>
  <c r="T56" i="3" s="1"/>
  <c r="R123" i="3"/>
  <c r="T123" i="3" s="1"/>
  <c r="S314" i="3"/>
  <c r="T314" i="3" s="1"/>
  <c r="R338" i="3"/>
  <c r="T338" i="3" s="1"/>
  <c r="R356" i="3"/>
  <c r="T356" i="3" s="1"/>
  <c r="R585" i="3"/>
  <c r="T585" i="3" s="1"/>
  <c r="S774" i="3"/>
  <c r="T774" i="3" s="1"/>
  <c r="S875" i="3"/>
  <c r="T875" i="3" s="1"/>
  <c r="R941" i="3"/>
  <c r="T941" i="3" s="1"/>
  <c r="R1185" i="3"/>
  <c r="T1185" i="3" s="1"/>
  <c r="S1252" i="3"/>
  <c r="T1252" i="3" s="1"/>
  <c r="R81" i="3"/>
  <c r="T81" i="3" s="1"/>
  <c r="S208" i="3"/>
  <c r="T208" i="3" s="1"/>
  <c r="R297" i="3"/>
  <c r="T297" i="3" s="1"/>
  <c r="S419" i="3"/>
  <c r="T419" i="3" s="1"/>
  <c r="R500" i="3"/>
  <c r="T500" i="3" s="1"/>
  <c r="R707" i="3"/>
  <c r="T707" i="3" s="1"/>
  <c r="R796" i="3"/>
  <c r="T796" i="3" s="1"/>
  <c r="S921" i="3"/>
  <c r="T921" i="3" s="1"/>
  <c r="S964" i="3"/>
  <c r="T964" i="3" s="1"/>
  <c r="R1071" i="3"/>
  <c r="T1071" i="3" s="1"/>
  <c r="R988" i="3"/>
  <c r="T988" i="3" s="1"/>
  <c r="S1009" i="3"/>
  <c r="T1009" i="3" s="1"/>
  <c r="R211" i="3"/>
  <c r="T211" i="3" s="1"/>
  <c r="S664" i="3"/>
  <c r="T664" i="3" s="1"/>
  <c r="R778" i="3"/>
  <c r="T778" i="3" s="1"/>
  <c r="S1122" i="3"/>
  <c r="T1122" i="3" s="1"/>
  <c r="R282" i="3"/>
  <c r="T282" i="3" s="1"/>
  <c r="S341" i="3"/>
  <c r="T341" i="3" s="1"/>
  <c r="R379" i="3"/>
  <c r="T379" i="3" s="1"/>
  <c r="S422" i="3"/>
  <c r="T422" i="3" s="1"/>
  <c r="S442" i="3"/>
  <c r="T442" i="3" s="1"/>
  <c r="R466" i="3"/>
  <c r="T466" i="3" s="1"/>
  <c r="R758" i="3"/>
  <c r="T758" i="3" s="1"/>
  <c r="S841" i="3"/>
  <c r="T841" i="3" s="1"/>
  <c r="S860" i="3"/>
  <c r="T860" i="3" s="1"/>
  <c r="S1189" i="3"/>
  <c r="T1189" i="3" s="1"/>
  <c r="S1257" i="3"/>
  <c r="T1257" i="3" s="1"/>
  <c r="S233" i="3"/>
  <c r="T233" i="3" s="1"/>
  <c r="S281" i="3"/>
  <c r="T281" i="3" s="1"/>
  <c r="R483" i="3"/>
  <c r="T483" i="3" s="1"/>
  <c r="S685" i="3"/>
  <c r="T685" i="3" s="1"/>
  <c r="S757" i="3"/>
  <c r="T757" i="3" s="1"/>
  <c r="R39" i="3"/>
  <c r="T39" i="3" s="1"/>
  <c r="S503" i="3"/>
  <c r="T503" i="3" s="1"/>
  <c r="R108" i="3"/>
  <c r="T108" i="3" s="1"/>
  <c r="S358" i="3"/>
  <c r="T358" i="3" s="1"/>
  <c r="R148" i="3"/>
  <c r="T148" i="3" s="1"/>
  <c r="S169" i="3"/>
  <c r="T169" i="3" s="1"/>
  <c r="S665" i="3"/>
  <c r="T665" i="3" s="1"/>
  <c r="R903" i="3"/>
  <c r="T903" i="3" s="1"/>
  <c r="R969" i="3"/>
  <c r="T969" i="3" s="1"/>
  <c r="S1278" i="3"/>
  <c r="T1278" i="3" s="1"/>
  <c r="R18" i="3"/>
  <c r="T18" i="3" s="1"/>
  <c r="S342" i="3"/>
  <c r="T342" i="3" s="1"/>
  <c r="R423" i="3"/>
  <c r="T423" i="3" s="1"/>
  <c r="S486" i="3"/>
  <c r="T486" i="3" s="1"/>
  <c r="S568" i="3"/>
  <c r="T568" i="3" s="1"/>
  <c r="S799" i="3"/>
  <c r="T799" i="3" s="1"/>
  <c r="R861" i="3"/>
  <c r="T861" i="3" s="1"/>
  <c r="R185" i="3"/>
  <c r="T185" i="3" s="1"/>
  <c r="S83" i="3"/>
  <c r="T83" i="3" s="1"/>
  <c r="S340" i="3"/>
  <c r="T340" i="3" s="1"/>
  <c r="S859" i="3"/>
  <c r="T859" i="3" s="1"/>
  <c r="R17" i="3"/>
  <c r="T17" i="3" s="1"/>
  <c r="R147" i="3"/>
  <c r="T147" i="3" s="1"/>
  <c r="S299" i="3"/>
  <c r="T299" i="3" s="1"/>
  <c r="S614" i="3"/>
  <c r="T614" i="3" s="1"/>
  <c r="S798" i="3"/>
  <c r="T798" i="3" s="1"/>
  <c r="S924" i="3"/>
  <c r="T924" i="3" s="1"/>
  <c r="S399" i="3"/>
  <c r="T399" i="3" s="1"/>
  <c r="S992" i="3"/>
  <c r="T992" i="3" s="1"/>
  <c r="S1013" i="3"/>
  <c r="T1013" i="3" s="1"/>
  <c r="S1035" i="3"/>
  <c r="T1035" i="3" s="1"/>
  <c r="R1078" i="3"/>
  <c r="T1078" i="3" s="1"/>
  <c r="R1102" i="3"/>
  <c r="T1102" i="3" s="1"/>
  <c r="S708" i="3"/>
  <c r="T708" i="3" s="1"/>
  <c r="S901" i="3"/>
  <c r="T901" i="3" s="1"/>
  <c r="S1146" i="3"/>
  <c r="T1146" i="3" s="1"/>
  <c r="S1175" i="3"/>
  <c r="T1175" i="3" s="1"/>
  <c r="R243" i="3"/>
  <c r="T243" i="3" s="1"/>
  <c r="R270" i="3"/>
  <c r="T270" i="3" s="1"/>
  <c r="R386" i="3"/>
  <c r="T386" i="3" s="1"/>
  <c r="R532" i="3"/>
  <c r="T532" i="3" s="1"/>
  <c r="S599" i="3"/>
  <c r="T599" i="3" s="1"/>
  <c r="R743" i="3"/>
  <c r="T743" i="3" s="1"/>
  <c r="R889" i="3"/>
  <c r="T889" i="3" s="1"/>
  <c r="R954" i="3"/>
  <c r="T954" i="3" s="1"/>
  <c r="S1039" i="3"/>
  <c r="T1039" i="3" s="1"/>
  <c r="S1194" i="3"/>
  <c r="T1194" i="3" s="1"/>
  <c r="S306" i="3"/>
  <c r="T306" i="3" s="1"/>
  <c r="S1264" i="3"/>
  <c r="T1264" i="3" s="1"/>
  <c r="S440" i="3"/>
  <c r="T440" i="3" s="1"/>
  <c r="R151" i="3"/>
  <c r="T151" i="3" s="1"/>
  <c r="R509" i="3"/>
  <c r="T509" i="3" s="1"/>
  <c r="S1037" i="3"/>
  <c r="T1037" i="3" s="1"/>
  <c r="R764" i="3"/>
  <c r="T764" i="3" s="1"/>
  <c r="S864" i="3"/>
  <c r="T864" i="3" s="1"/>
  <c r="R305" i="3"/>
  <c r="T305" i="3" s="1"/>
  <c r="S826" i="3"/>
  <c r="T826" i="3" s="1"/>
  <c r="S1016" i="3"/>
  <c r="T1016" i="3" s="1"/>
  <c r="R560" i="3"/>
  <c r="T560" i="3" s="1"/>
  <c r="S530" i="3"/>
  <c r="T530" i="3" s="1"/>
  <c r="R784" i="3"/>
  <c r="T784" i="3" s="1"/>
  <c r="R929" i="3"/>
  <c r="T929" i="3" s="1"/>
  <c r="S1015" i="3"/>
  <c r="T1015" i="3" s="1"/>
  <c r="S405" i="3"/>
  <c r="T405" i="3" s="1"/>
  <c r="R1081" i="3"/>
  <c r="T1081" i="3" s="1"/>
  <c r="S68" i="3"/>
  <c r="T68" i="3" s="1"/>
  <c r="R93" i="3"/>
  <c r="T93" i="3" s="1"/>
  <c r="R288" i="3"/>
  <c r="T288" i="3" s="1"/>
  <c r="R407" i="3"/>
  <c r="T407" i="3" s="1"/>
  <c r="R472" i="3"/>
  <c r="T472" i="3" s="1"/>
  <c r="S366" i="3"/>
  <c r="T366" i="3" s="1"/>
  <c r="R492" i="3"/>
  <c r="T492" i="3" s="1"/>
  <c r="R828" i="3"/>
  <c r="T828" i="3" s="1"/>
  <c r="S890" i="3"/>
  <c r="T890" i="3" s="1"/>
  <c r="R1018" i="3"/>
  <c r="T1018" i="3" s="1"/>
  <c r="R5" i="3"/>
  <c r="T5" i="3" s="1"/>
  <c r="S999" i="3"/>
  <c r="T999" i="3" s="1"/>
  <c r="S178" i="3"/>
  <c r="T178" i="3" s="1"/>
  <c r="S331" i="3"/>
  <c r="T331" i="3" s="1"/>
  <c r="S515" i="3"/>
  <c r="T515" i="3" s="1"/>
  <c r="R95" i="3"/>
  <c r="T95" i="3" s="1"/>
  <c r="R140" i="3"/>
  <c r="T140" i="3" s="1"/>
  <c r="S156" i="3"/>
  <c r="T156" i="3" s="1"/>
  <c r="R494" i="3"/>
  <c r="T494" i="3" s="1"/>
  <c r="S555" i="3"/>
  <c r="T555" i="3" s="1"/>
  <c r="R603" i="3"/>
  <c r="T603" i="3" s="1"/>
  <c r="S626" i="3"/>
  <c r="T626" i="3" s="1"/>
  <c r="R870" i="3"/>
  <c r="T870" i="3" s="1"/>
  <c r="R980" i="3"/>
  <c r="T980" i="3" s="1"/>
  <c r="R470" i="3"/>
  <c r="T470" i="3" s="1"/>
  <c r="R112" i="3"/>
  <c r="T112" i="3" s="1"/>
  <c r="R364" i="3"/>
  <c r="T364" i="3" s="1"/>
  <c r="R742" i="3"/>
  <c r="T742" i="3" s="1"/>
  <c r="R1218" i="3"/>
  <c r="T1218" i="3" s="1"/>
  <c r="S152" i="3"/>
  <c r="T152" i="3" s="1"/>
  <c r="S490" i="3"/>
  <c r="T490" i="3" s="1"/>
  <c r="S202" i="3"/>
  <c r="T202" i="3" s="1"/>
  <c r="R451" i="3"/>
  <c r="T451" i="3" s="1"/>
  <c r="S1062" i="3"/>
  <c r="T1062" i="3" s="1"/>
  <c r="S387" i="3"/>
  <c r="T387" i="3" s="1"/>
  <c r="S554" i="3"/>
  <c r="T554" i="3" s="1"/>
  <c r="S625" i="3"/>
  <c r="T625" i="3" s="1"/>
  <c r="R1178" i="3"/>
  <c r="T1178" i="3" s="1"/>
  <c r="S308" i="3"/>
  <c r="T308" i="3" s="1"/>
  <c r="S768" i="3"/>
  <c r="T768" i="3" s="1"/>
  <c r="S829" i="3"/>
  <c r="T829" i="3" s="1"/>
  <c r="S912" i="3"/>
  <c r="T912" i="3" s="1"/>
  <c r="R29" i="3"/>
  <c r="T29" i="3" s="1"/>
  <c r="R309" i="3"/>
  <c r="T309" i="3" s="1"/>
  <c r="S516" i="3"/>
  <c r="T516" i="3" s="1"/>
  <c r="R676" i="3"/>
  <c r="T676" i="3" s="1"/>
  <c r="S893" i="3"/>
  <c r="T893" i="3" s="1"/>
  <c r="S958" i="3"/>
  <c r="T958" i="3" s="1"/>
  <c r="S1225" i="3"/>
  <c r="T1225" i="3" s="1"/>
  <c r="S1268" i="3"/>
  <c r="T1268" i="3" s="1"/>
  <c r="S72" i="3"/>
  <c r="T72" i="3" s="1"/>
  <c r="R119" i="3"/>
  <c r="T119" i="3" s="1"/>
  <c r="S141" i="3"/>
  <c r="T141" i="3" s="1"/>
  <c r="R275" i="3"/>
  <c r="T275" i="3" s="1"/>
  <c r="S476" i="3"/>
  <c r="T476" i="3" s="1"/>
  <c r="R495" i="3"/>
  <c r="T495" i="3" s="1"/>
  <c r="R1045" i="3"/>
  <c r="T1045" i="3" s="1"/>
  <c r="S296" i="3"/>
  <c r="T296" i="3" s="1"/>
  <c r="R378" i="3"/>
  <c r="T378" i="3" s="1"/>
  <c r="S216" i="3"/>
  <c r="T216" i="3" s="1"/>
  <c r="S134" i="3"/>
  <c r="T134" i="3" s="1"/>
  <c r="S550" i="3"/>
  <c r="T550" i="3" s="1"/>
  <c r="R847" i="3"/>
  <c r="T847" i="3" s="1"/>
  <c r="R953" i="3"/>
  <c r="T953" i="3" s="1"/>
  <c r="R4" i="3"/>
  <c r="T4" i="3" s="1"/>
  <c r="S26" i="3"/>
  <c r="T26" i="3" s="1"/>
  <c r="S721" i="3"/>
  <c r="T721" i="3" s="1"/>
  <c r="R203" i="3"/>
  <c r="T203" i="3" s="1"/>
  <c r="S722" i="3"/>
  <c r="T722" i="3" s="1"/>
  <c r="R1086" i="3"/>
  <c r="T1086" i="3" s="1"/>
  <c r="R1135" i="3"/>
  <c r="T1135" i="3" s="1"/>
  <c r="S54" i="3"/>
  <c r="T54" i="3" s="1"/>
  <c r="S391" i="3"/>
  <c r="T391" i="3" s="1"/>
  <c r="S557" i="3"/>
  <c r="T557" i="3" s="1"/>
  <c r="S702" i="3"/>
  <c r="T702" i="3" s="1"/>
  <c r="R793" i="3"/>
  <c r="T793" i="3" s="1"/>
  <c r="S894" i="3"/>
  <c r="T894" i="3" s="1"/>
  <c r="R1003" i="3"/>
  <c r="T1003" i="3" s="1"/>
  <c r="R1066" i="3"/>
  <c r="T1066" i="3" s="1"/>
  <c r="R1204" i="3"/>
  <c r="T1204" i="3" s="1"/>
  <c r="S1150" i="3"/>
  <c r="R1150" i="3"/>
  <c r="R1212" i="3"/>
  <c r="S1212" i="3"/>
  <c r="S1089" i="3"/>
  <c r="T1089" i="3" s="1"/>
  <c r="S188" i="3"/>
  <c r="R188" i="3"/>
  <c r="R283" i="3"/>
  <c r="T283" i="3" s="1"/>
  <c r="R311" i="3"/>
  <c r="T311" i="3" s="1"/>
  <c r="R327" i="3"/>
  <c r="T327" i="3" s="1"/>
  <c r="R390" i="3"/>
  <c r="T390" i="3" s="1"/>
  <c r="R463" i="3"/>
  <c r="T463" i="3" s="1"/>
  <c r="S478" i="3"/>
  <c r="T478" i="3" s="1"/>
  <c r="S513" i="3"/>
  <c r="T513" i="3" s="1"/>
  <c r="R836" i="3"/>
  <c r="T836" i="3" s="1"/>
  <c r="S872" i="3"/>
  <c r="T872" i="3" s="1"/>
  <c r="S911" i="3"/>
  <c r="T911" i="3" s="1"/>
  <c r="S1129" i="3"/>
  <c r="T1129" i="3" s="1"/>
  <c r="S1151" i="3"/>
  <c r="R1151" i="3"/>
  <c r="R1253" i="3"/>
  <c r="S1253" i="3"/>
  <c r="S1034" i="3"/>
  <c r="T1034" i="3" s="1"/>
  <c r="R153" i="3"/>
  <c r="T153" i="3" s="1"/>
  <c r="R234" i="3"/>
  <c r="T234" i="3" s="1"/>
  <c r="R252" i="3"/>
  <c r="S252" i="3"/>
  <c r="S1048" i="3"/>
  <c r="T1048" i="3" s="1"/>
  <c r="S1233" i="3"/>
  <c r="R1233" i="3"/>
  <c r="S21" i="3"/>
  <c r="T21" i="3" s="1"/>
  <c r="R172" i="3"/>
  <c r="T172" i="3" s="1"/>
  <c r="R221" i="3"/>
  <c r="T221" i="3" s="1"/>
  <c r="R236" i="3"/>
  <c r="T236" i="3" s="1"/>
  <c r="R253" i="3"/>
  <c r="T253" i="3" s="1"/>
  <c r="S359" i="3"/>
  <c r="T359" i="3" s="1"/>
  <c r="R464" i="3"/>
  <c r="T464" i="3" s="1"/>
  <c r="S648" i="3"/>
  <c r="T648" i="3" s="1"/>
  <c r="S895" i="3"/>
  <c r="T895" i="3" s="1"/>
  <c r="R914" i="3"/>
  <c r="S914" i="3"/>
  <c r="R1012" i="3"/>
  <c r="S1012" i="3"/>
  <c r="R1050" i="3"/>
  <c r="T1050" i="3" s="1"/>
  <c r="R1067" i="3"/>
  <c r="T1067" i="3" s="1"/>
  <c r="R330" i="3"/>
  <c r="T330" i="3" s="1"/>
  <c r="R394" i="3"/>
  <c r="T394" i="3" s="1"/>
  <c r="R431" i="3"/>
  <c r="T431" i="3" s="1"/>
  <c r="S590" i="3"/>
  <c r="T590" i="3" s="1"/>
  <c r="S649" i="3"/>
  <c r="T649" i="3" s="1"/>
  <c r="R785" i="3"/>
  <c r="T785" i="3" s="1"/>
  <c r="S957" i="3"/>
  <c r="R957" i="3"/>
  <c r="R1277" i="3"/>
  <c r="T1277" i="3" s="1"/>
  <c r="R1153" i="3"/>
  <c r="S1153" i="3"/>
  <c r="S238" i="3"/>
  <c r="T238" i="3" s="1"/>
  <c r="R899" i="3"/>
  <c r="S899" i="3"/>
  <c r="S977" i="3"/>
  <c r="T977" i="3" s="1"/>
  <c r="R995" i="3"/>
  <c r="T995" i="3" s="1"/>
  <c r="S445" i="3"/>
  <c r="T445" i="3" s="1"/>
  <c r="S606" i="3"/>
  <c r="T606" i="3" s="1"/>
  <c r="R535" i="3"/>
  <c r="S535" i="3"/>
  <c r="S1195" i="3"/>
  <c r="R1195" i="3"/>
  <c r="S42" i="3"/>
  <c r="T42" i="3" s="1"/>
  <c r="S173" i="3"/>
  <c r="T173" i="3" s="1"/>
  <c r="S1239" i="3"/>
  <c r="R1239" i="3"/>
  <c r="S57" i="3"/>
  <c r="T57" i="3" s="1"/>
  <c r="R1117" i="3"/>
  <c r="S1117" i="3"/>
  <c r="S78" i="3"/>
  <c r="R78" i="3"/>
  <c r="S209" i="3"/>
  <c r="T209" i="3" s="1"/>
  <c r="R239" i="3"/>
  <c r="T239" i="3" s="1"/>
  <c r="R349" i="3"/>
  <c r="S349" i="3"/>
  <c r="S365" i="3"/>
  <c r="R365" i="3"/>
  <c r="R381" i="3"/>
  <c r="T381" i="3" s="1"/>
  <c r="R416" i="3"/>
  <c r="T416" i="3" s="1"/>
  <c r="S450" i="3"/>
  <c r="T450" i="3" s="1"/>
  <c r="S501" i="3"/>
  <c r="T501" i="3" s="1"/>
  <c r="R520" i="3"/>
  <c r="S520" i="3"/>
  <c r="R556" i="3"/>
  <c r="T556" i="3" s="1"/>
  <c r="R592" i="3"/>
  <c r="T592" i="3" s="1"/>
  <c r="R691" i="3"/>
  <c r="S691" i="3"/>
  <c r="S754" i="3"/>
  <c r="T754" i="3" s="1"/>
  <c r="S771" i="3"/>
  <c r="T771" i="3" s="1"/>
  <c r="S802" i="3"/>
  <c r="T802" i="3" s="1"/>
  <c r="R845" i="3"/>
  <c r="S845" i="3"/>
  <c r="R1036" i="3"/>
  <c r="T1036" i="3" s="1"/>
  <c r="R1199" i="3"/>
  <c r="T1199" i="3" s="1"/>
  <c r="S1220" i="3"/>
  <c r="T1220" i="3" s="1"/>
  <c r="R160" i="3"/>
  <c r="S160" i="3"/>
  <c r="R225" i="3"/>
  <c r="T225" i="3" s="1"/>
  <c r="S317" i="3"/>
  <c r="T317" i="3" s="1"/>
  <c r="R575" i="3"/>
  <c r="T575" i="3" s="1"/>
  <c r="R633" i="3"/>
  <c r="T633" i="3" s="1"/>
  <c r="R803" i="3"/>
  <c r="S803" i="3"/>
  <c r="R1053" i="3"/>
  <c r="T1053" i="3" s="1"/>
  <c r="R1073" i="3"/>
  <c r="T1073" i="3" s="1"/>
  <c r="S1261" i="3"/>
  <c r="T1261" i="3" s="1"/>
  <c r="S61" i="3"/>
  <c r="T61" i="3" s="1"/>
  <c r="R79" i="3"/>
  <c r="T79" i="3" s="1"/>
  <c r="R260" i="3"/>
  <c r="T260" i="3" s="1"/>
  <c r="S289" i="3"/>
  <c r="R289" i="3"/>
  <c r="S755" i="3"/>
  <c r="T755" i="3" s="1"/>
  <c r="S787" i="3"/>
  <c r="T787" i="3" s="1"/>
  <c r="S1074" i="3"/>
  <c r="R1074" i="3"/>
  <c r="S1262" i="3"/>
  <c r="R1262" i="3"/>
  <c r="R328" i="3"/>
  <c r="T328" i="3" s="1"/>
  <c r="R686" i="3"/>
  <c r="S686" i="3"/>
  <c r="R254" i="3"/>
  <c r="S254" i="3"/>
  <c r="S430" i="3"/>
  <c r="T430" i="3" s="1"/>
  <c r="S1276" i="3"/>
  <c r="T1276" i="3" s="1"/>
  <c r="R345" i="3"/>
  <c r="S345" i="3"/>
  <c r="S481" i="3"/>
  <c r="T481" i="3" s="1"/>
  <c r="R9" i="3"/>
  <c r="T9" i="3" s="1"/>
  <c r="R574" i="3"/>
  <c r="T574" i="3" s="1"/>
  <c r="R786" i="3"/>
  <c r="T786" i="3" s="1"/>
  <c r="R1096" i="3"/>
  <c r="S1096" i="3"/>
  <c r="R1201" i="3"/>
  <c r="S1201" i="3"/>
  <c r="R1282" i="3"/>
  <c r="S1282" i="3"/>
  <c r="R28" i="3"/>
  <c r="T28" i="3" s="1"/>
  <c r="R62" i="3"/>
  <c r="T62" i="3" s="1"/>
  <c r="S80" i="3"/>
  <c r="T80" i="3" s="1"/>
  <c r="R97" i="3"/>
  <c r="T97" i="3" s="1"/>
  <c r="R162" i="3"/>
  <c r="T162" i="3" s="1"/>
  <c r="R179" i="3"/>
  <c r="T179" i="3" s="1"/>
  <c r="S226" i="3"/>
  <c r="T226" i="3" s="1"/>
  <c r="R261" i="3"/>
  <c r="T261" i="3" s="1"/>
  <c r="R276" i="3"/>
  <c r="T276" i="3" s="1"/>
  <c r="R487" i="3"/>
  <c r="S487" i="3"/>
  <c r="S616" i="3"/>
  <c r="R616" i="3"/>
  <c r="S656" i="3"/>
  <c r="R656" i="3"/>
  <c r="R693" i="3"/>
  <c r="T693" i="3" s="1"/>
  <c r="R714" i="3"/>
  <c r="T714" i="3" s="1"/>
  <c r="S756" i="3"/>
  <c r="T756" i="3" s="1"/>
  <c r="S788" i="3"/>
  <c r="T788" i="3" s="1"/>
  <c r="S827" i="3"/>
  <c r="R827" i="3"/>
  <c r="R962" i="3"/>
  <c r="T962" i="3" s="1"/>
  <c r="S1038" i="3"/>
  <c r="R1038" i="3"/>
  <c r="R1263" i="3"/>
  <c r="T1263" i="3" s="1"/>
  <c r="R13" i="3"/>
  <c r="S13" i="3"/>
  <c r="R200" i="3"/>
  <c r="T200" i="3" s="1"/>
  <c r="S319" i="3"/>
  <c r="T319" i="3" s="1"/>
  <c r="R367" i="3"/>
  <c r="T367" i="3" s="1"/>
  <c r="R384" i="3"/>
  <c r="T384" i="3" s="1"/>
  <c r="S452" i="3"/>
  <c r="R452" i="3"/>
  <c r="S558" i="3"/>
  <c r="T558" i="3" s="1"/>
  <c r="R576" i="3"/>
  <c r="T576" i="3" s="1"/>
  <c r="R635" i="3"/>
  <c r="T635" i="3" s="1"/>
  <c r="S1020" i="3"/>
  <c r="R1020" i="3"/>
  <c r="S1143" i="3"/>
  <c r="T1143" i="3" s="1"/>
  <c r="R274" i="3"/>
  <c r="T274" i="3" s="1"/>
  <c r="S278" i="3"/>
  <c r="R278" i="3"/>
  <c r="S401" i="3"/>
  <c r="T401" i="3" s="1"/>
  <c r="R578" i="3"/>
  <c r="T578" i="3" s="1"/>
  <c r="R598" i="3"/>
  <c r="S598" i="3"/>
  <c r="S638" i="3"/>
  <c r="R638" i="3"/>
  <c r="S677" i="3"/>
  <c r="T677" i="3" s="1"/>
  <c r="S695" i="3"/>
  <c r="T695" i="3" s="1"/>
  <c r="R740" i="3"/>
  <c r="T740" i="3" s="1"/>
  <c r="R945" i="3"/>
  <c r="T945" i="3" s="1"/>
  <c r="R1022" i="3"/>
  <c r="T1022" i="3" s="1"/>
  <c r="S1040" i="3"/>
  <c r="T1040" i="3" s="1"/>
  <c r="S1101" i="3"/>
  <c r="R1101" i="3"/>
  <c r="R1184" i="3"/>
  <c r="T1184" i="3" s="1"/>
  <c r="S1247" i="3"/>
  <c r="R1247" i="3"/>
  <c r="S1110" i="3"/>
  <c r="T1110" i="3" s="1"/>
  <c r="S1234" i="3"/>
  <c r="R1234" i="3"/>
  <c r="S1134" i="3"/>
  <c r="R1134" i="3"/>
  <c r="S191" i="3"/>
  <c r="T191" i="3" s="1"/>
  <c r="R821" i="3"/>
  <c r="T821" i="3" s="1"/>
  <c r="S447" i="3"/>
  <c r="T447" i="3" s="1"/>
  <c r="S609" i="3"/>
  <c r="T609" i="3" s="1"/>
  <c r="S876" i="3"/>
  <c r="T876" i="3" s="1"/>
  <c r="R316" i="3"/>
  <c r="T316" i="3" s="1"/>
  <c r="R181" i="3"/>
  <c r="S181" i="3"/>
  <c r="S385" i="3"/>
  <c r="R385" i="3"/>
  <c r="R368" i="3"/>
  <c r="T368" i="3" s="1"/>
  <c r="R982" i="3"/>
  <c r="T982" i="3" s="1"/>
  <c r="R1144" i="3"/>
  <c r="T1144" i="3" s="1"/>
  <c r="R50" i="3"/>
  <c r="T50" i="3" s="1"/>
  <c r="R136" i="3"/>
  <c r="T136" i="3" s="1"/>
  <c r="R201" i="3"/>
  <c r="T201" i="3" s="1"/>
  <c r="R214" i="3"/>
  <c r="T214" i="3" s="1"/>
  <c r="S294" i="3"/>
  <c r="T294" i="3" s="1"/>
  <c r="S507" i="3"/>
  <c r="T507" i="3" s="1"/>
  <c r="S926" i="3"/>
  <c r="R926" i="3"/>
  <c r="S1059" i="3"/>
  <c r="R1059" i="3"/>
  <c r="S184" i="3"/>
  <c r="T184" i="3" s="1"/>
  <c r="R264" i="3"/>
  <c r="T264" i="3" s="1"/>
  <c r="R322" i="3"/>
  <c r="T322" i="3" s="1"/>
  <c r="R402" i="3"/>
  <c r="T402" i="3" s="1"/>
  <c r="S678" i="3"/>
  <c r="T678" i="3" s="1"/>
  <c r="S696" i="3"/>
  <c r="T696" i="3" s="1"/>
  <c r="R775" i="3"/>
  <c r="T775" i="3" s="1"/>
  <c r="S853" i="3"/>
  <c r="T853" i="3" s="1"/>
  <c r="R906" i="3"/>
  <c r="T906" i="3" s="1"/>
  <c r="R84" i="3"/>
  <c r="T84" i="3" s="1"/>
  <c r="R137" i="3"/>
  <c r="T137" i="3" s="1"/>
  <c r="R150" i="3"/>
  <c r="T150" i="3" s="1"/>
  <c r="S246" i="3"/>
  <c r="T246" i="3" s="1"/>
  <c r="S403" i="3"/>
  <c r="R403" i="3"/>
  <c r="R546" i="3"/>
  <c r="T546" i="3" s="1"/>
  <c r="R561" i="3"/>
  <c r="S561" i="3"/>
  <c r="R662" i="3"/>
  <c r="T662" i="3" s="1"/>
  <c r="S947" i="3"/>
  <c r="T947" i="3" s="1"/>
  <c r="S965" i="3"/>
  <c r="T965" i="3" s="1"/>
  <c r="R1125" i="3"/>
  <c r="T1125" i="3" s="1"/>
  <c r="R312" i="3"/>
  <c r="S312" i="3"/>
  <c r="R284" i="3"/>
  <c r="T284" i="3" s="1"/>
  <c r="S874" i="3"/>
  <c r="T874" i="3" s="1"/>
  <c r="R608" i="3"/>
  <c r="S608" i="3"/>
  <c r="S1051" i="3"/>
  <c r="R1051" i="3"/>
  <c r="R129" i="3"/>
  <c r="T129" i="3" s="1"/>
  <c r="S286" i="3"/>
  <c r="T286" i="3" s="1"/>
  <c r="R25" i="3"/>
  <c r="T25" i="3" s="1"/>
  <c r="S559" i="3"/>
  <c r="T559" i="3" s="1"/>
  <c r="R618" i="3"/>
  <c r="T618" i="3" s="1"/>
  <c r="S1246" i="3"/>
  <c r="T1246" i="3" s="1"/>
  <c r="S321" i="3"/>
  <c r="T321" i="3" s="1"/>
  <c r="R165" i="3"/>
  <c r="T165" i="3" s="1"/>
  <c r="S370" i="3"/>
  <c r="T370" i="3" s="1"/>
  <c r="R323" i="3"/>
  <c r="S323" i="3"/>
  <c r="S176" i="3"/>
  <c r="R176" i="3"/>
  <c r="R228" i="3"/>
  <c r="T228" i="3" s="1"/>
  <c r="R354" i="3"/>
  <c r="T354" i="3" s="1"/>
  <c r="R53" i="3"/>
  <c r="T53" i="3" s="1"/>
  <c r="S67" i="3"/>
  <c r="R67" i="3"/>
  <c r="R85" i="3"/>
  <c r="T85" i="3" s="1"/>
  <c r="S121" i="3"/>
  <c r="T121" i="3" s="1"/>
  <c r="S247" i="3"/>
  <c r="T247" i="3" s="1"/>
  <c r="S388" i="3"/>
  <c r="T388" i="3" s="1"/>
  <c r="R404" i="3"/>
  <c r="T404" i="3" s="1"/>
  <c r="R680" i="3"/>
  <c r="T680" i="3" s="1"/>
  <c r="S986" i="3"/>
  <c r="T986" i="3" s="1"/>
  <c r="S1082" i="3"/>
  <c r="T1082" i="3" s="1"/>
  <c r="S223" i="3"/>
  <c r="T223" i="3" s="1"/>
  <c r="S98" i="3"/>
  <c r="R98" i="3"/>
  <c r="R377" i="3"/>
  <c r="S377" i="3"/>
  <c r="R1173" i="3"/>
  <c r="S1173" i="3"/>
  <c r="S90" i="3"/>
  <c r="T90" i="3" s="1"/>
  <c r="S125" i="3"/>
  <c r="T125" i="3" s="1"/>
  <c r="R190" i="3"/>
  <c r="T190" i="3" s="1"/>
  <c r="S933" i="3"/>
  <c r="T933" i="3" s="1"/>
  <c r="R127" i="3"/>
  <c r="S127" i="3"/>
  <c r="S222" i="3"/>
  <c r="R222" i="3"/>
  <c r="R728" i="3"/>
  <c r="S728" i="3"/>
  <c r="S144" i="3"/>
  <c r="R144" i="3"/>
  <c r="R668" i="3"/>
  <c r="T668" i="3" s="1"/>
  <c r="R1196" i="3"/>
  <c r="S1196" i="3"/>
  <c r="R158" i="3"/>
  <c r="T158" i="3" s="1"/>
  <c r="R14" i="3"/>
  <c r="T14" i="3" s="1"/>
  <c r="R63" i="3"/>
  <c r="T63" i="3" s="1"/>
  <c r="R213" i="3"/>
  <c r="T213" i="3" s="1"/>
  <c r="S597" i="3"/>
  <c r="T597" i="3" s="1"/>
  <c r="R1002" i="3"/>
  <c r="S1002" i="3"/>
  <c r="R1265" i="3"/>
  <c r="S1265" i="3"/>
  <c r="S149" i="3"/>
  <c r="T149" i="3" s="1"/>
  <c r="S987" i="3"/>
  <c r="R987" i="3"/>
  <c r="S1188" i="3"/>
  <c r="R1188" i="3"/>
  <c r="S1251" i="3"/>
  <c r="R1251" i="3"/>
  <c r="S105" i="3"/>
  <c r="T105" i="3" s="1"/>
  <c r="R186" i="3"/>
  <c r="T186" i="3" s="1"/>
  <c r="R267" i="3"/>
  <c r="T267" i="3" s="1"/>
  <c r="S310" i="3"/>
  <c r="T310" i="3" s="1"/>
  <c r="R389" i="3"/>
  <c r="T389" i="3" s="1"/>
  <c r="R950" i="3"/>
  <c r="T950" i="3" s="1"/>
  <c r="R1064" i="3"/>
  <c r="S1064" i="3"/>
  <c r="S1083" i="3"/>
  <c r="T1083" i="3" s="1"/>
  <c r="R1149" i="3"/>
  <c r="T1149" i="3" s="1"/>
  <c r="R759" i="3"/>
  <c r="S759" i="3"/>
  <c r="R790" i="3"/>
  <c r="S790" i="3"/>
  <c r="R565" i="3"/>
  <c r="S565" i="3"/>
  <c r="R217" i="3"/>
  <c r="S217" i="3"/>
  <c r="S534" i="3"/>
  <c r="T534" i="3" s="1"/>
  <c r="S602" i="3"/>
  <c r="T602" i="3" s="1"/>
  <c r="R653" i="3"/>
  <c r="T653" i="3" s="1"/>
  <c r="R744" i="3"/>
  <c r="T744" i="3" s="1"/>
  <c r="S762" i="3"/>
  <c r="T762" i="3" s="1"/>
  <c r="S809" i="3"/>
  <c r="T809" i="3" s="1"/>
  <c r="R934" i="3"/>
  <c r="T934" i="3" s="1"/>
  <c r="S1115" i="3"/>
  <c r="T1115" i="3" s="1"/>
  <c r="S1249" i="3"/>
  <c r="T1249" i="3" s="1"/>
  <c r="R1286" i="3"/>
  <c r="T1286" i="3" s="1"/>
  <c r="S1116" i="3"/>
  <c r="R1116" i="3"/>
  <c r="R551" i="3"/>
  <c r="S551" i="3"/>
  <c r="R519" i="3"/>
  <c r="T519" i="3" s="1"/>
  <c r="S655" i="3"/>
  <c r="T655" i="3" s="1"/>
  <c r="S812" i="3"/>
  <c r="T812" i="3" s="1"/>
  <c r="R900" i="3"/>
  <c r="S900" i="3"/>
  <c r="S973" i="3"/>
  <c r="T973" i="3" s="1"/>
  <c r="S989" i="3"/>
  <c r="T989" i="3" s="1"/>
  <c r="R1097" i="3"/>
  <c r="S1097" i="3"/>
  <c r="R1270" i="3"/>
  <c r="S1270" i="3"/>
  <c r="S1061" i="3"/>
  <c r="T1061" i="3" s="1"/>
  <c r="S1079" i="3"/>
  <c r="T1079" i="3" s="1"/>
  <c r="R1099" i="3"/>
  <c r="T1099" i="3" s="1"/>
  <c r="R850" i="3"/>
  <c r="S850" i="3"/>
  <c r="R1120" i="3"/>
  <c r="S1120" i="3"/>
  <c r="R250" i="3"/>
  <c r="T250" i="3" s="1"/>
  <c r="R266" i="3"/>
  <c r="T266" i="3" s="1"/>
  <c r="R320" i="3"/>
  <c r="T320" i="3" s="1"/>
  <c r="R380" i="3"/>
  <c r="T380" i="3" s="1"/>
  <c r="S406" i="3"/>
  <c r="T406" i="3" s="1"/>
  <c r="R504" i="3"/>
  <c r="T504" i="3" s="1"/>
  <c r="R537" i="3"/>
  <c r="T537" i="3" s="1"/>
  <c r="R570" i="3"/>
  <c r="T570" i="3" s="1"/>
  <c r="R624" i="3"/>
  <c r="S624" i="3"/>
  <c r="R657" i="3"/>
  <c r="S657" i="3"/>
  <c r="R730" i="3"/>
  <c r="T730" i="3" s="1"/>
  <c r="R782" i="3"/>
  <c r="T782" i="3" s="1"/>
  <c r="S797" i="3"/>
  <c r="T797" i="3" s="1"/>
  <c r="S991" i="3"/>
  <c r="T991" i="3" s="1"/>
  <c r="R1046" i="3"/>
  <c r="T1046" i="3" s="1"/>
  <c r="S34" i="3"/>
  <c r="T34" i="3" s="1"/>
  <c r="S193" i="3"/>
  <c r="R193" i="3"/>
  <c r="R235" i="3"/>
  <c r="T235" i="3" s="1"/>
  <c r="S459" i="3"/>
  <c r="T459" i="3" s="1"/>
  <c r="S474" i="3"/>
  <c r="T474" i="3" s="1"/>
  <c r="S521" i="3"/>
  <c r="T521" i="3" s="1"/>
  <c r="R589" i="3"/>
  <c r="T589" i="3" s="1"/>
  <c r="R605" i="3"/>
  <c r="T605" i="3" s="1"/>
  <c r="S641" i="3"/>
  <c r="T641" i="3" s="1"/>
  <c r="S692" i="3"/>
  <c r="T692" i="3" s="1"/>
  <c r="S767" i="3"/>
  <c r="T767" i="3" s="1"/>
  <c r="S831" i="3"/>
  <c r="T831" i="3" s="1"/>
  <c r="S851" i="3"/>
  <c r="T851" i="3" s="1"/>
  <c r="R976" i="3"/>
  <c r="T976" i="3" s="1"/>
  <c r="R1010" i="3"/>
  <c r="T1010" i="3" s="1"/>
  <c r="R1179" i="3"/>
  <c r="T1179" i="3" s="1"/>
  <c r="R880" i="3"/>
  <c r="T880" i="3" s="1"/>
  <c r="S913" i="3"/>
  <c r="T913" i="3" s="1"/>
  <c r="S524" i="3"/>
  <c r="T524" i="3" s="1"/>
  <c r="R581" i="3"/>
  <c r="T581" i="3" s="1"/>
  <c r="R613" i="3"/>
  <c r="T613" i="3" s="1"/>
  <c r="R644" i="3"/>
  <c r="T644" i="3" s="1"/>
  <c r="S670" i="3"/>
  <c r="T670" i="3" s="1"/>
  <c r="S699" i="3"/>
  <c r="T699" i="3" s="1"/>
  <c r="S716" i="3"/>
  <c r="T716" i="3" s="1"/>
  <c r="R751" i="3"/>
  <c r="T751" i="3" s="1"/>
  <c r="S776" i="3"/>
  <c r="T776" i="3" s="1"/>
  <c r="R822" i="3"/>
  <c r="T822" i="3" s="1"/>
  <c r="R868" i="3"/>
  <c r="T868" i="3" s="1"/>
  <c r="R885" i="3"/>
  <c r="T885" i="3" s="1"/>
  <c r="R918" i="3"/>
  <c r="T918" i="3" s="1"/>
  <c r="R967" i="3"/>
  <c r="T967" i="3" s="1"/>
  <c r="R996" i="3"/>
  <c r="T996" i="3" s="1"/>
  <c r="R1029" i="3"/>
  <c r="T1029" i="3" s="1"/>
  <c r="S1041" i="3"/>
  <c r="T1041" i="3" s="1"/>
  <c r="S1054" i="3"/>
  <c r="T1054" i="3" s="1"/>
  <c r="S1084" i="3"/>
  <c r="T1084" i="3" s="1"/>
  <c r="S1206" i="3"/>
  <c r="T1206" i="3" s="1"/>
  <c r="R1223" i="3"/>
  <c r="T1223" i="3" s="1"/>
  <c r="S1255" i="3"/>
  <c r="T1255" i="3" s="1"/>
  <c r="S15" i="3"/>
  <c r="T15" i="3" s="1"/>
  <c r="R453" i="3"/>
  <c r="T453" i="3" s="1"/>
  <c r="S71" i="3"/>
  <c r="T71" i="3" s="1"/>
  <c r="R154" i="3"/>
  <c r="T154" i="3" s="1"/>
  <c r="S168" i="3"/>
  <c r="T168" i="3" s="1"/>
  <c r="R218" i="3"/>
  <c r="T218" i="3" s="1"/>
  <c r="R279" i="3"/>
  <c r="T279" i="3" s="1"/>
  <c r="S302" i="3"/>
  <c r="T302" i="3" s="1"/>
  <c r="S337" i="3"/>
  <c r="T337" i="3" s="1"/>
  <c r="S373" i="3"/>
  <c r="T373" i="3" s="1"/>
  <c r="S408" i="3"/>
  <c r="T408" i="3" s="1"/>
  <c r="S439" i="3"/>
  <c r="T439" i="3" s="1"/>
  <c r="S469" i="3"/>
  <c r="T469" i="3" s="1"/>
  <c r="S510" i="3"/>
  <c r="T510" i="3" s="1"/>
  <c r="S538" i="3"/>
  <c r="T538" i="3" s="1"/>
  <c r="R658" i="3"/>
  <c r="T658" i="3" s="1"/>
  <c r="R763" i="3"/>
  <c r="T763" i="3" s="1"/>
  <c r="R32" i="3"/>
  <c r="T32" i="3" s="1"/>
  <c r="R46" i="3"/>
  <c r="T46" i="3" s="1"/>
  <c r="R59" i="3"/>
  <c r="T59" i="3" s="1"/>
  <c r="R101" i="3"/>
  <c r="T101" i="3" s="1"/>
  <c r="R145" i="3"/>
  <c r="T145" i="3" s="1"/>
  <c r="R182" i="3"/>
  <c r="T182" i="3" s="1"/>
  <c r="R230" i="3"/>
  <c r="T230" i="3" s="1"/>
  <c r="S255" i="3"/>
  <c r="T255" i="3" s="1"/>
  <c r="S268" i="3"/>
  <c r="T268" i="3" s="1"/>
  <c r="S290" i="3"/>
  <c r="T290" i="3" s="1"/>
  <c r="R324" i="3"/>
  <c r="T324" i="3" s="1"/>
  <c r="R350" i="3"/>
  <c r="T350" i="3" s="1"/>
  <c r="S396" i="3"/>
  <c r="T396" i="3" s="1"/>
  <c r="R497" i="3"/>
  <c r="T497" i="3" s="1"/>
  <c r="R645" i="3"/>
  <c r="T645" i="3" s="1"/>
  <c r="S671" i="3"/>
  <c r="T671" i="3" s="1"/>
  <c r="R687" i="3"/>
  <c r="T687" i="3" s="1"/>
  <c r="R700" i="3"/>
  <c r="T700" i="3" s="1"/>
  <c r="R736" i="3"/>
  <c r="T736" i="3" s="1"/>
  <c r="S804" i="3"/>
  <c r="T804" i="3" s="1"/>
  <c r="S886" i="3"/>
  <c r="T886" i="3" s="1"/>
  <c r="R968" i="3"/>
  <c r="T968" i="3" s="1"/>
  <c r="R983" i="3"/>
  <c r="T983" i="3" s="1"/>
  <c r="R1030" i="3"/>
  <c r="T1030" i="3" s="1"/>
  <c r="S1042" i="3"/>
  <c r="T1042" i="3" s="1"/>
  <c r="R1055" i="3"/>
  <c r="T1055" i="3" s="1"/>
  <c r="R1085" i="3"/>
  <c r="T1085" i="3" s="1"/>
  <c r="R1174" i="3"/>
  <c r="T1174" i="3" s="1"/>
  <c r="S395" i="3"/>
  <c r="T395" i="3" s="1"/>
  <c r="S482" i="3"/>
  <c r="T482" i="3" s="1"/>
  <c r="R116" i="3"/>
  <c r="T116" i="3" s="1"/>
  <c r="S118" i="3"/>
  <c r="T118" i="3" s="1"/>
  <c r="R155" i="3"/>
  <c r="T155" i="3" s="1"/>
  <c r="S231" i="3"/>
  <c r="T231" i="3" s="1"/>
  <c r="R256" i="3"/>
  <c r="T256" i="3" s="1"/>
  <c r="R269" i="3"/>
  <c r="T269" i="3" s="1"/>
  <c r="R498" i="3"/>
  <c r="T498" i="3" s="1"/>
  <c r="R511" i="3"/>
  <c r="T511" i="3" s="1"/>
  <c r="S527" i="3"/>
  <c r="T527" i="3" s="1"/>
  <c r="R130" i="3"/>
  <c r="T130" i="3" s="1"/>
  <c r="S205" i="3"/>
  <c r="T205" i="3" s="1"/>
  <c r="R360" i="3"/>
  <c r="T360" i="3" s="1"/>
  <c r="R219" i="3"/>
  <c r="T219" i="3" s="1"/>
  <c r="R33" i="3"/>
  <c r="T33" i="3" s="1"/>
  <c r="S47" i="3"/>
  <c r="T47" i="3" s="1"/>
  <c r="R183" i="3"/>
  <c r="T183" i="3" s="1"/>
  <c r="R197" i="3"/>
  <c r="T197" i="3" s="1"/>
  <c r="R244" i="3"/>
  <c r="T244" i="3" s="1"/>
  <c r="R325" i="3"/>
  <c r="T325" i="3" s="1"/>
  <c r="R351" i="3"/>
  <c r="T351" i="3" s="1"/>
  <c r="R363" i="3"/>
  <c r="T363" i="3" s="1"/>
  <c r="S398" i="3"/>
  <c r="T398" i="3" s="1"/>
  <c r="R410" i="3"/>
  <c r="T410" i="3" s="1"/>
  <c r="R540" i="3"/>
  <c r="T540" i="3" s="1"/>
  <c r="R600" i="3"/>
  <c r="T600" i="3" s="1"/>
  <c r="S615" i="3"/>
  <c r="T615" i="3" s="1"/>
  <c r="R659" i="3"/>
  <c r="T659" i="3" s="1"/>
  <c r="R688" i="3"/>
  <c r="T688" i="3" s="1"/>
  <c r="R701" i="3"/>
  <c r="T701" i="3" s="1"/>
  <c r="R720" i="3"/>
  <c r="T720" i="3" s="1"/>
  <c r="R737" i="3"/>
  <c r="T737" i="3" s="1"/>
  <c r="S753" i="3"/>
  <c r="T753" i="3" s="1"/>
  <c r="R779" i="3"/>
  <c r="T779" i="3" s="1"/>
  <c r="R840" i="3"/>
  <c r="T840" i="3" s="1"/>
  <c r="S888" i="3"/>
  <c r="T888" i="3" s="1"/>
  <c r="R938" i="3"/>
  <c r="T938" i="3" s="1"/>
  <c r="R1031" i="3"/>
  <c r="T1031" i="3" s="1"/>
  <c r="R1044" i="3"/>
  <c r="T1044" i="3" s="1"/>
  <c r="S1056" i="3"/>
  <c r="T1056" i="3" s="1"/>
  <c r="S1210" i="3"/>
  <c r="T1210" i="3" s="1"/>
  <c r="R1293" i="3"/>
  <c r="T1293" i="3" s="1"/>
  <c r="S229" i="3"/>
  <c r="T229" i="3" s="1"/>
  <c r="R60" i="3"/>
  <c r="T60" i="3" s="1"/>
  <c r="R74" i="3"/>
  <c r="T74" i="3" s="1"/>
  <c r="R89" i="3"/>
  <c r="T89" i="3" s="1"/>
  <c r="R102" i="3"/>
  <c r="T102" i="3" s="1"/>
  <c r="S257" i="3"/>
  <c r="T257" i="3" s="1"/>
  <c r="R293" i="3"/>
  <c r="T293" i="3" s="1"/>
  <c r="S315" i="3"/>
  <c r="T315" i="3" s="1"/>
  <c r="R376" i="3"/>
  <c r="T376" i="3" s="1"/>
  <c r="S471" i="3"/>
  <c r="T471" i="3" s="1"/>
  <c r="R647" i="3"/>
  <c r="T647" i="3" s="1"/>
  <c r="S955" i="3"/>
  <c r="T955" i="3" s="1"/>
  <c r="S1105" i="3"/>
  <c r="T1105" i="3" s="1"/>
  <c r="S424" i="3"/>
  <c r="R424" i="3"/>
  <c r="S936" i="3"/>
  <c r="R936" i="3"/>
  <c r="R400" i="3"/>
  <c r="S400" i="3"/>
  <c r="S505" i="3"/>
  <c r="R505" i="3"/>
  <c r="S922" i="3"/>
  <c r="R922" i="3"/>
  <c r="R1023" i="3"/>
  <c r="T1023" i="3" s="1"/>
  <c r="S258" i="3"/>
  <c r="T258" i="3" s="1"/>
  <c r="S723" i="3"/>
  <c r="R723" i="3"/>
  <c r="S766" i="3"/>
  <c r="T766" i="3" s="1"/>
  <c r="R835" i="3"/>
  <c r="T835" i="3" s="1"/>
  <c r="R909" i="3"/>
  <c r="S909" i="3"/>
  <c r="S1063" i="3"/>
  <c r="T1063" i="3" s="1"/>
  <c r="S1076" i="3"/>
  <c r="T1076" i="3" s="1"/>
  <c r="R1091" i="3"/>
  <c r="S1091" i="3"/>
  <c r="S1106" i="3"/>
  <c r="R1106" i="3"/>
  <c r="R128" i="3"/>
  <c r="T128" i="3" s="1"/>
  <c r="S248" i="3"/>
  <c r="T248" i="3" s="1"/>
  <c r="S259" i="3"/>
  <c r="R259" i="3"/>
  <c r="R313" i="3"/>
  <c r="T313" i="3" s="1"/>
  <c r="R371" i="3"/>
  <c r="T371" i="3" s="1"/>
  <c r="R548" i="3"/>
  <c r="T548" i="3" s="1"/>
  <c r="R910" i="3"/>
  <c r="T910" i="3" s="1"/>
  <c r="R1077" i="3"/>
  <c r="S1077" i="3"/>
  <c r="S1090" i="3"/>
  <c r="T1090" i="3" s="1"/>
  <c r="R335" i="3"/>
  <c r="T335" i="3" s="1"/>
  <c r="R506" i="3"/>
  <c r="T506" i="3" s="1"/>
  <c r="S52" i="3"/>
  <c r="T52" i="3" s="1"/>
  <c r="R628" i="3"/>
  <c r="T628" i="3" s="1"/>
  <c r="S138" i="3"/>
  <c r="T138" i="3" s="1"/>
  <c r="R6" i="3"/>
  <c r="T6" i="3" s="1"/>
  <c r="S907" i="3"/>
  <c r="T907" i="3" s="1"/>
  <c r="R571" i="3"/>
  <c r="T571" i="3" s="1"/>
  <c r="S572" i="3"/>
  <c r="R572" i="3"/>
  <c r="S908" i="3"/>
  <c r="R908" i="3"/>
  <c r="S429" i="3"/>
  <c r="T429" i="3" s="1"/>
  <c r="S139" i="3"/>
  <c r="T139" i="3" s="1"/>
  <c r="R456" i="3"/>
  <c r="T456" i="3" s="1"/>
  <c r="S683" i="3"/>
  <c r="R683" i="3"/>
  <c r="R724" i="3"/>
  <c r="S724" i="3"/>
  <c r="S896" i="3"/>
  <c r="R896" i="3"/>
  <c r="R7" i="3"/>
  <c r="T7" i="3" s="1"/>
  <c r="R91" i="3"/>
  <c r="T91" i="3" s="1"/>
  <c r="S392" i="3"/>
  <c r="R392" i="3"/>
  <c r="R617" i="3"/>
  <c r="T617" i="3" s="1"/>
  <c r="R823" i="3"/>
  <c r="S823" i="3"/>
  <c r="R865" i="3"/>
  <c r="S865" i="3"/>
  <c r="S927" i="3"/>
  <c r="R927" i="3"/>
  <c r="R304" i="3"/>
  <c r="T304" i="3" s="1"/>
  <c r="R484" i="3"/>
  <c r="T484" i="3" s="1"/>
  <c r="S8" i="3"/>
  <c r="R8" i="3"/>
  <c r="R44" i="3"/>
  <c r="T44" i="3" s="1"/>
  <c r="R237" i="3"/>
  <c r="T237" i="3" s="1"/>
  <c r="R249" i="3"/>
  <c r="T249" i="3" s="1"/>
  <c r="S271" i="3"/>
  <c r="R271" i="3"/>
  <c r="R710" i="3"/>
  <c r="T710" i="3" s="1"/>
  <c r="R117" i="3"/>
  <c r="T117" i="3" s="1"/>
  <c r="S361" i="3"/>
  <c r="T361" i="3" s="1"/>
  <c r="R383" i="3"/>
  <c r="T383" i="3" s="1"/>
  <c r="S884" i="3"/>
  <c r="R884" i="3"/>
  <c r="S898" i="3"/>
  <c r="R898" i="3"/>
  <c r="S959" i="3"/>
  <c r="T959" i="3" s="1"/>
  <c r="R1176" i="3"/>
  <c r="T1176" i="3" s="1"/>
  <c r="R195" i="3"/>
  <c r="T195" i="3" s="1"/>
  <c r="S1113" i="3"/>
  <c r="R1113" i="3"/>
  <c r="R19" i="3"/>
  <c r="T19" i="3" s="1"/>
  <c r="R175" i="3"/>
  <c r="T175" i="3" s="1"/>
  <c r="S326" i="3"/>
  <c r="R326" i="3"/>
  <c r="R420" i="3"/>
  <c r="T420" i="3" s="1"/>
  <c r="S461" i="3"/>
  <c r="T461" i="3" s="1"/>
  <c r="R697" i="3"/>
  <c r="T697" i="3" s="1"/>
  <c r="S593" i="3"/>
  <c r="T593" i="3" s="1"/>
  <c r="S810" i="3"/>
  <c r="R810" i="3"/>
  <c r="R960" i="3"/>
  <c r="T960" i="3" s="1"/>
  <c r="S82" i="3"/>
  <c r="R82" i="3"/>
  <c r="S111" i="3"/>
  <c r="R111" i="3"/>
  <c r="S654" i="3"/>
  <c r="T654" i="3" s="1"/>
  <c r="R16" i="3"/>
  <c r="T16" i="3" s="1"/>
  <c r="S777" i="3"/>
  <c r="T777" i="3" s="1"/>
  <c r="S100" i="3"/>
  <c r="R100" i="3"/>
  <c r="S703" i="3"/>
  <c r="R703" i="3"/>
  <c r="R194" i="3"/>
  <c r="T194" i="3" s="1"/>
  <c r="S629" i="3"/>
  <c r="T629" i="3" s="1"/>
  <c r="R1288" i="3"/>
  <c r="S1288" i="3"/>
  <c r="S107" i="3"/>
  <c r="T107" i="3" s="1"/>
  <c r="R220" i="3"/>
  <c r="T220" i="3" s="1"/>
  <c r="S69" i="3"/>
  <c r="T69" i="3" s="1"/>
  <c r="R166" i="3"/>
  <c r="T166" i="3" s="1"/>
  <c r="R210" i="3"/>
  <c r="T210" i="3" s="1"/>
  <c r="S813" i="3"/>
  <c r="R813" i="3"/>
  <c r="R949" i="3"/>
  <c r="S949" i="3"/>
  <c r="S23" i="3"/>
  <c r="T23" i="3" s="1"/>
  <c r="S48" i="3"/>
  <c r="R48" i="3"/>
  <c r="S318" i="3"/>
  <c r="R318" i="3"/>
  <c r="S397" i="3"/>
  <c r="R397" i="3"/>
  <c r="S650" i="3"/>
  <c r="T650" i="3" s="1"/>
  <c r="R733" i="3"/>
  <c r="T733" i="3" s="1"/>
  <c r="R760" i="3"/>
  <c r="S760" i="3"/>
  <c r="S70" i="3"/>
  <c r="R70" i="3"/>
  <c r="R718" i="3"/>
  <c r="S718" i="3"/>
  <c r="S749" i="3"/>
  <c r="R749" i="3"/>
  <c r="S1131" i="3"/>
  <c r="T1131" i="3" s="1"/>
  <c r="R1213" i="3"/>
  <c r="T1213" i="3" s="1"/>
  <c r="R99" i="3"/>
  <c r="T99" i="3" s="1"/>
  <c r="R333" i="3"/>
  <c r="S333" i="3"/>
  <c r="S24" i="3"/>
  <c r="R24" i="3"/>
  <c r="S409" i="3"/>
  <c r="R409" i="3"/>
  <c r="S651" i="3"/>
  <c r="R651" i="3"/>
  <c r="R978" i="3"/>
  <c r="T978" i="3" s="1"/>
  <c r="S1107" i="3"/>
  <c r="R1107" i="3"/>
  <c r="S122" i="3"/>
  <c r="R122" i="3"/>
  <c r="S180" i="3"/>
  <c r="R180" i="3"/>
  <c r="S287" i="3"/>
  <c r="R287" i="3"/>
  <c r="S582" i="3"/>
  <c r="R582" i="3"/>
  <c r="R719" i="3"/>
  <c r="T719" i="3" s="1"/>
  <c r="R873" i="3"/>
  <c r="T873" i="3" s="1"/>
  <c r="S920" i="3"/>
  <c r="R920" i="3"/>
  <c r="S1118" i="3"/>
  <c r="R1118" i="3"/>
  <c r="S1214" i="3"/>
  <c r="R1214" i="3"/>
  <c r="R441" i="3"/>
  <c r="T441" i="3" s="1"/>
  <c r="S682" i="3"/>
  <c r="T682" i="3" s="1"/>
  <c r="S164" i="3"/>
  <c r="R164" i="3"/>
  <c r="S620" i="3"/>
  <c r="R620" i="3"/>
  <c r="S660" i="3"/>
  <c r="R660" i="3"/>
  <c r="R94" i="3"/>
  <c r="S94" i="3"/>
  <c r="R262" i="3"/>
  <c r="T262" i="3" s="1"/>
  <c r="S607" i="3"/>
  <c r="R607" i="3"/>
  <c r="S811" i="3"/>
  <c r="T811" i="3" s="1"/>
  <c r="R1032" i="3"/>
  <c r="T1032" i="3" s="1"/>
  <c r="R1163" i="3"/>
  <c r="T1163" i="3" s="1"/>
  <c r="S1241" i="3"/>
  <c r="T1241" i="3" s="1"/>
  <c r="S1287" i="3"/>
  <c r="R1287" i="3"/>
  <c r="R421" i="3"/>
  <c r="T421" i="3" s="1"/>
  <c r="R514" i="3"/>
  <c r="T514" i="3" s="1"/>
  <c r="S594" i="3"/>
  <c r="T594" i="3" s="1"/>
  <c r="S673" i="3"/>
  <c r="R673" i="3"/>
  <c r="S887" i="3"/>
  <c r="R887" i="3"/>
  <c r="S948" i="3"/>
  <c r="T948" i="3" s="1"/>
  <c r="R1226" i="3"/>
  <c r="S1226" i="3"/>
  <c r="R133" i="3"/>
  <c r="T133" i="3" s="1"/>
  <c r="R374" i="3"/>
  <c r="T374" i="3" s="1"/>
  <c r="R528" i="3"/>
  <c r="T528" i="3" s="1"/>
  <c r="R661" i="3"/>
  <c r="T661" i="3" s="1"/>
  <c r="S935" i="3"/>
  <c r="T935" i="3" s="1"/>
  <c r="R167" i="3"/>
  <c r="T167" i="3" s="1"/>
  <c r="R642" i="3"/>
  <c r="T642" i="3" s="1"/>
  <c r="S745" i="3"/>
  <c r="R745" i="3"/>
  <c r="S769" i="3"/>
  <c r="T769" i="3" s="1"/>
  <c r="S814" i="3"/>
  <c r="T814" i="3" s="1"/>
  <c r="S925" i="3"/>
  <c r="T925" i="3" s="1"/>
  <c r="S1000" i="3"/>
  <c r="T1000" i="3" s="1"/>
  <c r="S1033" i="3"/>
  <c r="T1033" i="3" s="1"/>
  <c r="S1080" i="3"/>
  <c r="R1080" i="3"/>
  <c r="S1190" i="3"/>
  <c r="T1190" i="3" s="1"/>
  <c r="R1231" i="3"/>
  <c r="S1231" i="3"/>
  <c r="R1285" i="3"/>
  <c r="S1285" i="3"/>
  <c r="S801" i="3"/>
  <c r="T801" i="3" s="1"/>
  <c r="S27" i="3"/>
  <c r="T27" i="3" s="1"/>
  <c r="S73" i="3"/>
  <c r="T73" i="3" s="1"/>
  <c r="R110" i="3"/>
  <c r="T110" i="3" s="1"/>
  <c r="S157" i="3"/>
  <c r="T157" i="3" s="1"/>
  <c r="R187" i="3"/>
  <c r="T187" i="3" s="1"/>
  <c r="R196" i="3"/>
  <c r="T196" i="3" s="1"/>
  <c r="S240" i="3"/>
  <c r="T240" i="3" s="1"/>
  <c r="S298" i="3"/>
  <c r="T298" i="3" s="1"/>
  <c r="R334" i="3"/>
  <c r="T334" i="3" s="1"/>
  <c r="S343" i="3"/>
  <c r="T343" i="3" s="1"/>
  <c r="R382" i="3"/>
  <c r="T382" i="3" s="1"/>
  <c r="R411" i="3"/>
  <c r="T411" i="3" s="1"/>
  <c r="R455" i="3"/>
  <c r="T455" i="3" s="1"/>
  <c r="S465" i="3"/>
  <c r="R465" i="3"/>
  <c r="R485" i="3"/>
  <c r="T485" i="3" s="1"/>
  <c r="R508" i="3"/>
  <c r="T508" i="3" s="1"/>
  <c r="S541" i="3"/>
  <c r="R541" i="3"/>
  <c r="S553" i="3"/>
  <c r="R553" i="3"/>
  <c r="S562" i="3"/>
  <c r="T562" i="3" s="1"/>
  <c r="R586" i="3"/>
  <c r="T586" i="3" s="1"/>
  <c r="R663" i="3"/>
  <c r="T663" i="3" s="1"/>
  <c r="R674" i="3"/>
  <c r="T674" i="3" s="1"/>
  <c r="S746" i="3"/>
  <c r="T746" i="3" s="1"/>
  <c r="R770" i="3"/>
  <c r="T770" i="3" s="1"/>
  <c r="S791" i="3"/>
  <c r="T791" i="3" s="1"/>
  <c r="R852" i="3"/>
  <c r="T852" i="3" s="1"/>
  <c r="S1024" i="3"/>
  <c r="T1024" i="3" s="1"/>
  <c r="S1095" i="3"/>
  <c r="R1095" i="3"/>
  <c r="S974" i="3"/>
  <c r="R974" i="3"/>
  <c r="S1093" i="3"/>
  <c r="R1093" i="3"/>
  <c r="R1148" i="3"/>
  <c r="S1148" i="3"/>
  <c r="S45" i="3"/>
  <c r="R45" i="3"/>
  <c r="S432" i="3"/>
  <c r="R432" i="3"/>
  <c r="S862" i="3"/>
  <c r="R862" i="3"/>
  <c r="R937" i="3"/>
  <c r="S937" i="3"/>
  <c r="S1043" i="3"/>
  <c r="R1043" i="3"/>
  <c r="R36" i="3"/>
  <c r="T36" i="3" s="1"/>
  <c r="R92" i="3"/>
  <c r="T92" i="3" s="1"/>
  <c r="R177" i="3"/>
  <c r="T177" i="3" s="1"/>
  <c r="R630" i="3"/>
  <c r="T630" i="3" s="1"/>
  <c r="R120" i="3"/>
  <c r="S120" i="3"/>
  <c r="S131" i="3"/>
  <c r="R131" i="3"/>
  <c r="S212" i="3"/>
  <c r="T212" i="3" s="1"/>
  <c r="S475" i="3"/>
  <c r="T475" i="3" s="1"/>
  <c r="S496" i="3"/>
  <c r="T496" i="3" s="1"/>
  <c r="R734" i="3"/>
  <c r="T734" i="3" s="1"/>
  <c r="S37" i="3"/>
  <c r="R37" i="3"/>
  <c r="R531" i="3"/>
  <c r="S531" i="3"/>
  <c r="S747" i="3"/>
  <c r="R747" i="3"/>
  <c r="R10" i="3"/>
  <c r="S10" i="3"/>
  <c r="R64" i="3"/>
  <c r="T64" i="3" s="1"/>
  <c r="S241" i="3"/>
  <c r="R241" i="3"/>
  <c r="S435" i="3"/>
  <c r="R435" i="3"/>
  <c r="S542" i="3"/>
  <c r="R542" i="3"/>
  <c r="R748" i="3"/>
  <c r="S748" i="3"/>
  <c r="R1069" i="3"/>
  <c r="S1069" i="3"/>
  <c r="R1193" i="3"/>
  <c r="S1193" i="3"/>
  <c r="S1258" i="3"/>
  <c r="R1258" i="3"/>
  <c r="S292" i="3"/>
  <c r="T292" i="3" s="1"/>
  <c r="S448" i="3"/>
  <c r="T448" i="3" s="1"/>
  <c r="R866" i="3"/>
  <c r="T866" i="3" s="1"/>
  <c r="R1027" i="3"/>
  <c r="T1027" i="3" s="1"/>
  <c r="S1139" i="3"/>
  <c r="T1139" i="3" s="1"/>
  <c r="R1290" i="3"/>
  <c r="T1290" i="3" s="1"/>
  <c r="S273" i="3"/>
  <c r="T273" i="3" s="1"/>
  <c r="S300" i="3"/>
  <c r="R300" i="3"/>
  <c r="R854" i="3"/>
  <c r="S854" i="3"/>
  <c r="S170" i="3"/>
  <c r="R170" i="3"/>
  <c r="S215" i="3"/>
  <c r="R215" i="3"/>
  <c r="R414" i="3"/>
  <c r="T414" i="3" s="1"/>
  <c r="R477" i="3"/>
  <c r="T477" i="3" s="1"/>
  <c r="R621" i="3"/>
  <c r="T621" i="3" s="1"/>
  <c r="R842" i="3"/>
  <c r="T842" i="3" s="1"/>
  <c r="S902" i="3"/>
  <c r="T902" i="3" s="1"/>
  <c r="S915" i="3"/>
  <c r="T915" i="3" s="1"/>
  <c r="R979" i="3"/>
  <c r="S979" i="3"/>
  <c r="R1047" i="3"/>
  <c r="S1047" i="3"/>
  <c r="R1167" i="3"/>
  <c r="T1167" i="3" s="1"/>
  <c r="R1221" i="3"/>
  <c r="T1221" i="3" s="1"/>
  <c r="R40" i="3"/>
  <c r="T40" i="3" s="1"/>
  <c r="R66" i="3"/>
  <c r="T66" i="3" s="1"/>
  <c r="R143" i="3"/>
  <c r="T143" i="3" s="1"/>
  <c r="S189" i="3"/>
  <c r="T189" i="3" s="1"/>
  <c r="R336" i="3"/>
  <c r="T336" i="3" s="1"/>
  <c r="S457" i="3"/>
  <c r="R457" i="3"/>
  <c r="S499" i="3"/>
  <c r="T499" i="3" s="1"/>
  <c r="S610" i="3"/>
  <c r="T610" i="3" s="1"/>
  <c r="S877" i="3"/>
  <c r="R877" i="3"/>
  <c r="S20" i="3"/>
  <c r="R20" i="3"/>
  <c r="R135" i="3"/>
  <c r="T135" i="3" s="1"/>
  <c r="R263" i="3"/>
  <c r="T263" i="3" s="1"/>
  <c r="S301" i="3"/>
  <c r="T301" i="3" s="1"/>
  <c r="R712" i="3"/>
  <c r="T712" i="3" s="1"/>
  <c r="R1124" i="3"/>
  <c r="S1124" i="3"/>
  <c r="S30" i="3"/>
  <c r="T30" i="3" s="1"/>
  <c r="S49" i="3"/>
  <c r="R49" i="3"/>
  <c r="S124" i="3"/>
  <c r="T124" i="3" s="1"/>
  <c r="S458" i="3"/>
  <c r="T458" i="3" s="1"/>
  <c r="S601" i="3"/>
  <c r="T601" i="3" s="1"/>
  <c r="R623" i="3"/>
  <c r="T623" i="3" s="1"/>
  <c r="R1114" i="3"/>
  <c r="T1114" i="3" s="1"/>
  <c r="S1154" i="3"/>
  <c r="T1154" i="3" s="1"/>
  <c r="R1209" i="3"/>
  <c r="S1209" i="3"/>
  <c r="S1236" i="3"/>
  <c r="T1236" i="3" s="1"/>
  <c r="S86" i="3"/>
  <c r="T86" i="3" s="1"/>
  <c r="R591" i="3"/>
  <c r="T591" i="3" s="1"/>
  <c r="S612" i="3"/>
  <c r="T612" i="3" s="1"/>
  <c r="R806" i="3"/>
  <c r="T806" i="3" s="1"/>
  <c r="S843" i="3"/>
  <c r="T843" i="3" s="1"/>
  <c r="R892" i="3"/>
  <c r="T892" i="3" s="1"/>
  <c r="R943" i="3"/>
  <c r="T943" i="3" s="1"/>
  <c r="S1005" i="3"/>
  <c r="T1005" i="3" s="1"/>
  <c r="R1017" i="3"/>
  <c r="T1017" i="3" s="1"/>
  <c r="S1100" i="3"/>
  <c r="R1100" i="3"/>
  <c r="S1141" i="3"/>
  <c r="R1141" i="3"/>
  <c r="S1155" i="3"/>
  <c r="R1155" i="3"/>
  <c r="S31" i="3"/>
  <c r="R31" i="3"/>
  <c r="R41" i="3"/>
  <c r="T41" i="3" s="1"/>
  <c r="S58" i="3"/>
  <c r="T58" i="3" s="1"/>
  <c r="S77" i="3"/>
  <c r="T77" i="3" s="1"/>
  <c r="R115" i="3"/>
  <c r="T115" i="3" s="1"/>
  <c r="S161" i="3"/>
  <c r="T161" i="3" s="1"/>
  <c r="R245" i="3"/>
  <c r="T245" i="3" s="1"/>
  <c r="R438" i="3"/>
  <c r="T438" i="3" s="1"/>
  <c r="R449" i="3"/>
  <c r="T449" i="3" s="1"/>
  <c r="R679" i="3"/>
  <c r="T679" i="3" s="1"/>
  <c r="S726" i="3"/>
  <c r="T726" i="3" s="1"/>
  <c r="R832" i="3"/>
  <c r="S832" i="3"/>
  <c r="S1006" i="3"/>
  <c r="R1006" i="3"/>
  <c r="R198" i="3"/>
  <c r="T198" i="3" s="1"/>
  <c r="R103" i="3"/>
  <c r="T103" i="3" s="1"/>
  <c r="S87" i="3"/>
  <c r="R87" i="3"/>
  <c r="R844" i="3"/>
  <c r="S844" i="3"/>
  <c r="S1087" i="3"/>
  <c r="R1087" i="3"/>
  <c r="R1237" i="3"/>
  <c r="T1237" i="3" s="1"/>
  <c r="R1275" i="3"/>
  <c r="S1275" i="3"/>
  <c r="R22" i="3"/>
  <c r="T22" i="3" s="1"/>
  <c r="R106" i="3"/>
  <c r="T106" i="3" s="1"/>
  <c r="R265" i="3"/>
  <c r="T265" i="3" s="1"/>
  <c r="R417" i="3"/>
  <c r="T417" i="3" s="1"/>
  <c r="R428" i="3"/>
  <c r="T428" i="3" s="1"/>
  <c r="R460" i="3"/>
  <c r="T460" i="3" s="1"/>
  <c r="R525" i="3"/>
  <c r="T525" i="3" s="1"/>
  <c r="R547" i="3"/>
  <c r="T547" i="3" s="1"/>
  <c r="R579" i="3"/>
  <c r="T579" i="3" s="1"/>
  <c r="S669" i="3"/>
  <c r="R669" i="3"/>
  <c r="S807" i="3"/>
  <c r="R807" i="3"/>
  <c r="R881" i="3"/>
  <c r="S881" i="3"/>
  <c r="R919" i="3"/>
  <c r="T919" i="3" s="1"/>
  <c r="R944" i="3"/>
  <c r="S944" i="3"/>
  <c r="S993" i="3"/>
  <c r="T993" i="3" s="1"/>
  <c r="S1007" i="3"/>
  <c r="T1007" i="3" s="1"/>
  <c r="R1126" i="3"/>
  <c r="S1126" i="3"/>
  <c r="S1235" i="3"/>
  <c r="R1235" i="3"/>
  <c r="S126" i="3"/>
  <c r="R126" i="3"/>
  <c r="S491" i="3"/>
  <c r="R491" i="3"/>
  <c r="S869" i="3"/>
  <c r="R869" i="3"/>
  <c r="S994" i="3"/>
  <c r="R994" i="3"/>
  <c r="R1198" i="3"/>
  <c r="T1198" i="3" s="1"/>
  <c r="S1250" i="3"/>
  <c r="T1250" i="3" s="1"/>
  <c r="R159" i="3"/>
  <c r="T159" i="3" s="1"/>
  <c r="R206" i="3"/>
  <c r="T206" i="3" s="1"/>
  <c r="S224" i="3"/>
  <c r="R224" i="3"/>
  <c r="R467" i="3"/>
  <c r="T467" i="3" s="1"/>
  <c r="R891" i="3"/>
  <c r="T891" i="3" s="1"/>
  <c r="S1273" i="3"/>
  <c r="T1273" i="3" s="1"/>
  <c r="R12" i="3"/>
  <c r="T12" i="3" s="1"/>
  <c r="R76" i="3"/>
  <c r="T76" i="3" s="1"/>
  <c r="R1123" i="3"/>
  <c r="T1123" i="3" s="1"/>
  <c r="S1208" i="3"/>
  <c r="T1208" i="3" s="1"/>
  <c r="R375" i="3"/>
  <c r="T375" i="3" s="1"/>
  <c r="S522" i="3"/>
  <c r="R522" i="3"/>
  <c r="S725" i="3"/>
  <c r="T725" i="3" s="1"/>
  <c r="R819" i="3"/>
  <c r="T819" i="3" s="1"/>
  <c r="S346" i="3"/>
  <c r="T346" i="3" s="1"/>
  <c r="R468" i="3"/>
  <c r="S468" i="3"/>
  <c r="S566" i="3"/>
  <c r="T566" i="3" s="1"/>
  <c r="S634" i="3"/>
  <c r="R634" i="3"/>
  <c r="R689" i="3"/>
  <c r="T689" i="3" s="1"/>
  <c r="R1168" i="3"/>
  <c r="S1168" i="3"/>
  <c r="S51" i="3"/>
  <c r="T51" i="3" s="1"/>
  <c r="S329" i="3"/>
  <c r="R329" i="3"/>
  <c r="S369" i="3"/>
  <c r="R369" i="3"/>
  <c r="R526" i="3"/>
  <c r="T526" i="3" s="1"/>
  <c r="S715" i="3"/>
  <c r="T715" i="3" s="1"/>
  <c r="S808" i="3"/>
  <c r="R808" i="3"/>
  <c r="R858" i="3"/>
  <c r="S858" i="3"/>
  <c r="R882" i="3"/>
  <c r="T882" i="3" s="1"/>
  <c r="S1008" i="3"/>
  <c r="R1008" i="3"/>
  <c r="S1075" i="3"/>
  <c r="T1075" i="3" s="1"/>
  <c r="S479" i="3"/>
  <c r="R479" i="3"/>
  <c r="S789" i="3"/>
  <c r="R789" i="3"/>
  <c r="S502" i="3"/>
  <c r="R502" i="3"/>
  <c r="R573" i="3"/>
  <c r="S573" i="3"/>
  <c r="S792" i="3"/>
  <c r="R792" i="3"/>
  <c r="S904" i="3"/>
  <c r="R904" i="3"/>
  <c r="S412" i="3"/>
  <c r="T412" i="3" s="1"/>
  <c r="R512" i="3"/>
  <c r="T512" i="3" s="1"/>
  <c r="S544" i="3"/>
  <c r="R544" i="3"/>
  <c r="R563" i="3"/>
  <c r="T563" i="3" s="1"/>
  <c r="S584" i="3"/>
  <c r="R584" i="3"/>
  <c r="S595" i="3"/>
  <c r="R595" i="3"/>
  <c r="R646" i="3"/>
  <c r="T646" i="3" s="1"/>
  <c r="R694" i="3"/>
  <c r="T694" i="3" s="1"/>
  <c r="R738" i="3"/>
  <c r="T738" i="3" s="1"/>
  <c r="S837" i="3"/>
  <c r="T837" i="3" s="1"/>
  <c r="R917" i="3"/>
  <c r="T917" i="3" s="1"/>
  <c r="S951" i="3"/>
  <c r="T951" i="3" s="1"/>
  <c r="R985" i="3"/>
  <c r="T985" i="3" s="1"/>
  <c r="R1060" i="3"/>
  <c r="T1060" i="3" s="1"/>
  <c r="S1254" i="3"/>
  <c r="R1254" i="3"/>
  <c r="R1291" i="3"/>
  <c r="T1291" i="3" s="1"/>
  <c r="R545" i="3"/>
  <c r="S545" i="3"/>
  <c r="S761" i="3"/>
  <c r="R761" i="3"/>
  <c r="S838" i="3"/>
  <c r="R838" i="3"/>
  <c r="R1072" i="3"/>
  <c r="T1072" i="3" s="1"/>
  <c r="S1108" i="3"/>
  <c r="R1108" i="3"/>
  <c r="R1132" i="3"/>
  <c r="T1132" i="3" s="1"/>
  <c r="R1158" i="3"/>
  <c r="T1158" i="3" s="1"/>
  <c r="S1169" i="3"/>
  <c r="R1169" i="3"/>
  <c r="S1266" i="3"/>
  <c r="T1266" i="3" s="1"/>
  <c r="S96" i="3"/>
  <c r="R96" i="3"/>
  <c r="R493" i="3"/>
  <c r="T493" i="3" s="1"/>
  <c r="S523" i="3"/>
  <c r="R523" i="3"/>
  <c r="R717" i="3"/>
  <c r="T717" i="3" s="1"/>
  <c r="R739" i="3"/>
  <c r="S739" i="3"/>
  <c r="S816" i="3"/>
  <c r="T816" i="3" s="1"/>
  <c r="R849" i="3"/>
  <c r="T849" i="3" s="1"/>
  <c r="R883" i="3"/>
  <c r="T883" i="3" s="1"/>
  <c r="R114" i="3"/>
  <c r="T114" i="3" s="1"/>
  <c r="R174" i="3"/>
  <c r="T174" i="3" s="1"/>
  <c r="S242" i="3"/>
  <c r="R242" i="3"/>
  <c r="R251" i="3"/>
  <c r="T251" i="3" s="1"/>
  <c r="R413" i="3"/>
  <c r="T413" i="3" s="1"/>
  <c r="S433" i="3"/>
  <c r="T433" i="3" s="1"/>
  <c r="R564" i="3"/>
  <c r="T564" i="3" s="1"/>
  <c r="R627" i="3"/>
  <c r="T627" i="3" s="1"/>
  <c r="R637" i="3"/>
  <c r="T637" i="3" s="1"/>
  <c r="R705" i="3"/>
  <c r="T705" i="3" s="1"/>
  <c r="S839" i="3"/>
  <c r="T839" i="3" s="1"/>
  <c r="R975" i="3"/>
  <c r="T975" i="3" s="1"/>
  <c r="R997" i="3"/>
  <c r="T997" i="3" s="1"/>
  <c r="S1207" i="3"/>
  <c r="T1207" i="3" s="1"/>
  <c r="R1245" i="3"/>
  <c r="S1245" i="3"/>
  <c r="R1267" i="3"/>
  <c r="S1267" i="3"/>
  <c r="S1279" i="3"/>
  <c r="R1279" i="3"/>
  <c r="R38" i="3"/>
  <c r="T38" i="3" s="1"/>
  <c r="R454" i="3"/>
  <c r="S454" i="3"/>
  <c r="S666" i="3"/>
  <c r="R666" i="3"/>
  <c r="S611" i="3"/>
  <c r="R611" i="3"/>
  <c r="S940" i="3"/>
  <c r="R940" i="3"/>
  <c r="R1166" i="3"/>
  <c r="S1166" i="3"/>
  <c r="S199" i="3"/>
  <c r="R199" i="3"/>
  <c r="S415" i="3"/>
  <c r="R415" i="3"/>
  <c r="S652" i="3"/>
  <c r="R652" i="3"/>
  <c r="R825" i="3"/>
  <c r="S825" i="3"/>
  <c r="R1028" i="3"/>
  <c r="S1028" i="3"/>
  <c r="S1159" i="3"/>
  <c r="T1159" i="3" s="1"/>
  <c r="S1182" i="3"/>
  <c r="T1182" i="3" s="1"/>
  <c r="R1292" i="3"/>
  <c r="S1292" i="3"/>
  <c r="S1136" i="3"/>
  <c r="R1136" i="3"/>
  <c r="S1170" i="3"/>
  <c r="R1170" i="3"/>
  <c r="R272" i="3"/>
  <c r="T272" i="3" s="1"/>
  <c r="R280" i="3"/>
  <c r="T280" i="3" s="1"/>
  <c r="R339" i="3"/>
  <c r="T339" i="3" s="1"/>
  <c r="S348" i="3"/>
  <c r="T348" i="3" s="1"/>
  <c r="R443" i="3"/>
  <c r="T443" i="3" s="1"/>
  <c r="S567" i="3"/>
  <c r="T567" i="3" s="1"/>
  <c r="R681" i="3"/>
  <c r="T681" i="3" s="1"/>
  <c r="S698" i="3"/>
  <c r="T698" i="3" s="1"/>
  <c r="S783" i="3"/>
  <c r="T783" i="3" s="1"/>
  <c r="R846" i="3"/>
  <c r="S846" i="3"/>
  <c r="R867" i="3"/>
  <c r="S867" i="3"/>
  <c r="S956" i="3"/>
  <c r="T956" i="3" s="1"/>
  <c r="R966" i="3"/>
  <c r="T966" i="3" s="1"/>
  <c r="S1019" i="3"/>
  <c r="T1019" i="3" s="1"/>
  <c r="R1137" i="3"/>
  <c r="T1137" i="3" s="1"/>
  <c r="S1215" i="3"/>
  <c r="T1215" i="3" s="1"/>
  <c r="S1227" i="3"/>
  <c r="R1227" i="3"/>
  <c r="R1269" i="3"/>
  <c r="T1269" i="3" s="1"/>
  <c r="S1280" i="3"/>
  <c r="T1280" i="3" s="1"/>
  <c r="S577" i="3"/>
  <c r="R577" i="3"/>
  <c r="S709" i="3"/>
  <c r="R709" i="3"/>
  <c r="S1183" i="3"/>
  <c r="R1183" i="3"/>
  <c r="S113" i="3"/>
  <c r="T113" i="3" s="1"/>
  <c r="R588" i="3"/>
  <c r="T588" i="3" s="1"/>
  <c r="S1104" i="3"/>
  <c r="R1104" i="3"/>
  <c r="S1228" i="3"/>
  <c r="T1228" i="3" s="1"/>
  <c r="R1281" i="3"/>
  <c r="T1281" i="3" s="1"/>
  <c r="S1197" i="3"/>
  <c r="R1197" i="3"/>
  <c r="R1217" i="3"/>
  <c r="S1217" i="3"/>
  <c r="S1289" i="3"/>
  <c r="R1289" i="3"/>
  <c r="S418" i="3"/>
  <c r="R418" i="3"/>
  <c r="S639" i="3"/>
  <c r="R639" i="3"/>
  <c r="R879" i="3"/>
  <c r="S879" i="3"/>
  <c r="S990" i="3"/>
  <c r="R990" i="3"/>
  <c r="S1200" i="3"/>
  <c r="R1200" i="3"/>
  <c r="R75" i="3"/>
  <c r="T75" i="3" s="1"/>
  <c r="R104" i="3"/>
  <c r="T104" i="3" s="1"/>
  <c r="R163" i="3"/>
  <c r="T163" i="3" s="1"/>
  <c r="R192" i="3"/>
  <c r="T192" i="3" s="1"/>
  <c r="R291" i="3"/>
  <c r="T291" i="3" s="1"/>
  <c r="R307" i="3"/>
  <c r="T307" i="3" s="1"/>
  <c r="R347" i="3"/>
  <c r="T347" i="3" s="1"/>
  <c r="R362" i="3"/>
  <c r="T362" i="3" s="1"/>
  <c r="R427" i="3"/>
  <c r="T427" i="3" s="1"/>
  <c r="S444" i="3"/>
  <c r="R444" i="3"/>
  <c r="R462" i="3"/>
  <c r="T462" i="3" s="1"/>
  <c r="R533" i="3"/>
  <c r="T533" i="3" s="1"/>
  <c r="R675" i="3"/>
  <c r="T675" i="3" s="1"/>
  <c r="R752" i="3"/>
  <c r="T752" i="3" s="1"/>
  <c r="S970" i="3"/>
  <c r="T970" i="3" s="1"/>
  <c r="R1001" i="3"/>
  <c r="T1001" i="3" s="1"/>
  <c r="S1049" i="3"/>
  <c r="T1049" i="3" s="1"/>
  <c r="R1058" i="3"/>
  <c r="T1058" i="3" s="1"/>
  <c r="R1160" i="3"/>
  <c r="T1160" i="3" s="1"/>
  <c r="R1242" i="3"/>
  <c r="T1242" i="3" s="1"/>
  <c r="S1271" i="3"/>
  <c r="T1271" i="3" s="1"/>
  <c r="R820" i="3"/>
  <c r="T820" i="3" s="1"/>
  <c r="R952" i="3"/>
  <c r="T952" i="3" s="1"/>
  <c r="S971" i="3"/>
  <c r="R971" i="3"/>
  <c r="R981" i="3"/>
  <c r="T981" i="3" s="1"/>
  <c r="S1068" i="3"/>
  <c r="T1068" i="3" s="1"/>
  <c r="R1088" i="3"/>
  <c r="T1088" i="3" s="1"/>
  <c r="S1098" i="3"/>
  <c r="T1098" i="3" s="1"/>
  <c r="R1130" i="3"/>
  <c r="T1130" i="3" s="1"/>
  <c r="S1140" i="3"/>
  <c r="T1140" i="3" s="1"/>
  <c r="R1171" i="3"/>
  <c r="T1171" i="3" s="1"/>
  <c r="R1181" i="3"/>
  <c r="T1181" i="3" s="1"/>
  <c r="R1191" i="3"/>
  <c r="T1191" i="3" s="1"/>
  <c r="R355" i="3"/>
  <c r="T355" i="3" s="1"/>
  <c r="R489" i="3"/>
  <c r="S489" i="3"/>
  <c r="S587" i="3"/>
  <c r="T587" i="3" s="1"/>
  <c r="R596" i="3"/>
  <c r="S596" i="3"/>
  <c r="S622" i="3"/>
  <c r="T622" i="3" s="1"/>
  <c r="S711" i="3"/>
  <c r="T711" i="3" s="1"/>
  <c r="S781" i="3"/>
  <c r="T781" i="3" s="1"/>
  <c r="S942" i="3"/>
  <c r="T942" i="3" s="1"/>
  <c r="R1011" i="3"/>
  <c r="T1011" i="3" s="1"/>
  <c r="S1109" i="3"/>
  <c r="R1109" i="3"/>
  <c r="S1222" i="3"/>
  <c r="T1222" i="3" s="1"/>
  <c r="R1224" i="3"/>
  <c r="S1224" i="3"/>
  <c r="R1243" i="3"/>
  <c r="S1243" i="3"/>
  <c r="S580" i="3"/>
  <c r="T580" i="3" s="1"/>
  <c r="S636" i="3"/>
  <c r="T636" i="3" s="1"/>
  <c r="S727" i="3"/>
  <c r="T727" i="3" s="1"/>
  <c r="S817" i="3"/>
  <c r="T817" i="3" s="1"/>
  <c r="S1026" i="3"/>
  <c r="T1026" i="3" s="1"/>
  <c r="S1133" i="3"/>
  <c r="T1133" i="3" s="1"/>
  <c r="S473" i="3"/>
  <c r="R473" i="3"/>
  <c r="S731" i="3"/>
  <c r="R731" i="3"/>
  <c r="S1128" i="3"/>
  <c r="R1128" i="3"/>
  <c r="S1219" i="3"/>
  <c r="R1219" i="3"/>
  <c r="S713" i="3"/>
  <c r="R713" i="3"/>
  <c r="R1119" i="3"/>
  <c r="S1119" i="3"/>
  <c r="R1192" i="3"/>
  <c r="T1192" i="3" s="1"/>
  <c r="S1238" i="3"/>
  <c r="T1238" i="3" s="1"/>
  <c r="R1256" i="3"/>
  <c r="T1256" i="3" s="1"/>
  <c r="S426" i="3"/>
  <c r="T426" i="3" s="1"/>
  <c r="S552" i="3"/>
  <c r="T552" i="3" s="1"/>
  <c r="R632" i="3"/>
  <c r="T632" i="3" s="1"/>
  <c r="S640" i="3"/>
  <c r="R640" i="3"/>
  <c r="S704" i="3"/>
  <c r="T704" i="3" s="1"/>
  <c r="S732" i="3"/>
  <c r="T732" i="3" s="1"/>
  <c r="S741" i="3"/>
  <c r="T741" i="3" s="1"/>
  <c r="R923" i="3"/>
  <c r="S923" i="3"/>
  <c r="S1138" i="3"/>
  <c r="T1138" i="3" s="1"/>
  <c r="S1147" i="3"/>
  <c r="T1147" i="3" s="1"/>
  <c r="S1229" i="3"/>
  <c r="T1229" i="3" s="1"/>
  <c r="R1283" i="3"/>
  <c r="T1283" i="3" s="1"/>
  <c r="S1202" i="3"/>
  <c r="R1202" i="3"/>
  <c r="R1021" i="3"/>
  <c r="S1021" i="3"/>
  <c r="R1094" i="3"/>
  <c r="T1094" i="3" s="1"/>
  <c r="S1161" i="3"/>
  <c r="T1161" i="3" s="1"/>
  <c r="R1211" i="3"/>
  <c r="T1211" i="3" s="1"/>
  <c r="R1284" i="3"/>
  <c r="T1284" i="3" s="1"/>
  <c r="S517" i="3"/>
  <c r="T517" i="3" s="1"/>
  <c r="S830" i="3"/>
  <c r="T830" i="3" s="1"/>
  <c r="R930" i="3"/>
  <c r="S930" i="3"/>
  <c r="S1070" i="3"/>
  <c r="T1070" i="3" s="1"/>
  <c r="S1111" i="3"/>
  <c r="T1111" i="3" s="1"/>
  <c r="S1203" i="3"/>
  <c r="T1203" i="3" s="1"/>
  <c r="R706" i="3"/>
  <c r="T706" i="3" s="1"/>
  <c r="R735" i="3"/>
  <c r="T735" i="3" s="1"/>
  <c r="R750" i="3"/>
  <c r="T750" i="3" s="1"/>
  <c r="R765" i="3"/>
  <c r="T765" i="3" s="1"/>
  <c r="R780" i="3"/>
  <c r="T780" i="3" s="1"/>
  <c r="S795" i="3"/>
  <c r="T795" i="3" s="1"/>
  <c r="R833" i="3"/>
  <c r="T833" i="3" s="1"/>
  <c r="R848" i="3"/>
  <c r="T848" i="3" s="1"/>
  <c r="R863" i="3"/>
  <c r="T863" i="3" s="1"/>
  <c r="R878" i="3"/>
  <c r="T878" i="3" s="1"/>
  <c r="R931" i="3"/>
  <c r="T931" i="3" s="1"/>
  <c r="R946" i="3"/>
  <c r="T946" i="3" s="1"/>
  <c r="R961" i="3"/>
  <c r="T961" i="3" s="1"/>
  <c r="R1127" i="3"/>
  <c r="T1127" i="3" s="1"/>
  <c r="R1142" i="3"/>
  <c r="T1142" i="3" s="1"/>
  <c r="R1157" i="3"/>
  <c r="T1157" i="3" s="1"/>
  <c r="R1172" i="3"/>
  <c r="T1172" i="3" s="1"/>
  <c r="S1187" i="3"/>
  <c r="T1187" i="3" s="1"/>
  <c r="S818" i="3"/>
  <c r="T818" i="3" s="1"/>
  <c r="S916" i="3"/>
  <c r="T916" i="3" s="1"/>
  <c r="S1014" i="3"/>
  <c r="T1014" i="3" s="1"/>
  <c r="S1112" i="3"/>
  <c r="T1112" i="3" s="1"/>
  <c r="S1294" i="3"/>
  <c r="R1294" i="3"/>
  <c r="R3" i="3"/>
  <c r="T3" i="3" s="1"/>
  <c r="N524" i="3"/>
  <c r="P524" i="3" s="1"/>
  <c r="N521" i="3"/>
  <c r="P521" i="3" s="1"/>
  <c r="N523" i="3"/>
  <c r="P523" i="3" s="1"/>
  <c r="O1289" i="3"/>
  <c r="P1289" i="3" s="1"/>
  <c r="N531" i="3"/>
  <c r="P531" i="3" s="1"/>
  <c r="N532" i="3"/>
  <c r="P532" i="3" s="1"/>
  <c r="N533" i="3"/>
  <c r="P533" i="3" s="1"/>
  <c r="N534" i="3"/>
  <c r="P534" i="3" s="1"/>
  <c r="N535" i="3"/>
  <c r="P535" i="3" s="1"/>
  <c r="N703" i="3"/>
  <c r="P703" i="3" s="1"/>
  <c r="N731" i="3"/>
  <c r="P731" i="3" s="1"/>
  <c r="N993" i="3"/>
  <c r="P993" i="3" s="1"/>
  <c r="N994" i="3"/>
  <c r="P994" i="3" s="1"/>
  <c r="N1023" i="3"/>
  <c r="P1023" i="3" s="1"/>
  <c r="N1079" i="3"/>
  <c r="P1079" i="3" s="1"/>
  <c r="N1103" i="3"/>
  <c r="P1103" i="3" s="1"/>
  <c r="O55" i="3"/>
  <c r="P55" i="3" s="1"/>
  <c r="N807" i="3"/>
  <c r="P807" i="3" s="1"/>
  <c r="N941" i="3"/>
  <c r="P941" i="3" s="1"/>
  <c r="N942" i="3"/>
  <c r="P942" i="3" s="1"/>
  <c r="N717" i="3"/>
  <c r="P717" i="3" s="1"/>
  <c r="N1047" i="3"/>
  <c r="P1047" i="3" s="1"/>
  <c r="N17" i="3"/>
  <c r="P17" i="3" s="1"/>
  <c r="N1080" i="3"/>
  <c r="P1080" i="3" s="1"/>
  <c r="N18" i="3"/>
  <c r="P18" i="3" s="1"/>
  <c r="N46" i="3"/>
  <c r="P46" i="3" s="1"/>
  <c r="N1105" i="3"/>
  <c r="P1105" i="3" s="1"/>
  <c r="N213" i="3"/>
  <c r="P213" i="3" s="1"/>
  <c r="N1106" i="3"/>
  <c r="P1106" i="3" s="1"/>
  <c r="N314" i="3"/>
  <c r="P314" i="3" s="1"/>
  <c r="N1174" i="3"/>
  <c r="P1174" i="3" s="1"/>
  <c r="N319" i="3"/>
  <c r="P319" i="3" s="1"/>
  <c r="N1176" i="3"/>
  <c r="P1176" i="3" s="1"/>
  <c r="N997" i="3"/>
  <c r="P997" i="3" s="1"/>
  <c r="N348" i="3"/>
  <c r="P348" i="3" s="1"/>
  <c r="N1230" i="3"/>
  <c r="P1230" i="3" s="1"/>
  <c r="N507" i="3"/>
  <c r="P507" i="3" s="1"/>
  <c r="N1256" i="3"/>
  <c r="P1256" i="3" s="1"/>
  <c r="O155" i="3"/>
  <c r="P155" i="3" s="1"/>
  <c r="O881" i="3"/>
  <c r="P881" i="3" s="1"/>
  <c r="O1021" i="3"/>
  <c r="P1021" i="3" s="1"/>
  <c r="N52" i="3"/>
  <c r="P52" i="3" s="1"/>
  <c r="N1172" i="3"/>
  <c r="P1172" i="3" s="1"/>
  <c r="N50" i="3"/>
  <c r="P50" i="3" s="1"/>
  <c r="N51" i="3"/>
  <c r="P51" i="3" s="1"/>
  <c r="N1164" i="3"/>
  <c r="P1164" i="3" s="1"/>
  <c r="O773" i="3"/>
  <c r="P773" i="3" s="1"/>
  <c r="N96" i="3"/>
  <c r="P96" i="3" s="1"/>
  <c r="N588" i="3"/>
  <c r="P588" i="3" s="1"/>
  <c r="N1173" i="3"/>
  <c r="P1173" i="3" s="1"/>
  <c r="N101" i="3"/>
  <c r="P101" i="3" s="1"/>
  <c r="N1177" i="3"/>
  <c r="P1177" i="3" s="1"/>
  <c r="N184" i="3"/>
  <c r="P184" i="3" s="1"/>
  <c r="N732" i="3"/>
  <c r="P732" i="3" s="1"/>
  <c r="N1228" i="3"/>
  <c r="P1228" i="3" s="1"/>
  <c r="N98" i="3"/>
  <c r="P98" i="3" s="1"/>
  <c r="O1210" i="3"/>
  <c r="P1210" i="3" s="1"/>
  <c r="N191" i="3"/>
  <c r="P191" i="3" s="1"/>
  <c r="N734" i="3"/>
  <c r="P734" i="3" s="1"/>
  <c r="N192" i="3"/>
  <c r="P192" i="3" s="1"/>
  <c r="N748" i="3"/>
  <c r="P748" i="3" s="1"/>
  <c r="N1231" i="3"/>
  <c r="P1231" i="3" s="1"/>
  <c r="N193" i="3"/>
  <c r="P193" i="3" s="1"/>
  <c r="N806" i="3"/>
  <c r="P806" i="3" s="1"/>
  <c r="N1232" i="3"/>
  <c r="P1232" i="3" s="1"/>
  <c r="N292" i="3"/>
  <c r="P292" i="3" s="1"/>
  <c r="N808" i="3"/>
  <c r="P808" i="3" s="1"/>
  <c r="N309" i="3"/>
  <c r="P309" i="3" s="1"/>
  <c r="N809" i="3"/>
  <c r="P809" i="3" s="1"/>
  <c r="N1257" i="3"/>
  <c r="P1257" i="3" s="1"/>
  <c r="N509" i="3"/>
  <c r="P509" i="3" s="1"/>
  <c r="N99" i="3"/>
  <c r="P99" i="3" s="1"/>
  <c r="N310" i="3"/>
  <c r="P310" i="3" s="1"/>
  <c r="N834" i="3"/>
  <c r="P834" i="3" s="1"/>
  <c r="N1258" i="3"/>
  <c r="P1258" i="3" s="1"/>
  <c r="N312" i="3"/>
  <c r="P312" i="3" s="1"/>
  <c r="N859" i="3"/>
  <c r="P859" i="3" s="1"/>
  <c r="N1260" i="3"/>
  <c r="P1260" i="3" s="1"/>
  <c r="N508" i="3"/>
  <c r="P508" i="3" s="1"/>
  <c r="N1237" i="3"/>
  <c r="P1237" i="3" s="1"/>
  <c r="N313" i="3"/>
  <c r="P313" i="3" s="1"/>
  <c r="N940" i="3"/>
  <c r="P940" i="3" s="1"/>
  <c r="N1263" i="3"/>
  <c r="P1263" i="3" s="1"/>
  <c r="N515" i="3"/>
  <c r="P515" i="3" s="1"/>
  <c r="N82" i="3"/>
  <c r="P82" i="3" s="1"/>
  <c r="O145" i="3"/>
  <c r="P145" i="3" s="1"/>
  <c r="N810" i="3"/>
  <c r="P810" i="3" s="1"/>
  <c r="O227" i="3"/>
  <c r="P227" i="3" s="1"/>
  <c r="O361" i="3"/>
  <c r="P361" i="3" s="1"/>
  <c r="O1092" i="3"/>
  <c r="P1092" i="3" s="1"/>
  <c r="N326" i="3"/>
  <c r="P326" i="3" s="1"/>
  <c r="N605" i="3"/>
  <c r="P605" i="3" s="1"/>
  <c r="N811" i="3"/>
  <c r="P811" i="3" s="1"/>
  <c r="O823" i="3"/>
  <c r="P823" i="3" s="1"/>
  <c r="N100" i="3"/>
  <c r="P100" i="3" s="1"/>
  <c r="N336" i="3"/>
  <c r="P336" i="3" s="1"/>
  <c r="N607" i="3"/>
  <c r="P607" i="3" s="1"/>
  <c r="N827" i="3"/>
  <c r="P827" i="3" s="1"/>
  <c r="N1259" i="3"/>
  <c r="P1259" i="3" s="1"/>
  <c r="O216" i="3"/>
  <c r="P216" i="3" s="1"/>
  <c r="O933" i="3"/>
  <c r="P933" i="3" s="1"/>
  <c r="O961" i="3"/>
  <c r="P961" i="3" s="1"/>
  <c r="N115" i="3"/>
  <c r="P115" i="3" s="1"/>
  <c r="N359" i="3"/>
  <c r="P359" i="3" s="1"/>
  <c r="N610" i="3"/>
  <c r="P610" i="3" s="1"/>
  <c r="N895" i="3"/>
  <c r="P895" i="3" s="1"/>
  <c r="N1273" i="3"/>
  <c r="P1273" i="3" s="1"/>
  <c r="N117" i="3"/>
  <c r="P117" i="3" s="1"/>
  <c r="N404" i="3"/>
  <c r="P404" i="3" s="1"/>
  <c r="N635" i="3"/>
  <c r="P635" i="3" s="1"/>
  <c r="N898" i="3"/>
  <c r="P898" i="3" s="1"/>
  <c r="N1276" i="3"/>
  <c r="P1276" i="3" s="1"/>
  <c r="O323" i="3"/>
  <c r="P323" i="3" s="1"/>
  <c r="N762" i="3"/>
  <c r="P762" i="3" s="1"/>
  <c r="O440" i="3"/>
  <c r="P440" i="3" s="1"/>
  <c r="N114" i="3"/>
  <c r="P114" i="3" s="1"/>
  <c r="N897" i="3"/>
  <c r="P897" i="3" s="1"/>
  <c r="O73" i="3"/>
  <c r="P73" i="3" s="1"/>
  <c r="N1277" i="3"/>
  <c r="P1277" i="3" s="1"/>
  <c r="O127" i="3"/>
  <c r="P127" i="3" s="1"/>
  <c r="N164" i="3"/>
  <c r="P164" i="3" s="1"/>
  <c r="N407" i="3"/>
  <c r="P407" i="3" s="1"/>
  <c r="N637" i="3"/>
  <c r="P637" i="3" s="1"/>
  <c r="N900" i="3"/>
  <c r="P900" i="3" s="1"/>
  <c r="N1108" i="3"/>
  <c r="P1108" i="3" s="1"/>
  <c r="N1279" i="3"/>
  <c r="P1279" i="3" s="1"/>
  <c r="O1163" i="3"/>
  <c r="P1163" i="3" s="1"/>
  <c r="N947" i="3"/>
  <c r="P947" i="3" s="1"/>
  <c r="N948" i="3"/>
  <c r="P948" i="3" s="1"/>
  <c r="O1009" i="3"/>
  <c r="P1009" i="3" s="1"/>
  <c r="O118" i="3"/>
  <c r="P118" i="3" s="1"/>
  <c r="O929" i="3"/>
  <c r="P929" i="3" s="1"/>
  <c r="O636" i="3"/>
  <c r="P636" i="3" s="1"/>
  <c r="N1095" i="3"/>
  <c r="P1095" i="3" s="1"/>
  <c r="O339" i="3"/>
  <c r="P339" i="3" s="1"/>
  <c r="N1275" i="3"/>
  <c r="P1275" i="3" s="1"/>
  <c r="N163" i="3"/>
  <c r="P163" i="3" s="1"/>
  <c r="N405" i="3"/>
  <c r="P405" i="3" s="1"/>
  <c r="N899" i="3"/>
  <c r="P899" i="3" s="1"/>
  <c r="N1107" i="3"/>
  <c r="P1107" i="3" s="1"/>
  <c r="N165" i="3"/>
  <c r="P165" i="3" s="1"/>
  <c r="N408" i="3"/>
  <c r="P408" i="3" s="1"/>
  <c r="N638" i="3"/>
  <c r="P638" i="3" s="1"/>
  <c r="N901" i="3"/>
  <c r="P901" i="3" s="1"/>
  <c r="N1109" i="3"/>
  <c r="P1109" i="3" s="1"/>
  <c r="N760" i="3"/>
  <c r="P760" i="3" s="1"/>
  <c r="N166" i="3"/>
  <c r="P166" i="3" s="1"/>
  <c r="N413" i="3"/>
  <c r="P413" i="3" s="1"/>
  <c r="N639" i="3"/>
  <c r="P639" i="3" s="1"/>
  <c r="N902" i="3"/>
  <c r="P902" i="3" s="1"/>
  <c r="N1110" i="3"/>
  <c r="P1110" i="3" s="1"/>
  <c r="N188" i="3"/>
  <c r="P188" i="3" s="1"/>
  <c r="O519" i="3"/>
  <c r="P519" i="3" s="1"/>
  <c r="N86" i="3"/>
  <c r="P86" i="3" s="1"/>
  <c r="N608" i="3"/>
  <c r="P608" i="3" s="1"/>
  <c r="N116" i="3"/>
  <c r="P116" i="3" s="1"/>
  <c r="O832" i="3"/>
  <c r="P832" i="3" s="1"/>
  <c r="N167" i="3"/>
  <c r="P167" i="3" s="1"/>
  <c r="N424" i="3"/>
  <c r="P424" i="3" s="1"/>
  <c r="N663" i="3"/>
  <c r="P663" i="3" s="1"/>
  <c r="N914" i="3"/>
  <c r="P914" i="3" s="1"/>
  <c r="N1111" i="3"/>
  <c r="P1111" i="3" s="1"/>
  <c r="O1081" i="3"/>
  <c r="P1081" i="3" s="1"/>
  <c r="O243" i="3"/>
  <c r="P243" i="3" s="1"/>
  <c r="O784" i="3"/>
  <c r="P784" i="3" s="1"/>
  <c r="O1218" i="3"/>
  <c r="P1218" i="3" s="1"/>
  <c r="O1248" i="3"/>
  <c r="P1248" i="3" s="1"/>
  <c r="N1000" i="3"/>
  <c r="P1000" i="3" s="1"/>
  <c r="O737" i="3"/>
  <c r="P737" i="3" s="1"/>
  <c r="O1143" i="3"/>
  <c r="P1143" i="3" s="1"/>
  <c r="N1005" i="3"/>
  <c r="P1005" i="3" s="1"/>
  <c r="N1038" i="3"/>
  <c r="P1038" i="3" s="1"/>
  <c r="O12" i="3"/>
  <c r="P12" i="3" s="1"/>
  <c r="N1094" i="3"/>
  <c r="P1094" i="3" s="1"/>
  <c r="N358" i="3"/>
  <c r="P358" i="3" s="1"/>
  <c r="O692" i="3"/>
  <c r="P692" i="3" s="1"/>
  <c r="N168" i="3"/>
  <c r="P168" i="3" s="1"/>
  <c r="N435" i="3"/>
  <c r="P435" i="3" s="1"/>
  <c r="N699" i="3"/>
  <c r="P699" i="3" s="1"/>
  <c r="N927" i="3"/>
  <c r="P927" i="3" s="1"/>
  <c r="N1153" i="3"/>
  <c r="P1153" i="3" s="1"/>
  <c r="N87" i="3"/>
  <c r="P87" i="3" s="1"/>
  <c r="N88" i="3"/>
  <c r="P88" i="3" s="1"/>
  <c r="N609" i="3"/>
  <c r="P609" i="3" s="1"/>
  <c r="N611" i="3"/>
  <c r="P611" i="3" s="1"/>
  <c r="O79" i="3"/>
  <c r="P79" i="3" s="1"/>
  <c r="N169" i="3"/>
  <c r="P169" i="3" s="1"/>
  <c r="N436" i="3"/>
  <c r="P436" i="3" s="1"/>
  <c r="N700" i="3"/>
  <c r="P700" i="3" s="1"/>
  <c r="N928" i="3"/>
  <c r="P928" i="3" s="1"/>
  <c r="N1162" i="3"/>
  <c r="P1162" i="3" s="1"/>
  <c r="O434" i="3"/>
  <c r="P434" i="3" s="1"/>
  <c r="O573" i="3"/>
  <c r="P573" i="3" s="1"/>
  <c r="O686" i="3"/>
  <c r="P686" i="3" s="1"/>
  <c r="O365" i="3"/>
  <c r="P365" i="3" s="1"/>
  <c r="N360" i="3"/>
  <c r="P360" i="3" s="1"/>
  <c r="O267" i="3"/>
  <c r="P267" i="3" s="1"/>
  <c r="O565" i="3"/>
  <c r="P565" i="3" s="1"/>
  <c r="O1052" i="3"/>
  <c r="P1052" i="3" s="1"/>
  <c r="N170" i="3"/>
  <c r="P170" i="3" s="1"/>
  <c r="N502" i="3"/>
  <c r="P502" i="3" s="1"/>
  <c r="N702" i="3"/>
  <c r="P702" i="3" s="1"/>
  <c r="N939" i="3"/>
  <c r="P939" i="3" s="1"/>
  <c r="N78" i="3"/>
  <c r="P78" i="3" s="1"/>
  <c r="N272" i="3"/>
  <c r="P272" i="3" s="1"/>
  <c r="N697" i="3"/>
  <c r="P697" i="3" s="1"/>
  <c r="N1077" i="3"/>
  <c r="P1077" i="3" s="1"/>
  <c r="O294" i="3"/>
  <c r="P294" i="3" s="1"/>
  <c r="O415" i="3"/>
  <c r="P415" i="3" s="1"/>
  <c r="O615" i="3"/>
  <c r="P615" i="3" s="1"/>
  <c r="O713" i="3"/>
  <c r="P713" i="3" s="1"/>
  <c r="O906" i="3"/>
  <c r="P906" i="3" s="1"/>
  <c r="O953" i="3"/>
  <c r="P953" i="3" s="1"/>
  <c r="O975" i="3"/>
  <c r="P975" i="3" s="1"/>
  <c r="N273" i="3"/>
  <c r="P273" i="3" s="1"/>
  <c r="N698" i="3"/>
  <c r="P698" i="3" s="1"/>
  <c r="N1078" i="3"/>
  <c r="P1078" i="3" s="1"/>
  <c r="O59" i="3"/>
  <c r="P59" i="3" s="1"/>
  <c r="O126" i="3"/>
  <c r="P126" i="3" s="1"/>
  <c r="O395" i="3"/>
  <c r="P395" i="3" s="1"/>
  <c r="O818" i="3"/>
  <c r="P818" i="3" s="1"/>
  <c r="O1051" i="3"/>
  <c r="P1051" i="3" s="1"/>
  <c r="O1098" i="3"/>
  <c r="P1098" i="3" s="1"/>
  <c r="O1120" i="3"/>
  <c r="P1120" i="3" s="1"/>
  <c r="N422" i="3"/>
  <c r="P422" i="3" s="1"/>
  <c r="N516" i="3"/>
  <c r="P516" i="3" s="1"/>
  <c r="N1006" i="3"/>
  <c r="P1006" i="3" s="1"/>
  <c r="N1167" i="3"/>
  <c r="P1167" i="3" s="1"/>
  <c r="O37" i="3"/>
  <c r="P37" i="3" s="1"/>
  <c r="O175" i="3"/>
  <c r="P175" i="3" s="1"/>
  <c r="O297" i="3"/>
  <c r="P297" i="3" s="1"/>
  <c r="O443" i="3"/>
  <c r="P443" i="3" s="1"/>
  <c r="O495" i="3"/>
  <c r="P495" i="3" s="1"/>
  <c r="O594" i="3"/>
  <c r="P594" i="3" s="1"/>
  <c r="O672" i="3"/>
  <c r="P672" i="3" s="1"/>
  <c r="O887" i="3"/>
  <c r="P887" i="3" s="1"/>
  <c r="O957" i="3"/>
  <c r="P957" i="3" s="1"/>
  <c r="N89" i="3"/>
  <c r="P89" i="3" s="1"/>
  <c r="N423" i="3"/>
  <c r="P423" i="3" s="1"/>
  <c r="N517" i="3"/>
  <c r="P517" i="3" s="1"/>
  <c r="N716" i="3"/>
  <c r="P716" i="3" s="1"/>
  <c r="N816" i="3"/>
  <c r="P816" i="3" s="1"/>
  <c r="N1010" i="3"/>
  <c r="P1010" i="3" s="1"/>
  <c r="N1096" i="3"/>
  <c r="P1096" i="3" s="1"/>
  <c r="N1168" i="3"/>
  <c r="P1168" i="3" s="1"/>
  <c r="N1026" i="3"/>
  <c r="P1026" i="3" s="1"/>
  <c r="O129" i="3"/>
  <c r="P129" i="3" s="1"/>
  <c r="O253" i="3"/>
  <c r="P253" i="3" s="1"/>
  <c r="O350" i="3"/>
  <c r="P350" i="3" s="1"/>
  <c r="O868" i="3"/>
  <c r="P868" i="3" s="1"/>
  <c r="O983" i="3"/>
  <c r="P983" i="3" s="1"/>
  <c r="O1150" i="3"/>
  <c r="P1150" i="3" s="1"/>
  <c r="N15" i="3"/>
  <c r="P15" i="3" s="1"/>
  <c r="N327" i="3"/>
  <c r="P327" i="3" s="1"/>
  <c r="N841" i="3"/>
  <c r="P841" i="3" s="1"/>
  <c r="N1028" i="3"/>
  <c r="P1028" i="3" s="1"/>
  <c r="N1104" i="3"/>
  <c r="P1104" i="3" s="1"/>
  <c r="N1175" i="3"/>
  <c r="P1175" i="3" s="1"/>
  <c r="N1262" i="3"/>
  <c r="P1262" i="3" s="1"/>
  <c r="O208" i="3"/>
  <c r="P208" i="3" s="1"/>
  <c r="N643" i="3"/>
  <c r="P643" i="3" s="1"/>
  <c r="N846" i="3"/>
  <c r="P846" i="3" s="1"/>
  <c r="O1084" i="3"/>
  <c r="P1084" i="3" s="1"/>
  <c r="O1154" i="3"/>
  <c r="P1154" i="3" s="1"/>
  <c r="N45" i="3"/>
  <c r="P45" i="3" s="1"/>
  <c r="N124" i="3"/>
  <c r="P124" i="3" s="1"/>
  <c r="N209" i="3"/>
  <c r="P209" i="3" s="1"/>
  <c r="N471" i="3"/>
  <c r="P471" i="3" s="1"/>
  <c r="N550" i="3"/>
  <c r="P550" i="3" s="1"/>
  <c r="N649" i="3"/>
  <c r="P649" i="3" s="1"/>
  <c r="N769" i="3"/>
  <c r="P769" i="3" s="1"/>
  <c r="N1056" i="3"/>
  <c r="P1056" i="3" s="1"/>
  <c r="N1194" i="3"/>
  <c r="P1194" i="3" s="1"/>
  <c r="N1278" i="3"/>
  <c r="P1278" i="3" s="1"/>
  <c r="N1029" i="3"/>
  <c r="P1029" i="3" s="1"/>
  <c r="N1048" i="3"/>
  <c r="P1048" i="3" s="1"/>
  <c r="N1055" i="3"/>
  <c r="P1055" i="3" s="1"/>
  <c r="O20" i="3"/>
  <c r="P20" i="3" s="1"/>
  <c r="N472" i="3"/>
  <c r="P472" i="3" s="1"/>
  <c r="N551" i="3"/>
  <c r="P551" i="3" s="1"/>
  <c r="N650" i="3"/>
  <c r="P650" i="3" s="1"/>
  <c r="N770" i="3"/>
  <c r="P770" i="3" s="1"/>
  <c r="N860" i="3"/>
  <c r="P860" i="3" s="1"/>
  <c r="N1057" i="3"/>
  <c r="P1057" i="3" s="1"/>
  <c r="N1195" i="3"/>
  <c r="P1195" i="3" s="1"/>
  <c r="O416" i="3"/>
  <c r="P416" i="3" s="1"/>
  <c r="O863" i="3"/>
  <c r="P863" i="3" s="1"/>
  <c r="O107" i="3"/>
  <c r="P107" i="3" s="1"/>
  <c r="O349" i="3"/>
  <c r="P349" i="3" s="1"/>
  <c r="O1031" i="3"/>
  <c r="P1031" i="3" s="1"/>
  <c r="O745" i="3"/>
  <c r="P745" i="3" s="1"/>
  <c r="N842" i="3"/>
  <c r="P842" i="3" s="1"/>
  <c r="O425" i="3"/>
  <c r="P425" i="3" s="1"/>
  <c r="O233" i="3"/>
  <c r="P233" i="3" s="1"/>
  <c r="O870" i="3"/>
  <c r="P870" i="3" s="1"/>
  <c r="N43" i="3"/>
  <c r="P43" i="3" s="1"/>
  <c r="N445" i="3"/>
  <c r="P445" i="3" s="1"/>
  <c r="O112" i="3"/>
  <c r="P112" i="3" s="1"/>
  <c r="N198" i="3"/>
  <c r="P198" i="3" s="1"/>
  <c r="O504" i="3"/>
  <c r="P504" i="3" s="1"/>
  <c r="O135" i="3"/>
  <c r="P135" i="3" s="1"/>
  <c r="O1039" i="3"/>
  <c r="P1039" i="3" s="1"/>
  <c r="N552" i="3"/>
  <c r="P552" i="3" s="1"/>
  <c r="N656" i="3"/>
  <c r="P656" i="3" s="1"/>
  <c r="N862" i="3"/>
  <c r="P862" i="3" s="1"/>
  <c r="N1059" i="3"/>
  <c r="P1059" i="3" s="1"/>
  <c r="O482" i="3"/>
  <c r="P482" i="3" s="1"/>
  <c r="N779" i="3"/>
  <c r="P779" i="3" s="1"/>
  <c r="N1291" i="3"/>
  <c r="P1291" i="3" s="1"/>
  <c r="O853" i="3"/>
  <c r="P853" i="3" s="1"/>
  <c r="N53" i="3"/>
  <c r="P53" i="3" s="1"/>
  <c r="N130" i="3"/>
  <c r="P130" i="3" s="1"/>
  <c r="N228" i="3"/>
  <c r="P228" i="3" s="1"/>
  <c r="N378" i="3"/>
  <c r="P378" i="3" s="1"/>
  <c r="N479" i="3"/>
  <c r="P479" i="3" s="1"/>
  <c r="N572" i="3"/>
  <c r="P572" i="3" s="1"/>
  <c r="N678" i="3"/>
  <c r="P678" i="3" s="1"/>
  <c r="N780" i="3"/>
  <c r="P780" i="3" s="1"/>
  <c r="N864" i="3"/>
  <c r="P864" i="3" s="1"/>
  <c r="N967" i="3"/>
  <c r="P967" i="3" s="1"/>
  <c r="N1062" i="3"/>
  <c r="P1062" i="3" s="1"/>
  <c r="N1132" i="3"/>
  <c r="P1132" i="3" s="1"/>
  <c r="N1203" i="3"/>
  <c r="P1203" i="3" s="1"/>
  <c r="N1292" i="3"/>
  <c r="P1292" i="3" s="1"/>
  <c r="O885" i="3"/>
  <c r="P885" i="3" s="1"/>
  <c r="O1050" i="3"/>
  <c r="P1050" i="3" s="1"/>
  <c r="O839" i="3"/>
  <c r="P839" i="3" s="1"/>
  <c r="N173" i="3"/>
  <c r="P173" i="3" s="1"/>
  <c r="N441" i="3"/>
  <c r="P441" i="3" s="1"/>
  <c r="O723" i="3"/>
  <c r="P723" i="3" s="1"/>
  <c r="N442" i="3"/>
  <c r="P442" i="3" s="1"/>
  <c r="O111" i="3"/>
  <c r="P111" i="3" s="1"/>
  <c r="N844" i="3"/>
  <c r="P844" i="3" s="1"/>
  <c r="O353" i="3"/>
  <c r="P353" i="3" s="1"/>
  <c r="O986" i="3"/>
  <c r="P986" i="3" s="1"/>
  <c r="O44" i="3"/>
  <c r="P44" i="3" s="1"/>
  <c r="O917" i="3"/>
  <c r="P917" i="3" s="1"/>
  <c r="N446" i="3"/>
  <c r="P446" i="3" s="1"/>
  <c r="N768" i="3"/>
  <c r="P768" i="3" s="1"/>
  <c r="N1192" i="3"/>
  <c r="P1192" i="3" s="1"/>
  <c r="O1204" i="3"/>
  <c r="P1204" i="3" s="1"/>
  <c r="N473" i="3"/>
  <c r="P473" i="3" s="1"/>
  <c r="N1119" i="3"/>
  <c r="P1119" i="3" s="1"/>
  <c r="N772" i="3"/>
  <c r="P772" i="3" s="1"/>
  <c r="N1197" i="3"/>
  <c r="P1197" i="3" s="1"/>
  <c r="O829" i="3"/>
  <c r="P829" i="3" s="1"/>
  <c r="O968" i="3"/>
  <c r="P968" i="3" s="1"/>
  <c r="O1205" i="3"/>
  <c r="P1205" i="3" s="1"/>
  <c r="N958" i="3"/>
  <c r="P958" i="3" s="1"/>
  <c r="N1131" i="3"/>
  <c r="P1131" i="3" s="1"/>
  <c r="O337" i="3"/>
  <c r="P337" i="3" s="1"/>
  <c r="O385" i="3"/>
  <c r="P385" i="3" s="1"/>
  <c r="O583" i="3"/>
  <c r="P583" i="3" s="1"/>
  <c r="O757" i="3"/>
  <c r="P757" i="3" s="1"/>
  <c r="O969" i="3"/>
  <c r="P969" i="3" s="1"/>
  <c r="O1136" i="3"/>
  <c r="P1136" i="3" s="1"/>
  <c r="N54" i="3"/>
  <c r="P54" i="3" s="1"/>
  <c r="N136" i="3"/>
  <c r="P136" i="3" s="1"/>
  <c r="N239" i="3"/>
  <c r="P239" i="3" s="1"/>
  <c r="N487" i="3"/>
  <c r="P487" i="3" s="1"/>
  <c r="N684" i="3"/>
  <c r="P684" i="3" s="1"/>
  <c r="N781" i="3"/>
  <c r="P781" i="3" s="1"/>
  <c r="N865" i="3"/>
  <c r="P865" i="3" s="1"/>
  <c r="N1063" i="3"/>
  <c r="P1063" i="3" s="1"/>
  <c r="N1133" i="3"/>
  <c r="P1133" i="3" s="1"/>
  <c r="N1293" i="3"/>
  <c r="P1293" i="3" s="1"/>
  <c r="O790" i="3"/>
  <c r="P790" i="3" s="1"/>
  <c r="N1097" i="3"/>
  <c r="P1097" i="3" s="1"/>
  <c r="N13" i="3"/>
  <c r="P13" i="3" s="1"/>
  <c r="O1171" i="3"/>
  <c r="P1171" i="3" s="1"/>
  <c r="O845" i="3"/>
  <c r="P845" i="3" s="1"/>
  <c r="O255" i="3"/>
  <c r="P255" i="3" s="1"/>
  <c r="O1083" i="3"/>
  <c r="P1083" i="3" s="1"/>
  <c r="N645" i="3"/>
  <c r="P645" i="3" s="1"/>
  <c r="O236" i="3"/>
  <c r="P236" i="3" s="1"/>
  <c r="N771" i="3"/>
  <c r="P771" i="3" s="1"/>
  <c r="O729" i="3"/>
  <c r="P729" i="3" s="1"/>
  <c r="N375" i="3"/>
  <c r="P375" i="3" s="1"/>
  <c r="O1042" i="3"/>
  <c r="P1042" i="3" s="1"/>
  <c r="O924" i="3"/>
  <c r="P924" i="3" s="1"/>
  <c r="N144" i="3"/>
  <c r="P144" i="3" s="1"/>
  <c r="N240" i="3"/>
  <c r="P240" i="3" s="1"/>
  <c r="N386" i="3"/>
  <c r="P386" i="3" s="1"/>
  <c r="N488" i="3"/>
  <c r="P488" i="3" s="1"/>
  <c r="N574" i="3"/>
  <c r="P574" i="3" s="1"/>
  <c r="N782" i="3"/>
  <c r="P782" i="3" s="1"/>
  <c r="N866" i="3"/>
  <c r="P866" i="3" s="1"/>
  <c r="N1064" i="3"/>
  <c r="P1064" i="3" s="1"/>
  <c r="N1134" i="3"/>
  <c r="P1134" i="3" s="1"/>
  <c r="N14" i="3"/>
  <c r="P14" i="3" s="1"/>
  <c r="N368" i="3"/>
  <c r="P368" i="3" s="1"/>
  <c r="N1060" i="3"/>
  <c r="P1060" i="3" s="1"/>
  <c r="O287" i="3"/>
  <c r="P287" i="3" s="1"/>
  <c r="O411" i="3"/>
  <c r="P411" i="3" s="1"/>
  <c r="O709" i="3"/>
  <c r="P709" i="3" s="1"/>
  <c r="N68" i="3"/>
  <c r="P68" i="3" s="1"/>
  <c r="N241" i="3"/>
  <c r="P241" i="3" s="1"/>
  <c r="N387" i="3"/>
  <c r="P387" i="3" s="1"/>
  <c r="N490" i="3"/>
  <c r="P490" i="3" s="1"/>
  <c r="N575" i="3"/>
  <c r="P575" i="3" s="1"/>
  <c r="N687" i="3"/>
  <c r="P687" i="3" s="1"/>
  <c r="N783" i="3"/>
  <c r="P783" i="3" s="1"/>
  <c r="N867" i="3"/>
  <c r="P867" i="3" s="1"/>
  <c r="N970" i="3"/>
  <c r="P970" i="3" s="1"/>
  <c r="N1068" i="3"/>
  <c r="P1068" i="3" s="1"/>
  <c r="N1135" i="3"/>
  <c r="P1135" i="3" s="1"/>
  <c r="N1222" i="3"/>
  <c r="P1222" i="3" s="1"/>
  <c r="O295" i="3"/>
  <c r="P295" i="3" s="1"/>
  <c r="O616" i="3"/>
  <c r="P616" i="3" s="1"/>
  <c r="O467" i="3"/>
  <c r="P467" i="3" s="1"/>
  <c r="O61" i="3"/>
  <c r="P61" i="3" s="1"/>
  <c r="N1027" i="3"/>
  <c r="P1027" i="3" s="1"/>
  <c r="O279" i="3"/>
  <c r="P279" i="3" s="1"/>
  <c r="O869" i="3"/>
  <c r="P869" i="3" s="1"/>
  <c r="O1151" i="3"/>
  <c r="P1151" i="3" s="1"/>
  <c r="N642" i="3"/>
  <c r="P642" i="3" s="1"/>
  <c r="N42" i="3"/>
  <c r="P42" i="3" s="1"/>
  <c r="N1190" i="3"/>
  <c r="P1190" i="3" s="1"/>
  <c r="O825" i="3"/>
  <c r="P825" i="3" s="1"/>
  <c r="O307" i="3"/>
  <c r="P307" i="3" s="1"/>
  <c r="O966" i="3"/>
  <c r="P966" i="3" s="1"/>
  <c r="N224" i="3"/>
  <c r="P224" i="3" s="1"/>
  <c r="N655" i="3"/>
  <c r="P655" i="3" s="1"/>
  <c r="N861" i="3"/>
  <c r="P861" i="3" s="1"/>
  <c r="N956" i="3"/>
  <c r="P956" i="3" s="1"/>
  <c r="N1058" i="3"/>
  <c r="P1058" i="3" s="1"/>
  <c r="N1196" i="3"/>
  <c r="P1196" i="3" s="1"/>
  <c r="N476" i="3"/>
  <c r="P476" i="3" s="1"/>
  <c r="O409" i="3"/>
  <c r="P409" i="3" s="1"/>
  <c r="O266" i="3"/>
  <c r="P266" i="3" s="1"/>
  <c r="O785" i="3"/>
  <c r="P785" i="3" s="1"/>
  <c r="O925" i="3"/>
  <c r="P925" i="3" s="1"/>
  <c r="N71" i="3"/>
  <c r="P71" i="3" s="1"/>
  <c r="N160" i="3"/>
  <c r="P160" i="3" s="1"/>
  <c r="N388" i="3"/>
  <c r="P388" i="3" s="1"/>
  <c r="N491" i="3"/>
  <c r="P491" i="3" s="1"/>
  <c r="N576" i="3"/>
  <c r="P576" i="3" s="1"/>
  <c r="N688" i="3"/>
  <c r="P688" i="3" s="1"/>
  <c r="N802" i="3"/>
  <c r="P802" i="3" s="1"/>
  <c r="N973" i="3"/>
  <c r="P973" i="3" s="1"/>
  <c r="N1070" i="3"/>
  <c r="P1070" i="3" s="1"/>
  <c r="N1223" i="3"/>
  <c r="P1223" i="3" s="1"/>
  <c r="O247" i="3"/>
  <c r="P247" i="3" s="1"/>
  <c r="N930" i="3"/>
  <c r="P930" i="3" s="1"/>
  <c r="N197" i="3"/>
  <c r="P197" i="3" s="1"/>
  <c r="N767" i="3"/>
  <c r="P767" i="3" s="1"/>
  <c r="O602" i="3"/>
  <c r="P602" i="3" s="1"/>
  <c r="N125" i="3"/>
  <c r="P125" i="3" s="1"/>
  <c r="O505" i="3"/>
  <c r="P505" i="3" s="1"/>
  <c r="N553" i="3"/>
  <c r="P553" i="3" s="1"/>
  <c r="N1290" i="3"/>
  <c r="P1290" i="3" s="1"/>
  <c r="N571" i="3"/>
  <c r="P571" i="3" s="1"/>
  <c r="O72" i="3"/>
  <c r="P72" i="3" s="1"/>
  <c r="O462" i="3"/>
  <c r="P462" i="3" s="1"/>
  <c r="O951" i="3"/>
  <c r="P951" i="3" s="1"/>
  <c r="O1115" i="3"/>
  <c r="P1115" i="3" s="1"/>
  <c r="N76" i="3"/>
  <c r="P76" i="3" s="1"/>
  <c r="N161" i="3"/>
  <c r="P161" i="3" s="1"/>
  <c r="N256" i="3"/>
  <c r="P256" i="3" s="1"/>
  <c r="N389" i="3"/>
  <c r="P389" i="3" s="1"/>
  <c r="N492" i="3"/>
  <c r="P492" i="3" s="1"/>
  <c r="N579" i="3"/>
  <c r="P579" i="3" s="1"/>
  <c r="N695" i="3"/>
  <c r="P695" i="3" s="1"/>
  <c r="N804" i="3"/>
  <c r="P804" i="3" s="1"/>
  <c r="N974" i="3"/>
  <c r="P974" i="3" s="1"/>
  <c r="N1075" i="3"/>
  <c r="P1075" i="3" s="1"/>
  <c r="N1225" i="3"/>
  <c r="P1225" i="3" s="1"/>
  <c r="O367" i="3"/>
  <c r="P367" i="3" s="1"/>
  <c r="N1166" i="3"/>
  <c r="P1166" i="3" s="1"/>
  <c r="O912" i="3"/>
  <c r="P912" i="3" s="1"/>
  <c r="O1269" i="3"/>
  <c r="P1269" i="3" s="1"/>
  <c r="O915" i="3"/>
  <c r="P915" i="3" s="1"/>
  <c r="N843" i="3"/>
  <c r="P843" i="3" s="1"/>
  <c r="O181" i="3"/>
  <c r="P181" i="3" s="1"/>
  <c r="O157" i="3"/>
  <c r="P157" i="3" s="1"/>
  <c r="N644" i="3"/>
  <c r="P644" i="3" s="1"/>
  <c r="N1191" i="3"/>
  <c r="P1191" i="3" s="1"/>
  <c r="O90" i="3"/>
  <c r="P90" i="3" s="1"/>
  <c r="N549" i="3"/>
  <c r="P549" i="3" s="1"/>
  <c r="O705" i="3"/>
  <c r="P705" i="3" s="1"/>
  <c r="N225" i="3"/>
  <c r="P225" i="3" s="1"/>
  <c r="O1157" i="3"/>
  <c r="P1157" i="3" s="1"/>
  <c r="N478" i="3"/>
  <c r="P478" i="3" s="1"/>
  <c r="N1202" i="3"/>
  <c r="P1202" i="3" s="1"/>
  <c r="O685" i="3"/>
  <c r="P685" i="3" s="1"/>
  <c r="O513" i="3"/>
  <c r="P513" i="3" s="1"/>
  <c r="O905" i="3"/>
  <c r="P905" i="3" s="1"/>
  <c r="O1093" i="3"/>
  <c r="P1093" i="3" s="1"/>
  <c r="O1261" i="3"/>
  <c r="P1261" i="3" s="1"/>
  <c r="N77" i="3"/>
  <c r="P77" i="3" s="1"/>
  <c r="N162" i="3"/>
  <c r="P162" i="3" s="1"/>
  <c r="N271" i="3"/>
  <c r="P271" i="3" s="1"/>
  <c r="N403" i="3"/>
  <c r="P403" i="3" s="1"/>
  <c r="N499" i="3"/>
  <c r="P499" i="3" s="1"/>
  <c r="N587" i="3"/>
  <c r="P587" i="3" s="1"/>
  <c r="N696" i="3"/>
  <c r="P696" i="3" s="1"/>
  <c r="N805" i="3"/>
  <c r="P805" i="3" s="1"/>
  <c r="N1076" i="3"/>
  <c r="P1076" i="3" s="1"/>
  <c r="N1152" i="3"/>
  <c r="P1152" i="3" s="1"/>
  <c r="N1227" i="3"/>
  <c r="P1227" i="3" s="1"/>
  <c r="O556" i="3"/>
  <c r="N556" i="3"/>
  <c r="O889" i="3"/>
  <c r="N889" i="3"/>
  <c r="O910" i="3"/>
  <c r="P910" i="3" s="1"/>
  <c r="O66" i="3"/>
  <c r="P66" i="3" s="1"/>
  <c r="O131" i="3"/>
  <c r="P131" i="3" s="1"/>
  <c r="O557" i="3"/>
  <c r="N557" i="3"/>
  <c r="O890" i="3"/>
  <c r="N890" i="3"/>
  <c r="O911" i="3"/>
  <c r="N911" i="3"/>
  <c r="O25" i="3"/>
  <c r="N25" i="3"/>
  <c r="O511" i="3"/>
  <c r="N511" i="3"/>
  <c r="O558" i="3"/>
  <c r="N558" i="3"/>
  <c r="O892" i="3"/>
  <c r="N892" i="3"/>
  <c r="O438" i="3"/>
  <c r="N438" i="3"/>
  <c r="O392" i="3"/>
  <c r="N392" i="3"/>
  <c r="O28" i="3"/>
  <c r="N28" i="3"/>
  <c r="O1264" i="3"/>
  <c r="N1264" i="3"/>
  <c r="O5" i="3"/>
  <c r="P5" i="3" s="1"/>
  <c r="N345" i="3"/>
  <c r="O345" i="3"/>
  <c r="O1244" i="3"/>
  <c r="N1244" i="3"/>
  <c r="O1265" i="3"/>
  <c r="N1265" i="3"/>
  <c r="O29" i="3"/>
  <c r="P29" i="3" s="1"/>
  <c r="O322" i="3"/>
  <c r="P322" i="3" s="1"/>
  <c r="O346" i="3"/>
  <c r="N346" i="3"/>
  <c r="O830" i="3"/>
  <c r="N830" i="3"/>
  <c r="O6" i="3"/>
  <c r="P6" i="3" s="1"/>
  <c r="O30" i="3"/>
  <c r="N30" i="3"/>
  <c r="O300" i="3"/>
  <c r="N300" i="3"/>
  <c r="O347" i="3"/>
  <c r="N347" i="3"/>
  <c r="O369" i="3"/>
  <c r="N369" i="3"/>
  <c r="O733" i="3"/>
  <c r="N733" i="3"/>
  <c r="O1198" i="3"/>
  <c r="N1198" i="3"/>
  <c r="O1219" i="3"/>
  <c r="P1219" i="3" s="1"/>
  <c r="O1245" i="3"/>
  <c r="P1245" i="3" s="1"/>
  <c r="O1267" i="3"/>
  <c r="N1267" i="3"/>
  <c r="O26" i="3"/>
  <c r="N26" i="3"/>
  <c r="O888" i="3"/>
  <c r="P888" i="3" s="1"/>
  <c r="N93" i="3"/>
  <c r="O93" i="3"/>
  <c r="O849" i="3"/>
  <c r="P849" i="3" s="1"/>
  <c r="O48" i="3"/>
  <c r="P48" i="3" s="1"/>
  <c r="O370" i="3"/>
  <c r="N370" i="3"/>
  <c r="O302" i="3"/>
  <c r="N302" i="3"/>
  <c r="O1199" i="3"/>
  <c r="P1199" i="3" s="1"/>
  <c r="O666" i="3"/>
  <c r="N666" i="3"/>
  <c r="O259" i="3"/>
  <c r="N259" i="3"/>
  <c r="O1200" i="3"/>
  <c r="P1200" i="3" s="1"/>
  <c r="N1243" i="3"/>
  <c r="P1243" i="3" s="1"/>
  <c r="O668" i="3"/>
  <c r="N668" i="3"/>
  <c r="O219" i="3"/>
  <c r="P219" i="3" s="1"/>
  <c r="O261" i="3"/>
  <c r="P261" i="3" s="1"/>
  <c r="O283" i="3"/>
  <c r="P283" i="3" s="1"/>
  <c r="O305" i="3"/>
  <c r="N305" i="3"/>
  <c r="O595" i="3"/>
  <c r="N595" i="3"/>
  <c r="O618" i="3"/>
  <c r="N618" i="3"/>
  <c r="N1065" i="3"/>
  <c r="O1065" i="3"/>
  <c r="O1178" i="3"/>
  <c r="P1178" i="3" s="1"/>
  <c r="O257" i="3"/>
  <c r="P257" i="3" s="1"/>
  <c r="O554" i="3"/>
  <c r="N554" i="3"/>
  <c r="O109" i="3"/>
  <c r="N109" i="3"/>
  <c r="O555" i="3"/>
  <c r="P555" i="3" s="1"/>
  <c r="O67" i="3"/>
  <c r="N67" i="3"/>
  <c r="O24" i="3"/>
  <c r="N24" i="3"/>
  <c r="O47" i="3"/>
  <c r="P47" i="3" s="1"/>
  <c r="O871" i="3"/>
  <c r="P871" i="3" s="1"/>
  <c r="O850" i="3"/>
  <c r="N850" i="3"/>
  <c r="O301" i="3"/>
  <c r="N301" i="3"/>
  <c r="N8" i="3"/>
  <c r="O8" i="3"/>
  <c r="O280" i="3"/>
  <c r="P280" i="3" s="1"/>
  <c r="O303" i="3"/>
  <c r="P303" i="3" s="1"/>
  <c r="O282" i="3"/>
  <c r="N282" i="3"/>
  <c r="N325" i="3"/>
  <c r="P325" i="3" s="1"/>
  <c r="O220" i="3"/>
  <c r="N220" i="3"/>
  <c r="O596" i="3"/>
  <c r="N596" i="3"/>
  <c r="O263" i="3"/>
  <c r="N263" i="3"/>
  <c r="O619" i="3"/>
  <c r="P619" i="3" s="1"/>
  <c r="O1043" i="3"/>
  <c r="N1043" i="3"/>
  <c r="O1066" i="3"/>
  <c r="P1066" i="3" s="1"/>
  <c r="O577" i="3"/>
  <c r="P577" i="3" s="1"/>
  <c r="N954" i="3"/>
  <c r="O954" i="3"/>
  <c r="O891" i="3"/>
  <c r="P891" i="3" s="1"/>
  <c r="O91" i="3"/>
  <c r="N91" i="3"/>
  <c r="O27" i="3"/>
  <c r="P27" i="3" s="1"/>
  <c r="O49" i="3"/>
  <c r="N49" i="3"/>
  <c r="O710" i="3"/>
  <c r="N710" i="3"/>
  <c r="O1246" i="3"/>
  <c r="P1246" i="3" s="1"/>
  <c r="O1247" i="3"/>
  <c r="N1247" i="3"/>
  <c r="O640" i="3"/>
  <c r="N640" i="3"/>
  <c r="N324" i="3"/>
  <c r="P324" i="3" s="1"/>
  <c r="O260" i="3"/>
  <c r="N260" i="3"/>
  <c r="O667" i="3"/>
  <c r="P667" i="3" s="1"/>
  <c r="O1085" i="3"/>
  <c r="N1085" i="3"/>
  <c r="N1224" i="3"/>
  <c r="O1224" i="3"/>
  <c r="O306" i="3"/>
  <c r="N306" i="3"/>
  <c r="N149" i="3"/>
  <c r="O149" i="3"/>
  <c r="O199" i="3"/>
  <c r="P199" i="3" s="1"/>
  <c r="O221" i="3"/>
  <c r="P221" i="3" s="1"/>
  <c r="O597" i="3"/>
  <c r="P597" i="3" s="1"/>
  <c r="O620" i="3"/>
  <c r="N620" i="3"/>
  <c r="O1112" i="3"/>
  <c r="N1112" i="3"/>
  <c r="O955" i="3"/>
  <c r="N955" i="3"/>
  <c r="N113" i="3"/>
  <c r="O113" i="3"/>
  <c r="O665" i="3"/>
  <c r="N665" i="3"/>
  <c r="O258" i="3"/>
  <c r="N258" i="3"/>
  <c r="O238" i="3"/>
  <c r="P238" i="3" s="1"/>
  <c r="O218" i="3"/>
  <c r="N218" i="3"/>
  <c r="O641" i="3"/>
  <c r="N641" i="3"/>
  <c r="O1201" i="3"/>
  <c r="N1201" i="3"/>
  <c r="O304" i="3"/>
  <c r="P304" i="3" s="1"/>
  <c r="O738" i="3"/>
  <c r="N738" i="3"/>
  <c r="O150" i="3"/>
  <c r="N150" i="3"/>
  <c r="O200" i="3"/>
  <c r="N200" i="3"/>
  <c r="O222" i="3"/>
  <c r="N222" i="3"/>
  <c r="O598" i="3"/>
  <c r="N598" i="3"/>
  <c r="O646" i="3"/>
  <c r="N646" i="3"/>
  <c r="O972" i="3"/>
  <c r="P972" i="3" s="1"/>
  <c r="O995" i="3"/>
  <c r="P995" i="3" s="1"/>
  <c r="O909" i="3"/>
  <c r="P909" i="3" s="1"/>
  <c r="O578" i="3"/>
  <c r="N578" i="3"/>
  <c r="O437" i="3"/>
  <c r="N437" i="3"/>
  <c r="O3" i="3"/>
  <c r="N3" i="3"/>
  <c r="O439" i="3"/>
  <c r="N439" i="3"/>
  <c r="O7" i="3"/>
  <c r="N7" i="3"/>
  <c r="O371" i="3"/>
  <c r="N371" i="3"/>
  <c r="O736" i="3"/>
  <c r="N736" i="3"/>
  <c r="O281" i="3"/>
  <c r="P281" i="3" s="1"/>
  <c r="N691" i="3"/>
  <c r="O691" i="3"/>
  <c r="O262" i="3"/>
  <c r="N262" i="3"/>
  <c r="O151" i="3"/>
  <c r="N151" i="3"/>
  <c r="O599" i="3"/>
  <c r="N599" i="3"/>
  <c r="O621" i="3"/>
  <c r="P621" i="3" s="1"/>
  <c r="N647" i="3"/>
  <c r="O647" i="3"/>
  <c r="O952" i="3"/>
  <c r="P952" i="3" s="1"/>
  <c r="O996" i="3"/>
  <c r="N996" i="3"/>
  <c r="N202" i="3"/>
  <c r="O202" i="3"/>
  <c r="O418" i="3"/>
  <c r="N418" i="3"/>
  <c r="O237" i="3"/>
  <c r="P237" i="3" s="1"/>
  <c r="N419" i="3"/>
  <c r="O419" i="3"/>
  <c r="O759" i="3"/>
  <c r="P759" i="3" s="1"/>
  <c r="N4" i="3"/>
  <c r="P4" i="3" s="1"/>
  <c r="O397" i="3"/>
  <c r="P397" i="3" s="1"/>
  <c r="O711" i="3"/>
  <c r="N711" i="3"/>
  <c r="O217" i="3"/>
  <c r="N217" i="3"/>
  <c r="O617" i="3"/>
  <c r="P617" i="3" s="1"/>
  <c r="N1024" i="3"/>
  <c r="P1024" i="3" s="1"/>
  <c r="O284" i="3"/>
  <c r="N284" i="3"/>
  <c r="O201" i="3"/>
  <c r="P201" i="3" s="1"/>
  <c r="O600" i="3"/>
  <c r="N600" i="3"/>
  <c r="N622" i="3"/>
  <c r="O622" i="3"/>
  <c r="N851" i="3"/>
  <c r="P851" i="3" s="1"/>
  <c r="O694" i="3"/>
  <c r="N694" i="3"/>
  <c r="O1002" i="3"/>
  <c r="N1002" i="3"/>
  <c r="O1179" i="3"/>
  <c r="P1179" i="3" s="1"/>
  <c r="N9" i="3"/>
  <c r="O9" i="3"/>
  <c r="O31" i="3"/>
  <c r="P31" i="3" s="1"/>
  <c r="O203" i="3"/>
  <c r="N203" i="3"/>
  <c r="O223" i="3"/>
  <c r="P223" i="3" s="1"/>
  <c r="O264" i="3"/>
  <c r="N264" i="3"/>
  <c r="O376" i="3"/>
  <c r="N376" i="3"/>
  <c r="O559" i="3"/>
  <c r="P559" i="3" s="1"/>
  <c r="O648" i="3"/>
  <c r="N648" i="3"/>
  <c r="N673" i="3"/>
  <c r="O673" i="3"/>
  <c r="O812" i="3"/>
  <c r="P812" i="3" s="1"/>
  <c r="O873" i="3"/>
  <c r="P873" i="3" s="1"/>
  <c r="O1138" i="3"/>
  <c r="N1138" i="3"/>
  <c r="O1180" i="3"/>
  <c r="N1180" i="3"/>
  <c r="N937" i="3"/>
  <c r="O937" i="3"/>
  <c r="N894" i="3"/>
  <c r="P894" i="3" s="1"/>
  <c r="O601" i="3"/>
  <c r="P601" i="3" s="1"/>
  <c r="O204" i="3"/>
  <c r="N204" i="3"/>
  <c r="O580" i="3"/>
  <c r="P580" i="3" s="1"/>
  <c r="O833" i="3"/>
  <c r="N833" i="3"/>
  <c r="O1073" i="3"/>
  <c r="P1073" i="3" s="1"/>
  <c r="O246" i="3"/>
  <c r="N246" i="3"/>
  <c r="O561" i="3"/>
  <c r="P561" i="3" s="1"/>
  <c r="O792" i="3"/>
  <c r="N792" i="3"/>
  <c r="O855" i="3"/>
  <c r="P855" i="3" s="1"/>
  <c r="O918" i="3"/>
  <c r="N918" i="3"/>
  <c r="O1074" i="3"/>
  <c r="P1074" i="3" s="1"/>
  <c r="O206" i="3"/>
  <c r="P206" i="3" s="1"/>
  <c r="O426" i="3"/>
  <c r="P426" i="3" s="1"/>
  <c r="O448" i="3"/>
  <c r="P448" i="3" s="1"/>
  <c r="O538" i="3"/>
  <c r="P538" i="3" s="1"/>
  <c r="O606" i="3"/>
  <c r="N606" i="3"/>
  <c r="N629" i="3"/>
  <c r="O629" i="3"/>
  <c r="O746" i="3"/>
  <c r="N746" i="3"/>
  <c r="O815" i="3"/>
  <c r="P815" i="3" s="1"/>
  <c r="O835" i="3"/>
  <c r="P835" i="3" s="1"/>
  <c r="N919" i="3"/>
  <c r="O919" i="3"/>
  <c r="O119" i="3"/>
  <c r="N119" i="3"/>
  <c r="O139" i="3"/>
  <c r="P139" i="3" s="1"/>
  <c r="O268" i="3"/>
  <c r="N268" i="3"/>
  <c r="N449" i="3"/>
  <c r="O449" i="3"/>
  <c r="O518" i="3"/>
  <c r="P518" i="3" s="1"/>
  <c r="O539" i="3"/>
  <c r="N539" i="3"/>
  <c r="O653" i="3"/>
  <c r="P653" i="3" s="1"/>
  <c r="O793" i="3"/>
  <c r="P793" i="3" s="1"/>
  <c r="N857" i="3"/>
  <c r="O857" i="3"/>
  <c r="O1032" i="3"/>
  <c r="N1032" i="3"/>
  <c r="O1142" i="3"/>
  <c r="N1142" i="3"/>
  <c r="N715" i="3"/>
  <c r="P715" i="3" s="1"/>
  <c r="N896" i="3"/>
  <c r="P896" i="3" s="1"/>
  <c r="N1271" i="3"/>
  <c r="P1271" i="3" s="1"/>
  <c r="O120" i="3"/>
  <c r="N120" i="3"/>
  <c r="N140" i="3"/>
  <c r="O140" i="3"/>
  <c r="O185" i="3"/>
  <c r="P185" i="3" s="1"/>
  <c r="O248" i="3"/>
  <c r="N248" i="3"/>
  <c r="O406" i="3"/>
  <c r="N406" i="3"/>
  <c r="O428" i="3"/>
  <c r="N428" i="3"/>
  <c r="O540" i="3"/>
  <c r="N540" i="3"/>
  <c r="O564" i="3"/>
  <c r="N564" i="3"/>
  <c r="O794" i="3"/>
  <c r="N794" i="3"/>
  <c r="N817" i="3"/>
  <c r="O817" i="3"/>
  <c r="O858" i="3"/>
  <c r="N858" i="3"/>
  <c r="O1053" i="3"/>
  <c r="P1053" i="3" s="1"/>
  <c r="N383" i="3"/>
  <c r="P383" i="3" s="1"/>
  <c r="O872" i="3"/>
  <c r="N872" i="3"/>
  <c r="O1158" i="3"/>
  <c r="N1158" i="3"/>
  <c r="O10" i="3"/>
  <c r="N10" i="3"/>
  <c r="N377" i="3"/>
  <c r="O377" i="3"/>
  <c r="O536" i="3"/>
  <c r="N536" i="3"/>
  <c r="O560" i="3"/>
  <c r="P560" i="3" s="1"/>
  <c r="N1252" i="3"/>
  <c r="O1252" i="3"/>
  <c r="O447" i="3"/>
  <c r="P447" i="3" s="1"/>
  <c r="O581" i="3"/>
  <c r="N581" i="3"/>
  <c r="O1253" i="3"/>
  <c r="N1253" i="3"/>
  <c r="O138" i="3"/>
  <c r="N138" i="3"/>
  <c r="O1140" i="3"/>
  <c r="P1140" i="3" s="1"/>
  <c r="O585" i="3"/>
  <c r="N585" i="3"/>
  <c r="O838" i="3"/>
  <c r="N838" i="3"/>
  <c r="O774" i="3"/>
  <c r="N774" i="3"/>
  <c r="O987" i="3"/>
  <c r="N987" i="3"/>
  <c r="O1144" i="3"/>
  <c r="N1144" i="3"/>
  <c r="O726" i="3"/>
  <c r="N726" i="3"/>
  <c r="O1012" i="3"/>
  <c r="N1012" i="3"/>
  <c r="N1122" i="3"/>
  <c r="O1122" i="3"/>
  <c r="N210" i="3"/>
  <c r="O210" i="3"/>
  <c r="O453" i="3"/>
  <c r="P453" i="3" s="1"/>
  <c r="O797" i="3"/>
  <c r="P797" i="3" s="1"/>
  <c r="O820" i="3"/>
  <c r="N820" i="3"/>
  <c r="O946" i="3"/>
  <c r="N946" i="3"/>
  <c r="N1036" i="3"/>
  <c r="O1036" i="3"/>
  <c r="O1101" i="3"/>
  <c r="P1101" i="3" s="1"/>
  <c r="O934" i="3"/>
  <c r="N934" i="3"/>
  <c r="O182" i="3"/>
  <c r="P182" i="3" s="1"/>
  <c r="O205" i="3"/>
  <c r="P205" i="3" s="1"/>
  <c r="O938" i="3"/>
  <c r="P938" i="3" s="1"/>
  <c r="O724" i="3"/>
  <c r="N724" i="3"/>
  <c r="O121" i="3"/>
  <c r="P121" i="3" s="1"/>
  <c r="O1100" i="3"/>
  <c r="N1100" i="3"/>
  <c r="O1035" i="3"/>
  <c r="P1035" i="3" s="1"/>
  <c r="N431" i="3"/>
  <c r="O431" i="3"/>
  <c r="O989" i="3"/>
  <c r="P989" i="3" s="1"/>
  <c r="O62" i="3"/>
  <c r="P62" i="3" s="1"/>
  <c r="O83" i="3"/>
  <c r="P83" i="3" s="1"/>
  <c r="N103" i="3"/>
  <c r="O103" i="3"/>
  <c r="O340" i="3"/>
  <c r="N340" i="3"/>
  <c r="O363" i="3"/>
  <c r="P363" i="3" s="1"/>
  <c r="O454" i="3"/>
  <c r="P454" i="3" s="1"/>
  <c r="O683" i="3"/>
  <c r="N683" i="3"/>
  <c r="O776" i="3"/>
  <c r="P776" i="3" s="1"/>
  <c r="N799" i="3"/>
  <c r="O799" i="3"/>
  <c r="O990" i="3"/>
  <c r="N990" i="3"/>
  <c r="O1014" i="3"/>
  <c r="P1014" i="3" s="1"/>
  <c r="O1284" i="3"/>
  <c r="N1284" i="3"/>
  <c r="N907" i="3"/>
  <c r="P907" i="3" s="1"/>
  <c r="O852" i="3"/>
  <c r="N852" i="3"/>
  <c r="O242" i="3"/>
  <c r="N242" i="3"/>
  <c r="O831" i="3"/>
  <c r="P831" i="3" s="1"/>
  <c r="O158" i="3"/>
  <c r="N158" i="3"/>
  <c r="O813" i="3"/>
  <c r="P813" i="3" s="1"/>
  <c r="O537" i="3"/>
  <c r="P537" i="3" s="1"/>
  <c r="O183" i="3"/>
  <c r="P183" i="3" s="1"/>
  <c r="N229" i="3"/>
  <c r="O229" i="3"/>
  <c r="O249" i="3"/>
  <c r="N249" i="3"/>
  <c r="O586" i="3"/>
  <c r="N586" i="3"/>
  <c r="O796" i="3"/>
  <c r="N796" i="3"/>
  <c r="O430" i="3"/>
  <c r="N430" i="3"/>
  <c r="N566" i="3"/>
  <c r="O566" i="3"/>
  <c r="O544" i="3"/>
  <c r="N544" i="3"/>
  <c r="O775" i="3"/>
  <c r="P775" i="3" s="1"/>
  <c r="N545" i="3"/>
  <c r="O545" i="3"/>
  <c r="O704" i="3"/>
  <c r="N704" i="3"/>
  <c r="O1283" i="3"/>
  <c r="P1283" i="3" s="1"/>
  <c r="O63" i="3"/>
  <c r="N63" i="3"/>
  <c r="O341" i="3"/>
  <c r="N341" i="3"/>
  <c r="N364" i="3"/>
  <c r="O364" i="3"/>
  <c r="O455" i="3"/>
  <c r="N455" i="3"/>
  <c r="N503" i="3"/>
  <c r="O503" i="3"/>
  <c r="N661" i="3"/>
  <c r="O661" i="3"/>
  <c r="O800" i="3"/>
  <c r="N800" i="3"/>
  <c r="O991" i="3"/>
  <c r="N991" i="3"/>
  <c r="O1015" i="3"/>
  <c r="N1015" i="3"/>
  <c r="N1193" i="3"/>
  <c r="O1193" i="3"/>
  <c r="O1285" i="3"/>
  <c r="N1285" i="3"/>
  <c r="N908" i="3"/>
  <c r="P908" i="3" s="1"/>
  <c r="N1206" i="3"/>
  <c r="P1206" i="3" s="1"/>
  <c r="O674" i="3"/>
  <c r="P674" i="3" s="1"/>
  <c r="O854" i="3"/>
  <c r="P854" i="3" s="1"/>
  <c r="O814" i="3"/>
  <c r="N814" i="3"/>
  <c r="O1229" i="3"/>
  <c r="N1229" i="3"/>
  <c r="N56" i="3"/>
  <c r="O56" i="3"/>
  <c r="O1034" i="3"/>
  <c r="N1034" i="3"/>
  <c r="N285" i="3"/>
  <c r="P285" i="3" s="1"/>
  <c r="O725" i="3"/>
  <c r="N725" i="3"/>
  <c r="O1011" i="3"/>
  <c r="N1011" i="3"/>
  <c r="N751" i="3"/>
  <c r="O751" i="3"/>
  <c r="O102" i="3"/>
  <c r="N102" i="3"/>
  <c r="O84" i="3"/>
  <c r="P84" i="3" s="1"/>
  <c r="O146" i="3"/>
  <c r="P146" i="3" s="1"/>
  <c r="O277" i="3"/>
  <c r="N277" i="3"/>
  <c r="O320" i="3"/>
  <c r="P320" i="3" s="1"/>
  <c r="O342" i="3"/>
  <c r="N342" i="3"/>
  <c r="O390" i="3"/>
  <c r="N390" i="3"/>
  <c r="O412" i="3"/>
  <c r="N412" i="3"/>
  <c r="O706" i="3"/>
  <c r="N706" i="3"/>
  <c r="O730" i="3"/>
  <c r="N730" i="3"/>
  <c r="O755" i="3"/>
  <c r="P755" i="3" s="1"/>
  <c r="O801" i="3"/>
  <c r="N801" i="3"/>
  <c r="O926" i="3"/>
  <c r="P926" i="3" s="1"/>
  <c r="O992" i="3"/>
  <c r="N992" i="3"/>
  <c r="O1016" i="3"/>
  <c r="N1016" i="3"/>
  <c r="O1061" i="3"/>
  <c r="N1061" i="3"/>
  <c r="O1286" i="3"/>
  <c r="N1286" i="3"/>
  <c r="N1159" i="3"/>
  <c r="P1159" i="3" s="1"/>
  <c r="O893" i="3"/>
  <c r="N893" i="3"/>
  <c r="O468" i="3"/>
  <c r="P468" i="3" s="1"/>
  <c r="O1139" i="3"/>
  <c r="P1139" i="3" s="1"/>
  <c r="O186" i="3"/>
  <c r="N186" i="3"/>
  <c r="N384" i="3"/>
  <c r="P384" i="3" s="1"/>
  <c r="N1274" i="3"/>
  <c r="P1274" i="3" s="1"/>
  <c r="O81" i="3"/>
  <c r="N81" i="3"/>
  <c r="O475" i="3"/>
  <c r="P475" i="3" s="1"/>
  <c r="O988" i="3"/>
  <c r="N988" i="3"/>
  <c r="O362" i="3"/>
  <c r="N362" i="3"/>
  <c r="O190" i="3"/>
  <c r="N190" i="3"/>
  <c r="O410" i="3"/>
  <c r="N410" i="3"/>
  <c r="O477" i="3"/>
  <c r="N477" i="3"/>
  <c r="O1123" i="3"/>
  <c r="P1123" i="3" s="1"/>
  <c r="N311" i="3"/>
  <c r="P311" i="3" s="1"/>
  <c r="N840" i="3"/>
  <c r="P840" i="3" s="1"/>
  <c r="O85" i="3"/>
  <c r="N85" i="3"/>
  <c r="N171" i="3"/>
  <c r="O171" i="3"/>
  <c r="O278" i="3"/>
  <c r="N278" i="3"/>
  <c r="O298" i="3"/>
  <c r="N298" i="3"/>
  <c r="O343" i="3"/>
  <c r="N343" i="3"/>
  <c r="N481" i="3"/>
  <c r="O481" i="3"/>
  <c r="N756" i="3"/>
  <c r="O756" i="3"/>
  <c r="O1287" i="3"/>
  <c r="N1287" i="3"/>
  <c r="N1160" i="3"/>
  <c r="P1160" i="3" s="1"/>
  <c r="O354" i="3"/>
  <c r="N354" i="3"/>
  <c r="O493" i="3"/>
  <c r="P493" i="3" s="1"/>
  <c r="O603" i="3"/>
  <c r="N603" i="3"/>
  <c r="O874" i="3"/>
  <c r="P874" i="3" s="1"/>
  <c r="N1182" i="3"/>
  <c r="O1182" i="3"/>
  <c r="O474" i="3"/>
  <c r="N474" i="3"/>
  <c r="O632" i="3"/>
  <c r="N632" i="3"/>
  <c r="O795" i="3"/>
  <c r="N795" i="3"/>
  <c r="O1054" i="3"/>
  <c r="N1054" i="3"/>
  <c r="O80" i="3"/>
  <c r="N80" i="3"/>
  <c r="O429" i="3"/>
  <c r="P429" i="3" s="1"/>
  <c r="O542" i="3"/>
  <c r="N542" i="3"/>
  <c r="O500" i="3"/>
  <c r="N500" i="3"/>
  <c r="N1013" i="3"/>
  <c r="O1013" i="3"/>
  <c r="O682" i="3"/>
  <c r="P682" i="3" s="1"/>
  <c r="N821" i="3"/>
  <c r="O821" i="3"/>
  <c r="N147" i="3"/>
  <c r="O147" i="3"/>
  <c r="O23" i="3"/>
  <c r="P23" i="3" s="1"/>
  <c r="O65" i="3"/>
  <c r="P65" i="3" s="1"/>
  <c r="O299" i="3"/>
  <c r="N299" i="3"/>
  <c r="O321" i="3"/>
  <c r="P321" i="3" s="1"/>
  <c r="O344" i="3"/>
  <c r="N344" i="3"/>
  <c r="O391" i="3"/>
  <c r="P391" i="3" s="1"/>
  <c r="O664" i="3"/>
  <c r="N664" i="3"/>
  <c r="O971" i="3"/>
  <c r="P971" i="3" s="1"/>
  <c r="O1242" i="3"/>
  <c r="N1242" i="3"/>
  <c r="O1288" i="3"/>
  <c r="N1288" i="3"/>
  <c r="N1161" i="3"/>
  <c r="P1161" i="3" s="1"/>
  <c r="O11" i="3"/>
  <c r="N11" i="3"/>
  <c r="O110" i="3"/>
  <c r="N110" i="3"/>
  <c r="O207" i="3"/>
  <c r="N207" i="3"/>
  <c r="O244" i="3"/>
  <c r="N244" i="3"/>
  <c r="N265" i="3"/>
  <c r="O265" i="3"/>
  <c r="O456" i="3"/>
  <c r="N456" i="3"/>
  <c r="O501" i="3"/>
  <c r="N501" i="3"/>
  <c r="O562" i="3"/>
  <c r="N562" i="3"/>
  <c r="O712" i="3"/>
  <c r="N712" i="3"/>
  <c r="O777" i="3"/>
  <c r="N777" i="3"/>
  <c r="O836" i="3"/>
  <c r="N836" i="3"/>
  <c r="O875" i="3"/>
  <c r="N875" i="3"/>
  <c r="O935" i="3"/>
  <c r="N935" i="3"/>
  <c r="O1082" i="3"/>
  <c r="N1082" i="3"/>
  <c r="O1102" i="3"/>
  <c r="N1102" i="3"/>
  <c r="O148" i="3"/>
  <c r="N148" i="3"/>
  <c r="O187" i="3"/>
  <c r="P187" i="3" s="1"/>
  <c r="O226" i="3"/>
  <c r="N226" i="3"/>
  <c r="O308" i="3"/>
  <c r="N308" i="3"/>
  <c r="N351" i="3"/>
  <c r="O351" i="3"/>
  <c r="N457" i="3"/>
  <c r="O457" i="3"/>
  <c r="O541" i="3"/>
  <c r="P541" i="3" s="1"/>
  <c r="N563" i="3"/>
  <c r="O563" i="3"/>
  <c r="O628" i="3"/>
  <c r="N628" i="3"/>
  <c r="O778" i="3"/>
  <c r="N778" i="3"/>
  <c r="O798" i="3"/>
  <c r="P798" i="3" s="1"/>
  <c r="O837" i="3"/>
  <c r="N837" i="3"/>
  <c r="O856" i="3"/>
  <c r="P856" i="3" s="1"/>
  <c r="O876" i="3"/>
  <c r="N876" i="3"/>
  <c r="O916" i="3"/>
  <c r="P916" i="3" s="1"/>
  <c r="O976" i="3"/>
  <c r="N976" i="3"/>
  <c r="O1121" i="3"/>
  <c r="P1121" i="3" s="1"/>
  <c r="O1141" i="3"/>
  <c r="P1141" i="3" s="1"/>
  <c r="O1181" i="3"/>
  <c r="P1181" i="3" s="1"/>
  <c r="O1226" i="3"/>
  <c r="N1226" i="3"/>
  <c r="N520" i="3"/>
  <c r="P520" i="3" s="1"/>
  <c r="N718" i="3"/>
  <c r="P718" i="3" s="1"/>
  <c r="O92" i="3"/>
  <c r="N92" i="3"/>
  <c r="O189" i="3"/>
  <c r="N189" i="3"/>
  <c r="O288" i="3"/>
  <c r="N288" i="3"/>
  <c r="N331" i="3"/>
  <c r="O331" i="3"/>
  <c r="O396" i="3"/>
  <c r="N396" i="3"/>
  <c r="O417" i="3"/>
  <c r="N417" i="3"/>
  <c r="O459" i="3"/>
  <c r="N459" i="3"/>
  <c r="O584" i="3"/>
  <c r="N584" i="3"/>
  <c r="O652" i="3"/>
  <c r="N652" i="3"/>
  <c r="O693" i="3"/>
  <c r="N693" i="3"/>
  <c r="O758" i="3"/>
  <c r="N758" i="3"/>
  <c r="O819" i="3"/>
  <c r="N819" i="3"/>
  <c r="N878" i="3"/>
  <c r="O878" i="3"/>
  <c r="O1272" i="3"/>
  <c r="N1272" i="3"/>
  <c r="N128" i="3"/>
  <c r="P128" i="3" s="1"/>
  <c r="N522" i="3"/>
  <c r="P522" i="3" s="1"/>
  <c r="N582" i="3"/>
  <c r="P582" i="3" s="1"/>
  <c r="N803" i="3"/>
  <c r="P803" i="3" s="1"/>
  <c r="N1124" i="3"/>
  <c r="P1124" i="3" s="1"/>
  <c r="O74" i="3"/>
  <c r="N74" i="3"/>
  <c r="O654" i="3"/>
  <c r="N654" i="3"/>
  <c r="O1086" i="3"/>
  <c r="N1086" i="3"/>
  <c r="O95" i="3"/>
  <c r="N95" i="3"/>
  <c r="O356" i="3"/>
  <c r="N356" i="3"/>
  <c r="O676" i="3"/>
  <c r="N676" i="3"/>
  <c r="N133" i="3"/>
  <c r="P133" i="3" s="1"/>
  <c r="O316" i="3"/>
  <c r="N316" i="3"/>
  <c r="O463" i="3"/>
  <c r="P463" i="3" s="1"/>
  <c r="O486" i="3"/>
  <c r="N486" i="3"/>
  <c r="O506" i="3"/>
  <c r="P506" i="3" s="1"/>
  <c r="O526" i="3"/>
  <c r="N526" i="3"/>
  <c r="O613" i="3"/>
  <c r="N613" i="3"/>
  <c r="O719" i="3"/>
  <c r="P719" i="3" s="1"/>
  <c r="O741" i="3"/>
  <c r="P741" i="3" s="1"/>
  <c r="O882" i="3"/>
  <c r="P882" i="3" s="1"/>
  <c r="O962" i="3"/>
  <c r="N962" i="3"/>
  <c r="O1088" i="3"/>
  <c r="N1088" i="3"/>
  <c r="O1147" i="3"/>
  <c r="P1147" i="3" s="1"/>
  <c r="O1188" i="3"/>
  <c r="N1188" i="3"/>
  <c r="N22" i="3"/>
  <c r="P22" i="3" s="1"/>
  <c r="N742" i="3"/>
  <c r="P742" i="3" s="1"/>
  <c r="N1007" i="3"/>
  <c r="P1007" i="3" s="1"/>
  <c r="O355" i="3"/>
  <c r="N355" i="3"/>
  <c r="O822" i="3"/>
  <c r="N822" i="3"/>
  <c r="N485" i="3"/>
  <c r="O485" i="3"/>
  <c r="O1025" i="3"/>
  <c r="P1025" i="3" s="1"/>
  <c r="O1125" i="3"/>
  <c r="P1125" i="3" s="1"/>
  <c r="O19" i="3"/>
  <c r="P19" i="3" s="1"/>
  <c r="O58" i="3"/>
  <c r="P58" i="3" s="1"/>
  <c r="O154" i="3"/>
  <c r="P154" i="3" s="1"/>
  <c r="O174" i="3"/>
  <c r="P174" i="3" s="1"/>
  <c r="O194" i="3"/>
  <c r="P194" i="3" s="1"/>
  <c r="O379" i="3"/>
  <c r="P379" i="3" s="1"/>
  <c r="O401" i="3"/>
  <c r="P401" i="3" s="1"/>
  <c r="O464" i="3"/>
  <c r="N464" i="3"/>
  <c r="O614" i="3"/>
  <c r="N614" i="3"/>
  <c r="O763" i="3"/>
  <c r="N763" i="3"/>
  <c r="O963" i="3"/>
  <c r="N963" i="3"/>
  <c r="O1049" i="3"/>
  <c r="P1049" i="3" s="1"/>
  <c r="O1069" i="3"/>
  <c r="P1069" i="3" s="1"/>
  <c r="O1089" i="3"/>
  <c r="N1089" i="3"/>
  <c r="O1126" i="3"/>
  <c r="P1126" i="3" s="1"/>
  <c r="N1148" i="3"/>
  <c r="O1148" i="3"/>
  <c r="O1189" i="3"/>
  <c r="N1189" i="3"/>
  <c r="O1233" i="3"/>
  <c r="P1233" i="3" s="1"/>
  <c r="N274" i="3"/>
  <c r="P274" i="3" s="1"/>
  <c r="N604" i="3"/>
  <c r="P604" i="3" s="1"/>
  <c r="N677" i="3"/>
  <c r="P677" i="3" s="1"/>
  <c r="N743" i="3"/>
  <c r="P743" i="3" s="1"/>
  <c r="N943" i="3"/>
  <c r="P943" i="3" s="1"/>
  <c r="N1008" i="3"/>
  <c r="P1008" i="3" s="1"/>
  <c r="O94" i="3"/>
  <c r="N94" i="3"/>
  <c r="N739" i="3"/>
  <c r="P739" i="3" s="1"/>
  <c r="O38" i="3"/>
  <c r="N38" i="3"/>
  <c r="O1165" i="3"/>
  <c r="N1165" i="3"/>
  <c r="N132" i="3"/>
  <c r="P132" i="3" s="1"/>
  <c r="O39" i="3"/>
  <c r="N39" i="3"/>
  <c r="O153" i="3"/>
  <c r="P153" i="3" s="1"/>
  <c r="O400" i="3"/>
  <c r="N400" i="3"/>
  <c r="O546" i="3"/>
  <c r="P546" i="3" s="1"/>
  <c r="O634" i="3"/>
  <c r="N634" i="3"/>
  <c r="O97" i="3"/>
  <c r="P97" i="3" s="1"/>
  <c r="O134" i="3"/>
  <c r="N134" i="3"/>
  <c r="O41" i="3"/>
  <c r="P41" i="3" s="1"/>
  <c r="O317" i="3"/>
  <c r="P317" i="3" s="1"/>
  <c r="O380" i="3"/>
  <c r="N380" i="3"/>
  <c r="O402" i="3"/>
  <c r="N402" i="3"/>
  <c r="N465" i="3"/>
  <c r="O465" i="3"/>
  <c r="O592" i="3"/>
  <c r="N592" i="3"/>
  <c r="O657" i="3"/>
  <c r="P657" i="3" s="1"/>
  <c r="O720" i="3"/>
  <c r="P720" i="3" s="1"/>
  <c r="O764" i="3"/>
  <c r="N764" i="3"/>
  <c r="O964" i="3"/>
  <c r="N964" i="3"/>
  <c r="O1090" i="3"/>
  <c r="N1090" i="3"/>
  <c r="O1127" i="3"/>
  <c r="N1127" i="3"/>
  <c r="O1169" i="3"/>
  <c r="N1169" i="3"/>
  <c r="N1234" i="3"/>
  <c r="O1234" i="3"/>
  <c r="N275" i="3"/>
  <c r="P275" i="3" s="1"/>
  <c r="N744" i="3"/>
  <c r="P744" i="3" s="1"/>
  <c r="N944" i="3"/>
  <c r="P944" i="3" s="1"/>
  <c r="O16" i="3"/>
  <c r="N16" i="3"/>
  <c r="O398" i="3"/>
  <c r="N398" i="3"/>
  <c r="O1254" i="3"/>
  <c r="N1254" i="3"/>
  <c r="O981" i="3"/>
  <c r="P981" i="3" s="1"/>
  <c r="O1146" i="3"/>
  <c r="N1146" i="3"/>
  <c r="N740" i="3"/>
  <c r="P740" i="3" s="1"/>
  <c r="O75" i="3"/>
  <c r="P75" i="3" s="1"/>
  <c r="O335" i="3"/>
  <c r="P335" i="3" s="1"/>
  <c r="O612" i="3"/>
  <c r="N612" i="3"/>
  <c r="O40" i="3"/>
  <c r="N40" i="3"/>
  <c r="O234" i="3"/>
  <c r="N234" i="3"/>
  <c r="O444" i="3"/>
  <c r="N444" i="3"/>
  <c r="O466" i="3"/>
  <c r="N466" i="3"/>
  <c r="N965" i="3"/>
  <c r="O965" i="3"/>
  <c r="O1128" i="3"/>
  <c r="N1128" i="3"/>
  <c r="O1212" i="3"/>
  <c r="N1212" i="3"/>
  <c r="N276" i="3"/>
  <c r="P276" i="3" s="1"/>
  <c r="N480" i="3"/>
  <c r="P480" i="3" s="1"/>
  <c r="N945" i="3"/>
  <c r="P945" i="3" s="1"/>
  <c r="O483" i="3"/>
  <c r="N483" i="3"/>
  <c r="O1145" i="3"/>
  <c r="N1145" i="3"/>
  <c r="N230" i="3"/>
  <c r="O230" i="3"/>
  <c r="O399" i="3"/>
  <c r="N399" i="3"/>
  <c r="O484" i="3"/>
  <c r="N484" i="3"/>
  <c r="O675" i="3"/>
  <c r="P675" i="3" s="1"/>
  <c r="O1067" i="3"/>
  <c r="P1067" i="3" s="1"/>
  <c r="O57" i="3"/>
  <c r="P57" i="3" s="1"/>
  <c r="O211" i="3"/>
  <c r="P211" i="3" s="1"/>
  <c r="O420" i="3"/>
  <c r="P420" i="3" s="1"/>
  <c r="O525" i="3"/>
  <c r="N525" i="3"/>
  <c r="O1087" i="3"/>
  <c r="P1087" i="3" s="1"/>
  <c r="O318" i="3"/>
  <c r="N318" i="3"/>
  <c r="O21" i="3"/>
  <c r="N21" i="3"/>
  <c r="O60" i="3"/>
  <c r="N60" i="3"/>
  <c r="O156" i="3"/>
  <c r="N156" i="3"/>
  <c r="O176" i="3"/>
  <c r="N176" i="3"/>
  <c r="O235" i="3"/>
  <c r="N235" i="3"/>
  <c r="O254" i="3"/>
  <c r="P254" i="3" s="1"/>
  <c r="O296" i="3"/>
  <c r="N296" i="3"/>
  <c r="O338" i="3"/>
  <c r="N338" i="3"/>
  <c r="O381" i="3"/>
  <c r="P381" i="3" s="1"/>
  <c r="O489" i="3"/>
  <c r="P489" i="3" s="1"/>
  <c r="O593" i="3"/>
  <c r="P593" i="3" s="1"/>
  <c r="O658" i="3"/>
  <c r="P658" i="3" s="1"/>
  <c r="O701" i="3"/>
  <c r="P701" i="3" s="1"/>
  <c r="O721" i="3"/>
  <c r="P721" i="3" s="1"/>
  <c r="O765" i="3"/>
  <c r="P765" i="3" s="1"/>
  <c r="O786" i="3"/>
  <c r="N786" i="3"/>
  <c r="O1030" i="3"/>
  <c r="N1030" i="3"/>
  <c r="O1071" i="3"/>
  <c r="N1071" i="3"/>
  <c r="O1091" i="3"/>
  <c r="P1091" i="3" s="1"/>
  <c r="N1129" i="3"/>
  <c r="O1129" i="3"/>
  <c r="N1213" i="3"/>
  <c r="O1213" i="3"/>
  <c r="N152" i="3"/>
  <c r="P152" i="3" s="1"/>
  <c r="O172" i="3"/>
  <c r="N172" i="3"/>
  <c r="O633" i="3"/>
  <c r="P633" i="3" s="1"/>
  <c r="O1208" i="3"/>
  <c r="N1208" i="3"/>
  <c r="O761" i="3"/>
  <c r="P761" i="3" s="1"/>
  <c r="N982" i="3"/>
  <c r="O982" i="3"/>
  <c r="O1255" i="3"/>
  <c r="P1255" i="3" s="1"/>
  <c r="O137" i="3"/>
  <c r="N137" i="3"/>
  <c r="O382" i="3"/>
  <c r="N382" i="3"/>
  <c r="N659" i="3"/>
  <c r="O659" i="3"/>
  <c r="O722" i="3"/>
  <c r="N722" i="3"/>
  <c r="O886" i="3"/>
  <c r="N886" i="3"/>
  <c r="O1130" i="3"/>
  <c r="N1130" i="3"/>
  <c r="O1282" i="3"/>
  <c r="N1282" i="3"/>
  <c r="N357" i="3"/>
  <c r="P357" i="3" s="1"/>
  <c r="N421" i="3"/>
  <c r="P421" i="3" s="1"/>
  <c r="O1294" i="3"/>
  <c r="N1294" i="3"/>
  <c r="O64" i="3"/>
  <c r="N64" i="3"/>
  <c r="O286" i="3"/>
  <c r="N286" i="3"/>
  <c r="O427" i="3"/>
  <c r="N427" i="3"/>
  <c r="O543" i="3"/>
  <c r="N543" i="3"/>
  <c r="O624" i="3"/>
  <c r="N624" i="3"/>
  <c r="O1072" i="3"/>
  <c r="N1072" i="3"/>
  <c r="O122" i="3"/>
  <c r="N122" i="3"/>
  <c r="O212" i="3"/>
  <c r="N212" i="3"/>
  <c r="O372" i="3"/>
  <c r="N372" i="3"/>
  <c r="N567" i="3"/>
  <c r="O567" i="3"/>
  <c r="O669" i="3"/>
  <c r="N669" i="3"/>
  <c r="O727" i="3"/>
  <c r="P727" i="3" s="1"/>
  <c r="O747" i="3"/>
  <c r="P747" i="3" s="1"/>
  <c r="O788" i="3"/>
  <c r="N788" i="3"/>
  <c r="O883" i="3"/>
  <c r="P883" i="3" s="1"/>
  <c r="O1017" i="3"/>
  <c r="P1017" i="3" s="1"/>
  <c r="O1214" i="3"/>
  <c r="N1214" i="3"/>
  <c r="N105" i="3"/>
  <c r="P105" i="3" s="1"/>
  <c r="N195" i="3"/>
  <c r="P195" i="3" s="1"/>
  <c r="N352" i="3"/>
  <c r="P352" i="3" s="1"/>
  <c r="N450" i="3"/>
  <c r="P450" i="3" s="1"/>
  <c r="N510" i="3"/>
  <c r="P510" i="3" s="1"/>
  <c r="N828" i="3"/>
  <c r="P828" i="3" s="1"/>
  <c r="N977" i="3"/>
  <c r="P977" i="3" s="1"/>
  <c r="O123" i="3"/>
  <c r="N123" i="3"/>
  <c r="O159" i="3"/>
  <c r="P159" i="3" s="1"/>
  <c r="O177" i="3"/>
  <c r="P177" i="3" s="1"/>
  <c r="O231" i="3"/>
  <c r="N231" i="3"/>
  <c r="O251" i="3"/>
  <c r="N251" i="3"/>
  <c r="O332" i="3"/>
  <c r="N332" i="3"/>
  <c r="O432" i="3"/>
  <c r="N432" i="3"/>
  <c r="O469" i="3"/>
  <c r="P469" i="3" s="1"/>
  <c r="O527" i="3"/>
  <c r="P527" i="3" s="1"/>
  <c r="O547" i="3"/>
  <c r="P547" i="3" s="1"/>
  <c r="O670" i="3"/>
  <c r="N670" i="3"/>
  <c r="O707" i="3"/>
  <c r="N707" i="3"/>
  <c r="O903" i="3"/>
  <c r="N903" i="3"/>
  <c r="O1018" i="3"/>
  <c r="N1018" i="3"/>
  <c r="O1037" i="3"/>
  <c r="P1037" i="3" s="1"/>
  <c r="O1215" i="3"/>
  <c r="N1215" i="3"/>
  <c r="O1235" i="3"/>
  <c r="P1235" i="3" s="1"/>
  <c r="N196" i="3"/>
  <c r="P196" i="3" s="1"/>
  <c r="N245" i="3"/>
  <c r="P245" i="3" s="1"/>
  <c r="N451" i="3"/>
  <c r="P451" i="3" s="1"/>
  <c r="N936" i="3"/>
  <c r="P936" i="3" s="1"/>
  <c r="N978" i="3"/>
  <c r="P978" i="3" s="1"/>
  <c r="O32" i="3"/>
  <c r="N32" i="3"/>
  <c r="O33" i="3"/>
  <c r="P33" i="3" s="1"/>
  <c r="O69" i="3"/>
  <c r="P69" i="3" s="1"/>
  <c r="O104" i="3"/>
  <c r="P104" i="3" s="1"/>
  <c r="O141" i="3"/>
  <c r="P141" i="3" s="1"/>
  <c r="O373" i="3"/>
  <c r="P373" i="3" s="1"/>
  <c r="O393" i="3"/>
  <c r="P393" i="3" s="1"/>
  <c r="O528" i="3"/>
  <c r="N528" i="3"/>
  <c r="O548" i="3"/>
  <c r="N548" i="3"/>
  <c r="N569" i="3"/>
  <c r="O569" i="3"/>
  <c r="O630" i="3"/>
  <c r="P630" i="3" s="1"/>
  <c r="O708" i="3"/>
  <c r="N708" i="3"/>
  <c r="O728" i="3"/>
  <c r="P728" i="3" s="1"/>
  <c r="O884" i="3"/>
  <c r="P884" i="3" s="1"/>
  <c r="O904" i="3"/>
  <c r="N904" i="3"/>
  <c r="O959" i="3"/>
  <c r="N959" i="3"/>
  <c r="O979" i="3"/>
  <c r="P979" i="3" s="1"/>
  <c r="O998" i="3"/>
  <c r="N998" i="3"/>
  <c r="O1155" i="3"/>
  <c r="N1155" i="3"/>
  <c r="O1216" i="3"/>
  <c r="N1216" i="3"/>
  <c r="N1033" i="3"/>
  <c r="P1033" i="3" s="1"/>
  <c r="N1137" i="3"/>
  <c r="P1137" i="3" s="1"/>
  <c r="N1280" i="3"/>
  <c r="P1280" i="3" s="1"/>
  <c r="O766" i="3"/>
  <c r="N766" i="3"/>
  <c r="O142" i="3"/>
  <c r="N142" i="3"/>
  <c r="O178" i="3"/>
  <c r="P178" i="3" s="1"/>
  <c r="O293" i="3"/>
  <c r="P293" i="3" s="1"/>
  <c r="O333" i="3"/>
  <c r="P333" i="3" s="1"/>
  <c r="O374" i="3"/>
  <c r="N374" i="3"/>
  <c r="O394" i="3"/>
  <c r="N394" i="3"/>
  <c r="O414" i="3"/>
  <c r="N414" i="3"/>
  <c r="O433" i="3"/>
  <c r="P433" i="3" s="1"/>
  <c r="O529" i="3"/>
  <c r="N529" i="3"/>
  <c r="O671" i="3"/>
  <c r="P671" i="3" s="1"/>
  <c r="O689" i="3"/>
  <c r="P689" i="3" s="1"/>
  <c r="N749" i="3"/>
  <c r="O749" i="3"/>
  <c r="O847" i="3"/>
  <c r="N847" i="3"/>
  <c r="O923" i="3"/>
  <c r="P923" i="3" s="1"/>
  <c r="O960" i="3"/>
  <c r="N960" i="3"/>
  <c r="O1019" i="3"/>
  <c r="P1019" i="3" s="1"/>
  <c r="O1118" i="3"/>
  <c r="N1118" i="3"/>
  <c r="O1156" i="3"/>
  <c r="N1156" i="3"/>
  <c r="N980" i="3"/>
  <c r="P980" i="3" s="1"/>
  <c r="N1281" i="3"/>
  <c r="P1281" i="3" s="1"/>
  <c r="O920" i="3"/>
  <c r="N920" i="3"/>
  <c r="O34" i="3"/>
  <c r="P34" i="3" s="1"/>
  <c r="O70" i="3"/>
  <c r="P70" i="3" s="1"/>
  <c r="O106" i="3"/>
  <c r="N106" i="3"/>
  <c r="N143" i="3"/>
  <c r="O143" i="3"/>
  <c r="O315" i="3"/>
  <c r="N315" i="3"/>
  <c r="O334" i="3"/>
  <c r="N334" i="3"/>
  <c r="O452" i="3"/>
  <c r="N452" i="3"/>
  <c r="O530" i="3"/>
  <c r="N530" i="3"/>
  <c r="O591" i="3"/>
  <c r="P591" i="3" s="1"/>
  <c r="O631" i="3"/>
  <c r="P631" i="3" s="1"/>
  <c r="O651" i="3"/>
  <c r="N651" i="3"/>
  <c r="O690" i="3"/>
  <c r="N690" i="3"/>
  <c r="O791" i="3"/>
  <c r="N791" i="3"/>
  <c r="O848" i="3"/>
  <c r="N848" i="3"/>
  <c r="O999" i="3"/>
  <c r="P999" i="3" s="1"/>
  <c r="O1099" i="3"/>
  <c r="N1099" i="3"/>
  <c r="O1217" i="3"/>
  <c r="P1217" i="3" s="1"/>
  <c r="N1238" i="3"/>
  <c r="O1238" i="3"/>
  <c r="N250" i="3"/>
  <c r="P250" i="3" s="1"/>
  <c r="N470" i="3"/>
  <c r="P470" i="3" s="1"/>
  <c r="N1236" i="3"/>
  <c r="P1236" i="3" s="1"/>
  <c r="O494" i="3"/>
  <c r="N494" i="3"/>
  <c r="O512" i="3"/>
  <c r="N512" i="3"/>
  <c r="O824" i="3"/>
  <c r="N824" i="3"/>
  <c r="O1020" i="3"/>
  <c r="N1020" i="3"/>
  <c r="N328" i="3"/>
  <c r="P328" i="3" s="1"/>
  <c r="O458" i="3"/>
  <c r="N458" i="3"/>
  <c r="O568" i="3"/>
  <c r="N568" i="3"/>
  <c r="O623" i="3"/>
  <c r="N623" i="3"/>
  <c r="O660" i="3"/>
  <c r="N660" i="3"/>
  <c r="O714" i="3"/>
  <c r="P714" i="3" s="1"/>
  <c r="O787" i="3"/>
  <c r="P787" i="3" s="1"/>
  <c r="O877" i="3"/>
  <c r="P877" i="3" s="1"/>
  <c r="O1207" i="3"/>
  <c r="P1207" i="3" s="1"/>
  <c r="O1266" i="3"/>
  <c r="P1266" i="3" s="1"/>
  <c r="N291" i="3"/>
  <c r="P291" i="3" s="1"/>
  <c r="N913" i="3"/>
  <c r="P913" i="3" s="1"/>
  <c r="O366" i="3"/>
  <c r="N366" i="3"/>
  <c r="O514" i="3"/>
  <c r="N514" i="3"/>
  <c r="O679" i="3"/>
  <c r="N679" i="3"/>
  <c r="O949" i="3"/>
  <c r="N949" i="3"/>
  <c r="O984" i="3"/>
  <c r="N984" i="3"/>
  <c r="O1268" i="3"/>
  <c r="N1268" i="3"/>
  <c r="N180" i="3"/>
  <c r="P180" i="3" s="1"/>
  <c r="N214" i="3"/>
  <c r="P214" i="3" s="1"/>
  <c r="N1001" i="3"/>
  <c r="P1001" i="3" s="1"/>
  <c r="O35" i="3"/>
  <c r="N35" i="3"/>
  <c r="O179" i="3"/>
  <c r="N179" i="3"/>
  <c r="O232" i="3"/>
  <c r="N232" i="3"/>
  <c r="O289" i="3"/>
  <c r="P289" i="3" s="1"/>
  <c r="O496" i="3"/>
  <c r="P496" i="3" s="1"/>
  <c r="O570" i="3"/>
  <c r="N570" i="3"/>
  <c r="O625" i="3"/>
  <c r="P625" i="3" s="1"/>
  <c r="O662" i="3"/>
  <c r="N662" i="3"/>
  <c r="O680" i="3"/>
  <c r="N680" i="3"/>
  <c r="O789" i="3"/>
  <c r="P789" i="3" s="1"/>
  <c r="O826" i="3"/>
  <c r="P826" i="3" s="1"/>
  <c r="O950" i="3"/>
  <c r="N950" i="3"/>
  <c r="O1003" i="3"/>
  <c r="P1003" i="3" s="1"/>
  <c r="O1022" i="3"/>
  <c r="P1022" i="3" s="1"/>
  <c r="O1249" i="3"/>
  <c r="P1249" i="3" s="1"/>
  <c r="N215" i="3"/>
  <c r="P215" i="3" s="1"/>
  <c r="N252" i="3"/>
  <c r="P252" i="3" s="1"/>
  <c r="N460" i="3"/>
  <c r="P460" i="3" s="1"/>
  <c r="N750" i="3"/>
  <c r="P750" i="3" s="1"/>
  <c r="N1040" i="3"/>
  <c r="P1040" i="3" s="1"/>
  <c r="O36" i="3"/>
  <c r="N36" i="3"/>
  <c r="O269" i="3"/>
  <c r="P269" i="3" s="1"/>
  <c r="O290" i="3"/>
  <c r="N290" i="3"/>
  <c r="O329" i="3"/>
  <c r="N329" i="3"/>
  <c r="O461" i="3"/>
  <c r="P461" i="3" s="1"/>
  <c r="O497" i="3"/>
  <c r="N497" i="3"/>
  <c r="O589" i="3"/>
  <c r="P589" i="3" s="1"/>
  <c r="O626" i="3"/>
  <c r="N626" i="3"/>
  <c r="O753" i="3"/>
  <c r="N753" i="3"/>
  <c r="O931" i="3"/>
  <c r="N931" i="3"/>
  <c r="O985" i="3"/>
  <c r="P985" i="3" s="1"/>
  <c r="O1041" i="3"/>
  <c r="P1041" i="3" s="1"/>
  <c r="O1250" i="3"/>
  <c r="N1250" i="3"/>
  <c r="N108" i="3"/>
  <c r="P108" i="3" s="1"/>
  <c r="N879" i="3"/>
  <c r="P879" i="3" s="1"/>
  <c r="N1170" i="3"/>
  <c r="P1170" i="3" s="1"/>
  <c r="N1209" i="3"/>
  <c r="P1209" i="3" s="1"/>
  <c r="O270" i="3"/>
  <c r="N270" i="3"/>
  <c r="O330" i="3"/>
  <c r="N330" i="3"/>
  <c r="O498" i="3"/>
  <c r="N498" i="3"/>
  <c r="O590" i="3"/>
  <c r="N590" i="3"/>
  <c r="O627" i="3"/>
  <c r="N627" i="3"/>
  <c r="O681" i="3"/>
  <c r="P681" i="3" s="1"/>
  <c r="O735" i="3"/>
  <c r="N735" i="3"/>
  <c r="O754" i="3"/>
  <c r="N754" i="3"/>
  <c r="O932" i="3"/>
  <c r="N932" i="3"/>
  <c r="O1117" i="3"/>
  <c r="N1117" i="3"/>
  <c r="O1211" i="3"/>
  <c r="N1211" i="3"/>
  <c r="O1251" i="3"/>
  <c r="N1251" i="3"/>
  <c r="O1270" i="3"/>
  <c r="N1270" i="3"/>
  <c r="N752" i="3"/>
  <c r="P752" i="3" s="1"/>
  <c r="N880" i="3"/>
  <c r="P880" i="3" s="1"/>
  <c r="N1004" i="3"/>
  <c r="P1004" i="3" s="1"/>
  <c r="O1183" i="3"/>
  <c r="N1183" i="3"/>
  <c r="N1113" i="3"/>
  <c r="P1113" i="3" s="1"/>
  <c r="O1044" i="3"/>
  <c r="N1044" i="3"/>
  <c r="O1184" i="3"/>
  <c r="N1184" i="3"/>
  <c r="O1220" i="3"/>
  <c r="P1220" i="3" s="1"/>
  <c r="N1114" i="3"/>
  <c r="P1114" i="3" s="1"/>
  <c r="O1149" i="3"/>
  <c r="P1149" i="3" s="1"/>
  <c r="O1239" i="3"/>
  <c r="P1239" i="3" s="1"/>
  <c r="O1045" i="3"/>
  <c r="P1045" i="3" s="1"/>
  <c r="O1185" i="3"/>
  <c r="P1185" i="3" s="1"/>
  <c r="O1221" i="3"/>
  <c r="P1221" i="3" s="1"/>
  <c r="O1240" i="3"/>
  <c r="N1240" i="3"/>
  <c r="N1116" i="3"/>
  <c r="P1116" i="3" s="1"/>
  <c r="O1046" i="3"/>
  <c r="N1046" i="3"/>
  <c r="O1186" i="3"/>
  <c r="N1186" i="3"/>
  <c r="N921" i="3"/>
  <c r="P921" i="3" s="1"/>
  <c r="N1187" i="3"/>
  <c r="P1187" i="3" s="1"/>
  <c r="O1241" i="3"/>
  <c r="P1241" i="3" s="1"/>
  <c r="N922" i="3"/>
  <c r="P922" i="3" s="1"/>
  <c r="D7" i="2"/>
  <c r="R13" i="12" l="1"/>
  <c r="R3" i="12"/>
  <c r="R4" i="12"/>
  <c r="R5" i="12"/>
  <c r="R6" i="12"/>
  <c r="R10" i="12"/>
  <c r="R11" i="12"/>
  <c r="R12" i="12"/>
  <c r="R8" i="12"/>
  <c r="R7" i="12"/>
  <c r="R14" i="12"/>
  <c r="R9" i="12"/>
  <c r="N186" i="8"/>
  <c r="N173" i="7"/>
  <c r="N208" i="7"/>
  <c r="N234" i="6"/>
  <c r="N451" i="6"/>
  <c r="N206" i="6"/>
  <c r="N395" i="6"/>
  <c r="N213" i="6"/>
  <c r="N372" i="6"/>
  <c r="N463" i="6"/>
  <c r="N304" i="6"/>
  <c r="N444" i="6"/>
  <c r="N38" i="6"/>
  <c r="N52" i="6"/>
  <c r="N513" i="6"/>
  <c r="N73" i="6"/>
  <c r="N421" i="6"/>
  <c r="N465" i="6"/>
  <c r="N150" i="6"/>
  <c r="N498" i="6"/>
  <c r="N101" i="6"/>
  <c r="N166" i="6"/>
  <c r="N80" i="6"/>
  <c r="N472" i="6"/>
  <c r="N388" i="6"/>
  <c r="N129" i="6"/>
  <c r="N332" i="6"/>
  <c r="N496" i="6"/>
  <c r="N262" i="6"/>
  <c r="N146" i="6"/>
  <c r="N479" i="6"/>
  <c r="N192" i="6"/>
  <c r="N17" i="6"/>
  <c r="N283" i="6"/>
  <c r="N353" i="6"/>
  <c r="N227" i="6"/>
  <c r="N248" i="6"/>
  <c r="AF3" i="3"/>
  <c r="N24" i="6"/>
  <c r="N374" i="6"/>
  <c r="N31" i="6"/>
  <c r="N66" i="6"/>
  <c r="N175" i="6"/>
  <c r="N178" i="6"/>
  <c r="N65" i="6"/>
  <c r="N367" i="6"/>
  <c r="N469" i="6"/>
  <c r="N143" i="6"/>
  <c r="N511" i="6"/>
  <c r="N339" i="6"/>
  <c r="N493" i="6"/>
  <c r="N276" i="6"/>
  <c r="N255" i="6"/>
  <c r="N449" i="6"/>
  <c r="N430" i="6"/>
  <c r="N199" i="6"/>
  <c r="N59" i="6"/>
  <c r="N126" i="6"/>
  <c r="N325" i="6"/>
  <c r="N416" i="6"/>
  <c r="N486" i="6"/>
  <c r="N484" i="6"/>
  <c r="N108" i="6"/>
  <c r="N136" i="6"/>
  <c r="N297" i="6"/>
  <c r="N512" i="6"/>
  <c r="N381" i="6"/>
  <c r="N10" i="6"/>
  <c r="N458" i="6"/>
  <c r="N220" i="6"/>
  <c r="N437" i="6"/>
  <c r="N269" i="6"/>
  <c r="N114" i="6"/>
  <c r="N492" i="6"/>
  <c r="N45" i="6"/>
  <c r="N241" i="6"/>
  <c r="N456" i="6"/>
  <c r="N290" i="6"/>
  <c r="N115" i="6"/>
  <c r="N470" i="6"/>
  <c r="N171" i="6"/>
  <c r="N402" i="6"/>
  <c r="N100" i="6"/>
  <c r="N491" i="6"/>
  <c r="N51" i="6"/>
  <c r="N122" i="6"/>
  <c r="N477" i="6"/>
  <c r="N311" i="6"/>
  <c r="N482" i="6"/>
  <c r="N164" i="6"/>
  <c r="N519" i="6"/>
  <c r="N505" i="6"/>
  <c r="N185" i="6"/>
  <c r="N409" i="6"/>
  <c r="N94" i="6"/>
  <c r="AB1145" i="3"/>
  <c r="AB944" i="3"/>
  <c r="AB172" i="3"/>
  <c r="AB681" i="3"/>
  <c r="AB949" i="3"/>
  <c r="AB1053" i="3"/>
  <c r="AB808" i="3"/>
  <c r="AB690" i="3"/>
  <c r="AB1107" i="3"/>
  <c r="AB713" i="3"/>
  <c r="AB934" i="3"/>
  <c r="AB955" i="3"/>
  <c r="AB892" i="3"/>
  <c r="AB382" i="3"/>
  <c r="AB990" i="3"/>
  <c r="AB1163" i="3"/>
  <c r="X651" i="3"/>
  <c r="AB1052" i="3"/>
  <c r="AB82" i="3"/>
  <c r="AB219" i="3"/>
  <c r="AB1186" i="3"/>
  <c r="AB941" i="3"/>
  <c r="AB996" i="3"/>
  <c r="AB1240" i="3"/>
  <c r="AB25" i="3"/>
  <c r="AB1265" i="3"/>
  <c r="AB1206" i="3"/>
  <c r="AB797" i="3"/>
  <c r="AB1141" i="3"/>
  <c r="AB296" i="3"/>
  <c r="AB1158" i="3"/>
  <c r="AB584" i="3"/>
  <c r="AB749" i="3"/>
  <c r="AB761" i="3"/>
  <c r="AB957" i="3"/>
  <c r="AB596" i="3"/>
  <c r="AB1094" i="3"/>
  <c r="AB444" i="3"/>
  <c r="AB682" i="3"/>
  <c r="AB496" i="3"/>
  <c r="AB1239" i="3"/>
  <c r="AB1165" i="3"/>
  <c r="AB398" i="3"/>
  <c r="AB72" i="3"/>
  <c r="AB272" i="3"/>
  <c r="AB299" i="3"/>
  <c r="AB1226" i="3"/>
  <c r="AB1231" i="3"/>
  <c r="AB547" i="3"/>
  <c r="AB885" i="3"/>
  <c r="AB1004" i="3"/>
  <c r="AB1214" i="3"/>
  <c r="AB1153" i="3"/>
  <c r="AB790" i="3"/>
  <c r="AB368" i="3"/>
  <c r="AB1195" i="3"/>
  <c r="AB792" i="3"/>
  <c r="AB1109" i="3"/>
  <c r="AB707" i="3"/>
  <c r="AB1166" i="3"/>
  <c r="AB1277" i="3"/>
  <c r="AB1130" i="3"/>
  <c r="AB634" i="3"/>
  <c r="AB902" i="3"/>
  <c r="AB598" i="3"/>
  <c r="AB771" i="3"/>
  <c r="AB1132" i="3"/>
  <c r="AB986" i="3"/>
  <c r="AB826" i="3"/>
  <c r="AB579" i="3"/>
  <c r="AB430" i="3"/>
  <c r="AB445" i="3"/>
  <c r="AB127" i="3"/>
  <c r="AB427" i="3"/>
  <c r="AB48" i="3"/>
  <c r="AB340" i="3"/>
  <c r="AB1116" i="3"/>
  <c r="AB1175" i="3"/>
  <c r="AB315" i="3"/>
  <c r="AB381" i="3"/>
  <c r="AB44" i="3"/>
  <c r="AB174" i="3"/>
  <c r="AB565" i="3"/>
  <c r="AB1074" i="3"/>
  <c r="AB250" i="3"/>
  <c r="AB365" i="3"/>
  <c r="AB1012" i="3"/>
  <c r="AB936" i="3"/>
  <c r="AB1003" i="3"/>
  <c r="AB538" i="3"/>
  <c r="AB139" i="3"/>
  <c r="AB837" i="3"/>
  <c r="AB526" i="3"/>
  <c r="AB779" i="3"/>
  <c r="AB1073" i="3"/>
  <c r="AB1242" i="3"/>
  <c r="AB17" i="3"/>
  <c r="AB358" i="3"/>
  <c r="AB498" i="3"/>
  <c r="AB980" i="3"/>
  <c r="AB88" i="3"/>
  <c r="X894" i="3"/>
  <c r="AB754" i="3"/>
  <c r="AB1128" i="3"/>
  <c r="AB328" i="3"/>
  <c r="AB1207" i="3"/>
  <c r="AB178" i="3"/>
  <c r="AB194" i="3"/>
  <c r="AB457" i="3"/>
  <c r="AB930" i="3"/>
  <c r="AB1154" i="3"/>
  <c r="AB817" i="3"/>
  <c r="AB1256" i="3"/>
  <c r="AB933" i="3"/>
  <c r="AB906" i="3"/>
  <c r="AB763" i="3"/>
  <c r="AB1249" i="3"/>
  <c r="AB856" i="3"/>
  <c r="AB1291" i="3"/>
  <c r="AB486" i="3"/>
  <c r="AB378" i="3"/>
  <c r="AB177" i="3"/>
  <c r="AB235" i="3"/>
  <c r="AB157" i="3"/>
  <c r="AB1067" i="3"/>
  <c r="AB1039" i="3"/>
  <c r="AB1284" i="3"/>
  <c r="AB1095" i="3"/>
  <c r="AB442" i="3"/>
  <c r="AB1102" i="3"/>
  <c r="AB857" i="3"/>
  <c r="AB557" i="3"/>
  <c r="AB1106" i="3"/>
  <c r="AB978" i="3"/>
  <c r="AB830" i="3"/>
  <c r="AB1097" i="3"/>
  <c r="AB816" i="3"/>
  <c r="AB780" i="3"/>
  <c r="AB263" i="3"/>
  <c r="AB871" i="3"/>
  <c r="AB878" i="3"/>
  <c r="AB983" i="3"/>
  <c r="AB745" i="3"/>
  <c r="AB1066" i="3"/>
  <c r="AB836" i="3"/>
  <c r="AB1098" i="3"/>
  <c r="AB843" i="3"/>
  <c r="AB899" i="3"/>
  <c r="AB1222" i="3"/>
  <c r="AB1151" i="3"/>
  <c r="AB357" i="3"/>
  <c r="AB1221" i="3"/>
  <c r="AB962" i="3"/>
  <c r="AB961" i="3"/>
  <c r="AB1200" i="3"/>
  <c r="AB738" i="3"/>
  <c r="AB910" i="3"/>
  <c r="AB850" i="3"/>
  <c r="AB706" i="3"/>
  <c r="AB1051" i="3"/>
  <c r="AB794" i="3"/>
  <c r="AB903" i="3"/>
  <c r="AB1194" i="3"/>
  <c r="AB945" i="3"/>
  <c r="AB336" i="3"/>
  <c r="AB740" i="3"/>
  <c r="AB192" i="3"/>
  <c r="AB251" i="3"/>
  <c r="AB920" i="3"/>
  <c r="AB333" i="3"/>
  <c r="AB1203" i="3"/>
  <c r="AB359" i="3"/>
  <c r="AB1228" i="3"/>
  <c r="AB1247" i="3"/>
  <c r="AB997" i="3"/>
  <c r="AB344" i="3"/>
  <c r="AB530" i="3"/>
  <c r="AB1211" i="3"/>
  <c r="AB1032" i="3"/>
  <c r="AB1218" i="3"/>
  <c r="AB969" i="3"/>
  <c r="AB1144" i="3"/>
  <c r="AB647" i="3"/>
  <c r="AB223" i="3"/>
  <c r="AB454" i="3"/>
  <c r="AB800" i="3"/>
  <c r="AB1167" i="3"/>
  <c r="AB1260" i="3"/>
  <c r="AB731" i="3"/>
  <c r="AB1160" i="3"/>
  <c r="AB1237" i="3"/>
  <c r="AB117" i="3"/>
  <c r="AB674" i="3"/>
  <c r="AB1088" i="3"/>
  <c r="AB1046" i="3"/>
  <c r="AB562" i="3"/>
  <c r="AB822" i="3"/>
  <c r="AB589" i="3"/>
  <c r="AB913" i="3"/>
  <c r="AB326" i="3"/>
  <c r="AB1188" i="3"/>
  <c r="AB233" i="3"/>
  <c r="AB948" i="3"/>
  <c r="AB744" i="3"/>
  <c r="AB804" i="3"/>
  <c r="AB1025" i="3"/>
  <c r="AB1099" i="3"/>
  <c r="AB1235" i="3"/>
  <c r="AB886" i="3"/>
  <c r="AB883" i="3"/>
  <c r="AB1040" i="3"/>
  <c r="AB900" i="3"/>
  <c r="AB787" i="3"/>
  <c r="AB1270" i="3"/>
  <c r="AB801" i="3"/>
  <c r="AB229" i="3"/>
  <c r="AB838" i="3"/>
  <c r="AB1208" i="3"/>
  <c r="AB1140" i="3"/>
  <c r="AB1185" i="3"/>
  <c r="AB759" i="3"/>
  <c r="AB527" i="3"/>
  <c r="AB1076" i="3"/>
  <c r="AB1223" i="3"/>
  <c r="AB403" i="3"/>
  <c r="AB1014" i="3"/>
  <c r="AB533" i="3"/>
  <c r="AB33" i="3"/>
  <c r="AB1281" i="3"/>
  <c r="AB766" i="3"/>
  <c r="AB975" i="3"/>
  <c r="AB829" i="3"/>
  <c r="AB1035" i="3"/>
  <c r="AB509" i="3"/>
  <c r="AB1018" i="3"/>
  <c r="AB1201" i="3"/>
  <c r="AB1293" i="3"/>
  <c r="AB891" i="3"/>
  <c r="AB927" i="3"/>
  <c r="AB695" i="3"/>
  <c r="AB329" i="3"/>
  <c r="AB1125" i="3"/>
  <c r="AB1033" i="3"/>
  <c r="AB1179" i="3"/>
  <c r="AB1263" i="3"/>
  <c r="AB1123" i="3"/>
  <c r="AB845" i="3"/>
  <c r="AB416" i="3"/>
  <c r="AB1192" i="3"/>
  <c r="AB618" i="3"/>
  <c r="AB676" i="3"/>
  <c r="AB1085" i="3"/>
  <c r="AB747" i="3"/>
  <c r="AB638" i="3"/>
  <c r="AB757" i="3"/>
  <c r="AB1060" i="3"/>
  <c r="AB513" i="3"/>
  <c r="AB580" i="3"/>
  <c r="AB742" i="3"/>
  <c r="AB864" i="3"/>
  <c r="AB773" i="3"/>
  <c r="AB1172" i="3"/>
  <c r="AB92" i="3"/>
  <c r="AB213" i="3"/>
  <c r="AB1204" i="3"/>
  <c r="AB1220" i="3"/>
  <c r="AB483" i="3"/>
  <c r="AB186" i="3"/>
  <c r="AB31" i="3"/>
  <c r="AB1137" i="3"/>
  <c r="AB1071" i="3"/>
  <c r="AB855" i="3"/>
  <c r="AB58" i="3"/>
  <c r="AB600" i="3"/>
  <c r="AB1024" i="3"/>
  <c r="AB32" i="3"/>
  <c r="AB976" i="3"/>
  <c r="AB752" i="3"/>
  <c r="AB803" i="3"/>
  <c r="AB37" i="3"/>
  <c r="AB615" i="3"/>
  <c r="AB722" i="3"/>
  <c r="AB13" i="3"/>
  <c r="AB407" i="3"/>
  <c r="AB148" i="3"/>
  <c r="AB361" i="3"/>
  <c r="AB347" i="3"/>
  <c r="AB643" i="3"/>
  <c r="AB1180" i="3"/>
  <c r="AB53" i="3"/>
  <c r="AB1126" i="3"/>
  <c r="AB249" i="3"/>
  <c r="AB321" i="3"/>
  <c r="AB1193" i="3"/>
  <c r="AB1081" i="3"/>
  <c r="AB1104" i="3"/>
  <c r="AB1011" i="3"/>
  <c r="AB351" i="3"/>
  <c r="AB815" i="3"/>
  <c r="AB424" i="3"/>
  <c r="AB428" i="3"/>
  <c r="AB834" i="3"/>
  <c r="AB164" i="3"/>
  <c r="AB874" i="3"/>
  <c r="AB247" i="3"/>
  <c r="AB660" i="3"/>
  <c r="AB619" i="3"/>
  <c r="X720" i="3"/>
  <c r="X645" i="3"/>
  <c r="X350" i="3"/>
  <c r="X869" i="3"/>
  <c r="X337" i="3"/>
  <c r="X687" i="3"/>
  <c r="X263" i="3"/>
  <c r="X1113" i="3"/>
  <c r="X784" i="3"/>
  <c r="X866" i="3"/>
  <c r="X910" i="3"/>
  <c r="X1106" i="3"/>
  <c r="X316" i="3"/>
  <c r="X990" i="3"/>
  <c r="X733" i="3"/>
  <c r="X648" i="3"/>
  <c r="X28" i="3"/>
  <c r="X659" i="3"/>
  <c r="X1006" i="3"/>
  <c r="X838" i="3"/>
  <c r="X1115" i="3"/>
  <c r="X520" i="3"/>
  <c r="X165" i="3"/>
  <c r="X123" i="3"/>
  <c r="X1154" i="3"/>
  <c r="X902" i="3"/>
  <c r="X874" i="3"/>
  <c r="X943" i="3"/>
  <c r="X120" i="3"/>
  <c r="X908" i="3"/>
  <c r="X1120" i="3"/>
  <c r="X697" i="3"/>
  <c r="X711" i="3"/>
  <c r="X8" i="3"/>
  <c r="X807" i="3"/>
  <c r="X351" i="3"/>
  <c r="X833" i="3"/>
  <c r="X821" i="3"/>
  <c r="X1112" i="3"/>
  <c r="X756" i="3"/>
  <c r="X75" i="3"/>
  <c r="X996" i="3"/>
  <c r="X291" i="3"/>
  <c r="T542" i="3"/>
  <c r="X1035" i="3"/>
  <c r="X118" i="3"/>
  <c r="X953" i="3"/>
  <c r="X454" i="3"/>
  <c r="T810" i="3"/>
  <c r="T8" i="3"/>
  <c r="T1188" i="3"/>
  <c r="X1279" i="3"/>
  <c r="X883" i="3"/>
  <c r="X986" i="3"/>
  <c r="X1237" i="3"/>
  <c r="X812" i="3"/>
  <c r="X511" i="3"/>
  <c r="X1046" i="3"/>
  <c r="X617" i="3"/>
  <c r="X979" i="3"/>
  <c r="X155" i="3"/>
  <c r="X274" i="3"/>
  <c r="X22" i="3"/>
  <c r="X752" i="3"/>
  <c r="T24" i="3"/>
  <c r="X666" i="3"/>
  <c r="X662" i="3"/>
  <c r="X1101" i="3"/>
  <c r="X258" i="3"/>
  <c r="X1175" i="3"/>
  <c r="X343" i="3"/>
  <c r="X1045" i="3"/>
  <c r="X395" i="3"/>
  <c r="X51" i="3"/>
  <c r="X573" i="3"/>
  <c r="X467" i="3"/>
  <c r="X364" i="3"/>
  <c r="X1066" i="3"/>
  <c r="X831" i="3"/>
  <c r="X1110" i="3"/>
  <c r="X431" i="3"/>
  <c r="X658" i="3"/>
  <c r="T1239" i="3"/>
  <c r="X917" i="3"/>
  <c r="X774" i="3"/>
  <c r="X172" i="3"/>
  <c r="T1197" i="3"/>
  <c r="X1278" i="3"/>
  <c r="X809" i="3"/>
  <c r="X893" i="3"/>
  <c r="X58" i="3"/>
  <c r="T522" i="3"/>
  <c r="X569" i="3"/>
  <c r="X494" i="3"/>
  <c r="X500" i="3"/>
  <c r="X429" i="3"/>
  <c r="X207" i="3"/>
  <c r="X137" i="3"/>
  <c r="X1162" i="3"/>
  <c r="X1159" i="3"/>
  <c r="X103" i="3"/>
  <c r="X414" i="3"/>
  <c r="X394" i="3"/>
  <c r="T369" i="3"/>
  <c r="X346" i="3"/>
  <c r="X192" i="3"/>
  <c r="X1250" i="3"/>
  <c r="X180" i="3"/>
  <c r="X493" i="3"/>
  <c r="X256" i="3"/>
  <c r="X320" i="3"/>
  <c r="X285" i="3"/>
  <c r="X978" i="3"/>
  <c r="X168" i="3"/>
  <c r="X313" i="3"/>
  <c r="X1223" i="3"/>
  <c r="X675" i="3"/>
  <c r="X67" i="3"/>
  <c r="X941" i="3"/>
  <c r="X886" i="3"/>
  <c r="X623" i="3"/>
  <c r="X412" i="3"/>
  <c r="X1068" i="3"/>
  <c r="X936" i="3"/>
  <c r="X544" i="3"/>
  <c r="X792" i="3"/>
  <c r="X822" i="3"/>
  <c r="X598" i="3"/>
  <c r="X400" i="3"/>
  <c r="X915" i="3"/>
  <c r="X958" i="3"/>
  <c r="X794" i="3"/>
  <c r="X1105" i="3"/>
  <c r="X1231" i="3"/>
  <c r="X1076" i="3"/>
  <c r="X951" i="3"/>
  <c r="X702" i="3"/>
  <c r="X1147" i="3"/>
  <c r="X772" i="3"/>
  <c r="X432" i="3"/>
  <c r="X776" i="3"/>
  <c r="X1283" i="3"/>
  <c r="X644" i="3"/>
  <c r="X930" i="3"/>
  <c r="X398" i="3"/>
  <c r="X505" i="3"/>
  <c r="X964" i="3"/>
  <c r="X160" i="3"/>
  <c r="X810" i="3"/>
  <c r="X276" i="3"/>
  <c r="X826" i="3"/>
  <c r="X929" i="3"/>
  <c r="X611" i="3"/>
  <c r="T444" i="3"/>
  <c r="X745" i="3"/>
  <c r="X506" i="3"/>
  <c r="X589" i="3"/>
  <c r="X1052" i="3"/>
  <c r="X870" i="3"/>
  <c r="X146" i="3"/>
  <c r="X1281" i="3"/>
  <c r="T241" i="3"/>
  <c r="T222" i="3"/>
  <c r="T638" i="3"/>
  <c r="X1247" i="3"/>
  <c r="X640" i="3"/>
  <c r="X804" i="3"/>
  <c r="X1285" i="3"/>
  <c r="X1062" i="3"/>
  <c r="X989" i="3"/>
  <c r="X1030" i="3"/>
  <c r="X327" i="3"/>
  <c r="X636" i="3"/>
  <c r="X981" i="3"/>
  <c r="X1288" i="3"/>
  <c r="X517" i="3"/>
  <c r="X597" i="3"/>
  <c r="X311" i="3"/>
  <c r="X850" i="3"/>
  <c r="X759" i="3"/>
  <c r="X312" i="3"/>
  <c r="X1109" i="3"/>
  <c r="X281" i="3"/>
  <c r="X536" i="3"/>
  <c r="X496" i="3"/>
  <c r="X437" i="3"/>
  <c r="X109" i="3"/>
  <c r="X55" i="3"/>
  <c r="X71" i="3"/>
  <c r="X396" i="3"/>
  <c r="X1221" i="3"/>
  <c r="X35" i="3"/>
  <c r="X221" i="3"/>
  <c r="T1020" i="3"/>
  <c r="T487" i="3"/>
  <c r="T914" i="3"/>
  <c r="X713" i="3"/>
  <c r="X1191" i="3"/>
  <c r="X642" i="3"/>
  <c r="X727" i="3"/>
  <c r="X387" i="3"/>
  <c r="X786" i="3"/>
  <c r="X156" i="3"/>
  <c r="X121" i="3"/>
  <c r="X1027" i="3"/>
  <c r="X227" i="3"/>
  <c r="X425" i="3"/>
  <c r="X270" i="3"/>
  <c r="X655" i="3"/>
  <c r="X110" i="3"/>
  <c r="X164" i="3"/>
  <c r="X231" i="3"/>
  <c r="X595" i="3"/>
  <c r="X48" i="3"/>
  <c r="X23" i="3"/>
  <c r="X477" i="3"/>
  <c r="X876" i="3"/>
  <c r="X952" i="3"/>
  <c r="X1137" i="3"/>
  <c r="X403" i="3"/>
  <c r="X427" i="3"/>
  <c r="X1054" i="3"/>
  <c r="X252" i="3"/>
  <c r="X79" i="3"/>
  <c r="X499" i="3"/>
  <c r="X194" i="3"/>
  <c r="X935" i="3"/>
  <c r="T1097" i="3"/>
  <c r="X912" i="3"/>
  <c r="X800" i="3"/>
  <c r="X501" i="3"/>
  <c r="X202" i="3"/>
  <c r="X1082" i="3"/>
  <c r="X1254" i="3"/>
  <c r="X464" i="3"/>
  <c r="X386" i="3"/>
  <c r="X921" i="3"/>
  <c r="X801" i="3"/>
  <c r="X98" i="3"/>
  <c r="X1033" i="3"/>
  <c r="X1185" i="3"/>
  <c r="X547" i="3"/>
  <c r="X444" i="3"/>
  <c r="X877" i="3"/>
  <c r="X169" i="3"/>
  <c r="X863" i="3"/>
  <c r="X698" i="3"/>
  <c r="X368" i="3"/>
  <c r="X416" i="3"/>
  <c r="X864" i="3"/>
  <c r="X1198" i="3"/>
  <c r="X714" i="3"/>
  <c r="X1121" i="3"/>
  <c r="X88" i="3"/>
  <c r="X984" i="3"/>
  <c r="X1051" i="3"/>
  <c r="X1236" i="3"/>
  <c r="X1192" i="3"/>
  <c r="X839" i="3"/>
  <c r="X861" i="3"/>
  <c r="X24" i="3"/>
  <c r="X1253" i="3"/>
  <c r="X612" i="3"/>
  <c r="X341" i="3"/>
  <c r="X824" i="3"/>
  <c r="X397" i="3"/>
  <c r="X705" i="3"/>
  <c r="X1048" i="3"/>
  <c r="X415" i="3"/>
  <c r="X392" i="3"/>
  <c r="X527" i="3"/>
  <c r="X1271" i="3"/>
  <c r="X1181" i="3"/>
  <c r="X567" i="3"/>
  <c r="X1086" i="3"/>
  <c r="X1199" i="3"/>
  <c r="X901" i="3"/>
  <c r="X299" i="3"/>
  <c r="X853" i="3"/>
  <c r="X526" i="3"/>
  <c r="X551" i="3"/>
  <c r="X1259" i="3"/>
  <c r="X1182" i="3"/>
  <c r="X1104" i="3"/>
  <c r="X1158" i="3"/>
  <c r="X665" i="3"/>
  <c r="X909" i="3"/>
  <c r="X1217" i="3"/>
  <c r="X855" i="3"/>
  <c r="X436" i="3"/>
  <c r="X319" i="3"/>
  <c r="X235" i="3"/>
  <c r="X708" i="3"/>
  <c r="X635" i="3"/>
  <c r="X523" i="3"/>
  <c r="X1216" i="3"/>
  <c r="X417" i="3"/>
  <c r="X533" i="3"/>
  <c r="X763" i="3"/>
  <c r="X811" i="3"/>
  <c r="X793" i="3"/>
  <c r="X315" i="3"/>
  <c r="X956" i="3"/>
  <c r="X561" i="3"/>
  <c r="X537" i="3"/>
  <c r="X1148" i="3"/>
  <c r="X514" i="3"/>
  <c r="X502" i="3"/>
  <c r="X1222" i="3"/>
  <c r="X676" i="3"/>
  <c r="X570" i="3"/>
  <c r="X134" i="3"/>
  <c r="X1228" i="3"/>
  <c r="T595" i="3"/>
  <c r="T1074" i="3"/>
  <c r="T397" i="3"/>
  <c r="T111" i="3"/>
  <c r="T271" i="3"/>
  <c r="T1233" i="3"/>
  <c r="T1064" i="3"/>
  <c r="T1201" i="3"/>
  <c r="T940" i="3"/>
  <c r="T987" i="3"/>
  <c r="T520" i="3"/>
  <c r="T974" i="3"/>
  <c r="T1101" i="3"/>
  <c r="T1038" i="3"/>
  <c r="T544" i="3"/>
  <c r="T329" i="3"/>
  <c r="T1087" i="3"/>
  <c r="T535" i="3"/>
  <c r="T87" i="3"/>
  <c r="T164" i="3"/>
  <c r="T1095" i="3"/>
  <c r="T1219" i="3"/>
  <c r="T1169" i="3"/>
  <c r="T193" i="3"/>
  <c r="T1265" i="3"/>
  <c r="T473" i="3"/>
  <c r="T994" i="3"/>
  <c r="T49" i="3"/>
  <c r="T70" i="3"/>
  <c r="T936" i="3"/>
  <c r="T1051" i="3"/>
  <c r="T760" i="3"/>
  <c r="T634" i="3"/>
  <c r="T435" i="3"/>
  <c r="T1196" i="3"/>
  <c r="T1059" i="3"/>
  <c r="T577" i="3"/>
  <c r="T318" i="3"/>
  <c r="T144" i="3"/>
  <c r="T639" i="3"/>
  <c r="T1227" i="3"/>
  <c r="T1279" i="3"/>
  <c r="T1008" i="3"/>
  <c r="T1006" i="3"/>
  <c r="T457" i="3"/>
  <c r="T409" i="3"/>
  <c r="T242" i="3"/>
  <c r="T922" i="3"/>
  <c r="T640" i="3"/>
  <c r="T673" i="3"/>
  <c r="T1254" i="3"/>
  <c r="T789" i="3"/>
  <c r="T215" i="3"/>
  <c r="T160" i="3"/>
  <c r="T1109" i="3"/>
  <c r="T1100" i="3"/>
  <c r="T1287" i="3"/>
  <c r="T523" i="3"/>
  <c r="T877" i="3"/>
  <c r="T432" i="3"/>
  <c r="T180" i="3"/>
  <c r="T1289" i="3"/>
  <c r="T122" i="3"/>
  <c r="T1120" i="3"/>
  <c r="T728" i="3"/>
  <c r="T652" i="3"/>
  <c r="T199" i="3"/>
  <c r="T217" i="3"/>
  <c r="T1214" i="3"/>
  <c r="T365" i="3"/>
  <c r="T1170" i="3"/>
  <c r="T545" i="3"/>
  <c r="T898" i="3"/>
  <c r="T1247" i="3"/>
  <c r="T452" i="3"/>
  <c r="T1202" i="3"/>
  <c r="T884" i="3"/>
  <c r="T78" i="3"/>
  <c r="T1150" i="3"/>
  <c r="T850" i="3"/>
  <c r="T1117" i="3"/>
  <c r="T683" i="3"/>
  <c r="T1262" i="3"/>
  <c r="T1282" i="3"/>
  <c r="T845" i="3"/>
  <c r="T1124" i="3"/>
  <c r="T923" i="3"/>
  <c r="T1251" i="3"/>
  <c r="T289" i="3"/>
  <c r="T1151" i="3"/>
  <c r="T624" i="3"/>
  <c r="T900" i="3"/>
  <c r="T127" i="3"/>
  <c r="T608" i="3"/>
  <c r="P542" i="3"/>
  <c r="T887" i="3"/>
  <c r="T326" i="3"/>
  <c r="T927" i="3"/>
  <c r="T278" i="3"/>
  <c r="T1108" i="3"/>
  <c r="T1134" i="3"/>
  <c r="T1200" i="3"/>
  <c r="T300" i="3"/>
  <c r="T703" i="3"/>
  <c r="T312" i="3"/>
  <c r="P708" i="3"/>
  <c r="T838" i="3"/>
  <c r="T904" i="3"/>
  <c r="T669" i="3"/>
  <c r="T541" i="3"/>
  <c r="T582" i="3"/>
  <c r="T1234" i="3"/>
  <c r="T345" i="3"/>
  <c r="T287" i="3"/>
  <c r="T1002" i="3"/>
  <c r="T377" i="3"/>
  <c r="T37" i="3"/>
  <c r="T596" i="3"/>
  <c r="T611" i="3"/>
  <c r="T808" i="3"/>
  <c r="T31" i="3"/>
  <c r="T1069" i="3"/>
  <c r="T607" i="3"/>
  <c r="T98" i="3"/>
  <c r="T748" i="3"/>
  <c r="T392" i="3"/>
  <c r="T926" i="3"/>
  <c r="T691" i="3"/>
  <c r="T1195" i="3"/>
  <c r="T656" i="3"/>
  <c r="T660" i="3"/>
  <c r="T565" i="3"/>
  <c r="T616" i="3"/>
  <c r="T561" i="3"/>
  <c r="T803" i="3"/>
  <c r="T1028" i="3"/>
  <c r="T666" i="3"/>
  <c r="T807" i="3"/>
  <c r="T20" i="3"/>
  <c r="T170" i="3"/>
  <c r="T48" i="3"/>
  <c r="T790" i="3"/>
  <c r="T1212" i="3"/>
  <c r="T1012" i="3"/>
  <c r="T759" i="3"/>
  <c r="T403" i="3"/>
  <c r="T865" i="3"/>
  <c r="T825" i="3"/>
  <c r="T454" i="3"/>
  <c r="T502" i="3"/>
  <c r="T1285" i="3"/>
  <c r="T1226" i="3"/>
  <c r="T551" i="3"/>
  <c r="T899" i="3"/>
  <c r="T254" i="3"/>
  <c r="T1253" i="3"/>
  <c r="T1116" i="3"/>
  <c r="T67" i="3"/>
  <c r="T349" i="3"/>
  <c r="T415" i="3"/>
  <c r="T1080" i="3"/>
  <c r="T400" i="3"/>
  <c r="T385" i="3"/>
  <c r="T686" i="3"/>
  <c r="T1153" i="3"/>
  <c r="T1021" i="3"/>
  <c r="T13" i="3"/>
  <c r="T957" i="3"/>
  <c r="T181" i="3"/>
  <c r="T1128" i="3"/>
  <c r="T990" i="3"/>
  <c r="T1183" i="3"/>
  <c r="T126" i="3"/>
  <c r="T45" i="3"/>
  <c r="T465" i="3"/>
  <c r="T749" i="3"/>
  <c r="T424" i="3"/>
  <c r="T176" i="3"/>
  <c r="T188" i="3"/>
  <c r="T1096" i="3"/>
  <c r="T1275" i="3"/>
  <c r="T657" i="3"/>
  <c r="T1173" i="3"/>
  <c r="T598" i="3"/>
  <c r="T731" i="3"/>
  <c r="T584" i="3"/>
  <c r="T1235" i="3"/>
  <c r="T1148" i="3"/>
  <c r="T1270" i="3"/>
  <c r="T323" i="3"/>
  <c r="T827" i="3"/>
  <c r="T252" i="3"/>
  <c r="T709" i="3"/>
  <c r="T1166" i="3"/>
  <c r="T96" i="3"/>
  <c r="T468" i="3"/>
  <c r="T747" i="3"/>
  <c r="T572" i="3"/>
  <c r="T418" i="3"/>
  <c r="T491" i="3"/>
  <c r="T1043" i="3"/>
  <c r="T620" i="3"/>
  <c r="T1107" i="3"/>
  <c r="T1113" i="3"/>
  <c r="T259" i="3"/>
  <c r="T531" i="3"/>
  <c r="T489" i="3"/>
  <c r="T1209" i="3"/>
  <c r="T937" i="3"/>
  <c r="T1231" i="3"/>
  <c r="T1294" i="3"/>
  <c r="T930" i="3"/>
  <c r="T1136" i="3"/>
  <c r="T862" i="3"/>
  <c r="T553" i="3"/>
  <c r="T651" i="3"/>
  <c r="T100" i="3"/>
  <c r="T1106" i="3"/>
  <c r="T1047" i="3"/>
  <c r="T1258" i="3"/>
  <c r="T1217" i="3"/>
  <c r="T1243" i="3"/>
  <c r="T1126" i="3"/>
  <c r="T979" i="3"/>
  <c r="T1193" i="3"/>
  <c r="T909" i="3"/>
  <c r="T1119" i="3"/>
  <c r="T1224" i="3"/>
  <c r="T761" i="3"/>
  <c r="T844" i="3"/>
  <c r="T1155" i="3"/>
  <c r="T745" i="3"/>
  <c r="T1118" i="3"/>
  <c r="T949" i="3"/>
  <c r="T82" i="3"/>
  <c r="T858" i="3"/>
  <c r="T713" i="3"/>
  <c r="T792" i="3"/>
  <c r="T944" i="3"/>
  <c r="T1141" i="3"/>
  <c r="T131" i="3"/>
  <c r="T1093" i="3"/>
  <c r="T333" i="3"/>
  <c r="T813" i="3"/>
  <c r="T723" i="3"/>
  <c r="T971" i="3"/>
  <c r="T1104" i="3"/>
  <c r="T224" i="3"/>
  <c r="T920" i="3"/>
  <c r="T896" i="3"/>
  <c r="T823" i="3"/>
  <c r="T881" i="3"/>
  <c r="T573" i="3"/>
  <c r="T1168" i="3"/>
  <c r="T739" i="3"/>
  <c r="T1267" i="3"/>
  <c r="T832" i="3"/>
  <c r="T1292" i="3"/>
  <c r="T718" i="3"/>
  <c r="T867" i="3"/>
  <c r="T120" i="3"/>
  <c r="T846" i="3"/>
  <c r="T1077" i="3"/>
  <c r="T1245" i="3"/>
  <c r="T1288" i="3"/>
  <c r="T1091" i="3"/>
  <c r="T94" i="3"/>
  <c r="T724" i="3"/>
  <c r="T879" i="3"/>
  <c r="T479" i="3"/>
  <c r="T869" i="3"/>
  <c r="T854" i="3"/>
  <c r="T10" i="3"/>
  <c r="T908" i="3"/>
  <c r="T505" i="3"/>
  <c r="P669" i="3"/>
  <c r="P120" i="3"/>
  <c r="P984" i="3"/>
  <c r="P904" i="3"/>
  <c r="P652" i="3"/>
  <c r="P1189" i="3"/>
  <c r="P536" i="3"/>
  <c r="P651" i="3"/>
  <c r="P955" i="3"/>
  <c r="P347" i="3"/>
  <c r="P1020" i="3"/>
  <c r="P464" i="3"/>
  <c r="P890" i="3"/>
  <c r="P976" i="3"/>
  <c r="P792" i="3"/>
  <c r="P875" i="3"/>
  <c r="P1188" i="3"/>
  <c r="P1186" i="3"/>
  <c r="P1211" i="3"/>
  <c r="P543" i="3"/>
  <c r="P81" i="3"/>
  <c r="P819" i="3"/>
  <c r="P903" i="3"/>
  <c r="P590" i="3"/>
  <c r="P791" i="3"/>
  <c r="P586" i="3"/>
  <c r="P1184" i="3"/>
  <c r="P290" i="3"/>
  <c r="P632" i="3"/>
  <c r="P998" i="3"/>
  <c r="P382" i="3"/>
  <c r="P614" i="3"/>
  <c r="P962" i="3"/>
  <c r="P1251" i="3"/>
  <c r="P398" i="3"/>
  <c r="P110" i="3"/>
  <c r="P1032" i="3"/>
  <c r="P1183" i="3"/>
  <c r="P3" i="3"/>
  <c r="P932" i="3"/>
  <c r="P497" i="3"/>
  <c r="P570" i="3"/>
  <c r="P380" i="3"/>
  <c r="P259" i="3"/>
  <c r="P24" i="3"/>
  <c r="P666" i="3"/>
  <c r="P511" i="3"/>
  <c r="P343" i="3"/>
  <c r="P634" i="3"/>
  <c r="P990" i="3"/>
  <c r="P35" i="3"/>
  <c r="P372" i="3"/>
  <c r="P1130" i="3"/>
  <c r="P318" i="3"/>
  <c r="P628" i="3"/>
  <c r="P833" i="3"/>
  <c r="P679" i="3"/>
  <c r="P248" i="3"/>
  <c r="P494" i="3"/>
  <c r="P414" i="3"/>
  <c r="P592" i="3"/>
  <c r="P151" i="3"/>
  <c r="P222" i="3"/>
  <c r="P1046" i="3"/>
  <c r="P1117" i="3"/>
  <c r="P514" i="3"/>
  <c r="P1018" i="3"/>
  <c r="P624" i="3"/>
  <c r="P137" i="3"/>
  <c r="P777" i="3"/>
  <c r="P85" i="3"/>
  <c r="P150" i="3"/>
  <c r="P263" i="3"/>
  <c r="P1146" i="3"/>
  <c r="P92" i="3"/>
  <c r="P501" i="3"/>
  <c r="P299" i="3"/>
  <c r="P820" i="3"/>
  <c r="P596" i="3"/>
  <c r="P235" i="3"/>
  <c r="P406" i="3"/>
  <c r="P1044" i="3"/>
  <c r="P332" i="3"/>
  <c r="P16" i="3"/>
  <c r="P758" i="3"/>
  <c r="P988" i="3"/>
  <c r="P437" i="3"/>
  <c r="P1212" i="3"/>
  <c r="P746" i="3"/>
  <c r="P733" i="3"/>
  <c r="P392" i="3"/>
  <c r="P892" i="3"/>
  <c r="P1180" i="3"/>
  <c r="P1112" i="3"/>
  <c r="P316" i="3"/>
  <c r="P1287" i="3"/>
  <c r="P1012" i="3"/>
  <c r="P1247" i="3"/>
  <c r="P753" i="3"/>
  <c r="P680" i="3"/>
  <c r="P529" i="3"/>
  <c r="P1215" i="3"/>
  <c r="P1072" i="3"/>
  <c r="P412" i="3"/>
  <c r="P694" i="3"/>
  <c r="P438" i="3"/>
  <c r="P459" i="3"/>
  <c r="P342" i="3"/>
  <c r="P1138" i="3"/>
  <c r="P599" i="3"/>
  <c r="P374" i="3"/>
  <c r="P707" i="3"/>
  <c r="P40" i="3"/>
  <c r="P654" i="3"/>
  <c r="P764" i="3"/>
  <c r="P396" i="3"/>
  <c r="P329" i="3"/>
  <c r="P920" i="3"/>
  <c r="P795" i="3"/>
  <c r="P430" i="3"/>
  <c r="P102" i="3"/>
  <c r="P991" i="3"/>
  <c r="P648" i="3"/>
  <c r="P246" i="3"/>
  <c r="P371" i="3"/>
  <c r="P1254" i="3"/>
  <c r="P402" i="3"/>
  <c r="P1272" i="3"/>
  <c r="P960" i="3"/>
  <c r="P119" i="3"/>
  <c r="P439" i="3"/>
  <c r="P950" i="3"/>
  <c r="P1216" i="3"/>
  <c r="P32" i="3"/>
  <c r="P231" i="3"/>
  <c r="P889" i="3"/>
  <c r="P1250" i="3"/>
  <c r="P847" i="3"/>
  <c r="P60" i="3"/>
  <c r="P158" i="3"/>
  <c r="P418" i="3"/>
  <c r="P640" i="3"/>
  <c r="P1264" i="3"/>
  <c r="P483" i="3"/>
  <c r="P94" i="3"/>
  <c r="P712" i="3"/>
  <c r="P893" i="3"/>
  <c r="P277" i="3"/>
  <c r="P1285" i="3"/>
  <c r="P987" i="3"/>
  <c r="P722" i="3"/>
  <c r="P189" i="3"/>
  <c r="P344" i="3"/>
  <c r="P774" i="3"/>
  <c r="P300" i="3"/>
  <c r="P330" i="3"/>
  <c r="P36" i="3"/>
  <c r="P660" i="3"/>
  <c r="P525" i="3"/>
  <c r="P466" i="3"/>
  <c r="P207" i="3"/>
  <c r="P801" i="3"/>
  <c r="P340" i="3"/>
  <c r="P262" i="3"/>
  <c r="P566" i="3"/>
  <c r="P528" i="3"/>
  <c r="P788" i="3"/>
  <c r="P1118" i="3"/>
  <c r="P766" i="3"/>
  <c r="P64" i="3"/>
  <c r="P1102" i="3"/>
  <c r="P376" i="3"/>
  <c r="P217" i="3"/>
  <c r="P109" i="3"/>
  <c r="P370" i="3"/>
  <c r="P1082" i="3"/>
  <c r="P738" i="3"/>
  <c r="P612" i="3"/>
  <c r="P7" i="3"/>
  <c r="P1201" i="3"/>
  <c r="P296" i="3"/>
  <c r="P1265" i="3"/>
  <c r="P931" i="3"/>
  <c r="P452" i="3"/>
  <c r="P38" i="3"/>
  <c r="P836" i="3"/>
  <c r="P852" i="3"/>
  <c r="P618" i="3"/>
  <c r="P26" i="3"/>
  <c r="P123" i="3"/>
  <c r="P399" i="3"/>
  <c r="P1090" i="3"/>
  <c r="P226" i="3"/>
  <c r="P244" i="3"/>
  <c r="P724" i="3"/>
  <c r="P1158" i="3"/>
  <c r="P204" i="3"/>
  <c r="P306" i="3"/>
  <c r="P886" i="3"/>
  <c r="P584" i="3"/>
  <c r="P148" i="3"/>
  <c r="P725" i="3"/>
  <c r="P800" i="3"/>
  <c r="P872" i="3"/>
  <c r="P554" i="3"/>
  <c r="P346" i="3"/>
  <c r="P25" i="3"/>
  <c r="P763" i="3"/>
  <c r="P730" i="3"/>
  <c r="P1142" i="3"/>
  <c r="P1002" i="3"/>
  <c r="P260" i="3"/>
  <c r="P258" i="3"/>
  <c r="P282" i="3"/>
  <c r="P595" i="3"/>
  <c r="P1267" i="3"/>
  <c r="P1244" i="3"/>
  <c r="P857" i="3"/>
  <c r="P568" i="3"/>
  <c r="P1156" i="3"/>
  <c r="P670" i="3"/>
  <c r="P427" i="3"/>
  <c r="P80" i="3"/>
  <c r="P298" i="3"/>
  <c r="P186" i="3"/>
  <c r="P305" i="3"/>
  <c r="P557" i="3"/>
  <c r="P564" i="3"/>
  <c r="P539" i="3"/>
  <c r="P918" i="3"/>
  <c r="P1198" i="3"/>
  <c r="P284" i="3"/>
  <c r="P646" i="3"/>
  <c r="P668" i="3"/>
  <c r="P626" i="3"/>
  <c r="P822" i="3"/>
  <c r="P1226" i="3"/>
  <c r="P1061" i="3"/>
  <c r="P544" i="3"/>
  <c r="P754" i="3"/>
  <c r="P662" i="3"/>
  <c r="P366" i="3"/>
  <c r="P1127" i="3"/>
  <c r="P676" i="3"/>
  <c r="P67" i="3"/>
  <c r="P30" i="3"/>
  <c r="P315" i="3"/>
  <c r="P1282" i="3"/>
  <c r="P234" i="3"/>
  <c r="P693" i="3"/>
  <c r="P410" i="3"/>
  <c r="P1016" i="3"/>
  <c r="P302" i="3"/>
  <c r="P558" i="3"/>
  <c r="P627" i="3"/>
  <c r="P334" i="3"/>
  <c r="P432" i="3"/>
  <c r="P1030" i="3"/>
  <c r="P21" i="3"/>
  <c r="P1165" i="3"/>
  <c r="P356" i="3"/>
  <c r="P308" i="3"/>
  <c r="P814" i="3"/>
  <c r="P578" i="3"/>
  <c r="P220" i="3"/>
  <c r="P1065" i="3"/>
  <c r="P911" i="3"/>
  <c r="P919" i="3"/>
  <c r="P498" i="3"/>
  <c r="P1155" i="3"/>
  <c r="P251" i="3"/>
  <c r="P786" i="3"/>
  <c r="P1088" i="3"/>
  <c r="P1086" i="3"/>
  <c r="P63" i="3"/>
  <c r="P934" i="3"/>
  <c r="P838" i="3"/>
  <c r="P264" i="3"/>
  <c r="P270" i="3"/>
  <c r="P179" i="3"/>
  <c r="P1099" i="3"/>
  <c r="P1128" i="3"/>
  <c r="P74" i="3"/>
  <c r="P417" i="3"/>
  <c r="P876" i="3"/>
  <c r="P354" i="3"/>
  <c r="P704" i="3"/>
  <c r="P242" i="3"/>
  <c r="P203" i="3"/>
  <c r="P711" i="3"/>
  <c r="P598" i="3"/>
  <c r="P49" i="3"/>
  <c r="P629" i="3"/>
  <c r="P1270" i="3"/>
  <c r="P394" i="3"/>
  <c r="P122" i="3"/>
  <c r="P965" i="3"/>
  <c r="P613" i="3"/>
  <c r="P11" i="3"/>
  <c r="P946" i="3"/>
  <c r="P606" i="3"/>
  <c r="P620" i="3"/>
  <c r="P1253" i="3"/>
  <c r="P200" i="3"/>
  <c r="P91" i="3"/>
  <c r="P850" i="3"/>
  <c r="P28" i="3"/>
  <c r="P444" i="3"/>
  <c r="P134" i="3"/>
  <c r="P526" i="3"/>
  <c r="P288" i="3"/>
  <c r="P935" i="3"/>
  <c r="P500" i="3"/>
  <c r="P992" i="3"/>
  <c r="P1015" i="3"/>
  <c r="P338" i="3"/>
  <c r="P484" i="3"/>
  <c r="P1169" i="3"/>
  <c r="P1288" i="3"/>
  <c r="P1011" i="3"/>
  <c r="P1284" i="3"/>
  <c r="P1100" i="3"/>
  <c r="P581" i="3"/>
  <c r="P736" i="3"/>
  <c r="P824" i="3"/>
  <c r="P530" i="3"/>
  <c r="P548" i="3"/>
  <c r="P1214" i="3"/>
  <c r="P176" i="3"/>
  <c r="P1145" i="3"/>
  <c r="P400" i="3"/>
  <c r="P1089" i="3"/>
  <c r="P664" i="3"/>
  <c r="P1054" i="3"/>
  <c r="P706" i="3"/>
  <c r="P268" i="3"/>
  <c r="P982" i="3"/>
  <c r="P147" i="3"/>
  <c r="P1148" i="3"/>
  <c r="P172" i="3"/>
  <c r="P735" i="3"/>
  <c r="P512" i="3"/>
  <c r="P1071" i="3"/>
  <c r="P39" i="3"/>
  <c r="P562" i="3"/>
  <c r="P278" i="3"/>
  <c r="P683" i="3"/>
  <c r="P1144" i="3"/>
  <c r="P10" i="3"/>
  <c r="P996" i="3"/>
  <c r="P218" i="3"/>
  <c r="P821" i="3"/>
  <c r="P364" i="3"/>
  <c r="P817" i="3"/>
  <c r="P1268" i="3"/>
  <c r="P458" i="3"/>
  <c r="P690" i="3"/>
  <c r="P212" i="3"/>
  <c r="P1208" i="3"/>
  <c r="P964" i="3"/>
  <c r="P837" i="3"/>
  <c r="P477" i="3"/>
  <c r="P341" i="3"/>
  <c r="P249" i="3"/>
  <c r="P799" i="3"/>
  <c r="P794" i="3"/>
  <c r="P149" i="3"/>
  <c r="P301" i="3"/>
  <c r="P229" i="3"/>
  <c r="P1240" i="3"/>
  <c r="P949" i="3"/>
  <c r="P142" i="3"/>
  <c r="P486" i="3"/>
  <c r="P778" i="3"/>
  <c r="P1013" i="3"/>
  <c r="P190" i="3"/>
  <c r="P1286" i="3"/>
  <c r="P1122" i="3"/>
  <c r="P540" i="3"/>
  <c r="P665" i="3"/>
  <c r="P345" i="3"/>
  <c r="P963" i="3"/>
  <c r="P355" i="3"/>
  <c r="P1242" i="3"/>
  <c r="P756" i="3"/>
  <c r="P362" i="3"/>
  <c r="P726" i="3"/>
  <c r="P428" i="3"/>
  <c r="P419" i="3"/>
  <c r="P1085" i="3"/>
  <c r="P1043" i="3"/>
  <c r="P369" i="3"/>
  <c r="P9" i="3"/>
  <c r="P937" i="3"/>
  <c r="P1224" i="3"/>
  <c r="P563" i="3"/>
  <c r="P113" i="3"/>
  <c r="P210" i="3"/>
  <c r="P878" i="3"/>
  <c r="P465" i="3"/>
  <c r="P230" i="3"/>
  <c r="P143" i="3"/>
  <c r="P1129" i="3"/>
  <c r="P622" i="3"/>
  <c r="P545" i="3"/>
  <c r="P140" i="3"/>
  <c r="P1238" i="3"/>
  <c r="P232" i="3"/>
  <c r="P106" i="3"/>
  <c r="P286" i="3"/>
  <c r="P156" i="3"/>
  <c r="P1234" i="3"/>
  <c r="P95" i="3"/>
  <c r="P456" i="3"/>
  <c r="P474" i="3"/>
  <c r="P171" i="3"/>
  <c r="P1034" i="3"/>
  <c r="P431" i="3"/>
  <c r="P585" i="3"/>
  <c r="P673" i="3"/>
  <c r="P600" i="3"/>
  <c r="P202" i="3"/>
  <c r="P710" i="3"/>
  <c r="P830" i="3"/>
  <c r="P556" i="3"/>
  <c r="P331" i="3"/>
  <c r="P954" i="3"/>
  <c r="P103" i="3"/>
  <c r="P659" i="3"/>
  <c r="P1193" i="3"/>
  <c r="P457" i="3"/>
  <c r="P661" i="3"/>
  <c r="P8" i="3"/>
  <c r="P1252" i="3"/>
  <c r="P481" i="3"/>
  <c r="P449" i="3"/>
  <c r="P691" i="3"/>
  <c r="P351" i="3"/>
  <c r="P265" i="3"/>
  <c r="P1182" i="3"/>
  <c r="P56" i="3"/>
  <c r="P1036" i="3"/>
  <c r="P93" i="3"/>
  <c r="P751" i="3"/>
  <c r="P749" i="3"/>
  <c r="P503" i="3"/>
  <c r="P485" i="3"/>
  <c r="P569" i="3"/>
  <c r="P377" i="3"/>
  <c r="P1213" i="3"/>
  <c r="P623" i="3"/>
  <c r="P848" i="3"/>
  <c r="P959" i="3"/>
  <c r="P567" i="3"/>
  <c r="P1294" i="3"/>
  <c r="P603" i="3"/>
  <c r="P390" i="3"/>
  <c r="P1229" i="3"/>
  <c r="P455" i="3"/>
  <c r="P796" i="3"/>
  <c r="P138" i="3"/>
  <c r="P858" i="3"/>
  <c r="P647" i="3"/>
  <c r="P641" i="3"/>
</calcChain>
</file>

<file path=xl/sharedStrings.xml><?xml version="1.0" encoding="utf-8"?>
<sst xmlns="http://schemas.openxmlformats.org/spreadsheetml/2006/main" count="12977" uniqueCount="75">
  <si>
    <t>PROCESSO</t>
  </si>
  <si>
    <t>ENTRADA</t>
  </si>
  <si>
    <t>DH_ENTRADA</t>
  </si>
  <si>
    <t>SAIDA</t>
  </si>
  <si>
    <t>DH_SAIDA</t>
  </si>
  <si>
    <t>CENTRO CIRÚRGICO</t>
  </si>
  <si>
    <t>PRONTO SOCORRO</t>
  </si>
  <si>
    <t>CLINICA CIRURGICA</t>
  </si>
  <si>
    <t>CTI</t>
  </si>
  <si>
    <t>ALTA HOSPITALAR</t>
  </si>
  <si>
    <t>CLINICA MEDICA</t>
  </si>
  <si>
    <t>TRANSFERENCIA EXTERNA</t>
  </si>
  <si>
    <t>MATERNIDADE</t>
  </si>
  <si>
    <t>OBITO</t>
  </si>
  <si>
    <t>Item</t>
  </si>
  <si>
    <t>Count of ENTRADA</t>
  </si>
  <si>
    <t>Row Labels</t>
  </si>
  <si>
    <t>Grand Total</t>
  </si>
  <si>
    <t>PORTE</t>
  </si>
  <si>
    <t>TEMPO_PREVISTO_Horas</t>
  </si>
  <si>
    <t>DS_SAL_CIR</t>
  </si>
  <si>
    <t>DT_REALIZACAO</t>
  </si>
  <si>
    <t>DT_INICIO_ANESTESIA</t>
  </si>
  <si>
    <t>DT_INICIO_CIRURGIA</t>
  </si>
  <si>
    <t>DT_FIM_CIRURGIA</t>
  </si>
  <si>
    <t>DT_FIM_ANESTESIA</t>
  </si>
  <si>
    <t>DT_SAIDA_SAL_CIR</t>
  </si>
  <si>
    <t>TEMPO_DURACAO_Horas</t>
  </si>
  <si>
    <t>DT_INICIO_LIMPEZA</t>
  </si>
  <si>
    <t>P</t>
  </si>
  <si>
    <t>SALA CIRURGICA 01</t>
  </si>
  <si>
    <t>M</t>
  </si>
  <si>
    <t>SALA CIRURGICA 06</t>
  </si>
  <si>
    <t>G</t>
  </si>
  <si>
    <t>SALA CIRURGICA 03</t>
  </si>
  <si>
    <t>SALA CIRURGICA 02</t>
  </si>
  <si>
    <t>SALA CIRURGICA 05</t>
  </si>
  <si>
    <t>SALA CIRURGICA 04</t>
  </si>
  <si>
    <t>Minutos</t>
  </si>
  <si>
    <t>Horas</t>
  </si>
  <si>
    <t>Sum of Minutos-2</t>
  </si>
  <si>
    <t>Min (minutos)</t>
  </si>
  <si>
    <t>Average (minutos)</t>
  </si>
  <si>
    <t>Max (minutos)</t>
  </si>
  <si>
    <t>SD (minutos)</t>
  </si>
  <si>
    <t>Ent-Anest</t>
  </si>
  <si>
    <t>Ent-Anest0</t>
  </si>
  <si>
    <t>Ato-Anest0</t>
  </si>
  <si>
    <t>Ato-Anest</t>
  </si>
  <si>
    <t>Cir0</t>
  </si>
  <si>
    <t>Cirurgia</t>
  </si>
  <si>
    <t>FimCirFimAn0</t>
  </si>
  <si>
    <t>FimCirFimAn</t>
  </si>
  <si>
    <t>Limp0</t>
  </si>
  <si>
    <t>Limp</t>
  </si>
  <si>
    <t>Limp+Fila0</t>
  </si>
  <si>
    <t>Limp+Fila</t>
  </si>
  <si>
    <t>Hora</t>
  </si>
  <si>
    <t>Faixas de horarios</t>
  </si>
  <si>
    <t>Frequency</t>
  </si>
  <si>
    <t>0-2</t>
  </si>
  <si>
    <t>2-4</t>
  </si>
  <si>
    <t>4-6</t>
  </si>
  <si>
    <t>6-8</t>
  </si>
  <si>
    <t>8-10</t>
  </si>
  <si>
    <t>10-12</t>
  </si>
  <si>
    <t>12-14</t>
  </si>
  <si>
    <t>14-16</t>
  </si>
  <si>
    <t>16-18</t>
  </si>
  <si>
    <t>18-20</t>
  </si>
  <si>
    <t>20-22</t>
  </si>
  <si>
    <t>22-0</t>
  </si>
  <si>
    <t>Chegadas</t>
  </si>
  <si>
    <t>Frequência</t>
  </si>
  <si>
    <t>Horário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</si>
</sst>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0.000"/>
    <numFmt numFmtId="167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166" fontId="0" fillId="0" borderId="0" xfId="1" applyNumberFormat="1" applyFont="1"/>
    <xf numFmtId="22" fontId="0" fillId="0" borderId="1" xfId="0" applyNumberFormat="1" applyFill="1" applyBorder="1"/>
    <xf numFmtId="167" fontId="0" fillId="0" borderId="0" xfId="0" applyNumberFormat="1"/>
    <xf numFmtId="22" fontId="0" fillId="0" borderId="0" xfId="0" applyNumberFormat="1" applyFill="1" applyBorder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22" fontId="0" fillId="2" borderId="0" xfId="0" applyNumberFormat="1" applyFill="1" applyBorder="1"/>
    <xf numFmtId="22" fontId="0" fillId="2" borderId="1" xfId="0" applyNumberFormat="1" applyFill="1" applyBorder="1"/>
    <xf numFmtId="2" fontId="0" fillId="0" borderId="0" xfId="0" applyNumberFormat="1" applyFill="1" applyBorder="1"/>
    <xf numFmtId="1" fontId="0" fillId="0" borderId="0" xfId="0" applyNumberFormat="1" applyFill="1" applyBorder="1"/>
    <xf numFmtId="0" fontId="3" fillId="0" borderId="2" xfId="0" applyFont="1" applyFill="1" applyBorder="1" applyAlignment="1">
      <alignment horizontal="center"/>
    </xf>
    <xf numFmtId="0" fontId="0" fillId="0" borderId="0" xfId="0" quotePrefix="1"/>
    <xf numFmtId="167" fontId="0" fillId="0" borderId="1" xfId="0" applyNumberFormat="1" applyFill="1" applyBorder="1"/>
    <xf numFmtId="2" fontId="0" fillId="0" borderId="1" xfId="0" applyNumberFormat="1" applyFill="1" applyBorder="1"/>
    <xf numFmtId="1" fontId="0" fillId="0" borderId="1" xfId="0" applyNumberFormat="1" applyFill="1" applyBorder="1"/>
  </cellXfs>
  <cellStyles count="2"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Chegada de Pacientes no Centro</a:t>
            </a:r>
            <a:r>
              <a:rPr lang="en-US" baseline="0"/>
              <a:t> Cirúrgico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Horario!$R$2</c:f>
              <c:strCache>
                <c:ptCount val="1"/>
                <c:pt idx="0">
                  <c:v>Frequência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Horario!$Q$3:$Q$14</c:f>
              <c:strCache>
                <c:ptCount val="12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  <c:pt idx="6">
                  <c:v>12-14</c:v>
                </c:pt>
                <c:pt idx="7">
                  <c:v>14-16</c:v>
                </c:pt>
                <c:pt idx="8">
                  <c:v>16-18</c:v>
                </c:pt>
                <c:pt idx="9">
                  <c:v>18-20</c:v>
                </c:pt>
                <c:pt idx="10">
                  <c:v>20-22</c:v>
                </c:pt>
                <c:pt idx="11">
                  <c:v>22-0</c:v>
                </c:pt>
              </c:strCache>
            </c:strRef>
          </c:cat>
          <c:val>
            <c:numRef>
              <c:f>Horario!$R$3:$R$14</c:f>
              <c:numCache>
                <c:formatCode>0.0%</c:formatCode>
                <c:ptCount val="12"/>
                <c:pt idx="0">
                  <c:v>3.4829721362229102E-2</c:v>
                </c:pt>
                <c:pt idx="1">
                  <c:v>9.2879256965944269E-3</c:v>
                </c:pt>
                <c:pt idx="2">
                  <c:v>1.0061919504643963E-2</c:v>
                </c:pt>
                <c:pt idx="3">
                  <c:v>0.18575851393188855</c:v>
                </c:pt>
                <c:pt idx="4">
                  <c:v>0.11068111455108359</c:v>
                </c:pt>
                <c:pt idx="5">
                  <c:v>0.15092879256965944</c:v>
                </c:pt>
                <c:pt idx="6">
                  <c:v>0.10758513931888544</c:v>
                </c:pt>
                <c:pt idx="7">
                  <c:v>0.12538699690402477</c:v>
                </c:pt>
                <c:pt idx="8">
                  <c:v>0.10603715170278638</c:v>
                </c:pt>
                <c:pt idx="9">
                  <c:v>3.4829721362229102E-2</c:v>
                </c:pt>
                <c:pt idx="10">
                  <c:v>6.3467492260061917E-2</c:v>
                </c:pt>
                <c:pt idx="11">
                  <c:v>6.1145510835913311E-2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6-4DCA-AFD0-148FF5E623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51207264"/>
        <c:axId val="1751224544"/>
      </c:barChart>
      <c:catAx>
        <c:axId val="175120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24544"/>
        <c:crosses val="autoZero"/>
        <c:auto val="1"/>
        <c:lblAlgn val="ctr"/>
        <c:lblOffset val="100"/>
        <c:noMultiLvlLbl val="0"/>
      </c:catAx>
      <c:valAx>
        <c:axId val="175122454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75120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77B17C85-74AF-4E68-AFB8-72231B8E700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CE1314AB-9F9C-4A1C-A6D7-F19391B6E38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F821FFFE-3677-4BA2-A86B-A4DE9C61286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5C9657F6-DF2C-468E-9474-3E245F492A6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2D23EE51-ACEA-4927-BEEE-ED568AB8967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E6BA5138-C786-42E7-944B-5D204E76D13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255410E1-1C01-48F9-BD63-9B1B407B90E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190499</xdr:rowOff>
    </xdr:from>
    <xdr:to>
      <xdr:col>19</xdr:col>
      <xdr:colOff>9525</xdr:colOff>
      <xdr:row>24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AFD41C2-F39B-4AC3-ABDA-EA159AF31A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8975" y="380999"/>
              <a:ext cx="6105525" cy="3686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23812</xdr:rowOff>
    </xdr:from>
    <xdr:to>
      <xdr:col>13</xdr:col>
      <xdr:colOff>23812</xdr:colOff>
      <xdr:row>15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7B536D-6F25-36CA-9EE5-775E9DC6D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20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A687E5D-9D87-432D-B003-A66A28AB6F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68375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20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95E10DF-815D-4998-9FE3-35D77C7547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0250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19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E7570AB-231B-4F11-9335-0EFB5149CF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4075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17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E8A6E81-BB9F-4D82-A0D7-B26E88F3A8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15975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836ABC9-C270-481E-906A-3811138960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44550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314325</xdr:colOff>
      <xdr:row>1</xdr:row>
      <xdr:rowOff>9525</xdr:rowOff>
    </xdr:from>
    <xdr:to>
      <xdr:col>22</xdr:col>
      <xdr:colOff>9525</xdr:colOff>
      <xdr:row>18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2A58BDB-6A43-43AA-AED6-C83FF8402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8800" y="200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8.415451273147" createdVersion="8" refreshedVersion="8" minRefreshableVersion="3" recordCount="1250" xr:uid="{5EF4CA3E-531D-4EB3-A817-49C39F3DCE7F}">
  <cacheSource type="worksheet">
    <worksheetSource ref="A1:F1251" sheet="Base_1"/>
  </cacheSource>
  <cacheFields count="6">
    <cacheField name="Item" numFmtId="0">
      <sharedItems containsSemiMixedTypes="0" containsString="0" containsNumber="1" containsInteger="1" minValue="1" maxValue="1250"/>
    </cacheField>
    <cacheField name="PROCESSO" numFmtId="0">
      <sharedItems/>
    </cacheField>
    <cacheField name="ENTRADA" numFmtId="0">
      <sharedItems count="5">
        <s v="PRONTO SOCORRO"/>
        <s v="CLINICA CIRURGICA"/>
        <s v="CLINICA MEDICA"/>
        <s v="CTI"/>
        <s v="MATERNIDADE"/>
      </sharedItems>
    </cacheField>
    <cacheField name="DH_ENTRADA" numFmtId="0">
      <sharedItems containsSemiMixedTypes="0" containsString="0" containsNumber="1" minValue="46023.020833333336" maxValue="46111.777777777781"/>
    </cacheField>
    <cacheField name="SAIDA" numFmtId="0">
      <sharedItems count="8">
        <s v="CLINICA CIRURGICA"/>
        <s v="CTI"/>
        <s v="ALTA HOSPITALAR"/>
        <s v="CLINICA MEDICA"/>
        <s v="PRONTO SOCORRO"/>
        <s v="TRANSFERENCIA EXTERNA"/>
        <s v="OBITO"/>
        <s v="MATERNIDADE"/>
      </sharedItems>
    </cacheField>
    <cacheField name="DH_SAIDA" numFmtId="0">
      <sharedItems containsSemiMixedTypes="0" containsString="0" containsNumber="1" minValue="46023.469259259262" maxValue="46111.93377314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8.432088310183" createdVersion="8" refreshedVersion="8" minRefreshableVersion="3" recordCount="1292" xr:uid="{A08A0F15-BF7F-4A9C-8E00-1CA806B4A6BE}">
  <cacheSource type="worksheet">
    <worksheetSource ref="A2:P1294" sheet="Base_2"/>
  </cacheSource>
  <cacheFields count="16">
    <cacheField name="Item" numFmtId="0">
      <sharedItems containsSemiMixedTypes="0" containsString="0" containsNumber="1" containsInteger="1" minValue="1" maxValue="1292"/>
    </cacheField>
    <cacheField name="PORTE" numFmtId="0">
      <sharedItems count="3">
        <s v="P"/>
        <s v="M"/>
        <s v="G"/>
      </sharedItems>
    </cacheField>
    <cacheField name="TEMPO_PREVISTO_Horas" numFmtId="0">
      <sharedItems containsSemiMixedTypes="0" containsString="0" containsNumber="1" containsInteger="1" minValue="1" maxValue="8"/>
    </cacheField>
    <cacheField name="DS_SAL_CIR" numFmtId="0">
      <sharedItems/>
    </cacheField>
    <cacheField name="DT_REALIZACAO" numFmtId="22">
      <sharedItems containsSemiMixedTypes="0" containsNonDate="0" containsDate="1" containsString="0" minDate="2026-01-01T00:00:00" maxDate="2026-03-31T23:43:00"/>
    </cacheField>
    <cacheField name="DT_INICIO_ANESTESIA" numFmtId="22">
      <sharedItems containsSemiMixedTypes="0" containsNonDate="0" containsDate="1" containsString="0" minDate="2026-01-01T00:10:00" maxDate="2026-03-31T23:50:00"/>
    </cacheField>
    <cacheField name="DT_INICIO_CIRURGIA" numFmtId="22">
      <sharedItems containsSemiMixedTypes="0" containsNonDate="0" containsDate="1" containsString="0" minDate="2026-01-01T00:30:00" maxDate="2026-04-02T00:00:00"/>
    </cacheField>
    <cacheField name="DT_FIM_CIRURGIA" numFmtId="22">
      <sharedItems containsSemiMixedTypes="0" containsNonDate="0" containsDate="1" containsString="0" minDate="2026-01-01T01:20:00" maxDate="2026-04-01T01:00:00"/>
    </cacheField>
    <cacheField name="DT_FIM_ANESTESIA" numFmtId="22">
      <sharedItems containsSemiMixedTypes="0" containsNonDate="0" containsDate="1" containsString="0" minDate="2026-01-01T01:25:00" maxDate="2026-04-01T01:10:00"/>
    </cacheField>
    <cacheField name="DT_SAIDA_SAL_CIR" numFmtId="22">
      <sharedItems containsSemiMixedTypes="0" containsNonDate="0" containsDate="1" containsString="0" minDate="2026-01-01T01:35:00" maxDate="2026-04-01T01:12:00"/>
    </cacheField>
    <cacheField name="TEMPO_DURACAO_Horas" numFmtId="0">
      <sharedItems containsSemiMixedTypes="0" containsString="0" containsNumber="1" minValue="0.08" maxValue="23"/>
    </cacheField>
    <cacheField name="DT_INICIO_LIMPEZA" numFmtId="22">
      <sharedItems containsSemiMixedTypes="0" containsNonDate="0" containsDate="1" containsString="0" minDate="2026-01-01T01:36:00" maxDate="2026-04-01T01:22:00"/>
    </cacheField>
    <cacheField name="Minutos-0" numFmtId="167">
      <sharedItems containsSemiMixedTypes="0" containsNonDate="0" containsDate="1" containsString="0" minDate="1899-12-30T00:05:00" maxDate="1899-12-30T23:00:00"/>
    </cacheField>
    <cacheField name="Horas" numFmtId="0">
      <sharedItems containsSemiMixedTypes="0" containsString="0" containsNumber="1" containsInteger="1" minValue="0" maxValue="23"/>
    </cacheField>
    <cacheField name="Minutos-1" numFmtId="0">
      <sharedItems containsSemiMixedTypes="0" containsString="0" containsNumber="1" containsInteger="1" minValue="0" maxValue="59"/>
    </cacheField>
    <cacheField name="Minutos-2" numFmtId="0">
      <sharedItems containsSemiMixedTypes="0" containsString="0" containsNumber="1" containsInteger="1" minValue="5" maxValue="1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0">
  <r>
    <n v="1"/>
    <s v="CENTRO CIRÚRGICO"/>
    <x v="0"/>
    <n v="46023.020833333336"/>
    <x v="0"/>
    <n v="46023.469259259262"/>
  </r>
  <r>
    <n v="2"/>
    <s v="CENTRO CIRÚRGICO"/>
    <x v="0"/>
    <n v="46023.104930555557"/>
    <x v="1"/>
    <n v="46030.443333333336"/>
  </r>
  <r>
    <n v="3"/>
    <s v="CENTRO CIRÚRGICO"/>
    <x v="0"/>
    <n v="46023.351423611108"/>
    <x v="2"/>
    <n v="46023.517164351855"/>
  </r>
  <r>
    <n v="4"/>
    <s v="CENTRO CIRÚRGICO"/>
    <x v="1"/>
    <n v="46023.375"/>
    <x v="0"/>
    <n v="46023.541666666664"/>
  </r>
  <r>
    <n v="5"/>
    <s v="CENTRO CIRÚRGICO"/>
    <x v="1"/>
    <n v="46023.416666666664"/>
    <x v="0"/>
    <n v="46023.5"/>
  </r>
  <r>
    <n v="6"/>
    <s v="CENTRO CIRÚRGICO"/>
    <x v="0"/>
    <n v="46023.439398148148"/>
    <x v="0"/>
    <n v="46023.669062499997"/>
  </r>
  <r>
    <n v="7"/>
    <s v="CENTRO CIRÚRGICO"/>
    <x v="1"/>
    <n v="46023.451388888891"/>
    <x v="0"/>
    <n v="46023.611111111109"/>
  </r>
  <r>
    <n v="8"/>
    <s v="CENTRO CIRÚRGICO"/>
    <x v="0"/>
    <n v="46023.46875"/>
    <x v="0"/>
    <n v="46023.534722222219"/>
  </r>
  <r>
    <n v="9"/>
    <s v="CENTRO CIRÚRGICO"/>
    <x v="0"/>
    <n v="46023.544074074074"/>
    <x v="0"/>
    <n v="46023.840902777774"/>
  </r>
  <r>
    <n v="10"/>
    <s v="CENTRO CIRÚRGICO"/>
    <x v="1"/>
    <n v="46023.666666666664"/>
    <x v="1"/>
    <n v="46023.722222222219"/>
  </r>
  <r>
    <n v="11"/>
    <s v="CENTRO CIRÚRGICO"/>
    <x v="0"/>
    <n v="46023.676782407405"/>
    <x v="0"/>
    <n v="46023.953425925924"/>
  </r>
  <r>
    <n v="12"/>
    <s v="CENTRO CIRÚRGICO"/>
    <x v="0"/>
    <n v="46024.008287037039"/>
    <x v="0"/>
    <n v="46024.507384259261"/>
  </r>
  <r>
    <n v="13"/>
    <s v="CENTRO CIRÚRGICO"/>
    <x v="1"/>
    <n v="46024.274305555555"/>
    <x v="0"/>
    <n v="46024.291666666664"/>
  </r>
  <r>
    <n v="14"/>
    <s v="CENTRO CIRÚRGICO"/>
    <x v="0"/>
    <n v="46024.286770833336"/>
    <x v="0"/>
    <n v="46024.739027777781"/>
  </r>
  <r>
    <n v="15"/>
    <s v="CENTRO CIRÚRGICO"/>
    <x v="1"/>
    <n v="46024.349305555559"/>
    <x v="0"/>
    <n v="46024.377083333333"/>
  </r>
  <r>
    <n v="16"/>
    <s v="CENTRO CIRÚRGICO"/>
    <x v="1"/>
    <n v="46024.375"/>
    <x v="1"/>
    <n v="46024.491018518522"/>
  </r>
  <r>
    <n v="17"/>
    <s v="CENTRO CIRÚRGICO"/>
    <x v="0"/>
    <n v="46024.413321759261"/>
    <x v="0"/>
    <n v="46025.758611111109"/>
  </r>
  <r>
    <n v="18"/>
    <s v="CENTRO CIRÚRGICO"/>
    <x v="2"/>
    <n v="46024.444444444445"/>
    <x v="3"/>
    <n v="46024.576388888891"/>
  </r>
  <r>
    <n v="19"/>
    <s v="CENTRO CIRÚRGICO"/>
    <x v="1"/>
    <n v="46024.486111111109"/>
    <x v="0"/>
    <n v="46024.513888888891"/>
  </r>
  <r>
    <n v="20"/>
    <s v="CENTRO CIRÚRGICO"/>
    <x v="0"/>
    <n v="46024.520833333336"/>
    <x v="0"/>
    <n v="46024.735763888886"/>
  </r>
  <r>
    <n v="21"/>
    <s v="CENTRO CIRÚRGICO"/>
    <x v="0"/>
    <n v="46024.562164351853"/>
    <x v="1"/>
    <n v="46024.811203703706"/>
  </r>
  <r>
    <n v="22"/>
    <s v="CENTRO CIRÚRGICO"/>
    <x v="0"/>
    <n v="46024.587430555555"/>
    <x v="0"/>
    <n v="46024.921238425923"/>
  </r>
  <r>
    <n v="23"/>
    <s v="CENTRO CIRÚRGICO"/>
    <x v="1"/>
    <n v="46024.607638888891"/>
    <x v="0"/>
    <n v="46024.666666666664"/>
  </r>
  <r>
    <n v="24"/>
    <s v="CENTRO CIRÚRGICO"/>
    <x v="0"/>
    <n v="46024.654849537037"/>
    <x v="0"/>
    <n v="46026.596539351849"/>
  </r>
  <r>
    <n v="25"/>
    <s v="CENTRO CIRÚRGICO"/>
    <x v="0"/>
    <n v="46024.745127314818"/>
    <x v="1"/>
    <n v="46025.077349537038"/>
  </r>
  <r>
    <n v="26"/>
    <s v="CENTRO CIRÚRGICO"/>
    <x v="0"/>
    <n v="46024.82613425926"/>
    <x v="1"/>
    <n v="46025.741701388892"/>
  </r>
  <r>
    <n v="27"/>
    <s v="CENTRO CIRÚRGICO"/>
    <x v="0"/>
    <n v="46024.82613425926"/>
    <x v="1"/>
    <n v="46025.741701388892"/>
  </r>
  <r>
    <n v="28"/>
    <s v="CENTRO CIRÚRGICO"/>
    <x v="0"/>
    <n v="46024.888888888891"/>
    <x v="0"/>
    <n v="46025.402303240742"/>
  </r>
  <r>
    <n v="29"/>
    <s v="CENTRO CIRÚRGICO"/>
    <x v="0"/>
    <n v="46025.009004629632"/>
    <x v="0"/>
    <n v="46025.520775462966"/>
  </r>
  <r>
    <n v="30"/>
    <s v="CENTRO CIRÚRGICO"/>
    <x v="3"/>
    <n v="46025.392361111109"/>
    <x v="1"/>
    <n v="46025.486111111109"/>
  </r>
  <r>
    <n v="31"/>
    <s v="CENTRO CIRÚRGICO"/>
    <x v="0"/>
    <n v="46025.527083333334"/>
    <x v="3"/>
    <n v="46025.600624999999"/>
  </r>
  <r>
    <n v="32"/>
    <s v="CENTRO CIRÚRGICO"/>
    <x v="0"/>
    <n v="46025.651736111111"/>
    <x v="0"/>
    <n v="46027.504027777781"/>
  </r>
  <r>
    <n v="33"/>
    <s v="CENTRO CIRÚRGICO"/>
    <x v="0"/>
    <n v="46025.668622685182"/>
    <x v="0"/>
    <n v="46025.856840277775"/>
  </r>
  <r>
    <n v="34"/>
    <s v="CENTRO CIRÚRGICO"/>
    <x v="2"/>
    <n v="46025.716562499998"/>
    <x v="0"/>
    <n v="46027.58966435185"/>
  </r>
  <r>
    <n v="35"/>
    <s v="CENTRO CIRÚRGICO"/>
    <x v="0"/>
    <n v="46025.76489583333"/>
    <x v="1"/>
    <n v="46025.859803240739"/>
  </r>
  <r>
    <n v="36"/>
    <s v="CENTRO CIRÚRGICO"/>
    <x v="1"/>
    <n v="46025.76666666667"/>
    <x v="0"/>
    <n v="46025.815972222219"/>
  </r>
  <r>
    <n v="37"/>
    <s v="CENTRO CIRÚRGICO"/>
    <x v="0"/>
    <n v="46025.959085648145"/>
    <x v="0"/>
    <n v="46026.680451388886"/>
  </r>
  <r>
    <n v="38"/>
    <s v="CENTRO CIRÚRGICO"/>
    <x v="0"/>
    <n v="46025.971331018518"/>
    <x v="2"/>
    <n v="46027.818576388891"/>
  </r>
  <r>
    <n v="39"/>
    <s v="CENTRO CIRÚRGICO"/>
    <x v="1"/>
    <n v="46026.34648148148"/>
    <x v="0"/>
    <n v="46026.666273148148"/>
  </r>
  <r>
    <n v="40"/>
    <s v="CENTRO CIRÚRGICO"/>
    <x v="0"/>
    <n v="46026.36109953704"/>
    <x v="0"/>
    <n v="46027.646736111114"/>
  </r>
  <r>
    <n v="41"/>
    <s v="CENTRO CIRÚRGICO"/>
    <x v="3"/>
    <n v="46026.409722222219"/>
    <x v="3"/>
    <n v="46026.6875"/>
  </r>
  <r>
    <n v="42"/>
    <s v="CENTRO CIRÚRGICO"/>
    <x v="1"/>
    <n v="46026.524305555555"/>
    <x v="1"/>
    <n v="46026.545138888891"/>
  </r>
  <r>
    <n v="43"/>
    <s v="CENTRO CIRÚRGICO"/>
    <x v="0"/>
    <n v="46026.533668981479"/>
    <x v="2"/>
    <n v="46027.809814814813"/>
  </r>
  <r>
    <n v="44"/>
    <s v="CENTRO CIRÚRGICO"/>
    <x v="0"/>
    <n v="46026.60429398148"/>
    <x v="1"/>
    <n v="46026.743541666663"/>
  </r>
  <r>
    <n v="45"/>
    <s v="CENTRO CIRÚRGICO"/>
    <x v="0"/>
    <n v="46026.747743055559"/>
    <x v="4"/>
    <n v="46026.857361111113"/>
  </r>
  <r>
    <n v="46"/>
    <s v="CENTRO CIRÚRGICO"/>
    <x v="0"/>
    <n v="46026.84716435185"/>
    <x v="1"/>
    <n v="46026.932256944441"/>
  </r>
  <r>
    <n v="47"/>
    <s v="CENTRO CIRÚRGICO"/>
    <x v="0"/>
    <n v="46026.984085648146"/>
    <x v="0"/>
    <n v="46027.632222222222"/>
  </r>
  <r>
    <n v="48"/>
    <s v="CENTRO CIRÚRGICO"/>
    <x v="0"/>
    <n v="46027.038634259261"/>
    <x v="1"/>
    <n v="46027.627164351848"/>
  </r>
  <r>
    <n v="49"/>
    <s v="CENTRO CIRÚRGICO"/>
    <x v="2"/>
    <n v="46027.28125"/>
    <x v="3"/>
    <n v="46027.319444444445"/>
  </r>
  <r>
    <n v="50"/>
    <s v="CENTRO CIRÚRGICO"/>
    <x v="0"/>
    <n v="46027.287256944444"/>
    <x v="0"/>
    <n v="46027.630590277775"/>
  </r>
  <r>
    <n v="51"/>
    <s v="CENTRO CIRÚRGICO"/>
    <x v="1"/>
    <n v="46027.354166666664"/>
    <x v="0"/>
    <n v="46027.472222222219"/>
  </r>
  <r>
    <n v="52"/>
    <s v="CENTRO CIRÚRGICO"/>
    <x v="1"/>
    <n v="46027.375"/>
    <x v="0"/>
    <n v="46027.4375"/>
  </r>
  <r>
    <n v="53"/>
    <s v="CENTRO CIRÚRGICO"/>
    <x v="0"/>
    <n v="46027.399305555555"/>
    <x v="0"/>
    <n v="46027.513888888891"/>
  </r>
  <r>
    <n v="54"/>
    <s v="CENTRO CIRÚRGICO"/>
    <x v="3"/>
    <n v="46027.479166666664"/>
    <x v="3"/>
    <n v="46027.642361111109"/>
  </r>
  <r>
    <n v="55"/>
    <s v="CENTRO CIRÚRGICO"/>
    <x v="0"/>
    <n v="46027.493159722224"/>
    <x v="1"/>
    <n v="46027.84716435185"/>
  </r>
  <r>
    <n v="56"/>
    <s v="CENTRO CIRÚRGICO"/>
    <x v="0"/>
    <n v="46027.514641203707"/>
    <x v="0"/>
    <n v="46027.771041666667"/>
  </r>
  <r>
    <n v="57"/>
    <s v="CENTRO CIRÚRGICO"/>
    <x v="1"/>
    <n v="46027.597222222219"/>
    <x v="0"/>
    <n v="46027.708333333336"/>
  </r>
  <r>
    <n v="58"/>
    <s v="CENTRO CIRÚRGICO"/>
    <x v="1"/>
    <n v="46027.659722222219"/>
    <x v="0"/>
    <n v="46027.694444444445"/>
  </r>
  <r>
    <n v="59"/>
    <s v="CENTRO CIRÚRGICO"/>
    <x v="1"/>
    <n v="46027.715277777781"/>
    <x v="1"/>
    <n v="46027.875"/>
  </r>
  <r>
    <n v="60"/>
    <s v="CENTRO CIRÚRGICO"/>
    <x v="0"/>
    <n v="46027.719409722224"/>
    <x v="2"/>
    <n v="46028.410486111112"/>
  </r>
  <r>
    <n v="61"/>
    <s v="CENTRO CIRÚRGICO"/>
    <x v="0"/>
    <n v="46027.894525462965"/>
    <x v="0"/>
    <n v="46028.618587962963"/>
  </r>
  <r>
    <n v="62"/>
    <s v="CENTRO CIRÚRGICO"/>
    <x v="0"/>
    <n v="46027.959456018521"/>
    <x v="0"/>
    <n v="46028.135127314818"/>
  </r>
  <r>
    <n v="63"/>
    <s v="CENTRO CIRÚRGICO"/>
    <x v="0"/>
    <n v="46028.011608796296"/>
    <x v="1"/>
    <n v="46028.567372685182"/>
  </r>
  <r>
    <n v="64"/>
    <s v="CENTRO CIRÚRGICO"/>
    <x v="1"/>
    <n v="46028.333333333336"/>
    <x v="0"/>
    <n v="46028.340277777781"/>
  </r>
  <r>
    <n v="65"/>
    <s v="CENTRO CIRÚRGICO"/>
    <x v="0"/>
    <n v="46028.340497685182"/>
    <x v="0"/>
    <n v="46028.604548611111"/>
  </r>
  <r>
    <n v="66"/>
    <s v="CENTRO CIRÚRGICO"/>
    <x v="2"/>
    <n v="46028.361111111109"/>
    <x v="3"/>
    <n v="46028.425694444442"/>
  </r>
  <r>
    <n v="67"/>
    <s v="CENTRO CIRÚRGICO"/>
    <x v="3"/>
    <n v="46028.368055555555"/>
    <x v="3"/>
    <n v="46028.458333333336"/>
  </r>
  <r>
    <n v="68"/>
    <s v="CENTRO CIRÚRGICO"/>
    <x v="1"/>
    <n v="46028.378472222219"/>
    <x v="0"/>
    <n v="46028.431250000001"/>
  </r>
  <r>
    <n v="69"/>
    <s v="CENTRO CIRÚRGICO"/>
    <x v="0"/>
    <n v="46028.459247685183"/>
    <x v="0"/>
    <n v="46028.770300925928"/>
  </r>
  <r>
    <n v="70"/>
    <s v="CENTRO CIRÚRGICO"/>
    <x v="2"/>
    <n v="46028.480555555558"/>
    <x v="1"/>
    <n v="46028.541666666664"/>
  </r>
  <r>
    <n v="71"/>
    <s v="CENTRO CIRÚRGICO"/>
    <x v="1"/>
    <n v="46028.53125"/>
    <x v="0"/>
    <n v="46028.670138888891"/>
  </r>
  <r>
    <n v="72"/>
    <s v="CENTRO CIRÚRGICO"/>
    <x v="0"/>
    <n v="46028.570856481485"/>
    <x v="0"/>
    <n v="46028.86613425926"/>
  </r>
  <r>
    <n v="73"/>
    <s v="CENTRO CIRÚRGICO"/>
    <x v="3"/>
    <n v="46028.590277777781"/>
    <x v="0"/>
    <n v="46028.732638888891"/>
  </r>
  <r>
    <n v="74"/>
    <s v="CENTRO CIRÚRGICO"/>
    <x v="1"/>
    <n v="46028.642361111109"/>
    <x v="0"/>
    <n v="46028.666666666664"/>
  </r>
  <r>
    <n v="75"/>
    <s v="CENTRO CIRÚRGICO"/>
    <x v="0"/>
    <n v="46028.686666666668"/>
    <x v="0"/>
    <n v="46029.668310185189"/>
  </r>
  <r>
    <n v="76"/>
    <s v="CENTRO CIRÚRGICO"/>
    <x v="1"/>
    <n v="46028.725694444445"/>
    <x v="0"/>
    <n v="46028.805555555555"/>
  </r>
  <r>
    <n v="77"/>
    <s v="CENTRO CIRÚRGICO"/>
    <x v="0"/>
    <n v="46029.026099537034"/>
    <x v="0"/>
    <n v="46029.767835648148"/>
  </r>
  <r>
    <n v="78"/>
    <s v="CENTRO CIRÚRGICO"/>
    <x v="0"/>
    <n v="46029.031793981485"/>
    <x v="0"/>
    <n v="46029.770960648151"/>
  </r>
  <r>
    <n v="79"/>
    <s v="CENTRO CIRÚRGICO"/>
    <x v="0"/>
    <n v="46029.060150462959"/>
    <x v="0"/>
    <n v="46030.647615740738"/>
  </r>
  <r>
    <n v="80"/>
    <s v="CENTRO CIRÚRGICO"/>
    <x v="1"/>
    <n v="46029.277777777781"/>
    <x v="0"/>
    <n v="46029.326388888891"/>
  </r>
  <r>
    <n v="81"/>
    <s v="CENTRO CIRÚRGICO"/>
    <x v="2"/>
    <n v="46029.280706018515"/>
    <x v="0"/>
    <n v="46029.769895833335"/>
  </r>
  <r>
    <n v="82"/>
    <s v="CENTRO CIRÚRGICO"/>
    <x v="1"/>
    <n v="46029.347222222219"/>
    <x v="0"/>
    <n v="46029.423611111109"/>
  </r>
  <r>
    <n v="83"/>
    <s v="CENTRO CIRÚRGICO"/>
    <x v="1"/>
    <n v="46029.354166666664"/>
    <x v="0"/>
    <n v="46029.416666666664"/>
  </r>
  <r>
    <n v="84"/>
    <s v="CENTRO CIRÚRGICO"/>
    <x v="1"/>
    <n v="46029.354166666664"/>
    <x v="0"/>
    <n v="46029.461805555555"/>
  </r>
  <r>
    <n v="85"/>
    <s v="CENTRO CIRÚRGICO"/>
    <x v="0"/>
    <n v="46029.436377314814"/>
    <x v="1"/>
    <n v="46029.622453703705"/>
  </r>
  <r>
    <n v="86"/>
    <s v="CENTRO CIRÚRGICO"/>
    <x v="0"/>
    <n v="46029.476770833331"/>
    <x v="0"/>
    <n v="46029.669027777774"/>
  </r>
  <r>
    <n v="87"/>
    <s v="CENTRO CIRÚRGICO"/>
    <x v="1"/>
    <n v="46029.486111111109"/>
    <x v="0"/>
    <n v="46029.510416666664"/>
  </r>
  <r>
    <n v="88"/>
    <s v="CENTRO CIRÚRGICO"/>
    <x v="0"/>
    <n v="46029.502175925925"/>
    <x v="2"/>
    <n v="46030.495520833334"/>
  </r>
  <r>
    <n v="89"/>
    <s v="CENTRO CIRÚRGICO"/>
    <x v="1"/>
    <n v="46029.531759259262"/>
    <x v="0"/>
    <n v="46030.617673611108"/>
  </r>
  <r>
    <n v="90"/>
    <s v="CENTRO CIRÚRGICO"/>
    <x v="2"/>
    <n v="46029.586805555555"/>
    <x v="3"/>
    <n v="46029.621527777781"/>
  </r>
  <r>
    <n v="91"/>
    <s v="CENTRO CIRÚRGICO"/>
    <x v="0"/>
    <n v="46029.616851851853"/>
    <x v="0"/>
    <n v="46029.968101851853"/>
  </r>
  <r>
    <n v="92"/>
    <s v="CENTRO CIRÚRGICO"/>
    <x v="1"/>
    <n v="46029.676458333335"/>
    <x v="0"/>
    <n v="46030.689270833333"/>
  </r>
  <r>
    <n v="93"/>
    <s v="CENTRO CIRÚRGICO"/>
    <x v="1"/>
    <n v="46029.680555555555"/>
    <x v="0"/>
    <n v="46029.729166666664"/>
  </r>
  <r>
    <n v="94"/>
    <s v="CENTRO CIRÚRGICO"/>
    <x v="1"/>
    <n v="46029.767361111109"/>
    <x v="0"/>
    <n v="46029.791666666664"/>
  </r>
  <r>
    <n v="95"/>
    <s v="CENTRO CIRÚRGICO"/>
    <x v="0"/>
    <n v="46029.845706018517"/>
    <x v="5"/>
    <n v="46031.471493055556"/>
  </r>
  <r>
    <n v="96"/>
    <s v="CENTRO CIRÚRGICO"/>
    <x v="2"/>
    <n v="46030.277777777781"/>
    <x v="3"/>
    <n v="46030.298611111109"/>
  </r>
  <r>
    <n v="97"/>
    <s v="CENTRO CIRÚRGICO"/>
    <x v="0"/>
    <n v="46030.300543981481"/>
    <x v="2"/>
    <n v="46030.361250000002"/>
  </r>
  <r>
    <n v="98"/>
    <s v="CENTRO CIRÚRGICO"/>
    <x v="2"/>
    <n v="46030.340277777781"/>
    <x v="3"/>
    <n v="46030.388888888891"/>
  </r>
  <r>
    <n v="99"/>
    <s v="CENTRO CIRÚRGICO"/>
    <x v="0"/>
    <n v="46030.350682870368"/>
    <x v="0"/>
    <n v="46030.552303240744"/>
  </r>
  <r>
    <n v="100"/>
    <s v="CENTRO CIRÚRGICO"/>
    <x v="1"/>
    <n v="46030.350694444445"/>
    <x v="0"/>
    <n v="46030.4375"/>
  </r>
  <r>
    <n v="101"/>
    <s v="CENTRO CIRÚRGICO"/>
    <x v="1"/>
    <n v="46030.368055555555"/>
    <x v="0"/>
    <n v="46030.482638888891"/>
  </r>
  <r>
    <n v="102"/>
    <s v="CENTRO CIRÚRGICO"/>
    <x v="0"/>
    <n v="46030.422337962962"/>
    <x v="0"/>
    <n v="46031.405995370369"/>
  </r>
  <r>
    <n v="103"/>
    <s v="CENTRO CIRÚRGICO"/>
    <x v="2"/>
    <n v="46030.4375"/>
    <x v="3"/>
    <n v="46030.5"/>
  </r>
  <r>
    <n v="104"/>
    <s v="CENTRO CIRÚRGICO"/>
    <x v="1"/>
    <n v="46030.5"/>
    <x v="0"/>
    <n v="46030.555555555555"/>
  </r>
  <r>
    <n v="105"/>
    <s v="CENTRO CIRÚRGICO"/>
    <x v="0"/>
    <n v="46030.519733796296"/>
    <x v="0"/>
    <n v="46031.708692129629"/>
  </r>
  <r>
    <n v="106"/>
    <s v="CENTRO CIRÚRGICO"/>
    <x v="0"/>
    <n v="46030.610555555555"/>
    <x v="3"/>
    <n v="46031.66369212963"/>
  </r>
  <r>
    <n v="107"/>
    <s v="CENTRO CIRÚRGICO"/>
    <x v="0"/>
    <n v="46030.612372685187"/>
    <x v="0"/>
    <n v="46031.827685185184"/>
  </r>
  <r>
    <n v="108"/>
    <s v="CENTRO CIRÚRGICO"/>
    <x v="1"/>
    <n v="46030.684027777781"/>
    <x v="0"/>
    <n v="46030.8"/>
  </r>
  <r>
    <n v="109"/>
    <s v="CENTRO CIRÚRGICO"/>
    <x v="1"/>
    <n v="46030.738194444442"/>
    <x v="0"/>
    <n v="46030.763888888891"/>
  </r>
  <r>
    <n v="110"/>
    <s v="CENTRO CIRÚRGICO"/>
    <x v="0"/>
    <n v="46030.880347222221"/>
    <x v="0"/>
    <n v="46031.859270833331"/>
  </r>
  <r>
    <n v="111"/>
    <s v="CENTRO CIRÚRGICO"/>
    <x v="0"/>
    <n v="46031.285208333335"/>
    <x v="1"/>
    <n v="46031.7497337963"/>
  </r>
  <r>
    <n v="112"/>
    <s v="CENTRO CIRÚRGICO"/>
    <x v="0"/>
    <n v="46031.312048611115"/>
    <x v="1"/>
    <n v="46031.492789351854"/>
  </r>
  <r>
    <n v="113"/>
    <s v="CENTRO CIRÚRGICO"/>
    <x v="1"/>
    <n v="46031.354166666664"/>
    <x v="0"/>
    <n v="46031.458333333336"/>
  </r>
  <r>
    <n v="114"/>
    <s v="CENTRO CIRÚRGICO"/>
    <x v="3"/>
    <n v="46031.395138888889"/>
    <x v="0"/>
    <n v="46031.472222222219"/>
  </r>
  <r>
    <n v="115"/>
    <s v="CENTRO CIRÚRGICO"/>
    <x v="3"/>
    <n v="46031.402777777781"/>
    <x v="0"/>
    <n v="46031.513888888891"/>
  </r>
  <r>
    <n v="116"/>
    <s v="CENTRO CIRÚRGICO"/>
    <x v="0"/>
    <n v="46031.502465277779"/>
    <x v="0"/>
    <n v="46031.847569444442"/>
  </r>
  <r>
    <n v="117"/>
    <s v="CENTRO CIRÚRGICO"/>
    <x v="1"/>
    <n v="46031.530555555553"/>
    <x v="0"/>
    <n v="46031.62222222222"/>
  </r>
  <r>
    <n v="118"/>
    <s v="CENTRO CIRÚRGICO"/>
    <x v="0"/>
    <n v="46031.552083333336"/>
    <x v="0"/>
    <n v="46031.576388888891"/>
  </r>
  <r>
    <n v="119"/>
    <s v="CENTRO CIRÚRGICO"/>
    <x v="0"/>
    <n v="46031.625636574077"/>
    <x v="0"/>
    <n v="46031.855428240742"/>
  </r>
  <r>
    <n v="120"/>
    <s v="CENTRO CIRÚRGICO"/>
    <x v="1"/>
    <n v="46031.666666666664"/>
    <x v="0"/>
    <n v="46031.763888888891"/>
  </r>
  <r>
    <n v="121"/>
    <s v="CENTRO CIRÚRGICO"/>
    <x v="1"/>
    <n v="46031.690972222219"/>
    <x v="0"/>
    <n v="46033.591736111113"/>
  </r>
  <r>
    <n v="122"/>
    <s v="CENTRO CIRÚRGICO"/>
    <x v="1"/>
    <n v="46031.711805555555"/>
    <x v="0"/>
    <n v="46031.743055555555"/>
  </r>
  <r>
    <n v="123"/>
    <s v="CENTRO CIRÚRGICO"/>
    <x v="0"/>
    <n v="46031.7340625"/>
    <x v="0"/>
    <n v="46031.936782407407"/>
  </r>
  <r>
    <n v="124"/>
    <s v="CENTRO CIRÚRGICO"/>
    <x v="0"/>
    <n v="46031.764641203707"/>
    <x v="0"/>
    <n v="46035.501400462963"/>
  </r>
  <r>
    <n v="125"/>
    <s v="CENTRO CIRÚRGICO"/>
    <x v="0"/>
    <n v="46031.889664351853"/>
    <x v="0"/>
    <n v="46032.760937500003"/>
  </r>
  <r>
    <n v="126"/>
    <s v="CENTRO CIRÚRGICO"/>
    <x v="0"/>
    <n v="46031.991840277777"/>
    <x v="0"/>
    <n v="46033.088750000003"/>
  </r>
  <r>
    <n v="127"/>
    <s v="CENTRO CIRÚRGICO"/>
    <x v="0"/>
    <n v="46031.991840277777"/>
    <x v="0"/>
    <n v="46033.088750000003"/>
  </r>
  <r>
    <n v="128"/>
    <s v="CENTRO CIRÚRGICO"/>
    <x v="0"/>
    <n v="46032.4140162037"/>
    <x v="0"/>
    <n v="46033.669976851852"/>
  </r>
  <r>
    <n v="129"/>
    <s v="CENTRO CIRÚRGICO"/>
    <x v="0"/>
    <n v="46032.449467592596"/>
    <x v="0"/>
    <n v="46032.658229166664"/>
  </r>
  <r>
    <n v="130"/>
    <s v="CENTRO CIRÚRGICO"/>
    <x v="0"/>
    <n v="46032.45244212963"/>
    <x v="0"/>
    <n v="46032.661111111112"/>
  </r>
  <r>
    <n v="131"/>
    <s v="CENTRO CIRÚRGICO"/>
    <x v="1"/>
    <n v="46032.590277777781"/>
    <x v="0"/>
    <n v="46032.621527777781"/>
  </r>
  <r>
    <n v="132"/>
    <s v="CENTRO CIRÚRGICO"/>
    <x v="0"/>
    <n v="46032.668657407405"/>
    <x v="3"/>
    <n v="46042.700254629628"/>
  </r>
  <r>
    <n v="133"/>
    <s v="CENTRO CIRÚRGICO"/>
    <x v="0"/>
    <n v="46032.699166666665"/>
    <x v="0"/>
    <n v="46033.347118055557"/>
  </r>
  <r>
    <n v="134"/>
    <s v="CENTRO CIRÚRGICO"/>
    <x v="1"/>
    <n v="46032.786805555559"/>
    <x v="0"/>
    <n v="46032.795138888891"/>
  </r>
  <r>
    <n v="135"/>
    <s v="CENTRO CIRÚRGICO"/>
    <x v="0"/>
    <n v="46032.84778935185"/>
    <x v="0"/>
    <n v="46033.455011574071"/>
  </r>
  <r>
    <n v="136"/>
    <s v="CENTRO CIRÚRGICO"/>
    <x v="2"/>
    <n v="46033.407557870371"/>
    <x v="0"/>
    <n v="46034.674375000002"/>
  </r>
  <r>
    <n v="137"/>
    <s v="CENTRO CIRÚRGICO"/>
    <x v="0"/>
    <n v="46033.452719907407"/>
    <x v="0"/>
    <n v="46033.677905092591"/>
  </r>
  <r>
    <n v="138"/>
    <s v="CENTRO CIRÚRGICO"/>
    <x v="0"/>
    <n v="46033.453402777777"/>
    <x v="0"/>
    <n v="46033.641828703701"/>
  </r>
  <r>
    <n v="139"/>
    <s v="CENTRO CIRÚRGICO"/>
    <x v="0"/>
    <n v="46033.602847222224"/>
    <x v="1"/>
    <n v="46033.898611111108"/>
  </r>
  <r>
    <n v="140"/>
    <s v="CENTRO CIRÚRGICO"/>
    <x v="0"/>
    <n v="46033.707916666666"/>
    <x v="0"/>
    <n v="46036.107256944444"/>
  </r>
  <r>
    <n v="141"/>
    <s v="CENTRO CIRÚRGICO"/>
    <x v="0"/>
    <n v="46033.876898148148"/>
    <x v="0"/>
    <n v="46034.070509259262"/>
  </r>
  <r>
    <n v="142"/>
    <s v="CENTRO CIRÚRGICO"/>
    <x v="0"/>
    <n v="46033.889872685184"/>
    <x v="0"/>
    <n v="46034.877870370372"/>
  </r>
  <r>
    <n v="143"/>
    <s v="CENTRO CIRÚRGICO"/>
    <x v="0"/>
    <n v="46033.934467592589"/>
    <x v="0"/>
    <n v="46034.687314814815"/>
  </r>
  <r>
    <n v="144"/>
    <s v="CENTRO CIRÚRGICO"/>
    <x v="0"/>
    <n v="46033.963148148148"/>
    <x v="0"/>
    <n v="46034.855624999997"/>
  </r>
  <r>
    <n v="145"/>
    <s v="CENTRO CIRÚRGICO"/>
    <x v="0"/>
    <n v="46033.996817129628"/>
    <x v="1"/>
    <n v="46034.18546296296"/>
  </r>
  <r>
    <n v="146"/>
    <s v="CENTRO CIRÚRGICO"/>
    <x v="0"/>
    <n v="46034.073553240742"/>
    <x v="0"/>
    <n v="46035.682442129626"/>
  </r>
  <r>
    <n v="147"/>
    <s v="CENTRO CIRÚRGICO"/>
    <x v="0"/>
    <n v="46034.336400462962"/>
    <x v="2"/>
    <n v="46034.551608796297"/>
  </r>
  <r>
    <n v="148"/>
    <s v="CENTRO CIRÚRGICO"/>
    <x v="0"/>
    <n v="46034.336585648147"/>
    <x v="2"/>
    <n v="46036.775995370372"/>
  </r>
  <r>
    <n v="149"/>
    <s v="CENTRO CIRÚRGICO"/>
    <x v="1"/>
    <n v="46034.34375"/>
    <x v="0"/>
    <n v="46034.378472222219"/>
  </r>
  <r>
    <n v="150"/>
    <s v="CENTRO CIRÚRGICO"/>
    <x v="1"/>
    <n v="46034.357638888891"/>
    <x v="0"/>
    <n v="46034.430555555555"/>
  </r>
  <r>
    <n v="151"/>
    <s v="CENTRO CIRÚRGICO"/>
    <x v="0"/>
    <n v="46034.363761574074"/>
    <x v="2"/>
    <n v="46034.435185185182"/>
  </r>
  <r>
    <n v="152"/>
    <s v="CENTRO CIRÚRGICO"/>
    <x v="1"/>
    <n v="46034.388888888891"/>
    <x v="0"/>
    <n v="46034.444444444445"/>
  </r>
  <r>
    <n v="153"/>
    <s v="CENTRO CIRÚRGICO"/>
    <x v="1"/>
    <n v="46034.434027777781"/>
    <x v="0"/>
    <n v="46034.493055555555"/>
  </r>
  <r>
    <n v="154"/>
    <s v="CENTRO CIRÚRGICO"/>
    <x v="0"/>
    <n v="46034.471203703702"/>
    <x v="0"/>
    <n v="46034.737245370372"/>
  </r>
  <r>
    <n v="155"/>
    <s v="CENTRO CIRÚRGICO"/>
    <x v="2"/>
    <n v="46034.5"/>
    <x v="1"/>
    <n v="46034.545138888891"/>
  </r>
  <r>
    <n v="156"/>
    <s v="CENTRO CIRÚRGICO"/>
    <x v="2"/>
    <n v="46034.517361111109"/>
    <x v="3"/>
    <n v="46034.53125"/>
  </r>
  <r>
    <n v="157"/>
    <s v="CENTRO CIRÚRGICO"/>
    <x v="0"/>
    <n v="46034.591689814813"/>
    <x v="1"/>
    <n v="46034.859131944446"/>
  </r>
  <r>
    <n v="158"/>
    <s v="CENTRO CIRÚRGICO"/>
    <x v="2"/>
    <n v="46034.715277777781"/>
    <x v="3"/>
    <n v="46034.732638888891"/>
  </r>
  <r>
    <n v="159"/>
    <s v="CENTRO CIRÚRGICO"/>
    <x v="0"/>
    <n v="46034.986111111109"/>
    <x v="0"/>
    <n v="46037.545057870368"/>
  </r>
  <r>
    <n v="160"/>
    <s v="CENTRO CIRÚRGICO"/>
    <x v="1"/>
    <n v="46035.270833333336"/>
    <x v="0"/>
    <n v="46035.288194444445"/>
  </r>
  <r>
    <n v="161"/>
    <s v="CENTRO CIRÚRGICO"/>
    <x v="1"/>
    <n v="46035.319444444445"/>
    <x v="0"/>
    <n v="46035.364583333336"/>
  </r>
  <r>
    <n v="162"/>
    <s v="CENTRO CIRÚRGICO"/>
    <x v="2"/>
    <n v="46035.333333333336"/>
    <x v="3"/>
    <n v="46035.34375"/>
  </r>
  <r>
    <n v="163"/>
    <s v="CENTRO CIRÚRGICO"/>
    <x v="0"/>
    <n v="46035.333333333336"/>
    <x v="2"/>
    <n v="46035.642199074071"/>
  </r>
  <r>
    <n v="164"/>
    <s v="CENTRO CIRÚRGICO"/>
    <x v="2"/>
    <n v="46035.357638888891"/>
    <x v="3"/>
    <n v="46035.385416666664"/>
  </r>
  <r>
    <n v="165"/>
    <s v="CENTRO CIRÚRGICO"/>
    <x v="1"/>
    <n v="46035.361111111109"/>
    <x v="0"/>
    <n v="46035.46875"/>
  </r>
  <r>
    <n v="166"/>
    <s v="CENTRO CIRÚRGICO"/>
    <x v="0"/>
    <n v="46035.368518518517"/>
    <x v="2"/>
    <n v="46035.428726851853"/>
  </r>
  <r>
    <n v="167"/>
    <s v="CENTRO CIRÚRGICO"/>
    <x v="0"/>
    <n v="46035.369016203702"/>
    <x v="0"/>
    <n v="46037.647731481484"/>
  </r>
  <r>
    <n v="168"/>
    <s v="CENTRO CIRÚRGICO"/>
    <x v="0"/>
    <n v="46035.424039351848"/>
    <x v="2"/>
    <n v="46035.644062500003"/>
  </r>
  <r>
    <n v="169"/>
    <s v="CENTRO CIRÚRGICO"/>
    <x v="1"/>
    <n v="46035.430555555555"/>
    <x v="0"/>
    <n v="46035.493055555555"/>
  </r>
  <r>
    <n v="170"/>
    <s v="CENTRO CIRÚRGICO"/>
    <x v="1"/>
    <n v="46035.458333333336"/>
    <x v="0"/>
    <n v="46035.486111111109"/>
  </r>
  <r>
    <n v="171"/>
    <s v="CENTRO CIRÚRGICO"/>
    <x v="3"/>
    <n v="46035.472222222219"/>
    <x v="3"/>
    <n v="46035.621527777781"/>
  </r>
  <r>
    <n v="172"/>
    <s v="CENTRO CIRÚRGICO"/>
    <x v="2"/>
    <n v="46035.472222222219"/>
    <x v="3"/>
    <n v="46035.621527777781"/>
  </r>
  <r>
    <n v="173"/>
    <s v="CENTRO CIRÚRGICO"/>
    <x v="3"/>
    <n v="46035.472222222219"/>
    <x v="3"/>
    <n v="46057.419988425929"/>
  </r>
  <r>
    <n v="174"/>
    <s v="CENTRO CIRÚRGICO"/>
    <x v="2"/>
    <n v="46035.472222222219"/>
    <x v="3"/>
    <n v="46044.57135416667"/>
  </r>
  <r>
    <n v="175"/>
    <s v="CENTRO CIRÚRGICO"/>
    <x v="2"/>
    <n v="46035.538194444445"/>
    <x v="3"/>
    <n v="46035.625"/>
  </r>
  <r>
    <n v="176"/>
    <s v="CENTRO CIRÚRGICO"/>
    <x v="2"/>
    <n v="46035.576388888891"/>
    <x v="3"/>
    <n v="46035.604166666664"/>
  </r>
  <r>
    <n v="177"/>
    <s v="CENTRO CIRÚRGICO"/>
    <x v="0"/>
    <n v="46035.584675925929"/>
    <x v="0"/>
    <n v="46051.689270833333"/>
  </r>
  <r>
    <n v="178"/>
    <s v="CENTRO CIRÚRGICO"/>
    <x v="1"/>
    <n v="46035.604166666664"/>
    <x v="0"/>
    <n v="46037.946504629632"/>
  </r>
  <r>
    <n v="179"/>
    <s v="CENTRO CIRÚRGICO"/>
    <x v="0"/>
    <n v="46035.67119212963"/>
    <x v="0"/>
    <n v="46036.016828703701"/>
  </r>
  <r>
    <n v="180"/>
    <s v="CENTRO CIRÚRGICO"/>
    <x v="1"/>
    <n v="46035.680555555555"/>
    <x v="3"/>
    <n v="46035.708333333336"/>
  </r>
  <r>
    <n v="181"/>
    <s v="CENTRO CIRÚRGICO"/>
    <x v="1"/>
    <n v="46035.680555555555"/>
    <x v="3"/>
    <n v="46035.695833333331"/>
  </r>
  <r>
    <n v="182"/>
    <s v="CENTRO CIRÚRGICO"/>
    <x v="0"/>
    <n v="46035.684432870374"/>
    <x v="0"/>
    <n v="46035.945671296293"/>
  </r>
  <r>
    <n v="183"/>
    <s v="CENTRO CIRÚRGICO"/>
    <x v="0"/>
    <n v="46035.835949074077"/>
    <x v="0"/>
    <n v="46036.534131944441"/>
  </r>
  <r>
    <n v="184"/>
    <s v="CENTRO CIRÚRGICO"/>
    <x v="0"/>
    <n v="46035.956087962964"/>
    <x v="2"/>
    <n v="46036.459872685184"/>
  </r>
  <r>
    <n v="185"/>
    <s v="CENTRO CIRÚRGICO"/>
    <x v="0"/>
    <n v="46035.959918981483"/>
    <x v="0"/>
    <n v="46036.331990740742"/>
  </r>
  <r>
    <n v="186"/>
    <s v="CENTRO CIRÚRGICO"/>
    <x v="0"/>
    <n v="46036.274837962963"/>
    <x v="0"/>
    <n v="46036.715902777774"/>
  </r>
  <r>
    <n v="187"/>
    <s v="CENTRO CIRÚRGICO"/>
    <x v="1"/>
    <n v="46036.277777777781"/>
    <x v="0"/>
    <n v="46036.344444444447"/>
  </r>
  <r>
    <n v="188"/>
    <s v="CENTRO CIRÚRGICO"/>
    <x v="0"/>
    <n v="46036.320196759261"/>
    <x v="0"/>
    <n v="46036.549884259257"/>
  </r>
  <r>
    <n v="189"/>
    <s v="CENTRO CIRÚRGICO"/>
    <x v="1"/>
    <n v="46036.340277777781"/>
    <x v="0"/>
    <n v="46036.409722222219"/>
  </r>
  <r>
    <n v="190"/>
    <s v="CENTRO CIRÚRGICO"/>
    <x v="1"/>
    <n v="46036.350694444445"/>
    <x v="0"/>
    <n v="46036.5"/>
  </r>
  <r>
    <n v="191"/>
    <s v="CENTRO CIRÚRGICO"/>
    <x v="0"/>
    <n v="46036.401655092595"/>
    <x v="1"/>
    <n v="46036.621481481481"/>
  </r>
  <r>
    <n v="192"/>
    <s v="CENTRO CIRÚRGICO"/>
    <x v="4"/>
    <n v="46036.440960648149"/>
    <x v="0"/>
    <n v="46036.726712962962"/>
  </r>
  <r>
    <n v="193"/>
    <s v="CENTRO CIRÚRGICO"/>
    <x v="2"/>
    <n v="46036.479166666664"/>
    <x v="3"/>
    <n v="46036.5"/>
  </r>
  <r>
    <n v="194"/>
    <s v="CENTRO CIRÚRGICO"/>
    <x v="0"/>
    <n v="46036.48710648148"/>
    <x v="0"/>
    <n v="46036.898101851853"/>
  </r>
  <r>
    <n v="195"/>
    <s v="CENTRO CIRÚRGICO"/>
    <x v="1"/>
    <n v="46036.548611111109"/>
    <x v="0"/>
    <n v="46036.590277777781"/>
  </r>
  <r>
    <n v="196"/>
    <s v="CENTRO CIRÚRGICO"/>
    <x v="1"/>
    <n v="46036.579861111109"/>
    <x v="0"/>
    <n v="46036.629861111112"/>
  </r>
  <r>
    <n v="197"/>
    <s v="CENTRO CIRÚRGICO"/>
    <x v="2"/>
    <n v="46036.65625"/>
    <x v="3"/>
    <n v="46036.763888888891"/>
  </r>
  <r>
    <n v="198"/>
    <s v="CENTRO CIRÚRGICO"/>
    <x v="0"/>
    <n v="46036.6641087963"/>
    <x v="0"/>
    <n v="46036.914502314816"/>
  </r>
  <r>
    <n v="199"/>
    <s v="CENTRO CIRÚRGICO"/>
    <x v="0"/>
    <n v="46036.665162037039"/>
    <x v="0"/>
    <n v="46037.05228009259"/>
  </r>
  <r>
    <n v="200"/>
    <s v="CENTRO CIRÚRGICO"/>
    <x v="2"/>
    <n v="46036.75"/>
    <x v="3"/>
    <n v="46036.779166666667"/>
  </r>
  <r>
    <n v="201"/>
    <s v="CENTRO CIRÚRGICO"/>
    <x v="1"/>
    <n v="46036.774305555555"/>
    <x v="0"/>
    <n v="46036.819444444445"/>
  </r>
  <r>
    <n v="202"/>
    <s v="CENTRO CIRÚRGICO"/>
    <x v="1"/>
    <n v="46037.333333333336"/>
    <x v="0"/>
    <n v="46037.387499999997"/>
  </r>
  <r>
    <n v="203"/>
    <s v="CENTRO CIRÚRGICO"/>
    <x v="1"/>
    <n v="46037.336805555555"/>
    <x v="0"/>
    <n v="46037.364583333336"/>
  </r>
  <r>
    <n v="204"/>
    <s v="CENTRO CIRÚRGICO"/>
    <x v="1"/>
    <n v="46037.354166666664"/>
    <x v="0"/>
    <n v="46037.461805555555"/>
  </r>
  <r>
    <n v="205"/>
    <s v="CENTRO CIRÚRGICO"/>
    <x v="1"/>
    <n v="46037.375"/>
    <x v="0"/>
    <n v="46037.556944444441"/>
  </r>
  <r>
    <n v="206"/>
    <s v="CENTRO CIRÚRGICO"/>
    <x v="2"/>
    <n v="46037.375"/>
    <x v="1"/>
    <n v="46037.482638888891"/>
  </r>
  <r>
    <n v="207"/>
    <s v="CENTRO CIRÚRGICO"/>
    <x v="0"/>
    <n v="46037.430555555555"/>
    <x v="0"/>
    <n v="46037.836168981485"/>
  </r>
  <r>
    <n v="208"/>
    <s v="CENTRO CIRÚRGICO"/>
    <x v="3"/>
    <n v="46037.447916666664"/>
    <x v="0"/>
    <n v="46037.5"/>
  </r>
  <r>
    <n v="209"/>
    <s v="CENTRO CIRÚRGICO"/>
    <x v="0"/>
    <n v="46037.483483796299"/>
    <x v="0"/>
    <n v="46037.836863425924"/>
  </r>
  <r>
    <n v="210"/>
    <s v="CENTRO CIRÚRGICO"/>
    <x v="0"/>
    <n v="46037.493564814817"/>
    <x v="0"/>
    <n v="46038.699976851851"/>
  </r>
  <r>
    <n v="211"/>
    <s v="CENTRO CIRÚRGICO"/>
    <x v="0"/>
    <n v="46037.582303240742"/>
    <x v="0"/>
    <n v="46038.662222222221"/>
  </r>
  <r>
    <n v="212"/>
    <s v="CENTRO CIRÚRGICO"/>
    <x v="1"/>
    <n v="46037.583333333336"/>
    <x v="0"/>
    <n v="46037.666666666664"/>
  </r>
  <r>
    <n v="213"/>
    <s v="CENTRO CIRÚRGICO"/>
    <x v="0"/>
    <n v="46037.592106481483"/>
    <x v="2"/>
    <n v="46038.448645833334"/>
  </r>
  <r>
    <n v="214"/>
    <s v="CENTRO CIRÚRGICO"/>
    <x v="1"/>
    <n v="46037.649305555555"/>
    <x v="0"/>
    <n v="46037.715277777781"/>
  </r>
  <r>
    <n v="215"/>
    <s v="CENTRO CIRÚRGICO"/>
    <x v="0"/>
    <n v="46037.655798611115"/>
    <x v="0"/>
    <n v="46037.764826388891"/>
  </r>
  <r>
    <n v="216"/>
    <s v="CENTRO CIRÚRGICO"/>
    <x v="1"/>
    <n v="46037.722222222219"/>
    <x v="0"/>
    <n v="46037.834027777775"/>
  </r>
  <r>
    <n v="217"/>
    <s v="CENTRO CIRÚRGICO"/>
    <x v="0"/>
    <n v="46037.739259259259"/>
    <x v="0"/>
    <n v="46037.842534722222"/>
  </r>
  <r>
    <n v="218"/>
    <s v="CENTRO CIRÚRGICO"/>
    <x v="1"/>
    <n v="46037.743055555555"/>
    <x v="0"/>
    <n v="46037.783333333333"/>
  </r>
  <r>
    <n v="219"/>
    <s v="CENTRO CIRÚRGICO"/>
    <x v="0"/>
    <n v="46037.813067129631"/>
    <x v="1"/>
    <n v="46037.923564814817"/>
  </r>
  <r>
    <n v="220"/>
    <s v="CENTRO CIRÚRGICO"/>
    <x v="0"/>
    <n v="46037.927546296298"/>
    <x v="0"/>
    <n v="46038.467835648145"/>
  </r>
  <r>
    <n v="221"/>
    <s v="CENTRO CIRÚRGICO"/>
    <x v="0"/>
    <n v="46038.00408564815"/>
    <x v="0"/>
    <n v="46038.932662037034"/>
  </r>
  <r>
    <n v="222"/>
    <s v="CENTRO CIRÚRGICO"/>
    <x v="0"/>
    <n v="46038.00408564815"/>
    <x v="0"/>
    <n v="46038.932662037034"/>
  </r>
  <r>
    <n v="223"/>
    <s v="CENTRO CIRÚRGICO"/>
    <x v="2"/>
    <n v="46038.289965277778"/>
    <x v="0"/>
    <n v="46038.711122685185"/>
  </r>
  <r>
    <n v="224"/>
    <s v="CENTRO CIRÚRGICO"/>
    <x v="3"/>
    <n v="46038.378472222219"/>
    <x v="3"/>
    <n v="46038.520833333336"/>
  </r>
  <r>
    <n v="225"/>
    <s v="CENTRO CIRÚRGICO"/>
    <x v="1"/>
    <n v="46038.385416666664"/>
    <x v="0"/>
    <n v="46038.506944444445"/>
  </r>
  <r>
    <n v="226"/>
    <s v="CENTRO CIRÚRGICO"/>
    <x v="1"/>
    <n v="46038.399305555555"/>
    <x v="0"/>
    <n v="46038.472222222219"/>
  </r>
  <r>
    <n v="227"/>
    <s v="CENTRO CIRÚRGICO"/>
    <x v="3"/>
    <n v="46038.416666666664"/>
    <x v="3"/>
    <n v="46038.534722222219"/>
  </r>
  <r>
    <n v="228"/>
    <s v="CENTRO CIRÚRGICO"/>
    <x v="0"/>
    <n v="46038.535474537035"/>
    <x v="1"/>
    <n v="46038.744143518517"/>
  </r>
  <r>
    <n v="229"/>
    <s v="CENTRO CIRÚRGICO"/>
    <x v="0"/>
    <n v="46038.545185185183"/>
    <x v="0"/>
    <n v="46038.949189814812"/>
  </r>
  <r>
    <n v="230"/>
    <s v="CENTRO CIRÚRGICO"/>
    <x v="2"/>
    <n v="46038.635416666664"/>
    <x v="3"/>
    <n v="46038.668055555558"/>
  </r>
  <r>
    <n v="231"/>
    <s v="CENTRO CIRÚRGICO"/>
    <x v="1"/>
    <n v="46038.65"/>
    <x v="1"/>
    <n v="46038.870891203704"/>
  </r>
  <r>
    <n v="232"/>
    <s v="CENTRO CIRÚRGICO"/>
    <x v="0"/>
    <n v="46038.728101851855"/>
    <x v="0"/>
    <n v="46039.05164351852"/>
  </r>
  <r>
    <n v="233"/>
    <s v="CENTRO CIRÚRGICO"/>
    <x v="0"/>
    <n v="46038.857638888891"/>
    <x v="0"/>
    <n v="46039.946967592594"/>
  </r>
  <r>
    <n v="234"/>
    <s v="CENTRO CIRÚRGICO"/>
    <x v="0"/>
    <n v="46038.875"/>
    <x v="0"/>
    <n v="46039.751145833332"/>
  </r>
  <r>
    <n v="235"/>
    <s v="CENTRO CIRÚRGICO"/>
    <x v="0"/>
    <n v="46038.956805555557"/>
    <x v="0"/>
    <n v="46039.724618055552"/>
  </r>
  <r>
    <n v="236"/>
    <s v="CENTRO CIRÚRGICO"/>
    <x v="0"/>
    <n v="46039.336712962962"/>
    <x v="2"/>
    <n v="46039.567152777781"/>
  </r>
  <r>
    <n v="237"/>
    <s v="CENTRO CIRÚRGICO"/>
    <x v="0"/>
    <n v="46039.36173611111"/>
    <x v="1"/>
    <n v="46039.667858796296"/>
  </r>
  <r>
    <n v="238"/>
    <s v="CENTRO CIRÚRGICO"/>
    <x v="0"/>
    <n v="46039.488252314812"/>
    <x v="2"/>
    <n v="46040.393819444442"/>
  </r>
  <r>
    <n v="239"/>
    <s v="CENTRO CIRÚRGICO"/>
    <x v="1"/>
    <n v="46039.659722222219"/>
    <x v="0"/>
    <n v="46039.732638888891"/>
  </r>
  <r>
    <n v="240"/>
    <s v="CENTRO CIRÚRGICO"/>
    <x v="0"/>
    <n v="46040.376504629632"/>
    <x v="0"/>
    <n v="46040.636145833334"/>
  </r>
  <r>
    <n v="241"/>
    <s v="CENTRO CIRÚRGICO"/>
    <x v="0"/>
    <n v="46040.438125000001"/>
    <x v="0"/>
    <n v="46041.71733796296"/>
  </r>
  <r>
    <n v="242"/>
    <s v="CENTRO CIRÚRGICO"/>
    <x v="0"/>
    <n v="46040.485995370371"/>
    <x v="0"/>
    <n v="46040.645173611112"/>
  </r>
  <r>
    <n v="243"/>
    <s v="CENTRO CIRÚRGICO"/>
    <x v="1"/>
    <n v="46040.614583333336"/>
    <x v="3"/>
    <n v="46040.677083333336"/>
  </r>
  <r>
    <n v="244"/>
    <s v="CENTRO CIRÚRGICO"/>
    <x v="0"/>
    <n v="46040.672361111108"/>
    <x v="0"/>
    <n v="46042.687974537039"/>
  </r>
  <r>
    <n v="245"/>
    <s v="CENTRO CIRÚRGICO"/>
    <x v="0"/>
    <n v="46040.748090277775"/>
    <x v="0"/>
    <n v="46042.009814814817"/>
  </r>
  <r>
    <n v="246"/>
    <s v="CENTRO CIRÚRGICO"/>
    <x v="0"/>
    <n v="46040.854166666664"/>
    <x v="1"/>
    <n v="46040.976666666669"/>
  </r>
  <r>
    <n v="247"/>
    <s v="CENTRO CIRÚRGICO"/>
    <x v="0"/>
    <n v="46040.989398148151"/>
    <x v="0"/>
    <n v="46042.625243055554"/>
  </r>
  <r>
    <n v="248"/>
    <s v="CENTRO CIRÚRGICO"/>
    <x v="0"/>
    <n v="46041.04550925926"/>
    <x v="0"/>
    <n v="46041.89947916667"/>
  </r>
  <r>
    <n v="249"/>
    <s v="CENTRO CIRÚRGICO"/>
    <x v="0"/>
    <n v="46041.284155092595"/>
    <x v="2"/>
    <n v="46041.645833333336"/>
  </r>
  <r>
    <n v="250"/>
    <s v="CENTRO CIRÚRGICO"/>
    <x v="1"/>
    <n v="46041.347222222219"/>
    <x v="0"/>
    <n v="46041.444444444445"/>
  </r>
  <r>
    <n v="251"/>
    <s v="CENTRO CIRÚRGICO"/>
    <x v="1"/>
    <n v="46041.354166666664"/>
    <x v="0"/>
    <n v="46041.555555555555"/>
  </r>
  <r>
    <n v="252"/>
    <s v="CENTRO CIRÚRGICO"/>
    <x v="1"/>
    <n v="46041.381944444445"/>
    <x v="0"/>
    <n v="46041.520833333336"/>
  </r>
  <r>
    <n v="253"/>
    <s v="CENTRO CIRÚRGICO"/>
    <x v="1"/>
    <n v="46041.395833333336"/>
    <x v="0"/>
    <n v="46041.423611111109"/>
  </r>
  <r>
    <n v="254"/>
    <s v="CENTRO CIRÚRGICO"/>
    <x v="0"/>
    <n v="46041.39875"/>
    <x v="2"/>
    <n v="46041.595983796295"/>
  </r>
  <r>
    <n v="255"/>
    <s v="CENTRO CIRÚRGICO"/>
    <x v="1"/>
    <n v="46041.503472222219"/>
    <x v="0"/>
    <n v="46041.5625"/>
  </r>
  <r>
    <n v="256"/>
    <s v="CENTRO CIRÚRGICO"/>
    <x v="1"/>
    <n v="46041.520833333336"/>
    <x v="0"/>
    <n v="46044.694444444445"/>
  </r>
  <r>
    <n v="257"/>
    <s v="CENTRO CIRÚRGICO"/>
    <x v="1"/>
    <n v="46041.520833333336"/>
    <x v="0"/>
    <n v="46041.569444444445"/>
  </r>
  <r>
    <n v="258"/>
    <s v="CENTRO CIRÚRGICO"/>
    <x v="2"/>
    <n v="46041.616215277776"/>
    <x v="0"/>
    <n v="46041.749062499999"/>
  </r>
  <r>
    <n v="259"/>
    <s v="CENTRO CIRÚRGICO"/>
    <x v="0"/>
    <n v="46041.618310185186"/>
    <x v="0"/>
    <n v="46042.66064814815"/>
  </r>
  <r>
    <n v="260"/>
    <s v="CENTRO CIRÚRGICO"/>
    <x v="0"/>
    <n v="46041.619189814817"/>
    <x v="1"/>
    <n v="46041.898495370369"/>
  </r>
  <r>
    <n v="261"/>
    <s v="CENTRO CIRÚRGICO"/>
    <x v="0"/>
    <n v="46041.626886574071"/>
    <x v="0"/>
    <n v="46041.749652777777"/>
  </r>
  <r>
    <n v="262"/>
    <s v="CENTRO CIRÚRGICO"/>
    <x v="1"/>
    <n v="46041.743055555555"/>
    <x v="0"/>
    <n v="46041.819444444445"/>
  </r>
  <r>
    <n v="263"/>
    <s v="CENTRO CIRÚRGICO"/>
    <x v="2"/>
    <n v="46042.260416666664"/>
    <x v="3"/>
    <n v="46042.291666666664"/>
  </r>
  <r>
    <n v="264"/>
    <s v="CENTRO CIRÚRGICO"/>
    <x v="0"/>
    <n v="46042.300208333334"/>
    <x v="0"/>
    <n v="46042.646666666667"/>
  </r>
  <r>
    <n v="265"/>
    <s v="CENTRO CIRÚRGICO"/>
    <x v="0"/>
    <n v="46042.31658564815"/>
    <x v="0"/>
    <n v="46042.521793981483"/>
  </r>
  <r>
    <n v="266"/>
    <s v="CENTRO CIRÚRGICO"/>
    <x v="2"/>
    <n v="46042.326388888891"/>
    <x v="3"/>
    <n v="46042.402777777781"/>
  </r>
  <r>
    <n v="267"/>
    <s v="CENTRO CIRÚRGICO"/>
    <x v="1"/>
    <n v="46042.340277777781"/>
    <x v="0"/>
    <n v="46042.392361111109"/>
  </r>
  <r>
    <n v="268"/>
    <s v="CENTRO CIRÚRGICO"/>
    <x v="0"/>
    <n v="46042.35564814815"/>
    <x v="0"/>
    <n v="46045.648854166669"/>
  </r>
  <r>
    <n v="269"/>
    <s v="CENTRO CIRÚRGICO"/>
    <x v="1"/>
    <n v="46042.451388888891"/>
    <x v="3"/>
    <n v="46042.492361111108"/>
  </r>
  <r>
    <n v="270"/>
    <s v="CENTRO CIRÚRGICO"/>
    <x v="0"/>
    <n v="46042.482395833336"/>
    <x v="0"/>
    <n v="46042.775694444441"/>
  </r>
  <r>
    <n v="271"/>
    <s v="CENTRO CIRÚRGICO"/>
    <x v="1"/>
    <n v="46042.486111111109"/>
    <x v="0"/>
    <n v="46042.517361111109"/>
  </r>
  <r>
    <n v="272"/>
    <s v="CENTRO CIRÚRGICO"/>
    <x v="1"/>
    <n v="46042.5"/>
    <x v="0"/>
    <n v="46042.611111111109"/>
  </r>
  <r>
    <n v="273"/>
    <s v="CENTRO CIRÚRGICO"/>
    <x v="3"/>
    <n v="46042.559027777781"/>
    <x v="0"/>
    <n v="46042.642361111109"/>
  </r>
  <r>
    <n v="274"/>
    <s v="CENTRO CIRÚRGICO"/>
    <x v="1"/>
    <n v="46042.618055555555"/>
    <x v="0"/>
    <n v="46042.75"/>
  </r>
  <r>
    <n v="275"/>
    <s v="CENTRO CIRÚRGICO"/>
    <x v="1"/>
    <n v="46042.694444444445"/>
    <x v="0"/>
    <n v="46042.875694444447"/>
  </r>
  <r>
    <n v="276"/>
    <s v="CENTRO CIRÚRGICO"/>
    <x v="1"/>
    <n v="46042.701388888891"/>
    <x v="0"/>
    <n v="46042.8125"/>
  </r>
  <r>
    <n v="277"/>
    <s v="CENTRO CIRÚRGICO"/>
    <x v="1"/>
    <n v="46042.708333333336"/>
    <x v="0"/>
    <n v="46042.743055555555"/>
  </r>
  <r>
    <n v="278"/>
    <s v="CENTRO CIRÚRGICO"/>
    <x v="1"/>
    <n v="46042.765277777777"/>
    <x v="0"/>
    <n v="46042.875"/>
  </r>
  <r>
    <n v="279"/>
    <s v="CENTRO CIRÚRGICO"/>
    <x v="0"/>
    <n v="46042.902777777781"/>
    <x v="0"/>
    <n v="46043.688726851855"/>
  </r>
  <r>
    <n v="280"/>
    <s v="CENTRO CIRÚRGICO"/>
    <x v="0"/>
    <n v="46042.914525462962"/>
    <x v="1"/>
    <n v="46043.731909722221"/>
  </r>
  <r>
    <n v="281"/>
    <s v="CENTRO CIRÚRGICO"/>
    <x v="0"/>
    <n v="46042.945138888892"/>
    <x v="1"/>
    <n v="46043.073599537034"/>
  </r>
  <r>
    <n v="282"/>
    <s v="CENTRO CIRÚRGICO"/>
    <x v="0"/>
    <n v="46042.965219907404"/>
    <x v="0"/>
    <n v="46043.733854166669"/>
  </r>
  <r>
    <n v="283"/>
    <s v="CENTRO CIRÚRGICO"/>
    <x v="1"/>
    <n v="46043.354166666664"/>
    <x v="0"/>
    <n v="46043.423611111109"/>
  </r>
  <r>
    <n v="284"/>
    <s v="CENTRO CIRÚRGICO"/>
    <x v="2"/>
    <n v="46043.354166666664"/>
    <x v="3"/>
    <n v="46043.461805555555"/>
  </r>
  <r>
    <n v="285"/>
    <s v="CENTRO CIRÚRGICO"/>
    <x v="1"/>
    <n v="46043.357638888891"/>
    <x v="0"/>
    <n v="46043.388888888891"/>
  </r>
  <r>
    <n v="286"/>
    <s v="CENTRO CIRÚRGICO"/>
    <x v="0"/>
    <n v="46043.429224537038"/>
    <x v="0"/>
    <n v="46043.672962962963"/>
  </r>
  <r>
    <n v="287"/>
    <s v="CENTRO CIRÚRGICO"/>
    <x v="1"/>
    <n v="46043.46875"/>
    <x v="0"/>
    <n v="46043.545138888891"/>
  </r>
  <r>
    <n v="288"/>
    <s v="CENTRO CIRÚRGICO"/>
    <x v="2"/>
    <n v="46043.505324074074"/>
    <x v="0"/>
    <n v="46043.841215277775"/>
  </r>
  <r>
    <n v="289"/>
    <s v="CENTRO CIRÚRGICO"/>
    <x v="1"/>
    <n v="46043.520833333336"/>
    <x v="0"/>
    <n v="46043.5625"/>
  </r>
  <r>
    <n v="290"/>
    <s v="CENTRO CIRÚRGICO"/>
    <x v="1"/>
    <n v="46043.597222222219"/>
    <x v="4"/>
    <n v="46043.638888888891"/>
  </r>
  <r>
    <n v="291"/>
    <s v="CENTRO CIRÚRGICO"/>
    <x v="0"/>
    <n v="46043.599699074075"/>
    <x v="2"/>
    <n v="46044.366041666668"/>
  </r>
  <r>
    <n v="292"/>
    <s v="CENTRO CIRÚRGICO"/>
    <x v="1"/>
    <n v="46043.701388888891"/>
    <x v="0"/>
    <n v="46043.732638888891"/>
  </r>
  <r>
    <n v="293"/>
    <s v="CENTRO CIRÚRGICO"/>
    <x v="0"/>
    <n v="46043.760416666664"/>
    <x v="0"/>
    <n v="46044.525370370371"/>
  </r>
  <r>
    <n v="294"/>
    <s v="CENTRO CIRÚRGICO"/>
    <x v="0"/>
    <n v="46044.312696759262"/>
    <x v="0"/>
    <n v="46044.694953703707"/>
  </r>
  <r>
    <n v="295"/>
    <s v="CENTRO CIRÚRGICO"/>
    <x v="1"/>
    <n v="46044.327777777777"/>
    <x v="0"/>
    <n v="46044.392361111109"/>
  </r>
  <r>
    <n v="296"/>
    <s v="CENTRO CIRÚRGICO"/>
    <x v="1"/>
    <n v="46044.340277777781"/>
    <x v="0"/>
    <n v="46044.361111111109"/>
  </r>
  <r>
    <n v="297"/>
    <s v="CENTRO CIRÚRGICO"/>
    <x v="1"/>
    <n v="46044.340277777781"/>
    <x v="0"/>
    <n v="46044.430555555555"/>
  </r>
  <r>
    <n v="298"/>
    <s v="CENTRO CIRÚRGICO"/>
    <x v="3"/>
    <n v="46044.378472222219"/>
    <x v="0"/>
    <n v="46044.506944444445"/>
  </r>
  <r>
    <n v="299"/>
    <s v="CENTRO CIRÚRGICO"/>
    <x v="0"/>
    <n v="46044.380266203705"/>
    <x v="0"/>
    <n v="46044.764606481483"/>
  </r>
  <r>
    <n v="300"/>
    <s v="CENTRO CIRÚRGICO"/>
    <x v="1"/>
    <n v="46044.458333333336"/>
    <x v="1"/>
    <n v="46044.520833333336"/>
  </r>
  <r>
    <n v="301"/>
    <s v="CENTRO CIRÚRGICO"/>
    <x v="0"/>
    <n v="46044.551493055558"/>
    <x v="0"/>
    <n v="46044.735081018516"/>
  </r>
  <r>
    <n v="302"/>
    <s v="CENTRO CIRÚRGICO"/>
    <x v="0"/>
    <n v="46044.617847222224"/>
    <x v="1"/>
    <n v="46044.75922453704"/>
  </r>
  <r>
    <n v="303"/>
    <s v="CENTRO CIRÚRGICO"/>
    <x v="1"/>
    <n v="46044.631944444445"/>
    <x v="1"/>
    <n v="46044.771840277775"/>
  </r>
  <r>
    <n v="304"/>
    <s v="CENTRO CIRÚRGICO"/>
    <x v="1"/>
    <n v="46044.666666666664"/>
    <x v="0"/>
    <n v="46044.701388888891"/>
  </r>
  <r>
    <n v="305"/>
    <s v="CENTRO CIRÚRGICO"/>
    <x v="1"/>
    <n v="46044.684027777781"/>
    <x v="0"/>
    <n v="46044.802083333336"/>
  </r>
  <r>
    <n v="306"/>
    <s v="CENTRO CIRÚRGICO"/>
    <x v="0"/>
    <n v="46044.848993055559"/>
    <x v="0"/>
    <n v="46045.746828703705"/>
  </r>
  <r>
    <n v="307"/>
    <s v="CENTRO CIRÚRGICO"/>
    <x v="0"/>
    <n v="46044.918368055558"/>
    <x v="1"/>
    <n v="46045.842812499999"/>
  </r>
  <r>
    <n v="308"/>
    <s v="CENTRO CIRÚRGICO"/>
    <x v="0"/>
    <n v="46044.926365740743"/>
    <x v="0"/>
    <n v="46045.462488425925"/>
  </r>
  <r>
    <n v="309"/>
    <s v="CENTRO CIRÚRGICO"/>
    <x v="1"/>
    <n v="46045.356249999997"/>
    <x v="0"/>
    <n v="46045.689027777778"/>
  </r>
  <r>
    <n v="310"/>
    <s v="CENTRO CIRÚRGICO"/>
    <x v="1"/>
    <n v="46045.356944444444"/>
    <x v="0"/>
    <n v="46045.451388888891"/>
  </r>
  <r>
    <n v="311"/>
    <s v="CENTRO CIRÚRGICO"/>
    <x v="1"/>
    <n v="46045.371527777781"/>
    <x v="0"/>
    <n v="46045.451388888891"/>
  </r>
  <r>
    <n v="312"/>
    <s v="CENTRO CIRÚRGICO"/>
    <x v="1"/>
    <n v="46045.375"/>
    <x v="0"/>
    <n v="46045.701388888891"/>
  </r>
  <r>
    <n v="313"/>
    <s v="CENTRO CIRÚRGICO"/>
    <x v="2"/>
    <n v="46045.385416666664"/>
    <x v="3"/>
    <n v="46045.541666666664"/>
  </r>
  <r>
    <n v="314"/>
    <s v="CENTRO CIRÚRGICO"/>
    <x v="3"/>
    <n v="46045.510416666664"/>
    <x v="1"/>
    <n v="46045.673611111109"/>
  </r>
  <r>
    <n v="315"/>
    <s v="CENTRO CIRÚRGICO"/>
    <x v="1"/>
    <n v="46045.541666666664"/>
    <x v="0"/>
    <n v="46045.673611111109"/>
  </r>
  <r>
    <n v="316"/>
    <s v="CENTRO CIRÚRGICO"/>
    <x v="1"/>
    <n v="46045.548611111109"/>
    <x v="1"/>
    <n v="46045.645833333336"/>
  </r>
  <r>
    <n v="317"/>
    <s v="CENTRO CIRÚRGICO"/>
    <x v="1"/>
    <n v="46045.619618055556"/>
    <x v="1"/>
    <n v="46045.905949074076"/>
  </r>
  <r>
    <n v="318"/>
    <s v="CENTRO CIRÚRGICO"/>
    <x v="2"/>
    <n v="46045.777777777781"/>
    <x v="3"/>
    <n v="46045.833333333336"/>
  </r>
  <r>
    <n v="319"/>
    <s v="CENTRO CIRÚRGICO"/>
    <x v="3"/>
    <n v="46045.791666666664"/>
    <x v="1"/>
    <n v="46046.038194444445"/>
  </r>
  <r>
    <n v="320"/>
    <s v="CENTRO CIRÚRGICO"/>
    <x v="3"/>
    <n v="46045.940972222219"/>
    <x v="3"/>
    <n v="46045.958333333336"/>
  </r>
  <r>
    <n v="321"/>
    <s v="CENTRO CIRÚRGICO"/>
    <x v="0"/>
    <n v="46045.945231481484"/>
    <x v="0"/>
    <n v="46046.63008101852"/>
  </r>
  <r>
    <n v="322"/>
    <s v="CENTRO CIRÚRGICO"/>
    <x v="0"/>
    <n v="46045.979363425926"/>
    <x v="1"/>
    <n v="46057.761666666665"/>
  </r>
  <r>
    <n v="323"/>
    <s v="CENTRO CIRÚRGICO"/>
    <x v="0"/>
    <n v="46046.020520833335"/>
    <x v="0"/>
    <n v="46046.722210648149"/>
  </r>
  <r>
    <n v="324"/>
    <s v="CENTRO CIRÚRGICO"/>
    <x v="0"/>
    <n v="46046.392442129632"/>
    <x v="0"/>
    <n v="46048.705127314817"/>
  </r>
  <r>
    <n v="325"/>
    <s v="CENTRO CIRÚRGICO"/>
    <x v="0"/>
    <n v="46046.454826388886"/>
    <x v="0"/>
    <n v="46046.734629629631"/>
  </r>
  <r>
    <n v="326"/>
    <s v="CENTRO CIRÚRGICO"/>
    <x v="0"/>
    <n v="46046.602337962962"/>
    <x v="1"/>
    <n v="46046.894652777781"/>
  </r>
  <r>
    <n v="327"/>
    <s v="CENTRO CIRÚRGICO"/>
    <x v="2"/>
    <n v="46046.715277777781"/>
    <x v="3"/>
    <n v="46046.725694444445"/>
  </r>
  <r>
    <n v="328"/>
    <s v="CENTRO CIRÚRGICO"/>
    <x v="0"/>
    <n v="46046.918263888889"/>
    <x v="0"/>
    <n v="46049.260659722226"/>
  </r>
  <r>
    <n v="329"/>
    <s v="CENTRO CIRÚRGICO"/>
    <x v="0"/>
    <n v="46046.918263888889"/>
    <x v="0"/>
    <n v="46049.260659722226"/>
  </r>
  <r>
    <n v="330"/>
    <s v="CENTRO CIRÚRGICO"/>
    <x v="0"/>
    <n v="46047.341909722221"/>
    <x v="0"/>
    <n v="46048.584606481483"/>
  </r>
  <r>
    <n v="331"/>
    <s v="CENTRO CIRÚRGICO"/>
    <x v="1"/>
    <n v="46047.381944444445"/>
    <x v="0"/>
    <n v="46047.402777777781"/>
  </r>
  <r>
    <n v="332"/>
    <s v="CENTRO CIRÚRGICO"/>
    <x v="2"/>
    <n v="46047.392361111109"/>
    <x v="3"/>
    <n v="46047.458333333336"/>
  </r>
  <r>
    <n v="333"/>
    <s v="CENTRO CIRÚRGICO"/>
    <x v="0"/>
    <n v="46047.575474537036"/>
    <x v="0"/>
    <n v="46047.737384259257"/>
  </r>
  <r>
    <n v="334"/>
    <s v="CENTRO CIRÚRGICO"/>
    <x v="0"/>
    <n v="46047.640138888892"/>
    <x v="0"/>
    <n v="46047.924756944441"/>
  </r>
  <r>
    <n v="335"/>
    <s v="CENTRO CIRÚRGICO"/>
    <x v="0"/>
    <n v="46047.780497685184"/>
    <x v="1"/>
    <n v="46047.956041666665"/>
  </r>
  <r>
    <n v="336"/>
    <s v="CENTRO CIRÚRGICO"/>
    <x v="0"/>
    <n v="46047.96974537037"/>
    <x v="0"/>
    <n v="46049.682141203702"/>
  </r>
  <r>
    <n v="337"/>
    <s v="CENTRO CIRÚRGICO"/>
    <x v="0"/>
    <n v="46048.282905092594"/>
    <x v="0"/>
    <n v="46048.720173611109"/>
  </r>
  <r>
    <n v="338"/>
    <s v="CENTRO CIRÚRGICO"/>
    <x v="2"/>
    <n v="46048.291689814818"/>
    <x v="1"/>
    <n v="46048.663773148146"/>
  </r>
  <r>
    <n v="339"/>
    <s v="CENTRO CIRÚRGICO"/>
    <x v="2"/>
    <n v="46048.296585648146"/>
    <x v="2"/>
    <n v="46048.712569444448"/>
  </r>
  <r>
    <n v="340"/>
    <s v="CENTRO CIRÚRGICO"/>
    <x v="1"/>
    <n v="46048.340277777781"/>
    <x v="0"/>
    <n v="46048.430555555555"/>
  </r>
  <r>
    <n v="341"/>
    <s v="CENTRO CIRÚRGICO"/>
    <x v="0"/>
    <n v="46048.347337962965"/>
    <x v="3"/>
    <n v="46049.395069444443"/>
  </r>
  <r>
    <n v="342"/>
    <s v="CENTRO CIRÚRGICO"/>
    <x v="1"/>
    <n v="46048.451388888891"/>
    <x v="0"/>
    <n v="46048.517361111109"/>
  </r>
  <r>
    <n v="343"/>
    <s v="CENTRO CIRÚRGICO"/>
    <x v="1"/>
    <n v="46048.513888888891"/>
    <x v="4"/>
    <n v="46048.583333333336"/>
  </r>
  <r>
    <n v="344"/>
    <s v="CENTRO CIRÚRGICO"/>
    <x v="1"/>
    <n v="46048.541666666664"/>
    <x v="3"/>
    <n v="46048.684027777781"/>
  </r>
  <r>
    <n v="345"/>
    <s v="CENTRO CIRÚRGICO"/>
    <x v="2"/>
    <n v="46048.621527777781"/>
    <x v="1"/>
    <n v="46048.679270833331"/>
  </r>
  <r>
    <n v="346"/>
    <s v="CENTRO CIRÚRGICO"/>
    <x v="1"/>
    <n v="46048.648854166669"/>
    <x v="0"/>
    <n v="46052.61577546296"/>
  </r>
  <r>
    <n v="347"/>
    <s v="CENTRO CIRÚRGICO"/>
    <x v="0"/>
    <n v="46048.6875"/>
    <x v="0"/>
    <n v="46049.699062500003"/>
  </r>
  <r>
    <n v="348"/>
    <s v="CENTRO CIRÚRGICO"/>
    <x v="0"/>
    <n v="46048.717002314814"/>
    <x v="1"/>
    <n v="46049.681423611109"/>
  </r>
  <r>
    <n v="349"/>
    <s v="CENTRO CIRÚRGICO"/>
    <x v="2"/>
    <n v="46048.75"/>
    <x v="3"/>
    <n v="46048.772916666669"/>
  </r>
  <r>
    <n v="350"/>
    <s v="CENTRO CIRÚRGICO"/>
    <x v="0"/>
    <n v="46048.880428240744"/>
    <x v="0"/>
    <n v="46049.267638888887"/>
  </r>
  <r>
    <n v="351"/>
    <s v="CENTRO CIRÚRGICO"/>
    <x v="3"/>
    <n v="46048.961805555555"/>
    <x v="0"/>
    <n v="46049.041666666664"/>
  </r>
  <r>
    <n v="352"/>
    <s v="CENTRO CIRÚRGICO"/>
    <x v="0"/>
    <n v="46048.974999999999"/>
    <x v="0"/>
    <n v="46049.702465277776"/>
  </r>
  <r>
    <n v="353"/>
    <s v="CENTRO CIRÚRGICO"/>
    <x v="1"/>
    <n v="46049.34375"/>
    <x v="0"/>
    <n v="46049.486111111109"/>
  </r>
  <r>
    <n v="354"/>
    <s v="CENTRO CIRÚRGICO"/>
    <x v="1"/>
    <n v="46049.354166666664"/>
    <x v="0"/>
    <n v="46049.43472222222"/>
  </r>
  <r>
    <n v="355"/>
    <s v="CENTRO CIRÚRGICO"/>
    <x v="1"/>
    <n v="46049.416666666664"/>
    <x v="0"/>
    <n v="46049.541666666664"/>
  </r>
  <r>
    <n v="356"/>
    <s v="CENTRO CIRÚRGICO"/>
    <x v="1"/>
    <n v="46049.489583333336"/>
    <x v="0"/>
    <n v="46049.534722222219"/>
  </r>
  <r>
    <n v="357"/>
    <s v="CENTRO CIRÚRGICO"/>
    <x v="0"/>
    <n v="46049.506944444445"/>
    <x v="3"/>
    <n v="46090.710046296299"/>
  </r>
  <r>
    <n v="358"/>
    <s v="CENTRO CIRÚRGICO"/>
    <x v="2"/>
    <n v="46049.511805555558"/>
    <x v="0"/>
    <n v="46050.482141203705"/>
  </r>
  <r>
    <n v="359"/>
    <s v="CENTRO CIRÚRGICO"/>
    <x v="0"/>
    <n v="46049.551168981481"/>
    <x v="2"/>
    <n v="46049.745648148149"/>
  </r>
  <r>
    <n v="360"/>
    <s v="CENTRO CIRÚRGICO"/>
    <x v="0"/>
    <n v="46049.590983796297"/>
    <x v="0"/>
    <n v="46049.779189814813"/>
  </r>
  <r>
    <n v="361"/>
    <s v="CENTRO CIRÚRGICO"/>
    <x v="0"/>
    <n v="46049.647951388892"/>
    <x v="0"/>
    <n v="46049.938738425924"/>
  </r>
  <r>
    <n v="362"/>
    <s v="CENTRO CIRÚRGICO"/>
    <x v="0"/>
    <n v="46049.711527777778"/>
    <x v="0"/>
    <n v="46051.524756944447"/>
  </r>
  <r>
    <n v="363"/>
    <s v="CENTRO CIRÚRGICO"/>
    <x v="0"/>
    <n v="46049.728831018518"/>
    <x v="0"/>
    <n v="46049.939328703702"/>
  </r>
  <r>
    <n v="364"/>
    <s v="CENTRO CIRÚRGICO"/>
    <x v="0"/>
    <n v="46049.837511574071"/>
    <x v="0"/>
    <n v="46050.715104166666"/>
  </r>
  <r>
    <n v="365"/>
    <s v="CENTRO CIRÚRGICO"/>
    <x v="0"/>
    <n v="46049.837511574071"/>
    <x v="0"/>
    <n v="46050.715104166666"/>
  </r>
  <r>
    <n v="366"/>
    <s v="CENTRO CIRÚRGICO"/>
    <x v="0"/>
    <n v="46049.890694444446"/>
    <x v="1"/>
    <n v="46050.580509259256"/>
  </r>
  <r>
    <n v="367"/>
    <s v="CENTRO CIRÚRGICO"/>
    <x v="0"/>
    <n v="46049.947650462964"/>
    <x v="1"/>
    <n v="46050.905324074076"/>
  </r>
  <r>
    <n v="368"/>
    <s v="CENTRO CIRÚRGICO"/>
    <x v="0"/>
    <n v="46050.037951388891"/>
    <x v="0"/>
    <n v="46050.719513888886"/>
  </r>
  <r>
    <n v="369"/>
    <s v="CENTRO CIRÚRGICO"/>
    <x v="0"/>
    <n v="46050.0625"/>
    <x v="1"/>
    <n v="46050.09375"/>
  </r>
  <r>
    <n v="370"/>
    <s v="CENTRO CIRÚRGICO"/>
    <x v="0"/>
    <n v="46050.138495370367"/>
    <x v="1"/>
    <n v="46050.69740740741"/>
  </r>
  <r>
    <n v="371"/>
    <s v="CENTRO CIRÚRGICO"/>
    <x v="0"/>
    <n v="46050.214618055557"/>
    <x v="1"/>
    <n v="46050.624722222223"/>
  </r>
  <r>
    <n v="372"/>
    <s v="CENTRO CIRÚRGICO"/>
    <x v="0"/>
    <n v="46050.437175925923"/>
    <x v="0"/>
    <n v="46051.616203703707"/>
  </r>
  <r>
    <n v="373"/>
    <s v="CENTRO CIRÚRGICO"/>
    <x v="0"/>
    <n v="46050.611203703702"/>
    <x v="0"/>
    <n v="46051.567858796298"/>
  </r>
  <r>
    <n v="374"/>
    <s v="CENTRO CIRÚRGICO"/>
    <x v="3"/>
    <n v="46050.701388888891"/>
    <x v="0"/>
    <n v="46050.916666666664"/>
  </r>
  <r>
    <n v="375"/>
    <s v="CENTRO CIRÚRGICO"/>
    <x v="1"/>
    <n v="46050.708333333336"/>
    <x v="0"/>
    <n v="46050.784722222219"/>
  </r>
  <r>
    <n v="376"/>
    <s v="CENTRO CIRÚRGICO"/>
    <x v="1"/>
    <n v="46050.75"/>
    <x v="0"/>
    <n v="46050.78125"/>
  </r>
  <r>
    <n v="377"/>
    <s v="CENTRO CIRÚRGICO"/>
    <x v="0"/>
    <n v="46050.853310185186"/>
    <x v="2"/>
    <n v="46051.5937037037"/>
  </r>
  <r>
    <n v="378"/>
    <s v="CENTRO CIRÚRGICO"/>
    <x v="0"/>
    <n v="46050.872499999998"/>
    <x v="0"/>
    <n v="46051.550682870373"/>
  </r>
  <r>
    <n v="379"/>
    <s v="CENTRO CIRÚRGICO"/>
    <x v="0"/>
    <n v="46050.924212962964"/>
    <x v="0"/>
    <n v="46051.647060185183"/>
  </r>
  <r>
    <n v="380"/>
    <s v="CENTRO CIRÚRGICO"/>
    <x v="0"/>
    <n v="46050.973877314813"/>
    <x v="0"/>
    <n v="46051.216956018521"/>
  </r>
  <r>
    <n v="381"/>
    <s v="CENTRO CIRÚRGICO"/>
    <x v="0"/>
    <n v="46051.029976851853"/>
    <x v="0"/>
    <n v="46051.637800925928"/>
  </r>
  <r>
    <n v="382"/>
    <s v="CENTRO CIRÚRGICO"/>
    <x v="0"/>
    <n v="46051.029976851853"/>
    <x v="0"/>
    <n v="46051.637800925928"/>
  </r>
  <r>
    <n v="383"/>
    <s v="CENTRO CIRÚRGICO"/>
    <x v="1"/>
    <n v="46051.25"/>
    <x v="0"/>
    <n v="46051.28125"/>
  </r>
  <r>
    <n v="384"/>
    <s v="CENTRO CIRÚRGICO"/>
    <x v="0"/>
    <n v="46051.285300925927"/>
    <x v="0"/>
    <n v="46052.51966435185"/>
  </r>
  <r>
    <n v="385"/>
    <s v="CENTRO CIRÚRGICO"/>
    <x v="1"/>
    <n v="46051.350694444445"/>
    <x v="0"/>
    <n v="46051.402777777781"/>
  </r>
  <r>
    <n v="386"/>
    <s v="CENTRO CIRÚRGICO"/>
    <x v="1"/>
    <n v="46051.368055555555"/>
    <x v="0"/>
    <n v="46051.486111111109"/>
  </r>
  <r>
    <n v="387"/>
    <s v="CENTRO CIRÚRGICO"/>
    <x v="1"/>
    <n v="46051.388888888891"/>
    <x v="0"/>
    <n v="46051.416666666664"/>
  </r>
  <r>
    <n v="388"/>
    <s v="CENTRO CIRÚRGICO"/>
    <x v="1"/>
    <n v="46051.388888888891"/>
    <x v="0"/>
    <n v="46051.520833333336"/>
  </r>
  <r>
    <n v="389"/>
    <s v="CENTRO CIRÚRGICO"/>
    <x v="1"/>
    <n v="46051.416666666664"/>
    <x v="0"/>
    <n v="46051.489583333336"/>
  </r>
  <r>
    <n v="390"/>
    <s v="CENTRO CIRÚRGICO"/>
    <x v="1"/>
    <n v="46051.517361111109"/>
    <x v="0"/>
    <n v="46051.631944444445"/>
  </r>
  <r>
    <n v="391"/>
    <s v="CENTRO CIRÚRGICO"/>
    <x v="1"/>
    <n v="46051.5625"/>
    <x v="0"/>
    <n v="46051.604166666664"/>
  </r>
  <r>
    <n v="392"/>
    <s v="CENTRO CIRÚRGICO"/>
    <x v="1"/>
    <n v="46051.597222222219"/>
    <x v="3"/>
    <n v="46051.722222222219"/>
  </r>
  <r>
    <n v="393"/>
    <s v="CENTRO CIRÚRGICO"/>
    <x v="1"/>
    <n v="46051.631944444445"/>
    <x v="0"/>
    <n v="46090.442442129628"/>
  </r>
  <r>
    <n v="394"/>
    <s v="CENTRO CIRÚRGICO"/>
    <x v="0"/>
    <n v="46051.653124999997"/>
    <x v="0"/>
    <n v="46051.839317129627"/>
  </r>
  <r>
    <n v="395"/>
    <s v="CENTRO CIRÚRGICO"/>
    <x v="0"/>
    <n v="46051.677812499998"/>
    <x v="1"/>
    <n v="46051.858240740738"/>
  </r>
  <r>
    <n v="396"/>
    <s v="CENTRO CIRÚRGICO"/>
    <x v="1"/>
    <n v="46051.680555555555"/>
    <x v="0"/>
    <n v="46051.729166666664"/>
  </r>
  <r>
    <n v="397"/>
    <s v="CENTRO CIRÚRGICO"/>
    <x v="1"/>
    <n v="46051.791666666664"/>
    <x v="0"/>
    <n v="46051.8125"/>
  </r>
  <r>
    <n v="398"/>
    <s v="CENTRO CIRÚRGICO"/>
    <x v="0"/>
    <n v="46051.976226851853"/>
    <x v="1"/>
    <n v="46052.135752314818"/>
  </r>
  <r>
    <n v="399"/>
    <s v="CENTRO CIRÚRGICO"/>
    <x v="0"/>
    <n v="46052.01771990741"/>
    <x v="0"/>
    <n v="46052.737430555557"/>
  </r>
  <r>
    <n v="400"/>
    <s v="CENTRO CIRÚRGICO"/>
    <x v="0"/>
    <n v="46052.129571759258"/>
    <x v="0"/>
    <n v="46052.348090277781"/>
  </r>
  <r>
    <n v="401"/>
    <s v="CENTRO CIRÚRGICO"/>
    <x v="0"/>
    <n v="46052.180555555555"/>
    <x v="0"/>
    <n v="46052.522615740738"/>
  </r>
  <r>
    <n v="402"/>
    <s v="CENTRO CIRÚRGICO"/>
    <x v="2"/>
    <n v="46052.319444444445"/>
    <x v="3"/>
    <n v="46052.354166666664"/>
  </r>
  <r>
    <n v="403"/>
    <s v="CENTRO CIRÚRGICO"/>
    <x v="0"/>
    <n v="46052.337962962964"/>
    <x v="0"/>
    <n v="46052.761863425927"/>
  </r>
  <r>
    <n v="404"/>
    <s v="CENTRO CIRÚRGICO"/>
    <x v="1"/>
    <n v="46052.350694444445"/>
    <x v="0"/>
    <n v="46052.409722222219"/>
  </r>
  <r>
    <n v="405"/>
    <s v="CENTRO CIRÚRGICO"/>
    <x v="3"/>
    <n v="46052.368055555555"/>
    <x v="3"/>
    <n v="46052.510416666664"/>
  </r>
  <r>
    <n v="406"/>
    <s v="CENTRO CIRÚRGICO"/>
    <x v="1"/>
    <n v="46052.385416666664"/>
    <x v="0"/>
    <n v="46052.520833333336"/>
  </r>
  <r>
    <n v="407"/>
    <s v="CENTRO CIRÚRGICO"/>
    <x v="0"/>
    <n v="46052.414143518516"/>
    <x v="1"/>
    <n v="46052.685879629629"/>
  </r>
  <r>
    <n v="408"/>
    <s v="CENTRO CIRÚRGICO"/>
    <x v="3"/>
    <n v="46052.479166666664"/>
    <x v="3"/>
    <n v="46052.5625"/>
  </r>
  <r>
    <n v="409"/>
    <s v="CENTRO CIRÚRGICO"/>
    <x v="0"/>
    <n v="46052.592129629629"/>
    <x v="2"/>
    <n v="46052.792638888888"/>
  </r>
  <r>
    <n v="410"/>
    <s v="CENTRO CIRÚRGICO"/>
    <x v="0"/>
    <n v="46052.607858796298"/>
    <x v="0"/>
    <n v="46053.688877314817"/>
  </r>
  <r>
    <n v="411"/>
    <s v="CENTRO CIRÚRGICO"/>
    <x v="1"/>
    <n v="46052.631284722222"/>
    <x v="0"/>
    <n v="46054.611261574071"/>
  </r>
  <r>
    <n v="412"/>
    <s v="CENTRO CIRÚRGICO"/>
    <x v="1"/>
    <n v="46052.644884259258"/>
    <x v="1"/>
    <n v="46052.748726851853"/>
  </r>
  <r>
    <n v="413"/>
    <s v="CENTRO CIRÚRGICO"/>
    <x v="0"/>
    <n v="46052.727256944447"/>
    <x v="0"/>
    <n v="46052.887106481481"/>
  </r>
  <r>
    <n v="414"/>
    <s v="CENTRO CIRÚRGICO"/>
    <x v="0"/>
    <n v="46052.859270833331"/>
    <x v="0"/>
    <n v="46053.015787037039"/>
  </r>
  <r>
    <n v="415"/>
    <s v="CENTRO CIRÚRGICO"/>
    <x v="0"/>
    <n v="46052.9690162037"/>
    <x v="1"/>
    <n v="46053.037210648145"/>
  </r>
  <r>
    <n v="416"/>
    <s v="CENTRO CIRÚRGICO"/>
    <x v="1"/>
    <n v="46053.378472222219"/>
    <x v="0"/>
    <n v="46053.402777777781"/>
  </r>
  <r>
    <n v="417"/>
    <s v="CENTRO CIRÚRGICO"/>
    <x v="2"/>
    <n v="46053.402777777781"/>
    <x v="3"/>
    <n v="46053.430555555555"/>
  </r>
  <r>
    <n v="418"/>
    <s v="CENTRO CIRÚRGICO"/>
    <x v="1"/>
    <n v="46053.434027777781"/>
    <x v="0"/>
    <n v="46053.527777777781"/>
  </r>
  <r>
    <n v="419"/>
    <s v="CENTRO CIRÚRGICO"/>
    <x v="0"/>
    <n v="46053.436365740738"/>
    <x v="0"/>
    <n v="46054.713437500002"/>
  </r>
  <r>
    <n v="420"/>
    <s v="CENTRO CIRÚRGICO"/>
    <x v="0"/>
    <n v="46053.498668981483"/>
    <x v="0"/>
    <n v="46054.668726851851"/>
  </r>
  <r>
    <n v="421"/>
    <s v="CENTRO CIRÚRGICO"/>
    <x v="3"/>
    <n v="46053.597222222219"/>
    <x v="3"/>
    <n v="46053.833333333336"/>
  </r>
  <r>
    <n v="422"/>
    <s v="CENTRO CIRÚRGICO"/>
    <x v="0"/>
    <n v="46053.770833333336"/>
    <x v="1"/>
    <n v="46053.860254629632"/>
  </r>
  <r>
    <n v="423"/>
    <s v="CENTRO CIRÚRGICO"/>
    <x v="0"/>
    <n v="46053.975868055553"/>
    <x v="0"/>
    <n v="46054.37945601852"/>
  </r>
  <r>
    <n v="424"/>
    <s v="CENTRO CIRÚRGICO"/>
    <x v="0"/>
    <n v="46053.995729166665"/>
    <x v="0"/>
    <n v="46055.223043981481"/>
  </r>
  <r>
    <n v="425"/>
    <s v="CENTRO CIRÚRGICO"/>
    <x v="0"/>
    <n v="46054.246979166666"/>
    <x v="0"/>
    <n v="46054.973530092589"/>
  </r>
  <r>
    <n v="426"/>
    <s v="CENTRO CIRÚRGICO"/>
    <x v="0"/>
    <n v="46054.357233796298"/>
    <x v="0"/>
    <n v="46055.631064814814"/>
  </r>
  <r>
    <n v="427"/>
    <s v="CENTRO CIRÚRGICO"/>
    <x v="1"/>
    <n v="46054.451388888891"/>
    <x v="0"/>
    <n v="46054.475694444445"/>
  </r>
  <r>
    <n v="428"/>
    <s v="CENTRO CIRÚRGICO"/>
    <x v="1"/>
    <n v="46054.506944444445"/>
    <x v="1"/>
    <n v="46054.704780092594"/>
  </r>
  <r>
    <n v="429"/>
    <s v="CENTRO CIRÚRGICO"/>
    <x v="3"/>
    <n v="46054.569444444445"/>
    <x v="1"/>
    <n v="46054.652777777781"/>
  </r>
  <r>
    <n v="430"/>
    <s v="CENTRO CIRÚRGICO"/>
    <x v="0"/>
    <n v="46054.657106481478"/>
    <x v="0"/>
    <n v="46055.030046296299"/>
  </r>
  <r>
    <n v="431"/>
    <s v="CENTRO CIRÚRGICO"/>
    <x v="0"/>
    <n v="46054.735243055555"/>
    <x v="0"/>
    <n v="46055.511990740742"/>
  </r>
  <r>
    <n v="432"/>
    <s v="CENTRO CIRÚRGICO"/>
    <x v="0"/>
    <n v="46054.888240740744"/>
    <x v="1"/>
    <n v="46055.049328703702"/>
  </r>
  <r>
    <n v="433"/>
    <s v="CENTRO CIRÚRGICO"/>
    <x v="0"/>
    <n v="46054.959027777775"/>
    <x v="6"/>
    <n v="46055.032986111109"/>
  </r>
  <r>
    <n v="434"/>
    <s v="CENTRO CIRÚRGICO"/>
    <x v="0"/>
    <n v="46055.030381944445"/>
    <x v="0"/>
    <n v="46055.729351851849"/>
  </r>
  <r>
    <n v="435"/>
    <s v="CENTRO CIRÚRGICO"/>
    <x v="0"/>
    <n v="46055.281817129631"/>
    <x v="0"/>
    <n v="46055.906064814815"/>
  </r>
  <r>
    <n v="436"/>
    <s v="CENTRO CIRÚRGICO"/>
    <x v="0"/>
    <n v="46055.333749999998"/>
    <x v="0"/>
    <n v="46055.763368055559"/>
  </r>
  <r>
    <n v="437"/>
    <s v="CENTRO CIRÚRGICO"/>
    <x v="1"/>
    <n v="46055.340277777781"/>
    <x v="0"/>
    <n v="46055.392361111109"/>
  </r>
  <r>
    <n v="438"/>
    <s v="CENTRO CIRÚRGICO"/>
    <x v="1"/>
    <n v="46055.357638888891"/>
    <x v="0"/>
    <n v="46055.430555555555"/>
  </r>
  <r>
    <n v="439"/>
    <s v="CENTRO CIRÚRGICO"/>
    <x v="1"/>
    <n v="46055.375"/>
    <x v="0"/>
    <n v="46055.527777777781"/>
  </r>
  <r>
    <n v="440"/>
    <s v="CENTRO CIRÚRGICO"/>
    <x v="0"/>
    <n v="46055.466539351852"/>
    <x v="2"/>
    <n v="46055.717569444445"/>
  </r>
  <r>
    <n v="441"/>
    <s v="CENTRO CIRÚRGICO"/>
    <x v="1"/>
    <n v="46055.479166666664"/>
    <x v="0"/>
    <n v="46055.521527777775"/>
  </r>
  <r>
    <n v="442"/>
    <s v="CENTRO CIRÚRGICO"/>
    <x v="1"/>
    <n v="46055.506944444445"/>
    <x v="0"/>
    <n v="46055.618750000001"/>
  </r>
  <r>
    <n v="443"/>
    <s v="CENTRO CIRÚRGICO"/>
    <x v="0"/>
    <n v="46055.508680555555"/>
    <x v="1"/>
    <n v="46055.764270833337"/>
  </r>
  <r>
    <n v="444"/>
    <s v="CENTRO CIRÚRGICO"/>
    <x v="0"/>
    <n v="46055.555694444447"/>
    <x v="0"/>
    <n v="46056.049062500002"/>
  </r>
  <r>
    <n v="445"/>
    <s v="CENTRO CIRÚRGICO"/>
    <x v="2"/>
    <n v="46055.631944444445"/>
    <x v="3"/>
    <n v="46055.680555555555"/>
  </r>
  <r>
    <n v="446"/>
    <s v="CENTRO CIRÚRGICO"/>
    <x v="0"/>
    <n v="46055.65625"/>
    <x v="0"/>
    <n v="46055.688888888886"/>
  </r>
  <r>
    <n v="447"/>
    <s v="CENTRO CIRÚRGICO"/>
    <x v="0"/>
    <n v="46055.674016203702"/>
    <x v="0"/>
    <n v="46055.871828703705"/>
  </r>
  <r>
    <n v="448"/>
    <s v="CENTRO CIRÚRGICO"/>
    <x v="0"/>
    <n v="46055.715925925928"/>
    <x v="0"/>
    <n v="46056.777395833335"/>
  </r>
  <r>
    <n v="449"/>
    <s v="CENTRO CIRÚRGICO"/>
    <x v="2"/>
    <n v="46055.730243055557"/>
    <x v="0"/>
    <n v="46056.621631944443"/>
  </r>
  <r>
    <n v="450"/>
    <s v="CENTRO CIRÚRGICO"/>
    <x v="0"/>
    <n v="46055.847361111111"/>
    <x v="2"/>
    <n v="46056.457569444443"/>
  </r>
  <r>
    <n v="451"/>
    <s v="CENTRO CIRÚRGICO"/>
    <x v="0"/>
    <n v="46055.867094907408"/>
    <x v="2"/>
    <n v="46056.579432870371"/>
  </r>
  <r>
    <n v="452"/>
    <s v="CENTRO CIRÚRGICO"/>
    <x v="0"/>
    <n v="46055.901712962965"/>
    <x v="0"/>
    <n v="46056.769583333335"/>
  </r>
  <r>
    <n v="453"/>
    <s v="CENTRO CIRÚRGICO"/>
    <x v="1"/>
    <n v="46056.302083333336"/>
    <x v="0"/>
    <n v="46056.316666666666"/>
  </r>
  <r>
    <n v="454"/>
    <s v="CENTRO CIRÚRGICO"/>
    <x v="0"/>
    <n v="46056.312002314815"/>
    <x v="2"/>
    <n v="46056.608043981483"/>
  </r>
  <r>
    <n v="455"/>
    <s v="CENTRO CIRÚRGICO"/>
    <x v="1"/>
    <n v="46056.333333333336"/>
    <x v="0"/>
    <n v="46056.430555555555"/>
  </r>
  <r>
    <n v="456"/>
    <s v="CENTRO CIRÚRGICO"/>
    <x v="0"/>
    <n v="46056.333981481483"/>
    <x v="2"/>
    <n v="46056.586099537039"/>
  </r>
  <r>
    <n v="457"/>
    <s v="CENTRO CIRÚRGICO"/>
    <x v="0"/>
    <n v="46056.350543981483"/>
    <x v="0"/>
    <n v="46056.545706018522"/>
  </r>
  <r>
    <n v="458"/>
    <s v="CENTRO CIRÚRGICO"/>
    <x v="4"/>
    <n v="46056.361111111109"/>
    <x v="7"/>
    <n v="46056.475694444445"/>
  </r>
  <r>
    <n v="459"/>
    <s v="CENTRO CIRÚRGICO"/>
    <x v="0"/>
    <n v="46056.397002314814"/>
    <x v="2"/>
    <n v="46056.600671296299"/>
  </r>
  <r>
    <n v="460"/>
    <s v="CENTRO CIRÚRGICO"/>
    <x v="0"/>
    <n v="46056.459502314814"/>
    <x v="0"/>
    <n v="46056.637465277781"/>
  </r>
  <r>
    <n v="461"/>
    <s v="CENTRO CIRÚRGICO"/>
    <x v="0"/>
    <n v="46056.488715277781"/>
    <x v="0"/>
    <n v="46056.852731481478"/>
  </r>
  <r>
    <n v="462"/>
    <s v="CENTRO CIRÚRGICO"/>
    <x v="2"/>
    <n v="46056.524305555555"/>
    <x v="1"/>
    <n v="46056.755624999998"/>
  </r>
  <r>
    <n v="463"/>
    <s v="CENTRO CIRÚRGICO"/>
    <x v="0"/>
    <n v="46056.556481481479"/>
    <x v="0"/>
    <n v="46057.542233796295"/>
  </r>
  <r>
    <n v="464"/>
    <s v="CENTRO CIRÚRGICO"/>
    <x v="1"/>
    <n v="46056.5625"/>
    <x v="0"/>
    <n v="46056.704861111109"/>
  </r>
  <r>
    <n v="465"/>
    <s v="CENTRO CIRÚRGICO"/>
    <x v="0"/>
    <n v="46056.588553240741"/>
    <x v="0"/>
    <n v="46056.735162037039"/>
  </r>
  <r>
    <n v="466"/>
    <s v="CENTRO CIRÚRGICO"/>
    <x v="3"/>
    <n v="46056.614583333336"/>
    <x v="1"/>
    <n v="46056.732638888891"/>
  </r>
  <r>
    <n v="467"/>
    <s v="CENTRO CIRÚRGICO"/>
    <x v="2"/>
    <n v="46056.770833333336"/>
    <x v="3"/>
    <n v="46056.805555555555"/>
  </r>
  <r>
    <n v="468"/>
    <s v="CENTRO CIRÚRGICO"/>
    <x v="1"/>
    <n v="46056.78125"/>
    <x v="0"/>
    <n v="46056.819444444445"/>
  </r>
  <r>
    <n v="469"/>
    <s v="CENTRO CIRÚRGICO"/>
    <x v="0"/>
    <n v="46056.901203703703"/>
    <x v="0"/>
    <n v="46057.692337962966"/>
  </r>
  <r>
    <n v="470"/>
    <s v="CENTRO CIRÚRGICO"/>
    <x v="0"/>
    <n v="46056.909722222219"/>
    <x v="2"/>
    <n v="46057.407650462963"/>
  </r>
  <r>
    <n v="471"/>
    <s v="CENTRO CIRÚRGICO"/>
    <x v="1"/>
    <n v="46056.927083333336"/>
    <x v="1"/>
    <n v="46057.051562499997"/>
  </r>
  <r>
    <n v="472"/>
    <s v="CENTRO CIRÚRGICO"/>
    <x v="1"/>
    <n v="46057.347222222219"/>
    <x v="0"/>
    <n v="46057.4375"/>
  </r>
  <r>
    <n v="473"/>
    <s v="CENTRO CIRÚRGICO"/>
    <x v="1"/>
    <n v="46057.354166666664"/>
    <x v="0"/>
    <n v="46057.534722222219"/>
  </r>
  <r>
    <n v="474"/>
    <s v="CENTRO CIRÚRGICO"/>
    <x v="0"/>
    <n v="46057.361111111109"/>
    <x v="0"/>
    <n v="46057.444444444445"/>
  </r>
  <r>
    <n v="475"/>
    <s v="CENTRO CIRÚRGICO"/>
    <x v="1"/>
    <n v="46057.361111111109"/>
    <x v="0"/>
    <n v="46057.413194444445"/>
  </r>
  <r>
    <n v="476"/>
    <s v="CENTRO CIRÚRGICO"/>
    <x v="3"/>
    <n v="46057.458333333336"/>
    <x v="0"/>
    <n v="46057.572916666664"/>
  </r>
  <r>
    <n v="477"/>
    <s v="CENTRO CIRÚRGICO"/>
    <x v="1"/>
    <n v="46057.465277777781"/>
    <x v="0"/>
    <n v="46057.506944444445"/>
  </r>
  <r>
    <n v="478"/>
    <s v="CENTRO CIRÚRGICO"/>
    <x v="1"/>
    <n v="46057.479166666664"/>
    <x v="0"/>
    <n v="46057.487500000003"/>
  </r>
  <r>
    <n v="479"/>
    <s v="CENTRO CIRÚRGICO"/>
    <x v="1"/>
    <n v="46057.524305555555"/>
    <x v="0"/>
    <n v="46057.555555555555"/>
  </r>
  <r>
    <n v="480"/>
    <s v="CENTRO CIRÚRGICO"/>
    <x v="1"/>
    <n v="46057.59375"/>
    <x v="0"/>
    <n v="46057.746527777781"/>
  </r>
  <r>
    <n v="481"/>
    <s v="CENTRO CIRÚRGICO"/>
    <x v="0"/>
    <n v="46057.605104166665"/>
    <x v="0"/>
    <n v="46058.495162037034"/>
  </r>
  <r>
    <n v="482"/>
    <s v="CENTRO CIRÚRGICO"/>
    <x v="1"/>
    <n v="46057.625"/>
    <x v="0"/>
    <n v="46057.650694444441"/>
  </r>
  <r>
    <n v="483"/>
    <s v="CENTRO CIRÚRGICO"/>
    <x v="1"/>
    <n v="46057.708333333336"/>
    <x v="0"/>
    <n v="46057.784722222219"/>
  </r>
  <r>
    <n v="484"/>
    <s v="CENTRO CIRÚRGICO"/>
    <x v="0"/>
    <n v="46057.836261574077"/>
    <x v="0"/>
    <n v="46058.039942129632"/>
  </r>
  <r>
    <n v="485"/>
    <s v="CENTRO CIRÚRGICO"/>
    <x v="1"/>
    <n v="46057.980555555558"/>
    <x v="0"/>
    <n v="46058.006944444445"/>
  </r>
  <r>
    <n v="486"/>
    <s v="CENTRO CIRÚRGICO"/>
    <x v="2"/>
    <n v="46058.305555555555"/>
    <x v="3"/>
    <n v="46058.326388888891"/>
  </r>
  <r>
    <n v="487"/>
    <s v="CENTRO CIRÚRGICO"/>
    <x v="0"/>
    <n v="46058.311516203707"/>
    <x v="0"/>
    <n v="46058.501851851855"/>
  </r>
  <r>
    <n v="488"/>
    <s v="CENTRO CIRÚRGICO"/>
    <x v="1"/>
    <n v="46058.326388888891"/>
    <x v="0"/>
    <n v="46058.430555555555"/>
  </r>
  <r>
    <n v="489"/>
    <s v="CENTRO CIRÚRGICO"/>
    <x v="1"/>
    <n v="46058.347222222219"/>
    <x v="0"/>
    <n v="46058.465277777781"/>
  </r>
  <r>
    <n v="490"/>
    <s v="CENTRO CIRÚRGICO"/>
    <x v="2"/>
    <n v="46058.388888888891"/>
    <x v="1"/>
    <n v="46058.404166666667"/>
  </r>
  <r>
    <n v="491"/>
    <s v="CENTRO CIRÚRGICO"/>
    <x v="3"/>
    <n v="46058.409722222219"/>
    <x v="0"/>
    <n v="46058.513888888891"/>
  </r>
  <r>
    <n v="492"/>
    <s v="CENTRO CIRÚRGICO"/>
    <x v="0"/>
    <n v="46058.458240740743"/>
    <x v="0"/>
    <n v="46058.654791666668"/>
  </r>
  <r>
    <n v="493"/>
    <s v="CENTRO CIRÚRGICO"/>
    <x v="0"/>
    <n v="46058.458981481483"/>
    <x v="1"/>
    <n v="46058.767175925925"/>
  </r>
  <r>
    <n v="494"/>
    <s v="CENTRO CIRÚRGICO"/>
    <x v="2"/>
    <n v="46058.477326388886"/>
    <x v="0"/>
    <n v="46058.692175925928"/>
  </r>
  <r>
    <n v="495"/>
    <s v="CENTRO CIRÚRGICO"/>
    <x v="1"/>
    <n v="46058.53125"/>
    <x v="0"/>
    <n v="46058.618055555555"/>
  </r>
  <r>
    <n v="496"/>
    <s v="CENTRO CIRÚRGICO"/>
    <x v="0"/>
    <n v="46058.563148148147"/>
    <x v="1"/>
    <n v="46058.907905092594"/>
  </r>
  <r>
    <n v="497"/>
    <s v="CENTRO CIRÚRGICO"/>
    <x v="2"/>
    <n v="46058.565972222219"/>
    <x v="1"/>
    <n v="46058.588888888888"/>
  </r>
  <r>
    <n v="498"/>
    <s v="CENTRO CIRÚRGICO"/>
    <x v="0"/>
    <n v="46058.620208333334"/>
    <x v="2"/>
    <n v="46058.749826388892"/>
  </r>
  <r>
    <n v="499"/>
    <s v="CENTRO CIRÚRGICO"/>
    <x v="0"/>
    <n v="46058.673819444448"/>
    <x v="0"/>
    <n v="46058.940601851849"/>
  </r>
  <r>
    <n v="500"/>
    <s v="CENTRO CIRÚRGICO"/>
    <x v="1"/>
    <n v="46058.6875"/>
    <x v="0"/>
    <n v="46058.815972222219"/>
  </r>
  <r>
    <n v="501"/>
    <s v="CENTRO CIRÚRGICO"/>
    <x v="1"/>
    <n v="46058.694444444445"/>
    <x v="0"/>
    <n v="46058.767361111109"/>
  </r>
  <r>
    <n v="502"/>
    <s v="CENTRO CIRÚRGICO"/>
    <x v="0"/>
    <n v="46058.908495370371"/>
    <x v="0"/>
    <n v="46059.485717592594"/>
  </r>
  <r>
    <n v="503"/>
    <s v="CENTRO CIRÚRGICO"/>
    <x v="0"/>
    <n v="46058.956296296295"/>
    <x v="0"/>
    <n v="46059.042569444442"/>
  </r>
  <r>
    <n v="504"/>
    <s v="CENTRO CIRÚRGICO"/>
    <x v="0"/>
    <n v="46059.001180555555"/>
    <x v="3"/>
    <n v="46066.704756944448"/>
  </r>
  <r>
    <n v="505"/>
    <s v="CENTRO CIRÚRGICO"/>
    <x v="0"/>
    <n v="46059.117881944447"/>
    <x v="0"/>
    <n v="46059.509409722225"/>
  </r>
  <r>
    <n v="506"/>
    <s v="CENTRO CIRÚRGICO"/>
    <x v="1"/>
    <n v="46059.333333333336"/>
    <x v="0"/>
    <n v="46059.475694444445"/>
  </r>
  <r>
    <n v="507"/>
    <s v="CENTRO CIRÚRGICO"/>
    <x v="1"/>
    <n v="46059.354166666664"/>
    <x v="0"/>
    <n v="46068.529537037037"/>
  </r>
  <r>
    <n v="508"/>
    <s v="CENTRO CIRÚRGICO"/>
    <x v="3"/>
    <n v="46059.361111111109"/>
    <x v="3"/>
    <n v="46059.416666666664"/>
  </r>
  <r>
    <n v="509"/>
    <s v="CENTRO CIRÚRGICO"/>
    <x v="0"/>
    <n v="46059.389826388891"/>
    <x v="1"/>
    <n v="46079.633275462962"/>
  </r>
  <r>
    <n v="510"/>
    <s v="CENTRO CIRÚRGICO"/>
    <x v="2"/>
    <n v="46059.458333333336"/>
    <x v="3"/>
    <n v="46059.489583333336"/>
  </r>
  <r>
    <n v="511"/>
    <s v="CENTRO CIRÚRGICO"/>
    <x v="1"/>
    <n v="46059.604166666664"/>
    <x v="1"/>
    <n v="46059.708333333336"/>
  </r>
  <r>
    <n v="512"/>
    <s v="CENTRO CIRÚRGICO"/>
    <x v="1"/>
    <n v="46059.638888888891"/>
    <x v="0"/>
    <n v="46059.71875"/>
  </r>
  <r>
    <n v="513"/>
    <s v="CENTRO CIRÚRGICO"/>
    <x v="1"/>
    <n v="46059.670138888891"/>
    <x v="0"/>
    <n v="46059.690972222219"/>
  </r>
  <r>
    <n v="514"/>
    <s v="CENTRO CIRÚRGICO"/>
    <x v="0"/>
    <n v="46059.684849537036"/>
    <x v="0"/>
    <n v="46059.926342592589"/>
  </r>
  <r>
    <n v="515"/>
    <s v="CENTRO CIRÚRGICO"/>
    <x v="0"/>
    <n v="46059.717766203707"/>
    <x v="1"/>
    <n v="46059.909201388888"/>
  </r>
  <r>
    <n v="516"/>
    <s v="CENTRO CIRÚRGICO"/>
    <x v="0"/>
    <n v="46059.775833333333"/>
    <x v="0"/>
    <n v="46060.030555555553"/>
  </r>
  <r>
    <n v="517"/>
    <s v="CENTRO CIRÚRGICO"/>
    <x v="0"/>
    <n v="46059.867581018516"/>
    <x v="0"/>
    <n v="46060.611168981479"/>
  </r>
  <r>
    <n v="518"/>
    <s v="CENTRO CIRÚRGICO"/>
    <x v="0"/>
    <n v="46059.882881944446"/>
    <x v="0"/>
    <n v="46061.525763888887"/>
  </r>
  <r>
    <n v="519"/>
    <s v="CENTRO CIRÚRGICO"/>
    <x v="0"/>
    <n v="46059.944953703707"/>
    <x v="1"/>
    <n v="46060.641365740739"/>
  </r>
  <r>
    <n v="520"/>
    <s v="CENTRO CIRÚRGICO"/>
    <x v="0"/>
    <n v="46060.117708333331"/>
    <x v="1"/>
    <n v="46060.913958333331"/>
  </r>
  <r>
    <n v="521"/>
    <s v="CENTRO CIRÚRGICO"/>
    <x v="1"/>
    <n v="46060.364583333336"/>
    <x v="0"/>
    <n v="46060.545138888891"/>
  </r>
  <r>
    <n v="522"/>
    <s v="CENTRO CIRÚRGICO"/>
    <x v="0"/>
    <n v="46060.395231481481"/>
    <x v="0"/>
    <n v="46060.59070601852"/>
  </r>
  <r>
    <n v="523"/>
    <s v="CENTRO CIRÚRGICO"/>
    <x v="3"/>
    <n v="46060.399305555555"/>
    <x v="1"/>
    <n v="46060.527777777781"/>
  </r>
  <r>
    <n v="524"/>
    <s v="CENTRO CIRÚRGICO"/>
    <x v="0"/>
    <n v="46060.454259259262"/>
    <x v="0"/>
    <n v="46061.027395833335"/>
  </r>
  <r>
    <n v="525"/>
    <s v="CENTRO CIRÚRGICO"/>
    <x v="0"/>
    <n v="46060.506006944444"/>
    <x v="1"/>
    <n v="46061.265462962961"/>
  </r>
  <r>
    <n v="526"/>
    <s v="CENTRO CIRÚRGICO"/>
    <x v="3"/>
    <n v="46060.611111111109"/>
    <x v="3"/>
    <n v="46060.743055555555"/>
  </r>
  <r>
    <n v="527"/>
    <s v="CENTRO CIRÚRGICO"/>
    <x v="0"/>
    <n v="46060.657523148147"/>
    <x v="0"/>
    <n v="46061.033796296295"/>
  </r>
  <r>
    <n v="528"/>
    <s v="CENTRO CIRÚRGICO"/>
    <x v="3"/>
    <n v="46060.664583333331"/>
    <x v="3"/>
    <n v="46060.760416666664"/>
  </r>
  <r>
    <n v="529"/>
    <s v="CENTRO CIRÚRGICO"/>
    <x v="0"/>
    <n v="46060.810555555552"/>
    <x v="0"/>
    <n v="46061.645324074074"/>
  </r>
  <r>
    <n v="530"/>
    <s v="CENTRO CIRÚRGICO"/>
    <x v="0"/>
    <n v="46060.881284722222"/>
    <x v="0"/>
    <n v="46061.008298611108"/>
  </r>
  <r>
    <n v="531"/>
    <s v="CENTRO CIRÚRGICO"/>
    <x v="0"/>
    <n v="46061.035219907404"/>
    <x v="5"/>
    <n v="46063.044861111113"/>
  </r>
  <r>
    <n v="532"/>
    <s v="CENTRO CIRÚRGICO"/>
    <x v="2"/>
    <n v="46061.347222222219"/>
    <x v="0"/>
    <n v="46068.704259259262"/>
  </r>
  <r>
    <n v="533"/>
    <s v="CENTRO CIRÚRGICO"/>
    <x v="1"/>
    <n v="46061.364583333336"/>
    <x v="0"/>
    <n v="46061.395833333336"/>
  </r>
  <r>
    <n v="534"/>
    <s v="CENTRO CIRÚRGICO"/>
    <x v="0"/>
    <n v="46061.404710648145"/>
    <x v="0"/>
    <n v="46062.68854166667"/>
  </r>
  <r>
    <n v="535"/>
    <s v="CENTRO CIRÚRGICO"/>
    <x v="1"/>
    <n v="46061.479166666664"/>
    <x v="0"/>
    <n v="46061.520833333336"/>
  </r>
  <r>
    <n v="536"/>
    <s v="CENTRO CIRÚRGICO"/>
    <x v="0"/>
    <n v="46061.579861111109"/>
    <x v="0"/>
    <n v="46061.882407407407"/>
  </r>
  <r>
    <n v="537"/>
    <s v="CENTRO CIRÚRGICO"/>
    <x v="0"/>
    <n v="46061.628981481481"/>
    <x v="2"/>
    <n v="46062.465555555558"/>
  </r>
  <r>
    <n v="538"/>
    <s v="CENTRO CIRÚRGICO"/>
    <x v="2"/>
    <n v="46061.666666666664"/>
    <x v="3"/>
    <n v="46061.680555555555"/>
  </r>
  <r>
    <n v="539"/>
    <s v="CENTRO CIRÚRGICO"/>
    <x v="0"/>
    <n v="46061.685196759259"/>
    <x v="1"/>
    <n v="46062.743703703702"/>
  </r>
  <r>
    <n v="540"/>
    <s v="CENTRO CIRÚRGICO"/>
    <x v="3"/>
    <n v="46061.854166666664"/>
    <x v="3"/>
    <n v="46061.888888888891"/>
  </r>
  <r>
    <n v="541"/>
    <s v="CENTRO CIRÚRGICO"/>
    <x v="1"/>
    <n v="46061.9375"/>
    <x v="0"/>
    <n v="46061.958333333336"/>
  </r>
  <r>
    <n v="542"/>
    <s v="CENTRO CIRÚRGICO"/>
    <x v="0"/>
    <n v="46062.001886574071"/>
    <x v="0"/>
    <n v="46062.652696759258"/>
  </r>
  <r>
    <n v="543"/>
    <s v="CENTRO CIRÚRGICO"/>
    <x v="0"/>
    <n v="46062.100844907407"/>
    <x v="1"/>
    <n v="46063.641331018516"/>
  </r>
  <r>
    <n v="544"/>
    <s v="CENTRO CIRÚRGICO"/>
    <x v="0"/>
    <n v="46062.283900462964"/>
    <x v="0"/>
    <n v="46062.763287037036"/>
  </r>
  <r>
    <n v="545"/>
    <s v="CENTRO CIRÚRGICO"/>
    <x v="2"/>
    <n v="46062.378472222219"/>
    <x v="3"/>
    <n v="46062.451388888891"/>
  </r>
  <r>
    <n v="546"/>
    <s v="CENTRO CIRÚRGICO"/>
    <x v="0"/>
    <n v="46062.50953703704"/>
    <x v="1"/>
    <n v="46062.832858796297"/>
  </r>
  <r>
    <n v="547"/>
    <s v="CENTRO CIRÚRGICO"/>
    <x v="0"/>
    <n v="46062.524224537039"/>
    <x v="0"/>
    <n v="46063.515983796293"/>
  </r>
  <r>
    <n v="548"/>
    <s v="CENTRO CIRÚRGICO"/>
    <x v="3"/>
    <n v="46062.729166666664"/>
    <x v="3"/>
    <n v="46062.861111111109"/>
  </r>
  <r>
    <n v="549"/>
    <s v="CENTRO CIRÚRGICO"/>
    <x v="3"/>
    <n v="46062.741666666669"/>
    <x v="0"/>
    <n v="46062.833333333336"/>
  </r>
  <r>
    <n v="550"/>
    <s v="CENTRO CIRÚRGICO"/>
    <x v="0"/>
    <n v="46062.903761574074"/>
    <x v="0"/>
    <n v="46063.046458333331"/>
  </r>
  <r>
    <n v="551"/>
    <s v="CENTRO CIRÚRGICO"/>
    <x v="0"/>
    <n v="46063.282962962963"/>
    <x v="0"/>
    <n v="46063.634351851855"/>
  </r>
  <r>
    <n v="552"/>
    <s v="CENTRO CIRÚRGICO"/>
    <x v="1"/>
    <n v="46063.291666666664"/>
    <x v="0"/>
    <n v="46063.3125"/>
  </r>
  <r>
    <n v="553"/>
    <s v="CENTRO CIRÚRGICO"/>
    <x v="1"/>
    <n v="46063.333333333336"/>
    <x v="0"/>
    <n v="46063.409722222219"/>
  </r>
  <r>
    <n v="554"/>
    <s v="CENTRO CIRÚRGICO"/>
    <x v="1"/>
    <n v="46063.333333333336"/>
    <x v="0"/>
    <n v="46063.458333333336"/>
  </r>
  <r>
    <n v="555"/>
    <s v="CENTRO CIRÚRGICO"/>
    <x v="0"/>
    <n v="46063.333761574075"/>
    <x v="2"/>
    <n v="46063.7502662037"/>
  </r>
  <r>
    <n v="556"/>
    <s v="CENTRO CIRÚRGICO"/>
    <x v="1"/>
    <n v="46063.354166666664"/>
    <x v="0"/>
    <n v="46063.381944444445"/>
  </r>
  <r>
    <n v="557"/>
    <s v="CENTRO CIRÚRGICO"/>
    <x v="3"/>
    <n v="46063.447916666664"/>
    <x v="0"/>
    <n v="46063.5"/>
  </r>
  <r>
    <n v="558"/>
    <s v="CENTRO CIRÚRGICO"/>
    <x v="1"/>
    <n v="46063.487500000003"/>
    <x v="0"/>
    <n v="46063.489583333336"/>
  </r>
  <r>
    <n v="559"/>
    <s v="CENTRO CIRÚRGICO"/>
    <x v="2"/>
    <n v="46063.5"/>
    <x v="3"/>
    <n v="46063.652777777781"/>
  </r>
  <r>
    <n v="560"/>
    <s v="CENTRO CIRÚRGICO"/>
    <x v="2"/>
    <n v="46063.565972222219"/>
    <x v="3"/>
    <n v="46063.625694444447"/>
  </r>
  <r>
    <n v="561"/>
    <s v="CENTRO CIRÚRGICO"/>
    <x v="1"/>
    <n v="46063.579861111109"/>
    <x v="0"/>
    <n v="46063.666666666664"/>
  </r>
  <r>
    <n v="562"/>
    <s v="CENTRO CIRÚRGICO"/>
    <x v="0"/>
    <n v="46063.586319444446"/>
    <x v="1"/>
    <n v="46063.777407407404"/>
  </r>
  <r>
    <n v="563"/>
    <s v="CENTRO CIRÚRGICO"/>
    <x v="1"/>
    <n v="46063.604166666664"/>
    <x v="0"/>
    <n v="46063.708333333336"/>
  </r>
  <r>
    <n v="564"/>
    <s v="CENTRO CIRÚRGICO"/>
    <x v="0"/>
    <n v="46063.673807870371"/>
    <x v="0"/>
    <n v="46063.890555555554"/>
  </r>
  <r>
    <n v="565"/>
    <s v="CENTRO CIRÚRGICO"/>
    <x v="0"/>
    <n v="46063.674849537034"/>
    <x v="0"/>
    <n v="46063.891192129631"/>
  </r>
  <r>
    <n v="566"/>
    <s v="CENTRO CIRÚRGICO"/>
    <x v="0"/>
    <n v="46063.704861111109"/>
    <x v="0"/>
    <n v="46065.603888888887"/>
  </r>
  <r>
    <n v="567"/>
    <s v="CENTRO CIRÚRGICO"/>
    <x v="0"/>
    <n v="46063.752928240741"/>
    <x v="0"/>
    <n v="46063.893865740742"/>
  </r>
  <r>
    <n v="568"/>
    <s v="CENTRO CIRÚRGICO"/>
    <x v="0"/>
    <n v="46063.844594907408"/>
    <x v="0"/>
    <n v="46064.670983796299"/>
  </r>
  <r>
    <n v="569"/>
    <s v="CENTRO CIRÚRGICO"/>
    <x v="0"/>
    <n v="46063.88858796296"/>
    <x v="0"/>
    <n v="46064.264537037037"/>
  </r>
  <r>
    <n v="570"/>
    <s v="CENTRO CIRÚRGICO"/>
    <x v="0"/>
    <n v="46063.939386574071"/>
    <x v="0"/>
    <n v="46064.665462962963"/>
  </r>
  <r>
    <n v="571"/>
    <s v="CENTRO CIRÚRGICO"/>
    <x v="0"/>
    <n v="46064.002974537034"/>
    <x v="0"/>
    <n v="46064.50341435185"/>
  </r>
  <r>
    <n v="572"/>
    <s v="CENTRO CIRÚRGICO"/>
    <x v="4"/>
    <n v="46064.262789351851"/>
    <x v="0"/>
    <n v="46064.865613425929"/>
  </r>
  <r>
    <n v="573"/>
    <s v="CENTRO CIRÚRGICO"/>
    <x v="1"/>
    <n v="46064.340277777781"/>
    <x v="0"/>
    <n v="46064.427083333336"/>
  </r>
  <r>
    <n v="574"/>
    <s v="CENTRO CIRÚRGICO"/>
    <x v="1"/>
    <n v="46064.34375"/>
    <x v="0"/>
    <n v="46064.451388888891"/>
  </r>
  <r>
    <n v="575"/>
    <s v="CENTRO CIRÚRGICO"/>
    <x v="1"/>
    <n v="46064.354166666664"/>
    <x v="0"/>
    <n v="46064.402777777781"/>
  </r>
  <r>
    <n v="576"/>
    <s v="CENTRO CIRÚRGICO"/>
    <x v="3"/>
    <n v="46064.361111111109"/>
    <x v="3"/>
    <n v="46064.444444444445"/>
  </r>
  <r>
    <n v="577"/>
    <s v="CENTRO CIRÚRGICO"/>
    <x v="0"/>
    <n v="46064.448217592595"/>
    <x v="1"/>
    <n v="46064.662638888891"/>
  </r>
  <r>
    <n v="578"/>
    <s v="CENTRO CIRÚRGICO"/>
    <x v="1"/>
    <n v="46064.5"/>
    <x v="0"/>
    <n v="46064.527777777781"/>
  </r>
  <r>
    <n v="579"/>
    <s v="CENTRO CIRÚRGICO"/>
    <x v="2"/>
    <n v="46064.519166666665"/>
    <x v="2"/>
    <n v="46065.358483796299"/>
  </r>
  <r>
    <n v="580"/>
    <s v="CENTRO CIRÚRGICO"/>
    <x v="1"/>
    <n v="46064.53125"/>
    <x v="0"/>
    <n v="46065.429745370369"/>
  </r>
  <r>
    <n v="581"/>
    <s v="CENTRO CIRÚRGICO"/>
    <x v="1"/>
    <n v="46064.541666666664"/>
    <x v="0"/>
    <n v="46064.583333333336"/>
  </r>
  <r>
    <n v="582"/>
    <s v="CENTRO CIRÚRGICO"/>
    <x v="0"/>
    <n v="46064.560925925929"/>
    <x v="0"/>
    <n v="46064.845497685186"/>
  </r>
  <r>
    <n v="583"/>
    <s v="CENTRO CIRÚRGICO"/>
    <x v="0"/>
    <n v="46064.583414351851"/>
    <x v="0"/>
    <n v="46065.518067129633"/>
  </r>
  <r>
    <n v="584"/>
    <s v="CENTRO CIRÚRGICO"/>
    <x v="0"/>
    <n v="46064.615960648145"/>
    <x v="0"/>
    <n v="46064.760428240741"/>
  </r>
  <r>
    <n v="585"/>
    <s v="CENTRO CIRÚRGICO"/>
    <x v="0"/>
    <n v="46064.695474537039"/>
    <x v="1"/>
    <n v="46064.846307870372"/>
  </r>
  <r>
    <n v="586"/>
    <s v="CENTRO CIRÚRGICO"/>
    <x v="0"/>
    <n v="46064.732118055559"/>
    <x v="0"/>
    <n v="46064.874745370369"/>
  </r>
  <r>
    <n v="587"/>
    <s v="CENTRO CIRÚRGICO"/>
    <x v="0"/>
    <n v="46064.850937499999"/>
    <x v="0"/>
    <n v="46065.02412037037"/>
  </r>
  <r>
    <n v="588"/>
    <s v="CENTRO CIRÚRGICO"/>
    <x v="0"/>
    <n v="46064.953032407408"/>
    <x v="0"/>
    <n v="46065.257789351854"/>
  </r>
  <r>
    <n v="589"/>
    <s v="CENTRO CIRÚRGICO"/>
    <x v="0"/>
    <n v="46065.278923611113"/>
    <x v="2"/>
    <n v="46065.423958333333"/>
  </r>
  <r>
    <n v="590"/>
    <s v="CENTRO CIRÚRGICO"/>
    <x v="0"/>
    <n v="46065.280115740738"/>
    <x v="0"/>
    <n v="46065.679675925923"/>
  </r>
  <r>
    <n v="591"/>
    <s v="CENTRO CIRÚRGICO"/>
    <x v="2"/>
    <n v="46065.28125"/>
    <x v="3"/>
    <n v="46065.3125"/>
  </r>
  <r>
    <n v="592"/>
    <s v="CENTRO CIRÚRGICO"/>
    <x v="0"/>
    <n v="46065.282685185186"/>
    <x v="2"/>
    <n v="46065.35434027778"/>
  </r>
  <r>
    <n v="593"/>
    <s v="CENTRO CIRÚRGICO"/>
    <x v="1"/>
    <n v="46065.34375"/>
    <x v="0"/>
    <n v="46065.371527777781"/>
  </r>
  <r>
    <n v="594"/>
    <s v="CENTRO CIRÚRGICO"/>
    <x v="1"/>
    <n v="46065.34375"/>
    <x v="0"/>
    <n v="46065.436111111114"/>
  </r>
  <r>
    <n v="595"/>
    <s v="CENTRO CIRÚRGICO"/>
    <x v="1"/>
    <n v="46065.354166666664"/>
    <x v="0"/>
    <n v="46065.451388888891"/>
  </r>
  <r>
    <n v="596"/>
    <s v="CENTRO CIRÚRGICO"/>
    <x v="2"/>
    <n v="46065.427083333336"/>
    <x v="3"/>
    <n v="46065.438888888886"/>
  </r>
  <r>
    <n v="597"/>
    <s v="CENTRO CIRÚRGICO"/>
    <x v="1"/>
    <n v="46065.440972222219"/>
    <x v="0"/>
    <n v="46065.5"/>
  </r>
  <r>
    <n v="598"/>
    <s v="CENTRO CIRÚRGICO"/>
    <x v="2"/>
    <n v="46065.486435185187"/>
    <x v="1"/>
    <n v="46065.836400462962"/>
  </r>
  <r>
    <n v="599"/>
    <s v="CENTRO CIRÚRGICO"/>
    <x v="1"/>
    <n v="46065.505555555559"/>
    <x v="0"/>
    <n v="46065.595138888886"/>
  </r>
  <r>
    <n v="600"/>
    <s v="CENTRO CIRÚRGICO"/>
    <x v="1"/>
    <n v="46065.506249999999"/>
    <x v="0"/>
    <n v="46065.545138888891"/>
  </r>
  <r>
    <n v="601"/>
    <s v="CENTRO CIRÚRGICO"/>
    <x v="1"/>
    <n v="46065.506944444445"/>
    <x v="0"/>
    <n v="46065.53125"/>
  </r>
  <r>
    <n v="602"/>
    <s v="CENTRO CIRÚRGICO"/>
    <x v="0"/>
    <n v="46065.520127314812"/>
    <x v="0"/>
    <n v="46066.505844907406"/>
  </r>
  <r>
    <n v="603"/>
    <s v="CENTRO CIRÚRGICO"/>
    <x v="0"/>
    <n v="46065.568368055552"/>
    <x v="0"/>
    <n v="46065.943206018521"/>
  </r>
  <r>
    <n v="604"/>
    <s v="CENTRO CIRÚRGICO"/>
    <x v="0"/>
    <n v="46065.625"/>
    <x v="1"/>
    <n v="46065.787569444445"/>
  </r>
  <r>
    <n v="605"/>
    <s v="CENTRO CIRÚRGICO"/>
    <x v="1"/>
    <n v="46065.708333333336"/>
    <x v="1"/>
    <n v="46066.731296296297"/>
  </r>
  <r>
    <n v="606"/>
    <s v="CENTRO CIRÚRGICO"/>
    <x v="1"/>
    <n v="46065.756944444445"/>
    <x v="3"/>
    <n v="46065.777777777781"/>
  </r>
  <r>
    <n v="607"/>
    <s v="CENTRO CIRÚRGICO"/>
    <x v="0"/>
    <n v="46065.882592592592"/>
    <x v="0"/>
    <n v="46066.51321759259"/>
  </r>
  <r>
    <n v="608"/>
    <s v="CENTRO CIRÚRGICO"/>
    <x v="0"/>
    <n v="46065.912974537037"/>
    <x v="0"/>
    <n v="46066.532800925925"/>
  </r>
  <r>
    <n v="609"/>
    <s v="CENTRO CIRÚRGICO"/>
    <x v="0"/>
    <n v="46066.011111111111"/>
    <x v="0"/>
    <n v="46066.756574074076"/>
  </r>
  <r>
    <n v="610"/>
    <s v="CENTRO CIRÚRGICO"/>
    <x v="2"/>
    <n v="46066.288194444445"/>
    <x v="3"/>
    <n v="46066.315972222219"/>
  </r>
  <r>
    <n v="611"/>
    <s v="CENTRO CIRÚRGICO"/>
    <x v="1"/>
    <n v="46066.34375"/>
    <x v="0"/>
    <n v="46066.416666666664"/>
  </r>
  <r>
    <n v="612"/>
    <s v="CENTRO CIRÚRGICO"/>
    <x v="1"/>
    <n v="46066.361111111109"/>
    <x v="0"/>
    <n v="46066.392361111109"/>
  </r>
  <r>
    <n v="613"/>
    <s v="CENTRO CIRÚRGICO"/>
    <x v="4"/>
    <n v="46066.369942129626"/>
    <x v="2"/>
    <n v="46066.564965277779"/>
  </r>
  <r>
    <n v="614"/>
    <s v="CENTRO CIRÚRGICO"/>
    <x v="1"/>
    <n v="46066.375"/>
    <x v="0"/>
    <n v="46066.541666666664"/>
  </r>
  <r>
    <n v="615"/>
    <s v="CENTRO CIRÚRGICO"/>
    <x v="1"/>
    <n v="46066.46875"/>
    <x v="0"/>
    <n v="46066.604166666664"/>
  </r>
  <r>
    <n v="616"/>
    <s v="CENTRO CIRÚRGICO"/>
    <x v="2"/>
    <n v="46066.472222222219"/>
    <x v="1"/>
    <n v="46066.619641203702"/>
  </r>
  <r>
    <n v="617"/>
    <s v="CENTRO CIRÚRGICO"/>
    <x v="1"/>
    <n v="46066.524305555555"/>
    <x v="0"/>
    <n v="46066.604166666664"/>
  </r>
  <r>
    <n v="618"/>
    <s v="CENTRO CIRÚRGICO"/>
    <x v="1"/>
    <n v="46066.630069444444"/>
    <x v="1"/>
    <n v="46066.918576388889"/>
  </r>
  <r>
    <n v="619"/>
    <s v="CENTRO CIRÚRGICO"/>
    <x v="3"/>
    <n v="46066.652777777781"/>
    <x v="0"/>
    <n v="46066.739583333336"/>
  </r>
  <r>
    <n v="620"/>
    <s v="CENTRO CIRÚRGICO"/>
    <x v="2"/>
    <n v="46066.675775462965"/>
    <x v="0"/>
    <n v="46066.908043981479"/>
  </r>
  <r>
    <n v="621"/>
    <s v="CENTRO CIRÚRGICO"/>
    <x v="1"/>
    <n v="46066.690972222219"/>
    <x v="0"/>
    <n v="46066.826388888891"/>
  </r>
  <r>
    <n v="622"/>
    <s v="CENTRO CIRÚRGICO"/>
    <x v="0"/>
    <n v="46066.876168981478"/>
    <x v="0"/>
    <n v="46067.941851851851"/>
  </r>
  <r>
    <n v="623"/>
    <s v="CENTRO CIRÚRGICO"/>
    <x v="0"/>
    <n v="46067.214745370373"/>
    <x v="1"/>
    <n v="46067.740567129629"/>
  </r>
  <r>
    <n v="624"/>
    <s v="CENTRO CIRÚRGICO"/>
    <x v="1"/>
    <n v="46067.375"/>
    <x v="0"/>
    <n v="46067.427083333336"/>
  </r>
  <r>
    <n v="625"/>
    <s v="CENTRO CIRÚRGICO"/>
    <x v="1"/>
    <n v="46067.381944444445"/>
    <x v="0"/>
    <n v="46067.423611111109"/>
  </r>
  <r>
    <n v="626"/>
    <s v="CENTRO CIRÚRGICO"/>
    <x v="0"/>
    <n v="46067.456469907411"/>
    <x v="0"/>
    <n v="46067.661990740744"/>
  </r>
  <r>
    <n v="627"/>
    <s v="CENTRO CIRÚRGICO"/>
    <x v="2"/>
    <n v="46067.479166666664"/>
    <x v="3"/>
    <n v="46067.548611111109"/>
  </r>
  <r>
    <n v="628"/>
    <s v="CENTRO CIRÚRGICO"/>
    <x v="1"/>
    <n v="46067.534722222219"/>
    <x v="0"/>
    <n v="46067.555555555555"/>
  </r>
  <r>
    <n v="629"/>
    <s v="CENTRO CIRÚRGICO"/>
    <x v="2"/>
    <n v="46067.619641203702"/>
    <x v="0"/>
    <n v="46068.669502314813"/>
  </r>
  <r>
    <n v="630"/>
    <s v="CENTRO CIRÚRGICO"/>
    <x v="2"/>
    <n v="46067.722916666666"/>
    <x v="3"/>
    <n v="46067.8125"/>
  </r>
  <r>
    <n v="631"/>
    <s v="CENTRO CIRÚRGICO"/>
    <x v="1"/>
    <n v="46067.730555555558"/>
    <x v="0"/>
    <n v="46067.763888888891"/>
  </r>
  <r>
    <n v="632"/>
    <s v="CENTRO CIRÚRGICO"/>
    <x v="0"/>
    <n v="46067.808854166666"/>
    <x v="0"/>
    <n v="46068.842488425929"/>
  </r>
  <r>
    <n v="633"/>
    <s v="CENTRO CIRÚRGICO"/>
    <x v="0"/>
    <n v="46067.872372685182"/>
    <x v="0"/>
    <n v="46068.661180555559"/>
  </r>
  <r>
    <n v="634"/>
    <s v="CENTRO CIRÚRGICO"/>
    <x v="0"/>
    <n v="46068.027615740742"/>
    <x v="0"/>
    <n v="46068.53230324074"/>
  </r>
  <r>
    <n v="635"/>
    <s v="CENTRO CIRÚRGICO"/>
    <x v="0"/>
    <n v="46068.049849537034"/>
    <x v="0"/>
    <n v="46068.644270833334"/>
  </r>
  <r>
    <n v="636"/>
    <s v="CENTRO CIRÚRGICO"/>
    <x v="0"/>
    <n v="46068.182638888888"/>
    <x v="0"/>
    <n v="46069.543368055558"/>
  </r>
  <r>
    <n v="637"/>
    <s v="CENTRO CIRÚRGICO"/>
    <x v="1"/>
    <n v="46068.388888888891"/>
    <x v="0"/>
    <n v="46068.418055555558"/>
  </r>
  <r>
    <n v="638"/>
    <s v="CENTRO CIRÚRGICO"/>
    <x v="2"/>
    <n v="46068.46875"/>
    <x v="1"/>
    <n v="46069.852349537039"/>
  </r>
  <r>
    <n v="639"/>
    <s v="CENTRO CIRÚRGICO"/>
    <x v="0"/>
    <n v="46068.479826388888"/>
    <x v="0"/>
    <n v="46069.536504629628"/>
  </r>
  <r>
    <n v="640"/>
    <s v="CENTRO CIRÚRGICO"/>
    <x v="0"/>
    <n v="46068.717511574076"/>
    <x v="0"/>
    <n v="46069.684062499997"/>
  </r>
  <r>
    <n v="641"/>
    <s v="CENTRO CIRÚRGICO"/>
    <x v="0"/>
    <n v="46068.835439814815"/>
    <x v="0"/>
    <n v="46069.6640625"/>
  </r>
  <r>
    <n v="642"/>
    <s v="CENTRO CIRÚRGICO"/>
    <x v="0"/>
    <n v="46068.850324074076"/>
    <x v="0"/>
    <n v="46070.619432870371"/>
  </r>
  <r>
    <n v="643"/>
    <s v="CENTRO CIRÚRGICO"/>
    <x v="0"/>
    <n v="46068.973958333336"/>
    <x v="0"/>
    <n v="46069.242418981485"/>
  </r>
  <r>
    <n v="644"/>
    <s v="CENTRO CIRÚRGICO"/>
    <x v="0"/>
    <n v="46069.023993055554"/>
    <x v="0"/>
    <n v="46069.654907407406"/>
  </r>
  <r>
    <n v="645"/>
    <s v="CENTRO CIRÚRGICO"/>
    <x v="0"/>
    <n v="46069.091608796298"/>
    <x v="0"/>
    <n v="46069.71166666667"/>
  </r>
  <r>
    <n v="646"/>
    <s v="CENTRO CIRÚRGICO"/>
    <x v="0"/>
    <n v="46069.130972222221"/>
    <x v="0"/>
    <n v="46069.623194444444"/>
  </r>
  <r>
    <n v="647"/>
    <s v="CENTRO CIRÚRGICO"/>
    <x v="1"/>
    <n v="46069.333333333336"/>
    <x v="0"/>
    <n v="46069.370833333334"/>
  </r>
  <r>
    <n v="648"/>
    <s v="CENTRO CIRÚRGICO"/>
    <x v="1"/>
    <n v="46069.340277777781"/>
    <x v="0"/>
    <n v="46069.465277777781"/>
  </r>
  <r>
    <n v="649"/>
    <s v="CENTRO CIRÚRGICO"/>
    <x v="1"/>
    <n v="46069.34375"/>
    <x v="0"/>
    <n v="46069.451388888891"/>
  </r>
  <r>
    <n v="650"/>
    <s v="CENTRO CIRÚRGICO"/>
    <x v="3"/>
    <n v="46069.361111111109"/>
    <x v="3"/>
    <n v="46069.465277777781"/>
  </r>
  <r>
    <n v="651"/>
    <s v="CENTRO CIRÚRGICO"/>
    <x v="3"/>
    <n v="46069.40625"/>
    <x v="0"/>
    <n v="46069.431250000001"/>
  </r>
  <r>
    <n v="652"/>
    <s v="CENTRO CIRÚRGICO"/>
    <x v="1"/>
    <n v="46069.447916666664"/>
    <x v="1"/>
    <n v="46069.522222222222"/>
  </r>
  <r>
    <n v="653"/>
    <s v="CENTRO CIRÚRGICO"/>
    <x v="0"/>
    <n v="46069.481956018521"/>
    <x v="1"/>
    <n v="46069.791006944448"/>
  </r>
  <r>
    <n v="654"/>
    <s v="CENTRO CIRÚRGICO"/>
    <x v="2"/>
    <n v="46069.519872685189"/>
    <x v="2"/>
    <n v="46070.546041666668"/>
  </r>
  <r>
    <n v="655"/>
    <s v="CENTRO CIRÚRGICO"/>
    <x v="1"/>
    <n v="46069.5625"/>
    <x v="0"/>
    <n v="46069.666666666664"/>
  </r>
  <r>
    <n v="656"/>
    <s v="CENTRO CIRÚRGICO"/>
    <x v="0"/>
    <n v="46069.591990740744"/>
    <x v="0"/>
    <n v="46069.861886574072"/>
  </r>
  <r>
    <n v="657"/>
    <s v="CENTRO CIRÚRGICO"/>
    <x v="0"/>
    <n v="46069.599189814813"/>
    <x v="0"/>
    <n v="46069.880810185183"/>
  </r>
  <r>
    <n v="658"/>
    <s v="CENTRO CIRÚRGICO"/>
    <x v="3"/>
    <n v="46069.75"/>
    <x v="3"/>
    <n v="46069.840277777781"/>
  </r>
  <r>
    <n v="659"/>
    <s v="CENTRO CIRÚRGICO"/>
    <x v="0"/>
    <n v="46069.896655092591"/>
    <x v="0"/>
    <n v="46070.03601851852"/>
  </r>
  <r>
    <n v="660"/>
    <s v="CENTRO CIRÚRGICO"/>
    <x v="0"/>
    <n v="46069.90697916667"/>
    <x v="1"/>
    <n v="46070.015763888892"/>
  </r>
  <r>
    <n v="661"/>
    <s v="CENTRO CIRÚRGICO"/>
    <x v="1"/>
    <n v="46070.340277777781"/>
    <x v="0"/>
    <n v="46070.413194444445"/>
  </r>
  <r>
    <n v="662"/>
    <s v="CENTRO CIRÚRGICO"/>
    <x v="2"/>
    <n v="46070.343518518515"/>
    <x v="0"/>
    <n v="46070.679467592592"/>
  </r>
  <r>
    <n v="663"/>
    <s v="CENTRO CIRÚRGICO"/>
    <x v="1"/>
    <n v="46070.364583333336"/>
    <x v="0"/>
    <n v="46070.454861111109"/>
  </r>
  <r>
    <n v="664"/>
    <s v="CENTRO CIRÚRGICO"/>
    <x v="3"/>
    <n v="46070.371527777781"/>
    <x v="0"/>
    <n v="46070.458333333336"/>
  </r>
  <r>
    <n v="665"/>
    <s v="CENTRO CIRÚRGICO"/>
    <x v="1"/>
    <n v="46070.375"/>
    <x v="0"/>
    <n v="46070.479166666664"/>
  </r>
  <r>
    <n v="666"/>
    <s v="CENTRO CIRÚRGICO"/>
    <x v="2"/>
    <n v="46070.451388888891"/>
    <x v="3"/>
    <n v="46070.541666666664"/>
  </r>
  <r>
    <n v="667"/>
    <s v="CENTRO CIRÚRGICO"/>
    <x v="1"/>
    <n v="46070.486111111109"/>
    <x v="0"/>
    <n v="46070.541666666664"/>
  </r>
  <r>
    <n v="668"/>
    <s v="CENTRO CIRÚRGICO"/>
    <x v="0"/>
    <n v="46070.486851851849"/>
    <x v="0"/>
    <n v="46071.031215277777"/>
  </r>
  <r>
    <n v="669"/>
    <s v="CENTRO CIRÚRGICO"/>
    <x v="0"/>
    <n v="46070.52039351852"/>
    <x v="0"/>
    <n v="46070.721493055556"/>
  </r>
  <r>
    <n v="670"/>
    <s v="CENTRO CIRÚRGICO"/>
    <x v="1"/>
    <n v="46070.618055555555"/>
    <x v="0"/>
    <n v="46070.708333333336"/>
  </r>
  <r>
    <n v="671"/>
    <s v="CENTRO CIRÚRGICO"/>
    <x v="1"/>
    <n v="46070.618055555555"/>
    <x v="0"/>
    <n v="46070.753472222219"/>
  </r>
  <r>
    <n v="672"/>
    <s v="CENTRO CIRÚRGICO"/>
    <x v="0"/>
    <n v="46070.627488425926"/>
    <x v="1"/>
    <n v="46070.777361111112"/>
  </r>
  <r>
    <n v="673"/>
    <s v="CENTRO CIRÚRGICO"/>
    <x v="1"/>
    <n v="46070.659722222219"/>
    <x v="0"/>
    <n v="46070.708333333336"/>
  </r>
  <r>
    <n v="674"/>
    <s v="CENTRO CIRÚRGICO"/>
    <x v="2"/>
    <n v="46070.722222222219"/>
    <x v="3"/>
    <n v="46070.857638888891"/>
  </r>
  <r>
    <n v="675"/>
    <s v="CENTRO CIRÚRGICO"/>
    <x v="0"/>
    <n v="46070.922754629632"/>
    <x v="0"/>
    <n v="46072.487245370372"/>
  </r>
  <r>
    <n v="676"/>
    <s v="CENTRO CIRÚRGICO"/>
    <x v="0"/>
    <n v="46070.923541666663"/>
    <x v="0"/>
    <n v="46071.261111111111"/>
  </r>
  <r>
    <n v="677"/>
    <s v="CENTRO CIRÚRGICO"/>
    <x v="4"/>
    <n v="46071.323854166665"/>
    <x v="0"/>
    <n v="46071.549201388887"/>
  </r>
  <r>
    <n v="678"/>
    <s v="CENTRO CIRÚRGICO"/>
    <x v="0"/>
    <n v="46071.32744212963"/>
    <x v="1"/>
    <n v="46071.606863425928"/>
  </r>
  <r>
    <n v="679"/>
    <s v="CENTRO CIRÚRGICO"/>
    <x v="1"/>
    <n v="46071.347222222219"/>
    <x v="0"/>
    <n v="46071.493055555555"/>
  </r>
  <r>
    <n v="680"/>
    <s v="CENTRO CIRÚRGICO"/>
    <x v="1"/>
    <n v="46071.347222222219"/>
    <x v="0"/>
    <n v="46071.378472222219"/>
  </r>
  <r>
    <n v="681"/>
    <s v="CENTRO CIRÚRGICO"/>
    <x v="1"/>
    <n v="46071.350694444445"/>
    <x v="0"/>
    <n v="46071.4375"/>
  </r>
  <r>
    <n v="682"/>
    <s v="CENTRO CIRÚRGICO"/>
    <x v="1"/>
    <n v="46071.423611111109"/>
    <x v="0"/>
    <n v="46071.4375"/>
  </r>
  <r>
    <n v="683"/>
    <s v="CENTRO CIRÚRGICO"/>
    <x v="2"/>
    <n v="46071.465729166666"/>
    <x v="0"/>
    <n v="46071.780474537038"/>
  </r>
  <r>
    <n v="684"/>
    <s v="CENTRO CIRÚRGICO"/>
    <x v="1"/>
    <n v="46071.53402777778"/>
    <x v="0"/>
    <n v="46071.673611111109"/>
  </r>
  <r>
    <n v="685"/>
    <s v="CENTRO CIRÚRGICO"/>
    <x v="1"/>
    <n v="46071.583333333336"/>
    <x v="0"/>
    <n v="46071.616666666669"/>
  </r>
  <r>
    <n v="686"/>
    <s v="CENTRO CIRÚRGICO"/>
    <x v="0"/>
    <n v="46071.620775462965"/>
    <x v="0"/>
    <n v="46072.639016203706"/>
  </r>
  <r>
    <n v="687"/>
    <s v="CENTRO CIRÚRGICO"/>
    <x v="2"/>
    <n v="46071.677083333336"/>
    <x v="3"/>
    <n v="46071.679166666669"/>
  </r>
  <r>
    <n v="688"/>
    <s v="CENTRO CIRÚRGICO"/>
    <x v="2"/>
    <n v="46071.736111111109"/>
    <x v="3"/>
    <n v="46071.777777777781"/>
  </r>
  <r>
    <n v="689"/>
    <s v="CENTRO CIRÚRGICO"/>
    <x v="0"/>
    <n v="46072.285127314812"/>
    <x v="2"/>
    <n v="46072.574791666666"/>
  </r>
  <r>
    <n v="690"/>
    <s v="CENTRO CIRÚRGICO"/>
    <x v="0"/>
    <n v="46072.288356481484"/>
    <x v="0"/>
    <n v="46072.471388888887"/>
  </r>
  <r>
    <n v="691"/>
    <s v="CENTRO CIRÚRGICO"/>
    <x v="0"/>
    <n v="46072.318692129629"/>
    <x v="0"/>
    <n v="46072.671168981484"/>
  </r>
  <r>
    <n v="692"/>
    <s v="CENTRO CIRÚRGICO"/>
    <x v="1"/>
    <n v="46072.347222222219"/>
    <x v="0"/>
    <n v="46072.40625"/>
  </r>
  <r>
    <n v="693"/>
    <s v="CENTRO CIRÚRGICO"/>
    <x v="1"/>
    <n v="46072.368055555555"/>
    <x v="0"/>
    <n v="46072.451388888891"/>
  </r>
  <r>
    <n v="694"/>
    <s v="CENTRO CIRÚRGICO"/>
    <x v="1"/>
    <n v="46072.371527777781"/>
    <x v="0"/>
    <n v="46072.486111111109"/>
  </r>
  <r>
    <n v="695"/>
    <s v="CENTRO CIRÚRGICO"/>
    <x v="0"/>
    <n v="46072.39230324074"/>
    <x v="0"/>
    <n v="46072.531898148147"/>
  </r>
  <r>
    <n v="696"/>
    <s v="CENTRO CIRÚRGICO"/>
    <x v="1"/>
    <n v="46072.475694444445"/>
    <x v="0"/>
    <n v="46072.534722222219"/>
  </r>
  <r>
    <n v="697"/>
    <s v="CENTRO CIRÚRGICO"/>
    <x v="0"/>
    <n v="46072.496655092589"/>
    <x v="2"/>
    <n v="46072.604594907411"/>
  </r>
  <r>
    <n v="698"/>
    <s v="CENTRO CIRÚRGICO"/>
    <x v="0"/>
    <n v="46072.538124999999"/>
    <x v="0"/>
    <n v="46072.752013888887"/>
  </r>
  <r>
    <n v="699"/>
    <s v="CENTRO CIRÚRGICO"/>
    <x v="4"/>
    <n v="46072.541666666664"/>
    <x v="7"/>
    <n v="46072.621527777781"/>
  </r>
  <r>
    <n v="700"/>
    <s v="CENTRO CIRÚRGICO"/>
    <x v="2"/>
    <n v="46072.578796296293"/>
    <x v="3"/>
    <n v="46072.672418981485"/>
  </r>
  <r>
    <n v="701"/>
    <s v="CENTRO CIRÚRGICO"/>
    <x v="3"/>
    <n v="46072.618055555555"/>
    <x v="0"/>
    <n v="46072.760416666664"/>
  </r>
  <r>
    <n v="702"/>
    <s v="CENTRO CIRÚRGICO"/>
    <x v="0"/>
    <n v="46072.625208333331"/>
    <x v="0"/>
    <n v="46072.770046296297"/>
  </r>
  <r>
    <n v="703"/>
    <s v="CENTRO CIRÚRGICO"/>
    <x v="1"/>
    <n v="46072.701388888891"/>
    <x v="1"/>
    <n v="46072.774305555555"/>
  </r>
  <r>
    <n v="704"/>
    <s v="CENTRO CIRÚRGICO"/>
    <x v="0"/>
    <n v="46073.289317129631"/>
    <x v="0"/>
    <n v="46073.662743055553"/>
  </r>
  <r>
    <n v="705"/>
    <s v="CENTRO CIRÚRGICO"/>
    <x v="1"/>
    <n v="46073.333333333336"/>
    <x v="0"/>
    <n v="46073.521527777775"/>
  </r>
  <r>
    <n v="706"/>
    <s v="CENTRO CIRÚRGICO"/>
    <x v="2"/>
    <n v="46073.340277777781"/>
    <x v="1"/>
    <n v="46073.375"/>
  </r>
  <r>
    <n v="707"/>
    <s v="CENTRO CIRÚRGICO"/>
    <x v="1"/>
    <n v="46073.388888888891"/>
    <x v="1"/>
    <n v="46073.487719907411"/>
  </r>
  <r>
    <n v="708"/>
    <s v="CENTRO CIRÚRGICO"/>
    <x v="1"/>
    <n v="46073.395833333336"/>
    <x v="0"/>
    <n v="46073.555555555555"/>
  </r>
  <r>
    <n v="709"/>
    <s v="CENTRO CIRÚRGICO"/>
    <x v="2"/>
    <n v="46073.417326388888"/>
    <x v="0"/>
    <n v="46073.575520833336"/>
  </r>
  <r>
    <n v="710"/>
    <s v="CENTRO CIRÚRGICO"/>
    <x v="0"/>
    <n v="46073.516250000001"/>
    <x v="2"/>
    <n v="46073.658090277779"/>
  </r>
  <r>
    <n v="711"/>
    <s v="CENTRO CIRÚRGICO"/>
    <x v="1"/>
    <n v="46073.572916666664"/>
    <x v="1"/>
    <n v="46073.659722222219"/>
  </r>
  <r>
    <n v="712"/>
    <s v="CENTRO CIRÚRGICO"/>
    <x v="3"/>
    <n v="46073.604166666664"/>
    <x v="0"/>
    <n v="46073.868055555555"/>
  </r>
  <r>
    <n v="713"/>
    <s v="CENTRO CIRÚRGICO"/>
    <x v="3"/>
    <n v="46073.618055555555"/>
    <x v="3"/>
    <n v="46073.649305555555"/>
  </r>
  <r>
    <n v="714"/>
    <s v="CENTRO CIRÚRGICO"/>
    <x v="2"/>
    <n v="46073.635416666664"/>
    <x v="3"/>
    <n v="46073.643750000003"/>
  </r>
  <r>
    <n v="715"/>
    <s v="CENTRO CIRÚRGICO"/>
    <x v="3"/>
    <n v="46073.645833333336"/>
    <x v="3"/>
    <n v="46073.708333333336"/>
  </r>
  <r>
    <n v="716"/>
    <s v="CENTRO CIRÚRGICO"/>
    <x v="0"/>
    <n v="46073.698275462964"/>
    <x v="0"/>
    <n v="46073.945694444446"/>
  </r>
  <r>
    <n v="717"/>
    <s v="CENTRO CIRÚRGICO"/>
    <x v="1"/>
    <n v="46073.722222222219"/>
    <x v="0"/>
    <n v="46073.77847222222"/>
  </r>
  <r>
    <n v="718"/>
    <s v="CENTRO CIRÚRGICO"/>
    <x v="1"/>
    <n v="46073.736111111109"/>
    <x v="0"/>
    <n v="46073.819444444445"/>
  </r>
  <r>
    <n v="719"/>
    <s v="CENTRO CIRÚRGICO"/>
    <x v="0"/>
    <n v="46073.844224537039"/>
    <x v="0"/>
    <n v="46074.454259259262"/>
  </r>
  <r>
    <n v="720"/>
    <s v="CENTRO CIRÚRGICO"/>
    <x v="1"/>
    <n v="46073.916666666664"/>
    <x v="0"/>
    <n v="46074.017361111109"/>
  </r>
  <r>
    <n v="721"/>
    <s v="CENTRO CIRÚRGICO"/>
    <x v="0"/>
    <n v="46073.960266203707"/>
    <x v="0"/>
    <n v="46074.375520833331"/>
  </r>
  <r>
    <n v="722"/>
    <s v="CENTRO CIRÚRGICO"/>
    <x v="1"/>
    <n v="46074.388888888891"/>
    <x v="0"/>
    <n v="46074.40347222222"/>
  </r>
  <r>
    <n v="723"/>
    <s v="CENTRO CIRÚRGICO"/>
    <x v="1"/>
    <n v="46074.395833333336"/>
    <x v="4"/>
    <n v="46074.4375"/>
  </r>
  <r>
    <n v="724"/>
    <s v="CENTRO CIRÚRGICO"/>
    <x v="1"/>
    <n v="46074.423611111109"/>
    <x v="0"/>
    <n v="46074.447916666664"/>
  </r>
  <r>
    <n v="725"/>
    <s v="CENTRO CIRÚRGICO"/>
    <x v="1"/>
    <n v="46074.452662037038"/>
    <x v="0"/>
    <n v="46078.662187499998"/>
  </r>
  <r>
    <n v="726"/>
    <s v="CENTRO CIRÚRGICO"/>
    <x v="1"/>
    <n v="46074.489583333336"/>
    <x v="0"/>
    <n v="46074.512499999997"/>
  </r>
  <r>
    <n v="727"/>
    <s v="CENTRO CIRÚRGICO"/>
    <x v="0"/>
    <n v="46074.527372685188"/>
    <x v="0"/>
    <n v="46074.737743055557"/>
  </r>
  <r>
    <n v="728"/>
    <s v="CENTRO CIRÚRGICO"/>
    <x v="1"/>
    <n v="46074.611111111109"/>
    <x v="1"/>
    <n v="46074.832083333335"/>
  </r>
  <r>
    <n v="729"/>
    <s v="CENTRO CIRÚRGICO"/>
    <x v="0"/>
    <n v="46074.667650462965"/>
    <x v="1"/>
    <n v="46075.568194444444"/>
  </r>
  <r>
    <n v="730"/>
    <s v="CENTRO CIRÚRGICO"/>
    <x v="2"/>
    <n v="46074.729166666664"/>
    <x v="3"/>
    <n v="46074.75"/>
  </r>
  <r>
    <n v="731"/>
    <s v="CENTRO CIRÚRGICO"/>
    <x v="0"/>
    <n v="46074.811238425929"/>
    <x v="0"/>
    <n v="46075.03429398148"/>
  </r>
  <r>
    <n v="732"/>
    <s v="CENTRO CIRÚRGICO"/>
    <x v="0"/>
    <n v="46074.898912037039"/>
    <x v="0"/>
    <n v="46075.053333333337"/>
  </r>
  <r>
    <n v="733"/>
    <s v="CENTRO CIRÚRGICO"/>
    <x v="0"/>
    <n v="46074.949837962966"/>
    <x v="2"/>
    <n v="46075.357025462959"/>
  </r>
  <r>
    <n v="734"/>
    <s v="CENTRO CIRÚRGICO"/>
    <x v="1"/>
    <n v="46075.395833333336"/>
    <x v="1"/>
    <n v="46075.440972222219"/>
  </r>
  <r>
    <n v="735"/>
    <s v="CENTRO CIRÚRGICO"/>
    <x v="1"/>
    <n v="46075.430555555555"/>
    <x v="0"/>
    <n v="46075.445138888892"/>
  </r>
  <r>
    <n v="736"/>
    <s v="CENTRO CIRÚRGICO"/>
    <x v="1"/>
    <n v="46075.5"/>
    <x v="1"/>
    <n v="46075.524305555555"/>
  </r>
  <r>
    <n v="737"/>
    <s v="CENTRO CIRÚRGICO"/>
    <x v="0"/>
    <n v="46075.893043981479"/>
    <x v="0"/>
    <n v="46076.662592592591"/>
  </r>
  <r>
    <n v="738"/>
    <s v="CENTRO CIRÚRGICO"/>
    <x v="0"/>
    <n v="46076.334618055553"/>
    <x v="0"/>
    <n v="46076.88622685185"/>
  </r>
  <r>
    <n v="739"/>
    <s v="CENTRO CIRÚRGICO"/>
    <x v="0"/>
    <n v="46076.337314814817"/>
    <x v="0"/>
    <n v="46076.626354166663"/>
  </r>
  <r>
    <n v="740"/>
    <s v="CENTRO CIRÚRGICO"/>
    <x v="1"/>
    <n v="46076.338587962964"/>
    <x v="1"/>
    <n v="46076.710636574076"/>
  </r>
  <r>
    <n v="741"/>
    <s v="CENTRO CIRÚRGICO"/>
    <x v="1"/>
    <n v="46076.354166666664"/>
    <x v="0"/>
    <n v="46076.458333333336"/>
  </r>
  <r>
    <n v="742"/>
    <s v="CENTRO CIRÚRGICO"/>
    <x v="2"/>
    <n v="46076.377604166664"/>
    <x v="1"/>
    <n v="46076.608148148145"/>
  </r>
  <r>
    <n v="743"/>
    <s v="CENTRO CIRÚRGICO"/>
    <x v="0"/>
    <n v="46076.505347222221"/>
    <x v="0"/>
    <n v="46077.669988425929"/>
  </r>
  <r>
    <n v="744"/>
    <s v="CENTRO CIRÚRGICO"/>
    <x v="1"/>
    <n v="46076.520833333336"/>
    <x v="0"/>
    <n v="46076.628472222219"/>
  </r>
  <r>
    <n v="745"/>
    <s v="CENTRO CIRÚRGICO"/>
    <x v="0"/>
    <n v="46076.608715277776"/>
    <x v="0"/>
    <n v="46077.657384259262"/>
  </r>
  <r>
    <n v="746"/>
    <s v="CENTRO CIRÚRGICO"/>
    <x v="2"/>
    <n v="46076.663194444445"/>
    <x v="0"/>
    <n v="46076.75"/>
  </r>
  <r>
    <n v="747"/>
    <s v="CENTRO CIRÚRGICO"/>
    <x v="0"/>
    <n v="46076.675196759257"/>
    <x v="1"/>
    <n v="46076.931643518517"/>
  </r>
  <r>
    <n v="748"/>
    <s v="CENTRO CIRÚRGICO"/>
    <x v="3"/>
    <n v="46076.732638888891"/>
    <x v="0"/>
    <n v="46076.948611111111"/>
  </r>
  <r>
    <n v="749"/>
    <s v="CENTRO CIRÚRGICO"/>
    <x v="0"/>
    <n v="46076.760405092595"/>
    <x v="0"/>
    <n v="46076.891342592593"/>
  </r>
  <r>
    <n v="750"/>
    <s v="CENTRO CIRÚRGICO"/>
    <x v="0"/>
    <n v="46076.850694444445"/>
    <x v="0"/>
    <n v="46077.013321759259"/>
  </r>
  <r>
    <n v="751"/>
    <s v="CENTRO CIRÚRGICO"/>
    <x v="0"/>
    <n v="46077.270127314812"/>
    <x v="0"/>
    <n v="46077.721608796295"/>
  </r>
  <r>
    <n v="752"/>
    <s v="CENTRO CIRÚRGICO"/>
    <x v="0"/>
    <n v="46077.28125"/>
    <x v="0"/>
    <n v="46077.711898148147"/>
  </r>
  <r>
    <n v="753"/>
    <s v="CENTRO CIRÚRGICO"/>
    <x v="1"/>
    <n v="46077.354166666664"/>
    <x v="0"/>
    <n v="46077.40625"/>
  </r>
  <r>
    <n v="754"/>
    <s v="CENTRO CIRÚRGICO"/>
    <x v="1"/>
    <n v="46077.357638888891"/>
    <x v="0"/>
    <n v="46077.506944444445"/>
  </r>
  <r>
    <n v="755"/>
    <s v="CENTRO CIRÚRGICO"/>
    <x v="3"/>
    <n v="46077.366666666669"/>
    <x v="6"/>
    <n v="46087.661412037036"/>
  </r>
  <r>
    <n v="756"/>
    <s v="CENTRO CIRÚRGICO"/>
    <x v="2"/>
    <n v="46077.395833333336"/>
    <x v="3"/>
    <n v="46077.424305555556"/>
  </r>
  <r>
    <n v="757"/>
    <s v="CENTRO CIRÚRGICO"/>
    <x v="2"/>
    <n v="46077.521087962959"/>
    <x v="0"/>
    <n v="46077.729861111111"/>
  </r>
  <r>
    <n v="758"/>
    <s v="CENTRO CIRÚRGICO"/>
    <x v="0"/>
    <n v="46077.545532407406"/>
    <x v="0"/>
    <n v="46077.957719907405"/>
  </r>
  <r>
    <n v="759"/>
    <s v="CENTRO CIRÚRGICO"/>
    <x v="3"/>
    <n v="46077.583333333336"/>
    <x v="0"/>
    <n v="46077.78125"/>
  </r>
  <r>
    <n v="760"/>
    <s v="CENTRO CIRÚRGICO"/>
    <x v="0"/>
    <n v="46077.599560185183"/>
    <x v="0"/>
    <n v="46078.072164351855"/>
  </r>
  <r>
    <n v="761"/>
    <s v="CENTRO CIRÚRGICO"/>
    <x v="0"/>
    <n v="46077.655555555553"/>
    <x v="2"/>
    <n v="46078.475752314815"/>
  </r>
  <r>
    <n v="762"/>
    <s v="CENTRO CIRÚRGICO"/>
    <x v="1"/>
    <n v="46077.736111111109"/>
    <x v="0"/>
    <n v="46077.871527777781"/>
  </r>
  <r>
    <n v="763"/>
    <s v="CENTRO CIRÚRGICO"/>
    <x v="0"/>
    <n v="46077.755636574075"/>
    <x v="0"/>
    <n v="46077.865428240744"/>
  </r>
  <r>
    <n v="764"/>
    <s v="CENTRO CIRÚRGICO"/>
    <x v="0"/>
    <n v="46077.872511574074"/>
    <x v="0"/>
    <n v="46079.625960648147"/>
  </r>
  <r>
    <n v="765"/>
    <s v="CENTRO CIRÚRGICO"/>
    <x v="0"/>
    <n v="46078.293935185182"/>
    <x v="0"/>
    <n v="46078.716550925928"/>
  </r>
  <r>
    <n v="766"/>
    <s v="CENTRO CIRÚRGICO"/>
    <x v="0"/>
    <n v="46078.296030092592"/>
    <x v="0"/>
    <n v="46078.697800925926"/>
  </r>
  <r>
    <n v="767"/>
    <s v="CENTRO CIRÚRGICO"/>
    <x v="4"/>
    <n v="46078.333182870374"/>
    <x v="3"/>
    <n v="46079.427743055552"/>
  </r>
  <r>
    <n v="768"/>
    <s v="CENTRO CIRÚRGICO"/>
    <x v="1"/>
    <n v="46078.345138888886"/>
    <x v="3"/>
    <n v="46078.380555555559"/>
  </r>
  <r>
    <n v="769"/>
    <s v="CENTRO CIRÚRGICO"/>
    <x v="1"/>
    <n v="46078.347222222219"/>
    <x v="0"/>
    <n v="46078.472222222219"/>
  </r>
  <r>
    <n v="770"/>
    <s v="CENTRO CIRÚRGICO"/>
    <x v="1"/>
    <n v="46078.440972222219"/>
    <x v="0"/>
    <n v="46078.559027777781"/>
  </r>
  <r>
    <n v="771"/>
    <s v="CENTRO CIRÚRGICO"/>
    <x v="3"/>
    <n v="46078.506944444445"/>
    <x v="3"/>
    <n v="46078.638888888891"/>
  </r>
  <r>
    <n v="772"/>
    <s v="CENTRO CIRÚRGICO"/>
    <x v="0"/>
    <n v="46078.509131944447"/>
    <x v="0"/>
    <n v="46078.922858796293"/>
  </r>
  <r>
    <n v="773"/>
    <s v="CENTRO CIRÚRGICO"/>
    <x v="0"/>
    <n v="46078.526400462964"/>
    <x v="0"/>
    <n v="46078.702523148146"/>
  </r>
  <r>
    <n v="774"/>
    <s v="CENTRO CIRÚRGICO"/>
    <x v="1"/>
    <n v="46078.555555555555"/>
    <x v="0"/>
    <n v="46078.607638888891"/>
  </r>
  <r>
    <n v="775"/>
    <s v="CENTRO CIRÚRGICO"/>
    <x v="0"/>
    <n v="46078.59716435185"/>
    <x v="2"/>
    <n v="46079.613495370373"/>
  </r>
  <r>
    <n v="776"/>
    <s v="CENTRO CIRÚRGICO"/>
    <x v="0"/>
    <n v="46078.66982638889"/>
    <x v="1"/>
    <n v="46078.761099537034"/>
  </r>
  <r>
    <n v="777"/>
    <s v="CENTRO CIRÚRGICO"/>
    <x v="0"/>
    <n v="46078.708761574075"/>
    <x v="0"/>
    <n v="46080.684386574074"/>
  </r>
  <r>
    <n v="778"/>
    <s v="CENTRO CIRÚRGICO"/>
    <x v="0"/>
    <n v="46078.724490740744"/>
    <x v="2"/>
    <n v="46078.813449074078"/>
  </r>
  <r>
    <n v="779"/>
    <s v="CENTRO CIRÚRGICO"/>
    <x v="0"/>
    <n v="46078.892083333332"/>
    <x v="0"/>
    <n v="46079.780011574076"/>
  </r>
  <r>
    <n v="780"/>
    <s v="CENTRO CIRÚRGICO"/>
    <x v="0"/>
    <n v="46079.290763888886"/>
    <x v="2"/>
    <n v="46080.402094907404"/>
  </r>
  <r>
    <n v="781"/>
    <s v="CENTRO CIRÚRGICO"/>
    <x v="0"/>
    <n v="46079.298715277779"/>
    <x v="0"/>
    <n v="46079.581076388888"/>
  </r>
  <r>
    <n v="782"/>
    <s v="CENTRO CIRÚRGICO"/>
    <x v="1"/>
    <n v="46079.333333333336"/>
    <x v="0"/>
    <n v="46079.510416666664"/>
  </r>
  <r>
    <n v="783"/>
    <s v="CENTRO CIRÚRGICO"/>
    <x v="1"/>
    <n v="46079.336805555555"/>
    <x v="1"/>
    <n v="46079.37222222222"/>
  </r>
  <r>
    <n v="784"/>
    <s v="CENTRO CIRÚRGICO"/>
    <x v="1"/>
    <n v="46079.354166666664"/>
    <x v="0"/>
    <n v="46079.409722222219"/>
  </r>
  <r>
    <n v="785"/>
    <s v="CENTRO CIRÚRGICO"/>
    <x v="2"/>
    <n v="46079.40625"/>
    <x v="3"/>
    <n v="46079.451388888891"/>
  </r>
  <r>
    <n v="786"/>
    <s v="CENTRO CIRÚRGICO"/>
    <x v="1"/>
    <n v="46079.451388888891"/>
    <x v="0"/>
    <n v="46079.570138888892"/>
  </r>
  <r>
    <n v="787"/>
    <s v="CENTRO CIRÚRGICO"/>
    <x v="1"/>
    <n v="46079.475694444445"/>
    <x v="0"/>
    <n v="46079.510416666664"/>
  </r>
  <r>
    <n v="788"/>
    <s v="CENTRO CIRÚRGICO"/>
    <x v="1"/>
    <n v="46079.495833333334"/>
    <x v="0"/>
    <n v="46079.559027777781"/>
  </r>
  <r>
    <n v="789"/>
    <s v="CENTRO CIRÚRGICO"/>
    <x v="0"/>
    <n v="46079.500439814816"/>
    <x v="0"/>
    <n v="46079.700208333335"/>
  </r>
  <r>
    <n v="790"/>
    <s v="CENTRO CIRÚRGICO"/>
    <x v="1"/>
    <n v="46079.590277777781"/>
    <x v="0"/>
    <n v="46079.694444444445"/>
  </r>
  <r>
    <n v="791"/>
    <s v="CENTRO CIRÚRGICO"/>
    <x v="2"/>
    <n v="46079.59752314815"/>
    <x v="0"/>
    <n v="46079.866678240738"/>
  </r>
  <r>
    <n v="792"/>
    <s v="CENTRO CIRÚRGICO"/>
    <x v="0"/>
    <n v="46079.631944444445"/>
    <x v="0"/>
    <n v="46080.7187962963"/>
  </r>
  <r>
    <n v="793"/>
    <s v="CENTRO CIRÚRGICO"/>
    <x v="2"/>
    <n v="46079.645833333336"/>
    <x v="3"/>
    <n v="46079.776388888888"/>
  </r>
  <r>
    <n v="794"/>
    <s v="CENTRO CIRÚRGICO"/>
    <x v="1"/>
    <n v="46079.701388888891"/>
    <x v="0"/>
    <n v="46079.703472222223"/>
  </r>
  <r>
    <n v="795"/>
    <s v="CENTRO CIRÚRGICO"/>
    <x v="2"/>
    <n v="46079.71875"/>
    <x v="3"/>
    <n v="46079.736111111109"/>
  </r>
  <r>
    <n v="796"/>
    <s v="CENTRO CIRÚRGICO"/>
    <x v="0"/>
    <n v="46079.772777777776"/>
    <x v="0"/>
    <n v="46080.62128472222"/>
  </r>
  <r>
    <n v="797"/>
    <s v="CENTRO CIRÚRGICO"/>
    <x v="0"/>
    <n v="46079.772777777776"/>
    <x v="0"/>
    <n v="46080.62128472222"/>
  </r>
  <r>
    <n v="798"/>
    <s v="CENTRO CIRÚRGICO"/>
    <x v="0"/>
    <n v="46079.939097222225"/>
    <x v="3"/>
    <n v="46080.051446759258"/>
  </r>
  <r>
    <n v="799"/>
    <s v="CENTRO CIRÚRGICO"/>
    <x v="0"/>
    <n v="46079.967418981483"/>
    <x v="0"/>
    <n v="46080.601469907408"/>
  </r>
  <r>
    <n v="800"/>
    <s v="CENTRO CIRÚRGICO"/>
    <x v="0"/>
    <n v="46080.287905092591"/>
    <x v="0"/>
    <n v="46080.591828703706"/>
  </r>
  <r>
    <n v="801"/>
    <s v="CENTRO CIRÚRGICO"/>
    <x v="2"/>
    <n v="46080.350694444445"/>
    <x v="3"/>
    <n v="46080.372916666667"/>
  </r>
  <r>
    <n v="802"/>
    <s v="CENTRO CIRÚRGICO"/>
    <x v="0"/>
    <n v="46080.361111111109"/>
    <x v="0"/>
    <n v="46080.667199074072"/>
  </r>
  <r>
    <n v="803"/>
    <s v="CENTRO CIRÚRGICO"/>
    <x v="3"/>
    <n v="46080.375"/>
    <x v="0"/>
    <n v="46080.701388888891"/>
  </r>
  <r>
    <n v="804"/>
    <s v="CENTRO CIRÚRGICO"/>
    <x v="1"/>
    <n v="46080.385416666664"/>
    <x v="0"/>
    <n v="46080.614583333336"/>
  </r>
  <r>
    <n v="805"/>
    <s v="CENTRO CIRÚRGICO"/>
    <x v="0"/>
    <n v="46080.409618055557"/>
    <x v="1"/>
    <n v="46080.730787037035"/>
  </r>
  <r>
    <n v="806"/>
    <s v="CENTRO CIRÚRGICO"/>
    <x v="0"/>
    <n v="46080.445405092592"/>
    <x v="0"/>
    <n v="46080.646504629629"/>
  </r>
  <r>
    <n v="807"/>
    <s v="CENTRO CIRÚRGICO"/>
    <x v="2"/>
    <n v="46080.525000000001"/>
    <x v="1"/>
    <n v="46080.548611111109"/>
  </r>
  <r>
    <n v="808"/>
    <s v="CENTRO CIRÚRGICO"/>
    <x v="0"/>
    <n v="46080.602210648147"/>
    <x v="0"/>
    <n v="46080.901203703703"/>
  </r>
  <r>
    <n v="809"/>
    <s v="CENTRO CIRÚRGICO"/>
    <x v="0"/>
    <n v="46080.680358796293"/>
    <x v="0"/>
    <n v="46081.469108796293"/>
  </r>
  <r>
    <n v="810"/>
    <s v="CENTRO CIRÚRGICO"/>
    <x v="1"/>
    <n v="46080.684027777781"/>
    <x v="0"/>
    <n v="46084.647534722222"/>
  </r>
  <r>
    <n v="811"/>
    <s v="CENTRO CIRÚRGICO"/>
    <x v="3"/>
    <n v="46080.71875"/>
    <x v="3"/>
    <n v="46080.940972222219"/>
  </r>
  <r>
    <n v="812"/>
    <s v="CENTRO CIRÚRGICO"/>
    <x v="0"/>
    <n v="46080.852407407408"/>
    <x v="1"/>
    <n v="46081.019456018519"/>
  </r>
  <r>
    <n v="813"/>
    <s v="CENTRO CIRÚRGICO"/>
    <x v="0"/>
    <n v="46080.943842592591"/>
    <x v="0"/>
    <n v="46081.671493055554"/>
  </r>
  <r>
    <n v="814"/>
    <s v="CENTRO CIRÚRGICO"/>
    <x v="0"/>
    <n v="46081.211562500001"/>
    <x v="1"/>
    <n v="46081.390983796293"/>
  </r>
  <r>
    <n v="815"/>
    <s v="CENTRO CIRÚRGICO"/>
    <x v="1"/>
    <n v="46081.35833333333"/>
    <x v="0"/>
    <n v="46081.427083333336"/>
  </r>
  <r>
    <n v="816"/>
    <s v="CENTRO CIRÚRGICO"/>
    <x v="0"/>
    <n v="46081.390069444446"/>
    <x v="0"/>
    <n v="46081.875231481485"/>
  </r>
  <r>
    <n v="817"/>
    <s v="CENTRO CIRÚRGICO"/>
    <x v="0"/>
    <n v="46081.411215277774"/>
    <x v="0"/>
    <n v="46083.697685185187"/>
  </r>
  <r>
    <n v="818"/>
    <s v="CENTRO CIRÚRGICO"/>
    <x v="0"/>
    <n v="46081.504571759258"/>
    <x v="1"/>
    <n v="46081.866284722222"/>
  </r>
  <r>
    <n v="819"/>
    <s v="CENTRO CIRÚRGICO"/>
    <x v="0"/>
    <n v="46081.541666666664"/>
    <x v="0"/>
    <n v="46081.604166666664"/>
  </r>
  <r>
    <n v="820"/>
    <s v="CENTRO CIRÚRGICO"/>
    <x v="0"/>
    <n v="46081.617465277777"/>
    <x v="0"/>
    <n v="46081.872291666667"/>
  </r>
  <r>
    <n v="821"/>
    <s v="CENTRO CIRÚRGICO"/>
    <x v="0"/>
    <n v="46081.636504629627"/>
    <x v="0"/>
    <n v="46082.601180555554"/>
  </r>
  <r>
    <n v="822"/>
    <s v="CENTRO CIRÚRGICO"/>
    <x v="0"/>
    <n v="46081.668645833335"/>
    <x v="0"/>
    <n v="46083.698240740741"/>
  </r>
  <r>
    <n v="823"/>
    <s v="CENTRO CIRÚRGICO"/>
    <x v="0"/>
    <n v="46081.720034722224"/>
    <x v="3"/>
    <n v="46081.765451388892"/>
  </r>
  <r>
    <n v="824"/>
    <s v="CENTRO CIRÚRGICO"/>
    <x v="0"/>
    <n v="46081.819444444445"/>
    <x v="0"/>
    <n v="46081.850694444445"/>
  </r>
  <r>
    <n v="825"/>
    <s v="CENTRO CIRÚRGICO"/>
    <x v="0"/>
    <n v="46081.980243055557"/>
    <x v="0"/>
    <n v="46082.541805555556"/>
  </r>
  <r>
    <n v="826"/>
    <s v="CENTRO CIRÚRGICO"/>
    <x v="0"/>
    <n v="46082.008171296293"/>
    <x v="0"/>
    <n v="46082.71361111111"/>
  </r>
  <r>
    <n v="827"/>
    <s v="CENTRO CIRÚRGICO"/>
    <x v="1"/>
    <n v="46082.371527777781"/>
    <x v="0"/>
    <n v="46082.386111111111"/>
  </r>
  <r>
    <n v="828"/>
    <s v="CENTRO CIRÚRGICO"/>
    <x v="2"/>
    <n v="46082.411770833336"/>
    <x v="0"/>
    <n v="46083.558888888889"/>
  </r>
  <r>
    <n v="829"/>
    <s v="CENTRO CIRÚRGICO"/>
    <x v="0"/>
    <n v="46082.523252314815"/>
    <x v="0"/>
    <n v="46083.718564814815"/>
  </r>
  <r>
    <n v="830"/>
    <s v="CENTRO CIRÚRGICO"/>
    <x v="0"/>
    <n v="46082.622013888889"/>
    <x v="2"/>
    <n v="46082.843229166669"/>
  </r>
  <r>
    <n v="831"/>
    <s v="CENTRO CIRÚRGICO"/>
    <x v="0"/>
    <n v="46082.691307870373"/>
    <x v="0"/>
    <n v="46083.874178240738"/>
  </r>
  <r>
    <n v="832"/>
    <s v="CENTRO CIRÚRGICO"/>
    <x v="0"/>
    <n v="46082.853842592594"/>
    <x v="1"/>
    <n v="46083.0937037037"/>
  </r>
  <r>
    <n v="833"/>
    <s v="CENTRO CIRÚRGICO"/>
    <x v="0"/>
    <n v="46082.861516203702"/>
    <x v="0"/>
    <n v="46083.649444444447"/>
  </r>
  <r>
    <n v="834"/>
    <s v="CENTRO CIRÚRGICO"/>
    <x v="0"/>
    <n v="46082.986377314817"/>
    <x v="2"/>
    <n v="46083.589641203704"/>
  </r>
  <r>
    <n v="835"/>
    <s v="CENTRO CIRÚRGICO"/>
    <x v="0"/>
    <n v="46083.063530092593"/>
    <x v="0"/>
    <n v="46086.762094907404"/>
  </r>
  <r>
    <n v="836"/>
    <s v="CENTRO CIRÚRGICO"/>
    <x v="0"/>
    <n v="46083.063530092593"/>
    <x v="1"/>
    <n v="46083.73541666667"/>
  </r>
  <r>
    <n v="837"/>
    <s v="CENTRO CIRÚRGICO"/>
    <x v="1"/>
    <n v="46083.3125"/>
    <x v="0"/>
    <n v="46083.385416666664"/>
  </r>
  <r>
    <n v="838"/>
    <s v="CENTRO CIRÚRGICO"/>
    <x v="1"/>
    <n v="46083.347222222219"/>
    <x v="0"/>
    <n v="46083.442361111112"/>
  </r>
  <r>
    <n v="839"/>
    <s v="CENTRO CIRÚRGICO"/>
    <x v="1"/>
    <n v="46083.357638888891"/>
    <x v="0"/>
    <n v="46083.479166666664"/>
  </r>
  <r>
    <n v="840"/>
    <s v="CENTRO CIRÚRGICO"/>
    <x v="1"/>
    <n v="46083.368055555555"/>
    <x v="0"/>
    <n v="46083.395833333336"/>
  </r>
  <r>
    <n v="841"/>
    <s v="CENTRO CIRÚRGICO"/>
    <x v="1"/>
    <n v="46083.409722222219"/>
    <x v="1"/>
    <n v="46083.608958333331"/>
  </r>
  <r>
    <n v="842"/>
    <s v="CENTRO CIRÚRGICO"/>
    <x v="1"/>
    <n v="46083.447916666664"/>
    <x v="1"/>
    <n v="46083.723171296297"/>
  </r>
  <r>
    <n v="843"/>
    <s v="CENTRO CIRÚRGICO"/>
    <x v="1"/>
    <n v="46083.46875"/>
    <x v="0"/>
    <n v="46083.517361111109"/>
  </r>
  <r>
    <n v="844"/>
    <s v="CENTRO CIRÚRGICO"/>
    <x v="0"/>
    <n v="46083.565613425926"/>
    <x v="0"/>
    <n v="46084.710879629631"/>
  </r>
  <r>
    <n v="845"/>
    <s v="CENTRO CIRÚRGICO"/>
    <x v="1"/>
    <n v="46083.583333333336"/>
    <x v="0"/>
    <n v="46083.666666666664"/>
  </r>
  <r>
    <n v="846"/>
    <s v="CENTRO CIRÚRGICO"/>
    <x v="1"/>
    <n v="46083.611111111109"/>
    <x v="1"/>
    <n v="46083.760937500003"/>
  </r>
  <r>
    <n v="847"/>
    <s v="CENTRO CIRÚRGICO"/>
    <x v="0"/>
    <n v="46083.700995370367"/>
    <x v="0"/>
    <n v="46083.94159722222"/>
  </r>
  <r>
    <n v="848"/>
    <s v="CENTRO CIRÚRGICO"/>
    <x v="2"/>
    <n v="46083.72452546296"/>
    <x v="2"/>
    <n v="46084.389849537038"/>
  </r>
  <r>
    <n v="849"/>
    <s v="CENTRO CIRÚRGICO"/>
    <x v="0"/>
    <n v="46083.754444444443"/>
    <x v="0"/>
    <n v="46083.88140046296"/>
  </r>
  <r>
    <n v="850"/>
    <s v="CENTRO CIRÚRGICO"/>
    <x v="0"/>
    <n v="46083.876122685186"/>
    <x v="2"/>
    <n v="46084.52621527778"/>
  </r>
  <r>
    <n v="851"/>
    <s v="CENTRO CIRÚRGICO"/>
    <x v="0"/>
    <n v="46083.894999999997"/>
    <x v="0"/>
    <n v="46084.019062500003"/>
  </r>
  <r>
    <n v="852"/>
    <s v="CENTRO CIRÚRGICO"/>
    <x v="0"/>
    <n v="46083.929166666669"/>
    <x v="0"/>
    <n v="46084.682858796295"/>
  </r>
  <r>
    <n v="853"/>
    <s v="CENTRO CIRÚRGICO"/>
    <x v="0"/>
    <n v="46083.968287037038"/>
    <x v="0"/>
    <n v="46084.740983796299"/>
  </r>
  <r>
    <n v="854"/>
    <s v="CENTRO CIRÚRGICO"/>
    <x v="0"/>
    <n v="46084.041574074072"/>
    <x v="0"/>
    <n v="46084.49927083333"/>
  </r>
  <r>
    <n v="855"/>
    <s v="CENTRO CIRÚRGICO"/>
    <x v="0"/>
    <n v="46084.278645833336"/>
    <x v="2"/>
    <n v="46084.727546296293"/>
  </r>
  <r>
    <n v="856"/>
    <s v="CENTRO CIRÚRGICO"/>
    <x v="0"/>
    <n v="46084.300844907404"/>
    <x v="0"/>
    <n v="46084.927534722221"/>
  </r>
  <r>
    <n v="857"/>
    <s v="CENTRO CIRÚRGICO"/>
    <x v="1"/>
    <n v="46084.35"/>
    <x v="0"/>
    <n v="46084.527777777781"/>
  </r>
  <r>
    <n v="858"/>
    <s v="CENTRO CIRÚRGICO"/>
    <x v="2"/>
    <n v="46084.361111111109"/>
    <x v="1"/>
    <n v="46084.40625"/>
  </r>
  <r>
    <n v="859"/>
    <s v="CENTRO CIRÚRGICO"/>
    <x v="1"/>
    <n v="46084.378472222219"/>
    <x v="0"/>
    <n v="46084.438888888886"/>
  </r>
  <r>
    <n v="860"/>
    <s v="CENTRO CIRÚRGICO"/>
    <x v="1"/>
    <n v="46084.451388888891"/>
    <x v="1"/>
    <n v="46084.510416666664"/>
  </r>
  <r>
    <n v="861"/>
    <s v="CENTRO CIRÚRGICO"/>
    <x v="0"/>
    <n v="46084.46166666667"/>
    <x v="0"/>
    <n v="46084.719236111108"/>
  </r>
  <r>
    <n v="862"/>
    <s v="CENTRO CIRÚRGICO"/>
    <x v="0"/>
    <n v="46084.477905092594"/>
    <x v="4"/>
    <n v="46084.539305555554"/>
  </r>
  <r>
    <n v="863"/>
    <s v="CENTRO CIRÚRGICO"/>
    <x v="2"/>
    <n v="46084.496527777781"/>
    <x v="3"/>
    <n v="46084.520833333336"/>
  </r>
  <r>
    <n v="864"/>
    <s v="CENTRO CIRÚRGICO"/>
    <x v="1"/>
    <n v="46084.569444444445"/>
    <x v="0"/>
    <n v="46084.611111111109"/>
  </r>
  <r>
    <n v="865"/>
    <s v="CENTRO CIRÚRGICO"/>
    <x v="0"/>
    <n v="46084.576886574076"/>
    <x v="1"/>
    <n v="46084.729594907411"/>
  </r>
  <r>
    <n v="866"/>
    <s v="CENTRO CIRÚRGICO"/>
    <x v="0"/>
    <n v="46084.625532407408"/>
    <x v="0"/>
    <n v="46084.943298611113"/>
  </r>
  <r>
    <n v="867"/>
    <s v="CENTRO CIRÚRGICO"/>
    <x v="1"/>
    <n v="46084.645833333336"/>
    <x v="3"/>
    <n v="46099.664525462962"/>
  </r>
  <r>
    <n v="868"/>
    <s v="CENTRO CIRÚRGICO"/>
    <x v="1"/>
    <n v="46084.666666666664"/>
    <x v="0"/>
    <n v="46084.6875"/>
  </r>
  <r>
    <n v="869"/>
    <s v="CENTRO CIRÚRGICO"/>
    <x v="3"/>
    <n v="46084.729166666664"/>
    <x v="3"/>
    <n v="46084.854166666664"/>
  </r>
  <r>
    <n v="870"/>
    <s v="CENTRO CIRÚRGICO"/>
    <x v="0"/>
    <n v="46084.743993055556"/>
    <x v="0"/>
    <n v="46085.000231481485"/>
  </r>
  <r>
    <n v="871"/>
    <s v="CENTRO CIRÚRGICO"/>
    <x v="0"/>
    <n v="46084.850891203707"/>
    <x v="0"/>
    <n v="46085.156481481485"/>
  </r>
  <r>
    <n v="872"/>
    <s v="CENTRO CIRÚRGICO"/>
    <x v="3"/>
    <n v="46084.895833333336"/>
    <x v="0"/>
    <n v="46084.947916666664"/>
  </r>
  <r>
    <n v="873"/>
    <s v="CENTRO CIRÚRGICO"/>
    <x v="0"/>
    <n v="46084.932986111111"/>
    <x v="0"/>
    <n v="46085.642384259256"/>
  </r>
  <r>
    <n v="874"/>
    <s v="CENTRO CIRÚRGICO"/>
    <x v="0"/>
    <n v="46084.959108796298"/>
    <x v="0"/>
    <n v="46085.486354166664"/>
  </r>
  <r>
    <n v="875"/>
    <s v="CENTRO CIRÚRGICO"/>
    <x v="0"/>
    <n v="46085.024525462963"/>
    <x v="0"/>
    <n v="46085.692939814813"/>
  </r>
  <r>
    <n v="876"/>
    <s v="CENTRO CIRÚRGICO"/>
    <x v="0"/>
    <n v="46085.039652777778"/>
    <x v="0"/>
    <n v="46085.356886574074"/>
  </r>
  <r>
    <n v="877"/>
    <s v="CENTRO CIRÚRGICO"/>
    <x v="0"/>
    <n v="46085.040173611109"/>
    <x v="0"/>
    <n v="46085.660740740743"/>
  </r>
  <r>
    <n v="878"/>
    <s v="CENTRO CIRÚRGICO"/>
    <x v="0"/>
    <n v="46085.135185185187"/>
    <x v="1"/>
    <n v="46085.374328703707"/>
  </r>
  <r>
    <n v="879"/>
    <s v="CENTRO CIRÚRGICO"/>
    <x v="0"/>
    <n v="46085.289652777778"/>
    <x v="0"/>
    <n v="46085.578935185185"/>
  </r>
  <r>
    <n v="880"/>
    <s v="CENTRO CIRÚRGICO"/>
    <x v="2"/>
    <n v="46085.290879629632"/>
    <x v="0"/>
    <n v="46085.516793981478"/>
  </r>
  <r>
    <n v="881"/>
    <s v="CENTRO CIRÚRGICO"/>
    <x v="4"/>
    <n v="46085.338923611111"/>
    <x v="0"/>
    <n v="46085.532557870371"/>
  </r>
  <r>
    <n v="882"/>
    <s v="CENTRO CIRÚRGICO"/>
    <x v="1"/>
    <n v="46085.354166666664"/>
    <x v="0"/>
    <n v="46085.465277777781"/>
  </r>
  <r>
    <n v="883"/>
    <s v="CENTRO CIRÚRGICO"/>
    <x v="0"/>
    <n v="46085.41646990741"/>
    <x v="0"/>
    <n v="46085.885347222225"/>
  </r>
  <r>
    <n v="884"/>
    <s v="CENTRO CIRÚRGICO"/>
    <x v="0"/>
    <n v="46085.493564814817"/>
    <x v="0"/>
    <n v="46085.77584490741"/>
  </r>
  <r>
    <n v="885"/>
    <s v="CENTRO CIRÚRGICO"/>
    <x v="0"/>
    <n v="46085.501030092593"/>
    <x v="0"/>
    <n v="46085.741944444446"/>
  </r>
  <r>
    <n v="886"/>
    <s v="CENTRO CIRÚRGICO"/>
    <x v="1"/>
    <n v="46085.532638888886"/>
    <x v="0"/>
    <n v="46085.579861111109"/>
  </r>
  <r>
    <n v="887"/>
    <s v="CENTRO CIRÚRGICO"/>
    <x v="1"/>
    <n v="46085.546527777777"/>
    <x v="3"/>
    <n v="46085.591666666667"/>
  </r>
  <r>
    <n v="888"/>
    <s v="CENTRO CIRÚRGICO"/>
    <x v="0"/>
    <n v="46085.64199074074"/>
    <x v="0"/>
    <n v="46085.774548611109"/>
  </r>
  <r>
    <n v="889"/>
    <s v="CENTRO CIRÚRGICO"/>
    <x v="1"/>
    <n v="46085.677083333336"/>
    <x v="0"/>
    <n v="46085.763888888891"/>
  </r>
  <r>
    <n v="890"/>
    <s v="CENTRO CIRÚRGICO"/>
    <x v="0"/>
    <n v="46085.864583333336"/>
    <x v="2"/>
    <n v="46086.582048611112"/>
  </r>
  <r>
    <n v="891"/>
    <s v="CENTRO CIRÚRGICO"/>
    <x v="0"/>
    <n v="46085.940891203703"/>
    <x v="0"/>
    <n v="46086.727858796294"/>
  </r>
  <r>
    <n v="892"/>
    <s v="CENTRO CIRÚRGICO"/>
    <x v="0"/>
    <n v="46085.997812499998"/>
    <x v="0"/>
    <n v="46086.541192129633"/>
  </r>
  <r>
    <n v="893"/>
    <s v="CENTRO CIRÚRGICO"/>
    <x v="0"/>
    <n v="46086.298981481479"/>
    <x v="0"/>
    <n v="46086.684872685182"/>
  </r>
  <r>
    <n v="894"/>
    <s v="CENTRO CIRÚRGICO"/>
    <x v="1"/>
    <n v="46086.305555555555"/>
    <x v="3"/>
    <n v="46086.3125"/>
  </r>
  <r>
    <n v="895"/>
    <s v="CENTRO CIRÚRGICO"/>
    <x v="0"/>
    <n v="46086.305567129632"/>
    <x v="0"/>
    <n v="46087.053796296299"/>
  </r>
  <r>
    <n v="896"/>
    <s v="CENTRO CIRÚRGICO"/>
    <x v="0"/>
    <n v="46086.313969907409"/>
    <x v="0"/>
    <n v="46086.703518518516"/>
  </r>
  <r>
    <n v="897"/>
    <s v="CENTRO CIRÚRGICO"/>
    <x v="0"/>
    <n v="46086.334155092591"/>
    <x v="0"/>
    <n v="46086.721967592595"/>
  </r>
  <r>
    <n v="898"/>
    <s v="CENTRO CIRÚRGICO"/>
    <x v="1"/>
    <n v="46086.340277777781"/>
    <x v="0"/>
    <n v="46086.401388888888"/>
  </r>
  <r>
    <n v="899"/>
    <s v="CENTRO CIRÚRGICO"/>
    <x v="1"/>
    <n v="46086.458333333336"/>
    <x v="0"/>
    <n v="46086.503472222219"/>
  </r>
  <r>
    <n v="900"/>
    <s v="CENTRO CIRÚRGICO"/>
    <x v="3"/>
    <n v="46086.459722222222"/>
    <x v="0"/>
    <n v="46086.513888888891"/>
  </r>
  <r>
    <n v="901"/>
    <s v="CENTRO CIRÚRGICO"/>
    <x v="0"/>
    <n v="46086.460497685184"/>
    <x v="0"/>
    <n v="46086.949791666666"/>
  </r>
  <r>
    <n v="902"/>
    <s v="CENTRO CIRÚRGICO"/>
    <x v="1"/>
    <n v="46086.472222222219"/>
    <x v="0"/>
    <n v="46086.572916666664"/>
  </r>
  <r>
    <n v="903"/>
    <s v="CENTRO CIRÚRGICO"/>
    <x v="0"/>
    <n v="46086.587754629632"/>
    <x v="0"/>
    <n v="46087.696828703702"/>
  </r>
  <r>
    <n v="904"/>
    <s v="CENTRO CIRÚRGICO"/>
    <x v="1"/>
    <n v="46086.588888888888"/>
    <x v="0"/>
    <n v="46086.634027777778"/>
  </r>
  <r>
    <n v="905"/>
    <s v="CENTRO CIRÚRGICO"/>
    <x v="0"/>
    <n v="46086.651678240742"/>
    <x v="1"/>
    <n v="46086.870648148149"/>
  </r>
  <r>
    <n v="906"/>
    <s v="CENTRO CIRÚRGICO"/>
    <x v="3"/>
    <n v="46086.652777777781"/>
    <x v="0"/>
    <n v="46086.708333333336"/>
  </r>
  <r>
    <n v="907"/>
    <s v="CENTRO CIRÚRGICO"/>
    <x v="1"/>
    <n v="46086.684027777781"/>
    <x v="0"/>
    <n v="46086.729166666664"/>
  </r>
  <r>
    <n v="908"/>
    <s v="CENTRO CIRÚRGICO"/>
    <x v="0"/>
    <n v="46086.697731481479"/>
    <x v="0"/>
    <n v="46087.696053240739"/>
  </r>
  <r>
    <n v="909"/>
    <s v="CENTRO CIRÚRGICO"/>
    <x v="3"/>
    <n v="46086.770833333336"/>
    <x v="0"/>
    <n v="46086.802083333336"/>
  </r>
  <r>
    <n v="910"/>
    <s v="CENTRO CIRÚRGICO"/>
    <x v="0"/>
    <n v="46086.873483796298"/>
    <x v="0"/>
    <n v="46087.089282407411"/>
  </r>
  <r>
    <n v="911"/>
    <s v="CENTRO CIRÚRGICO"/>
    <x v="0"/>
    <n v="46086.97314814815"/>
    <x v="0"/>
    <n v="46087.25104166667"/>
  </r>
  <r>
    <n v="912"/>
    <s v="CENTRO CIRÚRGICO"/>
    <x v="0"/>
    <n v="46087.008692129632"/>
    <x v="1"/>
    <n v="46087.524259259262"/>
  </r>
  <r>
    <n v="913"/>
    <s v="CENTRO CIRÚRGICO"/>
    <x v="2"/>
    <n v="46087.284884259258"/>
    <x v="0"/>
    <n v="46087.685428240744"/>
  </r>
  <r>
    <n v="914"/>
    <s v="CENTRO CIRÚRGICO"/>
    <x v="1"/>
    <n v="46087.34375"/>
    <x v="0"/>
    <n v="46087.548611111109"/>
  </r>
  <r>
    <n v="915"/>
    <s v="CENTRO CIRÚRGICO"/>
    <x v="1"/>
    <n v="46087.371527777781"/>
    <x v="0"/>
    <n v="46087.520833333336"/>
  </r>
  <r>
    <n v="916"/>
    <s v="CENTRO CIRÚRGICO"/>
    <x v="3"/>
    <n v="46087.383333333331"/>
    <x v="1"/>
    <n v="46087.430555555555"/>
  </r>
  <r>
    <n v="917"/>
    <s v="CENTRO CIRÚRGICO"/>
    <x v="1"/>
    <n v="46087.395833333336"/>
    <x v="0"/>
    <n v="46087.506944444445"/>
  </r>
  <r>
    <n v="918"/>
    <s v="CENTRO CIRÚRGICO"/>
    <x v="0"/>
    <n v="46087.491782407407"/>
    <x v="0"/>
    <n v="46087.670706018522"/>
  </r>
  <r>
    <n v="919"/>
    <s v="CENTRO CIRÚRGICO"/>
    <x v="1"/>
    <n v="46087.493055555555"/>
    <x v="0"/>
    <n v="46087.549305555556"/>
  </r>
  <r>
    <n v="920"/>
    <s v="CENTRO CIRÚRGICO"/>
    <x v="0"/>
    <n v="46087.601504629631"/>
    <x v="0"/>
    <n v="46087.819652777776"/>
  </r>
  <r>
    <n v="921"/>
    <s v="CENTRO CIRÚRGICO"/>
    <x v="3"/>
    <n v="46087.618055555555"/>
    <x v="0"/>
    <n v="46087.885416666664"/>
  </r>
  <r>
    <n v="922"/>
    <s v="CENTRO CIRÚRGICO"/>
    <x v="3"/>
    <n v="46087.645833333336"/>
    <x v="0"/>
    <n v="46087.729166666664"/>
  </r>
  <r>
    <n v="923"/>
    <s v="CENTRO CIRÚRGICO"/>
    <x v="3"/>
    <n v="46087.791666666664"/>
    <x v="3"/>
    <n v="46087.819444444445"/>
  </r>
  <r>
    <n v="924"/>
    <s v="CENTRO CIRÚRGICO"/>
    <x v="0"/>
    <n v="46088.427604166667"/>
    <x v="0"/>
    <n v="46088.743136574078"/>
  </r>
  <r>
    <n v="925"/>
    <s v="CENTRO CIRÚRGICO"/>
    <x v="3"/>
    <n v="46088.465277777781"/>
    <x v="0"/>
    <n v="46088.692361111112"/>
  </r>
  <r>
    <n v="926"/>
    <s v="CENTRO CIRÚRGICO"/>
    <x v="3"/>
    <n v="46088.482638888891"/>
    <x v="0"/>
    <n v="46088.611805555556"/>
  </r>
  <r>
    <n v="927"/>
    <s v="CENTRO CIRÚRGICO"/>
    <x v="2"/>
    <n v="46088.482638888891"/>
    <x v="3"/>
    <n v="46088.534722222219"/>
  </r>
  <r>
    <n v="928"/>
    <s v="CENTRO CIRÚRGICO"/>
    <x v="2"/>
    <n v="46088.614583333336"/>
    <x v="3"/>
    <n v="46088.638888888891"/>
  </r>
  <r>
    <n v="929"/>
    <s v="CENTRO CIRÚRGICO"/>
    <x v="0"/>
    <n v="46088.615995370368"/>
    <x v="0"/>
    <n v="46090.496354166666"/>
  </r>
  <r>
    <n v="930"/>
    <s v="CENTRO CIRÚRGICO"/>
    <x v="0"/>
    <n v="46088.684976851851"/>
    <x v="0"/>
    <n v="46090.589247685188"/>
  </r>
  <r>
    <n v="931"/>
    <s v="CENTRO CIRÚRGICO"/>
    <x v="3"/>
    <n v="46088.701388888891"/>
    <x v="0"/>
    <n v="46088.760416666664"/>
  </r>
  <r>
    <n v="932"/>
    <s v="CENTRO CIRÚRGICO"/>
    <x v="1"/>
    <n v="46088.739583333336"/>
    <x v="0"/>
    <n v="46088.791666666664"/>
  </r>
  <r>
    <n v="933"/>
    <s v="CENTRO CIRÚRGICO"/>
    <x v="0"/>
    <n v="46088.857638888891"/>
    <x v="0"/>
    <n v="46089.409687500003"/>
  </r>
  <r>
    <n v="934"/>
    <s v="CENTRO CIRÚRGICO"/>
    <x v="0"/>
    <n v="46088.861631944441"/>
    <x v="0"/>
    <n v="46089.417685185188"/>
  </r>
  <r>
    <n v="935"/>
    <s v="CENTRO CIRÚRGICO"/>
    <x v="0"/>
    <n v="46088.955659722225"/>
    <x v="1"/>
    <n v="46089.087893518517"/>
  </r>
  <r>
    <n v="936"/>
    <s v="CENTRO CIRÚRGICO"/>
    <x v="1"/>
    <n v="46089.375"/>
    <x v="0"/>
    <n v="46089.431944444441"/>
  </r>
  <r>
    <n v="937"/>
    <s v="CENTRO CIRÚRGICO"/>
    <x v="1"/>
    <n v="46089.375"/>
    <x v="3"/>
    <n v="46106.515972222223"/>
  </r>
  <r>
    <n v="938"/>
    <s v="CENTRO CIRÚRGICO"/>
    <x v="0"/>
    <n v="46089.689467592594"/>
    <x v="1"/>
    <n v="46089.931296296294"/>
  </r>
  <r>
    <n v="939"/>
    <s v="CENTRO CIRÚRGICO"/>
    <x v="0"/>
    <n v="46089.996770833335"/>
    <x v="0"/>
    <n v="46090.347986111112"/>
  </r>
  <r>
    <n v="940"/>
    <s v="CENTRO CIRÚRGICO"/>
    <x v="0"/>
    <n v="46090.047222222223"/>
    <x v="0"/>
    <n v="46090.665914351855"/>
  </r>
  <r>
    <n v="941"/>
    <s v="CENTRO CIRÚRGICO"/>
    <x v="0"/>
    <n v="46090.289120370369"/>
    <x v="0"/>
    <n v="46090.67696759259"/>
  </r>
  <r>
    <n v="942"/>
    <s v="CENTRO CIRÚRGICO"/>
    <x v="3"/>
    <n v="46090.34375"/>
    <x v="0"/>
    <n v="46090.416666666664"/>
  </r>
  <r>
    <n v="943"/>
    <s v="CENTRO CIRÚRGICO"/>
    <x v="1"/>
    <n v="46090.347222222219"/>
    <x v="0"/>
    <n v="46090.657384259262"/>
  </r>
  <r>
    <n v="944"/>
    <s v="CENTRO CIRÚRGICO"/>
    <x v="3"/>
    <n v="46090.357638888891"/>
    <x v="3"/>
    <n v="46090.493055555555"/>
  </r>
  <r>
    <n v="945"/>
    <s v="CENTRO CIRÚRGICO"/>
    <x v="1"/>
    <n v="46090.375"/>
    <x v="0"/>
    <n v="46090.444444444445"/>
  </r>
  <r>
    <n v="946"/>
    <s v="CENTRO CIRÚRGICO"/>
    <x v="1"/>
    <n v="46090.472222222219"/>
    <x v="0"/>
    <n v="46090.570138888892"/>
  </r>
  <r>
    <n v="947"/>
    <s v="CENTRO CIRÚRGICO"/>
    <x v="1"/>
    <n v="46090.520833333336"/>
    <x v="0"/>
    <n v="46090.565972222219"/>
  </r>
  <r>
    <n v="948"/>
    <s v="CENTRO CIRÚRGICO"/>
    <x v="1"/>
    <n v="46090.576388888891"/>
    <x v="0"/>
    <n v="46090.618055555555"/>
  </r>
  <r>
    <n v="949"/>
    <s v="CENTRO CIRÚRGICO"/>
    <x v="1"/>
    <n v="46090.597222222219"/>
    <x v="0"/>
    <n v="46090.701388888891"/>
  </r>
  <r>
    <n v="950"/>
    <s v="CENTRO CIRÚRGICO"/>
    <x v="1"/>
    <n v="46090.645833333336"/>
    <x v="0"/>
    <n v="46090.6875"/>
  </r>
  <r>
    <n v="951"/>
    <s v="CENTRO CIRÚRGICO"/>
    <x v="1"/>
    <n v="46090.652777777781"/>
    <x v="0"/>
    <n v="46090.729166666664"/>
  </r>
  <r>
    <n v="952"/>
    <s v="CENTRO CIRÚRGICO"/>
    <x v="1"/>
    <n v="46090.715277777781"/>
    <x v="0"/>
    <n v="46090.746527777781"/>
  </r>
  <r>
    <n v="953"/>
    <s v="CENTRO CIRÚRGICO"/>
    <x v="1"/>
    <n v="46090.71875"/>
    <x v="0"/>
    <n v="46090.84375"/>
  </r>
  <r>
    <n v="954"/>
    <s v="CENTRO CIRÚRGICO"/>
    <x v="0"/>
    <n v="46090.724050925928"/>
    <x v="0"/>
    <n v="46091.613796296297"/>
  </r>
  <r>
    <n v="955"/>
    <s v="CENTRO CIRÚRGICO"/>
    <x v="0"/>
    <n v="46090.838217592594"/>
    <x v="0"/>
    <n v="46091.560358796298"/>
  </r>
  <r>
    <n v="956"/>
    <s v="CENTRO CIRÚRGICO"/>
    <x v="2"/>
    <n v="46091.305555555555"/>
    <x v="3"/>
    <n v="46091.327777777777"/>
  </r>
  <r>
    <n v="957"/>
    <s v="CENTRO CIRÚRGICO"/>
    <x v="2"/>
    <n v="46091.315972222219"/>
    <x v="1"/>
    <n v="46091.350694444445"/>
  </r>
  <r>
    <n v="958"/>
    <s v="CENTRO CIRÚRGICO"/>
    <x v="1"/>
    <n v="46091.333333333336"/>
    <x v="0"/>
    <n v="46091.486111111109"/>
  </r>
  <r>
    <n v="959"/>
    <s v="CENTRO CIRÚRGICO"/>
    <x v="1"/>
    <n v="46091.347222222219"/>
    <x v="0"/>
    <n v="46094.756828703707"/>
  </r>
  <r>
    <n v="960"/>
    <s v="CENTRO CIRÚRGICO"/>
    <x v="2"/>
    <n v="46091.375"/>
    <x v="3"/>
    <n v="46091.415972222225"/>
  </r>
  <r>
    <n v="961"/>
    <s v="CENTRO CIRÚRGICO"/>
    <x v="2"/>
    <n v="46091.427083333336"/>
    <x v="3"/>
    <n v="46091.4375"/>
  </r>
  <r>
    <n v="962"/>
    <s v="CENTRO CIRÚRGICO"/>
    <x v="0"/>
    <n v="46091.559745370374"/>
    <x v="0"/>
    <n v="46091.726840277777"/>
  </r>
  <r>
    <n v="963"/>
    <s v="CENTRO CIRÚRGICO"/>
    <x v="3"/>
    <n v="46091.570138888892"/>
    <x v="0"/>
    <n v="46091.625"/>
  </r>
  <r>
    <n v="964"/>
    <s v="CENTRO CIRÚRGICO"/>
    <x v="0"/>
    <n v="46091.634143518517"/>
    <x v="0"/>
    <n v="46091.927870370368"/>
  </r>
  <r>
    <n v="965"/>
    <s v="CENTRO CIRÚRGICO"/>
    <x v="1"/>
    <n v="46091.708333333336"/>
    <x v="0"/>
    <n v="46091.753472222219"/>
  </r>
  <r>
    <n v="966"/>
    <s v="CENTRO CIRÚRGICO"/>
    <x v="1"/>
    <n v="46091.725694444445"/>
    <x v="0"/>
    <n v="46092.491666666669"/>
  </r>
  <r>
    <n v="967"/>
    <s v="CENTRO CIRÚRGICO"/>
    <x v="0"/>
    <n v="46091.857569444444"/>
    <x v="0"/>
    <n v="46091.976967592593"/>
  </r>
  <r>
    <n v="968"/>
    <s v="CENTRO CIRÚRGICO"/>
    <x v="0"/>
    <n v="46092.084999999999"/>
    <x v="0"/>
    <n v="46092.268206018518"/>
  </r>
  <r>
    <n v="969"/>
    <s v="CENTRO CIRÚRGICO"/>
    <x v="4"/>
    <n v="46092.296585648146"/>
    <x v="0"/>
    <n v="46092.653819444444"/>
  </r>
  <r>
    <n v="970"/>
    <s v="CENTRO CIRÚRGICO"/>
    <x v="0"/>
    <n v="46092.322071759256"/>
    <x v="0"/>
    <n v="46092.721354166664"/>
  </r>
  <r>
    <n v="971"/>
    <s v="CENTRO CIRÚRGICO"/>
    <x v="1"/>
    <n v="46092.333333333336"/>
    <x v="0"/>
    <n v="46092.444444444445"/>
  </r>
  <r>
    <n v="972"/>
    <s v="CENTRO CIRÚRGICO"/>
    <x v="1"/>
    <n v="46092.357638888891"/>
    <x v="0"/>
    <n v="46092.454861111109"/>
  </r>
  <r>
    <n v="973"/>
    <s v="CENTRO CIRÚRGICO"/>
    <x v="3"/>
    <n v="46092.361111111109"/>
    <x v="3"/>
    <n v="46092.541666666664"/>
  </r>
  <r>
    <n v="974"/>
    <s v="CENTRO CIRÚRGICO"/>
    <x v="1"/>
    <n v="46092.486111111109"/>
    <x v="0"/>
    <n v="46092.53125"/>
  </r>
  <r>
    <n v="975"/>
    <s v="CENTRO CIRÚRGICO"/>
    <x v="1"/>
    <n v="46092.520833333336"/>
    <x v="0"/>
    <n v="46093.731377314813"/>
  </r>
  <r>
    <n v="976"/>
    <s v="CENTRO CIRÚRGICO"/>
    <x v="3"/>
    <n v="46092.59375"/>
    <x v="0"/>
    <n v="46092.659722222219"/>
  </r>
  <r>
    <n v="977"/>
    <s v="CENTRO CIRÚRGICO"/>
    <x v="2"/>
    <n v="46092.614120370374"/>
    <x v="0"/>
    <n v="46092.983738425923"/>
  </r>
  <r>
    <n v="978"/>
    <s v="CENTRO CIRÚRGICO"/>
    <x v="1"/>
    <n v="46092.621527777781"/>
    <x v="0"/>
    <n v="46092.649305555555"/>
  </r>
  <r>
    <n v="979"/>
    <s v="CENTRO CIRÚRGICO"/>
    <x v="1"/>
    <n v="46092.631944444445"/>
    <x v="0"/>
    <n v="46092.760416666664"/>
  </r>
  <r>
    <n v="980"/>
    <s v="CENTRO CIRÚRGICO"/>
    <x v="0"/>
    <n v="46092.692731481482"/>
    <x v="1"/>
    <n v="46092.850173611114"/>
  </r>
  <r>
    <n v="981"/>
    <s v="CENTRO CIRÚRGICO"/>
    <x v="1"/>
    <n v="46092.701388888891"/>
    <x v="0"/>
    <n v="46092.777083333334"/>
  </r>
  <r>
    <n v="982"/>
    <s v="CENTRO CIRÚRGICO"/>
    <x v="0"/>
    <n v="46092.821701388886"/>
    <x v="0"/>
    <n v="46092.984780092593"/>
  </r>
  <r>
    <n v="983"/>
    <s v="CENTRO CIRÚRGICO"/>
    <x v="0"/>
    <n v="46092.875567129631"/>
    <x v="0"/>
    <n v="46092.960046296299"/>
  </r>
  <r>
    <n v="984"/>
    <s v="CENTRO CIRÚRGICO"/>
    <x v="2"/>
    <n v="46092.885416666664"/>
    <x v="0"/>
    <n v="46106.59306712963"/>
  </r>
  <r>
    <n v="985"/>
    <s v="CENTRO CIRÚRGICO"/>
    <x v="0"/>
    <n v="46092.936666666668"/>
    <x v="0"/>
    <n v="46095.565358796295"/>
  </r>
  <r>
    <n v="986"/>
    <s v="CENTRO CIRÚRGICO"/>
    <x v="0"/>
    <n v="46093.261192129627"/>
    <x v="2"/>
    <n v="46093.672719907408"/>
  </r>
  <r>
    <n v="987"/>
    <s v="CENTRO CIRÚRGICO"/>
    <x v="0"/>
    <n v="46093.287291666667"/>
    <x v="0"/>
    <n v="46093.664085648146"/>
  </r>
  <r>
    <n v="988"/>
    <s v="CENTRO CIRÚRGICO"/>
    <x v="1"/>
    <n v="46093.326388888891"/>
    <x v="0"/>
    <n v="46093.427083333336"/>
  </r>
  <r>
    <n v="989"/>
    <s v="CENTRO CIRÚRGICO"/>
    <x v="1"/>
    <n v="46093.333333333336"/>
    <x v="0"/>
    <n v="46093.399305555555"/>
  </r>
  <r>
    <n v="990"/>
    <s v="CENTRO CIRÚRGICO"/>
    <x v="0"/>
    <n v="46093.356122685182"/>
    <x v="2"/>
    <n v="46093.687430555554"/>
  </r>
  <r>
    <n v="991"/>
    <s v="CENTRO CIRÚRGICO"/>
    <x v="1"/>
    <n v="46093.447916666664"/>
    <x v="0"/>
    <n v="46093.482638888891"/>
  </r>
  <r>
    <n v="992"/>
    <s v="CENTRO CIRÚRGICO"/>
    <x v="1"/>
    <n v="46093.475694444445"/>
    <x v="0"/>
    <n v="46093.53125"/>
  </r>
  <r>
    <n v="993"/>
    <s v="CENTRO CIRÚRGICO"/>
    <x v="0"/>
    <n v="46093.482638888891"/>
    <x v="0"/>
    <n v="46093.541666666664"/>
  </r>
  <r>
    <n v="994"/>
    <s v="CENTRO CIRÚRGICO"/>
    <x v="1"/>
    <n v="46093.524305555555"/>
    <x v="1"/>
    <n v="46093.565972222219"/>
  </r>
  <r>
    <n v="995"/>
    <s v="CENTRO CIRÚRGICO"/>
    <x v="1"/>
    <n v="46093.552083333336"/>
    <x v="0"/>
    <n v="46093.649305555555"/>
  </r>
  <r>
    <n v="996"/>
    <s v="CENTRO CIRÚRGICO"/>
    <x v="2"/>
    <n v="46093.637708333335"/>
    <x v="0"/>
    <n v="46093.960578703707"/>
  </r>
  <r>
    <n v="997"/>
    <s v="CENTRO CIRÚRGICO"/>
    <x v="1"/>
    <n v="46093.652777777781"/>
    <x v="1"/>
    <n v="46093.835972222223"/>
  </r>
  <r>
    <n v="998"/>
    <s v="CENTRO CIRÚRGICO"/>
    <x v="3"/>
    <n v="46093.659722222219"/>
    <x v="0"/>
    <n v="46093.6875"/>
  </r>
  <r>
    <n v="999"/>
    <s v="CENTRO CIRÚRGICO"/>
    <x v="0"/>
    <n v="46093.674050925925"/>
    <x v="0"/>
    <n v="46093.848530092589"/>
  </r>
  <r>
    <n v="1000"/>
    <s v="CENTRO CIRÚRGICO"/>
    <x v="2"/>
    <n v="46093.777777777781"/>
    <x v="3"/>
    <n v="46093.805555555555"/>
  </r>
  <r>
    <n v="1001"/>
    <s v="CENTRO CIRÚRGICO"/>
    <x v="1"/>
    <n v="46093.78125"/>
    <x v="0"/>
    <n v="46093.795138888891"/>
  </r>
  <r>
    <n v="1002"/>
    <s v="CENTRO CIRÚRGICO"/>
    <x v="0"/>
    <n v="46094.001423611109"/>
    <x v="0"/>
    <n v="46094.762199074074"/>
  </r>
  <r>
    <n v="1003"/>
    <s v="CENTRO CIRÚRGICO"/>
    <x v="0"/>
    <n v="46094.288506944446"/>
    <x v="0"/>
    <n v="46094.541319444441"/>
  </r>
  <r>
    <n v="1004"/>
    <s v="CENTRO CIRÚRGICO"/>
    <x v="1"/>
    <n v="46094.340277777781"/>
    <x v="0"/>
    <n v="46094.5"/>
  </r>
  <r>
    <n v="1005"/>
    <s v="CENTRO CIRÚRGICO"/>
    <x v="1"/>
    <n v="46094.357638888891"/>
    <x v="0"/>
    <n v="46094.429166666669"/>
  </r>
  <r>
    <n v="1006"/>
    <s v="CENTRO CIRÚRGICO"/>
    <x v="3"/>
    <n v="46094.364583333336"/>
    <x v="1"/>
    <n v="46094.444444444445"/>
  </r>
  <r>
    <n v="1007"/>
    <s v="CENTRO CIRÚRGICO"/>
    <x v="3"/>
    <n v="46094.368055555555"/>
    <x v="3"/>
    <n v="46094.454861111109"/>
  </r>
  <r>
    <n v="1008"/>
    <s v="CENTRO CIRÚRGICO"/>
    <x v="1"/>
    <n v="46094.527777777781"/>
    <x v="0"/>
    <n v="46099.635682870372"/>
  </r>
  <r>
    <n v="1009"/>
    <s v="CENTRO CIRÚRGICO"/>
    <x v="1"/>
    <n v="46094.585416666669"/>
    <x v="1"/>
    <n v="46094.89167824074"/>
  </r>
  <r>
    <n v="1010"/>
    <s v="CENTRO CIRÚRGICO"/>
    <x v="1"/>
    <n v="46094.607638888891"/>
    <x v="3"/>
    <n v="46094.670138888891"/>
  </r>
  <r>
    <n v="1011"/>
    <s v="CENTRO CIRÚRGICO"/>
    <x v="0"/>
    <n v="46094.608124999999"/>
    <x v="1"/>
    <n v="46094.692384259259"/>
  </r>
  <r>
    <n v="1012"/>
    <s v="CENTRO CIRÚRGICO"/>
    <x v="0"/>
    <n v="46094.629907407405"/>
    <x v="1"/>
    <n v="46094.766585648147"/>
  </r>
  <r>
    <n v="1013"/>
    <s v="CENTRO CIRÚRGICO"/>
    <x v="0"/>
    <n v="46094.709421296298"/>
    <x v="1"/>
    <n v="46094.993495370371"/>
  </r>
  <r>
    <n v="1014"/>
    <s v="CENTRO CIRÚRGICO"/>
    <x v="3"/>
    <n v="46094.722222222219"/>
    <x v="1"/>
    <n v="46094.833333333336"/>
  </r>
  <r>
    <n v="1015"/>
    <s v="CENTRO CIRÚRGICO"/>
    <x v="3"/>
    <n v="46094.909722222219"/>
    <x v="0"/>
    <n v="46094.947916666664"/>
  </r>
  <r>
    <n v="1016"/>
    <s v="CENTRO CIRÚRGICO"/>
    <x v="0"/>
    <n v="46094.935833333337"/>
    <x v="0"/>
    <n v="46095.148564814815"/>
  </r>
  <r>
    <n v="1017"/>
    <s v="CENTRO CIRÚRGICO"/>
    <x v="0"/>
    <n v="46094.999340277776"/>
    <x v="0"/>
    <n v="46095.649976851855"/>
  </r>
  <r>
    <n v="1018"/>
    <s v="CENTRO CIRÚRGICO"/>
    <x v="0"/>
    <n v="46095.355844907404"/>
    <x v="0"/>
    <n v="46098.688842592594"/>
  </r>
  <r>
    <n v="1019"/>
    <s v="CENTRO CIRÚRGICO"/>
    <x v="0"/>
    <n v="46095.357881944445"/>
    <x v="0"/>
    <n v="46095.61010416667"/>
  </r>
  <r>
    <n v="1020"/>
    <s v="CENTRO CIRÚRGICO"/>
    <x v="0"/>
    <n v="46095.364525462966"/>
    <x v="0"/>
    <n v="46095.751087962963"/>
  </r>
  <r>
    <n v="1021"/>
    <s v="CENTRO CIRÚRGICO"/>
    <x v="3"/>
    <n v="46095.5"/>
    <x v="1"/>
    <n v="46095.543055555558"/>
  </r>
  <r>
    <n v="1022"/>
    <s v="CENTRO CIRÚRGICO"/>
    <x v="0"/>
    <n v="46095.574143518519"/>
    <x v="0"/>
    <n v="46095.726377314815"/>
  </r>
  <r>
    <n v="1023"/>
    <s v="CENTRO CIRÚRGICO"/>
    <x v="2"/>
    <n v="46095.642361111109"/>
    <x v="3"/>
    <n v="46095.670138888891"/>
  </r>
  <r>
    <n v="1024"/>
    <s v="CENTRO CIRÚRGICO"/>
    <x v="0"/>
    <n v="46095.653611111113"/>
    <x v="0"/>
    <n v="46095.879583333335"/>
  </r>
  <r>
    <n v="1025"/>
    <s v="CENTRO CIRÚRGICO"/>
    <x v="0"/>
    <n v="46095.674027777779"/>
    <x v="0"/>
    <n v="46095.950324074074"/>
  </r>
  <r>
    <n v="1026"/>
    <s v="CENTRO CIRÚRGICO"/>
    <x v="1"/>
    <n v="46095.746527777781"/>
    <x v="1"/>
    <n v="46095.815972222219"/>
  </r>
  <r>
    <n v="1027"/>
    <s v="CENTRO CIRÚRGICO"/>
    <x v="0"/>
    <n v="46095.753472222219"/>
    <x v="0"/>
    <n v="46095.798611111109"/>
  </r>
  <r>
    <n v="1028"/>
    <s v="CENTRO CIRÚRGICO"/>
    <x v="0"/>
    <n v="46095.852546296293"/>
    <x v="0"/>
    <n v="46096.52275462963"/>
  </r>
  <r>
    <n v="1029"/>
    <s v="CENTRO CIRÚRGICO"/>
    <x v="0"/>
    <n v="46095.976770833331"/>
    <x v="0"/>
    <n v="46096.653252314813"/>
  </r>
  <r>
    <n v="1030"/>
    <s v="CENTRO CIRÚRGICO"/>
    <x v="0"/>
    <n v="46096.191365740742"/>
    <x v="1"/>
    <n v="46096.463993055557"/>
  </r>
  <r>
    <n v="1031"/>
    <s v="CENTRO CIRÚRGICO"/>
    <x v="1"/>
    <n v="46096.395833333336"/>
    <x v="0"/>
    <n v="46096.465277777781"/>
  </r>
  <r>
    <n v="1032"/>
    <s v="CENTRO CIRÚRGICO"/>
    <x v="1"/>
    <n v="46096.46875"/>
    <x v="0"/>
    <n v="46096.496527777781"/>
  </r>
  <r>
    <n v="1033"/>
    <s v="CENTRO CIRÚRGICO"/>
    <x v="1"/>
    <n v="46096.506944444445"/>
    <x v="0"/>
    <n v="46096.558333333334"/>
  </r>
  <r>
    <n v="1034"/>
    <s v="CENTRO CIRÚRGICO"/>
    <x v="0"/>
    <n v="46096.552812499998"/>
    <x v="0"/>
    <n v="46096.93849537037"/>
  </r>
  <r>
    <n v="1035"/>
    <s v="CENTRO CIRÚRGICO"/>
    <x v="0"/>
    <n v="46096.674791666665"/>
    <x v="0"/>
    <n v="46096.872719907406"/>
  </r>
  <r>
    <n v="1036"/>
    <s v="CENTRO CIRÚRGICO"/>
    <x v="0"/>
    <n v="46096.936516203707"/>
    <x v="1"/>
    <n v="46105.490416666667"/>
  </r>
  <r>
    <n v="1037"/>
    <s v="CENTRO CIRÚRGICO"/>
    <x v="0"/>
    <n v="46097.035370370373"/>
    <x v="0"/>
    <n v="46097.754837962966"/>
  </r>
  <r>
    <n v="1038"/>
    <s v="CENTRO CIRÚRGICO"/>
    <x v="0"/>
    <n v="46097.302546296298"/>
    <x v="2"/>
    <n v="46097.735555555555"/>
  </r>
  <r>
    <n v="1039"/>
    <s v="CENTRO CIRÚRGICO"/>
    <x v="0"/>
    <n v="46097.304664351854"/>
    <x v="2"/>
    <n v="46097.614652777775"/>
  </r>
  <r>
    <n v="1040"/>
    <s v="CENTRO CIRÚRGICO"/>
    <x v="1"/>
    <n v="46097.333333333336"/>
    <x v="0"/>
    <n v="46097.413194444445"/>
  </r>
  <r>
    <n v="1041"/>
    <s v="CENTRO CIRÚRGICO"/>
    <x v="1"/>
    <n v="46097.34375"/>
    <x v="0"/>
    <n v="46097.4375"/>
  </r>
  <r>
    <n v="1042"/>
    <s v="CENTRO CIRÚRGICO"/>
    <x v="1"/>
    <n v="46097.350694444445"/>
    <x v="0"/>
    <n v="46097.423611111109"/>
  </r>
  <r>
    <n v="1043"/>
    <s v="CENTRO CIRÚRGICO"/>
    <x v="1"/>
    <n v="46097.465277777781"/>
    <x v="0"/>
    <n v="46097.556250000001"/>
  </r>
  <r>
    <n v="1044"/>
    <s v="CENTRO CIRÚRGICO"/>
    <x v="1"/>
    <n v="46097.475694444445"/>
    <x v="0"/>
    <n v="46097.548611111109"/>
  </r>
  <r>
    <n v="1045"/>
    <s v="CENTRO CIRÚRGICO"/>
    <x v="1"/>
    <n v="46097.493055555555"/>
    <x v="0"/>
    <n v="46097.548611111109"/>
  </r>
  <r>
    <n v="1046"/>
    <s v="CENTRO CIRÚRGICO"/>
    <x v="1"/>
    <n v="46097.513888888891"/>
    <x v="0"/>
    <n v="46097.552083333336"/>
  </r>
  <r>
    <n v="1047"/>
    <s v="CENTRO CIRÚRGICO"/>
    <x v="1"/>
    <n v="46097.534722222219"/>
    <x v="0"/>
    <n v="46097.572916666664"/>
  </r>
  <r>
    <n v="1048"/>
    <s v="CENTRO CIRÚRGICO"/>
    <x v="0"/>
    <n v="46097.578472222223"/>
    <x v="1"/>
    <n v="46097.889687499999"/>
  </r>
  <r>
    <n v="1049"/>
    <s v="CENTRO CIRÚRGICO"/>
    <x v="0"/>
    <n v="46097.585324074076"/>
    <x v="0"/>
    <n v="46097.768020833333"/>
  </r>
  <r>
    <n v="1050"/>
    <s v="CENTRO CIRÚRGICO"/>
    <x v="2"/>
    <n v="46097.635416666664"/>
    <x v="3"/>
    <n v="46097.722222222219"/>
  </r>
  <r>
    <n v="1051"/>
    <s v="CENTRO CIRÚRGICO"/>
    <x v="1"/>
    <n v="46097.645833333336"/>
    <x v="0"/>
    <n v="46097.811805555553"/>
  </r>
  <r>
    <n v="1052"/>
    <s v="CENTRO CIRÚRGICO"/>
    <x v="1"/>
    <n v="46097.659722222219"/>
    <x v="0"/>
    <n v="46097.711805555555"/>
  </r>
  <r>
    <n v="1053"/>
    <s v="CENTRO CIRÚRGICO"/>
    <x v="1"/>
    <n v="46097.75"/>
    <x v="0"/>
    <n v="46097.79583333333"/>
  </r>
  <r>
    <n v="1054"/>
    <s v="CENTRO CIRÚRGICO"/>
    <x v="2"/>
    <n v="46097.763888888891"/>
    <x v="3"/>
    <n v="46097.774305555555"/>
  </r>
  <r>
    <n v="1055"/>
    <s v="CENTRO CIRÚRGICO"/>
    <x v="0"/>
    <n v="46097.849942129629"/>
    <x v="0"/>
    <n v="46098.238587962966"/>
  </r>
  <r>
    <n v="1056"/>
    <s v="CENTRO CIRÚRGICO"/>
    <x v="0"/>
    <n v="46097.894097222219"/>
    <x v="0"/>
    <n v="46098.739201388889"/>
  </r>
  <r>
    <n v="1057"/>
    <s v="CENTRO CIRÚRGICO"/>
    <x v="0"/>
    <n v="46098.313773148147"/>
    <x v="0"/>
    <n v="46098.66851851852"/>
  </r>
  <r>
    <n v="1058"/>
    <s v="CENTRO CIRÚRGICO"/>
    <x v="1"/>
    <n v="46098.319444444445"/>
    <x v="0"/>
    <n v="46098.460416666669"/>
  </r>
  <r>
    <n v="1059"/>
    <s v="CENTRO CIRÚRGICO"/>
    <x v="1"/>
    <n v="46098.333333333336"/>
    <x v="0"/>
    <n v="46098.357638888891"/>
  </r>
  <r>
    <n v="1060"/>
    <s v="CENTRO CIRÚRGICO"/>
    <x v="3"/>
    <n v="46098.354166666664"/>
    <x v="0"/>
    <n v="46098.458333333336"/>
  </r>
  <r>
    <n v="1061"/>
    <s v="CENTRO CIRÚRGICO"/>
    <x v="1"/>
    <n v="46098.416666666664"/>
    <x v="1"/>
    <n v="46109.478877314818"/>
  </r>
  <r>
    <n v="1062"/>
    <s v="CENTRO CIRÚRGICO"/>
    <x v="2"/>
    <n v="46098.423611111109"/>
    <x v="3"/>
    <n v="46098.440972222219"/>
  </r>
  <r>
    <n v="1063"/>
    <s v="CENTRO CIRÚRGICO"/>
    <x v="0"/>
    <n v="46098.483761574076"/>
    <x v="4"/>
    <n v="46098.542881944442"/>
  </r>
  <r>
    <n v="1064"/>
    <s v="CENTRO CIRÚRGICO"/>
    <x v="0"/>
    <n v="46098.511921296296"/>
    <x v="0"/>
    <n v="46098.96365740741"/>
  </r>
  <r>
    <n v="1065"/>
    <s v="CENTRO CIRÚRGICO"/>
    <x v="0"/>
    <n v="46098.512499999997"/>
    <x v="1"/>
    <n v="46098.758252314816"/>
  </r>
  <r>
    <n v="1066"/>
    <s v="CENTRO CIRÚRGICO"/>
    <x v="0"/>
    <n v="46098.540833333333"/>
    <x v="1"/>
    <n v="46104.44121527778"/>
  </r>
  <r>
    <n v="1067"/>
    <s v="CENTRO CIRÚRGICO"/>
    <x v="3"/>
    <n v="46098.652777777781"/>
    <x v="1"/>
    <n v="46098.770833333336"/>
  </r>
  <r>
    <n v="1068"/>
    <s v="CENTRO CIRÚRGICO"/>
    <x v="3"/>
    <n v="46098.694444444445"/>
    <x v="3"/>
    <n v="46098.847222222219"/>
  </r>
  <r>
    <n v="1069"/>
    <s v="CENTRO CIRÚRGICO"/>
    <x v="0"/>
    <n v="46098.762916666667"/>
    <x v="0"/>
    <n v="46098.993321759262"/>
  </r>
  <r>
    <n v="1070"/>
    <s v="CENTRO CIRÚRGICO"/>
    <x v="0"/>
    <n v="46098.952928240738"/>
    <x v="0"/>
    <n v="46099.698217592595"/>
  </r>
  <r>
    <n v="1071"/>
    <s v="CENTRO CIRÚRGICO"/>
    <x v="0"/>
    <n v="46098.956944444442"/>
    <x v="0"/>
    <n v="46099.680185185185"/>
  </r>
  <r>
    <n v="1072"/>
    <s v="CENTRO CIRÚRGICO"/>
    <x v="0"/>
    <n v="46099.174583333333"/>
    <x v="0"/>
    <n v="46099.83834490741"/>
  </r>
  <r>
    <n v="1073"/>
    <s v="CENTRO CIRÚRGICO"/>
    <x v="0"/>
    <n v="46099.287233796298"/>
    <x v="0"/>
    <n v="46099.925370370373"/>
  </r>
  <r>
    <n v="1074"/>
    <s v="CENTRO CIRÚRGICO"/>
    <x v="0"/>
    <n v="46099.289710648147"/>
    <x v="3"/>
    <n v="46100.535370370373"/>
  </r>
  <r>
    <n v="1075"/>
    <s v="CENTRO CIRÚRGICO"/>
    <x v="2"/>
    <n v="46099.326388888891"/>
    <x v="3"/>
    <n v="46099.434027777781"/>
  </r>
  <r>
    <n v="1076"/>
    <s v="CENTRO CIRÚRGICO"/>
    <x v="4"/>
    <n v="46099.329861111109"/>
    <x v="0"/>
    <n v="46099.402777777781"/>
  </r>
  <r>
    <n v="1077"/>
    <s v="CENTRO CIRÚRGICO"/>
    <x v="3"/>
    <n v="46099.34375"/>
    <x v="0"/>
    <n v="46099.40625"/>
  </r>
  <r>
    <n v="1078"/>
    <s v="CENTRO CIRÚRGICO"/>
    <x v="0"/>
    <n v="46099.4143287037"/>
    <x v="3"/>
    <n v="46099.93072916667"/>
  </r>
  <r>
    <n v="1079"/>
    <s v="CENTRO CIRÚRGICO"/>
    <x v="1"/>
    <n v="46099.461805555555"/>
    <x v="0"/>
    <n v="46099.486111111109"/>
  </r>
  <r>
    <n v="1080"/>
    <s v="CENTRO CIRÚRGICO"/>
    <x v="0"/>
    <n v="46099.476180555554"/>
    <x v="1"/>
    <n v="46099.735451388886"/>
  </r>
  <r>
    <n v="1081"/>
    <s v="CENTRO CIRÚRGICO"/>
    <x v="0"/>
    <n v="46099.498761574076"/>
    <x v="0"/>
    <n v="46101.499548611115"/>
  </r>
  <r>
    <n v="1082"/>
    <s v="CENTRO CIRÚRGICO"/>
    <x v="0"/>
    <n v="46099.522141203706"/>
    <x v="0"/>
    <n v="46099.743194444447"/>
  </r>
  <r>
    <n v="1083"/>
    <s v="CENTRO CIRÚRGICO"/>
    <x v="0"/>
    <n v="46099.591307870367"/>
    <x v="4"/>
    <n v="46100.197280092594"/>
  </r>
  <r>
    <n v="1084"/>
    <s v="CENTRO CIRÚRGICO"/>
    <x v="1"/>
    <n v="46099.642361111109"/>
    <x v="0"/>
    <n v="46099.677083333336"/>
  </r>
  <r>
    <n v="1085"/>
    <s v="CENTRO CIRÚRGICO"/>
    <x v="1"/>
    <n v="46099.6875"/>
    <x v="0"/>
    <n v="46099.857638888891"/>
  </r>
  <r>
    <n v="1086"/>
    <s v="CENTRO CIRÚRGICO"/>
    <x v="1"/>
    <n v="46099.694444444445"/>
    <x v="1"/>
    <n v="46099.743055555555"/>
  </r>
  <r>
    <n v="1087"/>
    <s v="CENTRO CIRÚRGICO"/>
    <x v="1"/>
    <n v="46099.729166666664"/>
    <x v="0"/>
    <n v="46099.8125"/>
  </r>
  <r>
    <n v="1088"/>
    <s v="CENTRO CIRÚRGICO"/>
    <x v="3"/>
    <n v="46099.805555555555"/>
    <x v="0"/>
    <n v="46099.954861111109"/>
  </r>
  <r>
    <n v="1089"/>
    <s v="CENTRO CIRÚRGICO"/>
    <x v="0"/>
    <n v="46099.812048611115"/>
    <x v="0"/>
    <n v="46101.648657407408"/>
  </r>
  <r>
    <n v="1090"/>
    <s v="CENTRO CIRÚRGICO"/>
    <x v="0"/>
    <n v="46099.839872685188"/>
    <x v="0"/>
    <n v="46100.508530092593"/>
  </r>
  <r>
    <n v="1091"/>
    <s v="CENTRO CIRÚRGICO"/>
    <x v="0"/>
    <n v="46100.305173611108"/>
    <x v="0"/>
    <n v="46100.670081018521"/>
  </r>
  <r>
    <n v="1092"/>
    <s v="CENTRO CIRÚRGICO"/>
    <x v="1"/>
    <n v="46100.319444444445"/>
    <x v="0"/>
    <n v="46100.411111111112"/>
  </r>
  <r>
    <n v="1093"/>
    <s v="CENTRO CIRÚRGICO"/>
    <x v="1"/>
    <n v="46100.333333333336"/>
    <x v="0"/>
    <n v="46100.401388888888"/>
  </r>
  <r>
    <n v="1094"/>
    <s v="CENTRO CIRÚRGICO"/>
    <x v="1"/>
    <n v="46100.354166666664"/>
    <x v="0"/>
    <n v="46100.416666666664"/>
  </r>
  <r>
    <n v="1095"/>
    <s v="CENTRO CIRÚRGICO"/>
    <x v="1"/>
    <n v="46100.354166666664"/>
    <x v="0"/>
    <n v="46100.479166666664"/>
  </r>
  <r>
    <n v="1096"/>
    <s v="CENTRO CIRÚRGICO"/>
    <x v="0"/>
    <n v="46100.414444444446"/>
    <x v="0"/>
    <n v="46102.258240740739"/>
  </r>
  <r>
    <n v="1097"/>
    <s v="CENTRO CIRÚRGICO"/>
    <x v="0"/>
    <n v="46100.41474537037"/>
    <x v="3"/>
    <n v="46101.475891203707"/>
  </r>
  <r>
    <n v="1098"/>
    <s v="CENTRO CIRÚRGICO"/>
    <x v="0"/>
    <n v="46100.428831018522"/>
    <x v="0"/>
    <n v="46100.7500462963"/>
  </r>
  <r>
    <n v="1099"/>
    <s v="CENTRO CIRÚRGICO"/>
    <x v="0"/>
    <n v="46100.46875"/>
    <x v="0"/>
    <n v="46100.510416666664"/>
  </r>
  <r>
    <n v="1100"/>
    <s v="CENTRO CIRÚRGICO"/>
    <x v="1"/>
    <n v="46100.486111111109"/>
    <x v="0"/>
    <n v="46100.520833333336"/>
  </r>
  <r>
    <n v="1101"/>
    <s v="CENTRO CIRÚRGICO"/>
    <x v="0"/>
    <n v="46100.55159722222"/>
    <x v="0"/>
    <n v="46102.668657407405"/>
  </r>
  <r>
    <n v="1102"/>
    <s v="CENTRO CIRÚRGICO"/>
    <x v="1"/>
    <n v="46100.583333333336"/>
    <x v="0"/>
    <n v="46100.697916666664"/>
  </r>
  <r>
    <n v="1103"/>
    <s v="CENTRO CIRÚRGICO"/>
    <x v="0"/>
    <n v="46100.58625"/>
    <x v="1"/>
    <n v="46100.852141203701"/>
  </r>
  <r>
    <n v="1104"/>
    <s v="CENTRO CIRÚRGICO"/>
    <x v="0"/>
    <n v="46100.677083333336"/>
    <x v="1"/>
    <n v="46100.772569444445"/>
  </r>
  <r>
    <n v="1105"/>
    <s v="CENTRO CIRÚRGICO"/>
    <x v="1"/>
    <n v="46100.73541666667"/>
    <x v="0"/>
    <n v="46100.767361111109"/>
  </r>
  <r>
    <n v="1106"/>
    <s v="CENTRO CIRÚRGICO"/>
    <x v="0"/>
    <n v="46101.306817129633"/>
    <x v="2"/>
    <n v="46101.690636574072"/>
  </r>
  <r>
    <n v="1107"/>
    <s v="CENTRO CIRÚRGICO"/>
    <x v="3"/>
    <n v="46101.347222222219"/>
    <x v="0"/>
    <n v="46101.465277777781"/>
  </r>
  <r>
    <n v="1108"/>
    <s v="CENTRO CIRÚRGICO"/>
    <x v="1"/>
    <n v="46101.354166666664"/>
    <x v="0"/>
    <n v="46101.489583333336"/>
  </r>
  <r>
    <n v="1109"/>
    <s v="CENTRO CIRÚRGICO"/>
    <x v="1"/>
    <n v="46101.388888888891"/>
    <x v="0"/>
    <n v="46101.645833333336"/>
  </r>
  <r>
    <n v="1110"/>
    <s v="CENTRO CIRÚRGICO"/>
    <x v="0"/>
    <n v="46101.427743055552"/>
    <x v="0"/>
    <n v="46101.841504629629"/>
  </r>
  <r>
    <n v="1111"/>
    <s v="CENTRO CIRÚRGICO"/>
    <x v="1"/>
    <n v="46101.506944444445"/>
    <x v="0"/>
    <n v="46101.612500000003"/>
  </r>
  <r>
    <n v="1112"/>
    <s v="CENTRO CIRÚRGICO"/>
    <x v="1"/>
    <n v="46101.597222222219"/>
    <x v="0"/>
    <n v="46101.65625"/>
  </r>
  <r>
    <n v="1113"/>
    <s v="CENTRO CIRÚRGICO"/>
    <x v="1"/>
    <n v="46101.604166666664"/>
    <x v="0"/>
    <n v="46101.756944444445"/>
  </r>
  <r>
    <n v="1114"/>
    <s v="CENTRO CIRÚRGICO"/>
    <x v="0"/>
    <n v="46101.650081018517"/>
    <x v="0"/>
    <n v="46101.943842592591"/>
  </r>
  <r>
    <n v="1115"/>
    <s v="CENTRO CIRÚRGICO"/>
    <x v="1"/>
    <n v="46101.729166666664"/>
    <x v="1"/>
    <n v="46101.861111111109"/>
  </r>
  <r>
    <n v="1116"/>
    <s v="CENTRO CIRÚRGICO"/>
    <x v="3"/>
    <n v="46101.75"/>
    <x v="1"/>
    <n v="46101.885416666664"/>
  </r>
  <r>
    <n v="1117"/>
    <s v="CENTRO CIRÚRGICO"/>
    <x v="0"/>
    <n v="46101.901932870373"/>
    <x v="1"/>
    <n v="46102.272303240738"/>
  </r>
  <r>
    <n v="1118"/>
    <s v="CENTRO CIRÚRGICO"/>
    <x v="1"/>
    <n v="46102.363194444442"/>
    <x v="0"/>
    <n v="46102.402777777781"/>
  </r>
  <r>
    <n v="1119"/>
    <s v="CENTRO CIRÚRGICO"/>
    <x v="2"/>
    <n v="46102.368055555555"/>
    <x v="3"/>
    <n v="46105.528009259258"/>
  </r>
  <r>
    <n v="1120"/>
    <s v="CENTRO CIRÚRGICO"/>
    <x v="1"/>
    <n v="46102.472222222219"/>
    <x v="1"/>
    <n v="46102.510416666664"/>
  </r>
  <r>
    <n v="1121"/>
    <s v="CENTRO CIRÚRGICO"/>
    <x v="0"/>
    <n v="46102.474050925928"/>
    <x v="0"/>
    <n v="46102.750150462962"/>
  </r>
  <r>
    <n v="1122"/>
    <s v="CENTRO CIRÚRGICO"/>
    <x v="1"/>
    <n v="46102.524305555555"/>
    <x v="0"/>
    <n v="46102.565972222219"/>
  </r>
  <r>
    <n v="1123"/>
    <s v="CENTRO CIRÚRGICO"/>
    <x v="0"/>
    <n v="46102.617893518516"/>
    <x v="0"/>
    <n v="46103.302800925929"/>
  </r>
  <r>
    <n v="1124"/>
    <s v="CENTRO CIRÚRGICO"/>
    <x v="0"/>
    <n v="46102.631944444445"/>
    <x v="0"/>
    <n v="46102.680555555555"/>
  </r>
  <r>
    <n v="1125"/>
    <s v="CENTRO CIRÚRGICO"/>
    <x v="0"/>
    <n v="46102.71912037037"/>
    <x v="2"/>
    <n v="46103.490324074075"/>
  </r>
  <r>
    <n v="1126"/>
    <s v="CENTRO CIRÚRGICO"/>
    <x v="3"/>
    <n v="46102.722222222219"/>
    <x v="3"/>
    <n v="46102.763888888891"/>
  </r>
  <r>
    <n v="1127"/>
    <s v="CENTRO CIRÚRGICO"/>
    <x v="0"/>
    <n v="46102.86818287037"/>
    <x v="0"/>
    <n v="46103.398009259261"/>
  </r>
  <r>
    <n v="1128"/>
    <s v="CENTRO CIRÚRGICO"/>
    <x v="0"/>
    <n v="46102.983078703706"/>
    <x v="0"/>
    <n v="46104.587025462963"/>
  </r>
  <r>
    <n v="1129"/>
    <s v="CENTRO CIRÚRGICO"/>
    <x v="0"/>
    <n v="46103.022164351853"/>
    <x v="0"/>
    <n v="46103.742685185185"/>
  </r>
  <r>
    <n v="1130"/>
    <s v="CENTRO CIRÚRGICO"/>
    <x v="0"/>
    <n v="46103.045439814814"/>
    <x v="0"/>
    <n v="46104.622303240743"/>
  </r>
  <r>
    <n v="1131"/>
    <s v="CENTRO CIRÚRGICO"/>
    <x v="1"/>
    <n v="46103.252013888887"/>
    <x v="0"/>
    <n v="46104.895983796298"/>
  </r>
  <r>
    <n v="1132"/>
    <s v="CENTRO CIRÚRGICO"/>
    <x v="1"/>
    <n v="46103.427083333336"/>
    <x v="0"/>
    <n v="46103.458333333336"/>
  </r>
  <r>
    <n v="1133"/>
    <s v="CENTRO CIRÚRGICO"/>
    <x v="1"/>
    <n v="46103.447916666664"/>
    <x v="0"/>
    <n v="46103.493055555555"/>
  </r>
  <r>
    <n v="1134"/>
    <s v="CENTRO CIRÚRGICO"/>
    <x v="1"/>
    <n v="46103.479166666664"/>
    <x v="0"/>
    <n v="46103.507638888892"/>
  </r>
  <r>
    <n v="1135"/>
    <s v="CENTRO CIRÚRGICO"/>
    <x v="0"/>
    <n v="46103.595960648148"/>
    <x v="0"/>
    <n v="46103.74695601852"/>
  </r>
  <r>
    <n v="1136"/>
    <s v="CENTRO CIRÚRGICO"/>
    <x v="0"/>
    <n v="46103.651875000003"/>
    <x v="0"/>
    <n v="46105.745486111111"/>
  </r>
  <r>
    <n v="1137"/>
    <s v="CENTRO CIRÚRGICO"/>
    <x v="0"/>
    <n v="46103.665486111109"/>
    <x v="0"/>
    <n v="46105.672303240739"/>
  </r>
  <r>
    <n v="1138"/>
    <s v="CENTRO CIRÚRGICO"/>
    <x v="0"/>
    <n v="46103.73159722222"/>
    <x v="0"/>
    <n v="46105.680752314816"/>
  </r>
  <r>
    <n v="1139"/>
    <s v="CENTRO CIRÚRGICO"/>
    <x v="3"/>
    <n v="46103.833333333336"/>
    <x v="1"/>
    <n v="46103.895833333336"/>
  </r>
  <r>
    <n v="1140"/>
    <s v="CENTRO CIRÚRGICO"/>
    <x v="2"/>
    <n v="46103.970034722224"/>
    <x v="3"/>
    <n v="46105.690127314818"/>
  </r>
  <r>
    <n v="1141"/>
    <s v="CENTRO CIRÚRGICO"/>
    <x v="0"/>
    <n v="46104.032511574071"/>
    <x v="0"/>
    <n v="46104.635925925926"/>
  </r>
  <r>
    <n v="1142"/>
    <s v="CENTRO CIRÚRGICO"/>
    <x v="0"/>
    <n v="46104.329861111109"/>
    <x v="0"/>
    <n v="46104.4375"/>
  </r>
  <r>
    <n v="1143"/>
    <s v="CENTRO CIRÚRGICO"/>
    <x v="1"/>
    <n v="46104.347222222219"/>
    <x v="0"/>
    <n v="46104.447916666664"/>
  </r>
  <r>
    <n v="1144"/>
    <s v="CENTRO CIRÚRGICO"/>
    <x v="1"/>
    <n v="46104.408356481479"/>
    <x v="1"/>
    <n v="46107.727361111109"/>
  </r>
  <r>
    <n v="1145"/>
    <s v="CENTRO CIRÚRGICO"/>
    <x v="4"/>
    <n v="46104.438888888886"/>
    <x v="7"/>
    <n v="46104.513888888891"/>
  </r>
  <r>
    <n v="1146"/>
    <s v="CENTRO CIRÚRGICO"/>
    <x v="0"/>
    <n v="46104.451388888891"/>
    <x v="0"/>
    <n v="46104.583333333336"/>
  </r>
  <r>
    <n v="1147"/>
    <s v="CENTRO CIRÚRGICO"/>
    <x v="1"/>
    <n v="46104.513888888891"/>
    <x v="1"/>
    <n v="46104.552083333336"/>
  </r>
  <r>
    <n v="1148"/>
    <s v="CENTRO CIRÚRGICO"/>
    <x v="1"/>
    <n v="46104.534722222219"/>
    <x v="0"/>
    <n v="46104.5625"/>
  </r>
  <r>
    <n v="1149"/>
    <s v="CENTRO CIRÚRGICO"/>
    <x v="3"/>
    <n v="46104.583333333336"/>
    <x v="3"/>
    <n v="46104.704861111109"/>
  </r>
  <r>
    <n v="1150"/>
    <s v="CENTRO CIRÚRGICO"/>
    <x v="1"/>
    <n v="46104.659722222219"/>
    <x v="0"/>
    <n v="46104.774305555555"/>
  </r>
  <r>
    <n v="1151"/>
    <s v="CENTRO CIRÚRGICO"/>
    <x v="1"/>
    <n v="46104.680555555555"/>
    <x v="0"/>
    <n v="46104.732638888891"/>
  </r>
  <r>
    <n v="1152"/>
    <s v="CENTRO CIRÚRGICO"/>
    <x v="2"/>
    <n v="46104.701388888891"/>
    <x v="3"/>
    <n v="46104.739583333336"/>
  </r>
  <r>
    <n v="1153"/>
    <s v="CENTRO CIRÚRGICO"/>
    <x v="3"/>
    <n v="46104.71875"/>
    <x v="1"/>
    <n v="46104.791666666664"/>
  </r>
  <r>
    <n v="1154"/>
    <s v="CENTRO CIRÚRGICO"/>
    <x v="0"/>
    <n v="46104.770833333336"/>
    <x v="0"/>
    <n v="46104.779166666667"/>
  </r>
  <r>
    <n v="1155"/>
    <s v="CENTRO CIRÚRGICO"/>
    <x v="0"/>
    <n v="46104.78125"/>
    <x v="0"/>
    <n v="46107.733981481484"/>
  </r>
  <r>
    <n v="1156"/>
    <s v="CENTRO CIRÚRGICO"/>
    <x v="0"/>
    <n v="46104.906921296293"/>
    <x v="2"/>
    <n v="46105.538101851853"/>
  </r>
  <r>
    <n v="1157"/>
    <s v="CENTRO CIRÚRGICO"/>
    <x v="0"/>
    <n v="46105.285000000003"/>
    <x v="0"/>
    <n v="46105.669861111113"/>
  </r>
  <r>
    <n v="1158"/>
    <s v="CENTRO CIRÚRGICO"/>
    <x v="2"/>
    <n v="46105.302083333336"/>
    <x v="3"/>
    <n v="46105.3125"/>
  </r>
  <r>
    <n v="1159"/>
    <s v="CENTRO CIRÚRGICO"/>
    <x v="0"/>
    <n v="46105.306157407409"/>
    <x v="0"/>
    <n v="46105.637488425928"/>
  </r>
  <r>
    <n v="1160"/>
    <s v="CENTRO CIRÚRGICO"/>
    <x v="0"/>
    <n v="46105.308935185189"/>
    <x v="0"/>
    <n v="46106.761203703703"/>
  </r>
  <r>
    <n v="1161"/>
    <s v="CENTRO CIRÚRGICO"/>
    <x v="1"/>
    <n v="46105.315972222219"/>
    <x v="3"/>
    <n v="46105.388888888891"/>
  </r>
  <r>
    <n v="1162"/>
    <s v="CENTRO CIRÚRGICO"/>
    <x v="1"/>
    <n v="46105.395833333336"/>
    <x v="0"/>
    <n v="46105.416666666664"/>
  </r>
  <r>
    <n v="1163"/>
    <s v="CENTRO CIRÚRGICO"/>
    <x v="2"/>
    <n v="46105.450509259259"/>
    <x v="3"/>
    <n v="46106.42931712963"/>
  </r>
  <r>
    <n v="1164"/>
    <s v="CENTRO CIRÚRGICO"/>
    <x v="1"/>
    <n v="46105.541666666664"/>
    <x v="0"/>
    <n v="46105.670138888891"/>
  </r>
  <r>
    <n v="1165"/>
    <s v="CENTRO CIRÚRGICO"/>
    <x v="1"/>
    <n v="46105.565972222219"/>
    <x v="0"/>
    <n v="46105.614583333336"/>
  </r>
  <r>
    <n v="1166"/>
    <s v="CENTRO CIRÚRGICO"/>
    <x v="0"/>
    <n v="46105.59375"/>
    <x v="3"/>
    <n v="46105.638888888891"/>
  </r>
  <r>
    <n v="1167"/>
    <s v="CENTRO CIRÚRGICO"/>
    <x v="3"/>
    <n v="46105.625"/>
    <x v="0"/>
    <n v="46105.739583333336"/>
  </r>
  <r>
    <n v="1168"/>
    <s v="CENTRO CIRÚRGICO"/>
    <x v="1"/>
    <n v="46105.670138888891"/>
    <x v="0"/>
    <n v="46105.711805555555"/>
  </r>
  <r>
    <n v="1169"/>
    <s v="CENTRO CIRÚRGICO"/>
    <x v="1"/>
    <n v="46105.680555555555"/>
    <x v="0"/>
    <n v="46105.777777777781"/>
  </r>
  <r>
    <n v="1170"/>
    <s v="CENTRO CIRÚRGICO"/>
    <x v="0"/>
    <n v="46105.701296296298"/>
    <x v="0"/>
    <n v="46106.708865740744"/>
  </r>
  <r>
    <n v="1171"/>
    <s v="CENTRO CIRÚRGICO"/>
    <x v="2"/>
    <n v="46105.758333333331"/>
    <x v="4"/>
    <n v="46105.785416666666"/>
  </r>
  <r>
    <n v="1172"/>
    <s v="CENTRO CIRÚRGICO"/>
    <x v="0"/>
    <n v="46105.770486111112"/>
    <x v="0"/>
    <n v="46107.565185185187"/>
  </r>
  <r>
    <n v="1173"/>
    <s v="CENTRO CIRÚRGICO"/>
    <x v="0"/>
    <n v="46106.153333333335"/>
    <x v="0"/>
    <n v="46107.690428240741"/>
  </r>
  <r>
    <n v="1174"/>
    <s v="CENTRO CIRÚRGICO"/>
    <x v="0"/>
    <n v="46106.306168981479"/>
    <x v="0"/>
    <n v="46106.615856481483"/>
  </r>
  <r>
    <n v="1175"/>
    <s v="CENTRO CIRÚRGICO"/>
    <x v="0"/>
    <n v="46106.307303240741"/>
    <x v="0"/>
    <n v="46106.953958333332"/>
  </r>
  <r>
    <n v="1176"/>
    <s v="CENTRO CIRÚRGICO"/>
    <x v="1"/>
    <n v="46106.350694444445"/>
    <x v="3"/>
    <n v="46106.423611111109"/>
  </r>
  <r>
    <n v="1177"/>
    <s v="CENTRO CIRÚRGICO"/>
    <x v="4"/>
    <n v="46106.354166666664"/>
    <x v="0"/>
    <n v="46106.443055555559"/>
  </r>
  <r>
    <n v="1178"/>
    <s v="CENTRO CIRÚRGICO"/>
    <x v="1"/>
    <n v="46106.361111111109"/>
    <x v="1"/>
    <n v="46106.6875"/>
  </r>
  <r>
    <n v="1179"/>
    <s v="CENTRO CIRÚRGICO"/>
    <x v="0"/>
    <n v="46106.463634259257"/>
    <x v="0"/>
    <n v="46106.708495370367"/>
  </r>
  <r>
    <n v="1180"/>
    <s v="CENTRO CIRÚRGICO"/>
    <x v="0"/>
    <n v="46106.531215277777"/>
    <x v="0"/>
    <n v="46107.914351851854"/>
  </r>
  <r>
    <n v="1181"/>
    <s v="CENTRO CIRÚRGICO"/>
    <x v="1"/>
    <n v="46106.555555555555"/>
    <x v="1"/>
    <n v="46106.753472222219"/>
  </r>
  <r>
    <n v="1182"/>
    <s v="CENTRO CIRÚRGICO"/>
    <x v="0"/>
    <n v="46106.614745370367"/>
    <x v="0"/>
    <n v="46106.939421296294"/>
  </r>
  <r>
    <n v="1183"/>
    <s v="CENTRO CIRÚRGICO"/>
    <x v="0"/>
    <n v="46106.629965277774"/>
    <x v="0"/>
    <n v="46106.869375000002"/>
  </r>
  <r>
    <n v="1184"/>
    <s v="CENTRO CIRÚRGICO"/>
    <x v="1"/>
    <n v="46106.645833333336"/>
    <x v="1"/>
    <n v="46106.722222222219"/>
  </r>
  <r>
    <n v="1185"/>
    <s v="CENTRO CIRÚRGICO"/>
    <x v="1"/>
    <n v="46106.75"/>
    <x v="0"/>
    <n v="46106.784722222219"/>
  </r>
  <r>
    <n v="1186"/>
    <s v="CENTRO CIRÚRGICO"/>
    <x v="0"/>
    <n v="46106.763888888891"/>
    <x v="0"/>
    <n v="46106.791666666664"/>
  </r>
  <r>
    <n v="1187"/>
    <s v="CENTRO CIRÚRGICO"/>
    <x v="0"/>
    <n v="46106.888495370367"/>
    <x v="0"/>
    <n v="46107.031331018516"/>
  </r>
  <r>
    <n v="1188"/>
    <s v="CENTRO CIRÚRGICO"/>
    <x v="0"/>
    <n v="46106.889236111114"/>
    <x v="0"/>
    <n v="46108.569097222222"/>
  </r>
  <r>
    <n v="1189"/>
    <s v="CENTRO CIRÚRGICO"/>
    <x v="0"/>
    <n v="46106.978761574072"/>
    <x v="0"/>
    <n v="46107.583425925928"/>
  </r>
  <r>
    <n v="1190"/>
    <s v="CENTRO CIRÚRGICO"/>
    <x v="0"/>
    <n v="46107.276724537034"/>
    <x v="2"/>
    <n v="46107.365717592591"/>
  </r>
  <r>
    <n v="1191"/>
    <s v="CENTRO CIRÚRGICO"/>
    <x v="0"/>
    <n v="46107.280162037037"/>
    <x v="2"/>
    <n v="46108.4533912037"/>
  </r>
  <r>
    <n v="1192"/>
    <s v="CENTRO CIRÚRGICO"/>
    <x v="2"/>
    <n v="46107.298611111109"/>
    <x v="3"/>
    <n v="46107.3125"/>
  </r>
  <r>
    <n v="1193"/>
    <s v="CENTRO CIRÚRGICO"/>
    <x v="1"/>
    <n v="46107.333333333336"/>
    <x v="0"/>
    <n v="46107.364583333336"/>
  </r>
  <r>
    <n v="1194"/>
    <s v="CENTRO CIRÚRGICO"/>
    <x v="1"/>
    <n v="46107.347222222219"/>
    <x v="0"/>
    <n v="46107.576388888891"/>
  </r>
  <r>
    <n v="1195"/>
    <s v="CENTRO CIRÚRGICO"/>
    <x v="1"/>
    <n v="46107.375"/>
    <x v="0"/>
    <n v="46107.415277777778"/>
  </r>
  <r>
    <n v="1196"/>
    <s v="CENTRO CIRÚRGICO"/>
    <x v="2"/>
    <n v="46107.375"/>
    <x v="3"/>
    <n v="46107.413252314815"/>
  </r>
  <r>
    <n v="1197"/>
    <s v="CENTRO CIRÚRGICO"/>
    <x v="0"/>
    <n v="46107.375428240739"/>
    <x v="0"/>
    <n v="46107.700613425928"/>
  </r>
  <r>
    <n v="1198"/>
    <s v="CENTRO CIRÚRGICO"/>
    <x v="1"/>
    <n v="46107.447916666664"/>
    <x v="0"/>
    <n v="46107.614583333336"/>
  </r>
  <r>
    <n v="1199"/>
    <s v="CENTRO CIRÚRGICO"/>
    <x v="0"/>
    <n v="46107.454432870371"/>
    <x v="0"/>
    <n v="46108.448738425926"/>
  </r>
  <r>
    <n v="1200"/>
    <s v="CENTRO CIRÚRGICO"/>
    <x v="3"/>
    <n v="46107.475694444445"/>
    <x v="0"/>
    <n v="46107.668055555558"/>
  </r>
  <r>
    <n v="1201"/>
    <s v="CENTRO CIRÚRGICO"/>
    <x v="3"/>
    <n v="46107.583333333336"/>
    <x v="1"/>
    <n v="46107.635416666664"/>
  </r>
  <r>
    <n v="1202"/>
    <s v="CENTRO CIRÚRGICO"/>
    <x v="0"/>
    <n v="46107.618796296294"/>
    <x v="0"/>
    <n v="46108.654374999998"/>
  </r>
  <r>
    <n v="1203"/>
    <s v="CENTRO CIRÚRGICO"/>
    <x v="0"/>
    <n v="46107.620023148149"/>
    <x v="1"/>
    <n v="46110.56453703704"/>
  </r>
  <r>
    <n v="1204"/>
    <s v="CENTRO CIRÚRGICO"/>
    <x v="3"/>
    <n v="46107.642361111109"/>
    <x v="3"/>
    <n v="46107.684027777781"/>
  </r>
  <r>
    <n v="1205"/>
    <s v="CENTRO CIRÚRGICO"/>
    <x v="0"/>
    <n v="46107.653622685182"/>
    <x v="0"/>
    <n v="46108.233611111114"/>
  </r>
  <r>
    <n v="1206"/>
    <s v="CENTRO CIRÚRGICO"/>
    <x v="1"/>
    <n v="46107.736111111109"/>
    <x v="0"/>
    <n v="46107.78125"/>
  </r>
  <r>
    <n v="1207"/>
    <s v="CENTRO CIRÚRGICO"/>
    <x v="1"/>
    <n v="46107.756944444445"/>
    <x v="0"/>
    <n v="46107.806250000001"/>
  </r>
  <r>
    <n v="1208"/>
    <s v="CENTRO CIRÚRGICO"/>
    <x v="0"/>
    <n v="46107.807523148149"/>
    <x v="0"/>
    <n v="46108.654560185183"/>
  </r>
  <r>
    <n v="1209"/>
    <s v="CENTRO CIRÚRGICO"/>
    <x v="2"/>
    <n v="46107.874884259261"/>
    <x v="1"/>
    <n v="46108.106134259258"/>
  </r>
  <r>
    <n v="1210"/>
    <s v="CENTRO CIRÚRGICO"/>
    <x v="0"/>
    <n v="46107.897141203706"/>
    <x v="0"/>
    <n v="46108.235266203701"/>
  </r>
  <r>
    <n v="1211"/>
    <s v="CENTRO CIRÚRGICO"/>
    <x v="0"/>
    <n v="46107.909236111111"/>
    <x v="0"/>
    <n v="46108.72519675926"/>
  </r>
  <r>
    <n v="1212"/>
    <s v="CENTRO CIRÚRGICO"/>
    <x v="0"/>
    <n v="46108.302210648151"/>
    <x v="0"/>
    <n v="46108.665671296294"/>
  </r>
  <r>
    <n v="1213"/>
    <s v="CENTRO CIRÚRGICO"/>
    <x v="0"/>
    <n v="46108.302719907406"/>
    <x v="0"/>
    <n v="46108.729375000003"/>
  </r>
  <r>
    <n v="1214"/>
    <s v="CENTRO CIRÚRGICO"/>
    <x v="1"/>
    <n v="46108.354166666664"/>
    <x v="0"/>
    <n v="46108.426388888889"/>
  </r>
  <r>
    <n v="1215"/>
    <s v="CENTRO CIRÚRGICO"/>
    <x v="1"/>
    <n v="46108.354166666664"/>
    <x v="1"/>
    <n v="46108.586388888885"/>
  </r>
  <r>
    <n v="1216"/>
    <s v="CENTRO CIRÚRGICO"/>
    <x v="0"/>
    <n v="46108.488680555558"/>
    <x v="2"/>
    <n v="46108.698738425926"/>
  </r>
  <r>
    <n v="1217"/>
    <s v="CENTRO CIRÚRGICO"/>
    <x v="0"/>
    <n v="46108.488680555558"/>
    <x v="2"/>
    <n v="46108.698738425926"/>
  </r>
  <r>
    <n v="1218"/>
    <s v="CENTRO CIRÚRGICO"/>
    <x v="1"/>
    <n v="46108.510416666664"/>
    <x v="0"/>
    <n v="46108.645833333336"/>
  </r>
  <r>
    <n v="1219"/>
    <s v="CENTRO CIRÚRGICO"/>
    <x v="2"/>
    <n v="46108.597222222219"/>
    <x v="3"/>
    <n v="46108.666666666664"/>
  </r>
  <r>
    <n v="1220"/>
    <s v="CENTRO CIRÚRGICO"/>
    <x v="2"/>
    <n v="46108.659722222219"/>
    <x v="3"/>
    <n v="46108.701388888891"/>
  </r>
  <r>
    <n v="1221"/>
    <s v="CENTRO CIRÚRGICO"/>
    <x v="0"/>
    <n v="46108.66547453704"/>
    <x v="0"/>
    <n v="46109.661412037036"/>
  </r>
  <r>
    <n v="1222"/>
    <s v="CENTRO CIRÚRGICO"/>
    <x v="1"/>
    <n v="46108.670138888891"/>
    <x v="0"/>
    <n v="46108.708333333336"/>
  </r>
  <r>
    <n v="1223"/>
    <s v="CENTRO CIRÚRGICO"/>
    <x v="0"/>
    <n v="46108.692141203705"/>
    <x v="5"/>
    <n v="46108.898009259261"/>
  </r>
  <r>
    <n v="1224"/>
    <s v="CENTRO CIRÚRGICO"/>
    <x v="1"/>
    <n v="46108.711805555555"/>
    <x v="0"/>
    <n v="46108.736805555556"/>
  </r>
  <r>
    <n v="1225"/>
    <s v="CENTRO CIRÚRGICO"/>
    <x v="0"/>
    <n v="46108.72320601852"/>
    <x v="0"/>
    <n v="46108.956087962964"/>
  </r>
  <r>
    <n v="1226"/>
    <s v="CENTRO CIRÚRGICO"/>
    <x v="0"/>
    <n v="46108.763888888891"/>
    <x v="2"/>
    <n v="46110.621215277781"/>
  </r>
  <r>
    <n v="1227"/>
    <s v="CENTRO CIRÚRGICO"/>
    <x v="0"/>
    <n v="46108.870706018519"/>
    <x v="0"/>
    <n v="46108.997696759259"/>
  </r>
  <r>
    <n v="1228"/>
    <s v="CENTRO CIRÚRGICO"/>
    <x v="0"/>
    <n v="46108.891215277778"/>
    <x v="0"/>
    <n v="46109.275601851848"/>
  </r>
  <r>
    <n v="1229"/>
    <s v="CENTRO CIRÚRGICO"/>
    <x v="0"/>
    <n v="46108.96875"/>
    <x v="0"/>
    <n v="46109.841377314813"/>
  </r>
  <r>
    <n v="1230"/>
    <s v="CENTRO CIRÚRGICO"/>
    <x v="0"/>
    <n v="46108.979166666664"/>
    <x v="0"/>
    <n v="46109.186481481483"/>
  </r>
  <r>
    <n v="1231"/>
    <s v="CENTRO CIRÚRGICO"/>
    <x v="0"/>
    <n v="46109.060567129629"/>
    <x v="0"/>
    <n v="46109.650497685187"/>
  </r>
  <r>
    <n v="1232"/>
    <s v="CENTRO CIRÚRGICO"/>
    <x v="0"/>
    <n v="46109.068796296298"/>
    <x v="0"/>
    <n v="46109.169328703705"/>
  </r>
  <r>
    <n v="1233"/>
    <s v="CENTRO CIRÚRGICO"/>
    <x v="2"/>
    <n v="46109.352743055555"/>
    <x v="0"/>
    <n v="46110.645844907405"/>
  </r>
  <r>
    <n v="1234"/>
    <s v="CENTRO CIRÚRGICO"/>
    <x v="0"/>
    <n v="46109.387349537035"/>
    <x v="1"/>
    <n v="46110.744062500002"/>
  </r>
  <r>
    <n v="1235"/>
    <s v="CENTRO CIRÚRGICO"/>
    <x v="1"/>
    <n v="46109.454861111109"/>
    <x v="0"/>
    <n v="46109.59375"/>
  </r>
  <r>
    <n v="1236"/>
    <s v="CENTRO CIRÚRGICO"/>
    <x v="3"/>
    <n v="46109.663194444445"/>
    <x v="1"/>
    <n v="46109.740277777775"/>
  </r>
  <r>
    <n v="1237"/>
    <s v="CENTRO CIRÚRGICO"/>
    <x v="0"/>
    <n v="46109.679629629631"/>
    <x v="0"/>
    <n v="46110.675474537034"/>
  </r>
  <r>
    <n v="1238"/>
    <s v="CENTRO CIRÚRGICO"/>
    <x v="0"/>
    <n v="46109.893738425926"/>
    <x v="0"/>
    <n v="46110.064027777778"/>
  </r>
  <r>
    <n v="1239"/>
    <s v="CENTRO CIRÚRGICO"/>
    <x v="0"/>
    <n v="46110.086400462962"/>
    <x v="0"/>
    <n v="46111.649537037039"/>
  </r>
  <r>
    <n v="1240"/>
    <s v="CENTRO CIRÚRGICO"/>
    <x v="2"/>
    <n v="46110.375694444447"/>
    <x v="3"/>
    <n v="46111.76939814815"/>
  </r>
  <r>
    <n v="1241"/>
    <s v="CENTRO CIRÚRGICO"/>
    <x v="0"/>
    <n v="46110.94"/>
    <x v="0"/>
    <n v="46111.643217592595"/>
  </r>
  <r>
    <n v="1242"/>
    <s v="CENTRO CIRÚRGICO"/>
    <x v="0"/>
    <n v="46111.04409722222"/>
    <x v="2"/>
    <n v="46111.520821759259"/>
  </r>
  <r>
    <n v="1243"/>
    <s v="CENTRO CIRÚRGICO"/>
    <x v="0"/>
    <n v="46111.044490740744"/>
    <x v="0"/>
    <n v="46111.67454861111"/>
  </r>
  <r>
    <n v="1244"/>
    <s v="CENTRO CIRÚRGICO"/>
    <x v="0"/>
    <n v="46111.051550925928"/>
    <x v="1"/>
    <n v="46111.93377314815"/>
  </r>
  <r>
    <n v="1245"/>
    <s v="CENTRO CIRÚRGICO"/>
    <x v="0"/>
    <n v="46111.28328703704"/>
    <x v="0"/>
    <n v="46111.675069444442"/>
  </r>
  <r>
    <n v="1246"/>
    <s v="CENTRO CIRÚRGICO"/>
    <x v="1"/>
    <n v="46111.336805555555"/>
    <x v="0"/>
    <n v="46111.357638888891"/>
  </r>
  <r>
    <n v="1247"/>
    <s v="CENTRO CIRÚRGICO"/>
    <x v="1"/>
    <n v="46111.395833333336"/>
    <x v="1"/>
    <n v="46111.5"/>
  </r>
  <r>
    <n v="1248"/>
    <s v="CENTRO CIRÚRGICO"/>
    <x v="1"/>
    <n v="46111.451388888891"/>
    <x v="1"/>
    <n v="46111.902511574073"/>
  </r>
  <r>
    <n v="1249"/>
    <s v="CENTRO CIRÚRGICO"/>
    <x v="0"/>
    <n v="46111.638888888891"/>
    <x v="0"/>
    <n v="46111.776712962965"/>
  </r>
  <r>
    <n v="1250"/>
    <s v="CENTRO CIRÚRGICO"/>
    <x v="2"/>
    <n v="46111.777777777781"/>
    <x v="3"/>
    <n v="46111.7881944444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2">
  <r>
    <n v="1"/>
    <x v="0"/>
    <n v="1"/>
    <s v="SALA CIRURGICA 01"/>
    <d v="2026-01-02T06:10:00"/>
    <d v="2026-01-02T06:30:00"/>
    <d v="2026-01-02T06:35:00"/>
    <d v="2026-01-02T06:47:00"/>
    <d v="2026-01-02T06:50:00"/>
    <d v="2026-01-02T07:00:00"/>
    <n v="0.83"/>
    <d v="2026-01-02T07:10:00"/>
    <d v="1899-12-30T00:50:00"/>
    <n v="0"/>
    <n v="50"/>
    <n v="50"/>
  </r>
  <r>
    <n v="2"/>
    <x v="1"/>
    <n v="1"/>
    <s v="SALA CIRURGICA 06"/>
    <d v="2026-01-05T08:45:00"/>
    <d v="2026-01-05T08:55:00"/>
    <d v="2026-01-05T09:35:00"/>
    <d v="2026-01-05T12:05:00"/>
    <d v="2026-01-05T12:15:00"/>
    <d v="2026-01-05T12:20:00"/>
    <n v="3.58"/>
    <d v="2026-01-05T12:30:00"/>
    <d v="1899-12-30T03:35:00"/>
    <n v="3"/>
    <n v="35"/>
    <n v="215"/>
  </r>
  <r>
    <n v="3"/>
    <x v="1"/>
    <n v="1"/>
    <s v="SALA CIRURGICA 01"/>
    <d v="2026-01-13T09:00:00"/>
    <d v="2026-01-13T09:10:00"/>
    <d v="2026-01-13T11:00:00"/>
    <d v="2026-01-13T12:14:00"/>
    <d v="2026-01-13T12:24:00"/>
    <d v="2026-01-13T13:00:00"/>
    <n v="4"/>
    <d v="2026-01-13T13:10:00"/>
    <d v="1899-12-30T04:00:00"/>
    <n v="4"/>
    <n v="0"/>
    <n v="240"/>
  </r>
  <r>
    <n v="4"/>
    <x v="2"/>
    <n v="1"/>
    <s v="SALA CIRURGICA 03"/>
    <d v="2026-01-02T14:35:00"/>
    <d v="2026-01-02T14:50:00"/>
    <d v="2026-01-02T15:30:00"/>
    <d v="2026-01-02T18:38:00"/>
    <d v="2026-01-02T19:35:00"/>
    <d v="2026-01-02T19:40:00"/>
    <n v="5.08"/>
    <d v="2026-01-02T19:42:00"/>
    <d v="1899-12-30T05:05:00"/>
    <n v="5"/>
    <n v="5"/>
    <n v="305"/>
  </r>
  <r>
    <n v="5"/>
    <x v="2"/>
    <n v="1"/>
    <s v="SALA CIRURGICA 02"/>
    <d v="2026-01-06T07:48:00"/>
    <d v="2026-01-06T07:58:00"/>
    <d v="2026-01-06T08:00:00"/>
    <d v="2026-01-06T08:07:00"/>
    <d v="2026-01-06T08:09:00"/>
    <d v="2026-01-06T08:10:00"/>
    <n v="0.37"/>
    <d v="2026-01-06T08:12:00"/>
    <d v="1899-12-30T00:22:00"/>
    <n v="0"/>
    <n v="22"/>
    <n v="22"/>
  </r>
  <r>
    <n v="6"/>
    <x v="1"/>
    <n v="1"/>
    <s v="SALA CIRURGICA 05"/>
    <d v="2026-01-06T08:40:00"/>
    <d v="2026-01-06T08:45:00"/>
    <d v="2026-01-06T08:50:00"/>
    <d v="2026-01-06T09:00:00"/>
    <d v="2026-01-06T09:05:00"/>
    <d v="2026-01-06T09:25:00"/>
    <n v="0.75"/>
    <d v="2026-01-06T09:30:00"/>
    <d v="1899-12-30T00:45:00"/>
    <n v="0"/>
    <n v="45"/>
    <n v="45"/>
  </r>
  <r>
    <n v="7"/>
    <x v="2"/>
    <n v="1"/>
    <s v="SALA CIRURGICA 02"/>
    <d v="2026-01-01T15:15:00"/>
    <d v="2026-01-01T15:30:00"/>
    <d v="2026-01-01T16:00:00"/>
    <d v="2026-01-01T17:03:00"/>
    <d v="2026-01-01T17:13:00"/>
    <d v="2026-01-01T17:20:00"/>
    <n v="2.08"/>
    <d v="2026-01-01T17:30:00"/>
    <d v="1899-12-30T02:05:00"/>
    <n v="2"/>
    <n v="5"/>
    <n v="125"/>
  </r>
  <r>
    <n v="8"/>
    <x v="2"/>
    <n v="1"/>
    <s v="SALA CIRURGICA 03"/>
    <d v="2026-01-01T07:00:00"/>
    <d v="2026-01-01T08:00:00"/>
    <d v="2026-01-01T09:00:00"/>
    <d v="2026-01-01T12:20:00"/>
    <d v="2026-01-01T12:30:00"/>
    <d v="2026-01-01T13:00:00"/>
    <n v="6"/>
    <d v="2026-01-01T13:10:00"/>
    <d v="1899-12-30T06:00:00"/>
    <n v="6"/>
    <n v="0"/>
    <n v="360"/>
  </r>
  <r>
    <n v="9"/>
    <x v="2"/>
    <n v="1"/>
    <s v="SALA CIRURGICA 01"/>
    <d v="2026-01-01T08:27:00"/>
    <d v="2026-01-01T08:40:00"/>
    <d v="2026-01-01T08:50:00"/>
    <d v="2026-01-01T09:00:00"/>
    <d v="2026-01-01T09:10:00"/>
    <d v="2026-01-01T09:15:00"/>
    <n v="0.8"/>
    <d v="2026-01-01T09:30:00"/>
    <d v="1899-12-30T00:48:00"/>
    <n v="0"/>
    <n v="48"/>
    <n v="48"/>
  </r>
  <r>
    <n v="10"/>
    <x v="2"/>
    <n v="1"/>
    <s v="SALA CIRURGICA 03"/>
    <d v="2026-01-01T08:40:00"/>
    <d v="2026-01-01T09:00:00"/>
    <d v="2026-01-01T10:00:00"/>
    <d v="2026-01-01T11:05:00"/>
    <d v="2026-01-01T11:15:00"/>
    <d v="2026-01-01T12:00:00"/>
    <n v="3.33"/>
    <d v="2026-01-01T12:10:00"/>
    <d v="1899-12-30T03:20:00"/>
    <n v="3"/>
    <n v="20"/>
    <n v="200"/>
  </r>
  <r>
    <n v="11"/>
    <x v="1"/>
    <n v="1"/>
    <s v="SALA CIRURGICA 01"/>
    <d v="2026-01-01T00:00:00"/>
    <d v="2026-01-01T00:10:00"/>
    <d v="2026-01-01T00:30:00"/>
    <d v="2026-01-01T01:20:00"/>
    <d v="2026-01-01T01:25:00"/>
    <d v="2026-01-01T01:35:00"/>
    <n v="1.58"/>
    <d v="2026-01-01T01:36:00"/>
    <d v="1899-12-30T01:35:00"/>
    <n v="1"/>
    <n v="35"/>
    <n v="95"/>
  </r>
  <r>
    <n v="12"/>
    <x v="2"/>
    <n v="1"/>
    <s v="SALA CIRURGICA 01"/>
    <d v="2026-01-01T02:55:00"/>
    <d v="2026-01-01T03:00:00"/>
    <d v="2026-01-01T03:10:00"/>
    <d v="2026-01-01T03:30:00"/>
    <d v="2026-01-01T03:35:00"/>
    <d v="2026-01-01T03:40:00"/>
    <n v="0.75"/>
    <d v="2026-01-01T03:50:00"/>
    <d v="1899-12-30T00:45:00"/>
    <n v="0"/>
    <n v="45"/>
    <n v="45"/>
  </r>
  <r>
    <n v="13"/>
    <x v="0"/>
    <n v="1"/>
    <s v="SALA CIRURGICA 01"/>
    <d v="2026-01-02T12:00:00"/>
    <d v="2026-01-02T12:10:00"/>
    <d v="2026-01-02T12:30:00"/>
    <d v="2026-01-02T13:30:00"/>
    <d v="2026-01-02T13:40:00"/>
    <d v="2026-01-02T13:50:00"/>
    <n v="1.83"/>
    <d v="2026-01-02T14:00:00"/>
    <d v="1899-12-30T01:50:00"/>
    <n v="1"/>
    <n v="50"/>
    <n v="110"/>
  </r>
  <r>
    <n v="14"/>
    <x v="2"/>
    <n v="1"/>
    <s v="SALA CIRURGICA 05"/>
    <d v="2026-01-01T10:00:00"/>
    <d v="2026-01-01T10:20:00"/>
    <d v="2026-01-01T10:50:00"/>
    <d v="2026-01-01T11:20:00"/>
    <d v="2026-01-01T11:30:00"/>
    <d v="2026-01-01T14:40:00"/>
    <n v="4.67"/>
    <d v="2026-01-01T14:50:00"/>
    <d v="1899-12-30T04:40:00"/>
    <n v="4"/>
    <n v="40"/>
    <n v="280"/>
  </r>
  <r>
    <n v="15"/>
    <x v="1"/>
    <n v="1"/>
    <s v="SALA CIRURGICA 06"/>
    <d v="2026-01-01T10:35:00"/>
    <d v="2026-01-01T11:00:00"/>
    <d v="2026-01-01T11:15:00"/>
    <d v="2026-01-01T12:40:00"/>
    <d v="2026-01-01T12:45:00"/>
    <d v="2026-01-01T12:50:00"/>
    <n v="2.25"/>
    <d v="2026-01-01T13:00:00"/>
    <d v="1899-12-30T02:15:00"/>
    <n v="2"/>
    <n v="15"/>
    <n v="135"/>
  </r>
  <r>
    <n v="16"/>
    <x v="2"/>
    <n v="1"/>
    <s v="SALA CIRURGICA 01"/>
    <d v="2026-01-01T10:55:00"/>
    <d v="2026-01-01T11:05:00"/>
    <d v="2026-01-01T11:35:00"/>
    <d v="2026-01-01T12:50:00"/>
    <d v="2026-01-01T13:00:00"/>
    <d v="2026-01-01T13:10:00"/>
    <n v="2.25"/>
    <d v="2026-01-01T13:20:00"/>
    <d v="1899-12-30T02:15:00"/>
    <n v="2"/>
    <n v="15"/>
    <n v="135"/>
  </r>
  <r>
    <n v="17"/>
    <x v="0"/>
    <n v="1"/>
    <s v="SALA CIRURGICA 03"/>
    <d v="2026-01-01T14:10:00"/>
    <d v="2026-01-01T14:40:00"/>
    <d v="2026-01-01T15:00:00"/>
    <d v="2026-01-01T16:40:00"/>
    <d v="2026-01-01T16:50:00"/>
    <d v="2026-01-01T17:30:00"/>
    <n v="3.33"/>
    <d v="2026-01-01T17:40:00"/>
    <d v="1899-12-30T03:20:00"/>
    <n v="3"/>
    <n v="20"/>
    <n v="200"/>
  </r>
  <r>
    <n v="18"/>
    <x v="0"/>
    <n v="1"/>
    <s v="SALA CIRURGICA 03"/>
    <d v="2026-01-02T11:10:00"/>
    <d v="2026-01-02T11:30:00"/>
    <d v="2026-01-02T11:40:00"/>
    <d v="2026-01-02T12:05:00"/>
    <d v="2026-01-02T12:08:00"/>
    <d v="2026-01-02T12:20:00"/>
    <n v="1.17"/>
    <d v="2026-01-02T12:21:00"/>
    <d v="1899-12-30T01:10:00"/>
    <n v="1"/>
    <n v="10"/>
    <n v="70"/>
  </r>
  <r>
    <n v="19"/>
    <x v="2"/>
    <n v="1"/>
    <s v="SALA CIRURGICA 05"/>
    <d v="2026-01-02T14:05:00"/>
    <d v="2026-01-02T14:15:00"/>
    <d v="2026-01-02T14:35:00"/>
    <d v="2026-01-02T15:36:00"/>
    <d v="2026-01-02T15:46:00"/>
    <d v="2026-01-02T16:00:00"/>
    <n v="1.92"/>
    <d v="2026-01-02T16:10:00"/>
    <d v="1899-12-30T01:55:00"/>
    <n v="1"/>
    <n v="55"/>
    <n v="115"/>
  </r>
  <r>
    <n v="20"/>
    <x v="1"/>
    <n v="1"/>
    <s v="SALA CIRURGICA 03"/>
    <d v="2026-01-02T07:05:00"/>
    <d v="2026-01-02T08:40:00"/>
    <d v="2026-01-02T10:40:00"/>
    <d v="2026-01-02T13:15:00"/>
    <d v="2026-01-02T13:25:00"/>
    <d v="2026-01-02T13:50:00"/>
    <n v="6.75"/>
    <d v="2026-01-02T13:55:00"/>
    <d v="1899-12-30T06:45:00"/>
    <n v="6"/>
    <n v="45"/>
    <n v="405"/>
  </r>
  <r>
    <n v="21"/>
    <x v="2"/>
    <n v="1"/>
    <s v="SALA CIRURGICA 02"/>
    <d v="2026-01-02T08:05:00"/>
    <d v="2026-01-02T08:20:00"/>
    <d v="2026-01-02T08:23:00"/>
    <d v="2026-01-02T08:32:00"/>
    <d v="2026-01-02T08:40:00"/>
    <d v="2026-01-02T09:03:00"/>
    <n v="0.97"/>
    <d v="2026-01-02T09:05:00"/>
    <d v="1899-12-30T00:58:00"/>
    <n v="0"/>
    <n v="58"/>
    <n v="58"/>
  </r>
  <r>
    <n v="22"/>
    <x v="2"/>
    <n v="1"/>
    <s v="SALA CIRURGICA 06"/>
    <d v="2026-01-01T16:30:00"/>
    <d v="2026-01-01T16:45:00"/>
    <d v="2026-01-01T17:00:00"/>
    <d v="2026-01-01T17:30:00"/>
    <d v="2026-01-01T17:40:00"/>
    <d v="2026-01-01T17:45:00"/>
    <n v="1.25"/>
    <d v="2026-01-01T17:55:00"/>
    <d v="1899-12-30T01:15:00"/>
    <n v="1"/>
    <n v="15"/>
    <n v="75"/>
  </r>
  <r>
    <n v="23"/>
    <x v="1"/>
    <n v="1"/>
    <s v="SALA CIRURGICA 01"/>
    <d v="2026-01-02T07:00:00"/>
    <d v="2026-01-02T07:50:00"/>
    <d v="2026-01-02T08:15:00"/>
    <d v="2026-01-02T10:34:00"/>
    <d v="2026-01-02T10:44:00"/>
    <d v="2026-01-02T11:00:00"/>
    <n v="4"/>
    <d v="2026-01-02T11:10:00"/>
    <d v="1899-12-30T04:00:00"/>
    <n v="4"/>
    <n v="0"/>
    <n v="240"/>
  </r>
  <r>
    <n v="24"/>
    <x v="1"/>
    <n v="1"/>
    <s v="SALA CIRURGICA 03"/>
    <d v="2026-01-02T07:45:00"/>
    <d v="2026-01-02T08:30:00"/>
    <d v="2026-01-02T09:00:00"/>
    <d v="2026-01-02T10:52:00"/>
    <d v="2026-01-02T11:00:00"/>
    <d v="2026-01-02T11:45:00"/>
    <n v="4"/>
    <d v="2026-01-02T11:55:00"/>
    <d v="1899-12-30T04:00:00"/>
    <n v="4"/>
    <n v="0"/>
    <n v="240"/>
  </r>
  <r>
    <n v="25"/>
    <x v="2"/>
    <n v="1"/>
    <s v="SALA CIRURGICA 03"/>
    <d v="2026-01-02T00:35:00"/>
    <d v="2026-01-02T00:50:00"/>
    <d v="2026-01-02T01:00:00"/>
    <d v="2026-01-02T01:42:00"/>
    <d v="2026-01-02T01:45:00"/>
    <d v="2026-01-02T01:46:00"/>
    <n v="1.18"/>
    <d v="2026-01-02T01:56:00"/>
    <d v="1899-12-30T01:11:00"/>
    <n v="1"/>
    <n v="11"/>
    <n v="71"/>
  </r>
  <r>
    <n v="26"/>
    <x v="0"/>
    <n v="1"/>
    <s v="SALA CIRURGICA 03"/>
    <d v="2026-01-02T10:00:00"/>
    <d v="2026-01-02T10:15:00"/>
    <d v="2026-01-02T10:46:00"/>
    <d v="2026-01-02T11:38:00"/>
    <d v="2026-01-02T11:50:00"/>
    <d v="2026-01-02T11:51:00"/>
    <n v="1.85"/>
    <d v="2026-01-02T11:53:00"/>
    <d v="1899-12-30T01:51:00"/>
    <n v="1"/>
    <n v="51"/>
    <n v="111"/>
  </r>
  <r>
    <n v="27"/>
    <x v="1"/>
    <n v="1"/>
    <s v="SALA CIRURGICA 02"/>
    <d v="2026-01-02T13:30:00"/>
    <d v="2026-01-02T13:40:00"/>
    <d v="2026-01-02T15:20:00"/>
    <d v="2026-01-02T18:10:00"/>
    <d v="2026-01-02T18:20:00"/>
    <d v="2026-01-02T19:16:00"/>
    <n v="5.77"/>
    <d v="2026-01-02T19:20:00"/>
    <d v="1899-12-30T05:46:00"/>
    <n v="5"/>
    <n v="46"/>
    <n v="346"/>
  </r>
  <r>
    <n v="28"/>
    <x v="2"/>
    <n v="1"/>
    <s v="SALA CIRURGICA 01"/>
    <d v="2026-01-02T15:45:00"/>
    <d v="2026-01-02T16:00:00"/>
    <d v="2026-01-02T16:40:00"/>
    <d v="2026-01-02T17:35:00"/>
    <d v="2026-01-02T17:40:00"/>
    <d v="2026-01-02T18:05:00"/>
    <n v="2.33"/>
    <d v="2026-01-02T18:15:00"/>
    <d v="1899-12-30T02:20:00"/>
    <n v="2"/>
    <n v="20"/>
    <n v="140"/>
  </r>
  <r>
    <n v="29"/>
    <x v="0"/>
    <n v="1"/>
    <s v="SALA CIRURGICA 06"/>
    <d v="2026-01-05T13:20:00"/>
    <d v="2026-01-05T13:45:00"/>
    <d v="2026-01-05T14:20:00"/>
    <d v="2026-01-05T16:40:00"/>
    <d v="2026-01-05T16:50:00"/>
    <d v="2026-01-05T17:00:00"/>
    <n v="3.67"/>
    <d v="2026-01-05T17:10:00"/>
    <d v="1899-12-30T03:40:00"/>
    <n v="3"/>
    <n v="40"/>
    <n v="220"/>
  </r>
  <r>
    <n v="30"/>
    <x v="2"/>
    <n v="1"/>
    <s v="SALA CIRURGICA 03"/>
    <d v="2026-01-03T18:15:00"/>
    <d v="2026-01-03T18:20:00"/>
    <d v="2026-01-03T18:24:00"/>
    <d v="2026-01-03T19:15:00"/>
    <d v="2026-01-03T19:25:00"/>
    <d v="2026-01-03T19:35:00"/>
    <n v="1.33"/>
    <d v="2026-01-03T19:45:00"/>
    <d v="1899-12-30T01:20:00"/>
    <n v="1"/>
    <n v="20"/>
    <n v="80"/>
  </r>
  <r>
    <n v="31"/>
    <x v="0"/>
    <n v="1"/>
    <s v="SALA CIRURGICA 06"/>
    <d v="2026-01-05T06:10:00"/>
    <d v="2026-01-05T06:20:00"/>
    <d v="2026-01-05T06:45:00"/>
    <d v="2026-01-05T06:55:00"/>
    <d v="2026-01-05T07:05:00"/>
    <d v="2026-01-05T07:40:00"/>
    <n v="1.5"/>
    <d v="2026-01-05T07:50:00"/>
    <d v="1899-12-30T01:30:00"/>
    <n v="1"/>
    <n v="30"/>
    <n v="90"/>
  </r>
  <r>
    <n v="32"/>
    <x v="2"/>
    <n v="1"/>
    <s v="SALA CIRURGICA 01"/>
    <d v="2026-01-02T17:53:00"/>
    <d v="2026-01-02T17:55:00"/>
    <d v="2026-01-02T18:38:00"/>
    <d v="2026-01-02T21:08:00"/>
    <d v="2026-01-02T21:18:00"/>
    <d v="2026-01-03T00:30:00"/>
    <n v="6.62"/>
    <d v="2026-01-03T00:40:00"/>
    <d v="1899-12-30T06:37:00"/>
    <n v="6"/>
    <n v="37"/>
    <n v="397"/>
  </r>
  <r>
    <n v="33"/>
    <x v="2"/>
    <n v="1"/>
    <s v="SALA CIRURGICA 01"/>
    <d v="2026-01-02T19:50:00"/>
    <d v="2026-01-02T20:00:00"/>
    <d v="2026-01-02T20:25:00"/>
    <d v="2026-01-02T21:21:00"/>
    <d v="2026-01-02T21:31:00"/>
    <d v="2026-01-02T21:44:00"/>
    <n v="1.9"/>
    <d v="2026-01-02T21:54:00"/>
    <d v="1899-12-30T01:54:00"/>
    <n v="1"/>
    <n v="54"/>
    <n v="114"/>
  </r>
  <r>
    <n v="34"/>
    <x v="2"/>
    <n v="1"/>
    <s v="SALA CIRURGICA 01"/>
    <d v="2026-01-02T20:45:00"/>
    <d v="2026-01-02T21:00:00"/>
    <d v="2026-01-02T21:20:00"/>
    <d v="2026-01-02T22:20:00"/>
    <d v="2026-01-02T22:22:00"/>
    <d v="2026-01-02T22:24:00"/>
    <n v="1.65"/>
    <d v="2026-01-02T22:30:00"/>
    <d v="1899-12-30T01:39:00"/>
    <n v="1"/>
    <n v="39"/>
    <n v="99"/>
  </r>
  <r>
    <n v="35"/>
    <x v="2"/>
    <n v="1"/>
    <s v="SALA CIRURGICA 01"/>
    <d v="2026-01-03T00:20:00"/>
    <d v="2026-01-03T00:30:00"/>
    <d v="2026-01-03T00:40:00"/>
    <d v="2026-01-03T01:50:00"/>
    <d v="2026-01-03T01:53:00"/>
    <d v="2026-01-03T01:55:00"/>
    <n v="1.58"/>
    <d v="2026-01-03T02:05:00"/>
    <d v="1899-12-30T01:35:00"/>
    <n v="1"/>
    <n v="35"/>
    <n v="95"/>
  </r>
  <r>
    <n v="36"/>
    <x v="1"/>
    <n v="1"/>
    <s v="SALA CIRURGICA 01"/>
    <d v="2026-01-03T08:50:00"/>
    <d v="2026-01-03T08:55:00"/>
    <d v="2026-01-03T09:25:00"/>
    <d v="2026-01-03T11:20:00"/>
    <d v="2026-01-03T11:30:00"/>
    <d v="2026-01-03T11:40:00"/>
    <n v="2.83"/>
    <d v="2026-01-03T11:50:00"/>
    <d v="1899-12-30T02:50:00"/>
    <n v="2"/>
    <n v="50"/>
    <n v="170"/>
  </r>
  <r>
    <n v="37"/>
    <x v="2"/>
    <n v="1"/>
    <s v="SALA CIRURGICA 02"/>
    <d v="2026-01-03T08:51:00"/>
    <d v="2026-01-03T09:01:00"/>
    <d v="2026-01-03T09:40:00"/>
    <d v="2026-01-03T16:40:00"/>
    <d v="2026-01-03T16:50:00"/>
    <d v="2026-01-03T17:30:00"/>
    <n v="8.65"/>
    <d v="2026-01-03T17:40:00"/>
    <d v="1899-12-30T08:39:00"/>
    <n v="8"/>
    <n v="39"/>
    <n v="519"/>
  </r>
  <r>
    <n v="38"/>
    <x v="2"/>
    <n v="1"/>
    <s v="SALA CIRURGICA 06"/>
    <d v="2026-01-05T07:05:00"/>
    <d v="2026-01-05T07:45:00"/>
    <d v="2026-01-05T08:30:00"/>
    <d v="2026-01-05T11:00:00"/>
    <d v="2026-01-05T11:10:00"/>
    <d v="2026-01-05T11:20:00"/>
    <n v="4.25"/>
    <d v="2026-01-05T11:30:00"/>
    <d v="1899-12-30T04:15:00"/>
    <n v="4"/>
    <n v="15"/>
    <n v="255"/>
  </r>
  <r>
    <n v="39"/>
    <x v="0"/>
    <n v="1"/>
    <s v="SALA CIRURGICA 03"/>
    <d v="2026-01-03T12:23:00"/>
    <d v="2026-01-03T12:33:00"/>
    <d v="2026-01-03T12:39:00"/>
    <d v="2026-01-03T12:49:00"/>
    <d v="2026-01-03T12:59:00"/>
    <d v="2026-01-03T13:05:00"/>
    <n v="0.68"/>
    <d v="2026-01-03T13:15:00"/>
    <d v="1899-12-30T00:42:00"/>
    <n v="0"/>
    <n v="42"/>
    <n v="42"/>
  </r>
  <r>
    <n v="40"/>
    <x v="0"/>
    <n v="1"/>
    <s v="SALA CIRURGICA 01"/>
    <d v="2026-01-03T16:20:00"/>
    <d v="2026-01-03T16:30:00"/>
    <d v="2026-01-03T16:40:00"/>
    <d v="2026-01-03T16:56:00"/>
    <d v="2026-01-03T17:00:00"/>
    <d v="2026-01-03T17:10:00"/>
    <n v="0.83"/>
    <d v="2026-01-03T17:20:00"/>
    <d v="1899-12-30T00:50:00"/>
    <n v="0"/>
    <n v="50"/>
    <n v="50"/>
  </r>
  <r>
    <n v="41"/>
    <x v="0"/>
    <n v="1"/>
    <s v="SALA CIRURGICA 03"/>
    <d v="2026-01-03T15:40:00"/>
    <d v="2026-01-03T15:50:00"/>
    <d v="2026-01-03T16:10:00"/>
    <d v="2026-01-03T17:00:00"/>
    <d v="2026-01-03T17:10:00"/>
    <d v="2026-01-03T17:30:00"/>
    <n v="1.83"/>
    <d v="2026-01-03T17:41:00"/>
    <d v="1899-12-30T01:50:00"/>
    <n v="1"/>
    <n v="50"/>
    <n v="110"/>
  </r>
  <r>
    <n v="42"/>
    <x v="0"/>
    <n v="1"/>
    <s v="SALA CIRURGICA 05"/>
    <d v="2026-01-03T17:05:00"/>
    <d v="2026-01-03T17:20:00"/>
    <d v="2026-01-03T18:10:00"/>
    <d v="2026-01-03T20:12:00"/>
    <d v="2026-01-03T20:22:00"/>
    <d v="2026-01-03T20:23:00"/>
    <n v="3.3"/>
    <d v="2026-01-03T20:33:00"/>
    <d v="1899-12-30T03:18:00"/>
    <n v="3"/>
    <n v="18"/>
    <n v="198"/>
  </r>
  <r>
    <n v="43"/>
    <x v="2"/>
    <n v="1"/>
    <s v="SALA CIRURGICA 01"/>
    <d v="2026-01-03T18:35:00"/>
    <d v="2026-01-03T18:45:00"/>
    <d v="2026-01-03T19:00:00"/>
    <d v="2026-01-03T19:50:00"/>
    <d v="2026-01-03T20:00:00"/>
    <d v="2026-01-03T20:25:00"/>
    <n v="1.83"/>
    <d v="2026-01-03T20:35:00"/>
    <d v="1899-12-30T01:50:00"/>
    <n v="1"/>
    <n v="50"/>
    <n v="110"/>
  </r>
  <r>
    <n v="44"/>
    <x v="1"/>
    <n v="1"/>
    <s v="SALA CIRURGICA 03"/>
    <d v="2026-01-03T23:05:00"/>
    <d v="2026-01-03T23:20:00"/>
    <d v="2026-01-03T23:30:00"/>
    <d v="2026-01-04T00:55:00"/>
    <d v="2026-01-04T01:05:00"/>
    <d v="2026-01-04T01:10:00"/>
    <n v="2.08"/>
    <d v="2026-01-04T01:20:00"/>
    <d v="1899-12-30T02:05:00"/>
    <n v="2"/>
    <n v="5"/>
    <n v="125"/>
  </r>
  <r>
    <n v="45"/>
    <x v="0"/>
    <n v="1"/>
    <s v="SALA CIRURGICA 01"/>
    <d v="2026-01-03T23:40:00"/>
    <d v="2026-01-03T23:50:00"/>
    <d v="2026-01-04T00:10:00"/>
    <d v="2026-01-04T01:05:00"/>
    <d v="2026-01-04T01:15:00"/>
    <d v="2026-01-04T01:18:00"/>
    <n v="1.63"/>
    <d v="2026-01-04T01:25:00"/>
    <d v="1899-12-30T01:38:00"/>
    <n v="1"/>
    <n v="38"/>
    <n v="98"/>
  </r>
  <r>
    <n v="46"/>
    <x v="1"/>
    <n v="1"/>
    <s v="SALA CIRURGICA 02"/>
    <d v="2026-01-04T08:16:00"/>
    <d v="2026-01-04T08:30:00"/>
    <d v="2026-01-04T08:45:00"/>
    <d v="2026-01-04T09:40:00"/>
    <d v="2026-01-04T10:00:00"/>
    <d v="2026-01-04T10:15:00"/>
    <n v="1.98"/>
    <d v="2026-01-04T10:25:00"/>
    <d v="1899-12-30T01:59:00"/>
    <n v="1"/>
    <n v="59"/>
    <n v="119"/>
  </r>
  <r>
    <n v="47"/>
    <x v="2"/>
    <n v="1"/>
    <s v="SALA CIRURGICA 01"/>
    <d v="2026-01-04T09:15:00"/>
    <d v="2026-01-04T09:20:00"/>
    <d v="2026-01-04T09:50:00"/>
    <d v="2026-01-04T14:50:00"/>
    <d v="2026-01-04T15:30:00"/>
    <d v="2026-01-04T16:30:00"/>
    <n v="7.25"/>
    <d v="2026-01-04T16:40:00"/>
    <d v="1899-12-30T07:15:00"/>
    <n v="7"/>
    <n v="15"/>
    <n v="435"/>
  </r>
  <r>
    <n v="48"/>
    <x v="2"/>
    <n v="1"/>
    <s v="SALA CIRURGICA 03"/>
    <d v="2026-01-04T08:40:00"/>
    <d v="2026-01-04T09:10:00"/>
    <d v="2026-01-04T09:35:00"/>
    <d v="2026-01-04T11:22:00"/>
    <d v="2026-01-04T11:32:00"/>
    <d v="2026-01-04T11:45:00"/>
    <n v="3.08"/>
    <d v="2026-01-04T11:55:00"/>
    <d v="1899-12-30T03:05:00"/>
    <n v="3"/>
    <n v="5"/>
    <n v="185"/>
  </r>
  <r>
    <n v="49"/>
    <x v="2"/>
    <n v="1"/>
    <s v="SALA CIRURGICA 03"/>
    <d v="2026-01-04T16:25:00"/>
    <d v="2026-01-04T17:05:00"/>
    <d v="2026-01-04T17:30:00"/>
    <d v="2026-01-04T18:40:00"/>
    <d v="2026-01-04T18:50:00"/>
    <d v="2026-01-04T18:55:00"/>
    <n v="2.5"/>
    <d v="2026-01-04T19:00:00"/>
    <d v="1899-12-30T02:30:00"/>
    <n v="2"/>
    <n v="30"/>
    <n v="150"/>
  </r>
  <r>
    <n v="50"/>
    <x v="0"/>
    <n v="1"/>
    <s v="SALA CIRURGICA 01"/>
    <d v="2026-01-04T12:07:00"/>
    <d v="2026-01-04T12:30:00"/>
    <d v="2026-01-04T12:35:00"/>
    <d v="2026-01-04T12:50:00"/>
    <d v="2026-01-04T13:00:00"/>
    <d v="2026-01-04T13:05:00"/>
    <n v="0.97"/>
    <d v="2026-01-04T13:10:00"/>
    <d v="1899-12-30T00:58:00"/>
    <n v="0"/>
    <n v="58"/>
    <n v="58"/>
  </r>
  <r>
    <n v="51"/>
    <x v="1"/>
    <n v="1"/>
    <s v="SALA CIRURGICA 01"/>
    <d v="2026-01-04T14:32:00"/>
    <d v="2026-01-04T14:40:00"/>
    <d v="2026-01-04T15:20:00"/>
    <d v="2026-01-04T16:10:00"/>
    <d v="2026-01-04T17:10:00"/>
    <d v="2026-01-04T17:14:00"/>
    <n v="2.7"/>
    <d v="2026-01-04T17:15:00"/>
    <d v="1899-12-30T02:42:00"/>
    <n v="2"/>
    <n v="42"/>
    <n v="162"/>
  </r>
  <r>
    <n v="52"/>
    <x v="2"/>
    <n v="1"/>
    <s v="SALA CIRURGICA 06"/>
    <d v="2026-01-05T07:00:00"/>
    <d v="2026-01-05T07:50:00"/>
    <d v="2026-01-05T08:30:00"/>
    <d v="2026-01-05T09:21:00"/>
    <d v="2026-01-05T09:30:00"/>
    <d v="2026-01-05T09:40:00"/>
    <n v="2.67"/>
    <d v="2026-01-05T09:50:00"/>
    <d v="1899-12-30T02:40:00"/>
    <n v="2"/>
    <n v="40"/>
    <n v="160"/>
  </r>
  <r>
    <n v="53"/>
    <x v="2"/>
    <n v="1"/>
    <s v="SALA CIRURGICA 03"/>
    <d v="2026-01-05T08:40:00"/>
    <d v="2026-01-05T08:50:00"/>
    <d v="2026-01-05T09:00:00"/>
    <d v="2026-01-05T10:15:00"/>
    <d v="2026-01-05T10:25:00"/>
    <d v="2026-01-05T10:30:00"/>
    <n v="1.83"/>
    <d v="2026-01-05T10:40:00"/>
    <d v="1899-12-30T01:50:00"/>
    <n v="1"/>
    <n v="50"/>
    <n v="110"/>
  </r>
  <r>
    <n v="54"/>
    <x v="2"/>
    <n v="1"/>
    <s v="SALA CIRURGICA 01"/>
    <d v="2026-01-04T20:25:00"/>
    <d v="2026-01-04T20:38:00"/>
    <d v="2026-01-04T20:45:00"/>
    <d v="2026-01-04T22:10:00"/>
    <d v="2026-01-04T22:20:00"/>
    <d v="2026-01-04T22:22:00"/>
    <n v="1.95"/>
    <d v="2026-01-04T22:32:00"/>
    <d v="1899-12-30T01:57:00"/>
    <n v="1"/>
    <n v="57"/>
    <n v="117"/>
  </r>
  <r>
    <n v="55"/>
    <x v="0"/>
    <n v="1"/>
    <s v="SALA CIRURGICA 01"/>
    <d v="2026-01-04T17:57:00"/>
    <d v="2026-01-04T17:59:00"/>
    <d v="2026-01-04T18:00:00"/>
    <d v="2026-01-04T19:20:00"/>
    <d v="2026-01-04T19:30:00"/>
    <d v="2026-01-04T19:35:00"/>
    <n v="1.63"/>
    <d v="2026-01-04T19:45:00"/>
    <d v="1899-12-30T01:38:00"/>
    <n v="1"/>
    <n v="38"/>
    <n v="98"/>
  </r>
  <r>
    <n v="56"/>
    <x v="2"/>
    <n v="1"/>
    <s v="SALA CIRURGICA 01"/>
    <d v="2026-01-04T23:35:00"/>
    <d v="2026-01-04T23:40:00"/>
    <d v="2026-01-04T23:50:00"/>
    <d v="2026-01-05T00:30:00"/>
    <d v="2026-01-05T00:35:00"/>
    <d v="2026-01-05T00:36:00"/>
    <n v="1.02"/>
    <d v="2026-01-05T00:40:00"/>
    <d v="1899-12-30T01:01:00"/>
    <n v="1"/>
    <n v="1"/>
    <n v="61"/>
  </r>
  <r>
    <n v="57"/>
    <x v="1"/>
    <n v="1"/>
    <s v="SALA CIRURGICA 01"/>
    <d v="2026-01-05T01:30:00"/>
    <d v="2026-01-05T01:40:00"/>
    <d v="2026-01-05T01:55:00"/>
    <d v="2026-01-05T03:29:00"/>
    <d v="2026-01-05T04:30:00"/>
    <d v="2026-01-05T14:50:00"/>
    <n v="13.33"/>
    <d v="2026-01-05T15:00:00"/>
    <d v="1899-12-30T13:20:00"/>
    <n v="13"/>
    <n v="20"/>
    <n v="800"/>
  </r>
  <r>
    <n v="58"/>
    <x v="1"/>
    <n v="1"/>
    <s v="SALA CIRURGICA 01"/>
    <d v="2026-01-05T11:02:00"/>
    <d v="2026-01-05T11:05:00"/>
    <d v="2026-01-05T11:30:00"/>
    <d v="2026-01-05T12:57:00"/>
    <d v="2026-01-05T15:20:00"/>
    <d v="2026-01-05T15:25:00"/>
    <n v="4.38"/>
    <d v="2026-01-05T15:30:00"/>
    <d v="1899-12-30T04:23:00"/>
    <n v="4"/>
    <n v="23"/>
    <n v="263"/>
  </r>
  <r>
    <n v="59"/>
    <x v="1"/>
    <n v="1"/>
    <s v="SALA CIRURGICA 03"/>
    <d v="2026-01-05T11:50:00"/>
    <d v="2026-01-05T12:00:00"/>
    <d v="2026-01-05T12:40:00"/>
    <d v="2026-01-05T19:00:00"/>
    <d v="2026-01-05T19:10:00"/>
    <d v="2026-01-05T20:10:00"/>
    <n v="8.33"/>
    <d v="2026-01-05T20:20:00"/>
    <d v="1899-12-30T08:20:00"/>
    <n v="8"/>
    <n v="20"/>
    <n v="500"/>
  </r>
  <r>
    <n v="60"/>
    <x v="0"/>
    <n v="1"/>
    <s v="SALA CIRURGICA 02"/>
    <d v="2026-01-05T15:30:00"/>
    <d v="2026-01-05T15:40:00"/>
    <d v="2026-01-05T15:50:00"/>
    <d v="2026-01-05T16:10:00"/>
    <d v="2026-01-05T16:15:00"/>
    <d v="2026-01-05T16:40:00"/>
    <n v="1.17"/>
    <d v="2026-01-05T16:42:00"/>
    <d v="1899-12-30T01:10:00"/>
    <n v="1"/>
    <n v="10"/>
    <n v="70"/>
  </r>
  <r>
    <n v="61"/>
    <x v="0"/>
    <n v="1"/>
    <s v="SALA CIRURGICA 05"/>
    <d v="2026-01-05T12:30:00"/>
    <d v="2026-01-05T12:50:00"/>
    <d v="2026-01-05T13:10:00"/>
    <d v="2026-01-05T16:16:00"/>
    <d v="2026-01-05T16:20:00"/>
    <d v="2026-01-05T16:25:00"/>
    <n v="3.92"/>
    <d v="2026-01-05T16:28:00"/>
    <d v="1899-12-30T03:55:00"/>
    <n v="3"/>
    <n v="55"/>
    <n v="235"/>
  </r>
  <r>
    <n v="62"/>
    <x v="1"/>
    <n v="1"/>
    <s v="SALA CIRURGICA 01"/>
    <d v="2026-01-05T16:20:00"/>
    <d v="2026-01-05T16:35:00"/>
    <d v="2026-01-05T17:10:00"/>
    <d v="2026-01-05T19:08:00"/>
    <d v="2026-01-05T19:18:00"/>
    <d v="2026-01-05T21:00:00"/>
    <n v="4.67"/>
    <d v="2026-01-05T21:10:00"/>
    <d v="1899-12-30T04:40:00"/>
    <n v="4"/>
    <n v="40"/>
    <n v="280"/>
  </r>
  <r>
    <n v="63"/>
    <x v="2"/>
    <n v="1"/>
    <s v="SALA CIRURGICA 01"/>
    <d v="2026-01-09T07:00:00"/>
    <d v="2026-01-09T08:00:00"/>
    <d v="2026-01-09T09:25:00"/>
    <d v="2026-01-09T15:28:00"/>
    <d v="2026-01-09T15:38:00"/>
    <d v="2026-01-09T16:00:00"/>
    <n v="9"/>
    <d v="2026-01-09T16:10:00"/>
    <d v="1899-12-30T09:00:00"/>
    <n v="9"/>
    <n v="0"/>
    <n v="540"/>
  </r>
  <r>
    <n v="64"/>
    <x v="2"/>
    <n v="1"/>
    <s v="SALA CIRURGICA 02"/>
    <d v="2026-01-07T11:20:00"/>
    <d v="2026-01-07T11:50:00"/>
    <d v="2026-01-07T13:10:00"/>
    <d v="2026-01-07T17:00:00"/>
    <d v="2026-01-07T17:20:00"/>
    <d v="2026-01-07T17:50:00"/>
    <n v="6.5"/>
    <d v="2026-01-07T18:00:00"/>
    <d v="1899-12-30T06:30:00"/>
    <n v="6"/>
    <n v="30"/>
    <n v="390"/>
  </r>
  <r>
    <n v="65"/>
    <x v="1"/>
    <n v="1"/>
    <s v="SALA CIRURGICA 02"/>
    <d v="2026-01-06T11:35:00"/>
    <d v="2026-01-06T11:40:00"/>
    <d v="2026-01-06T12:45:00"/>
    <d v="2026-01-06T15:50:00"/>
    <d v="2026-01-06T16:00:00"/>
    <d v="2026-01-06T16:05:00"/>
    <n v="4.5"/>
    <d v="2026-01-06T16:15:00"/>
    <d v="1899-12-30T04:30:00"/>
    <n v="4"/>
    <n v="30"/>
    <n v="270"/>
  </r>
  <r>
    <n v="66"/>
    <x v="2"/>
    <n v="1"/>
    <s v="SALA CIRURGICA 04"/>
    <d v="2026-01-06T17:00:00"/>
    <d v="2026-01-06T17:15:00"/>
    <d v="2026-01-06T17:25:00"/>
    <d v="2026-01-06T18:56:00"/>
    <d v="2026-01-06T19:00:00"/>
    <d v="2026-01-06T19:20:00"/>
    <n v="2.33"/>
    <d v="2026-01-06T19:30:00"/>
    <d v="1899-12-30T02:20:00"/>
    <n v="2"/>
    <n v="20"/>
    <n v="140"/>
  </r>
  <r>
    <n v="67"/>
    <x v="2"/>
    <n v="1"/>
    <s v="SALA CIRURGICA 06"/>
    <d v="2026-01-06T11:20:00"/>
    <d v="2026-01-06T11:30:00"/>
    <d v="2026-01-06T11:32:00"/>
    <d v="2026-01-06T12:10:00"/>
    <d v="2026-01-06T12:30:00"/>
    <d v="2026-01-06T13:00:00"/>
    <n v="1.67"/>
    <d v="2026-01-06T13:10:00"/>
    <d v="1899-12-30T01:40:00"/>
    <n v="1"/>
    <n v="40"/>
    <n v="100"/>
  </r>
  <r>
    <n v="68"/>
    <x v="1"/>
    <n v="1"/>
    <s v="SALA CIRURGICA 01"/>
    <d v="2026-01-06T08:10:00"/>
    <d v="2026-01-06T08:20:00"/>
    <d v="2026-01-06T08:50:00"/>
    <d v="2026-01-06T10:10:00"/>
    <d v="2026-01-06T10:20:00"/>
    <d v="2026-01-06T11:00:00"/>
    <n v="2.83"/>
    <d v="2026-01-06T11:10:00"/>
    <d v="1899-12-30T02:50:00"/>
    <n v="2"/>
    <n v="50"/>
    <n v="170"/>
  </r>
  <r>
    <n v="69"/>
    <x v="1"/>
    <n v="1"/>
    <s v="SALA CIRURGICA 02"/>
    <d v="2026-01-05T17:20:00"/>
    <d v="2026-01-05T17:30:00"/>
    <d v="2026-01-05T17:40:00"/>
    <d v="2026-01-05T18:38:00"/>
    <d v="2026-01-05T18:40:00"/>
    <d v="2026-01-05T18:45:00"/>
    <n v="1.42"/>
    <d v="2026-01-05T18:46:00"/>
    <d v="1899-12-30T01:25:00"/>
    <n v="1"/>
    <n v="25"/>
    <n v="85"/>
  </r>
  <r>
    <n v="70"/>
    <x v="0"/>
    <n v="1"/>
    <s v="SALA CIRURGICA 03"/>
    <d v="2026-01-06T07:40:00"/>
    <d v="2026-01-06T08:10:00"/>
    <d v="2026-01-06T08:40:00"/>
    <d v="2026-01-06T08:55:00"/>
    <d v="2026-01-06T09:15:00"/>
    <d v="2026-01-06T10:13:00"/>
    <n v="2.5499999999999998"/>
    <d v="2026-01-06T10:14:00"/>
    <d v="1899-12-30T02:33:00"/>
    <n v="2"/>
    <n v="33"/>
    <n v="153"/>
  </r>
  <r>
    <n v="71"/>
    <x v="0"/>
    <n v="1"/>
    <s v="SALA CIRURGICA 02"/>
    <d v="2026-01-05T21:25:00"/>
    <d v="2026-01-05T21:40:00"/>
    <d v="2026-01-05T21:50:00"/>
    <d v="2026-01-05T22:20:00"/>
    <d v="2026-01-05T22:25:00"/>
    <d v="2026-01-05T22:30:00"/>
    <n v="1.08"/>
    <d v="2026-01-05T22:33:00"/>
    <d v="1899-12-30T01:05:00"/>
    <n v="1"/>
    <n v="5"/>
    <n v="65"/>
  </r>
  <r>
    <n v="72"/>
    <x v="2"/>
    <n v="1"/>
    <s v="SALA CIRURGICA 03"/>
    <d v="2026-01-05T23:00:00"/>
    <d v="2026-01-05T23:10:00"/>
    <d v="2026-01-05T23:20:00"/>
    <d v="2026-01-05T23:35:00"/>
    <d v="2026-01-05T23:45:00"/>
    <d v="2026-01-05T23:46:00"/>
    <n v="0.77"/>
    <d v="2026-01-05T23:47:00"/>
    <d v="1899-12-30T00:46:00"/>
    <n v="0"/>
    <n v="46"/>
    <n v="46"/>
  </r>
  <r>
    <n v="73"/>
    <x v="1"/>
    <n v="1"/>
    <s v="SALA CIRURGICA 03"/>
    <d v="2026-01-06T00:17:00"/>
    <d v="2026-01-06T00:25:00"/>
    <d v="2026-01-06T00:30:00"/>
    <d v="2026-01-06T02:30:00"/>
    <d v="2026-01-06T04:00:00"/>
    <d v="2026-01-06T13:30:00"/>
    <n v="13.22"/>
    <d v="2026-01-06T13:40:00"/>
    <d v="1899-12-30T13:13:00"/>
    <n v="13"/>
    <n v="13"/>
    <n v="793"/>
  </r>
  <r>
    <n v="74"/>
    <x v="1"/>
    <n v="1"/>
    <s v="SALA CIRURGICA 06"/>
    <d v="2026-01-06T13:45:00"/>
    <d v="2026-01-06T13:50:00"/>
    <d v="2026-01-06T14:10:00"/>
    <d v="2026-01-06T15:55:00"/>
    <d v="2026-01-06T17:34:00"/>
    <d v="2026-01-06T17:35:00"/>
    <n v="3.83"/>
    <d v="2026-01-06T17:36:00"/>
    <d v="1899-12-30T03:50:00"/>
    <n v="3"/>
    <n v="50"/>
    <n v="230"/>
  </r>
  <r>
    <n v="75"/>
    <x v="0"/>
    <n v="1"/>
    <s v="SALA CIRURGICA 02"/>
    <d v="2026-01-06T08:20:00"/>
    <d v="2026-01-06T08:30:00"/>
    <d v="2026-01-06T09:05:00"/>
    <d v="2026-01-06T10:00:00"/>
    <d v="2026-01-06T10:20:00"/>
    <d v="2026-01-06T10:21:00"/>
    <n v="2.02"/>
    <d v="2026-01-06T10:22:00"/>
    <d v="1899-12-30T02:01:00"/>
    <n v="2"/>
    <n v="1"/>
    <n v="121"/>
  </r>
  <r>
    <n v="76"/>
    <x v="0"/>
    <n v="1"/>
    <s v="SALA CIRURGICA 03"/>
    <d v="2026-01-06T14:36:00"/>
    <d v="2026-01-06T14:40:00"/>
    <d v="2026-01-06T15:25:00"/>
    <d v="2026-01-06T15:40:00"/>
    <d v="2026-01-06T15:50:00"/>
    <d v="2026-01-06T16:00:00"/>
    <n v="1.4"/>
    <d v="2026-01-06T16:10:00"/>
    <d v="1899-12-30T01:24:00"/>
    <n v="1"/>
    <n v="24"/>
    <n v="84"/>
  </r>
  <r>
    <n v="77"/>
    <x v="1"/>
    <n v="1"/>
    <s v="SALA CIRURGICA 02"/>
    <d v="2026-01-06T11:00:00"/>
    <d v="2026-01-06T11:15:00"/>
    <d v="2026-01-06T11:45:00"/>
    <d v="2026-01-06T12:20:00"/>
    <d v="2026-01-06T12:25:00"/>
    <d v="2026-01-06T12:30:00"/>
    <n v="1.5"/>
    <d v="2026-01-06T12:31:00"/>
    <d v="1899-12-30T01:30:00"/>
    <n v="1"/>
    <n v="30"/>
    <n v="90"/>
  </r>
  <r>
    <n v="78"/>
    <x v="0"/>
    <n v="1"/>
    <s v="SALA CIRURGICA 02"/>
    <d v="2026-01-06T13:45:00"/>
    <d v="2026-01-06T14:00:00"/>
    <d v="2026-01-06T14:45:00"/>
    <d v="2026-01-06T18:00:00"/>
    <d v="2026-01-06T18:10:00"/>
    <d v="2026-01-06T18:20:00"/>
    <n v="4.58"/>
    <d v="2026-01-06T18:30:00"/>
    <d v="1899-12-30T04:35:00"/>
    <n v="4"/>
    <n v="35"/>
    <n v="275"/>
  </r>
  <r>
    <n v="79"/>
    <x v="0"/>
    <n v="1"/>
    <s v="SALA CIRURGICA 05"/>
    <d v="2026-01-06T16:25:00"/>
    <d v="2026-01-06T16:35:00"/>
    <d v="2026-01-06T16:50:00"/>
    <d v="2026-01-06T17:05:00"/>
    <d v="2026-01-06T17:10:00"/>
    <d v="2026-01-06T17:25:00"/>
    <n v="1"/>
    <d v="2026-01-06T17:30:00"/>
    <d v="1899-12-30T01:00:00"/>
    <n v="1"/>
    <n v="0"/>
    <n v="60"/>
  </r>
  <r>
    <n v="80"/>
    <x v="2"/>
    <n v="1"/>
    <s v="SALA CIRURGICA 03"/>
    <d v="2026-01-07T07:00:00"/>
    <d v="2026-01-07T07:50:00"/>
    <d v="2026-01-07T08:30:00"/>
    <d v="2026-01-07T10:50:00"/>
    <d v="2026-01-07T11:00:00"/>
    <d v="2026-01-07T11:05:00"/>
    <n v="4.08"/>
    <d v="2026-01-07T11:10:00"/>
    <d v="1899-12-30T04:05:00"/>
    <n v="4"/>
    <n v="5"/>
    <n v="245"/>
  </r>
  <r>
    <n v="81"/>
    <x v="0"/>
    <n v="1"/>
    <s v="SALA CIRURGICA 02"/>
    <d v="2026-01-07T07:00:00"/>
    <d v="2026-01-07T07:45:00"/>
    <d v="2026-01-07T08:20:00"/>
    <d v="2026-01-07T09:57:00"/>
    <d v="2026-01-07T10:07:00"/>
    <d v="2026-01-07T10:10:00"/>
    <n v="3.17"/>
    <d v="2026-01-07T10:20:00"/>
    <d v="1899-12-30T03:10:00"/>
    <n v="3"/>
    <n v="10"/>
    <n v="190"/>
  </r>
  <r>
    <n v="82"/>
    <x v="0"/>
    <n v="1"/>
    <s v="SALA CIRURGICA 03"/>
    <d v="2026-01-07T16:25:00"/>
    <d v="2026-01-07T16:40:00"/>
    <d v="2026-01-07T17:20:00"/>
    <d v="2026-01-07T18:55:00"/>
    <d v="2026-01-07T19:20:00"/>
    <d v="2026-01-07T19:40:00"/>
    <n v="3.25"/>
    <d v="2026-01-07T19:50:00"/>
    <d v="1899-12-30T03:15:00"/>
    <n v="3"/>
    <n v="15"/>
    <n v="195"/>
  </r>
  <r>
    <n v="83"/>
    <x v="1"/>
    <n v="1"/>
    <s v="SALA CIRURGICA 05"/>
    <d v="2026-01-07T07:00:00"/>
    <d v="2026-01-07T07:55:00"/>
    <d v="2026-01-07T08:30:00"/>
    <d v="2026-01-07T09:40:00"/>
    <d v="2026-01-07T09:50:00"/>
    <d v="2026-01-07T10:00:00"/>
    <n v="3"/>
    <d v="2026-01-07T10:10:00"/>
    <d v="1899-12-30T03:00:00"/>
    <n v="3"/>
    <n v="0"/>
    <n v="180"/>
  </r>
  <r>
    <n v="84"/>
    <x v="0"/>
    <n v="1"/>
    <s v="SALA CIRURGICA 02"/>
    <d v="2026-01-08T07:40:00"/>
    <d v="2026-01-08T07:45:00"/>
    <d v="2026-01-08T07:46:00"/>
    <d v="2026-01-08T08:15:00"/>
    <d v="2026-01-08T08:25:00"/>
    <d v="2026-01-08T08:30:00"/>
    <n v="0.83"/>
    <d v="2026-01-08T08:32:00"/>
    <d v="1899-12-30T00:50:00"/>
    <n v="0"/>
    <n v="50"/>
    <n v="50"/>
  </r>
  <r>
    <n v="85"/>
    <x v="0"/>
    <n v="1"/>
    <s v="SALA CIRURGICA 06"/>
    <d v="2026-01-13T08:55:00"/>
    <d v="2026-01-13T09:05:00"/>
    <d v="2026-01-13T09:10:00"/>
    <d v="2026-01-13T09:20:00"/>
    <d v="2026-01-13T09:25:00"/>
    <d v="2026-01-13T09:30:00"/>
    <n v="0.57999999999999996"/>
    <d v="2026-01-13T09:31:00"/>
    <d v="1899-12-30T00:35:00"/>
    <n v="0"/>
    <n v="35"/>
    <n v="35"/>
  </r>
  <r>
    <n v="86"/>
    <x v="0"/>
    <n v="1"/>
    <s v="SALA CIRURGICA 06"/>
    <d v="2026-01-07T06:00:00"/>
    <d v="2026-01-07T06:39:00"/>
    <d v="2026-01-07T06:40:00"/>
    <d v="2026-01-07T07:40:00"/>
    <d v="2026-01-07T07:45:00"/>
    <d v="2026-01-07T07:50:00"/>
    <n v="1.83"/>
    <d v="2026-01-07T08:00:00"/>
    <d v="1899-12-30T01:50:00"/>
    <n v="1"/>
    <n v="50"/>
    <n v="110"/>
  </r>
  <r>
    <n v="87"/>
    <x v="0"/>
    <n v="1"/>
    <s v="SALA CIRURGICA 01"/>
    <d v="2026-01-07T11:00:00"/>
    <d v="2026-01-07T11:35:00"/>
    <d v="2026-01-07T11:40:00"/>
    <d v="2026-01-07T11:45:00"/>
    <d v="2026-01-07T11:55:00"/>
    <d v="2026-01-07T12:15:00"/>
    <n v="1.25"/>
    <d v="2026-01-07T12:20:00"/>
    <d v="1899-12-30T01:15:00"/>
    <n v="1"/>
    <n v="15"/>
    <n v="75"/>
  </r>
  <r>
    <n v="88"/>
    <x v="2"/>
    <n v="1"/>
    <s v="SALA CIRURGICA 06"/>
    <d v="2026-01-07T15:55:00"/>
    <d v="2026-01-07T16:05:00"/>
    <d v="2026-01-07T16:20:00"/>
    <d v="2026-01-07T17:10:00"/>
    <d v="2026-01-07T17:20:00"/>
    <d v="2026-01-07T17:30:00"/>
    <n v="1.58"/>
    <d v="2026-01-07T17:40:00"/>
    <d v="1899-12-30T01:35:00"/>
    <n v="1"/>
    <n v="35"/>
    <n v="95"/>
  </r>
  <r>
    <n v="89"/>
    <x v="2"/>
    <n v="1"/>
    <s v="SALA CIRURGICA 05"/>
    <d v="2026-01-07T18:00:00"/>
    <d v="2026-01-07T18:20:00"/>
    <d v="2026-01-07T18:25:00"/>
    <d v="2026-01-07T18:45:00"/>
    <d v="2026-01-07T18:50:00"/>
    <d v="2026-01-07T19:00:00"/>
    <n v="1"/>
    <d v="2026-01-07T19:05:00"/>
    <d v="1899-12-30T01:00:00"/>
    <n v="1"/>
    <n v="0"/>
    <n v="60"/>
  </r>
  <r>
    <n v="90"/>
    <x v="1"/>
    <n v="1"/>
    <s v="SALA CIRURGICA 03"/>
    <d v="2026-01-07T06:50:00"/>
    <d v="2026-01-07T07:35:00"/>
    <d v="2026-01-07T08:05:00"/>
    <d v="2026-01-07T10:20:00"/>
    <d v="2026-01-07T10:30:00"/>
    <d v="2026-01-07T10:40:00"/>
    <n v="3.83"/>
    <d v="2026-01-07T10:50:00"/>
    <d v="1899-12-30T03:50:00"/>
    <n v="3"/>
    <n v="50"/>
    <n v="230"/>
  </r>
  <r>
    <n v="91"/>
    <x v="1"/>
    <n v="1"/>
    <s v="SALA CIRURGICA 01"/>
    <d v="2026-01-07T14:49:00"/>
    <d v="2026-01-07T15:10:00"/>
    <d v="2026-01-07T15:35:00"/>
    <d v="2026-01-07T15:45:00"/>
    <d v="2026-01-07T17:00:00"/>
    <d v="2026-01-07T17:10:00"/>
    <n v="2.35"/>
    <d v="2026-01-07T17:20:00"/>
    <d v="1899-12-30T02:21:00"/>
    <n v="2"/>
    <n v="21"/>
    <n v="141"/>
  </r>
  <r>
    <n v="92"/>
    <x v="0"/>
    <n v="1"/>
    <s v="SALA CIRURGICA 01"/>
    <d v="2026-01-07T00:35:00"/>
    <d v="2026-01-07T00:40:00"/>
    <d v="2026-01-07T01:00:00"/>
    <d v="2026-01-07T02:55:00"/>
    <d v="2026-01-07T03:05:00"/>
    <d v="2026-01-07T03:10:00"/>
    <n v="2.58"/>
    <d v="2026-01-07T03:20:00"/>
    <d v="1899-12-30T02:35:00"/>
    <n v="2"/>
    <n v="35"/>
    <n v="155"/>
  </r>
  <r>
    <n v="93"/>
    <x v="2"/>
    <n v="1"/>
    <s v="SALA CIRURGICA 01"/>
    <d v="2026-01-07T01:20:00"/>
    <d v="2026-01-07T01:25:00"/>
    <d v="2026-01-07T01:30:00"/>
    <d v="2026-01-07T02:05:00"/>
    <d v="2026-01-07T02:07:00"/>
    <d v="2026-01-07T02:08:00"/>
    <n v="0.8"/>
    <d v="2026-01-07T02:10:00"/>
    <d v="1899-12-30T00:48:00"/>
    <n v="0"/>
    <n v="48"/>
    <n v="48"/>
  </r>
  <r>
    <n v="94"/>
    <x v="0"/>
    <n v="1"/>
    <s v="SALA CIRURGICA 01"/>
    <d v="2026-01-07T01:40:00"/>
    <d v="2026-01-07T01:55:00"/>
    <d v="2026-01-07T02:20:00"/>
    <d v="2026-01-07T03:11:00"/>
    <d v="2026-01-07T03:14:00"/>
    <d v="2026-01-07T03:16:00"/>
    <n v="1.6"/>
    <d v="2026-01-07T03:26:00"/>
    <d v="1899-12-30T01:36:00"/>
    <n v="1"/>
    <n v="36"/>
    <n v="96"/>
  </r>
  <r>
    <n v="95"/>
    <x v="2"/>
    <n v="1"/>
    <s v="SALA CIRURGICA 01"/>
    <d v="2026-01-07T10:25:00"/>
    <d v="2026-01-07T10:40:00"/>
    <d v="2026-01-07T11:00:00"/>
    <d v="2026-01-07T12:17:00"/>
    <d v="2026-01-07T14:40:00"/>
    <d v="2026-01-07T14:43:00"/>
    <n v="4.3"/>
    <d v="2026-01-07T14:53:00"/>
    <d v="1899-12-30T04:18:00"/>
    <n v="4"/>
    <n v="18"/>
    <n v="258"/>
  </r>
  <r>
    <n v="96"/>
    <x v="1"/>
    <n v="1"/>
    <s v="SALA CIRURGICA 01"/>
    <d v="2026-01-07T11:28:00"/>
    <d v="2026-01-07T11:45:00"/>
    <d v="2026-01-07T12:00:00"/>
    <d v="2026-01-07T13:10:00"/>
    <d v="2026-01-07T13:20:00"/>
    <d v="2026-01-07T13:40:00"/>
    <n v="2.2000000000000002"/>
    <d v="2026-01-07T13:50:00"/>
    <d v="1899-12-30T02:12:00"/>
    <n v="2"/>
    <n v="12"/>
    <n v="132"/>
  </r>
  <r>
    <n v="97"/>
    <x v="0"/>
    <n v="1"/>
    <s v="SALA CIRURGICA 01"/>
    <d v="2026-01-07T12:10:00"/>
    <d v="2026-01-07T12:35:00"/>
    <d v="2026-01-07T13:25:00"/>
    <d v="2026-01-07T14:35:00"/>
    <d v="2026-01-07T14:45:00"/>
    <d v="2026-01-07T15:00:00"/>
    <n v="2.83"/>
    <d v="2026-01-07T15:10:00"/>
    <d v="1899-12-30T02:50:00"/>
    <n v="2"/>
    <n v="50"/>
    <n v="170"/>
  </r>
  <r>
    <n v="98"/>
    <x v="0"/>
    <n v="1"/>
    <s v="SALA CIRURGICA 05"/>
    <d v="2026-01-07T13:50:00"/>
    <d v="2026-01-07T14:00:00"/>
    <d v="2026-01-07T14:05:00"/>
    <d v="2026-01-07T14:40:00"/>
    <d v="2026-01-07T14:50:00"/>
    <d v="2026-01-07T14:55:00"/>
    <n v="1.08"/>
    <d v="2026-01-07T15:00:00"/>
    <d v="1899-12-30T01:05:00"/>
    <n v="1"/>
    <n v="5"/>
    <n v="65"/>
  </r>
  <r>
    <n v="99"/>
    <x v="1"/>
    <n v="1"/>
    <s v="SALA CIRURGICA 02"/>
    <d v="2026-01-08T07:00:00"/>
    <d v="2026-01-08T07:45:00"/>
    <d v="2026-01-08T08:25:00"/>
    <d v="2026-01-08T09:55:00"/>
    <d v="2026-01-08T10:05:00"/>
    <d v="2026-01-08T10:30:00"/>
    <n v="3.5"/>
    <d v="2026-01-08T10:31:00"/>
    <d v="1899-12-30T03:30:00"/>
    <n v="3"/>
    <n v="30"/>
    <n v="210"/>
  </r>
  <r>
    <n v="100"/>
    <x v="1"/>
    <n v="1"/>
    <s v="SALA CIRURGICA 04"/>
    <d v="2026-01-08T11:20:00"/>
    <d v="2026-01-08T11:30:00"/>
    <d v="2026-01-08T12:00:00"/>
    <d v="2026-01-08T13:00:00"/>
    <d v="2026-01-08T13:10:00"/>
    <d v="2026-01-08T13:20:00"/>
    <n v="2"/>
    <d v="2026-01-08T13:30:00"/>
    <d v="1899-12-30T02:00:00"/>
    <n v="2"/>
    <n v="0"/>
    <n v="120"/>
  </r>
  <r>
    <n v="101"/>
    <x v="1"/>
    <n v="1"/>
    <s v="SALA CIRURGICA 06"/>
    <d v="2026-01-08T14:40:00"/>
    <d v="2026-01-08T15:15:00"/>
    <d v="2026-01-08T15:55:00"/>
    <d v="2026-01-08T16:55:00"/>
    <d v="2026-01-08T17:05:00"/>
    <d v="2026-01-08T17:25:00"/>
    <n v="2.75"/>
    <d v="2026-01-08T17:35:00"/>
    <d v="1899-12-30T02:45:00"/>
    <n v="2"/>
    <n v="45"/>
    <n v="165"/>
  </r>
  <r>
    <n v="102"/>
    <x v="2"/>
    <n v="1"/>
    <s v="SALA CIRURGICA 03"/>
    <d v="2026-01-08T07:00:00"/>
    <d v="2026-01-08T07:45:00"/>
    <d v="2026-01-08T08:50:00"/>
    <d v="2026-01-08T11:17:00"/>
    <d v="2026-01-08T11:30:00"/>
    <d v="2026-01-08T11:35:00"/>
    <n v="4.58"/>
    <d v="2026-01-08T11:45:00"/>
    <d v="1899-12-30T04:35:00"/>
    <n v="4"/>
    <n v="35"/>
    <n v="275"/>
  </r>
  <r>
    <n v="103"/>
    <x v="0"/>
    <n v="1"/>
    <s v="SALA CIRURGICA 01"/>
    <d v="2026-01-08T15:15:00"/>
    <d v="2026-01-08T15:30:00"/>
    <d v="2026-01-08T16:25:00"/>
    <d v="2026-01-08T19:00:00"/>
    <d v="2026-01-08T19:10:00"/>
    <d v="2026-01-08T19:12:00"/>
    <n v="3.95"/>
    <d v="2026-01-08T19:22:00"/>
    <d v="1899-12-30T03:57:00"/>
    <n v="3"/>
    <n v="57"/>
    <n v="237"/>
  </r>
  <r>
    <n v="104"/>
    <x v="1"/>
    <n v="1"/>
    <s v="SALA CIRURGICA 04"/>
    <d v="2026-01-08T08:10:00"/>
    <d v="2026-01-08T08:40:00"/>
    <d v="2026-01-08T09:00:00"/>
    <d v="2026-01-08T10:45:00"/>
    <d v="2026-01-08T10:50:00"/>
    <d v="2026-01-08T11:10:00"/>
    <n v="3"/>
    <d v="2026-01-08T11:20:00"/>
    <d v="1899-12-30T03:00:00"/>
    <n v="3"/>
    <n v="0"/>
    <n v="180"/>
  </r>
  <r>
    <n v="105"/>
    <x v="0"/>
    <n v="1"/>
    <s v="SALA CIRURGICA 05"/>
    <d v="2026-01-08T10:00:00"/>
    <d v="2026-01-08T10:20:00"/>
    <d v="2026-01-08T10:30:00"/>
    <d v="2026-01-08T11:00:00"/>
    <d v="2026-01-08T11:10:00"/>
    <d v="2026-01-08T12:00:00"/>
    <n v="2"/>
    <d v="2026-01-08T12:02:00"/>
    <d v="1899-12-30T02:00:00"/>
    <n v="2"/>
    <n v="0"/>
    <n v="120"/>
  </r>
  <r>
    <n v="106"/>
    <x v="2"/>
    <n v="1"/>
    <s v="SALA CIRURGICA 06"/>
    <d v="2026-01-08T07:05:00"/>
    <d v="2026-01-08T07:50:00"/>
    <d v="2026-01-08T08:10:00"/>
    <d v="2026-01-08T09:05:00"/>
    <d v="2026-01-08T09:15:00"/>
    <d v="2026-01-08T09:20:00"/>
    <n v="2.25"/>
    <d v="2026-01-08T09:30:00"/>
    <d v="1899-12-30T02:15:00"/>
    <n v="2"/>
    <n v="15"/>
    <n v="135"/>
  </r>
  <r>
    <n v="107"/>
    <x v="0"/>
    <n v="1"/>
    <s v="SALA CIRURGICA 02"/>
    <d v="2026-01-08T06:15:00"/>
    <d v="2026-01-08T06:25:00"/>
    <d v="2026-01-08T06:40:00"/>
    <d v="2026-01-08T06:50:00"/>
    <d v="2026-01-08T07:00:00"/>
    <d v="2026-01-08T07:10:00"/>
    <n v="0.92"/>
    <d v="2026-01-08T07:20:00"/>
    <d v="1899-12-30T00:55:00"/>
    <n v="0"/>
    <n v="55"/>
    <n v="55"/>
  </r>
  <r>
    <n v="108"/>
    <x v="2"/>
    <n v="1"/>
    <s v="SALA CIRURGICA 01"/>
    <d v="2026-01-07T20:20:00"/>
    <d v="2026-01-07T20:30:00"/>
    <d v="2026-01-07T20:45:00"/>
    <d v="2026-01-07T21:15:00"/>
    <d v="2026-01-07T21:25:00"/>
    <d v="2026-01-07T21:30:00"/>
    <n v="1.17"/>
    <d v="2026-01-07T21:35:00"/>
    <d v="1899-12-30T01:10:00"/>
    <n v="1"/>
    <n v="10"/>
    <n v="70"/>
  </r>
  <r>
    <n v="109"/>
    <x v="2"/>
    <n v="1"/>
    <s v="SALA CIRURGICA 01"/>
    <d v="2026-01-08T10:10:00"/>
    <d v="2026-01-08T10:20:00"/>
    <d v="2026-01-08T11:05:00"/>
    <d v="2026-01-08T12:15:00"/>
    <d v="2026-01-08T12:30:00"/>
    <d v="2026-01-08T13:25:00"/>
    <n v="3.25"/>
    <d v="2026-01-08T13:30:00"/>
    <d v="1899-12-30T03:15:00"/>
    <n v="3"/>
    <n v="15"/>
    <n v="195"/>
  </r>
  <r>
    <n v="110"/>
    <x v="2"/>
    <n v="1"/>
    <s v="SALA CIRURGICA 01"/>
    <d v="2026-01-08T12:30:00"/>
    <d v="2026-01-08T12:45:00"/>
    <d v="2026-01-08T13:00:00"/>
    <d v="2026-01-08T14:17:00"/>
    <d v="2026-01-08T14:25:00"/>
    <d v="2026-01-08T14:45:00"/>
    <n v="2.25"/>
    <d v="2026-01-08T14:47:00"/>
    <d v="1899-12-30T02:15:00"/>
    <n v="2"/>
    <n v="15"/>
    <n v="135"/>
  </r>
  <r>
    <n v="111"/>
    <x v="0"/>
    <n v="1"/>
    <s v="SALA CIRURGICA 01"/>
    <d v="2026-01-08T17:24:00"/>
    <d v="2026-01-08T17:30:00"/>
    <d v="2026-01-08T17:43:00"/>
    <d v="2026-01-08T18:02:00"/>
    <d v="2026-01-08T18:03:00"/>
    <d v="2026-01-08T18:20:00"/>
    <n v="0.93"/>
    <d v="2026-01-08T18:30:00"/>
    <d v="1899-12-30T00:56:00"/>
    <n v="0"/>
    <n v="56"/>
    <n v="56"/>
  </r>
  <r>
    <n v="112"/>
    <x v="1"/>
    <n v="1"/>
    <s v="SALA CIRURGICA 03"/>
    <d v="2026-01-09T07:00:00"/>
    <d v="2026-01-09T08:00:00"/>
    <d v="2026-01-09T08:30:00"/>
    <d v="2026-01-09T10:40:00"/>
    <d v="2026-01-09T10:50:00"/>
    <d v="2026-01-09T11:00:00"/>
    <n v="4"/>
    <d v="2026-01-09T11:10:00"/>
    <d v="1899-12-30T04:00:00"/>
    <n v="4"/>
    <n v="0"/>
    <n v="240"/>
  </r>
  <r>
    <n v="113"/>
    <x v="1"/>
    <n v="1"/>
    <s v="SALA CIRURGICA 05"/>
    <d v="2026-01-09T08:15:00"/>
    <d v="2026-01-09T08:35:00"/>
    <d v="2026-01-09T09:35:00"/>
    <d v="2026-01-09T11:05:00"/>
    <d v="2026-01-09T11:30:00"/>
    <d v="2026-01-09T11:40:00"/>
    <n v="3.42"/>
    <d v="2026-01-09T11:50:00"/>
    <d v="1899-12-30T03:25:00"/>
    <n v="3"/>
    <n v="25"/>
    <n v="205"/>
  </r>
  <r>
    <n v="114"/>
    <x v="2"/>
    <n v="1"/>
    <s v="SALA CIRURGICA 06"/>
    <d v="2026-01-09T08:20:00"/>
    <d v="2026-01-09T08:50:00"/>
    <d v="2026-01-09T09:40:00"/>
    <d v="2026-01-09T11:53:00"/>
    <d v="2026-01-09T12:03:00"/>
    <d v="2026-01-09T12:20:00"/>
    <n v="4"/>
    <d v="2026-01-09T12:30:00"/>
    <d v="1899-12-30T04:00:00"/>
    <n v="4"/>
    <n v="0"/>
    <n v="240"/>
  </r>
  <r>
    <n v="115"/>
    <x v="1"/>
    <n v="1"/>
    <s v="SALA CIRURGICA 04"/>
    <d v="2026-01-09T12:00:00"/>
    <d v="2026-01-09T12:20:00"/>
    <d v="2026-01-09T12:44:00"/>
    <d v="2026-01-09T14:44:00"/>
    <d v="2026-01-09T14:55:00"/>
    <d v="2026-01-09T14:56:00"/>
    <n v="2.93"/>
    <d v="2026-01-09T15:06:00"/>
    <d v="1899-12-30T02:56:00"/>
    <n v="2"/>
    <n v="56"/>
    <n v="176"/>
  </r>
  <r>
    <n v="116"/>
    <x v="2"/>
    <n v="1"/>
    <s v="SALA CIRURGICA 02"/>
    <d v="2026-01-09T16:30:00"/>
    <d v="2026-01-09T16:40:00"/>
    <d v="2026-01-09T17:05:00"/>
    <d v="2026-01-09T17:30:00"/>
    <d v="2026-01-09T17:45:00"/>
    <d v="2026-01-09T17:50:00"/>
    <n v="1.33"/>
    <d v="2026-01-09T17:55:00"/>
    <d v="1899-12-30T01:20:00"/>
    <n v="1"/>
    <n v="20"/>
    <n v="80"/>
  </r>
  <r>
    <n v="117"/>
    <x v="2"/>
    <n v="1"/>
    <s v="SALA CIRURGICA 01"/>
    <d v="2026-01-08T14:50:00"/>
    <d v="2026-01-08T15:00:00"/>
    <d v="2026-01-08T15:35:00"/>
    <d v="2026-01-08T17:20:00"/>
    <d v="2026-01-08T17:30:00"/>
    <d v="2026-01-08T17:35:00"/>
    <n v="2.75"/>
    <d v="2026-01-08T17:45:00"/>
    <d v="1899-12-30T02:45:00"/>
    <n v="2"/>
    <n v="45"/>
    <n v="165"/>
  </r>
  <r>
    <n v="118"/>
    <x v="2"/>
    <n v="1"/>
    <s v="SALA CIRURGICA 02"/>
    <d v="2026-01-09T09:00:00"/>
    <d v="2026-01-09T09:10:00"/>
    <d v="2026-01-09T09:29:00"/>
    <d v="2026-01-09T10:29:00"/>
    <d v="2026-01-09T11:00:00"/>
    <d v="2026-01-09T11:20:00"/>
    <n v="2.33"/>
    <d v="2026-01-09T11:30:00"/>
    <d v="1899-12-30T02:20:00"/>
    <n v="2"/>
    <n v="20"/>
    <n v="140"/>
  </r>
  <r>
    <n v="119"/>
    <x v="2"/>
    <n v="1"/>
    <s v="SALA CIRURGICA 01"/>
    <d v="2026-01-08T20:45:00"/>
    <d v="2026-01-08T21:00:00"/>
    <d v="2026-01-08T21:30:00"/>
    <d v="2026-01-08T22:20:00"/>
    <d v="2026-01-08T22:25:00"/>
    <d v="2026-01-08T22:30:00"/>
    <n v="1.75"/>
    <d v="2026-01-08T22:35:00"/>
    <d v="1899-12-30T01:45:00"/>
    <n v="1"/>
    <n v="45"/>
    <n v="105"/>
  </r>
  <r>
    <n v="120"/>
    <x v="2"/>
    <n v="1"/>
    <s v="SALA CIRURGICA 06"/>
    <d v="2026-01-09T15:20:00"/>
    <d v="2026-01-09T15:30:00"/>
    <d v="2026-01-09T16:35:00"/>
    <d v="2026-01-09T20:15:00"/>
    <d v="2026-01-09T21:20:00"/>
    <d v="2026-01-09T21:34:00"/>
    <n v="6.23"/>
    <d v="2026-01-09T21:44:00"/>
    <d v="1899-12-30T06:14:00"/>
    <n v="6"/>
    <n v="14"/>
    <n v="374"/>
  </r>
  <r>
    <n v="121"/>
    <x v="0"/>
    <n v="1"/>
    <s v="SALA CIRURGICA 03"/>
    <d v="2026-01-09T15:05:00"/>
    <d v="2026-01-09T15:15:00"/>
    <d v="2026-01-09T15:17:00"/>
    <d v="2026-01-09T15:50:00"/>
    <d v="2026-01-09T16:00:00"/>
    <d v="2026-01-09T16:15:00"/>
    <n v="1.17"/>
    <d v="2026-01-09T16:20:00"/>
    <d v="1899-12-30T01:10:00"/>
    <n v="1"/>
    <n v="10"/>
    <n v="70"/>
  </r>
  <r>
    <n v="122"/>
    <x v="1"/>
    <n v="1"/>
    <s v="SALA CIRURGICA 05"/>
    <d v="2026-01-09T12:55:00"/>
    <d v="2026-01-09T13:05:00"/>
    <d v="2026-01-09T13:15:00"/>
    <d v="2026-01-09T13:40:00"/>
    <d v="2026-01-09T13:45:00"/>
    <d v="2026-01-09T13:50:00"/>
    <n v="0.92"/>
    <d v="2026-01-09T14:00:00"/>
    <d v="1899-12-30T00:55:00"/>
    <n v="0"/>
    <n v="55"/>
    <n v="55"/>
  </r>
  <r>
    <n v="123"/>
    <x v="1"/>
    <n v="1"/>
    <s v="SALA CIRURGICA 03"/>
    <d v="2026-01-09T12:05:00"/>
    <d v="2026-01-09T12:25:00"/>
    <d v="2026-01-09T13:00:00"/>
    <d v="2026-01-09T14:04:00"/>
    <d v="2026-01-09T14:10:00"/>
    <d v="2026-01-09T14:15:00"/>
    <n v="2.17"/>
    <d v="2026-01-09T14:25:00"/>
    <d v="1899-12-30T02:10:00"/>
    <n v="2"/>
    <n v="10"/>
    <n v="130"/>
  </r>
  <r>
    <n v="124"/>
    <x v="1"/>
    <n v="1"/>
    <s v="SALA CIRURGICA 05"/>
    <d v="2026-01-09T15:20:00"/>
    <d v="2026-01-09T15:30:00"/>
    <d v="2026-01-09T16:00:00"/>
    <d v="2026-01-09T18:00:00"/>
    <d v="2026-01-09T18:10:00"/>
    <d v="2026-01-09T18:20:00"/>
    <n v="3"/>
    <d v="2026-01-09T18:30:00"/>
    <d v="1899-12-30T03:00:00"/>
    <n v="3"/>
    <n v="0"/>
    <n v="180"/>
  </r>
  <r>
    <n v="125"/>
    <x v="2"/>
    <n v="1"/>
    <s v="SALA CIRURGICA 02"/>
    <d v="2026-01-10T13:50:00"/>
    <d v="2026-01-10T14:00:00"/>
    <d v="2026-01-10T14:10:00"/>
    <d v="2026-01-10T14:25:00"/>
    <d v="2026-01-10T14:35:00"/>
    <d v="2026-01-10T14:55:00"/>
    <n v="1.08"/>
    <d v="2026-01-10T15:05:00"/>
    <d v="1899-12-30T01:05:00"/>
    <n v="1"/>
    <n v="5"/>
    <n v="65"/>
  </r>
  <r>
    <n v="126"/>
    <x v="0"/>
    <n v="1"/>
    <s v="SALA CIRURGICA 02"/>
    <d v="2026-01-10T16:45:00"/>
    <d v="2026-01-10T17:05:00"/>
    <d v="2026-01-10T17:20:00"/>
    <d v="2026-01-10T18:00:00"/>
    <d v="2026-01-10T18:10:00"/>
    <d v="2026-01-10T18:20:00"/>
    <n v="1.58"/>
    <d v="2026-01-10T18:30:00"/>
    <d v="1899-12-30T01:35:00"/>
    <n v="1"/>
    <n v="35"/>
    <n v="95"/>
  </r>
  <r>
    <n v="127"/>
    <x v="2"/>
    <n v="1"/>
    <s v="SALA CIRURGICA 03"/>
    <d v="2026-01-10T10:55:00"/>
    <d v="2026-01-10T11:10:00"/>
    <d v="2026-01-10T11:30:00"/>
    <d v="2026-01-10T12:00:00"/>
    <d v="2026-01-10T12:15:00"/>
    <d v="2026-01-10T12:25:00"/>
    <n v="1.5"/>
    <d v="2026-01-10T12:27:00"/>
    <d v="1899-12-30T01:30:00"/>
    <n v="1"/>
    <n v="30"/>
    <n v="90"/>
  </r>
  <r>
    <n v="128"/>
    <x v="0"/>
    <n v="1"/>
    <s v="SALA CIRURGICA 02"/>
    <d v="2026-01-12T11:35:00"/>
    <d v="2026-01-12T11:50:00"/>
    <d v="2026-01-12T12:40:00"/>
    <d v="2026-01-12T15:10:00"/>
    <d v="2026-01-12T15:20:00"/>
    <d v="2026-01-12T15:35:00"/>
    <n v="4"/>
    <d v="2026-01-12T15:39:00"/>
    <d v="1899-12-30T04:00:00"/>
    <n v="4"/>
    <n v="0"/>
    <n v="240"/>
  </r>
  <r>
    <n v="129"/>
    <x v="0"/>
    <n v="1"/>
    <s v="SALA CIRURGICA 02"/>
    <d v="2026-01-12T07:00:00"/>
    <d v="2026-01-12T07:55:00"/>
    <d v="2026-01-12T08:35:00"/>
    <d v="2026-01-12T09:33:00"/>
    <d v="2026-01-12T09:40:00"/>
    <d v="2026-01-12T10:20:00"/>
    <n v="3.33"/>
    <d v="2026-01-12T10:30:00"/>
    <d v="1899-12-30T03:20:00"/>
    <n v="3"/>
    <n v="20"/>
    <n v="200"/>
  </r>
  <r>
    <n v="130"/>
    <x v="2"/>
    <n v="1"/>
    <s v="SALA CIRURGICA 06"/>
    <d v="2026-01-13T07:45:00"/>
    <d v="2026-01-13T07:50:00"/>
    <d v="2026-01-13T08:00:00"/>
    <d v="2026-01-13T08:05:00"/>
    <d v="2026-01-13T08:10:00"/>
    <d v="2026-01-13T08:15:00"/>
    <n v="0.5"/>
    <d v="2026-01-13T08:25:00"/>
    <d v="1899-12-30T00:30:00"/>
    <n v="0"/>
    <n v="30"/>
    <n v="30"/>
  </r>
  <r>
    <n v="131"/>
    <x v="2"/>
    <n v="1"/>
    <s v="SALA CIRURGICA 03"/>
    <d v="2026-01-09T17:50:00"/>
    <d v="2026-01-09T18:00:00"/>
    <d v="2026-01-09T18:20:00"/>
    <d v="2026-01-09T19:13:00"/>
    <d v="2026-01-09T19:23:00"/>
    <d v="2026-01-09T19:45:00"/>
    <n v="1.92"/>
    <d v="2026-01-09T19:55:00"/>
    <d v="1899-12-30T01:55:00"/>
    <n v="1"/>
    <n v="55"/>
    <n v="115"/>
  </r>
  <r>
    <n v="132"/>
    <x v="2"/>
    <n v="1"/>
    <s v="SALA CIRURGICA 01"/>
    <d v="2026-01-12T14:12:00"/>
    <d v="2026-01-12T15:00:00"/>
    <d v="2026-01-12T16:15:00"/>
    <d v="2026-01-12T18:30:00"/>
    <d v="2026-01-12T18:40:00"/>
    <d v="2026-01-12T20:00:00"/>
    <n v="5.8"/>
    <d v="2026-01-12T20:10:00"/>
    <d v="1899-12-30T05:48:00"/>
    <n v="5"/>
    <n v="48"/>
    <n v="348"/>
  </r>
  <r>
    <n v="133"/>
    <x v="1"/>
    <n v="1"/>
    <s v="SALA CIRURGICA 01"/>
    <d v="2026-01-09T18:25:00"/>
    <d v="2026-01-09T18:35:00"/>
    <d v="2026-01-09T18:40:00"/>
    <d v="2026-01-09T19:30:00"/>
    <d v="2026-01-09T19:40:00"/>
    <d v="2026-01-09T21:00:00"/>
    <n v="2.58"/>
    <d v="2026-01-09T21:10:00"/>
    <d v="1899-12-30T02:35:00"/>
    <n v="2"/>
    <n v="35"/>
    <n v="155"/>
  </r>
  <r>
    <n v="134"/>
    <x v="2"/>
    <n v="1"/>
    <s v="SALA CIRURGICA 05"/>
    <d v="2026-01-09T21:20:00"/>
    <d v="2026-01-09T21:50:00"/>
    <d v="2026-01-09T22:10:00"/>
    <d v="2026-01-09T23:35:00"/>
    <d v="2026-01-09T23:38:00"/>
    <d v="2026-01-09T23:45:00"/>
    <n v="2.42"/>
    <d v="2026-01-09T23:47:00"/>
    <d v="1899-12-30T02:25:00"/>
    <n v="2"/>
    <n v="25"/>
    <n v="145"/>
  </r>
  <r>
    <n v="135"/>
    <x v="1"/>
    <n v="1"/>
    <s v="SALA CIRURGICA 03"/>
    <d v="2026-01-09T23:50:00"/>
    <d v="2026-01-09T23:55:00"/>
    <d v="2026-01-10T00:20:00"/>
    <d v="2026-01-10T01:47:00"/>
    <d v="2026-01-10T01:50:00"/>
    <d v="2026-01-10T01:51:00"/>
    <n v="2.02"/>
    <d v="2026-01-10T01:52:00"/>
    <d v="1899-12-30T02:01:00"/>
    <n v="2"/>
    <n v="1"/>
    <n v="121"/>
  </r>
  <r>
    <n v="136"/>
    <x v="1"/>
    <n v="1"/>
    <s v="SALA CIRURGICA 01"/>
    <d v="2026-01-10T10:00:00"/>
    <d v="2026-01-10T10:25:00"/>
    <d v="2026-01-10T10:55:00"/>
    <d v="2026-01-10T13:15:00"/>
    <d v="2026-01-10T13:25:00"/>
    <d v="2026-01-10T14:00:00"/>
    <n v="4"/>
    <d v="2026-01-10T14:10:00"/>
    <d v="1899-12-30T04:00:00"/>
    <n v="4"/>
    <n v="0"/>
    <n v="240"/>
  </r>
  <r>
    <n v="137"/>
    <x v="1"/>
    <n v="1"/>
    <s v="SALA CIRURGICA 02"/>
    <d v="2026-01-10T10:41:00"/>
    <d v="2026-01-10T11:00:00"/>
    <d v="2026-01-10T11:25:00"/>
    <d v="2026-01-10T11:40:00"/>
    <d v="2026-01-10T11:50:00"/>
    <d v="2026-01-10T12:05:00"/>
    <n v="1.4"/>
    <d v="2026-01-10T12:15:00"/>
    <d v="1899-12-30T01:24:00"/>
    <n v="1"/>
    <n v="24"/>
    <n v="84"/>
  </r>
  <r>
    <n v="138"/>
    <x v="2"/>
    <n v="1"/>
    <s v="SALA CIRURGICA 01"/>
    <d v="2026-01-10T12:30:00"/>
    <d v="2026-01-10T12:38:00"/>
    <d v="2026-01-10T12:39:00"/>
    <d v="2026-01-10T14:39:00"/>
    <d v="2026-01-10T14:49:00"/>
    <d v="2026-01-10T15:00:00"/>
    <n v="2.5"/>
    <d v="2026-01-10T15:10:00"/>
    <d v="1899-12-30T02:30:00"/>
    <n v="2"/>
    <n v="30"/>
    <n v="150"/>
  </r>
  <r>
    <n v="139"/>
    <x v="0"/>
    <n v="1"/>
    <s v="SALA CIRURGICA 01"/>
    <d v="2026-01-10T18:30:00"/>
    <d v="2026-01-10T18:50:00"/>
    <d v="2026-01-10T18:53:00"/>
    <d v="2026-01-10T19:01:00"/>
    <d v="2026-01-10T19:04:00"/>
    <d v="2026-01-10T19:05:00"/>
    <n v="0.57999999999999996"/>
    <d v="2026-01-10T19:06:00"/>
    <d v="1899-12-30T00:35:00"/>
    <n v="0"/>
    <n v="35"/>
    <n v="35"/>
  </r>
  <r>
    <n v="140"/>
    <x v="1"/>
    <n v="1"/>
    <s v="SALA CIRURGICA 01"/>
    <d v="2026-01-10T20:25:00"/>
    <d v="2026-01-10T20:35:00"/>
    <d v="2026-01-10T20:50:00"/>
    <d v="2026-01-10T21:27:00"/>
    <d v="2026-01-10T21:28:00"/>
    <d v="2026-01-10T21:30:00"/>
    <n v="1.08"/>
    <d v="2026-01-10T21:33:00"/>
    <d v="1899-12-30T01:05:00"/>
    <n v="1"/>
    <n v="5"/>
    <n v="65"/>
  </r>
  <r>
    <n v="141"/>
    <x v="1"/>
    <n v="1"/>
    <s v="SALA CIRURGICA 01"/>
    <d v="2026-01-11T09:50:00"/>
    <d v="2026-01-11T09:55:00"/>
    <d v="2026-01-11T10:25:00"/>
    <d v="2026-01-11T10:58:00"/>
    <d v="2026-01-11T11:08:00"/>
    <d v="2026-01-11T11:20:00"/>
    <n v="1.5"/>
    <d v="2026-01-11T11:30:00"/>
    <d v="1899-12-30T01:30:00"/>
    <n v="1"/>
    <n v="30"/>
    <n v="90"/>
  </r>
  <r>
    <n v="142"/>
    <x v="2"/>
    <n v="1"/>
    <s v="SALA CIRURGICA 01"/>
    <d v="2026-01-11T10:52:00"/>
    <d v="2026-01-11T11:05:00"/>
    <d v="2026-01-11T11:30:00"/>
    <d v="2026-01-11T12:55:00"/>
    <d v="2026-01-11T13:05:00"/>
    <d v="2026-01-11T13:15:00"/>
    <n v="2.38"/>
    <d v="2026-01-11T13:25:00"/>
    <d v="1899-12-30T02:23:00"/>
    <n v="2"/>
    <n v="23"/>
    <n v="143"/>
  </r>
  <r>
    <n v="143"/>
    <x v="2"/>
    <n v="1"/>
    <s v="SALA CIRURGICA 05"/>
    <d v="2026-01-11T10:55:00"/>
    <d v="2026-01-11T11:10:00"/>
    <d v="2026-01-11T11:30:00"/>
    <d v="2026-01-11T12:40:00"/>
    <d v="2026-01-11T12:50:00"/>
    <d v="2026-01-11T13:10:00"/>
    <n v="2.25"/>
    <d v="2026-01-11T13:20:00"/>
    <d v="1899-12-30T02:15:00"/>
    <n v="2"/>
    <n v="15"/>
    <n v="135"/>
  </r>
  <r>
    <n v="144"/>
    <x v="1"/>
    <n v="1"/>
    <s v="SALA CIRURGICA 01"/>
    <d v="2026-01-12T08:10:00"/>
    <d v="2026-01-12T08:35:00"/>
    <d v="2026-01-12T09:10:00"/>
    <d v="2026-01-12T11:15:00"/>
    <d v="2026-01-12T11:20:00"/>
    <d v="2026-01-12T11:25:00"/>
    <n v="3.25"/>
    <d v="2026-01-12T11:35:00"/>
    <d v="1899-12-30T03:15:00"/>
    <n v="3"/>
    <n v="15"/>
    <n v="195"/>
  </r>
  <r>
    <n v="145"/>
    <x v="0"/>
    <n v="1"/>
    <s v="SALA CIRURGICA 03"/>
    <d v="2026-01-12T07:00:00"/>
    <d v="2026-01-12T08:00:00"/>
    <d v="2026-01-12T08:15:00"/>
    <d v="2026-01-12T08:50:00"/>
    <d v="2026-01-12T09:00:00"/>
    <d v="2026-01-12T09:05:00"/>
    <n v="2.08"/>
    <d v="2026-01-12T09:06:00"/>
    <d v="1899-12-30T02:05:00"/>
    <n v="2"/>
    <n v="5"/>
    <n v="125"/>
  </r>
  <r>
    <n v="146"/>
    <x v="1"/>
    <n v="1"/>
    <s v="SALA CIRURGICA 03"/>
    <d v="2026-01-12T09:50:00"/>
    <d v="2026-01-12T10:00:00"/>
    <d v="2026-01-12T10:25:00"/>
    <d v="2026-01-12T11:30:00"/>
    <d v="2026-01-12T11:40:00"/>
    <d v="2026-01-12T11:50:00"/>
    <n v="2"/>
    <d v="2026-01-12T12:00:00"/>
    <d v="1899-12-30T02:00:00"/>
    <n v="2"/>
    <n v="0"/>
    <n v="120"/>
  </r>
  <r>
    <n v="147"/>
    <x v="2"/>
    <n v="1"/>
    <s v="SALA CIRURGICA 01"/>
    <d v="2026-01-11T14:40:00"/>
    <d v="2026-01-11T14:55:00"/>
    <d v="2026-01-11T15:20:00"/>
    <d v="2026-01-11T18:10:00"/>
    <d v="2026-01-11T18:20:00"/>
    <d v="2026-01-11T21:20:00"/>
    <n v="6.67"/>
    <d v="2026-01-11T21:30:00"/>
    <d v="1899-12-30T06:40:00"/>
    <n v="6"/>
    <n v="40"/>
    <n v="400"/>
  </r>
  <r>
    <n v="148"/>
    <x v="2"/>
    <n v="1"/>
    <s v="SALA CIRURGICA 01"/>
    <d v="2026-01-12T09:00:00"/>
    <d v="2026-01-12T09:29:00"/>
    <d v="2026-01-12T09:30:00"/>
    <d v="2026-01-12T09:34:00"/>
    <d v="2026-01-12T09:39:00"/>
    <d v="2026-01-12T10:04:00"/>
    <n v="1.07"/>
    <d v="2026-01-12T10:10:00"/>
    <d v="1899-12-30T01:04:00"/>
    <n v="1"/>
    <n v="4"/>
    <n v="64"/>
  </r>
  <r>
    <n v="149"/>
    <x v="0"/>
    <n v="1"/>
    <s v="SALA CIRURGICA 01"/>
    <d v="2026-01-12T12:10:00"/>
    <d v="2026-01-12T12:20:00"/>
    <d v="2026-01-12T12:25:00"/>
    <d v="2026-01-12T12:35:00"/>
    <d v="2026-01-12T12:40:00"/>
    <d v="2026-01-12T12:45:00"/>
    <n v="0.57999999999999996"/>
    <d v="2026-01-12T12:55:00"/>
    <d v="1899-12-30T00:35:00"/>
    <n v="0"/>
    <n v="35"/>
    <n v="35"/>
  </r>
  <r>
    <n v="150"/>
    <x v="2"/>
    <n v="1"/>
    <s v="SALA CIRURGICA 06"/>
    <d v="2026-01-12T11:20:00"/>
    <d v="2026-01-12T11:35:00"/>
    <d v="2026-01-12T11:40:00"/>
    <d v="2026-01-12T12:00:00"/>
    <d v="2026-01-12T12:10:00"/>
    <d v="2026-01-12T12:12:00"/>
    <n v="0.87"/>
    <d v="2026-01-12T12:13:00"/>
    <d v="1899-12-30T00:52:00"/>
    <n v="0"/>
    <n v="52"/>
    <n v="52"/>
  </r>
  <r>
    <n v="151"/>
    <x v="2"/>
    <n v="1"/>
    <s v="SALA CIRURGICA 01"/>
    <d v="2026-01-11T17:00:00"/>
    <d v="2026-01-11T17:20:00"/>
    <d v="2026-01-11T17:30:00"/>
    <d v="2026-01-11T19:00:00"/>
    <d v="2026-01-11T19:10:00"/>
    <d v="2026-01-11T19:15:00"/>
    <n v="2.25"/>
    <d v="2026-01-11T19:20:00"/>
    <d v="1899-12-30T02:15:00"/>
    <n v="2"/>
    <n v="15"/>
    <n v="135"/>
  </r>
  <r>
    <n v="152"/>
    <x v="2"/>
    <n v="1"/>
    <s v="SALA CIRURGICA 03"/>
    <d v="2026-01-11T21:25:00"/>
    <d v="2026-01-11T21:30:00"/>
    <d v="2026-01-11T22:10:00"/>
    <d v="2026-01-11T23:05:00"/>
    <d v="2026-01-11T23:15:00"/>
    <d v="2026-01-11T23:16:00"/>
    <n v="1.85"/>
    <d v="2026-01-11T23:26:00"/>
    <d v="1899-12-30T01:51:00"/>
    <n v="1"/>
    <n v="51"/>
    <n v="111"/>
  </r>
  <r>
    <n v="153"/>
    <x v="0"/>
    <n v="1"/>
    <s v="SALA CIRURGICA 01"/>
    <d v="2026-01-11T21:05:00"/>
    <d v="2026-01-11T21:20:00"/>
    <d v="2026-01-11T21:30:00"/>
    <d v="2026-01-11T22:00:00"/>
    <d v="2026-01-11T22:05:00"/>
    <d v="2026-01-11T22:10:00"/>
    <n v="1.08"/>
    <d v="2026-01-11T22:15:00"/>
    <d v="1899-12-30T01:05:00"/>
    <n v="1"/>
    <n v="5"/>
    <n v="65"/>
  </r>
  <r>
    <n v="154"/>
    <x v="0"/>
    <n v="1"/>
    <s v="SALA CIRURGICA 02"/>
    <d v="2026-01-11T22:30:00"/>
    <d v="2026-01-11T22:40:00"/>
    <d v="2026-01-11T22:50:00"/>
    <d v="2026-01-11T23:30:00"/>
    <d v="2026-01-11T23:35:00"/>
    <d v="2026-01-11T23:40:00"/>
    <n v="1.17"/>
    <d v="2026-01-11T23:45:00"/>
    <d v="1899-12-30T01:10:00"/>
    <n v="1"/>
    <n v="10"/>
    <n v="70"/>
  </r>
  <r>
    <n v="155"/>
    <x v="2"/>
    <n v="1"/>
    <s v="SALA CIRURGICA 06"/>
    <d v="2026-01-12T08:35:00"/>
    <d v="2026-01-12T08:45:00"/>
    <d v="2026-01-12T09:20:00"/>
    <d v="2026-01-12T10:10:00"/>
    <d v="2026-01-12T10:30:00"/>
    <d v="2026-01-12T10:40:00"/>
    <n v="2.08"/>
    <d v="2026-01-12T10:50:00"/>
    <d v="1899-12-30T02:05:00"/>
    <n v="2"/>
    <n v="5"/>
    <n v="125"/>
  </r>
  <r>
    <n v="156"/>
    <x v="2"/>
    <n v="1"/>
    <s v="SALA CIRURGICA 05"/>
    <d v="2026-01-12T11:15:00"/>
    <d v="2026-01-12T11:35:00"/>
    <d v="2026-01-12T12:00:00"/>
    <d v="2026-01-12T12:50:00"/>
    <d v="2026-01-12T13:00:00"/>
    <d v="2026-01-12T13:05:00"/>
    <n v="1.83"/>
    <d v="2026-01-12T13:15:00"/>
    <d v="1899-12-30T01:50:00"/>
    <n v="1"/>
    <n v="50"/>
    <n v="110"/>
  </r>
  <r>
    <n v="157"/>
    <x v="0"/>
    <n v="1"/>
    <s v="SALA CIRURGICA 05"/>
    <d v="2026-01-11T23:10:00"/>
    <d v="2026-01-11T23:15:00"/>
    <d v="2026-01-11T23:20:00"/>
    <d v="2026-01-11T23:30:00"/>
    <d v="2026-01-11T23:40:00"/>
    <d v="2026-01-11T23:50:00"/>
    <n v="0.67"/>
    <d v="2026-01-12T00:00:00"/>
    <d v="1899-12-30T00:40:00"/>
    <n v="0"/>
    <n v="40"/>
    <n v="40"/>
  </r>
  <r>
    <n v="158"/>
    <x v="2"/>
    <n v="1"/>
    <s v="SALA CIRURGICA 03"/>
    <d v="2026-01-12T00:40:00"/>
    <d v="2026-01-12T01:00:00"/>
    <d v="2026-01-12T01:40:00"/>
    <d v="2026-01-12T03:05:00"/>
    <d v="2026-01-12T03:55:00"/>
    <d v="2026-01-12T04:00:00"/>
    <n v="3.33"/>
    <d v="2026-01-12T04:10:00"/>
    <d v="1899-12-30T03:20:00"/>
    <n v="3"/>
    <n v="20"/>
    <n v="200"/>
  </r>
  <r>
    <n v="159"/>
    <x v="1"/>
    <n v="1"/>
    <s v="SALA CIRURGICA 04"/>
    <d v="2026-01-12T02:21:00"/>
    <d v="2026-01-12T02:31:00"/>
    <d v="2026-01-12T02:35:00"/>
    <d v="2026-01-12T04:20:00"/>
    <d v="2026-01-12T04:45:00"/>
    <d v="2026-01-12T04:50:00"/>
    <n v="2.48"/>
    <d v="2026-01-12T05:00:00"/>
    <d v="1899-12-30T02:29:00"/>
    <n v="2"/>
    <n v="29"/>
    <n v="149"/>
  </r>
  <r>
    <n v="160"/>
    <x v="0"/>
    <n v="1"/>
    <s v="SALA CIRURGICA 05"/>
    <d v="2026-01-12T16:40:00"/>
    <d v="2026-01-12T17:05:00"/>
    <d v="2026-01-12T17:10:00"/>
    <d v="2026-01-12T17:20:00"/>
    <d v="2026-01-12T17:25:00"/>
    <d v="2026-01-12T17:35:00"/>
    <n v="0.92"/>
    <d v="2026-01-12T17:37:00"/>
    <d v="1899-12-30T00:55:00"/>
    <n v="0"/>
    <n v="55"/>
    <n v="55"/>
  </r>
  <r>
    <n v="161"/>
    <x v="0"/>
    <n v="1"/>
    <s v="SALA CIRURGICA 06"/>
    <d v="2026-01-13T16:00:00"/>
    <d v="2026-01-13T16:30:00"/>
    <d v="2026-01-13T17:00:00"/>
    <d v="2026-01-13T19:00:00"/>
    <d v="2026-01-13T19:10:00"/>
    <d v="2026-01-13T19:30:00"/>
    <n v="3.5"/>
    <d v="2026-01-13T19:31:00"/>
    <d v="1899-12-30T03:30:00"/>
    <n v="3"/>
    <n v="30"/>
    <n v="210"/>
  </r>
  <r>
    <n v="162"/>
    <x v="2"/>
    <n v="1"/>
    <s v="SALA CIRURGICA 06"/>
    <d v="2026-01-13T13:45:00"/>
    <d v="2026-01-13T13:50:00"/>
    <d v="2026-01-13T14:30:00"/>
    <d v="2026-01-13T18:07:00"/>
    <d v="2026-01-13T19:15:00"/>
    <d v="2026-01-13T21:00:00"/>
    <n v="7.25"/>
    <d v="2026-01-13T21:10:00"/>
    <d v="1899-12-30T07:15:00"/>
    <n v="7"/>
    <n v="15"/>
    <n v="435"/>
  </r>
  <r>
    <n v="163"/>
    <x v="2"/>
    <n v="1"/>
    <s v="SALA CIRURGICA 05"/>
    <d v="2026-01-13T07:37:00"/>
    <d v="2026-01-13T07:47:00"/>
    <d v="2026-01-13T08:00:00"/>
    <d v="2026-01-13T08:30:00"/>
    <d v="2026-01-13T08:35:00"/>
    <d v="2026-01-13T08:36:00"/>
    <n v="0.98"/>
    <d v="2026-01-13T08:46:00"/>
    <d v="1899-12-30T00:59:00"/>
    <n v="0"/>
    <n v="59"/>
    <n v="59"/>
  </r>
  <r>
    <n v="164"/>
    <x v="0"/>
    <n v="1"/>
    <s v="SALA CIRURGICA 02"/>
    <d v="2026-01-13T10:15:00"/>
    <d v="2026-01-13T10:35:00"/>
    <d v="2026-01-13T10:40:00"/>
    <d v="2026-01-13T10:55:00"/>
    <d v="2026-01-13T11:00:00"/>
    <d v="2026-01-13T11:10:00"/>
    <n v="0.92"/>
    <d v="2026-01-13T11:20:00"/>
    <d v="1899-12-30T00:55:00"/>
    <n v="0"/>
    <n v="55"/>
    <n v="55"/>
  </r>
  <r>
    <n v="165"/>
    <x v="0"/>
    <n v="1"/>
    <s v="SALA CIRURGICA 01"/>
    <d v="2026-01-13T06:55:00"/>
    <d v="2026-01-13T08:30:00"/>
    <d v="2026-01-13T08:35:00"/>
    <d v="2026-01-13T09:00:00"/>
    <d v="2026-01-13T09:10:00"/>
    <d v="2026-01-13T09:15:00"/>
    <n v="2.33"/>
    <d v="2026-01-13T09:25:00"/>
    <d v="1899-12-30T02:20:00"/>
    <n v="2"/>
    <n v="20"/>
    <n v="140"/>
  </r>
  <r>
    <n v="166"/>
    <x v="0"/>
    <n v="1"/>
    <s v="SALA CIRURGICA 02"/>
    <d v="2026-01-13T12:40:00"/>
    <d v="2026-01-13T12:50:00"/>
    <d v="2026-01-13T12:55:00"/>
    <d v="2026-01-13T13:00:00"/>
    <d v="2026-01-13T13:10:00"/>
    <d v="2026-01-13T15:00:00"/>
    <n v="2.33"/>
    <d v="2026-01-13T15:10:00"/>
    <d v="1899-12-30T02:20:00"/>
    <n v="2"/>
    <n v="20"/>
    <n v="140"/>
  </r>
  <r>
    <n v="167"/>
    <x v="2"/>
    <n v="1"/>
    <s v="SALA CIRURGICA 05"/>
    <d v="2026-01-13T09:40:00"/>
    <d v="2026-01-13T10:10:00"/>
    <d v="2026-01-13T10:20:00"/>
    <d v="2026-01-13T11:25:00"/>
    <d v="2026-01-13T11:35:00"/>
    <d v="2026-01-13T11:50:00"/>
    <n v="2.17"/>
    <d v="2026-01-13T12:00:00"/>
    <d v="1899-12-30T02:10:00"/>
    <n v="2"/>
    <n v="10"/>
    <n v="130"/>
  </r>
  <r>
    <n v="168"/>
    <x v="2"/>
    <n v="1"/>
    <s v="SALA CIRURGICA 05"/>
    <d v="2026-01-13T06:30:00"/>
    <d v="2026-01-13T07:20:00"/>
    <d v="2026-01-13T07:40:00"/>
    <d v="2026-01-13T08:15:00"/>
    <d v="2026-01-13T08:20:00"/>
    <d v="2026-01-13T08:45:00"/>
    <n v="2.25"/>
    <d v="2026-01-13T08:55:00"/>
    <d v="1899-12-30T02:15:00"/>
    <n v="2"/>
    <n v="15"/>
    <n v="135"/>
  </r>
  <r>
    <n v="169"/>
    <x v="1"/>
    <n v="1"/>
    <s v="SALA CIRURGICA 01"/>
    <d v="2026-01-13T06:45:00"/>
    <d v="2026-01-13T08:20:00"/>
    <d v="2026-01-13T08:40:00"/>
    <d v="2026-01-13T10:50:00"/>
    <d v="2026-01-13T11:00:00"/>
    <d v="2026-01-13T11:15:00"/>
    <n v="4.5"/>
    <d v="2026-01-13T11:25:00"/>
    <d v="1899-12-30T04:30:00"/>
    <n v="4"/>
    <n v="30"/>
    <n v="270"/>
  </r>
  <r>
    <n v="170"/>
    <x v="0"/>
    <n v="1"/>
    <s v="SALA CIRURGICA 03"/>
    <d v="2026-01-13T06:00:00"/>
    <d v="2026-01-13T06:25:00"/>
    <d v="2026-01-13T06:30:00"/>
    <d v="2026-01-13T06:40:00"/>
    <d v="2026-01-13T06:50:00"/>
    <d v="2026-01-13T06:55:00"/>
    <n v="0.92"/>
    <d v="2026-01-13T07:05:00"/>
    <d v="1899-12-30T00:55:00"/>
    <n v="0"/>
    <n v="55"/>
    <n v="55"/>
  </r>
  <r>
    <n v="171"/>
    <x v="0"/>
    <n v="1"/>
    <s v="SALA CIRURGICA 06"/>
    <d v="2026-01-13T10:40:00"/>
    <d v="2026-01-13T10:50:00"/>
    <d v="2026-01-13T11:00:00"/>
    <d v="2026-01-13T11:10:00"/>
    <d v="2026-01-13T11:20:00"/>
    <d v="2026-01-13T11:40:00"/>
    <n v="1"/>
    <d v="2026-01-13T11:50:00"/>
    <d v="1899-12-30T01:00:00"/>
    <n v="1"/>
    <n v="0"/>
    <n v="60"/>
  </r>
  <r>
    <n v="172"/>
    <x v="0"/>
    <n v="1"/>
    <s v="SALA CIRURGICA 05"/>
    <d v="2026-01-13T13:10:00"/>
    <d v="2026-01-13T13:30:00"/>
    <d v="2026-01-13T13:50:00"/>
    <d v="2026-01-13T14:10:00"/>
    <d v="2026-01-13T14:11:00"/>
    <d v="2026-01-13T14:30:00"/>
    <n v="1.33"/>
    <d v="2026-01-13T14:32:00"/>
    <d v="1899-12-30T01:20:00"/>
    <n v="1"/>
    <n v="20"/>
    <n v="80"/>
  </r>
  <r>
    <n v="173"/>
    <x v="0"/>
    <n v="1"/>
    <s v="SALA CIRURGICA 05"/>
    <d v="2026-01-13T15:40:00"/>
    <d v="2026-01-13T15:50:00"/>
    <d v="2026-01-13T16:20:00"/>
    <d v="2026-01-13T16:30:00"/>
    <d v="2026-01-13T16:40:00"/>
    <d v="2026-01-13T16:42:00"/>
    <n v="1.03"/>
    <d v="2026-01-13T16:45:00"/>
    <d v="1899-12-30T01:02:00"/>
    <n v="1"/>
    <n v="2"/>
    <n v="62"/>
  </r>
  <r>
    <n v="174"/>
    <x v="0"/>
    <n v="1"/>
    <s v="SALA CIRURGICA 04"/>
    <d v="2026-01-14T06:00:00"/>
    <d v="2026-01-14T06:20:00"/>
    <d v="2026-01-14T06:40:00"/>
    <d v="2026-01-14T07:38:00"/>
    <d v="2026-01-14T07:48:00"/>
    <d v="2026-01-14T08:16:00"/>
    <n v="2.27"/>
    <d v="2026-01-14T08:17:00"/>
    <d v="1899-12-30T02:16:00"/>
    <n v="2"/>
    <n v="16"/>
    <n v="136"/>
  </r>
  <r>
    <n v="175"/>
    <x v="2"/>
    <n v="1"/>
    <s v="SALA CIRURGICA 01"/>
    <d v="2026-01-12T22:20:00"/>
    <d v="2026-01-12T22:30:00"/>
    <d v="2026-01-12T22:45:00"/>
    <d v="2026-01-13T02:00:00"/>
    <d v="2026-01-13T02:01:00"/>
    <d v="2026-01-13T02:10:00"/>
    <n v="3.83"/>
    <d v="2026-01-13T02:20:00"/>
    <d v="1899-12-30T03:50:00"/>
    <n v="3"/>
    <n v="50"/>
    <n v="230"/>
  </r>
  <r>
    <n v="176"/>
    <x v="1"/>
    <n v="1"/>
    <s v="SALA CIRURGICA 01"/>
    <d v="2026-01-12T22:20:00"/>
    <d v="2026-01-12T22:30:00"/>
    <d v="2026-01-12T22:45:00"/>
    <d v="2026-01-13T02:00:00"/>
    <d v="2026-01-13T02:01:00"/>
    <d v="2026-01-13T02:10:00"/>
    <n v="3.83"/>
    <d v="2026-01-13T02:20:00"/>
    <d v="1899-12-30T03:50:00"/>
    <n v="3"/>
    <n v="50"/>
    <n v="230"/>
  </r>
  <r>
    <n v="177"/>
    <x v="0"/>
    <n v="1"/>
    <s v="SALA CIRURGICA 01"/>
    <d v="2026-01-12T23:26:00"/>
    <d v="2026-01-12T23:30:00"/>
    <d v="2026-01-12T23:40:00"/>
    <d v="2026-01-13T00:00:00"/>
    <d v="2026-01-13T00:10:00"/>
    <d v="2026-01-13T00:15:00"/>
    <n v="0.82"/>
    <d v="2026-01-13T00:25:00"/>
    <d v="1899-12-30T00:49:00"/>
    <n v="0"/>
    <n v="49"/>
    <n v="49"/>
  </r>
  <r>
    <n v="178"/>
    <x v="0"/>
    <n v="1"/>
    <s v="SALA CIRURGICA 01"/>
    <d v="2026-01-13T16:30:00"/>
    <d v="2026-01-13T16:40:00"/>
    <d v="2026-01-13T16:50:00"/>
    <d v="2026-01-13T17:20:00"/>
    <d v="2026-01-13T17:25:00"/>
    <d v="2026-01-13T17:35:00"/>
    <n v="1.08"/>
    <d v="2026-01-13T17:45:00"/>
    <d v="1899-12-30T01:05:00"/>
    <n v="1"/>
    <n v="5"/>
    <n v="65"/>
  </r>
  <r>
    <n v="179"/>
    <x v="2"/>
    <n v="1"/>
    <s v="SALA CIRURGICA 04"/>
    <d v="2026-01-13T10:46:00"/>
    <d v="2026-01-13T10:50:00"/>
    <d v="2026-01-13T11:20:00"/>
    <d v="2026-01-13T13:30:00"/>
    <d v="2026-01-13T14:50:00"/>
    <d v="2026-01-13T14:55:00"/>
    <n v="4.1500000000000004"/>
    <d v="2026-01-13T15:05:00"/>
    <d v="1899-12-30T04:09:00"/>
    <n v="4"/>
    <n v="9"/>
    <n v="249"/>
  </r>
  <r>
    <n v="180"/>
    <x v="1"/>
    <n v="1"/>
    <s v="SALA CIRURGICA 03"/>
    <d v="2026-01-13T14:05:00"/>
    <d v="2026-01-13T14:25:00"/>
    <d v="2026-01-13T15:00:00"/>
    <d v="2026-01-13T19:50:00"/>
    <d v="2026-01-13T20:00:00"/>
    <d v="2026-01-13T22:30:00"/>
    <n v="8.42"/>
    <d v="2026-01-13T22:40:00"/>
    <d v="1899-12-30T08:25:00"/>
    <n v="8"/>
    <n v="25"/>
    <n v="505"/>
  </r>
  <r>
    <n v="181"/>
    <x v="0"/>
    <n v="1"/>
    <s v="SALA CIRURGICA 06"/>
    <d v="2026-01-15T06:45:00"/>
    <d v="2026-01-15T07:50:00"/>
    <d v="2026-01-15T08:05:00"/>
    <d v="2026-01-15T08:33:00"/>
    <d v="2026-01-15T08:43:00"/>
    <d v="2026-01-15T08:45:00"/>
    <n v="2"/>
    <d v="2026-01-15T08:55:00"/>
    <d v="1899-12-30T02:00:00"/>
    <n v="2"/>
    <n v="0"/>
    <n v="120"/>
  </r>
  <r>
    <n v="182"/>
    <x v="0"/>
    <n v="1"/>
    <s v="SALA CIRURGICA 01"/>
    <d v="2026-01-14T15:55:00"/>
    <d v="2026-01-14T16:10:00"/>
    <d v="2026-01-14T16:35:00"/>
    <d v="2026-01-14T18:53:00"/>
    <d v="2026-01-14T19:03:00"/>
    <d v="2026-01-14T19:10:00"/>
    <n v="3.25"/>
    <d v="2026-01-14T19:20:00"/>
    <d v="1899-12-30T03:15:00"/>
    <n v="3"/>
    <n v="15"/>
    <n v="195"/>
  </r>
  <r>
    <n v="183"/>
    <x v="0"/>
    <n v="1"/>
    <s v="SALA CIRURGICA 03"/>
    <d v="2026-01-14T13:08:00"/>
    <d v="2026-01-14T13:40:00"/>
    <d v="2026-01-14T13:55:00"/>
    <d v="2026-01-14T14:50:00"/>
    <d v="2026-01-14T15:00:00"/>
    <d v="2026-01-14T15:07:00"/>
    <n v="1.98"/>
    <d v="2026-01-14T15:17:00"/>
    <d v="1899-12-30T01:59:00"/>
    <n v="1"/>
    <n v="59"/>
    <n v="119"/>
  </r>
  <r>
    <n v="184"/>
    <x v="0"/>
    <n v="1"/>
    <s v="SALA CIRURGICA 03"/>
    <d v="2026-01-14T07:00:00"/>
    <d v="2026-01-14T08:00:00"/>
    <d v="2026-01-14T08:25:00"/>
    <d v="2026-01-14T11:26:00"/>
    <d v="2026-01-14T11:36:00"/>
    <d v="2026-01-14T12:00:00"/>
    <n v="5"/>
    <d v="2026-01-14T12:10:00"/>
    <d v="1899-12-30T05:00:00"/>
    <n v="5"/>
    <n v="0"/>
    <n v="300"/>
  </r>
  <r>
    <n v="185"/>
    <x v="1"/>
    <n v="1"/>
    <s v="SALA CIRURGICA 02"/>
    <d v="2026-01-14T14:50:00"/>
    <d v="2026-01-14T15:35:00"/>
    <d v="2026-01-14T15:45:00"/>
    <d v="2026-01-14T17:12:00"/>
    <d v="2026-01-14T17:20:00"/>
    <d v="2026-01-14T18:20:00"/>
    <n v="3.5"/>
    <d v="2026-01-14T18:25:00"/>
    <d v="1899-12-30T03:30:00"/>
    <n v="3"/>
    <n v="30"/>
    <n v="210"/>
  </r>
  <r>
    <n v="186"/>
    <x v="1"/>
    <n v="1"/>
    <s v="SALA CIRURGICA 05"/>
    <d v="2026-01-14T07:05:00"/>
    <d v="2026-01-14T07:15:00"/>
    <d v="2026-01-14T08:10:00"/>
    <d v="2026-01-14T09:36:00"/>
    <d v="2026-01-14T09:40:00"/>
    <d v="2026-01-14T09:50:00"/>
    <n v="2.75"/>
    <d v="2026-01-14T10:00:00"/>
    <d v="1899-12-30T02:45:00"/>
    <n v="2"/>
    <n v="45"/>
    <n v="165"/>
  </r>
  <r>
    <n v="187"/>
    <x v="1"/>
    <n v="1"/>
    <s v="SALA CIRURGICA 06"/>
    <d v="2026-01-14T12:00:00"/>
    <d v="2026-01-14T12:10:00"/>
    <d v="2026-01-14T12:20:00"/>
    <d v="2026-01-14T14:50:00"/>
    <d v="2026-01-14T15:20:00"/>
    <d v="2026-01-14T15:30:00"/>
    <n v="3.5"/>
    <d v="2026-01-14T15:35:00"/>
    <d v="1899-12-30T03:30:00"/>
    <n v="3"/>
    <n v="30"/>
    <n v="210"/>
  </r>
  <r>
    <n v="188"/>
    <x v="0"/>
    <n v="1"/>
    <s v="SALA CIRURGICA 01"/>
    <d v="2026-01-14T17:50:00"/>
    <d v="2026-01-14T17:55:00"/>
    <d v="2026-01-14T18:00:00"/>
    <d v="2026-01-14T18:37:00"/>
    <d v="2026-01-14T18:40:00"/>
    <d v="2026-01-14T18:42:00"/>
    <n v="0.87"/>
    <d v="2026-01-14T18:44:00"/>
    <d v="1899-12-30T00:52:00"/>
    <n v="0"/>
    <n v="52"/>
    <n v="52"/>
  </r>
  <r>
    <n v="189"/>
    <x v="0"/>
    <n v="1"/>
    <s v="SALA CIRURGICA 01"/>
    <d v="2026-01-13T15:43:00"/>
    <d v="2026-01-13T16:00:00"/>
    <d v="2026-01-13T16:20:00"/>
    <d v="2026-01-13T16:30:00"/>
    <d v="2026-01-13T16:40:00"/>
    <d v="2026-01-13T17:00:00"/>
    <n v="1.28"/>
    <d v="2026-01-13T17:10:00"/>
    <d v="1899-12-30T01:17:00"/>
    <n v="1"/>
    <n v="17"/>
    <n v="77"/>
  </r>
  <r>
    <n v="190"/>
    <x v="0"/>
    <n v="1"/>
    <s v="SALA CIRURGICA 02"/>
    <d v="2026-01-14T11:13:00"/>
    <d v="2026-01-14T11:28:00"/>
    <d v="2026-01-14T11:30:00"/>
    <d v="2026-01-14T11:42:00"/>
    <d v="2026-01-14T11:45:00"/>
    <d v="2026-01-14T12:00:00"/>
    <n v="0.78"/>
    <d v="2026-01-14T12:02:00"/>
    <d v="1899-12-30T00:47:00"/>
    <n v="0"/>
    <n v="47"/>
    <n v="47"/>
  </r>
  <r>
    <n v="191"/>
    <x v="0"/>
    <n v="1"/>
    <s v="SALA CIRURGICA 02"/>
    <d v="2026-01-14T07:00:00"/>
    <d v="2026-01-14T07:50:00"/>
    <d v="2026-01-14T08:40:00"/>
    <d v="2026-01-14T10:05:00"/>
    <d v="2026-01-14T10:10:00"/>
    <d v="2026-01-14T10:30:00"/>
    <n v="3.5"/>
    <d v="2026-01-14T10:35:00"/>
    <d v="1899-12-30T03:30:00"/>
    <n v="3"/>
    <n v="30"/>
    <n v="210"/>
  </r>
  <r>
    <n v="192"/>
    <x v="1"/>
    <n v="1"/>
    <s v="SALA CIRURGICA 01"/>
    <d v="2026-01-14T07:00:00"/>
    <d v="2026-01-14T07:50:00"/>
    <d v="2026-01-14T08:20:00"/>
    <d v="2026-01-14T10:40:00"/>
    <d v="2026-01-14T10:50:00"/>
    <d v="2026-01-14T11:00:00"/>
    <n v="4"/>
    <d v="2026-01-14T11:10:00"/>
    <d v="1899-12-30T04:00:00"/>
    <n v="4"/>
    <n v="0"/>
    <n v="240"/>
  </r>
  <r>
    <n v="193"/>
    <x v="0"/>
    <n v="1"/>
    <s v="SALA CIRURGICA 02"/>
    <d v="2026-01-14T13:00:00"/>
    <d v="2026-01-14T13:05:00"/>
    <d v="2026-01-14T13:10:00"/>
    <d v="2026-01-14T13:50:00"/>
    <d v="2026-01-14T14:00:00"/>
    <d v="2026-01-14T14:10:00"/>
    <n v="1.17"/>
    <d v="2026-01-14T14:20:00"/>
    <d v="1899-12-30T01:10:00"/>
    <n v="1"/>
    <n v="10"/>
    <n v="70"/>
  </r>
  <r>
    <n v="194"/>
    <x v="2"/>
    <n v="1"/>
    <s v="SALA CIRURGICA 01"/>
    <d v="2026-01-13T23:00:00"/>
    <d v="2026-01-13T23:10:00"/>
    <d v="2026-01-13T23:30:00"/>
    <d v="2026-01-14T00:30:00"/>
    <d v="2026-01-14T00:40:00"/>
    <d v="2026-01-14T00:45:00"/>
    <n v="1.75"/>
    <d v="2026-01-14T00:46:00"/>
    <d v="1899-12-30T01:45:00"/>
    <n v="1"/>
    <n v="45"/>
    <n v="105"/>
  </r>
  <r>
    <n v="195"/>
    <x v="2"/>
    <n v="1"/>
    <s v="SALA CIRURGICA 01"/>
    <d v="2026-01-13T20:05:00"/>
    <d v="2026-01-13T20:20:00"/>
    <d v="2026-01-13T20:45:00"/>
    <d v="2026-01-13T22:00:00"/>
    <d v="2026-01-13T22:10:00"/>
    <d v="2026-01-13T22:35:00"/>
    <n v="2.5"/>
    <d v="2026-01-13T22:40:00"/>
    <d v="1899-12-30T02:30:00"/>
    <n v="2"/>
    <n v="30"/>
    <n v="150"/>
  </r>
  <r>
    <n v="196"/>
    <x v="0"/>
    <n v="1"/>
    <s v="SALA CIRURGICA 01"/>
    <d v="2026-01-13T23:03:00"/>
    <d v="2026-01-13T23:20:00"/>
    <d v="2026-01-13T23:45:00"/>
    <d v="2026-01-14T03:00:00"/>
    <d v="2026-01-14T03:05:00"/>
    <d v="2026-01-14T03:10:00"/>
    <n v="4.12"/>
    <d v="2026-01-14T03:20:00"/>
    <d v="1899-12-30T04:07:00"/>
    <n v="4"/>
    <n v="7"/>
    <n v="247"/>
  </r>
  <r>
    <n v="197"/>
    <x v="1"/>
    <n v="1"/>
    <s v="SALA CIRURGICA 02"/>
    <d v="2026-01-14T01:10:00"/>
    <d v="2026-01-14T01:20:00"/>
    <d v="2026-01-14T01:45:00"/>
    <d v="2026-01-14T02:25:00"/>
    <d v="2026-01-14T02:26:00"/>
    <d v="2026-01-14T02:27:00"/>
    <n v="1.28"/>
    <d v="2026-01-14T02:28:00"/>
    <d v="1899-12-30T01:17:00"/>
    <n v="1"/>
    <n v="17"/>
    <n v="77"/>
  </r>
  <r>
    <n v="198"/>
    <x v="2"/>
    <n v="1"/>
    <s v="SALA CIRURGICA 01"/>
    <d v="2026-01-14T10:33:00"/>
    <d v="2026-01-14T11:00:00"/>
    <d v="2026-01-14T11:10:00"/>
    <d v="2026-01-14T11:20:00"/>
    <d v="2026-01-14T11:30:00"/>
    <d v="2026-01-14T12:00:00"/>
    <n v="1.45"/>
    <d v="2026-01-14T12:10:00"/>
    <d v="1899-12-30T01:27:00"/>
    <n v="1"/>
    <n v="27"/>
    <n v="87"/>
  </r>
  <r>
    <n v="199"/>
    <x v="2"/>
    <n v="1"/>
    <s v="SALA CIRURGICA 01"/>
    <d v="2026-01-14T09:40:00"/>
    <d v="2026-01-14T09:45:00"/>
    <d v="2026-01-14T10:15:00"/>
    <d v="2026-01-14T12:32:00"/>
    <d v="2026-01-14T13:50:00"/>
    <d v="2026-01-14T14:07:00"/>
    <n v="4.45"/>
    <d v="2026-01-14T14:08:00"/>
    <d v="1899-12-30T04:27:00"/>
    <n v="4"/>
    <n v="27"/>
    <n v="267"/>
  </r>
  <r>
    <n v="200"/>
    <x v="2"/>
    <n v="1"/>
    <s v="SALA CIRURGICA 01"/>
    <d v="2026-01-14T16:30:00"/>
    <d v="2026-01-14T17:00:00"/>
    <d v="2026-01-14T17:15:00"/>
    <d v="2026-01-14T18:00:00"/>
    <d v="2026-01-14T18:10:00"/>
    <d v="2026-01-14T18:20:00"/>
    <n v="1.83"/>
    <d v="2026-01-14T18:30:00"/>
    <d v="1899-12-30T01:50:00"/>
    <n v="1"/>
    <n v="50"/>
    <n v="110"/>
  </r>
  <r>
    <n v="201"/>
    <x v="2"/>
    <n v="1"/>
    <s v="SALA CIRURGICA 02"/>
    <d v="2026-01-15T13:10:00"/>
    <d v="2026-01-15T13:20:00"/>
    <d v="2026-01-15T14:00:00"/>
    <d v="2026-01-15T14:30:00"/>
    <d v="2026-01-15T14:40:00"/>
    <d v="2026-01-15T16:00:00"/>
    <n v="2.83"/>
    <d v="2026-01-15T16:10:00"/>
    <d v="1899-12-30T02:50:00"/>
    <n v="2"/>
    <n v="50"/>
    <n v="170"/>
  </r>
  <r>
    <n v="202"/>
    <x v="2"/>
    <n v="1"/>
    <s v="SALA CIRURGICA 02"/>
    <d v="2026-01-15T10:30:00"/>
    <d v="2026-01-15T10:40:00"/>
    <d v="2026-01-15T10:45:00"/>
    <d v="2026-01-15T11:50:00"/>
    <d v="2026-01-15T11:55:00"/>
    <d v="2026-01-15T12:00:00"/>
    <n v="1.5"/>
    <d v="2026-01-15T12:10:00"/>
    <d v="1899-12-30T01:30:00"/>
    <n v="1"/>
    <n v="30"/>
    <n v="90"/>
  </r>
  <r>
    <n v="203"/>
    <x v="2"/>
    <n v="1"/>
    <s v="SALA CIRURGICA 02"/>
    <d v="2026-01-15T07:00:00"/>
    <d v="2026-01-15T07:30:00"/>
    <d v="2026-01-15T08:00:00"/>
    <d v="2026-01-15T09:13:00"/>
    <d v="2026-01-15T09:14:00"/>
    <d v="2026-01-15T09:18:00"/>
    <n v="2.2999999999999998"/>
    <d v="2026-01-15T09:28:00"/>
    <d v="1899-12-30T02:18:00"/>
    <n v="2"/>
    <n v="18"/>
    <n v="138"/>
  </r>
  <r>
    <n v="204"/>
    <x v="0"/>
    <n v="1"/>
    <s v="SALA CIRURGICA 06"/>
    <d v="2026-01-15T15:12:00"/>
    <d v="2026-01-15T15:22:00"/>
    <d v="2026-01-15T15:35:00"/>
    <d v="2026-01-15T16:50:00"/>
    <d v="2026-01-15T17:00:00"/>
    <d v="2026-01-15T17:10:00"/>
    <n v="1.97"/>
    <d v="2026-01-15T17:20:00"/>
    <d v="1899-12-30T01:58:00"/>
    <n v="1"/>
    <n v="58"/>
    <n v="118"/>
  </r>
  <r>
    <n v="205"/>
    <x v="1"/>
    <n v="1"/>
    <s v="SALA CIRURGICA 01"/>
    <d v="2026-01-15T07:00:00"/>
    <d v="2026-01-15T08:10:00"/>
    <d v="2026-01-15T09:00:00"/>
    <d v="2026-01-15T13:11:00"/>
    <d v="2026-01-15T13:21:00"/>
    <d v="2026-01-15T13:22:00"/>
    <n v="6.37"/>
    <d v="2026-01-15T13:23:00"/>
    <d v="1899-12-30T06:22:00"/>
    <n v="6"/>
    <n v="22"/>
    <n v="382"/>
  </r>
  <r>
    <n v="206"/>
    <x v="0"/>
    <n v="1"/>
    <s v="SALA CIRURGICA 01"/>
    <d v="2026-01-15T14:10:00"/>
    <d v="2026-01-15T14:20:00"/>
    <d v="2026-01-15T15:05:00"/>
    <d v="2026-01-15T16:50:00"/>
    <d v="2026-01-15T17:00:00"/>
    <d v="2026-01-15T17:03:00"/>
    <n v="2.88"/>
    <d v="2026-01-15T17:13:00"/>
    <d v="1899-12-30T02:53:00"/>
    <n v="2"/>
    <n v="53"/>
    <n v="173"/>
  </r>
  <r>
    <n v="207"/>
    <x v="0"/>
    <n v="1"/>
    <s v="SALA CIRURGICA 03"/>
    <d v="2026-01-15T16:48:00"/>
    <d v="2026-01-15T17:00:00"/>
    <d v="2026-01-15T17:20:00"/>
    <d v="2026-01-15T19:27:00"/>
    <d v="2026-01-15T19:37:00"/>
    <d v="2026-01-15T20:01:00"/>
    <n v="3.22"/>
    <d v="2026-01-15T20:11:00"/>
    <d v="1899-12-30T03:13:00"/>
    <n v="3"/>
    <n v="13"/>
    <n v="193"/>
  </r>
  <r>
    <n v="208"/>
    <x v="1"/>
    <n v="1"/>
    <s v="SALA CIRURGICA 05"/>
    <d v="2026-01-15T07:00:00"/>
    <d v="2026-01-15T08:30:00"/>
    <d v="2026-01-15T09:00:00"/>
    <d v="2026-01-15T11:15:00"/>
    <d v="2026-01-15T11:20:00"/>
    <d v="2026-01-15T11:35:00"/>
    <n v="4.58"/>
    <d v="2026-01-15T11:45:00"/>
    <d v="1899-12-30T04:35:00"/>
    <n v="4"/>
    <n v="35"/>
    <n v="275"/>
  </r>
  <r>
    <n v="209"/>
    <x v="2"/>
    <n v="1"/>
    <s v="SALA CIRURGICA 05"/>
    <d v="2026-01-15T13:15:00"/>
    <d v="2026-01-15T13:20:00"/>
    <d v="2026-01-15T14:20:00"/>
    <d v="2026-01-15T17:40:00"/>
    <d v="2026-01-15T17:45:00"/>
    <d v="2026-01-15T18:10:00"/>
    <n v="4.92"/>
    <d v="2026-01-15T18:20:00"/>
    <d v="1899-12-30T04:55:00"/>
    <n v="4"/>
    <n v="55"/>
    <n v="295"/>
  </r>
  <r>
    <n v="210"/>
    <x v="2"/>
    <n v="1"/>
    <s v="SALA CIRURGICA 03"/>
    <d v="2026-01-15T07:00:00"/>
    <d v="2026-01-15T07:50:00"/>
    <d v="2026-01-15T08:30:00"/>
    <d v="2026-01-15T10:30:00"/>
    <d v="2026-01-15T11:00:00"/>
    <d v="2026-01-15T11:05:00"/>
    <n v="4.08"/>
    <d v="2026-01-15T11:10:00"/>
    <d v="1899-12-30T04:05:00"/>
    <n v="4"/>
    <n v="5"/>
    <n v="245"/>
  </r>
  <r>
    <n v="211"/>
    <x v="2"/>
    <n v="1"/>
    <s v="SALA CIRURGICA 06"/>
    <d v="2026-01-14T17:15:00"/>
    <d v="2026-01-14T18:25:00"/>
    <d v="2026-01-14T18:35:00"/>
    <d v="2026-01-14T19:20:00"/>
    <d v="2026-01-14T19:30:00"/>
    <d v="2026-01-14T19:40:00"/>
    <n v="2.42"/>
    <d v="2026-01-14T19:50:00"/>
    <d v="1899-12-30T02:25:00"/>
    <n v="2"/>
    <n v="25"/>
    <n v="145"/>
  </r>
  <r>
    <n v="212"/>
    <x v="1"/>
    <n v="1"/>
    <s v="SALA CIRURGICA 06"/>
    <d v="2026-01-15T10:25:00"/>
    <d v="2026-01-15T10:40:00"/>
    <d v="2026-01-15T10:50:00"/>
    <d v="2026-01-15T12:00:00"/>
    <d v="2026-01-15T12:10:00"/>
    <d v="2026-01-15T12:30:00"/>
    <n v="2.08"/>
    <d v="2026-01-15T12:40:00"/>
    <d v="1899-12-30T02:05:00"/>
    <n v="2"/>
    <n v="5"/>
    <n v="125"/>
  </r>
  <r>
    <n v="213"/>
    <x v="2"/>
    <n v="1"/>
    <s v="SALA CIRURGICA 03"/>
    <d v="2026-01-15T11:55:00"/>
    <d v="2026-01-15T12:20:00"/>
    <d v="2026-01-15T12:50:00"/>
    <d v="2026-01-15T15:25:00"/>
    <d v="2026-01-15T15:35:00"/>
    <d v="2026-01-15T15:40:00"/>
    <n v="3.75"/>
    <d v="2026-01-15T15:45:00"/>
    <d v="1899-12-30T03:45:00"/>
    <n v="3"/>
    <n v="45"/>
    <n v="225"/>
  </r>
  <r>
    <n v="214"/>
    <x v="1"/>
    <n v="1"/>
    <s v="SALA CIRURGICA 06"/>
    <d v="2026-01-15T12:30:00"/>
    <d v="2026-01-15T12:40:00"/>
    <d v="2026-01-15T14:00:00"/>
    <d v="2026-01-15T14:44:00"/>
    <d v="2026-01-15T14:54:00"/>
    <d v="2026-01-15T15:20:00"/>
    <n v="2.82"/>
    <d v="2026-01-15T15:30:00"/>
    <d v="1899-12-30T02:50:00"/>
    <n v="2"/>
    <n v="50"/>
    <n v="170"/>
  </r>
  <r>
    <n v="215"/>
    <x v="0"/>
    <n v="1"/>
    <s v="SALA CIRURGICA 06"/>
    <d v="2026-01-15T16:10:00"/>
    <d v="2026-01-15T16:20:00"/>
    <d v="2026-01-15T16:25:00"/>
    <d v="2026-01-15T17:12:00"/>
    <d v="2026-01-15T17:22:00"/>
    <d v="2026-01-15T17:25:00"/>
    <n v="1.25"/>
    <d v="2026-01-15T17:35:00"/>
    <d v="1899-12-30T01:15:00"/>
    <n v="1"/>
    <n v="15"/>
    <n v="75"/>
  </r>
  <r>
    <n v="216"/>
    <x v="2"/>
    <n v="1"/>
    <s v="SALA CIRURGICA 04"/>
    <d v="2026-01-20T06:50:00"/>
    <d v="2026-01-20T07:45:00"/>
    <d v="2026-01-20T08:10:00"/>
    <d v="2026-01-20T09:10:00"/>
    <d v="2026-01-20T09:20:00"/>
    <d v="2026-01-20T09:25:00"/>
    <n v="2.58"/>
    <d v="2026-01-20T09:30:00"/>
    <d v="1899-12-30T02:35:00"/>
    <n v="2"/>
    <n v="35"/>
    <n v="155"/>
  </r>
  <r>
    <n v="217"/>
    <x v="2"/>
    <n v="1"/>
    <s v="SALA CIRURGICA 03"/>
    <d v="2026-01-22T07:00:00"/>
    <d v="2026-01-22T07:35:00"/>
    <d v="2026-01-22T07:52:00"/>
    <d v="2026-01-22T09:15:00"/>
    <d v="2026-01-22T09:20:00"/>
    <d v="2026-01-22T09:25:00"/>
    <n v="2.42"/>
    <d v="2026-01-22T09:32:00"/>
    <d v="1899-12-30T02:25:00"/>
    <n v="2"/>
    <n v="25"/>
    <n v="145"/>
  </r>
  <r>
    <n v="218"/>
    <x v="1"/>
    <n v="1"/>
    <s v="SALA CIRURGICA 03"/>
    <d v="2026-01-16T07:00:00"/>
    <d v="2026-01-16T08:25:00"/>
    <d v="2026-01-16T08:50:00"/>
    <d v="2026-01-16T10:50:00"/>
    <d v="2026-01-16T11:30:00"/>
    <d v="2026-01-16T11:40:00"/>
    <n v="4.67"/>
    <d v="2026-01-16T11:50:00"/>
    <d v="1899-12-30T04:40:00"/>
    <n v="4"/>
    <n v="40"/>
    <n v="280"/>
  </r>
  <r>
    <n v="219"/>
    <x v="1"/>
    <n v="1"/>
    <s v="SALA CIRURGICA 05"/>
    <d v="2026-01-16T08:00:00"/>
    <d v="2026-01-16T08:10:00"/>
    <d v="2026-01-16T10:00:00"/>
    <d v="2026-01-16T11:01:00"/>
    <d v="2026-01-16T12:00:00"/>
    <d v="2026-01-16T12:50:00"/>
    <n v="4.83"/>
    <d v="2026-01-16T13:00:00"/>
    <d v="1899-12-30T04:50:00"/>
    <n v="4"/>
    <n v="50"/>
    <n v="290"/>
  </r>
  <r>
    <n v="220"/>
    <x v="1"/>
    <n v="1"/>
    <s v="SALA CIRURGICA 06"/>
    <d v="2026-01-16T08:35:00"/>
    <d v="2026-01-16T09:10:00"/>
    <d v="2026-01-16T09:35:00"/>
    <d v="2026-01-16T11:15:00"/>
    <d v="2026-01-16T11:16:00"/>
    <d v="2026-01-16T11:20:00"/>
    <n v="2.75"/>
    <d v="2026-01-16T11:30:00"/>
    <d v="1899-12-30T02:45:00"/>
    <n v="2"/>
    <n v="45"/>
    <n v="165"/>
  </r>
  <r>
    <n v="221"/>
    <x v="2"/>
    <n v="1"/>
    <s v="SALA CIRURGICA 01"/>
    <d v="2026-01-16T12:50:00"/>
    <d v="2026-01-16T13:05:00"/>
    <d v="2026-01-16T14:05:00"/>
    <d v="2026-01-16T16:30:00"/>
    <d v="2026-01-16T17:20:00"/>
    <d v="2026-01-16T17:30:00"/>
    <n v="4.67"/>
    <d v="2026-01-16T17:40:00"/>
    <d v="1899-12-30T04:40:00"/>
    <n v="4"/>
    <n v="40"/>
    <n v="280"/>
  </r>
  <r>
    <n v="222"/>
    <x v="2"/>
    <n v="1"/>
    <s v="SALA CIRURGICA 02"/>
    <d v="2026-01-16T13:45:00"/>
    <d v="2026-01-16T14:05:00"/>
    <d v="2026-01-16T15:36:00"/>
    <d v="2026-01-16T20:00:00"/>
    <d v="2026-01-16T20:30:00"/>
    <d v="2026-01-16T20:35:00"/>
    <n v="6.83"/>
    <d v="2026-01-16T20:40:00"/>
    <d v="1899-12-30T06:50:00"/>
    <n v="6"/>
    <n v="50"/>
    <n v="410"/>
  </r>
  <r>
    <n v="223"/>
    <x v="2"/>
    <n v="1"/>
    <s v="SALA CIRURGICA 01"/>
    <d v="2026-01-16T13:05:00"/>
    <d v="2026-01-16T13:30:00"/>
    <d v="2026-01-16T15:00:00"/>
    <d v="2026-01-16T16:57:00"/>
    <d v="2026-01-16T17:00:00"/>
    <d v="2026-01-16T17:10:00"/>
    <n v="4.08"/>
    <d v="2026-01-16T17:20:00"/>
    <d v="1899-12-30T04:05:00"/>
    <n v="4"/>
    <n v="5"/>
    <n v="245"/>
  </r>
  <r>
    <n v="224"/>
    <x v="0"/>
    <n v="1"/>
    <s v="SALA CIRURGICA 02"/>
    <d v="2026-01-16T07:00:00"/>
    <d v="2026-01-16T07:45:00"/>
    <d v="2026-01-16T09:15:00"/>
    <d v="2026-01-16T11:45:00"/>
    <d v="2026-01-16T11:55:00"/>
    <d v="2026-01-16T12:10:00"/>
    <n v="5.17"/>
    <d v="2026-01-16T12:15:00"/>
    <d v="1899-12-30T05:10:00"/>
    <n v="5"/>
    <n v="10"/>
    <n v="310"/>
  </r>
  <r>
    <n v="225"/>
    <x v="0"/>
    <n v="1"/>
    <s v="SALA CIRURGICA 02"/>
    <d v="2026-01-15T17:30:00"/>
    <d v="2026-01-15T17:40:00"/>
    <d v="2026-01-15T17:50:00"/>
    <d v="2026-01-15T18:30:00"/>
    <d v="2026-01-15T18:40:00"/>
    <d v="2026-01-15T18:48:00"/>
    <n v="1.3"/>
    <d v="2026-01-15T18:58:00"/>
    <d v="1899-12-30T01:18:00"/>
    <n v="1"/>
    <n v="18"/>
    <n v="78"/>
  </r>
  <r>
    <n v="226"/>
    <x v="0"/>
    <n v="1"/>
    <s v="SALA CIRURGICA 03"/>
    <d v="2026-01-16T07:55:00"/>
    <d v="2026-01-16T08:20:00"/>
    <d v="2026-01-16T09:05:00"/>
    <d v="2026-01-16T11:37:00"/>
    <d v="2026-01-16T12:15:00"/>
    <d v="2026-01-16T12:30:00"/>
    <n v="4.58"/>
    <d v="2026-01-16T12:40:00"/>
    <d v="1899-12-30T04:35:00"/>
    <n v="4"/>
    <n v="35"/>
    <n v="275"/>
  </r>
  <r>
    <n v="227"/>
    <x v="0"/>
    <n v="1"/>
    <s v="SALA CIRURGICA 03"/>
    <d v="2026-01-16T07:55:00"/>
    <d v="2026-01-16T08:20:00"/>
    <d v="2026-01-16T09:05:00"/>
    <d v="2026-01-16T11:37:00"/>
    <d v="2026-01-16T12:15:00"/>
    <d v="2026-01-16T12:30:00"/>
    <n v="4.58"/>
    <d v="2026-01-16T12:40:00"/>
    <d v="1899-12-30T04:35:00"/>
    <n v="4"/>
    <n v="35"/>
    <n v="275"/>
  </r>
  <r>
    <n v="228"/>
    <x v="0"/>
    <n v="1"/>
    <s v="SALA CIRURGICA 01"/>
    <d v="2026-01-15T17:50:00"/>
    <d v="2026-01-15T18:00:00"/>
    <d v="2026-01-15T18:15:00"/>
    <d v="2026-01-15T18:25:00"/>
    <d v="2026-01-15T18:35:00"/>
    <d v="2026-01-15T18:40:00"/>
    <n v="0.83"/>
    <d v="2026-01-15T18:43:00"/>
    <d v="1899-12-30T00:50:00"/>
    <n v="0"/>
    <n v="50"/>
    <n v="50"/>
  </r>
  <r>
    <n v="229"/>
    <x v="1"/>
    <n v="1"/>
    <s v="SALA CIRURGICA 01"/>
    <d v="2026-01-15T19:30:00"/>
    <d v="2026-01-15T19:40:00"/>
    <d v="2026-01-15T19:50:00"/>
    <d v="2026-01-15T20:01:00"/>
    <d v="2026-01-15T20:11:00"/>
    <d v="2026-01-15T21:30:00"/>
    <n v="2"/>
    <d v="2026-01-15T21:40:00"/>
    <d v="1899-12-30T02:00:00"/>
    <n v="2"/>
    <n v="0"/>
    <n v="120"/>
  </r>
  <r>
    <n v="230"/>
    <x v="2"/>
    <n v="1"/>
    <s v="SALA CIRURGICA 01"/>
    <d v="2026-01-15T22:15:00"/>
    <d v="2026-01-15T22:25:00"/>
    <d v="2026-01-15T22:31:00"/>
    <d v="2026-01-15T23:11:00"/>
    <d v="2026-01-15T23:21:00"/>
    <d v="2026-01-15T23:30:00"/>
    <n v="1.25"/>
    <d v="2026-01-15T23:40:00"/>
    <d v="1899-12-30T01:15:00"/>
    <n v="1"/>
    <n v="15"/>
    <n v="75"/>
  </r>
  <r>
    <n v="231"/>
    <x v="0"/>
    <n v="1"/>
    <s v="SALA CIRURGICA 03"/>
    <d v="2026-01-16T01:30:00"/>
    <d v="2026-01-16T01:45:00"/>
    <d v="2026-01-16T01:50:00"/>
    <d v="2026-01-16T02:05:00"/>
    <d v="2026-01-16T02:10:00"/>
    <d v="2026-01-16T02:15:00"/>
    <n v="0.75"/>
    <d v="2026-01-16T02:25:00"/>
    <d v="1899-12-30T00:45:00"/>
    <n v="0"/>
    <n v="45"/>
    <n v="45"/>
  </r>
  <r>
    <n v="232"/>
    <x v="2"/>
    <n v="1"/>
    <s v="SALA CIRURGICA 01"/>
    <d v="2026-01-16T17:40:00"/>
    <d v="2026-01-16T17:50:00"/>
    <d v="2026-01-16T18:00:00"/>
    <d v="2026-01-16T19:12:00"/>
    <d v="2026-01-16T19:22:00"/>
    <d v="2026-01-16T19:30:00"/>
    <n v="1.83"/>
    <d v="2026-01-16T19:40:00"/>
    <d v="1899-12-30T01:50:00"/>
    <n v="1"/>
    <n v="50"/>
    <n v="110"/>
  </r>
  <r>
    <n v="233"/>
    <x v="0"/>
    <n v="1"/>
    <s v="SALA CIRURGICA 03"/>
    <d v="2026-01-16T13:55:00"/>
    <d v="2026-01-16T14:00:00"/>
    <d v="2026-01-16T14:10:00"/>
    <d v="2026-01-16T18:10:00"/>
    <d v="2026-01-16T18:20:00"/>
    <d v="2026-01-16T18:55:00"/>
    <n v="5"/>
    <d v="2026-01-16T19:05:00"/>
    <d v="1899-12-30T05:00:00"/>
    <n v="5"/>
    <n v="0"/>
    <n v="300"/>
  </r>
  <r>
    <n v="234"/>
    <x v="2"/>
    <n v="1"/>
    <s v="SALA CIRURGICA 03"/>
    <d v="2026-01-17T15:30:00"/>
    <d v="2026-01-17T15:40:00"/>
    <d v="2026-01-17T15:50:00"/>
    <d v="2026-01-17T17:20:00"/>
    <d v="2026-01-17T17:30:00"/>
    <d v="2026-01-17T17:35:00"/>
    <n v="2.08"/>
    <d v="2026-01-17T17:45:00"/>
    <d v="1899-12-30T02:05:00"/>
    <n v="2"/>
    <n v="5"/>
    <n v="125"/>
  </r>
  <r>
    <n v="235"/>
    <x v="0"/>
    <n v="1"/>
    <s v="SALA CIRURGICA 01"/>
    <d v="2026-01-16T15:07:00"/>
    <d v="2026-01-16T15:10:00"/>
    <d v="2026-01-16T15:15:00"/>
    <d v="2026-01-16T15:50:00"/>
    <d v="2026-01-16T16:00:00"/>
    <d v="2026-01-16T16:02:00"/>
    <n v="0.92"/>
    <d v="2026-01-16T16:12:00"/>
    <d v="1899-12-30T00:55:00"/>
    <n v="0"/>
    <n v="55"/>
    <n v="55"/>
  </r>
  <r>
    <n v="236"/>
    <x v="2"/>
    <n v="1"/>
    <s v="SALA CIRURGICA 05"/>
    <d v="2026-01-19T07:00:00"/>
    <d v="2026-01-19T08:30:00"/>
    <d v="2026-01-19T09:10:00"/>
    <d v="2026-01-19T12:00:00"/>
    <d v="2026-01-19T12:10:00"/>
    <d v="2026-01-19T12:30:00"/>
    <n v="5.5"/>
    <d v="2026-01-19T12:40:00"/>
    <d v="1899-12-30T05:30:00"/>
    <n v="5"/>
    <n v="30"/>
    <n v="330"/>
  </r>
  <r>
    <n v="237"/>
    <x v="2"/>
    <n v="1"/>
    <s v="SALA CIRURGICA 02"/>
    <d v="2026-01-19T07:00:00"/>
    <d v="2026-01-19T08:00:00"/>
    <d v="2026-01-19T08:30:00"/>
    <d v="2026-01-19T12:50:00"/>
    <d v="2026-01-19T13:00:00"/>
    <d v="2026-01-19T13:20:00"/>
    <n v="6.33"/>
    <d v="2026-01-19T13:25:00"/>
    <d v="1899-12-30T06:20:00"/>
    <n v="6"/>
    <n v="20"/>
    <n v="380"/>
  </r>
  <r>
    <n v="238"/>
    <x v="2"/>
    <n v="1"/>
    <s v="SALA CIRURGICA 01"/>
    <d v="2026-01-16T20:30:00"/>
    <d v="2026-01-16T20:45:00"/>
    <d v="2026-01-16T21:00:00"/>
    <d v="2026-01-16T23:30:00"/>
    <d v="2026-01-16T23:35:00"/>
    <d v="2026-01-16T23:36:00"/>
    <n v="3.1"/>
    <d v="2026-01-16T23:37:00"/>
    <d v="1899-12-30T03:06:00"/>
    <n v="3"/>
    <n v="6"/>
    <n v="186"/>
  </r>
  <r>
    <n v="239"/>
    <x v="0"/>
    <n v="1"/>
    <s v="SALA CIRURGICA 01"/>
    <d v="2026-01-16T22:10:00"/>
    <d v="2026-01-16T22:50:00"/>
    <d v="2026-01-16T23:05:00"/>
    <d v="2026-01-17T00:15:00"/>
    <d v="2026-01-17T00:19:00"/>
    <d v="2026-01-17T00:20:00"/>
    <n v="2.17"/>
    <d v="2026-01-17T00:22:00"/>
    <d v="1899-12-30T02:10:00"/>
    <n v="2"/>
    <n v="10"/>
    <n v="130"/>
  </r>
  <r>
    <n v="240"/>
    <x v="0"/>
    <n v="1"/>
    <s v="SALA CIRURGICA 01"/>
    <d v="2026-01-16T20:20:00"/>
    <d v="2026-01-16T20:25:00"/>
    <d v="2026-01-16T20:35:00"/>
    <d v="2026-01-16T21:25:00"/>
    <d v="2026-01-16T21:35:00"/>
    <d v="2026-01-16T21:40:00"/>
    <n v="1.33"/>
    <d v="2026-01-16T21:41:00"/>
    <d v="1899-12-30T01:20:00"/>
    <n v="1"/>
    <n v="20"/>
    <n v="80"/>
  </r>
  <r>
    <n v="241"/>
    <x v="0"/>
    <n v="1"/>
    <s v="SALA CIRURGICA 02"/>
    <d v="2026-01-17T08:20:00"/>
    <d v="2026-01-17T08:23:00"/>
    <d v="2026-01-17T08:35:00"/>
    <d v="2026-01-17T09:00:00"/>
    <d v="2026-01-17T09:10:00"/>
    <d v="2026-01-17T09:20:00"/>
    <n v="1"/>
    <d v="2026-01-17T09:30:00"/>
    <d v="1899-12-30T01:00:00"/>
    <n v="1"/>
    <n v="0"/>
    <n v="60"/>
  </r>
  <r>
    <n v="242"/>
    <x v="2"/>
    <n v="1"/>
    <s v="SALA CIRURGICA 01"/>
    <d v="2026-01-17T08:50:00"/>
    <d v="2026-01-17T09:11:00"/>
    <d v="2026-01-17T09:30:00"/>
    <d v="2026-01-17T14:30:00"/>
    <d v="2026-01-17T15:00:00"/>
    <d v="2026-01-17T15:40:00"/>
    <n v="6.83"/>
    <d v="2026-01-17T15:50:00"/>
    <d v="1899-12-30T06:50:00"/>
    <n v="6"/>
    <n v="50"/>
    <n v="410"/>
  </r>
  <r>
    <n v="243"/>
    <x v="1"/>
    <n v="1"/>
    <s v="SALA CIRURGICA 03"/>
    <d v="2026-01-17T11:45:00"/>
    <d v="2026-01-17T11:50:00"/>
    <d v="2026-01-17T12:05:00"/>
    <d v="2026-01-17T12:25:00"/>
    <d v="2026-01-17T12:30:00"/>
    <d v="2026-01-17T12:35:00"/>
    <n v="0.83"/>
    <d v="2026-01-17T12:40:00"/>
    <d v="1899-12-30T00:50:00"/>
    <n v="0"/>
    <n v="50"/>
    <n v="50"/>
  </r>
  <r>
    <n v="244"/>
    <x v="2"/>
    <n v="1"/>
    <s v="SALA CIRURGICA 05"/>
    <d v="2026-01-19T12:00:00"/>
    <d v="2026-01-19T12:10:00"/>
    <d v="2026-01-19T12:30:00"/>
    <d v="2026-01-19T13:24:00"/>
    <d v="2026-01-19T13:34:00"/>
    <d v="2026-01-19T13:40:00"/>
    <n v="1.67"/>
    <d v="2026-01-19T13:50:00"/>
    <d v="1899-12-30T01:40:00"/>
    <n v="1"/>
    <n v="40"/>
    <n v="100"/>
  </r>
  <r>
    <n v="245"/>
    <x v="1"/>
    <n v="1"/>
    <s v="SALA CIRURGICA 03"/>
    <d v="2026-01-19T11:40:00"/>
    <d v="2026-01-19T12:00:00"/>
    <d v="2026-01-19T12:30:00"/>
    <d v="2026-01-19T13:04:00"/>
    <d v="2026-01-19T13:20:00"/>
    <d v="2026-01-19T16:30:00"/>
    <n v="4.83"/>
    <d v="2026-01-19T16:40:00"/>
    <d v="1899-12-30T04:50:00"/>
    <n v="4"/>
    <n v="50"/>
    <n v="290"/>
  </r>
  <r>
    <n v="246"/>
    <x v="1"/>
    <n v="1"/>
    <s v="SALA CIRURGICA 01"/>
    <d v="2026-01-18T16:05:00"/>
    <d v="2026-01-18T16:23:00"/>
    <d v="2026-01-18T16:33:00"/>
    <d v="2026-01-18T17:55:00"/>
    <d v="2026-01-18T18:00:00"/>
    <d v="2026-01-18T18:01:00"/>
    <n v="1.93"/>
    <d v="2026-01-18T18:02:00"/>
    <d v="1899-12-30T01:56:00"/>
    <n v="1"/>
    <n v="56"/>
    <n v="116"/>
  </r>
  <r>
    <n v="247"/>
    <x v="1"/>
    <n v="1"/>
    <s v="SALA CIRURGICA 02"/>
    <d v="2026-01-18T13:40:00"/>
    <d v="2026-01-18T14:10:00"/>
    <d v="2026-01-18T14:45:00"/>
    <d v="2026-01-18T15:55:00"/>
    <d v="2026-01-18T16:05:00"/>
    <d v="2026-01-18T16:15:00"/>
    <n v="2.58"/>
    <d v="2026-01-18T16:25:00"/>
    <d v="1899-12-30T02:35:00"/>
    <n v="2"/>
    <n v="35"/>
    <n v="155"/>
  </r>
  <r>
    <n v="248"/>
    <x v="0"/>
    <n v="1"/>
    <s v="SALA CIRURGICA 03"/>
    <d v="2026-01-17T20:50:00"/>
    <d v="2026-01-17T20:55:00"/>
    <d v="2026-01-17T21:00:00"/>
    <d v="2026-01-17T21:52:00"/>
    <d v="2026-01-17T22:00:00"/>
    <d v="2026-01-17T22:01:00"/>
    <n v="1.18"/>
    <d v="2026-01-17T22:11:00"/>
    <d v="1899-12-30T01:11:00"/>
    <n v="1"/>
    <n v="11"/>
    <n v="71"/>
  </r>
  <r>
    <n v="249"/>
    <x v="0"/>
    <n v="1"/>
    <s v="SALA CIRURGICA 01"/>
    <d v="2026-01-18T09:00:00"/>
    <d v="2026-01-18T09:05:00"/>
    <d v="2026-01-18T09:40:00"/>
    <d v="2026-01-18T10:20:00"/>
    <d v="2026-01-18T10:25:00"/>
    <d v="2026-01-18T10:35:00"/>
    <n v="1.58"/>
    <d v="2026-01-18T10:55:00"/>
    <d v="1899-12-30T01:35:00"/>
    <n v="1"/>
    <n v="35"/>
    <n v="95"/>
  </r>
  <r>
    <n v="250"/>
    <x v="0"/>
    <n v="1"/>
    <s v="SALA CIRURGICA 02"/>
    <d v="2026-01-18T10:35:00"/>
    <d v="2026-01-18T10:43:00"/>
    <d v="2026-01-18T11:02:00"/>
    <d v="2026-01-18T11:30:00"/>
    <d v="2026-01-18T11:35:00"/>
    <d v="2026-01-18T11:55:00"/>
    <n v="1.33"/>
    <d v="2026-01-18T12:05:00"/>
    <d v="1899-12-30T01:20:00"/>
    <n v="1"/>
    <n v="20"/>
    <n v="80"/>
  </r>
  <r>
    <n v="251"/>
    <x v="0"/>
    <n v="1"/>
    <s v="SALA CIRURGICA 01"/>
    <d v="2026-01-18T11:55:00"/>
    <d v="2026-01-18T12:10:00"/>
    <d v="2026-01-18T12:30:00"/>
    <d v="2026-01-18T13:40:00"/>
    <d v="2026-01-18T13:50:00"/>
    <d v="2026-01-18T14:00:00"/>
    <n v="2.08"/>
    <d v="2026-01-18T14:10:00"/>
    <d v="1899-12-30T02:05:00"/>
    <n v="2"/>
    <n v="5"/>
    <n v="125"/>
  </r>
  <r>
    <n v="252"/>
    <x v="1"/>
    <n v="1"/>
    <s v="SALA CIRURGICA 06"/>
    <d v="2026-01-19T06:45:00"/>
    <d v="2026-01-19T07:45:00"/>
    <d v="2026-01-19T08:20:00"/>
    <d v="2026-01-19T10:05:00"/>
    <d v="2026-01-19T10:15:00"/>
    <d v="2026-01-19T10:40:00"/>
    <n v="3.92"/>
    <d v="2026-01-19T10:50:00"/>
    <d v="1899-12-30T03:55:00"/>
    <n v="3"/>
    <n v="55"/>
    <n v="235"/>
  </r>
  <r>
    <n v="253"/>
    <x v="0"/>
    <n v="1"/>
    <s v="SALA CIRURGICA 01"/>
    <d v="2026-01-19T10:13:00"/>
    <d v="2026-01-19T10:15:00"/>
    <d v="2026-01-19T10:20:00"/>
    <d v="2026-01-19T10:52:00"/>
    <d v="2026-01-19T11:02:00"/>
    <d v="2026-01-19T11:05:00"/>
    <n v="0.87"/>
    <d v="2026-01-19T11:15:00"/>
    <d v="1899-12-30T00:52:00"/>
    <n v="0"/>
    <n v="52"/>
    <n v="52"/>
  </r>
  <r>
    <n v="254"/>
    <x v="2"/>
    <n v="1"/>
    <s v="SALA CIRURGICA 01"/>
    <d v="2026-01-19T07:00:00"/>
    <d v="2026-01-19T08:00:00"/>
    <d v="2026-01-19T08:20:00"/>
    <d v="2026-01-19T09:14:00"/>
    <d v="2026-01-19T09:24:00"/>
    <d v="2026-01-19T09:30:00"/>
    <n v="2.5"/>
    <d v="2026-01-19T09:35:00"/>
    <d v="1899-12-30T02:30:00"/>
    <n v="2"/>
    <n v="30"/>
    <n v="150"/>
  </r>
  <r>
    <n v="255"/>
    <x v="2"/>
    <n v="1"/>
    <s v="SALA CIRURGICA 06"/>
    <d v="2026-01-19T11:40:00"/>
    <d v="2026-01-19T11:50:00"/>
    <d v="2026-01-19T12:05:00"/>
    <d v="2026-01-19T13:00:00"/>
    <d v="2026-01-19T13:10:00"/>
    <d v="2026-01-19T13:30:00"/>
    <n v="1.83"/>
    <d v="2026-01-19T13:40:00"/>
    <d v="1899-12-30T01:50:00"/>
    <n v="1"/>
    <n v="50"/>
    <n v="110"/>
  </r>
  <r>
    <n v="256"/>
    <x v="2"/>
    <n v="1"/>
    <s v="SALA CIRURGICA 03"/>
    <d v="2026-01-19T09:00:00"/>
    <d v="2026-01-19T09:20:00"/>
    <d v="2026-01-19T09:30:00"/>
    <d v="2026-01-19T10:00:00"/>
    <d v="2026-01-19T10:05:00"/>
    <d v="2026-01-19T10:10:00"/>
    <n v="1.17"/>
    <d v="2026-01-19T10:20:00"/>
    <d v="1899-12-30T01:10:00"/>
    <n v="1"/>
    <n v="10"/>
    <n v="70"/>
  </r>
  <r>
    <n v="257"/>
    <x v="2"/>
    <n v="1"/>
    <s v="SALA CIRURGICA 01"/>
    <d v="2026-01-18T17:55:00"/>
    <d v="2026-01-18T18:05:00"/>
    <d v="2026-01-18T18:20:00"/>
    <d v="2026-01-18T18:45:00"/>
    <d v="2026-01-18T18:50:00"/>
    <d v="2026-01-18T18:55:00"/>
    <n v="1"/>
    <d v="2026-01-18T18:56:00"/>
    <d v="1899-12-30T01:00:00"/>
    <n v="1"/>
    <n v="0"/>
    <n v="60"/>
  </r>
  <r>
    <n v="258"/>
    <x v="0"/>
    <n v="1"/>
    <s v="SALA CIRURGICA 01"/>
    <d v="2026-01-18T19:45:00"/>
    <d v="2026-01-18T20:03:00"/>
    <d v="2026-01-18T20:30:00"/>
    <d v="2026-01-18T22:04:00"/>
    <d v="2026-01-18T22:20:00"/>
    <d v="2026-01-18T23:20:00"/>
    <n v="3.58"/>
    <d v="2026-01-18T23:25:00"/>
    <d v="1899-12-30T03:35:00"/>
    <n v="3"/>
    <n v="35"/>
    <n v="215"/>
  </r>
  <r>
    <n v="259"/>
    <x v="2"/>
    <n v="1"/>
    <s v="SALA CIRURGICA 01"/>
    <d v="2026-01-18T23:50:00"/>
    <d v="2026-01-19T00:00:00"/>
    <d v="2026-01-19T00:15:00"/>
    <d v="2026-01-19T00:50:00"/>
    <d v="2026-01-19T01:00:00"/>
    <d v="2026-01-19T01:01:00"/>
    <n v="1.18"/>
    <d v="2026-01-19T01:11:00"/>
    <d v="1899-12-30T01:11:00"/>
    <n v="1"/>
    <n v="11"/>
    <n v="71"/>
  </r>
  <r>
    <n v="260"/>
    <x v="2"/>
    <n v="1"/>
    <s v="SALA CIRURGICA 01"/>
    <d v="2026-01-19T01:00:00"/>
    <d v="2026-01-19T01:10:00"/>
    <d v="2026-01-19T01:15:00"/>
    <d v="2026-01-19T01:40:00"/>
    <d v="2026-01-19T01:45:00"/>
    <d v="2026-01-19T01:46:00"/>
    <n v="0.77"/>
    <d v="2026-01-19T01:47:00"/>
    <d v="1899-12-30T00:46:00"/>
    <n v="0"/>
    <n v="46"/>
    <n v="46"/>
  </r>
  <r>
    <n v="261"/>
    <x v="2"/>
    <n v="1"/>
    <s v="SALA CIRURGICA 01"/>
    <d v="2026-01-19T17:10:00"/>
    <d v="2026-01-19T17:30:00"/>
    <d v="2026-01-19T17:50:00"/>
    <d v="2026-01-19T19:05:00"/>
    <d v="2026-01-19T19:20:00"/>
    <d v="2026-01-19T19:40:00"/>
    <n v="2.5"/>
    <d v="2026-01-19T19:50:00"/>
    <d v="1899-12-30T02:30:00"/>
    <n v="2"/>
    <n v="30"/>
    <n v="150"/>
  </r>
  <r>
    <n v="262"/>
    <x v="2"/>
    <n v="1"/>
    <s v="SALA CIRURGICA 01"/>
    <d v="2026-01-19T15:05:00"/>
    <d v="2026-01-19T15:10:00"/>
    <d v="2026-01-19T15:50:00"/>
    <d v="2026-01-19T16:27:00"/>
    <d v="2026-01-19T16:37:00"/>
    <d v="2026-01-19T16:40:00"/>
    <n v="1.58"/>
    <d v="2026-01-19T16:50:00"/>
    <d v="1899-12-30T01:35:00"/>
    <n v="1"/>
    <n v="35"/>
    <n v="95"/>
  </r>
  <r>
    <n v="263"/>
    <x v="0"/>
    <n v="1"/>
    <s v="SALA CIRURGICA 01"/>
    <d v="2026-01-19T14:10:00"/>
    <d v="2026-01-19T14:30:00"/>
    <d v="2026-01-19T15:00:00"/>
    <d v="2026-01-19T15:35:00"/>
    <d v="2026-01-19T15:45:00"/>
    <d v="2026-01-19T15:50:00"/>
    <n v="1.67"/>
    <d v="2026-01-19T16:00:00"/>
    <d v="1899-12-30T01:40:00"/>
    <n v="1"/>
    <n v="40"/>
    <n v="100"/>
  </r>
  <r>
    <n v="264"/>
    <x v="2"/>
    <n v="1"/>
    <s v="SALA CIRURGICA 05"/>
    <d v="2026-01-19T13:55:00"/>
    <d v="2026-01-19T14:05:00"/>
    <d v="2026-01-19T16:30:00"/>
    <d v="2026-01-19T20:20:00"/>
    <d v="2026-01-19T20:30:00"/>
    <d v="2026-01-19T20:37:00"/>
    <n v="6.7"/>
    <d v="2026-01-19T20:47:00"/>
    <d v="1899-12-30T06:42:00"/>
    <n v="6"/>
    <n v="42"/>
    <n v="402"/>
  </r>
  <r>
    <n v="265"/>
    <x v="1"/>
    <n v="1"/>
    <s v="SALA CIRURGICA 05"/>
    <d v="2026-01-19T13:55:00"/>
    <d v="2026-01-19T14:05:00"/>
    <d v="2026-01-19T16:30:00"/>
    <d v="2026-01-19T20:20:00"/>
    <d v="2026-01-19T20:30:00"/>
    <d v="2026-01-19T20:37:00"/>
    <n v="6.7"/>
    <d v="2026-01-19T20:47:00"/>
    <d v="1899-12-30T06:42:00"/>
    <n v="6"/>
    <n v="42"/>
    <n v="402"/>
  </r>
  <r>
    <n v="266"/>
    <x v="2"/>
    <n v="2"/>
    <s v="SALA CIRURGICA 06"/>
    <d v="2026-01-19T14:50:00"/>
    <d v="2026-01-19T15:20:00"/>
    <d v="2026-01-19T15:45:00"/>
    <d v="2026-01-19T19:51:00"/>
    <d v="2026-01-19T20:01:00"/>
    <d v="2026-01-19T21:25:00"/>
    <n v="6.58"/>
    <d v="2026-01-19T21:35:00"/>
    <d v="1899-12-30T06:35:00"/>
    <n v="6"/>
    <n v="35"/>
    <n v="395"/>
  </r>
  <r>
    <n v="267"/>
    <x v="1"/>
    <n v="1"/>
    <s v="SALA CIRURGICA 03"/>
    <d v="2026-01-20T13:40:00"/>
    <d v="2026-01-20T14:10:00"/>
    <d v="2026-01-20T14:50:00"/>
    <d v="2026-01-20T17:20:00"/>
    <d v="2026-01-20T17:50:00"/>
    <d v="2026-01-20T18:00:00"/>
    <n v="4.33"/>
    <d v="2026-01-20T18:05:00"/>
    <d v="1899-12-30T04:20:00"/>
    <n v="4"/>
    <n v="20"/>
    <n v="260"/>
  </r>
  <r>
    <n v="268"/>
    <x v="0"/>
    <n v="1"/>
    <s v="SALA CIRURGICA 01"/>
    <d v="2026-01-20T06:50:00"/>
    <d v="2026-01-20T07:40:00"/>
    <d v="2026-01-20T07:50:00"/>
    <d v="2026-01-20T08:15:00"/>
    <d v="2026-01-20T08:25:00"/>
    <d v="2026-01-20T09:40:00"/>
    <n v="2.83"/>
    <d v="2026-01-20T09:50:00"/>
    <d v="1899-12-30T02:50:00"/>
    <n v="2"/>
    <n v="50"/>
    <n v="170"/>
  </r>
  <r>
    <n v="269"/>
    <x v="1"/>
    <n v="1"/>
    <s v="SALA CIRURGICA 05"/>
    <d v="2026-01-20T16:40:00"/>
    <d v="2026-01-20T16:57:00"/>
    <d v="2026-01-20T18:22:00"/>
    <d v="2026-01-20T20:33:00"/>
    <d v="2026-01-20T20:45:00"/>
    <d v="2026-01-20T21:00:00"/>
    <n v="4.33"/>
    <d v="2026-01-20T21:10:00"/>
    <d v="1899-12-30T04:20:00"/>
    <n v="4"/>
    <n v="20"/>
    <n v="260"/>
  </r>
  <r>
    <n v="270"/>
    <x v="0"/>
    <n v="1"/>
    <s v="SALA CIRURGICA 02"/>
    <d v="2026-01-20T11:35:00"/>
    <d v="2026-01-20T12:00:00"/>
    <d v="2026-01-20T13:00:00"/>
    <d v="2026-01-20T14:40:00"/>
    <d v="2026-01-20T15:00:00"/>
    <d v="2026-01-20T15:15:00"/>
    <n v="3.67"/>
    <d v="2026-01-20T15:25:00"/>
    <d v="1899-12-30T03:40:00"/>
    <n v="3"/>
    <n v="40"/>
    <n v="220"/>
  </r>
  <r>
    <n v="271"/>
    <x v="0"/>
    <n v="1"/>
    <s v="SALA CIRURGICA 04"/>
    <d v="2026-01-20T06:00:00"/>
    <d v="2026-01-20T06:10:00"/>
    <d v="2026-01-20T06:15:00"/>
    <d v="2026-01-20T06:25:00"/>
    <d v="2026-01-20T06:35:00"/>
    <d v="2026-01-20T07:00:00"/>
    <n v="1"/>
    <d v="2026-01-20T07:10:00"/>
    <d v="1899-12-30T01:00:00"/>
    <n v="1"/>
    <n v="0"/>
    <n v="60"/>
  </r>
  <r>
    <n v="272"/>
    <x v="0"/>
    <n v="1"/>
    <s v="SALA CIRURGICA 01"/>
    <d v="2026-01-20T15:45:00"/>
    <d v="2026-01-20T16:10:00"/>
    <d v="2026-01-20T16:40:00"/>
    <d v="2026-01-20T20:40:00"/>
    <d v="2026-01-20T21:00:00"/>
    <d v="2026-01-20T21:01:00"/>
    <n v="5.27"/>
    <d v="2026-01-20T21:02:00"/>
    <d v="1899-12-30T05:16:00"/>
    <n v="5"/>
    <n v="16"/>
    <n v="316"/>
  </r>
  <r>
    <n v="273"/>
    <x v="0"/>
    <n v="1"/>
    <s v="SALA CIRURGICA 02"/>
    <d v="2026-01-20T07:35:00"/>
    <d v="2026-01-20T08:10:00"/>
    <d v="2026-01-20T08:52:00"/>
    <d v="2026-01-20T10:47:00"/>
    <d v="2026-01-20T10:58:00"/>
    <d v="2026-01-20T11:00:00"/>
    <n v="3.42"/>
    <d v="2026-01-20T11:05:00"/>
    <d v="1899-12-30T03:25:00"/>
    <n v="3"/>
    <n v="25"/>
    <n v="205"/>
  </r>
  <r>
    <n v="274"/>
    <x v="0"/>
    <n v="1"/>
    <s v="SALA CIRURGICA 01"/>
    <d v="2026-01-20T11:15:00"/>
    <d v="2026-01-20T11:30:00"/>
    <d v="2026-01-20T12:00:00"/>
    <d v="2026-01-20T14:18:00"/>
    <d v="2026-01-20T14:28:00"/>
    <d v="2026-01-20T14:40:00"/>
    <n v="3.42"/>
    <d v="2026-01-20T14:50:00"/>
    <d v="1899-12-30T03:25:00"/>
    <n v="3"/>
    <n v="25"/>
    <n v="205"/>
  </r>
  <r>
    <n v="275"/>
    <x v="1"/>
    <n v="1"/>
    <s v="SALA CIRURGICA 03"/>
    <d v="2026-01-20T11:14:00"/>
    <d v="2026-01-20T11:25:00"/>
    <d v="2026-01-20T11:40:00"/>
    <d v="2026-01-20T12:00:00"/>
    <d v="2026-01-20T12:10:00"/>
    <d v="2026-01-20T12:25:00"/>
    <n v="1.18"/>
    <d v="2026-01-20T12:35:00"/>
    <d v="1899-12-30T01:11:00"/>
    <n v="1"/>
    <n v="11"/>
    <n v="71"/>
  </r>
  <r>
    <n v="276"/>
    <x v="2"/>
    <n v="1"/>
    <s v="SALA CIRURGICA 06"/>
    <d v="2026-01-20T10:30:00"/>
    <d v="2026-01-20T10:40:00"/>
    <d v="2026-01-20T10:50:00"/>
    <d v="2026-01-20T11:15:00"/>
    <d v="2026-01-20T11:25:00"/>
    <d v="2026-01-20T11:49:00"/>
    <n v="1.32"/>
    <d v="2026-01-20T11:50:00"/>
    <d v="1899-12-30T01:19:00"/>
    <n v="1"/>
    <n v="19"/>
    <n v="79"/>
  </r>
  <r>
    <n v="277"/>
    <x v="2"/>
    <n v="1"/>
    <s v="SALA CIRURGICA 06"/>
    <d v="2026-01-20T16:28:00"/>
    <d v="2026-01-20T16:35:00"/>
    <d v="2026-01-20T17:00:00"/>
    <d v="2026-01-20T17:30:00"/>
    <d v="2026-01-20T17:40:00"/>
    <d v="2026-01-20T17:50:00"/>
    <n v="1.37"/>
    <d v="2026-01-20T17:54:00"/>
    <d v="1899-12-30T01:22:00"/>
    <n v="1"/>
    <n v="22"/>
    <n v="82"/>
  </r>
  <r>
    <n v="278"/>
    <x v="2"/>
    <n v="1"/>
    <s v="SALA CIRURGICA 02"/>
    <d v="2026-01-20T06:55:00"/>
    <d v="2026-01-20T07:30:00"/>
    <d v="2026-01-20T08:20:00"/>
    <d v="2026-01-20T10:20:00"/>
    <d v="2026-01-20T10:25:00"/>
    <d v="2026-01-20T10:40:00"/>
    <n v="3.75"/>
    <d v="2026-01-20T10:45:00"/>
    <d v="1899-12-30T03:45:00"/>
    <n v="3"/>
    <n v="45"/>
    <n v="225"/>
  </r>
  <r>
    <n v="279"/>
    <x v="1"/>
    <n v="1"/>
    <s v="SALA CIRURGICA 01"/>
    <d v="2026-01-20T09:05:00"/>
    <d v="2026-01-20T09:20:00"/>
    <d v="2026-01-20T09:50:00"/>
    <d v="2026-01-20T10:26:00"/>
    <d v="2026-01-20T10:30:00"/>
    <d v="2026-01-20T15:50:00"/>
    <n v="6.75"/>
    <d v="2026-01-20T16:00:00"/>
    <d v="1899-12-30T06:45:00"/>
    <n v="6"/>
    <n v="45"/>
    <n v="405"/>
  </r>
  <r>
    <n v="280"/>
    <x v="1"/>
    <n v="1"/>
    <s v="SALA CIRURGICA 02"/>
    <d v="2026-01-20T16:05:00"/>
    <d v="2026-01-20T16:30:00"/>
    <d v="2026-01-20T16:50:00"/>
    <d v="2026-01-20T19:20:00"/>
    <d v="2026-01-20T19:25:00"/>
    <d v="2026-01-20T19:30:00"/>
    <n v="3.42"/>
    <d v="2026-01-20T19:35:00"/>
    <d v="1899-12-30T03:25:00"/>
    <n v="3"/>
    <n v="25"/>
    <n v="205"/>
  </r>
  <r>
    <n v="281"/>
    <x v="1"/>
    <n v="1"/>
    <s v="SALA CIRURGICA 06"/>
    <d v="2026-01-20T12:50:00"/>
    <d v="2026-01-20T13:10:00"/>
    <d v="2026-01-20T13:25:00"/>
    <d v="2026-01-20T14:40:00"/>
    <d v="2026-01-20T15:00:00"/>
    <d v="2026-01-20T15:25:00"/>
    <n v="2.58"/>
    <d v="2026-01-20T15:28:00"/>
    <d v="1899-12-30T02:35:00"/>
    <n v="2"/>
    <n v="35"/>
    <n v="155"/>
  </r>
  <r>
    <n v="282"/>
    <x v="0"/>
    <n v="1"/>
    <s v="SALA CIRURGICA 04"/>
    <d v="2026-01-22T07:00:00"/>
    <d v="2026-01-22T07:40:00"/>
    <d v="2026-01-22T08:10:00"/>
    <d v="2026-01-22T10:08:00"/>
    <d v="2026-01-22T10:18:00"/>
    <d v="2026-01-22T10:20:00"/>
    <n v="3.33"/>
    <d v="2026-01-22T10:30:00"/>
    <d v="1899-12-30T03:20:00"/>
    <n v="3"/>
    <n v="20"/>
    <n v="200"/>
  </r>
  <r>
    <n v="283"/>
    <x v="0"/>
    <n v="1"/>
    <s v="SALA CIRURGICA 03"/>
    <d v="2026-02-03T08:02:00"/>
    <d v="2026-02-03T08:15:00"/>
    <d v="2026-02-03T08:55:00"/>
    <d v="2026-02-03T09:50:00"/>
    <d v="2026-02-03T10:00:00"/>
    <d v="2026-02-03T10:10:00"/>
    <n v="2.13"/>
    <d v="2026-02-03T10:20:00"/>
    <d v="1899-12-30T02:08:00"/>
    <n v="2"/>
    <n v="8"/>
    <n v="128"/>
  </r>
  <r>
    <n v="284"/>
    <x v="0"/>
    <n v="1"/>
    <s v="SALA CIRURGICA 05"/>
    <d v="2026-01-21T14:25:00"/>
    <d v="2026-01-21T14:30:00"/>
    <d v="2026-01-21T15:20:00"/>
    <d v="2026-01-21T17:15:00"/>
    <d v="2026-01-21T17:25:00"/>
    <d v="2026-01-21T17:30:00"/>
    <n v="3.08"/>
    <d v="2026-01-21T17:40:00"/>
    <d v="1899-12-30T03:05:00"/>
    <n v="3"/>
    <n v="5"/>
    <n v="185"/>
  </r>
  <r>
    <n v="285"/>
    <x v="1"/>
    <n v="1"/>
    <s v="SALA CIRURGICA 06"/>
    <d v="2026-01-21T07:40:00"/>
    <d v="2026-01-21T08:00:00"/>
    <d v="2026-01-21T08:30:00"/>
    <d v="2026-01-21T09:30:00"/>
    <d v="2026-01-21T09:40:00"/>
    <d v="2026-01-21T10:10:00"/>
    <n v="2.5"/>
    <d v="2026-01-21T10:20:00"/>
    <d v="1899-12-30T02:30:00"/>
    <n v="2"/>
    <n v="30"/>
    <n v="150"/>
  </r>
  <r>
    <n v="286"/>
    <x v="0"/>
    <n v="1"/>
    <s v="SALA CIRURGICA 06"/>
    <d v="2026-02-03T08:00:00"/>
    <d v="2026-02-03T08:05:00"/>
    <d v="2026-02-03T08:15:00"/>
    <d v="2026-02-03T08:58:00"/>
    <d v="2026-02-03T09:00:00"/>
    <d v="2026-02-03T09:03:00"/>
    <n v="1.05"/>
    <d v="2026-02-03T09:04:00"/>
    <d v="1899-12-30T01:03:00"/>
    <n v="1"/>
    <n v="3"/>
    <n v="63"/>
  </r>
  <r>
    <n v="287"/>
    <x v="1"/>
    <n v="1"/>
    <s v="SALA CIRURGICA 02"/>
    <d v="2026-01-21T14:00:00"/>
    <d v="2026-01-21T14:10:00"/>
    <d v="2026-01-21T14:20:00"/>
    <d v="2026-01-21T15:00:00"/>
    <d v="2026-01-21T15:10:00"/>
    <d v="2026-01-21T15:20:00"/>
    <n v="1.33"/>
    <d v="2026-01-21T15:30:00"/>
    <d v="1899-12-30T01:20:00"/>
    <n v="1"/>
    <n v="20"/>
    <n v="80"/>
  </r>
  <r>
    <n v="288"/>
    <x v="1"/>
    <n v="1"/>
    <s v="SALA CIRURGICA 02"/>
    <d v="2026-01-21T06:58:00"/>
    <d v="2026-01-21T08:10:00"/>
    <d v="2026-01-21T08:35:00"/>
    <d v="2026-01-21T09:05:00"/>
    <d v="2026-01-21T09:15:00"/>
    <d v="2026-01-21T09:20:00"/>
    <n v="2.37"/>
    <d v="2026-01-21T09:30:00"/>
    <d v="1899-12-30T02:22:00"/>
    <n v="2"/>
    <n v="22"/>
    <n v="142"/>
  </r>
  <r>
    <n v="289"/>
    <x v="1"/>
    <n v="1"/>
    <s v="SALA CIRURGICA 01"/>
    <d v="2026-01-21T07:10:00"/>
    <d v="2026-01-21T07:35:00"/>
    <d v="2026-01-21T08:30:00"/>
    <d v="2026-01-21T10:37:00"/>
    <d v="2026-01-21T11:00:00"/>
    <d v="2026-01-21T11:05:00"/>
    <n v="3.92"/>
    <d v="2026-01-21T11:10:00"/>
    <d v="1899-12-30T03:55:00"/>
    <n v="3"/>
    <n v="55"/>
    <n v="235"/>
  </r>
  <r>
    <n v="290"/>
    <x v="1"/>
    <n v="1"/>
    <s v="SALA CIRURGICA 02"/>
    <d v="2026-01-23T07:00:00"/>
    <d v="2026-01-23T08:00:00"/>
    <d v="2026-01-23T09:00:00"/>
    <d v="2026-01-23T15:21:00"/>
    <d v="2026-01-23T16:40:00"/>
    <d v="2026-01-23T16:50:00"/>
    <n v="9.83"/>
    <d v="2026-01-23T17:00:00"/>
    <d v="1899-12-30T09:50:00"/>
    <n v="9"/>
    <n v="50"/>
    <n v="590"/>
  </r>
  <r>
    <n v="291"/>
    <x v="2"/>
    <n v="1"/>
    <s v="SALA CIRURGICA 01"/>
    <d v="2026-01-20T21:20:00"/>
    <d v="2026-01-20T21:30:00"/>
    <d v="2026-01-20T21:40:00"/>
    <d v="2026-01-20T22:21:00"/>
    <d v="2026-01-20T22:31:00"/>
    <d v="2026-01-20T22:35:00"/>
    <n v="1.25"/>
    <d v="2026-01-20T22:45:00"/>
    <d v="1899-12-30T01:15:00"/>
    <n v="1"/>
    <n v="15"/>
    <n v="75"/>
  </r>
  <r>
    <n v="292"/>
    <x v="1"/>
    <n v="1"/>
    <s v="SALA CIRURGICA 03"/>
    <d v="2026-01-20T21:55:00"/>
    <d v="2026-01-20T22:00:00"/>
    <d v="2026-01-20T22:10:00"/>
    <d v="2026-01-20T23:20:00"/>
    <d v="2026-01-20T23:50:00"/>
    <d v="2026-01-21T17:10:00"/>
    <n v="19.25"/>
    <d v="2026-01-21T17:20:00"/>
    <d v="1899-12-30T19:15:00"/>
    <n v="19"/>
    <n v="15"/>
    <n v="1155"/>
  </r>
  <r>
    <n v="293"/>
    <x v="1"/>
    <n v="1"/>
    <s v="SALA CIRURGICA 05"/>
    <d v="2026-01-20T23:20:00"/>
    <d v="2026-01-20T23:30:00"/>
    <d v="2026-01-20T23:45:00"/>
    <d v="2026-01-21T01:30:00"/>
    <d v="2026-01-21T02:10:00"/>
    <d v="2026-01-21T10:00:00"/>
    <n v="10.67"/>
    <d v="2026-01-21T10:10:00"/>
    <d v="1899-12-30T10:40:00"/>
    <n v="10"/>
    <n v="40"/>
    <n v="640"/>
  </r>
  <r>
    <n v="294"/>
    <x v="2"/>
    <n v="1"/>
    <s v="SALA CIRURGICA 01"/>
    <d v="2026-01-20T22:35:00"/>
    <d v="2026-01-20T22:40:00"/>
    <d v="2026-01-20T23:00:00"/>
    <d v="2026-01-21T00:30:00"/>
    <d v="2026-01-21T01:00:00"/>
    <d v="2026-01-21T01:40:00"/>
    <n v="3.08"/>
    <d v="2026-01-21T01:50:00"/>
    <d v="1899-12-30T03:05:00"/>
    <n v="3"/>
    <n v="5"/>
    <n v="185"/>
  </r>
  <r>
    <n v="295"/>
    <x v="2"/>
    <n v="1"/>
    <s v="SALA CIRURGICA 02"/>
    <d v="2026-01-21T10:25:00"/>
    <d v="2026-01-21T10:30:00"/>
    <d v="2026-01-21T11:20:00"/>
    <d v="2026-01-21T12:10:00"/>
    <d v="2026-01-21T12:20:00"/>
    <d v="2026-01-21T12:30:00"/>
    <n v="2.08"/>
    <d v="2026-01-21T12:40:00"/>
    <d v="1899-12-30T02:05:00"/>
    <n v="2"/>
    <n v="5"/>
    <n v="125"/>
  </r>
  <r>
    <n v="296"/>
    <x v="1"/>
    <n v="1"/>
    <s v="SALA CIRURGICA 05"/>
    <d v="2026-01-21T10:45:00"/>
    <d v="2026-01-21T10:55:00"/>
    <d v="2026-01-21T11:15:00"/>
    <d v="2026-01-21T12:50:00"/>
    <d v="2026-01-21T12:55:00"/>
    <d v="2026-01-21T13:05:00"/>
    <n v="2.33"/>
    <d v="2026-01-21T13:15:00"/>
    <d v="1899-12-30T02:20:00"/>
    <n v="2"/>
    <n v="20"/>
    <n v="140"/>
  </r>
  <r>
    <n v="297"/>
    <x v="2"/>
    <n v="1"/>
    <s v="SALA CIRURGICA 01"/>
    <d v="2026-01-21T18:00:00"/>
    <d v="2026-01-21T18:10:00"/>
    <d v="2026-01-21T18:15:00"/>
    <d v="2026-01-21T18:25:00"/>
    <d v="2026-01-21T18:35:00"/>
    <d v="2026-01-21T19:15:00"/>
    <n v="1.25"/>
    <d v="2026-01-21T19:17:00"/>
    <d v="1899-12-30T01:15:00"/>
    <n v="1"/>
    <n v="15"/>
    <n v="75"/>
  </r>
  <r>
    <n v="298"/>
    <x v="0"/>
    <n v="1"/>
    <s v="SALA CIRURGICA 06"/>
    <d v="2026-01-21T11:35:00"/>
    <d v="2026-01-21T12:00:00"/>
    <d v="2026-01-21T12:30:00"/>
    <d v="2026-01-21T13:00:00"/>
    <d v="2026-01-21T13:10:00"/>
    <d v="2026-01-21T13:30:00"/>
    <n v="1.92"/>
    <d v="2026-01-21T13:40:00"/>
    <d v="1899-12-30T01:55:00"/>
    <n v="1"/>
    <n v="55"/>
    <n v="115"/>
  </r>
  <r>
    <n v="299"/>
    <x v="0"/>
    <n v="1"/>
    <s v="SALA CIRURGICA 01"/>
    <d v="2026-01-21T12:10:00"/>
    <d v="2026-01-21T12:20:00"/>
    <d v="2026-01-21T13:00:00"/>
    <d v="2026-01-21T16:25:00"/>
    <d v="2026-01-21T16:35:00"/>
    <d v="2026-01-21T16:40:00"/>
    <n v="4.5"/>
    <d v="2026-01-21T16:50:00"/>
    <d v="1899-12-30T04:30:00"/>
    <n v="4"/>
    <n v="30"/>
    <n v="270"/>
  </r>
  <r>
    <n v="300"/>
    <x v="1"/>
    <n v="1"/>
    <s v="SALA CIRURGICA 06"/>
    <d v="2026-01-22T09:40:00"/>
    <d v="2026-01-22T10:30:00"/>
    <d v="2026-01-22T11:00:00"/>
    <d v="2026-01-22T12:20:00"/>
    <d v="2026-01-22T12:25:00"/>
    <d v="2026-01-22T12:30:00"/>
    <n v="2.83"/>
    <d v="2026-01-22T12:31:00"/>
    <d v="1899-12-30T02:50:00"/>
    <n v="2"/>
    <n v="50"/>
    <n v="170"/>
  </r>
  <r>
    <n v="301"/>
    <x v="2"/>
    <n v="1"/>
    <s v="SALA CIRURGICA 01"/>
    <d v="2026-01-22T14:40:00"/>
    <d v="2026-01-22T15:40:00"/>
    <d v="2026-01-22T16:00:00"/>
    <d v="2026-01-22T16:30:00"/>
    <d v="2026-01-22T16:40:00"/>
    <d v="2026-01-22T16:50:00"/>
    <n v="2.17"/>
    <d v="2026-01-22T17:00:00"/>
    <d v="1899-12-30T02:10:00"/>
    <n v="2"/>
    <n v="10"/>
    <n v="130"/>
  </r>
  <r>
    <n v="302"/>
    <x v="0"/>
    <n v="1"/>
    <s v="SALA CIRURGICA 02"/>
    <d v="2026-01-22T08:00:00"/>
    <d v="2026-01-22T08:05:00"/>
    <d v="2026-01-22T08:10:00"/>
    <d v="2026-01-22T08:20:00"/>
    <d v="2026-01-22T08:25:00"/>
    <d v="2026-01-22T08:40:00"/>
    <n v="0.67"/>
    <d v="2026-01-22T08:50:00"/>
    <d v="1899-12-30T00:40:00"/>
    <n v="0"/>
    <n v="40"/>
    <n v="40"/>
  </r>
  <r>
    <n v="303"/>
    <x v="2"/>
    <n v="1"/>
    <s v="SALA CIRURGICA 03"/>
    <d v="2026-01-22T09:08:00"/>
    <d v="2026-01-22T09:25:00"/>
    <d v="2026-01-22T10:15:00"/>
    <d v="2026-01-22T13:39:00"/>
    <d v="2026-01-22T13:49:00"/>
    <d v="2026-01-22T13:55:00"/>
    <n v="4.78"/>
    <d v="2026-01-22T14:05:00"/>
    <d v="1899-12-30T04:47:00"/>
    <n v="4"/>
    <n v="47"/>
    <n v="287"/>
  </r>
  <r>
    <n v="304"/>
    <x v="1"/>
    <n v="1"/>
    <s v="SALA CIRURGICA 04"/>
    <d v="2026-01-22T13:30:00"/>
    <d v="2026-01-22T13:40:00"/>
    <d v="2026-01-22T15:10:00"/>
    <d v="2026-01-22T17:15:00"/>
    <d v="2026-01-22T18:00:00"/>
    <d v="2026-01-22T18:20:00"/>
    <n v="4.83"/>
    <d v="2026-01-22T18:30:00"/>
    <d v="1899-12-30T04:50:00"/>
    <n v="4"/>
    <n v="50"/>
    <n v="290"/>
  </r>
  <r>
    <n v="305"/>
    <x v="1"/>
    <n v="1"/>
    <s v="SALA CIRURGICA 01"/>
    <d v="2026-01-22T07:30:00"/>
    <d v="2026-01-22T08:00:00"/>
    <d v="2026-01-22T08:35:00"/>
    <d v="2026-01-22T11:20:00"/>
    <d v="2026-01-22T11:30:00"/>
    <d v="2026-01-22T11:50:00"/>
    <n v="4.33"/>
    <d v="2026-01-22T12:00:00"/>
    <d v="1899-12-30T04:20:00"/>
    <n v="4"/>
    <n v="20"/>
    <n v="260"/>
  </r>
  <r>
    <n v="306"/>
    <x v="0"/>
    <n v="1"/>
    <s v="SALA CIRURGICA 01"/>
    <d v="2026-01-21T16:30:00"/>
    <d v="2026-01-21T16:40:00"/>
    <d v="2026-01-21T16:50:00"/>
    <d v="2026-01-21T17:15:00"/>
    <d v="2026-01-21T17:25:00"/>
    <d v="2026-01-21T17:35:00"/>
    <n v="1.08"/>
    <d v="2026-01-21T17:45:00"/>
    <d v="1899-12-30T01:05:00"/>
    <n v="1"/>
    <n v="5"/>
    <n v="65"/>
  </r>
  <r>
    <n v="307"/>
    <x v="2"/>
    <n v="1"/>
    <s v="SALA CIRURGICA 02"/>
    <d v="2026-01-22T15:20:00"/>
    <d v="2026-01-22T15:50:00"/>
    <d v="2026-01-22T16:25:00"/>
    <d v="2026-01-22T18:49:00"/>
    <d v="2026-01-22T19:10:00"/>
    <d v="2026-01-22T19:15:00"/>
    <n v="3.92"/>
    <d v="2026-01-22T19:25:00"/>
    <d v="1899-12-30T03:55:00"/>
    <n v="3"/>
    <n v="55"/>
    <n v="235"/>
  </r>
  <r>
    <n v="308"/>
    <x v="1"/>
    <n v="1"/>
    <s v="SALA CIRURGICA 03"/>
    <d v="2026-01-22T08:35:00"/>
    <d v="2026-01-22T08:45:00"/>
    <d v="2026-01-22T09:05:00"/>
    <d v="2026-01-22T11:40:00"/>
    <d v="2026-01-22T11:50:00"/>
    <d v="2026-01-22T12:10:00"/>
    <n v="3.58"/>
    <d v="2026-01-22T12:20:00"/>
    <d v="1899-12-30T03:35:00"/>
    <n v="3"/>
    <n v="35"/>
    <n v="215"/>
  </r>
  <r>
    <n v="309"/>
    <x v="0"/>
    <n v="1"/>
    <s v="SALA CIRURGICA 01"/>
    <d v="2026-01-22T13:15:00"/>
    <d v="2026-01-22T13:20:00"/>
    <d v="2026-01-22T13:50:00"/>
    <d v="2026-01-22T14:30:00"/>
    <d v="2026-01-22T14:40:00"/>
    <d v="2026-01-22T15:10:00"/>
    <n v="1.92"/>
    <d v="2026-01-22T15:20:00"/>
    <d v="1899-12-30T01:55:00"/>
    <n v="1"/>
    <n v="55"/>
    <n v="115"/>
  </r>
  <r>
    <n v="310"/>
    <x v="0"/>
    <n v="1"/>
    <s v="SALA CIRURGICA 04"/>
    <d v="2026-01-23T13:25:00"/>
    <d v="2026-01-23T14:10:00"/>
    <d v="2026-01-23T15:35:00"/>
    <d v="2026-01-23T18:46:00"/>
    <d v="2026-01-23T19:00:00"/>
    <d v="2026-01-23T21:26:00"/>
    <n v="8.02"/>
    <d v="2026-01-23T21:36:00"/>
    <d v="1899-12-30T08:01:00"/>
    <n v="8"/>
    <n v="1"/>
    <n v="481"/>
  </r>
  <r>
    <n v="311"/>
    <x v="2"/>
    <n v="1"/>
    <s v="SALA CIRURGICA 03"/>
    <d v="2026-01-23T12:15:00"/>
    <d v="2026-01-23T12:25:00"/>
    <d v="2026-01-23T13:00:00"/>
    <d v="2026-01-23T15:40:00"/>
    <d v="2026-01-23T15:55:00"/>
    <d v="2026-01-23T16:10:00"/>
    <n v="3.92"/>
    <d v="2026-01-23T16:20:00"/>
    <d v="1899-12-30T03:55:00"/>
    <n v="3"/>
    <n v="55"/>
    <n v="235"/>
  </r>
  <r>
    <n v="312"/>
    <x v="1"/>
    <n v="1"/>
    <s v="SALA CIRURGICA 05"/>
    <d v="2026-01-23T07:00:00"/>
    <d v="2026-01-23T07:50:00"/>
    <d v="2026-01-23T08:34:00"/>
    <d v="2026-01-23T10:35:00"/>
    <d v="2026-01-23T10:45:00"/>
    <d v="2026-01-23T10:50:00"/>
    <n v="3.83"/>
    <d v="2026-01-23T11:00:00"/>
    <d v="1899-12-30T03:50:00"/>
    <n v="3"/>
    <n v="50"/>
    <n v="230"/>
  </r>
  <r>
    <n v="313"/>
    <x v="1"/>
    <n v="1"/>
    <s v="SALA CIRURGICA 05"/>
    <d v="2026-01-22T14:50:00"/>
    <d v="2026-01-22T14:55:00"/>
    <d v="2026-01-22T15:40:00"/>
    <d v="2026-01-22T17:00:00"/>
    <d v="2026-01-22T17:15:00"/>
    <d v="2026-01-22T18:10:00"/>
    <n v="3.33"/>
    <d v="2026-01-22T18:15:00"/>
    <d v="1899-12-30T03:20:00"/>
    <n v="3"/>
    <n v="20"/>
    <n v="200"/>
  </r>
  <r>
    <n v="314"/>
    <x v="2"/>
    <n v="1"/>
    <s v="SALA CIRURGICA 06"/>
    <d v="2026-01-23T06:55:00"/>
    <d v="2026-01-23T08:20:00"/>
    <d v="2026-01-23T08:33:00"/>
    <d v="2026-01-23T09:15:00"/>
    <d v="2026-01-23T09:20:00"/>
    <d v="2026-01-23T09:25:00"/>
    <n v="2.5"/>
    <d v="2026-01-23T09:35:00"/>
    <d v="1899-12-30T02:30:00"/>
    <n v="2"/>
    <n v="30"/>
    <n v="150"/>
  </r>
  <r>
    <n v="315"/>
    <x v="1"/>
    <n v="1"/>
    <s v="SALA CIRURGICA 05"/>
    <d v="2026-01-23T09:00:00"/>
    <d v="2026-01-23T09:10:00"/>
    <d v="2026-01-23T09:15:00"/>
    <d v="2026-01-23T12:30:00"/>
    <d v="2026-01-23T12:40:00"/>
    <d v="2026-01-23T13:00:00"/>
    <n v="4"/>
    <d v="2026-01-23T13:10:00"/>
    <d v="1899-12-30T04:00:00"/>
    <n v="4"/>
    <n v="0"/>
    <n v="240"/>
  </r>
  <r>
    <n v="316"/>
    <x v="2"/>
    <n v="1"/>
    <s v="SALA CIRURGICA 06"/>
    <d v="2026-01-23T17:25:00"/>
    <d v="2026-01-23T18:10:00"/>
    <d v="2026-01-23T19:00:00"/>
    <d v="2026-01-23T22:52:00"/>
    <d v="2026-01-23T23:02:00"/>
    <d v="2026-01-24T00:55:00"/>
    <n v="7.5"/>
    <d v="2026-01-24T01:05:00"/>
    <d v="1899-12-30T07:30:00"/>
    <n v="7"/>
    <n v="30"/>
    <n v="450"/>
  </r>
  <r>
    <n v="317"/>
    <x v="0"/>
    <n v="1"/>
    <s v="SALA CIRURGICA 03"/>
    <d v="2026-01-23T08:00:00"/>
    <d v="2026-01-23T08:40:00"/>
    <d v="2026-01-23T08:55:00"/>
    <d v="2026-01-23T10:35:00"/>
    <d v="2026-01-23T10:45:00"/>
    <d v="2026-01-23T10:50:00"/>
    <n v="2.83"/>
    <d v="2026-01-23T11:00:00"/>
    <d v="1899-12-30T02:50:00"/>
    <n v="2"/>
    <n v="50"/>
    <n v="170"/>
  </r>
  <r>
    <n v="318"/>
    <x v="1"/>
    <n v="1"/>
    <s v="SALA CIRURGICA 01"/>
    <d v="2026-01-22T20:20:00"/>
    <d v="2026-01-22T20:30:00"/>
    <d v="2026-01-22T20:45:00"/>
    <d v="2026-01-22T22:10:00"/>
    <d v="2026-01-22T22:20:00"/>
    <d v="2026-01-22T22:34:00"/>
    <n v="2.23"/>
    <d v="2026-01-22T22:44:00"/>
    <d v="1899-12-30T02:14:00"/>
    <n v="2"/>
    <n v="14"/>
    <n v="134"/>
  </r>
  <r>
    <n v="319"/>
    <x v="2"/>
    <n v="1"/>
    <s v="SALA CIRURGICA 01"/>
    <d v="2026-01-22T22:15:00"/>
    <d v="2026-01-22T22:20:00"/>
    <d v="2026-01-22T22:25:00"/>
    <d v="2026-01-22T22:33:00"/>
    <d v="2026-01-22T22:43:00"/>
    <d v="2026-01-22T23:30:00"/>
    <n v="1.25"/>
    <d v="2026-01-22T23:40:00"/>
    <d v="1899-12-30T01:15:00"/>
    <n v="1"/>
    <n v="15"/>
    <n v="75"/>
  </r>
  <r>
    <n v="320"/>
    <x v="2"/>
    <n v="1"/>
    <s v="SALA CIRURGICA 01"/>
    <d v="2026-01-22T22:10:00"/>
    <d v="2026-01-22T22:20:00"/>
    <d v="2026-01-22T22:40:00"/>
    <d v="2026-01-22T23:35:00"/>
    <d v="2026-01-22T23:45:00"/>
    <d v="2026-01-22T23:46:00"/>
    <n v="1.6"/>
    <d v="2026-01-22T23:47:00"/>
    <d v="1899-12-30T01:36:00"/>
    <n v="1"/>
    <n v="36"/>
    <n v="96"/>
  </r>
  <r>
    <n v="321"/>
    <x v="1"/>
    <n v="1"/>
    <s v="SALA CIRURGICA 05"/>
    <d v="2026-01-23T11:50:00"/>
    <d v="2026-01-23T12:35:00"/>
    <d v="2026-01-23T13:10:00"/>
    <d v="2026-01-23T14:55:00"/>
    <d v="2026-01-23T15:05:00"/>
    <d v="2026-01-23T15:30:00"/>
    <n v="3.67"/>
    <d v="2026-01-23T15:40:00"/>
    <d v="1899-12-30T03:40:00"/>
    <n v="3"/>
    <n v="40"/>
    <n v="220"/>
  </r>
  <r>
    <n v="322"/>
    <x v="1"/>
    <n v="1"/>
    <s v="SALA CIRURGICA 06"/>
    <d v="2026-01-23T11:55:00"/>
    <d v="2026-01-23T12:05:00"/>
    <d v="2026-01-23T12:15:00"/>
    <d v="2026-01-23T14:15:00"/>
    <d v="2026-01-23T14:25:00"/>
    <d v="2026-01-23T16:10:00"/>
    <n v="4.25"/>
    <d v="2026-01-23T16:20:00"/>
    <d v="1899-12-30T04:15:00"/>
    <n v="4"/>
    <n v="15"/>
    <n v="255"/>
  </r>
  <r>
    <n v="323"/>
    <x v="1"/>
    <n v="1"/>
    <s v="SALA CIRURGICA 05"/>
    <d v="2026-01-23T17:45:00"/>
    <d v="2026-01-23T18:30:00"/>
    <d v="2026-01-23T18:40:00"/>
    <d v="2026-01-23T19:20:00"/>
    <d v="2026-01-23T19:30:00"/>
    <d v="2026-01-23T20:00:00"/>
    <n v="2.25"/>
    <d v="2026-01-23T20:10:00"/>
    <d v="1899-12-30T02:15:00"/>
    <n v="2"/>
    <n v="15"/>
    <n v="135"/>
  </r>
  <r>
    <n v="324"/>
    <x v="1"/>
    <n v="1"/>
    <s v="SALA CIRURGICA 06"/>
    <d v="2026-02-11T07:25:00"/>
    <d v="2026-02-11T07:50:00"/>
    <d v="2026-02-11T08:10:00"/>
    <d v="2026-02-11T09:30:00"/>
    <d v="2026-02-11T09:40:00"/>
    <d v="2026-02-11T09:45:00"/>
    <n v="2.33"/>
    <d v="2026-02-11T09:55:00"/>
    <d v="1899-12-30T02:20:00"/>
    <n v="2"/>
    <n v="20"/>
    <n v="140"/>
  </r>
  <r>
    <n v="325"/>
    <x v="2"/>
    <n v="1"/>
    <s v="SALA CIRURGICA 01"/>
    <d v="2026-01-26T13:25:00"/>
    <d v="2026-01-26T13:50:00"/>
    <d v="2026-01-26T15:50:00"/>
    <d v="2026-01-26T18:45:00"/>
    <d v="2026-01-26T20:30:00"/>
    <d v="2026-01-26T20:35:00"/>
    <n v="7.17"/>
    <d v="2026-01-26T20:38:00"/>
    <d v="1899-12-30T07:10:00"/>
    <n v="7"/>
    <n v="10"/>
    <n v="430"/>
  </r>
  <r>
    <n v="326"/>
    <x v="0"/>
    <n v="1"/>
    <s v="SALA CIRURGICA 03"/>
    <d v="2026-01-26T06:50:00"/>
    <d v="2026-01-26T07:40:00"/>
    <d v="2026-01-26T08:50:00"/>
    <d v="2026-01-26T14:30:00"/>
    <d v="2026-01-26T14:40:00"/>
    <d v="2026-01-26T14:50:00"/>
    <n v="8"/>
    <d v="2026-01-26T15:00:00"/>
    <d v="1899-12-30T08:00:00"/>
    <n v="8"/>
    <n v="0"/>
    <n v="480"/>
  </r>
  <r>
    <n v="327"/>
    <x v="0"/>
    <n v="1"/>
    <s v="SALA CIRURGICA 02"/>
    <d v="2026-01-26T08:55:00"/>
    <d v="2026-01-26T09:05:00"/>
    <d v="2026-01-26T09:55:00"/>
    <d v="2026-01-26T12:10:00"/>
    <d v="2026-01-26T12:15:00"/>
    <d v="2026-01-26T12:40:00"/>
    <n v="3.75"/>
    <d v="2026-01-26T12:45:00"/>
    <d v="1899-12-30T03:45:00"/>
    <n v="3"/>
    <n v="45"/>
    <n v="225"/>
  </r>
  <r>
    <n v="328"/>
    <x v="2"/>
    <n v="1"/>
    <s v="SALA CIRURGICA 03"/>
    <d v="2026-01-23T22:20:00"/>
    <d v="2026-01-23T22:25:00"/>
    <d v="2026-01-23T22:35:00"/>
    <d v="2026-01-23T22:50:00"/>
    <d v="2026-01-23T22:55:00"/>
    <d v="2026-01-23T23:00:00"/>
    <n v="0.67"/>
    <d v="2026-01-23T23:10:00"/>
    <d v="1899-12-30T00:40:00"/>
    <n v="0"/>
    <n v="40"/>
    <n v="40"/>
  </r>
  <r>
    <n v="329"/>
    <x v="1"/>
    <n v="1"/>
    <s v="SALA CIRURGICA 01"/>
    <d v="2026-01-23T22:45:00"/>
    <d v="2026-01-23T23:00:00"/>
    <d v="2026-01-23T23:35:00"/>
    <d v="2026-01-24T02:50:00"/>
    <d v="2026-01-24T03:00:00"/>
    <d v="2026-01-24T03:05:00"/>
    <n v="4.33"/>
    <d v="2026-01-24T03:15:00"/>
    <d v="1899-12-30T04:20:00"/>
    <n v="4"/>
    <n v="20"/>
    <n v="260"/>
  </r>
  <r>
    <n v="330"/>
    <x v="2"/>
    <n v="1"/>
    <s v="SALA CIRURGICA 02"/>
    <d v="2026-01-23T23:35:00"/>
    <d v="2026-01-23T23:36:00"/>
    <d v="2026-01-23T23:40:00"/>
    <d v="2026-01-24T01:35:00"/>
    <d v="2026-01-24T17:35:00"/>
    <d v="2026-01-24T17:40:00"/>
    <n v="18.079999999999998"/>
    <d v="2026-01-24T17:50:00"/>
    <d v="1899-12-30T18:05:00"/>
    <n v="18"/>
    <n v="5"/>
    <n v="1085"/>
  </r>
  <r>
    <n v="331"/>
    <x v="2"/>
    <n v="1"/>
    <s v="SALA CIRURGICA 03"/>
    <d v="2026-01-24T01:30:00"/>
    <d v="2026-01-24T01:40:00"/>
    <d v="2026-01-24T01:55:00"/>
    <d v="2026-01-24T02:20:00"/>
    <d v="2026-01-24T02:30:00"/>
    <d v="2026-01-24T02:45:00"/>
    <n v="1.25"/>
    <d v="2026-01-24T02:55:00"/>
    <d v="1899-12-30T01:15:00"/>
    <n v="1"/>
    <n v="15"/>
    <n v="75"/>
  </r>
  <r>
    <n v="332"/>
    <x v="2"/>
    <n v="1"/>
    <s v="SALA CIRURGICA 03"/>
    <d v="2026-01-24T09:25:00"/>
    <d v="2026-01-24T09:40:00"/>
    <d v="2026-01-24T10:10:00"/>
    <d v="2026-01-24T11:20:00"/>
    <d v="2026-01-24T11:30:00"/>
    <d v="2026-01-24T11:50:00"/>
    <n v="2.42"/>
    <d v="2026-01-24T11:53:00"/>
    <d v="1899-12-30T02:25:00"/>
    <n v="2"/>
    <n v="25"/>
    <n v="145"/>
  </r>
  <r>
    <n v="333"/>
    <x v="2"/>
    <n v="1"/>
    <s v="SALA CIRURGICA 01"/>
    <d v="2026-01-24T10:53:00"/>
    <d v="2026-01-24T11:05:00"/>
    <d v="2026-01-24T11:35:00"/>
    <d v="2026-01-24T12:20:00"/>
    <d v="2026-01-24T12:50:00"/>
    <d v="2026-01-24T12:55:00"/>
    <n v="2.0299999999999998"/>
    <d v="2026-01-24T13:05:00"/>
    <d v="1899-12-30T02:02:00"/>
    <n v="2"/>
    <n v="2"/>
    <n v="122"/>
  </r>
  <r>
    <n v="334"/>
    <x v="2"/>
    <n v="1"/>
    <s v="SALA CIRURGICA 01"/>
    <d v="2026-01-24T14:30:00"/>
    <d v="2026-01-24T14:35:00"/>
    <d v="2026-01-24T15:20:00"/>
    <d v="2026-01-24T17:30:00"/>
    <d v="2026-01-24T18:30:00"/>
    <d v="2026-01-24T21:15:00"/>
    <n v="6.75"/>
    <d v="2026-01-24T21:20:00"/>
    <d v="1899-12-30T06:45:00"/>
    <n v="6"/>
    <n v="45"/>
    <n v="405"/>
  </r>
  <r>
    <n v="335"/>
    <x v="2"/>
    <n v="1"/>
    <s v="SALA CIRURGICA 01"/>
    <d v="2026-01-25T08:50:00"/>
    <d v="2026-01-25T09:00:00"/>
    <d v="2026-01-25T09:10:00"/>
    <d v="2026-01-25T09:16:00"/>
    <d v="2026-01-25T09:26:00"/>
    <d v="2026-01-25T09:40:00"/>
    <n v="0.83"/>
    <d v="2026-01-25T09:50:00"/>
    <d v="1899-12-30T00:50:00"/>
    <n v="0"/>
    <n v="50"/>
    <n v="50"/>
  </r>
  <r>
    <n v="336"/>
    <x v="2"/>
    <n v="1"/>
    <s v="SALA CIRURGICA 05"/>
    <d v="2026-01-24T16:55:00"/>
    <d v="2026-01-24T17:05:00"/>
    <d v="2026-01-24T17:10:00"/>
    <d v="2026-01-24T17:16:00"/>
    <d v="2026-01-24T17:20:00"/>
    <d v="2026-01-24T17:25:00"/>
    <n v="0.5"/>
    <d v="2026-01-24T17:28:00"/>
    <d v="1899-12-30T00:30:00"/>
    <n v="0"/>
    <n v="30"/>
    <n v="30"/>
  </r>
  <r>
    <n v="337"/>
    <x v="2"/>
    <n v="1"/>
    <s v="SALA CIRURGICA 02"/>
    <d v="2026-01-24T22:05:00"/>
    <d v="2026-01-24T22:10:00"/>
    <d v="2026-01-24T22:20:00"/>
    <d v="2026-01-24T23:20:00"/>
    <d v="2026-01-24T23:25:00"/>
    <d v="2026-01-24T23:30:00"/>
    <n v="1.42"/>
    <d v="2026-01-24T23:35:00"/>
    <d v="1899-12-30T01:25:00"/>
    <n v="1"/>
    <n v="25"/>
    <n v="85"/>
  </r>
  <r>
    <n v="338"/>
    <x v="1"/>
    <n v="1"/>
    <s v="SALA CIRURGICA 01"/>
    <d v="2026-01-25T08:50:00"/>
    <d v="2026-01-25T09:00:00"/>
    <d v="2026-01-25T09:25:00"/>
    <d v="2026-01-25T10:10:00"/>
    <d v="2026-01-25T10:20:00"/>
    <d v="2026-01-25T11:00:00"/>
    <n v="2.17"/>
    <d v="2026-01-25T11:05:00"/>
    <d v="1899-12-30T02:10:00"/>
    <n v="2"/>
    <n v="10"/>
    <n v="130"/>
  </r>
  <r>
    <n v="339"/>
    <x v="2"/>
    <n v="1"/>
    <s v="SALA CIRURGICA 03"/>
    <d v="2026-01-25T08:30:00"/>
    <d v="2026-01-25T08:45:00"/>
    <d v="2026-01-25T09:00:00"/>
    <d v="2026-01-25T11:30:00"/>
    <d v="2026-01-25T11:40:00"/>
    <d v="2026-01-25T12:00:00"/>
    <n v="3.5"/>
    <d v="2026-01-25T12:10:00"/>
    <d v="1899-12-30T03:30:00"/>
    <n v="3"/>
    <n v="30"/>
    <n v="210"/>
  </r>
  <r>
    <n v="340"/>
    <x v="2"/>
    <n v="1"/>
    <s v="SALA CIRURGICA 03"/>
    <d v="2026-01-26T07:10:00"/>
    <d v="2026-01-26T08:00:00"/>
    <d v="2026-01-26T08:30:00"/>
    <d v="2026-01-26T09:00:00"/>
    <d v="2026-01-26T09:01:00"/>
    <d v="2026-01-26T09:30:00"/>
    <n v="2.33"/>
    <d v="2026-01-26T09:31:00"/>
    <d v="1899-12-30T02:20:00"/>
    <n v="2"/>
    <n v="20"/>
    <n v="140"/>
  </r>
  <r>
    <n v="341"/>
    <x v="1"/>
    <n v="1"/>
    <s v="SALA CIRURGICA 02"/>
    <d v="2026-01-26T10:00:00"/>
    <d v="2026-01-26T10:20:00"/>
    <d v="2026-01-26T10:50:00"/>
    <d v="2026-01-26T12:15:00"/>
    <d v="2026-01-26T12:20:00"/>
    <d v="2026-01-26T12:25:00"/>
    <n v="2.42"/>
    <d v="2026-01-26T12:27:00"/>
    <d v="1899-12-30T02:25:00"/>
    <n v="2"/>
    <n v="25"/>
    <n v="145"/>
  </r>
  <r>
    <n v="342"/>
    <x v="1"/>
    <n v="1"/>
    <s v="SALA CIRURGICA 02"/>
    <d v="2026-01-25T15:30:00"/>
    <d v="2026-01-25T15:40:00"/>
    <d v="2026-01-25T16:00:00"/>
    <d v="2026-01-25T17:00:00"/>
    <d v="2026-01-25T17:10:00"/>
    <d v="2026-01-25T17:30:00"/>
    <n v="2"/>
    <d v="2026-01-25T17:40:00"/>
    <d v="1899-12-30T02:00:00"/>
    <n v="2"/>
    <n v="0"/>
    <n v="120"/>
  </r>
  <r>
    <n v="343"/>
    <x v="1"/>
    <n v="1"/>
    <s v="SALA CIRURGICA 02"/>
    <d v="2026-01-25T13:45:00"/>
    <d v="2026-01-25T13:50:00"/>
    <d v="2026-01-25T14:10:00"/>
    <d v="2026-01-25T15:12:00"/>
    <d v="2026-01-25T15:22:00"/>
    <d v="2026-01-25T15:30:00"/>
    <n v="1.75"/>
    <d v="2026-01-25T15:40:00"/>
    <d v="1899-12-30T01:45:00"/>
    <n v="1"/>
    <n v="45"/>
    <n v="105"/>
  </r>
  <r>
    <n v="344"/>
    <x v="2"/>
    <n v="1"/>
    <s v="SALA CIRURGICA 05"/>
    <d v="2026-01-26T07:10:00"/>
    <d v="2026-01-26T08:10:00"/>
    <d v="2026-01-26T08:50:00"/>
    <d v="2026-01-26T09:00:00"/>
    <d v="2026-01-26T09:10:00"/>
    <d v="2026-01-26T09:50:00"/>
    <n v="2.67"/>
    <d v="2026-01-26T10:00:00"/>
    <d v="1899-12-30T02:40:00"/>
    <n v="2"/>
    <n v="40"/>
    <n v="160"/>
  </r>
  <r>
    <n v="345"/>
    <x v="1"/>
    <n v="1"/>
    <s v="SALA CIRURGICA 06"/>
    <d v="2026-01-26T11:40:00"/>
    <d v="2026-01-26T11:50:00"/>
    <d v="2026-01-26T12:20:00"/>
    <d v="2026-01-26T13:43:00"/>
    <d v="2026-01-26T13:53:00"/>
    <d v="2026-01-26T14:00:00"/>
    <n v="2.33"/>
    <d v="2026-01-26T14:10:00"/>
    <d v="1899-12-30T02:20:00"/>
    <n v="2"/>
    <n v="20"/>
    <n v="140"/>
  </r>
  <r>
    <n v="346"/>
    <x v="2"/>
    <n v="1"/>
    <s v="SALA CIRURGICA 01"/>
    <d v="2026-01-26T11:40:00"/>
    <d v="2026-01-26T12:30:00"/>
    <d v="2026-01-26T13:00:00"/>
    <d v="2026-01-26T15:00:00"/>
    <d v="2026-01-26T16:20:00"/>
    <d v="2026-01-26T16:25:00"/>
    <n v="4.75"/>
    <d v="2026-01-26T16:30:00"/>
    <d v="1899-12-30T04:45:00"/>
    <n v="4"/>
    <n v="45"/>
    <n v="285"/>
  </r>
  <r>
    <n v="347"/>
    <x v="1"/>
    <n v="1"/>
    <s v="SALA CIRURGICA 01"/>
    <d v="2026-01-26T06:50:00"/>
    <d v="2026-01-26T07:35:00"/>
    <d v="2026-01-26T08:10:00"/>
    <d v="2026-01-26T10:00:00"/>
    <d v="2026-01-26T10:10:00"/>
    <d v="2026-01-26T10:20:00"/>
    <n v="3.5"/>
    <d v="2026-01-26T10:30:00"/>
    <d v="1899-12-30T03:30:00"/>
    <n v="3"/>
    <n v="30"/>
    <n v="210"/>
  </r>
  <r>
    <n v="348"/>
    <x v="1"/>
    <n v="1"/>
    <s v="SALA CIRURGICA 01"/>
    <d v="2026-01-25T18:43:00"/>
    <d v="2026-01-25T18:50:00"/>
    <d v="2026-01-25T19:00:00"/>
    <d v="2026-01-25T22:30:00"/>
    <d v="2026-01-25T22:40:00"/>
    <d v="2026-01-25T22:50:00"/>
    <n v="4.12"/>
    <d v="2026-01-25T23:00:00"/>
    <d v="1899-12-30T04:07:00"/>
    <n v="4"/>
    <n v="7"/>
    <n v="247"/>
  </r>
  <r>
    <n v="349"/>
    <x v="2"/>
    <n v="1"/>
    <s v="SALA CIRURGICA 03"/>
    <d v="2026-01-25T23:35:00"/>
    <d v="2026-01-25T23:40:00"/>
    <d v="2026-01-26T00:00:00"/>
    <d v="2026-01-26T00:45:00"/>
    <d v="2026-01-26T00:55:00"/>
    <d v="2026-01-26T01:00:00"/>
    <n v="1.42"/>
    <d v="2026-01-26T01:10:00"/>
    <d v="1899-12-30T01:25:00"/>
    <n v="1"/>
    <n v="25"/>
    <n v="85"/>
  </r>
  <r>
    <n v="350"/>
    <x v="2"/>
    <n v="1"/>
    <s v="SALA CIRURGICA 01"/>
    <d v="2026-01-26T16:45:00"/>
    <d v="2026-01-26T16:50:00"/>
    <d v="2026-01-26T17:10:00"/>
    <d v="2026-01-26T18:00:00"/>
    <d v="2026-01-26T18:10:00"/>
    <d v="2026-01-26T18:20:00"/>
    <n v="1.58"/>
    <d v="2026-01-26T18:30:00"/>
    <d v="1899-12-30T01:35:00"/>
    <n v="1"/>
    <n v="35"/>
    <n v="95"/>
  </r>
  <r>
    <n v="351"/>
    <x v="0"/>
    <n v="1"/>
    <s v="SALA CIRURGICA 01"/>
    <d v="2026-01-26T15:35:00"/>
    <d v="2026-01-26T16:10:00"/>
    <d v="2026-01-26T16:30:00"/>
    <d v="2026-01-26T19:20:00"/>
    <d v="2026-01-26T19:30:00"/>
    <d v="2026-01-26T19:35:00"/>
    <n v="4"/>
    <d v="2026-01-26T19:45:00"/>
    <d v="1899-12-30T04:00:00"/>
    <n v="4"/>
    <n v="0"/>
    <n v="240"/>
  </r>
  <r>
    <n v="352"/>
    <x v="0"/>
    <n v="1"/>
    <s v="SALA CIRURGICA 01"/>
    <d v="2026-01-26T17:40:00"/>
    <d v="2026-01-26T17:55:00"/>
    <d v="2026-01-26T18:00:00"/>
    <d v="2026-01-26T18:25:00"/>
    <d v="2026-01-26T18:30:00"/>
    <d v="2026-01-26T18:33:00"/>
    <n v="0.88"/>
    <d v="2026-01-26T18:35:00"/>
    <d v="1899-12-30T00:53:00"/>
    <n v="0"/>
    <n v="53"/>
    <n v="53"/>
  </r>
  <r>
    <n v="353"/>
    <x v="0"/>
    <n v="1"/>
    <s v="SALA CIRURGICA 06"/>
    <d v="2026-01-26T14:30:00"/>
    <d v="2026-01-26T14:40:00"/>
    <d v="2026-01-26T14:55:00"/>
    <d v="2026-01-26T15:10:00"/>
    <d v="2026-01-26T15:20:00"/>
    <d v="2026-01-26T16:15:00"/>
    <n v="1.75"/>
    <d v="2026-01-26T16:18:00"/>
    <d v="1899-12-30T01:45:00"/>
    <n v="1"/>
    <n v="45"/>
    <n v="105"/>
  </r>
  <r>
    <n v="354"/>
    <x v="0"/>
    <n v="1"/>
    <s v="SALA CIRURGICA 06"/>
    <d v="2026-01-27T11:27:00"/>
    <d v="2026-01-27T11:37:00"/>
    <d v="2026-01-27T11:45:00"/>
    <d v="2026-01-27T12:30:00"/>
    <d v="2026-01-27T12:40:00"/>
    <d v="2026-01-27T12:50:00"/>
    <n v="1.38"/>
    <d v="2026-01-27T13:00:00"/>
    <d v="1899-12-30T01:23:00"/>
    <n v="1"/>
    <n v="23"/>
    <n v="83"/>
  </r>
  <r>
    <n v="355"/>
    <x v="0"/>
    <n v="1"/>
    <s v="SALA CIRURGICA 03"/>
    <d v="2026-01-27T07:00:00"/>
    <d v="2026-01-27T08:00:00"/>
    <d v="2026-01-27T10:00:00"/>
    <d v="2026-01-27T12:45:00"/>
    <d v="2026-01-27T12:55:00"/>
    <d v="2026-01-27T13:00:00"/>
    <n v="6"/>
    <d v="2026-01-27T13:10:00"/>
    <d v="1899-12-30T06:00:00"/>
    <n v="6"/>
    <n v="0"/>
    <n v="360"/>
  </r>
  <r>
    <n v="356"/>
    <x v="2"/>
    <n v="1"/>
    <s v="SALA CIRURGICA 06"/>
    <d v="2026-02-03T07:00:00"/>
    <d v="2026-02-03T07:10:00"/>
    <d v="2026-02-03T07:15:00"/>
    <d v="2026-02-03T07:25:00"/>
    <d v="2026-02-03T07:35:00"/>
    <d v="2026-02-03T07:36:00"/>
    <n v="0.6"/>
    <d v="2026-02-03T07:46:00"/>
    <d v="1899-12-30T00:36:00"/>
    <n v="0"/>
    <n v="36"/>
    <n v="36"/>
  </r>
  <r>
    <n v="357"/>
    <x v="2"/>
    <n v="1"/>
    <s v="SALA CIRURGICA 06"/>
    <d v="2026-02-03T09:30:00"/>
    <d v="2026-02-03T09:40:00"/>
    <d v="2026-02-03T10:00:00"/>
    <d v="2026-02-03T10:50:00"/>
    <d v="2026-02-03T11:00:00"/>
    <d v="2026-02-03T11:05:00"/>
    <n v="1.58"/>
    <d v="2026-02-03T11:15:00"/>
    <d v="1899-12-30T01:35:00"/>
    <n v="1"/>
    <n v="35"/>
    <n v="95"/>
  </r>
  <r>
    <n v="358"/>
    <x v="1"/>
    <n v="1"/>
    <s v="SALA CIRURGICA 05"/>
    <d v="2026-01-27T07:00:00"/>
    <d v="2026-01-27T07:40:00"/>
    <d v="2026-01-27T08:15:00"/>
    <d v="2026-01-27T11:15:00"/>
    <d v="2026-01-27T11:25:00"/>
    <d v="2026-01-27T11:40:00"/>
    <n v="4.67"/>
    <d v="2026-01-27T11:50:00"/>
    <d v="1899-12-30T04:40:00"/>
    <n v="4"/>
    <n v="40"/>
    <n v="280"/>
  </r>
  <r>
    <n v="359"/>
    <x v="2"/>
    <n v="1"/>
    <s v="SALA CIRURGICA 06"/>
    <d v="2026-02-05T07:06:00"/>
    <d v="2026-02-05T07:16:00"/>
    <d v="2026-02-05T07:20:00"/>
    <d v="2026-02-05T07:25:00"/>
    <d v="2026-02-05T07:35:00"/>
    <d v="2026-02-05T07:50:00"/>
    <n v="0.73"/>
    <d v="2026-02-05T08:00:00"/>
    <d v="1899-12-30T00:44:00"/>
    <n v="0"/>
    <n v="44"/>
    <n v="44"/>
  </r>
  <r>
    <n v="360"/>
    <x v="2"/>
    <n v="1"/>
    <s v="SALA CIRURGICA 03"/>
    <d v="2026-01-27T11:25:00"/>
    <d v="2026-01-27T11:35:00"/>
    <d v="2026-01-27T12:17:00"/>
    <d v="2026-01-27T15:37:00"/>
    <d v="2026-01-27T17:00:00"/>
    <d v="2026-01-28T09:30:00"/>
    <n v="22.08"/>
    <d v="2026-01-28T09:40:00"/>
    <d v="1899-12-30T22:05:00"/>
    <n v="22"/>
    <n v="5"/>
    <n v="1325"/>
  </r>
  <r>
    <n v="361"/>
    <x v="2"/>
    <n v="1"/>
    <s v="SALA CIRURGICA 02"/>
    <d v="2026-01-27T06:55:00"/>
    <d v="2026-01-27T08:20:00"/>
    <d v="2026-01-27T08:30:00"/>
    <d v="2026-01-27T09:05:00"/>
    <d v="2026-01-27T09:15:00"/>
    <d v="2026-01-27T10:26:00"/>
    <n v="3.52"/>
    <d v="2026-01-27T10:35:00"/>
    <d v="1899-12-30T03:31:00"/>
    <n v="3"/>
    <n v="31"/>
    <n v="211"/>
  </r>
  <r>
    <n v="362"/>
    <x v="1"/>
    <n v="1"/>
    <s v="SALA CIRURGICA 03"/>
    <d v="2026-01-29T07:00:00"/>
    <d v="2026-01-29T07:10:00"/>
    <d v="2026-01-29T09:20:00"/>
    <d v="2026-01-29T11:30:00"/>
    <d v="2026-01-29T11:40:00"/>
    <d v="2026-01-29T12:30:00"/>
    <n v="5.5"/>
    <d v="2026-01-29T12:40:00"/>
    <d v="1899-12-30T05:30:00"/>
    <n v="5"/>
    <n v="30"/>
    <n v="330"/>
  </r>
  <r>
    <n v="363"/>
    <x v="0"/>
    <n v="1"/>
    <s v="SALA CIRURGICA 03"/>
    <d v="2026-01-29T14:30:00"/>
    <d v="2026-01-29T14:50:00"/>
    <d v="2026-01-29T15:10:00"/>
    <d v="2026-01-29T17:00:00"/>
    <d v="2026-01-29T17:10:00"/>
    <d v="2026-01-29T19:20:00"/>
    <n v="4.83"/>
    <d v="2026-01-29T19:30:00"/>
    <d v="1899-12-30T04:50:00"/>
    <n v="4"/>
    <n v="50"/>
    <n v="290"/>
  </r>
  <r>
    <n v="364"/>
    <x v="1"/>
    <n v="1"/>
    <s v="SALA CIRURGICA 01"/>
    <d v="2026-01-26T22:45:00"/>
    <d v="2026-01-26T22:50:00"/>
    <d v="2026-01-26T23:05:00"/>
    <d v="2026-01-27T00:50:00"/>
    <d v="2026-01-27T00:55:00"/>
    <d v="2026-01-27T01:00:00"/>
    <n v="2.25"/>
    <d v="2026-01-27T01:05:00"/>
    <d v="1899-12-30T02:15:00"/>
    <n v="2"/>
    <n v="15"/>
    <n v="135"/>
  </r>
  <r>
    <n v="365"/>
    <x v="2"/>
    <n v="1"/>
    <s v="SALA CIRURGICA 01"/>
    <d v="2026-01-26T21:10:00"/>
    <d v="2026-01-26T21:15:00"/>
    <d v="2026-01-26T21:40:00"/>
    <d v="2026-01-26T22:00:00"/>
    <d v="2026-01-26T22:02:00"/>
    <d v="2026-01-26T22:03:00"/>
    <n v="0.88"/>
    <d v="2026-01-26T22:13:00"/>
    <d v="1899-12-30T00:53:00"/>
    <n v="0"/>
    <n v="53"/>
    <n v="53"/>
  </r>
  <r>
    <n v="366"/>
    <x v="1"/>
    <n v="1"/>
    <s v="SALA CIRURGICA 01"/>
    <d v="2026-01-26T17:10:00"/>
    <d v="2026-01-26T17:15:00"/>
    <d v="2026-01-26T17:55:00"/>
    <d v="2026-01-26T19:40:00"/>
    <d v="2026-01-26T20:00:00"/>
    <d v="2026-01-27T16:10:00"/>
    <n v="23"/>
    <d v="2026-01-27T16:20:00"/>
    <d v="1899-12-30T23:00:00"/>
    <n v="23"/>
    <n v="0"/>
    <n v="1380"/>
  </r>
  <r>
    <n v="367"/>
    <x v="0"/>
    <n v="1"/>
    <s v="SALA CIRURGICA 01"/>
    <d v="2026-01-26T23:30:00"/>
    <d v="2026-01-26T23:40:00"/>
    <d v="2026-01-27T00:00:00"/>
    <d v="2026-01-27T00:25:00"/>
    <d v="2026-01-27T00:26:00"/>
    <d v="2026-01-27T00:27:00"/>
    <n v="0.95"/>
    <d v="2026-01-27T00:37:00"/>
    <d v="1899-12-30T00:57:00"/>
    <n v="0"/>
    <n v="57"/>
    <n v="57"/>
  </r>
  <r>
    <n v="368"/>
    <x v="0"/>
    <n v="1"/>
    <s v="SALA CIRURGICA 06"/>
    <d v="2026-01-27T14:15:00"/>
    <d v="2026-01-27T14:25:00"/>
    <d v="2026-01-27T15:00:00"/>
    <d v="2026-01-27T15:50:00"/>
    <d v="2026-01-27T16:00:00"/>
    <d v="2026-01-27T16:20:00"/>
    <n v="2.08"/>
    <d v="2026-01-27T16:30:00"/>
    <d v="1899-12-30T02:05:00"/>
    <n v="2"/>
    <n v="5"/>
    <n v="125"/>
  </r>
  <r>
    <n v="369"/>
    <x v="1"/>
    <n v="1"/>
    <s v="SALA CIRURGICA 04"/>
    <d v="2026-01-27T11:55:00"/>
    <d v="2026-01-27T12:05:00"/>
    <d v="2026-01-27T12:10:00"/>
    <d v="2026-01-27T13:10:00"/>
    <d v="2026-01-27T13:20:00"/>
    <d v="2026-01-27T21:15:00"/>
    <n v="9.33"/>
    <d v="2026-01-27T21:25:00"/>
    <d v="1899-12-30T09:20:00"/>
    <n v="9"/>
    <n v="20"/>
    <n v="560"/>
  </r>
  <r>
    <n v="370"/>
    <x v="2"/>
    <n v="1"/>
    <s v="SALA CIRURGICA 05"/>
    <d v="2026-01-27T15:50:00"/>
    <d v="2026-01-27T16:05:00"/>
    <d v="2026-01-27T16:20:00"/>
    <d v="2026-01-27T17:46:00"/>
    <d v="2026-01-27T17:56:00"/>
    <d v="2026-01-27T18:35:00"/>
    <n v="2.75"/>
    <d v="2026-01-27T18:40:00"/>
    <d v="1899-12-30T02:45:00"/>
    <n v="2"/>
    <n v="45"/>
    <n v="165"/>
  </r>
  <r>
    <n v="371"/>
    <x v="0"/>
    <n v="1"/>
    <s v="SALA CIRURGICA 01"/>
    <d v="2026-01-27T13:15:00"/>
    <d v="2026-01-27T13:25:00"/>
    <d v="2026-01-27T13:50:00"/>
    <d v="2026-01-27T14:20:00"/>
    <d v="2026-01-27T14:30:00"/>
    <d v="2026-01-27T14:40:00"/>
    <n v="1.42"/>
    <d v="2026-01-27T14:50:00"/>
    <d v="1899-12-30T01:25:00"/>
    <n v="1"/>
    <n v="25"/>
    <n v="85"/>
  </r>
  <r>
    <n v="372"/>
    <x v="0"/>
    <n v="1"/>
    <s v="SALA CIRURGICA 01"/>
    <d v="2026-01-27T17:15:00"/>
    <d v="2026-01-27T17:20:00"/>
    <d v="2026-01-27T17:35:00"/>
    <d v="2026-01-27T18:20:00"/>
    <d v="2026-01-27T18:25:00"/>
    <d v="2026-01-27T18:45:00"/>
    <n v="1.5"/>
    <d v="2026-01-27T18:50:00"/>
    <d v="1899-12-30T01:30:00"/>
    <n v="1"/>
    <n v="30"/>
    <n v="90"/>
  </r>
  <r>
    <n v="373"/>
    <x v="2"/>
    <n v="1"/>
    <s v="SALA CIRURGICA 05"/>
    <d v="2026-01-28T17:20:00"/>
    <d v="2026-01-28T17:35:00"/>
    <d v="2026-01-28T18:00:00"/>
    <d v="2026-01-28T18:30:00"/>
    <d v="2026-01-28T18:35:00"/>
    <d v="2026-01-28T18:45:00"/>
    <n v="1.42"/>
    <d v="2026-01-28T18:46:00"/>
    <d v="1899-12-30T01:25:00"/>
    <n v="1"/>
    <n v="25"/>
    <n v="85"/>
  </r>
  <r>
    <n v="374"/>
    <x v="0"/>
    <n v="1"/>
    <s v="SALA CIRURGICA 05"/>
    <d v="2026-01-28T16:15:00"/>
    <d v="2026-01-28T16:40:00"/>
    <d v="2026-01-28T17:00:00"/>
    <d v="2026-01-28T18:32:00"/>
    <d v="2026-01-28T18:42:00"/>
    <d v="2026-01-28T18:50:00"/>
    <n v="2.58"/>
    <d v="2026-01-28T18:55:00"/>
    <d v="1899-12-30T02:35:00"/>
    <n v="2"/>
    <n v="35"/>
    <n v="155"/>
  </r>
  <r>
    <n v="375"/>
    <x v="0"/>
    <n v="1"/>
    <s v="SALA CIRURGICA 06"/>
    <d v="2026-01-27T17:30:00"/>
    <d v="2026-01-27T17:40:00"/>
    <d v="2026-01-27T17:50:00"/>
    <d v="2026-01-27T18:50:00"/>
    <d v="2026-01-27T19:00:00"/>
    <d v="2026-01-27T19:20:00"/>
    <n v="1.83"/>
    <d v="2026-01-27T19:25:00"/>
    <d v="1899-12-30T01:50:00"/>
    <n v="1"/>
    <n v="50"/>
    <n v="110"/>
  </r>
  <r>
    <n v="376"/>
    <x v="1"/>
    <n v="1"/>
    <s v="SALA CIRURGICA 01"/>
    <d v="2026-01-27T22:40:00"/>
    <d v="2026-01-27T22:55:00"/>
    <d v="2026-01-27T23:10:00"/>
    <d v="2026-01-28T01:40:00"/>
    <d v="2026-01-28T01:50:00"/>
    <d v="2026-01-28T21:30:00"/>
    <n v="22.83"/>
    <d v="2026-01-28T21:40:00"/>
    <d v="1899-12-30T22:50:00"/>
    <n v="22"/>
    <n v="50"/>
    <n v="1370"/>
  </r>
  <r>
    <n v="377"/>
    <x v="1"/>
    <n v="1"/>
    <s v="SALA CIRURGICA 01"/>
    <d v="2026-01-27T21:20:00"/>
    <d v="2026-01-27T21:30:00"/>
    <d v="2026-01-27T21:35:00"/>
    <d v="2026-01-27T23:00:00"/>
    <d v="2026-01-27T23:10:00"/>
    <d v="2026-01-27T23:25:00"/>
    <n v="2.08"/>
    <d v="2026-01-27T23:35:00"/>
    <d v="1899-12-30T02:05:00"/>
    <n v="2"/>
    <n v="5"/>
    <n v="125"/>
  </r>
  <r>
    <n v="378"/>
    <x v="0"/>
    <n v="1"/>
    <s v="SALA CIRURGICA 01"/>
    <d v="2026-01-27T20:00:00"/>
    <d v="2026-01-27T20:15:00"/>
    <d v="2026-01-27T20:30:00"/>
    <d v="2026-01-27T20:45:00"/>
    <d v="2026-01-27T20:55:00"/>
    <d v="2026-01-27T21:05:00"/>
    <n v="1.08"/>
    <d v="2026-01-27T21:06:00"/>
    <d v="1899-12-30T01:05:00"/>
    <n v="1"/>
    <n v="5"/>
    <n v="65"/>
  </r>
  <r>
    <n v="379"/>
    <x v="1"/>
    <n v="1"/>
    <s v="SALA CIRURGICA 01"/>
    <d v="2026-01-28T01:10:00"/>
    <d v="2026-01-28T01:20:00"/>
    <d v="2026-01-28T01:30:00"/>
    <d v="2026-01-28T02:00:00"/>
    <d v="2026-01-28T02:10:00"/>
    <d v="2026-01-28T02:15:00"/>
    <n v="1.08"/>
    <d v="2026-01-28T02:25:00"/>
    <d v="1899-12-30T01:05:00"/>
    <n v="1"/>
    <n v="5"/>
    <n v="65"/>
  </r>
  <r>
    <n v="380"/>
    <x v="0"/>
    <n v="1"/>
    <s v="SALA CIRURGICA 01"/>
    <d v="2026-01-28T00:50:00"/>
    <d v="2026-01-28T00:55:00"/>
    <d v="2026-01-28T01:40:00"/>
    <d v="2026-01-28T02:30:00"/>
    <d v="2026-01-28T02:40:00"/>
    <d v="2026-01-28T02:45:00"/>
    <n v="1.92"/>
    <d v="2026-01-28T02:55:00"/>
    <d v="1899-12-30T01:55:00"/>
    <n v="1"/>
    <n v="55"/>
    <n v="115"/>
  </r>
  <r>
    <n v="381"/>
    <x v="0"/>
    <n v="1"/>
    <s v="SALA CIRURGICA 02"/>
    <d v="2026-01-28T10:40:00"/>
    <d v="2026-01-28T10:50:00"/>
    <d v="2026-01-28T11:25:00"/>
    <d v="2026-01-28T12:15:00"/>
    <d v="2026-01-28T12:20:00"/>
    <d v="2026-01-28T12:30:00"/>
    <n v="1.83"/>
    <d v="2026-01-28T12:40:00"/>
    <d v="1899-12-30T01:50:00"/>
    <n v="1"/>
    <n v="50"/>
    <n v="110"/>
  </r>
  <r>
    <n v="382"/>
    <x v="1"/>
    <n v="1"/>
    <s v="SALA CIRURGICA 04"/>
    <d v="2026-01-28T04:00:00"/>
    <d v="2026-01-28T04:15:00"/>
    <d v="2026-01-28T04:30:00"/>
    <d v="2026-01-28T05:15:00"/>
    <d v="2026-01-28T05:25:00"/>
    <d v="2026-01-28T16:35:00"/>
    <n v="12.58"/>
    <d v="2026-01-28T16:37:00"/>
    <d v="1899-12-30T12:35:00"/>
    <n v="12"/>
    <n v="35"/>
    <n v="755"/>
  </r>
  <r>
    <n v="383"/>
    <x v="1"/>
    <n v="1"/>
    <s v="SALA CIRURGICA 01"/>
    <d v="2026-01-28T05:25:00"/>
    <d v="2026-01-28T05:40:00"/>
    <d v="2026-01-28T12:00:00"/>
    <d v="2026-01-28T12:56:00"/>
    <d v="2026-01-28T14:45:00"/>
    <d v="2026-01-28T14:50:00"/>
    <n v="9.42"/>
    <d v="2026-01-28T15:00:00"/>
    <d v="1899-12-30T09:25:00"/>
    <n v="9"/>
    <n v="25"/>
    <n v="565"/>
  </r>
  <r>
    <n v="384"/>
    <x v="2"/>
    <n v="1"/>
    <s v="SALA CIRURGICA 01"/>
    <d v="2026-01-28T14:40:00"/>
    <d v="2026-01-28T15:00:00"/>
    <d v="2026-01-28T15:25:00"/>
    <d v="2026-01-28T19:10:00"/>
    <d v="2026-01-28T19:20:00"/>
    <d v="2026-01-28T19:40:00"/>
    <n v="5"/>
    <d v="2026-01-28T19:50:00"/>
    <d v="1899-12-30T05:00:00"/>
    <n v="5"/>
    <n v="0"/>
    <n v="300"/>
  </r>
  <r>
    <n v="385"/>
    <x v="2"/>
    <n v="1"/>
    <s v="SALA CIRURGICA 02"/>
    <d v="2026-01-28T13:50:00"/>
    <d v="2026-01-28T14:00:00"/>
    <d v="2026-01-28T14:15:00"/>
    <d v="2026-01-28T15:00:00"/>
    <d v="2026-01-28T15:10:00"/>
    <d v="2026-01-28T15:15:00"/>
    <n v="1.42"/>
    <d v="2026-01-28T15:25:00"/>
    <d v="1899-12-30T01:25:00"/>
    <n v="1"/>
    <n v="25"/>
    <n v="85"/>
  </r>
  <r>
    <n v="386"/>
    <x v="1"/>
    <n v="1"/>
    <s v="SALA CIRURGICA 02"/>
    <d v="2026-01-28T16:25:00"/>
    <d v="2026-01-28T16:40:00"/>
    <d v="2026-01-28T16:50:00"/>
    <d v="2026-01-28T21:30:00"/>
    <d v="2026-01-28T21:40:00"/>
    <d v="2026-01-28T22:00:00"/>
    <n v="5.58"/>
    <d v="2026-01-28T22:10:00"/>
    <d v="1899-12-30T05:35:00"/>
    <n v="5"/>
    <n v="35"/>
    <n v="335"/>
  </r>
  <r>
    <n v="387"/>
    <x v="0"/>
    <n v="1"/>
    <s v="SALA CIRURGICA 05"/>
    <d v="2026-01-29T07:00:00"/>
    <d v="2026-01-29T08:15:00"/>
    <d v="2026-01-29T08:50:00"/>
    <d v="2026-01-29T11:20:00"/>
    <d v="2026-01-29T11:30:00"/>
    <d v="2026-01-29T11:40:00"/>
    <n v="4.67"/>
    <d v="2026-01-29T11:50:00"/>
    <d v="1899-12-30T04:40:00"/>
    <n v="4"/>
    <n v="40"/>
    <n v="280"/>
  </r>
  <r>
    <n v="388"/>
    <x v="2"/>
    <n v="1"/>
    <s v="SALA CIRURGICA 05"/>
    <d v="2026-01-29T12:45:00"/>
    <d v="2026-01-29T13:45:00"/>
    <d v="2026-01-29T14:20:00"/>
    <d v="2026-01-29T17:00:00"/>
    <d v="2026-01-29T17:10:00"/>
    <d v="2026-01-29T17:20:00"/>
    <n v="4.58"/>
    <d v="2026-01-29T17:30:00"/>
    <d v="1899-12-30T04:35:00"/>
    <n v="4"/>
    <n v="35"/>
    <n v="275"/>
  </r>
  <r>
    <n v="389"/>
    <x v="2"/>
    <n v="1"/>
    <s v="SALA CIRURGICA 01"/>
    <d v="2026-02-06T13:45:00"/>
    <d v="2026-02-06T13:55:00"/>
    <d v="2026-02-06T15:20:00"/>
    <d v="2026-02-06T16:44:00"/>
    <d v="2026-02-06T16:54:00"/>
    <d v="2026-02-06T17:15:00"/>
    <n v="3.5"/>
    <d v="2026-02-06T17:25:00"/>
    <d v="1899-12-30T03:30:00"/>
    <n v="3"/>
    <n v="30"/>
    <n v="210"/>
  </r>
  <r>
    <n v="390"/>
    <x v="1"/>
    <n v="1"/>
    <s v="SALA CIRURGICA 01"/>
    <d v="2026-02-06T13:45:00"/>
    <d v="2026-02-06T13:55:00"/>
    <d v="2026-02-06T15:20:00"/>
    <d v="2026-02-06T16:44:00"/>
    <d v="2026-02-06T16:54:00"/>
    <d v="2026-02-06T17:15:00"/>
    <n v="3.5"/>
    <d v="2026-02-06T17:25:00"/>
    <d v="1899-12-30T03:30:00"/>
    <n v="3"/>
    <n v="30"/>
    <n v="210"/>
  </r>
  <r>
    <n v="391"/>
    <x v="2"/>
    <n v="1"/>
    <s v="SALA CIRURGICA 01"/>
    <d v="2026-01-30T14:16:00"/>
    <d v="2026-01-30T14:40:00"/>
    <d v="2026-01-30T16:40:00"/>
    <d v="2026-01-30T18:35:00"/>
    <d v="2026-01-30T19:00:00"/>
    <d v="2026-01-30T20:35:00"/>
    <n v="6.32"/>
    <d v="2026-01-30T20:45:00"/>
    <d v="1899-12-30T06:19:00"/>
    <n v="6"/>
    <n v="19"/>
    <n v="379"/>
  </r>
  <r>
    <n v="392"/>
    <x v="0"/>
    <n v="1"/>
    <s v="SALA CIRURGICA 04"/>
    <d v="2026-01-29T05:50:00"/>
    <d v="2026-01-29T05:55:00"/>
    <d v="2026-01-29T06:00:00"/>
    <d v="2026-01-29T06:40:00"/>
    <d v="2026-01-29T06:41:00"/>
    <d v="2026-01-29T06:45:00"/>
    <n v="0.92"/>
    <d v="2026-01-29T06:47:00"/>
    <d v="1899-12-30T00:55:00"/>
    <n v="0"/>
    <n v="55"/>
    <n v="55"/>
  </r>
  <r>
    <n v="393"/>
    <x v="1"/>
    <n v="1"/>
    <s v="SALA CIRURGICA 01"/>
    <d v="2026-01-29T07:00:00"/>
    <d v="2026-01-29T07:45:00"/>
    <d v="2026-01-29T08:10:00"/>
    <d v="2026-01-29T10:02:00"/>
    <d v="2026-01-29T10:05:00"/>
    <d v="2026-01-29T10:20:00"/>
    <n v="3.33"/>
    <d v="2026-01-29T10:25:00"/>
    <d v="1899-12-30T03:20:00"/>
    <n v="3"/>
    <n v="20"/>
    <n v="200"/>
  </r>
  <r>
    <n v="394"/>
    <x v="1"/>
    <n v="1"/>
    <s v="SALA CIRURGICA 02"/>
    <d v="2026-01-29T11:15:00"/>
    <d v="2026-01-29T12:05:00"/>
    <d v="2026-01-29T12:25:00"/>
    <d v="2026-01-29T14:46:00"/>
    <d v="2026-01-29T14:56:00"/>
    <d v="2026-01-29T15:10:00"/>
    <n v="3.92"/>
    <d v="2026-01-29T15:15:00"/>
    <d v="1899-12-30T03:55:00"/>
    <n v="3"/>
    <n v="55"/>
    <n v="235"/>
  </r>
  <r>
    <n v="395"/>
    <x v="1"/>
    <n v="1"/>
    <s v="SALA CIRURGICA 02"/>
    <d v="2026-01-29T13:10:00"/>
    <d v="2026-01-29T13:20:00"/>
    <d v="2026-01-29T13:30:00"/>
    <d v="2026-01-29T14:15:00"/>
    <d v="2026-01-29T14:25:00"/>
    <d v="2026-01-29T14:30:00"/>
    <n v="1.33"/>
    <d v="2026-01-29T14:40:00"/>
    <d v="1899-12-30T01:20:00"/>
    <n v="1"/>
    <n v="20"/>
    <n v="80"/>
  </r>
  <r>
    <n v="396"/>
    <x v="2"/>
    <n v="1"/>
    <s v="SALA CIRURGICA 02"/>
    <d v="2026-01-29T07:06:00"/>
    <d v="2026-01-29T08:10:00"/>
    <d v="2026-01-29T08:25:00"/>
    <d v="2026-01-29T09:27:00"/>
    <d v="2026-01-29T09:37:00"/>
    <d v="2026-01-29T09:40:00"/>
    <n v="2.57"/>
    <d v="2026-01-29T09:42:00"/>
    <d v="1899-12-30T02:34:00"/>
    <n v="2"/>
    <n v="34"/>
    <n v="154"/>
  </r>
  <r>
    <n v="397"/>
    <x v="2"/>
    <n v="1"/>
    <s v="SALA CIRURGICA 06"/>
    <d v="2026-01-29T09:50:00"/>
    <d v="2026-01-29T09:55:00"/>
    <d v="2026-01-29T10:00:00"/>
    <d v="2026-01-29T11:30:00"/>
    <d v="2026-01-29T11:40:00"/>
    <d v="2026-01-29T11:45:00"/>
    <n v="1.92"/>
    <d v="2026-01-29T11:55:00"/>
    <d v="1899-12-30T01:55:00"/>
    <n v="1"/>
    <n v="55"/>
    <n v="115"/>
  </r>
  <r>
    <n v="398"/>
    <x v="0"/>
    <n v="1"/>
    <s v="SALA CIRURGICA 06"/>
    <d v="2026-01-29T16:30:00"/>
    <d v="2026-01-29T16:40:00"/>
    <d v="2026-01-29T16:50:00"/>
    <d v="2026-01-29T17:31:00"/>
    <d v="2026-01-29T17:41:00"/>
    <d v="2026-01-29T17:42:00"/>
    <n v="1.2"/>
    <d v="2026-01-29T17:52:00"/>
    <d v="1899-12-30T01:12:00"/>
    <n v="1"/>
    <n v="12"/>
    <n v="72"/>
  </r>
  <r>
    <n v="399"/>
    <x v="0"/>
    <n v="1"/>
    <s v="SALA CIRURGICA 01"/>
    <d v="2026-01-28T20:18:00"/>
    <d v="2026-01-28T20:30:00"/>
    <d v="2026-01-28T20:46:00"/>
    <d v="2026-01-28T20:47:00"/>
    <d v="2026-01-28T20:57:00"/>
    <d v="2026-01-28T20:59:00"/>
    <n v="0.68"/>
    <d v="2026-01-28T21:00:00"/>
    <d v="1899-12-30T00:41:00"/>
    <n v="0"/>
    <n v="41"/>
    <n v="41"/>
  </r>
  <r>
    <n v="400"/>
    <x v="2"/>
    <n v="1"/>
    <s v="SALA CIRURGICA 01"/>
    <d v="2026-01-28T21:40:00"/>
    <d v="2026-01-28T21:45:00"/>
    <d v="2026-01-28T22:00:00"/>
    <d v="2026-01-28T22:40:00"/>
    <d v="2026-01-28T22:50:00"/>
    <d v="2026-01-28T23:00:00"/>
    <n v="1.33"/>
    <d v="2026-01-28T23:10:00"/>
    <d v="1899-12-30T01:20:00"/>
    <n v="1"/>
    <n v="20"/>
    <n v="80"/>
  </r>
  <r>
    <n v="401"/>
    <x v="0"/>
    <n v="1"/>
    <s v="SALA CIRURGICA 01"/>
    <d v="2026-01-28T22:06:00"/>
    <d v="2026-01-28T22:16:00"/>
    <d v="2026-01-28T22:25:00"/>
    <d v="2026-01-28T23:10:00"/>
    <d v="2026-01-28T23:15:00"/>
    <d v="2026-01-28T23:20:00"/>
    <n v="1.23"/>
    <d v="2026-01-28T23:30:00"/>
    <d v="1899-12-30T01:14:00"/>
    <n v="1"/>
    <n v="14"/>
    <n v="74"/>
  </r>
  <r>
    <n v="402"/>
    <x v="1"/>
    <n v="1"/>
    <s v="SALA CIRURGICA 01"/>
    <d v="2026-01-28T23:15:00"/>
    <d v="2026-01-28T23:30:00"/>
    <d v="2026-01-29T00:00:00"/>
    <d v="2026-01-29T02:02:00"/>
    <d v="2026-01-29T02:12:00"/>
    <d v="2026-01-29T02:15:00"/>
    <n v="3"/>
    <d v="2026-01-29T02:25:00"/>
    <d v="1899-12-30T03:00:00"/>
    <n v="3"/>
    <n v="0"/>
    <n v="180"/>
  </r>
  <r>
    <n v="403"/>
    <x v="2"/>
    <n v="1"/>
    <s v="SALA CIRURGICA 01"/>
    <d v="2026-01-29T00:40:00"/>
    <d v="2026-01-29T00:55:00"/>
    <d v="2026-01-29T01:20:00"/>
    <d v="2026-01-29T01:55:00"/>
    <d v="2026-01-29T02:00:00"/>
    <d v="2026-01-29T02:15:00"/>
    <n v="1.58"/>
    <d v="2026-01-29T02:25:00"/>
    <d v="1899-12-30T01:35:00"/>
    <n v="1"/>
    <n v="35"/>
    <n v="95"/>
  </r>
  <r>
    <n v="404"/>
    <x v="0"/>
    <n v="1"/>
    <s v="SALA CIRURGICA 06"/>
    <d v="2026-01-29T08:55:00"/>
    <d v="2026-01-29T09:15:00"/>
    <d v="2026-01-29T09:20:00"/>
    <d v="2026-01-29T09:40:00"/>
    <d v="2026-01-29T09:45:00"/>
    <d v="2026-01-29T10:00:00"/>
    <n v="1.08"/>
    <d v="2026-01-29T10:10:00"/>
    <d v="1899-12-30T01:05:00"/>
    <n v="1"/>
    <n v="5"/>
    <n v="65"/>
  </r>
  <r>
    <n v="405"/>
    <x v="2"/>
    <n v="1"/>
    <s v="SALA CIRURGICA 03"/>
    <d v="2026-01-30T08:16:00"/>
    <d v="2026-01-30T08:20:00"/>
    <d v="2026-01-30T08:50:00"/>
    <d v="2026-01-30T12:00:00"/>
    <d v="2026-01-30T12:10:00"/>
    <d v="2026-01-30T12:15:00"/>
    <n v="3.98"/>
    <d v="2026-01-30T12:25:00"/>
    <d v="1899-12-30T03:59:00"/>
    <n v="3"/>
    <n v="59"/>
    <n v="239"/>
  </r>
  <r>
    <n v="406"/>
    <x v="0"/>
    <n v="1"/>
    <s v="SALA CIRURGICA 01"/>
    <d v="2026-01-29T13:15:00"/>
    <d v="2026-01-29T13:25:00"/>
    <d v="2026-01-29T13:30:00"/>
    <d v="2026-01-29T13:50:00"/>
    <d v="2026-01-29T14:00:00"/>
    <d v="2026-01-29T14:05:00"/>
    <n v="0.83"/>
    <d v="2026-01-29T14:10:00"/>
    <d v="1899-12-30T00:50:00"/>
    <n v="0"/>
    <n v="50"/>
    <n v="50"/>
  </r>
  <r>
    <n v="407"/>
    <x v="0"/>
    <n v="1"/>
    <s v="SALA CIRURGICA 03"/>
    <d v="2026-01-30T07:00:00"/>
    <d v="2026-01-30T07:35:00"/>
    <d v="2026-01-30T08:25:00"/>
    <d v="2026-01-30T09:10:00"/>
    <d v="2026-01-30T09:15:00"/>
    <d v="2026-01-30T09:50:00"/>
    <n v="2.83"/>
    <d v="2026-01-30T09:51:00"/>
    <d v="1899-12-30T02:50:00"/>
    <n v="2"/>
    <n v="50"/>
    <n v="170"/>
  </r>
  <r>
    <n v="408"/>
    <x v="1"/>
    <n v="1"/>
    <s v="SALA CIRURGICA 03"/>
    <d v="2026-01-30T14:35:00"/>
    <d v="2026-01-30T15:00:00"/>
    <d v="2026-01-30T15:30:00"/>
    <d v="2026-01-30T16:30:00"/>
    <d v="2026-01-30T16:40:00"/>
    <d v="2026-01-30T17:55:00"/>
    <n v="3.33"/>
    <d v="2026-01-30T17:56:00"/>
    <d v="1899-12-30T03:20:00"/>
    <n v="3"/>
    <n v="20"/>
    <n v="200"/>
  </r>
  <r>
    <n v="409"/>
    <x v="2"/>
    <n v="1"/>
    <s v="SALA CIRURGICA 05"/>
    <d v="2026-02-05T09:08:00"/>
    <d v="2026-02-05T09:15:00"/>
    <d v="2026-02-05T09:20:00"/>
    <d v="2026-02-05T09:30:00"/>
    <d v="2026-02-05T09:40:00"/>
    <d v="2026-02-05T09:42:00"/>
    <n v="0.56999999999999995"/>
    <d v="2026-02-05T09:52:00"/>
    <d v="1899-12-30T00:34:00"/>
    <n v="0"/>
    <n v="34"/>
    <n v="34"/>
  </r>
  <r>
    <n v="410"/>
    <x v="1"/>
    <n v="1"/>
    <s v="SALA CIRURGICA 03"/>
    <d v="2026-01-30T10:55:00"/>
    <d v="2026-01-30T11:05:00"/>
    <d v="2026-01-30T11:30:00"/>
    <d v="2026-01-30T13:00:00"/>
    <d v="2026-01-30T13:20:00"/>
    <d v="2026-01-30T13:30:00"/>
    <n v="2.58"/>
    <d v="2026-01-30T13:35:00"/>
    <d v="1899-12-30T02:35:00"/>
    <n v="2"/>
    <n v="35"/>
    <n v="155"/>
  </r>
  <r>
    <n v="411"/>
    <x v="1"/>
    <n v="1"/>
    <s v="SALA CIRURGICA 01"/>
    <d v="2026-01-30T07:00:00"/>
    <d v="2026-01-30T08:25:00"/>
    <d v="2026-01-30T09:15:00"/>
    <d v="2026-01-30T11:35:00"/>
    <d v="2026-01-30T12:10:00"/>
    <d v="2026-01-30T12:30:00"/>
    <n v="5.5"/>
    <d v="2026-01-30T12:40:00"/>
    <d v="1899-12-30T05:30:00"/>
    <n v="5"/>
    <n v="30"/>
    <n v="330"/>
  </r>
  <r>
    <n v="412"/>
    <x v="0"/>
    <n v="1"/>
    <s v="SALA CIRURGICA 03"/>
    <d v="2026-01-29T15:50:00"/>
    <d v="2026-01-29T16:00:00"/>
    <d v="2026-01-29T16:20:00"/>
    <d v="2026-01-29T17:10:00"/>
    <d v="2026-01-29T17:20:00"/>
    <d v="2026-01-29T17:30:00"/>
    <n v="1.67"/>
    <d v="2026-01-29T17:40:00"/>
    <d v="1899-12-30T01:40:00"/>
    <n v="1"/>
    <n v="40"/>
    <n v="100"/>
  </r>
  <r>
    <n v="413"/>
    <x v="0"/>
    <n v="1"/>
    <s v="SALA CIRURGICA 01"/>
    <d v="2026-01-29T18:45:00"/>
    <d v="2026-01-29T18:50:00"/>
    <d v="2026-01-29T19:00:00"/>
    <d v="2026-01-29T19:05:00"/>
    <d v="2026-01-29T19:20:00"/>
    <d v="2026-01-29T19:30:00"/>
    <n v="0.75"/>
    <d v="2026-01-29T19:40:00"/>
    <d v="1899-12-30T00:45:00"/>
    <n v="0"/>
    <n v="45"/>
    <n v="45"/>
  </r>
  <r>
    <n v="414"/>
    <x v="2"/>
    <n v="1"/>
    <s v="SALA CIRURGICA 01"/>
    <d v="2026-01-29T16:30:00"/>
    <d v="2026-01-29T16:40:00"/>
    <d v="2026-01-29T16:55:00"/>
    <d v="2026-01-29T17:00:00"/>
    <d v="2026-01-29T17:10:00"/>
    <d v="2026-01-29T20:30:00"/>
    <n v="4"/>
    <d v="2026-01-29T20:35:00"/>
    <d v="1899-12-30T04:00:00"/>
    <n v="4"/>
    <n v="0"/>
    <n v="240"/>
  </r>
  <r>
    <n v="415"/>
    <x v="1"/>
    <n v="1"/>
    <s v="SALA CIRURGICA 03"/>
    <d v="2026-01-29T23:35:00"/>
    <d v="2026-01-29T23:40:00"/>
    <d v="2026-01-29T23:45:00"/>
    <d v="2026-01-30T02:10:00"/>
    <d v="2026-01-30T02:20:00"/>
    <d v="2026-01-30T03:00:00"/>
    <n v="3.42"/>
    <d v="2026-01-30T03:01:00"/>
    <d v="1899-12-30T03:25:00"/>
    <n v="3"/>
    <n v="25"/>
    <n v="205"/>
  </r>
  <r>
    <n v="416"/>
    <x v="1"/>
    <n v="1"/>
    <s v="SALA CIRURGICA 02"/>
    <d v="2026-01-30T01:00:00"/>
    <d v="2026-01-30T01:10:00"/>
    <d v="2026-01-30T01:30:00"/>
    <d v="2026-01-30T02:20:00"/>
    <d v="2026-01-30T02:22:00"/>
    <d v="2026-01-30T02:24:00"/>
    <n v="1.4"/>
    <d v="2026-01-30T02:25:00"/>
    <d v="1899-12-30T01:24:00"/>
    <n v="1"/>
    <n v="24"/>
    <n v="84"/>
  </r>
  <r>
    <n v="417"/>
    <x v="2"/>
    <n v="1"/>
    <s v="SALA CIRURGICA 04"/>
    <d v="2026-01-30T08:00:00"/>
    <d v="2026-01-30T08:22:00"/>
    <d v="2026-01-30T09:20:00"/>
    <d v="2026-01-30T12:22:00"/>
    <d v="2026-01-30T12:32:00"/>
    <d v="2026-01-30T12:40:00"/>
    <n v="4.67"/>
    <d v="2026-01-30T12:50:00"/>
    <d v="1899-12-30T04:40:00"/>
    <n v="4"/>
    <n v="40"/>
    <n v="280"/>
  </r>
  <r>
    <n v="418"/>
    <x v="0"/>
    <n v="1"/>
    <s v="SALA CIRURGICA 01"/>
    <d v="2026-01-30T03:06:00"/>
    <d v="2026-01-30T03:25:00"/>
    <d v="2026-01-30T03:45:00"/>
    <d v="2026-01-30T04:59:00"/>
    <d v="2026-01-30T05:00:00"/>
    <d v="2026-01-30T05:10:00"/>
    <n v="2.0699999999999998"/>
    <d v="2026-01-30T05:15:00"/>
    <d v="1899-12-30T02:04:00"/>
    <n v="2"/>
    <n v="4"/>
    <n v="124"/>
  </r>
  <r>
    <n v="419"/>
    <x v="2"/>
    <n v="1"/>
    <s v="SALA CIRURGICA 04"/>
    <d v="2026-01-30T04:00:00"/>
    <d v="2026-01-30T04:10:00"/>
    <d v="2026-01-30T04:20:00"/>
    <d v="2026-01-30T04:40:00"/>
    <d v="2026-01-30T04:50:00"/>
    <d v="2026-01-30T05:00:00"/>
    <n v="1"/>
    <d v="2026-01-30T05:10:00"/>
    <d v="1899-12-30T01:00:00"/>
    <n v="1"/>
    <n v="0"/>
    <n v="60"/>
  </r>
  <r>
    <n v="420"/>
    <x v="0"/>
    <n v="1"/>
    <s v="SALA CIRURGICA 05"/>
    <d v="2026-01-30T07:00:00"/>
    <d v="2026-01-30T07:10:00"/>
    <d v="2026-01-30T07:40:00"/>
    <d v="2026-01-30T07:42:00"/>
    <d v="2026-01-30T07:43:00"/>
    <d v="2026-01-30T08:30:00"/>
    <n v="1.5"/>
    <d v="2026-01-30T08:35:00"/>
    <d v="1899-12-30T01:30:00"/>
    <n v="1"/>
    <n v="30"/>
    <n v="90"/>
  </r>
  <r>
    <n v="421"/>
    <x v="2"/>
    <n v="1"/>
    <s v="SALA CIRURGICA 01"/>
    <d v="2026-01-30T14:11:00"/>
    <d v="2026-01-30T14:12:00"/>
    <d v="2026-01-30T14:45:00"/>
    <d v="2026-01-30T15:35:00"/>
    <d v="2026-01-30T16:00:00"/>
    <d v="2026-01-30T16:05:00"/>
    <n v="1.9"/>
    <d v="2026-01-30T16:06:00"/>
    <d v="1899-12-30T01:54:00"/>
    <n v="1"/>
    <n v="54"/>
    <n v="114"/>
  </r>
  <r>
    <n v="422"/>
    <x v="2"/>
    <n v="1"/>
    <s v="SALA CIRURGICA 01"/>
    <d v="2026-01-30T09:57:00"/>
    <d v="2026-01-30T09:58:00"/>
    <d v="2026-01-30T10:55:00"/>
    <d v="2026-01-30T13:00:00"/>
    <d v="2026-01-30T16:05:00"/>
    <d v="2026-01-30T16:10:00"/>
    <n v="6.22"/>
    <d v="2026-01-30T16:20:00"/>
    <d v="1899-12-30T06:13:00"/>
    <n v="6"/>
    <n v="13"/>
    <n v="373"/>
  </r>
  <r>
    <n v="423"/>
    <x v="2"/>
    <n v="1"/>
    <s v="SALA CIRURGICA 02"/>
    <d v="2026-01-31T09:50:00"/>
    <d v="2026-01-31T10:00:00"/>
    <d v="2026-01-31T10:25:00"/>
    <d v="2026-01-31T11:17:00"/>
    <d v="2026-01-31T11:27:00"/>
    <d v="2026-01-31T12:40:00"/>
    <n v="2.83"/>
    <d v="2026-01-31T12:50:00"/>
    <d v="1899-12-30T02:50:00"/>
    <n v="2"/>
    <n v="50"/>
    <n v="170"/>
  </r>
  <r>
    <n v="424"/>
    <x v="0"/>
    <n v="1"/>
    <s v="SALA CIRURGICA 03"/>
    <d v="2026-01-31T08:50:00"/>
    <d v="2026-01-31T09:00:00"/>
    <d v="2026-01-31T09:05:00"/>
    <d v="2026-01-31T09:21:00"/>
    <d v="2026-01-31T09:31:00"/>
    <d v="2026-01-31T09:40:00"/>
    <n v="0.83"/>
    <d v="2026-01-31T09:50:00"/>
    <d v="1899-12-30T00:50:00"/>
    <n v="0"/>
    <n v="50"/>
    <n v="50"/>
  </r>
  <r>
    <n v="425"/>
    <x v="0"/>
    <n v="1"/>
    <s v="SALA CIRURGICA 05"/>
    <d v="2026-01-31T09:15:00"/>
    <d v="2026-01-31T09:30:00"/>
    <d v="2026-01-31T09:40:00"/>
    <d v="2026-01-31T10:00:00"/>
    <d v="2026-01-31T10:10:00"/>
    <d v="2026-01-31T10:20:00"/>
    <n v="1.08"/>
    <d v="2026-01-31T10:30:00"/>
    <d v="1899-12-30T01:05:00"/>
    <n v="1"/>
    <n v="5"/>
    <n v="65"/>
  </r>
  <r>
    <n v="426"/>
    <x v="0"/>
    <n v="1"/>
    <s v="SALA CIRURGICA 02"/>
    <d v="2026-02-02T07:30:00"/>
    <d v="2026-02-02T07:40:00"/>
    <d v="2026-02-02T09:00:00"/>
    <d v="2026-02-02T11:00:00"/>
    <d v="2026-02-02T11:10:00"/>
    <d v="2026-02-02T12:40:00"/>
    <n v="5.17"/>
    <d v="2026-02-02T12:50:00"/>
    <d v="1899-12-30T05:10:00"/>
    <n v="5"/>
    <n v="10"/>
    <n v="310"/>
  </r>
  <r>
    <n v="427"/>
    <x v="0"/>
    <n v="1"/>
    <s v="SALA CIRURGICA 05"/>
    <d v="2026-02-02T11:35:00"/>
    <d v="2026-02-02T11:45:00"/>
    <d v="2026-02-02T12:10:00"/>
    <d v="2026-02-02T14:34:00"/>
    <d v="2026-02-02T14:44:00"/>
    <d v="2026-02-02T14:51:00"/>
    <n v="3.27"/>
    <d v="2026-02-02T15:01:00"/>
    <d v="1899-12-30T03:16:00"/>
    <n v="3"/>
    <n v="16"/>
    <n v="196"/>
  </r>
  <r>
    <n v="428"/>
    <x v="0"/>
    <n v="1"/>
    <s v="SALA CIRURGICA 01"/>
    <d v="2026-01-30T14:30:00"/>
    <d v="2026-01-30T15:10:00"/>
    <d v="2026-01-30T16:00:00"/>
    <d v="2026-01-30T16:26:00"/>
    <d v="2026-01-30T16:36:00"/>
    <d v="2026-01-30T17:00:00"/>
    <n v="2.5"/>
    <d v="2026-01-30T17:10:00"/>
    <d v="1899-12-30T02:30:00"/>
    <n v="2"/>
    <n v="30"/>
    <n v="150"/>
  </r>
  <r>
    <n v="429"/>
    <x v="2"/>
    <n v="1"/>
    <s v="SALA CIRURGICA 01"/>
    <d v="2026-01-31T10:35:00"/>
    <d v="2026-01-31T10:45:00"/>
    <d v="2026-01-31T11:45:00"/>
    <d v="2026-01-31T12:50:00"/>
    <d v="2026-01-31T13:00:00"/>
    <d v="2026-01-31T13:30:00"/>
    <n v="2.92"/>
    <d v="2026-01-31T13:40:00"/>
    <d v="1899-12-30T02:55:00"/>
    <n v="2"/>
    <n v="55"/>
    <n v="175"/>
  </r>
  <r>
    <n v="430"/>
    <x v="1"/>
    <n v="1"/>
    <s v="SALA CIRURGICA 05"/>
    <d v="2026-01-31T13:50:00"/>
    <d v="2026-01-31T14:05:00"/>
    <d v="2026-01-31T14:20:00"/>
    <d v="2026-01-31T18:45:00"/>
    <d v="2026-01-31T18:55:00"/>
    <d v="2026-01-31T20:00:00"/>
    <n v="6.17"/>
    <d v="2026-01-31T20:10:00"/>
    <d v="1899-12-30T06:10:00"/>
    <n v="6"/>
    <n v="10"/>
    <n v="370"/>
  </r>
  <r>
    <n v="431"/>
    <x v="2"/>
    <n v="1"/>
    <s v="SALA CIRURGICA 01"/>
    <d v="2026-01-30T17:28:00"/>
    <d v="2026-01-30T17:30:00"/>
    <d v="2026-01-30T18:00:00"/>
    <d v="2026-01-30T19:35:00"/>
    <d v="2026-01-30T19:36:00"/>
    <d v="2026-01-30T19:45:00"/>
    <n v="2.2799999999999998"/>
    <d v="2026-01-30T19:55:00"/>
    <d v="1899-12-30T02:17:00"/>
    <n v="2"/>
    <n v="17"/>
    <n v="137"/>
  </r>
  <r>
    <n v="432"/>
    <x v="2"/>
    <n v="1"/>
    <s v="SALA CIRURGICA 01"/>
    <d v="2026-01-30T20:10:00"/>
    <d v="2026-01-30T20:20:00"/>
    <d v="2026-01-30T20:50:00"/>
    <d v="2026-01-30T22:10:00"/>
    <d v="2026-01-30T22:20:00"/>
    <d v="2026-01-30T22:30:00"/>
    <n v="2.33"/>
    <d v="2026-01-30T22:40:00"/>
    <d v="1899-12-30T02:20:00"/>
    <n v="2"/>
    <n v="20"/>
    <n v="140"/>
  </r>
  <r>
    <n v="433"/>
    <x v="1"/>
    <n v="1"/>
    <s v="SALA CIRURGICA 01"/>
    <d v="2026-01-30T23:10:00"/>
    <d v="2026-01-30T23:20:00"/>
    <d v="2026-01-30T23:30:00"/>
    <d v="2026-01-31T00:10:00"/>
    <d v="2026-01-31T00:30:00"/>
    <d v="2026-01-31T00:35:00"/>
    <n v="1.42"/>
    <d v="2026-01-31T00:40:00"/>
    <d v="1899-12-30T01:25:00"/>
    <n v="1"/>
    <n v="25"/>
    <n v="85"/>
  </r>
  <r>
    <n v="434"/>
    <x v="0"/>
    <n v="1"/>
    <s v="SALA CIRURGICA 03"/>
    <d v="2026-01-31T12:05:00"/>
    <d v="2026-01-31T12:25:00"/>
    <d v="2026-01-31T13:00:00"/>
    <d v="2026-01-31T13:45:00"/>
    <d v="2026-01-31T13:50:00"/>
    <d v="2026-01-31T14:15:00"/>
    <n v="2.17"/>
    <d v="2026-01-31T14:20:00"/>
    <d v="1899-12-30T02:10:00"/>
    <n v="2"/>
    <n v="10"/>
    <n v="130"/>
  </r>
  <r>
    <n v="435"/>
    <x v="1"/>
    <n v="1"/>
    <s v="SALA CIRURGICA 01"/>
    <d v="2026-02-01T13:25:00"/>
    <d v="2026-02-01T13:30:00"/>
    <d v="2026-02-01T13:40:00"/>
    <d v="2026-02-01T15:25:00"/>
    <d v="2026-02-01T15:30:00"/>
    <d v="2026-02-01T15:40:00"/>
    <n v="2.25"/>
    <d v="2026-02-01T15:50:00"/>
    <d v="1899-12-30T02:15:00"/>
    <n v="2"/>
    <n v="15"/>
    <n v="135"/>
  </r>
  <r>
    <n v="436"/>
    <x v="0"/>
    <n v="1"/>
    <s v="SALA CIRURGICA 06"/>
    <d v="2026-02-19T12:50:00"/>
    <d v="2026-02-19T13:00:00"/>
    <d v="2026-02-19T13:20:00"/>
    <d v="2026-02-19T14:00:00"/>
    <d v="2026-02-19T14:10:00"/>
    <d v="2026-02-19T14:15:00"/>
    <n v="1.42"/>
    <d v="2026-02-19T14:25:00"/>
    <d v="1899-12-30T01:25:00"/>
    <n v="1"/>
    <n v="25"/>
    <n v="85"/>
  </r>
  <r>
    <n v="437"/>
    <x v="2"/>
    <n v="1"/>
    <s v="SALA CIRURGICA 03"/>
    <d v="2026-02-01T10:05:00"/>
    <d v="2026-02-01T10:25:00"/>
    <d v="2026-02-01T10:50:00"/>
    <d v="2026-02-01T11:10:00"/>
    <d v="2026-02-01T11:20:00"/>
    <d v="2026-02-01T11:25:00"/>
    <n v="1.33"/>
    <d v="2026-02-01T11:30:00"/>
    <d v="1899-12-30T01:20:00"/>
    <n v="1"/>
    <n v="20"/>
    <n v="80"/>
  </r>
  <r>
    <n v="438"/>
    <x v="1"/>
    <n v="1"/>
    <s v="SALA CIRURGICA 01"/>
    <d v="2026-01-31T17:40:00"/>
    <d v="2026-01-31T18:00:00"/>
    <d v="2026-01-31T18:30:00"/>
    <d v="2026-01-31T19:10:00"/>
    <d v="2026-01-31T19:40:00"/>
    <d v="2026-01-31T20:33:00"/>
    <n v="2.87"/>
    <d v="2026-01-31T20:43:00"/>
    <d v="1899-12-30T02:53:00"/>
    <n v="2"/>
    <n v="53"/>
    <n v="173"/>
  </r>
  <r>
    <n v="439"/>
    <x v="1"/>
    <n v="1"/>
    <s v="SALA CIRURGICA 03"/>
    <d v="2026-02-01T00:05:00"/>
    <d v="2026-02-01T00:15:00"/>
    <d v="2026-02-01T00:30:00"/>
    <d v="2026-02-01T00:42:00"/>
    <d v="2026-02-01T00:52:00"/>
    <d v="2026-02-01T01:00:00"/>
    <n v="0.92"/>
    <d v="2026-02-01T01:10:00"/>
    <d v="1899-12-30T00:55:00"/>
    <n v="0"/>
    <n v="55"/>
    <n v="55"/>
  </r>
  <r>
    <n v="440"/>
    <x v="1"/>
    <n v="1"/>
    <s v="SALA CIRURGICA 03"/>
    <d v="2026-02-01T00:25:00"/>
    <d v="2026-02-01T00:30:00"/>
    <d v="2026-02-01T00:40:00"/>
    <d v="2026-02-01T01:10:00"/>
    <d v="2026-02-01T01:15:00"/>
    <d v="2026-02-01T01:18:00"/>
    <n v="0.88"/>
    <d v="2026-02-01T01:20:00"/>
    <d v="1899-12-30T00:53:00"/>
    <n v="0"/>
    <n v="53"/>
    <n v="53"/>
  </r>
  <r>
    <n v="441"/>
    <x v="2"/>
    <n v="1"/>
    <s v="SALA CIRURGICA 03"/>
    <d v="2026-02-01T06:12:00"/>
    <d v="2026-02-01T06:15:00"/>
    <d v="2026-02-01T06:25:00"/>
    <d v="2026-02-01T07:50:00"/>
    <d v="2026-02-01T08:30:00"/>
    <d v="2026-02-01T11:00:00"/>
    <n v="4.8"/>
    <d v="2026-02-01T11:10:00"/>
    <d v="1899-12-30T04:48:00"/>
    <n v="4"/>
    <n v="48"/>
    <n v="288"/>
  </r>
  <r>
    <n v="442"/>
    <x v="1"/>
    <n v="1"/>
    <s v="SALA CIRURGICA 01"/>
    <d v="2026-02-01T08:30:00"/>
    <d v="2026-02-01T08:35:00"/>
    <d v="2026-02-01T09:00:00"/>
    <d v="2026-02-01T09:40:00"/>
    <d v="2026-02-01T09:45:00"/>
    <d v="2026-02-01T09:55:00"/>
    <n v="1.42"/>
    <d v="2026-02-01T10:05:00"/>
    <d v="1899-12-30T01:25:00"/>
    <n v="1"/>
    <n v="25"/>
    <n v="85"/>
  </r>
  <r>
    <n v="443"/>
    <x v="0"/>
    <n v="1"/>
    <s v="SALA CIRURGICA 01"/>
    <d v="2026-02-01T11:00:00"/>
    <d v="2026-02-01T11:20:00"/>
    <d v="2026-02-01T12:10:00"/>
    <d v="2026-02-01T13:00:00"/>
    <d v="2026-02-01T13:10:00"/>
    <d v="2026-02-01T16:50:00"/>
    <n v="5.83"/>
    <d v="2026-02-01T17:00:00"/>
    <d v="1899-12-30T05:50:00"/>
    <n v="5"/>
    <n v="50"/>
    <n v="350"/>
  </r>
  <r>
    <n v="444"/>
    <x v="2"/>
    <n v="1"/>
    <s v="SALA CIRURGICA 06"/>
    <d v="2026-02-02T07:50:00"/>
    <d v="2026-02-02T08:00:00"/>
    <d v="2026-02-02T08:10:00"/>
    <d v="2026-02-02T09:10:00"/>
    <d v="2026-02-02T09:20:00"/>
    <d v="2026-02-02T09:25:00"/>
    <n v="1.58"/>
    <d v="2026-02-02T09:35:00"/>
    <d v="1899-12-30T01:35:00"/>
    <n v="1"/>
    <n v="35"/>
    <n v="95"/>
  </r>
  <r>
    <n v="445"/>
    <x v="1"/>
    <n v="1"/>
    <s v="SALA CIRURGICA 06"/>
    <d v="2026-02-02T08:20:00"/>
    <d v="2026-02-02T08:35:00"/>
    <d v="2026-02-02T08:50:00"/>
    <d v="2026-02-02T10:25:00"/>
    <d v="2026-02-02T10:35:00"/>
    <d v="2026-02-02T10:40:00"/>
    <n v="2.33"/>
    <d v="2026-02-02T10:50:00"/>
    <d v="1899-12-30T02:20:00"/>
    <n v="2"/>
    <n v="20"/>
    <n v="140"/>
  </r>
  <r>
    <n v="446"/>
    <x v="0"/>
    <n v="1"/>
    <s v="SALA CIRURGICA 01"/>
    <d v="2026-02-02T07:00:00"/>
    <d v="2026-02-02T08:05:00"/>
    <d v="2026-02-02T08:35:00"/>
    <d v="2026-02-02T10:00:00"/>
    <d v="2026-02-02T10:10:00"/>
    <d v="2026-02-02T10:20:00"/>
    <n v="3.33"/>
    <d v="2026-02-02T10:30:00"/>
    <d v="1899-12-30T03:20:00"/>
    <n v="3"/>
    <n v="20"/>
    <n v="200"/>
  </r>
  <r>
    <n v="447"/>
    <x v="0"/>
    <n v="1"/>
    <s v="SALA CIRURGICA 03"/>
    <d v="2026-02-02T14:31:00"/>
    <d v="2026-02-02T14:41:00"/>
    <d v="2026-02-02T15:10:00"/>
    <d v="2026-02-02T15:40:00"/>
    <d v="2026-02-02T15:50:00"/>
    <d v="2026-02-02T16:20:00"/>
    <n v="1.82"/>
    <d v="2026-02-02T16:30:00"/>
    <d v="1899-12-30T01:49:00"/>
    <n v="1"/>
    <n v="49"/>
    <n v="109"/>
  </r>
  <r>
    <n v="448"/>
    <x v="2"/>
    <n v="1"/>
    <s v="SALA CIRURGICA 04"/>
    <d v="2026-02-02T11:00:00"/>
    <d v="2026-02-02T11:20:00"/>
    <d v="2026-02-02T11:30:00"/>
    <d v="2026-02-02T12:25:00"/>
    <d v="2026-02-02T12:30:00"/>
    <d v="2026-02-02T12:31:00"/>
    <n v="1.52"/>
    <d v="2026-02-02T12:32:00"/>
    <d v="1899-12-30T01:31:00"/>
    <n v="1"/>
    <n v="31"/>
    <n v="91"/>
  </r>
  <r>
    <n v="449"/>
    <x v="2"/>
    <n v="1"/>
    <s v="SALA CIRURGICA 01"/>
    <d v="2026-02-01T15:47:00"/>
    <d v="2026-02-01T15:55:00"/>
    <d v="2026-02-01T16:25:00"/>
    <d v="2026-02-01T17:45:00"/>
    <d v="2026-02-01T18:00:00"/>
    <d v="2026-02-01T18:10:00"/>
    <n v="2.38"/>
    <d v="2026-02-01T18:15:00"/>
    <d v="1899-12-30T02:23:00"/>
    <n v="2"/>
    <n v="23"/>
    <n v="143"/>
  </r>
  <r>
    <n v="450"/>
    <x v="2"/>
    <n v="1"/>
    <s v="SALA CIRURGICA 05"/>
    <d v="2026-02-02T14:40:00"/>
    <d v="2026-02-02T15:15:00"/>
    <d v="2026-02-02T15:45:00"/>
    <d v="2026-02-02T16:21:00"/>
    <d v="2026-02-02T16:31:00"/>
    <d v="2026-02-02T16:32:00"/>
    <n v="1.87"/>
    <d v="2026-02-02T16:42:00"/>
    <d v="1899-12-30T01:52:00"/>
    <n v="1"/>
    <n v="52"/>
    <n v="112"/>
  </r>
  <r>
    <n v="451"/>
    <x v="2"/>
    <n v="1"/>
    <s v="SALA CIRURGICA 03"/>
    <d v="2026-02-01T17:40:00"/>
    <d v="2026-02-01T17:50:00"/>
    <d v="2026-02-01T18:00:00"/>
    <d v="2026-02-01T19:15:00"/>
    <d v="2026-02-01T19:25:00"/>
    <d v="2026-02-01T19:30:00"/>
    <n v="1.83"/>
    <d v="2026-02-01T19:40:00"/>
    <d v="1899-12-30T01:50:00"/>
    <n v="1"/>
    <n v="50"/>
    <n v="110"/>
  </r>
  <r>
    <n v="452"/>
    <x v="2"/>
    <n v="1"/>
    <s v="SALA CIRURGICA 01"/>
    <d v="2026-02-02T00:40:00"/>
    <d v="2026-02-02T00:50:00"/>
    <d v="2026-02-02T01:15:00"/>
    <d v="2026-02-02T02:40:00"/>
    <d v="2026-02-02T03:10:00"/>
    <d v="2026-02-02T03:20:00"/>
    <n v="2.67"/>
    <d v="2026-02-02T03:25:00"/>
    <d v="1899-12-30T02:40:00"/>
    <n v="2"/>
    <n v="40"/>
    <n v="160"/>
  </r>
  <r>
    <n v="453"/>
    <x v="1"/>
    <n v="1"/>
    <s v="SALA CIRURGICA 02"/>
    <d v="2026-02-01T21:10:00"/>
    <d v="2026-02-01T21:15:00"/>
    <d v="2026-02-01T21:40:00"/>
    <d v="2026-02-01T23:33:00"/>
    <d v="2026-02-02T00:35:00"/>
    <d v="2026-02-02T00:40:00"/>
    <n v="3.5"/>
    <d v="2026-02-02T00:50:00"/>
    <d v="1899-12-30T03:30:00"/>
    <n v="3"/>
    <n v="30"/>
    <n v="210"/>
  </r>
  <r>
    <n v="454"/>
    <x v="1"/>
    <n v="1"/>
    <s v="SALA CIRURGICA 01"/>
    <d v="2026-02-01T22:59:00"/>
    <d v="2026-02-01T23:00:00"/>
    <d v="2026-02-01T23:01:00"/>
    <d v="2026-02-01T23:10:00"/>
    <d v="2026-02-01T23:20:00"/>
    <d v="2026-02-01T23:22:00"/>
    <n v="0.38"/>
    <d v="2026-02-01T23:32:00"/>
    <d v="1899-12-30T00:23:00"/>
    <n v="0"/>
    <n v="23"/>
    <n v="23"/>
  </r>
  <r>
    <n v="455"/>
    <x v="2"/>
    <n v="1"/>
    <s v="SALA CIRURGICA 05"/>
    <d v="2026-02-02T06:55:00"/>
    <d v="2026-02-02T08:25:00"/>
    <d v="2026-02-02T08:35:00"/>
    <d v="2026-02-02T10:36:00"/>
    <d v="2026-02-02T10:40:00"/>
    <d v="2026-02-02T10:50:00"/>
    <n v="3.92"/>
    <d v="2026-02-02T10:55:00"/>
    <d v="1899-12-30T03:55:00"/>
    <n v="3"/>
    <n v="55"/>
    <n v="235"/>
  </r>
  <r>
    <n v="456"/>
    <x v="2"/>
    <n v="1"/>
    <s v="SALA CIRURGICA 01"/>
    <d v="2026-02-02T13:20:00"/>
    <d v="2026-02-02T13:40:00"/>
    <d v="2026-02-02T13:50:00"/>
    <d v="2026-02-02T17:10:00"/>
    <d v="2026-02-02T17:20:00"/>
    <d v="2026-02-02T17:45:00"/>
    <n v="4.42"/>
    <d v="2026-02-02T17:46:00"/>
    <d v="1899-12-30T04:25:00"/>
    <n v="4"/>
    <n v="25"/>
    <n v="265"/>
  </r>
  <r>
    <n v="457"/>
    <x v="2"/>
    <n v="1"/>
    <s v="SALA CIRURGICA 06"/>
    <d v="2026-02-02T12:15:00"/>
    <d v="2026-02-02T13:00:00"/>
    <d v="2026-02-02T13:30:00"/>
    <d v="2026-02-02T15:13:00"/>
    <d v="2026-02-02T15:23:00"/>
    <d v="2026-02-02T18:00:00"/>
    <n v="5.75"/>
    <d v="2026-02-02T18:10:00"/>
    <d v="1899-12-30T05:45:00"/>
    <n v="5"/>
    <n v="45"/>
    <n v="345"/>
  </r>
  <r>
    <n v="458"/>
    <x v="2"/>
    <n v="1"/>
    <s v="SALA CIRURGICA 01"/>
    <d v="2026-02-02T17:40:00"/>
    <d v="2026-02-02T17:55:00"/>
    <d v="2026-02-02T18:10:00"/>
    <d v="2026-02-02T19:20:00"/>
    <d v="2026-02-02T19:30:00"/>
    <d v="2026-02-02T19:55:00"/>
    <n v="2.25"/>
    <d v="2026-02-02T20:05:00"/>
    <d v="1899-12-30T02:15:00"/>
    <n v="2"/>
    <n v="15"/>
    <n v="135"/>
  </r>
  <r>
    <n v="459"/>
    <x v="0"/>
    <n v="1"/>
    <s v="SALA CIRURGICA 01"/>
    <d v="2026-02-02T11:30:00"/>
    <d v="2026-02-02T11:50:00"/>
    <d v="2026-02-02T12:00:00"/>
    <d v="2026-02-02T12:15:00"/>
    <d v="2026-02-02T12:20:00"/>
    <d v="2026-02-02T12:25:00"/>
    <n v="0.92"/>
    <d v="2026-02-02T12:30:00"/>
    <d v="1899-12-30T00:55:00"/>
    <n v="0"/>
    <n v="55"/>
    <n v="55"/>
  </r>
  <r>
    <n v="460"/>
    <x v="0"/>
    <n v="1"/>
    <s v="SALA CIRURGICA 01"/>
    <d v="2026-02-02T16:15:00"/>
    <d v="2026-02-02T16:20:00"/>
    <d v="2026-02-02T16:50:00"/>
    <d v="2026-02-02T19:00:00"/>
    <d v="2026-02-02T19:10:00"/>
    <d v="2026-02-02T19:20:00"/>
    <n v="3.08"/>
    <d v="2026-02-02T19:22:00"/>
    <d v="1899-12-30T03:05:00"/>
    <n v="3"/>
    <n v="5"/>
    <n v="185"/>
  </r>
  <r>
    <n v="461"/>
    <x v="2"/>
    <n v="1"/>
    <s v="SALA CIRURGICA 02"/>
    <d v="2026-02-03T12:10:00"/>
    <d v="2026-02-03T12:25:00"/>
    <d v="2026-02-03T13:30:00"/>
    <d v="2026-02-03T16:15:00"/>
    <d v="2026-02-03T16:25:00"/>
    <d v="2026-02-03T16:55:00"/>
    <n v="4.75"/>
    <d v="2026-02-03T16:56:00"/>
    <d v="1899-12-30T04:45:00"/>
    <n v="4"/>
    <n v="45"/>
    <n v="285"/>
  </r>
  <r>
    <n v="462"/>
    <x v="0"/>
    <n v="1"/>
    <s v="SALA CIRURGICA 02"/>
    <d v="2026-02-03T08:00:00"/>
    <d v="2026-02-03T08:10:00"/>
    <d v="2026-02-03T08:15:00"/>
    <d v="2026-02-03T08:55:00"/>
    <d v="2026-02-03T09:00:00"/>
    <d v="2026-02-03T09:02:00"/>
    <n v="1.03"/>
    <d v="2026-02-03T09:12:00"/>
    <d v="1899-12-30T01:02:00"/>
    <n v="1"/>
    <n v="2"/>
    <n v="62"/>
  </r>
  <r>
    <n v="463"/>
    <x v="2"/>
    <n v="1"/>
    <s v="SALA CIRURGICA 05"/>
    <d v="2026-02-03T11:00:00"/>
    <d v="2026-02-03T11:40:00"/>
    <d v="2026-02-03T12:35:00"/>
    <d v="2026-02-03T16:30:00"/>
    <d v="2026-02-03T17:30:00"/>
    <d v="2026-02-03T18:00:00"/>
    <n v="7"/>
    <d v="2026-02-03T18:05:00"/>
    <d v="1899-12-30T07:00:00"/>
    <n v="7"/>
    <n v="0"/>
    <n v="420"/>
  </r>
  <r>
    <n v="464"/>
    <x v="2"/>
    <n v="1"/>
    <s v="SALA CIRURGICA 05"/>
    <d v="2026-02-03T07:05:00"/>
    <d v="2026-02-03T07:35:00"/>
    <d v="2026-02-03T08:00:00"/>
    <d v="2026-02-03T09:00:00"/>
    <d v="2026-02-03T09:10:00"/>
    <d v="2026-02-03T10:20:00"/>
    <n v="3.25"/>
    <d v="2026-02-03T10:30:00"/>
    <d v="1899-12-30T03:15:00"/>
    <n v="3"/>
    <n v="15"/>
    <n v="195"/>
  </r>
  <r>
    <n v="465"/>
    <x v="2"/>
    <n v="1"/>
    <s v="SALA CIRURGICA 06"/>
    <d v="2026-02-03T18:00:00"/>
    <d v="2026-02-03T18:10:00"/>
    <d v="2026-02-03T18:45:00"/>
    <d v="2026-02-03T19:26:00"/>
    <d v="2026-02-03T19:35:00"/>
    <d v="2026-02-03T19:40:00"/>
    <n v="1.67"/>
    <d v="2026-02-03T19:45:00"/>
    <d v="1899-12-30T01:40:00"/>
    <n v="1"/>
    <n v="40"/>
    <n v="100"/>
  </r>
  <r>
    <n v="466"/>
    <x v="0"/>
    <n v="1"/>
    <s v="SALA CIRURGICA 01"/>
    <d v="2026-02-03T17:15:00"/>
    <d v="2026-02-03T17:30:00"/>
    <d v="2026-02-03T18:30:00"/>
    <d v="2026-02-03T19:00:00"/>
    <d v="2026-02-03T19:05:00"/>
    <d v="2026-02-03T19:20:00"/>
    <n v="2.08"/>
    <d v="2026-02-03T19:30:00"/>
    <d v="1899-12-30T02:05:00"/>
    <n v="2"/>
    <n v="5"/>
    <n v="125"/>
  </r>
  <r>
    <n v="467"/>
    <x v="1"/>
    <n v="1"/>
    <s v="SALA CIRURGICA 01"/>
    <d v="2026-02-02T17:12:00"/>
    <d v="2026-02-02T17:22:00"/>
    <d v="2026-02-02T17:50:00"/>
    <d v="2026-02-02T18:14:00"/>
    <d v="2026-02-02T18:24:00"/>
    <d v="2026-02-02T18:28:00"/>
    <n v="1.27"/>
    <d v="2026-02-02T18:38:00"/>
    <d v="1899-12-30T01:16:00"/>
    <n v="1"/>
    <n v="16"/>
    <n v="76"/>
  </r>
  <r>
    <n v="468"/>
    <x v="1"/>
    <n v="1"/>
    <s v="SALA CIRURGICA 01"/>
    <d v="2026-02-03T06:50:00"/>
    <d v="2026-02-03T07:55:00"/>
    <d v="2026-02-03T08:40:00"/>
    <d v="2026-02-03T10:40:00"/>
    <d v="2026-02-03T11:20:00"/>
    <d v="2026-02-03T11:25:00"/>
    <n v="4.58"/>
    <d v="2026-02-03T11:35:00"/>
    <d v="1899-12-30T04:35:00"/>
    <n v="4"/>
    <n v="35"/>
    <n v="275"/>
  </r>
  <r>
    <n v="469"/>
    <x v="1"/>
    <n v="1"/>
    <s v="SALA CIRURGICA 01"/>
    <d v="2026-02-02T21:30:00"/>
    <d v="2026-02-02T21:32:00"/>
    <d v="2026-02-02T21:50:00"/>
    <d v="2026-02-02T22:20:00"/>
    <d v="2026-02-02T22:30:00"/>
    <d v="2026-02-02T22:35:00"/>
    <n v="1.08"/>
    <d v="2026-02-02T22:45:00"/>
    <d v="1899-12-30T01:05:00"/>
    <n v="1"/>
    <n v="5"/>
    <n v="65"/>
  </r>
  <r>
    <n v="470"/>
    <x v="0"/>
    <n v="1"/>
    <s v="SALA CIRURGICA 02"/>
    <d v="2026-02-02T21:38:00"/>
    <d v="2026-02-02T21:48:00"/>
    <d v="2026-02-02T22:00:00"/>
    <d v="2026-02-02T23:30:00"/>
    <d v="2026-02-02T23:40:00"/>
    <d v="2026-02-02T23:42:00"/>
    <n v="2.0699999999999998"/>
    <d v="2026-02-02T23:45:00"/>
    <d v="1899-12-30T02:04:00"/>
    <n v="2"/>
    <n v="4"/>
    <n v="124"/>
  </r>
  <r>
    <n v="471"/>
    <x v="1"/>
    <n v="1"/>
    <s v="SALA CIRURGICA 03"/>
    <d v="2026-02-03T13:20:00"/>
    <d v="2026-02-03T13:45:00"/>
    <d v="2026-02-03T14:10:00"/>
    <d v="2026-02-03T18:25:00"/>
    <d v="2026-02-03T18:35:00"/>
    <d v="2026-02-04T09:00:00"/>
    <n v="19.670000000000002"/>
    <d v="2026-02-04T09:10:00"/>
    <d v="1899-12-30T19:40:00"/>
    <n v="19"/>
    <n v="40"/>
    <n v="1180"/>
  </r>
  <r>
    <n v="472"/>
    <x v="2"/>
    <n v="1"/>
    <s v="SALA CIRURGICA 04"/>
    <d v="2026-02-02T22:55:00"/>
    <d v="2026-02-02T23:05:00"/>
    <d v="2026-02-02T23:20:00"/>
    <d v="2026-02-03T00:44:00"/>
    <d v="2026-02-03T00:54:00"/>
    <d v="2026-02-03T01:00:00"/>
    <n v="2.08"/>
    <d v="2026-02-03T01:10:00"/>
    <d v="1899-12-30T02:05:00"/>
    <n v="2"/>
    <n v="5"/>
    <n v="125"/>
  </r>
  <r>
    <n v="473"/>
    <x v="1"/>
    <n v="1"/>
    <s v="SALA CIRURGICA 01"/>
    <d v="2026-02-03T12:50:00"/>
    <d v="2026-02-03T13:05:00"/>
    <d v="2026-02-03T14:45:00"/>
    <d v="2026-02-03T16:00:00"/>
    <d v="2026-02-03T17:30:00"/>
    <d v="2026-02-03T17:35:00"/>
    <n v="4.75"/>
    <d v="2026-02-03T17:40:00"/>
    <d v="1899-12-30T04:45:00"/>
    <n v="4"/>
    <n v="45"/>
    <n v="285"/>
  </r>
  <r>
    <n v="474"/>
    <x v="0"/>
    <n v="1"/>
    <s v="SALA CIRURGICA 02"/>
    <d v="2026-02-03T10:00:00"/>
    <d v="2026-02-03T10:05:00"/>
    <d v="2026-02-03T10:25:00"/>
    <d v="2026-02-03T11:26:00"/>
    <d v="2026-02-03T11:36:00"/>
    <d v="2026-02-03T11:37:00"/>
    <n v="1.62"/>
    <d v="2026-02-03T11:47:00"/>
    <d v="1899-12-30T01:37:00"/>
    <n v="1"/>
    <n v="37"/>
    <n v="97"/>
  </r>
  <r>
    <n v="475"/>
    <x v="1"/>
    <n v="1"/>
    <s v="SALA CIRURGICA 03"/>
    <d v="2026-02-03T10:55:00"/>
    <d v="2026-02-03T11:05:00"/>
    <d v="2026-02-03T11:20:00"/>
    <d v="2026-02-03T11:50:00"/>
    <d v="2026-02-03T12:00:00"/>
    <d v="2026-02-03T12:10:00"/>
    <n v="1.25"/>
    <d v="2026-02-03T12:20:00"/>
    <d v="1899-12-30T01:15:00"/>
    <n v="1"/>
    <n v="15"/>
    <n v="75"/>
  </r>
  <r>
    <n v="476"/>
    <x v="0"/>
    <n v="1"/>
    <s v="SALA CIRURGICA 01"/>
    <d v="2026-02-03T21:30:00"/>
    <d v="2026-02-03T21:35:00"/>
    <d v="2026-02-03T21:50:00"/>
    <d v="2026-02-03T22:05:00"/>
    <d v="2026-02-03T22:10:00"/>
    <d v="2026-02-03T22:13:00"/>
    <n v="0.72"/>
    <d v="2026-02-03T22:23:00"/>
    <d v="1899-12-30T00:43:00"/>
    <n v="0"/>
    <n v="43"/>
    <n v="43"/>
  </r>
  <r>
    <n v="477"/>
    <x v="2"/>
    <n v="1"/>
    <s v="SALA CIRURGICA 01"/>
    <d v="2026-02-03T11:45:00"/>
    <d v="2026-02-03T12:35:00"/>
    <d v="2026-02-03T12:40:00"/>
    <d v="2026-02-03T12:50:00"/>
    <d v="2026-02-03T12:55:00"/>
    <d v="2026-02-03T13:00:00"/>
    <n v="1.25"/>
    <d v="2026-02-03T13:10:00"/>
    <d v="1899-12-30T01:15:00"/>
    <n v="1"/>
    <n v="15"/>
    <n v="75"/>
  </r>
  <r>
    <n v="478"/>
    <x v="0"/>
    <n v="1"/>
    <s v="SALA CIRURGICA 01"/>
    <d v="2026-02-03T14:00:00"/>
    <d v="2026-02-03T14:15:00"/>
    <d v="2026-02-03T14:30:00"/>
    <d v="2026-02-03T15:30:00"/>
    <d v="2026-02-03T15:40:00"/>
    <d v="2026-02-03T16:00:00"/>
    <n v="2"/>
    <d v="2026-02-03T16:10:00"/>
    <d v="1899-12-30T02:00:00"/>
    <n v="2"/>
    <n v="0"/>
    <n v="120"/>
  </r>
  <r>
    <n v="479"/>
    <x v="0"/>
    <n v="1"/>
    <s v="SALA CIRURGICA 02"/>
    <d v="2026-02-04T13:30:00"/>
    <d v="2026-02-04T13:45:00"/>
    <d v="2026-02-04T14:15:00"/>
    <d v="2026-02-04T17:23:00"/>
    <d v="2026-02-04T17:50:00"/>
    <d v="2026-02-04T17:55:00"/>
    <n v="4.42"/>
    <d v="2026-02-04T18:05:00"/>
    <d v="1899-12-30T04:25:00"/>
    <n v="4"/>
    <n v="25"/>
    <n v="265"/>
  </r>
  <r>
    <n v="480"/>
    <x v="2"/>
    <n v="1"/>
    <s v="SALA CIRURGICA 05"/>
    <d v="2026-02-04T13:45:00"/>
    <d v="2026-02-04T16:50:00"/>
    <d v="2026-02-04T17:00:00"/>
    <d v="2026-02-04T18:10:00"/>
    <d v="2026-02-04T18:40:00"/>
    <d v="2026-02-04T18:50:00"/>
    <n v="5.08"/>
    <d v="2026-02-04T19:00:00"/>
    <d v="1899-12-30T05:05:00"/>
    <n v="5"/>
    <n v="5"/>
    <n v="305"/>
  </r>
  <r>
    <n v="481"/>
    <x v="2"/>
    <n v="1"/>
    <s v="SALA CIRURGICA 06"/>
    <d v="2026-02-04T07:50:00"/>
    <d v="2026-02-04T08:00:00"/>
    <d v="2026-02-04T08:30:00"/>
    <d v="2026-02-04T12:22:00"/>
    <d v="2026-02-04T12:32:00"/>
    <d v="2026-02-04T12:50:00"/>
    <n v="5"/>
    <d v="2026-02-04T13:00:00"/>
    <d v="1899-12-30T05:00:00"/>
    <n v="5"/>
    <n v="0"/>
    <n v="300"/>
  </r>
  <r>
    <n v="482"/>
    <x v="2"/>
    <n v="1"/>
    <s v="SALA CIRURGICA 02"/>
    <d v="2026-02-04T10:50:00"/>
    <d v="2026-02-04T11:00:00"/>
    <d v="2026-02-04T11:10:00"/>
    <d v="2026-02-04T11:56:00"/>
    <d v="2026-02-04T12:06:00"/>
    <d v="2026-02-04T12:10:00"/>
    <n v="1.33"/>
    <d v="2026-02-04T12:20:00"/>
    <d v="1899-12-30T01:20:00"/>
    <n v="1"/>
    <n v="20"/>
    <n v="80"/>
  </r>
  <r>
    <n v="483"/>
    <x v="2"/>
    <n v="1"/>
    <s v="SALA CIRURGICA 06"/>
    <d v="2026-02-04T11:35:00"/>
    <d v="2026-02-04T12:10:00"/>
    <d v="2026-02-04T12:35:00"/>
    <d v="2026-02-04T13:10:00"/>
    <d v="2026-02-04T13:15:00"/>
    <d v="2026-02-04T13:20:00"/>
    <n v="1.75"/>
    <d v="2026-02-04T13:21:00"/>
    <d v="1899-12-30T01:45:00"/>
    <n v="1"/>
    <n v="45"/>
    <n v="105"/>
  </r>
  <r>
    <n v="484"/>
    <x v="1"/>
    <n v="1"/>
    <s v="SALA CIRURGICA 01"/>
    <d v="2026-02-04T07:00:00"/>
    <d v="2026-02-04T08:10:00"/>
    <d v="2026-02-04T08:40:00"/>
    <d v="2026-02-04T09:40:00"/>
    <d v="2026-02-04T09:50:00"/>
    <d v="2026-02-04T09:55:00"/>
    <n v="2.92"/>
    <d v="2026-02-04T10:05:00"/>
    <d v="1899-12-30T02:55:00"/>
    <n v="2"/>
    <n v="55"/>
    <n v="175"/>
  </r>
  <r>
    <n v="485"/>
    <x v="2"/>
    <n v="1"/>
    <s v="SALA CIRURGICA 01"/>
    <d v="2026-02-04T14:30:00"/>
    <d v="2026-02-04T14:45:00"/>
    <d v="2026-02-04T15:00:00"/>
    <d v="2026-02-04T15:25:00"/>
    <d v="2026-02-04T15:35:00"/>
    <d v="2026-02-04T15:37:00"/>
    <n v="1.1200000000000001"/>
    <d v="2026-02-04T15:39:00"/>
    <d v="1899-12-30T01:07:00"/>
    <n v="1"/>
    <n v="7"/>
    <n v="67"/>
  </r>
  <r>
    <n v="486"/>
    <x v="0"/>
    <n v="1"/>
    <s v="SALA CIRURGICA 05"/>
    <d v="2026-02-05T07:40:00"/>
    <d v="2026-02-05T07:45:00"/>
    <d v="2026-02-05T07:50:00"/>
    <d v="2026-02-05T08:35:00"/>
    <d v="2026-02-05T08:45:00"/>
    <d v="2026-02-05T08:50:00"/>
    <n v="1.17"/>
    <d v="2026-02-05T08:55:00"/>
    <d v="1899-12-30T01:10:00"/>
    <n v="1"/>
    <n v="10"/>
    <n v="70"/>
  </r>
  <r>
    <n v="487"/>
    <x v="1"/>
    <n v="1"/>
    <s v="SALA CIRURGICA 01"/>
    <d v="2026-02-04T07:00:00"/>
    <d v="2026-02-04T07:45:00"/>
    <d v="2026-02-04T08:20:00"/>
    <d v="2026-02-04T10:15:00"/>
    <d v="2026-02-04T10:25:00"/>
    <d v="2026-02-04T10:30:00"/>
    <n v="3.5"/>
    <d v="2026-02-04T10:40:00"/>
    <d v="1899-12-30T03:30:00"/>
    <n v="3"/>
    <n v="30"/>
    <n v="210"/>
  </r>
  <r>
    <n v="488"/>
    <x v="2"/>
    <n v="1"/>
    <s v="SALA CIRURGICA 05"/>
    <d v="2026-02-04T07:06:00"/>
    <d v="2026-02-04T08:00:00"/>
    <d v="2026-02-04T08:40:00"/>
    <d v="2026-02-04T10:31:00"/>
    <d v="2026-02-04T10:35:00"/>
    <d v="2026-02-04T10:40:00"/>
    <n v="3.57"/>
    <d v="2026-02-04T10:50:00"/>
    <d v="1899-12-30T03:34:00"/>
    <n v="3"/>
    <n v="34"/>
    <n v="214"/>
  </r>
  <r>
    <n v="489"/>
    <x v="2"/>
    <n v="1"/>
    <s v="SALA CIRURGICA 01"/>
    <d v="2026-02-12T14:10:00"/>
    <d v="2026-02-12T14:20:00"/>
    <d v="2026-02-12T15:10:00"/>
    <d v="2026-02-12T19:40:00"/>
    <d v="2026-02-12T19:50:00"/>
    <d v="2026-02-12T19:55:00"/>
    <n v="5.75"/>
    <d v="2026-02-12T20:05:00"/>
    <d v="1899-12-30T05:45:00"/>
    <n v="5"/>
    <n v="45"/>
    <n v="345"/>
  </r>
  <r>
    <n v="490"/>
    <x v="0"/>
    <n v="1"/>
    <s v="SALA CIRURGICA 02"/>
    <d v="2026-02-04T11:10:00"/>
    <d v="2026-02-04T11:20:00"/>
    <d v="2026-02-04T11:30:00"/>
    <d v="2026-02-04T11:40:00"/>
    <d v="2026-02-04T11:41:00"/>
    <d v="2026-02-04T11:42:00"/>
    <n v="0.53"/>
    <d v="2026-02-04T11:52:00"/>
    <d v="1899-12-30T00:32:00"/>
    <n v="0"/>
    <n v="32"/>
    <n v="32"/>
  </r>
  <r>
    <n v="491"/>
    <x v="0"/>
    <n v="1"/>
    <s v="SALA CIRURGICA 01"/>
    <d v="2026-02-03T21:50:00"/>
    <d v="2026-02-03T22:00:00"/>
    <d v="2026-02-03T22:15:00"/>
    <d v="2026-02-03T22:30:00"/>
    <d v="2026-02-04T01:05:00"/>
    <d v="2026-02-04T01:10:00"/>
    <n v="3.33"/>
    <d v="2026-02-04T01:20:00"/>
    <d v="1899-12-30T03:20:00"/>
    <n v="3"/>
    <n v="20"/>
    <n v="200"/>
  </r>
  <r>
    <n v="492"/>
    <x v="2"/>
    <n v="1"/>
    <s v="SALA CIRURGICA 01"/>
    <d v="2026-02-03T21:50:00"/>
    <d v="2026-02-03T22:00:00"/>
    <d v="2026-02-03T22:15:00"/>
    <d v="2026-02-03T22:30:00"/>
    <d v="2026-02-04T01:05:00"/>
    <d v="2026-02-04T01:10:00"/>
    <n v="3.33"/>
    <d v="2026-02-04T01:20:00"/>
    <d v="1899-12-30T03:20:00"/>
    <n v="3"/>
    <n v="20"/>
    <n v="200"/>
  </r>
  <r>
    <n v="493"/>
    <x v="0"/>
    <n v="1"/>
    <s v="SALA CIRURGICA 01"/>
    <d v="2026-02-03T22:58:00"/>
    <d v="2026-02-03T23:00:00"/>
    <d v="2026-02-03T23:05:00"/>
    <d v="2026-02-03T23:25:00"/>
    <d v="2026-02-03T23:30:00"/>
    <d v="2026-02-03T23:32:00"/>
    <n v="0.56999999999999995"/>
    <d v="2026-02-03T23:35:00"/>
    <d v="1899-12-30T00:34:00"/>
    <n v="0"/>
    <n v="34"/>
    <n v="34"/>
  </r>
  <r>
    <n v="494"/>
    <x v="1"/>
    <n v="1"/>
    <s v="SALA CIRURGICA 01"/>
    <d v="2026-02-04T10:48:00"/>
    <d v="2026-02-04T10:50:00"/>
    <d v="2026-02-04T11:00:00"/>
    <d v="2026-02-04T12:04:00"/>
    <d v="2026-02-04T13:40:00"/>
    <d v="2026-02-04T13:45:00"/>
    <n v="2.95"/>
    <d v="2026-02-04T13:50:00"/>
    <d v="1899-12-30T02:57:00"/>
    <n v="2"/>
    <n v="57"/>
    <n v="177"/>
  </r>
  <r>
    <n v="495"/>
    <x v="0"/>
    <n v="1"/>
    <s v="SALA CIRURGICA 01"/>
    <d v="2026-02-04T14:40:00"/>
    <d v="2026-02-04T15:00:00"/>
    <d v="2026-02-04T15:20:00"/>
    <d v="2026-02-04T15:50:00"/>
    <d v="2026-02-04T15:51:00"/>
    <d v="2026-02-04T15:52:00"/>
    <n v="1.2"/>
    <d v="2026-02-04T16:02:00"/>
    <d v="1899-12-30T01:12:00"/>
    <n v="1"/>
    <n v="12"/>
    <n v="72"/>
  </r>
  <r>
    <n v="496"/>
    <x v="0"/>
    <n v="1"/>
    <s v="SALA CIRURGICA 05"/>
    <d v="2026-02-13T08:50:00"/>
    <d v="2026-02-13T09:15:00"/>
    <d v="2026-02-13T09:25:00"/>
    <d v="2026-02-13T09:40:00"/>
    <d v="2026-02-13T09:50:00"/>
    <d v="2026-02-13T10:00:00"/>
    <n v="1.17"/>
    <d v="2026-02-13T10:10:00"/>
    <d v="1899-12-30T01:10:00"/>
    <n v="1"/>
    <n v="10"/>
    <n v="70"/>
  </r>
  <r>
    <n v="497"/>
    <x v="2"/>
    <n v="1"/>
    <s v="SALA CIRURGICA 06"/>
    <d v="2026-02-18T08:00:00"/>
    <d v="2026-02-18T08:15:00"/>
    <d v="2026-02-18T08:30:00"/>
    <d v="2026-02-18T10:00:00"/>
    <d v="2026-02-18T10:20:00"/>
    <d v="2026-02-18T10:25:00"/>
    <n v="2.42"/>
    <d v="2026-02-18T10:27:00"/>
    <d v="1899-12-30T02:25:00"/>
    <n v="2"/>
    <n v="25"/>
    <n v="145"/>
  </r>
  <r>
    <n v="498"/>
    <x v="1"/>
    <n v="1"/>
    <s v="SALA CIRURGICA 02"/>
    <d v="2026-02-05T07:00:00"/>
    <d v="2026-02-05T07:50:00"/>
    <d v="2026-02-05T08:20:00"/>
    <d v="2026-02-05T10:40:00"/>
    <d v="2026-02-05T11:00:00"/>
    <d v="2026-02-05T11:10:00"/>
    <n v="4.17"/>
    <d v="2026-02-05T11:12:00"/>
    <d v="1899-12-30T04:10:00"/>
    <n v="4"/>
    <n v="10"/>
    <n v="250"/>
  </r>
  <r>
    <n v="499"/>
    <x v="2"/>
    <n v="1"/>
    <s v="SALA CIRURGICA 03"/>
    <d v="2026-02-05T07:10:00"/>
    <d v="2026-02-05T07:45:00"/>
    <d v="2026-02-05T07:50:00"/>
    <d v="2026-02-05T09:45:00"/>
    <d v="2026-02-05T09:55:00"/>
    <d v="2026-02-05T10:20:00"/>
    <n v="3.17"/>
    <d v="2026-02-05T10:25:00"/>
    <d v="1899-12-30T03:10:00"/>
    <n v="3"/>
    <n v="10"/>
    <n v="190"/>
  </r>
  <r>
    <n v="500"/>
    <x v="0"/>
    <n v="1"/>
    <s v="SALA CIRURGICA 02"/>
    <d v="2026-02-05T11:40:00"/>
    <d v="2026-02-05T12:05:00"/>
    <d v="2026-02-05T12:45:00"/>
    <d v="2026-02-05T14:20:00"/>
    <d v="2026-02-05T14:45:00"/>
    <d v="2026-02-05T14:50:00"/>
    <n v="3.17"/>
    <d v="2026-02-05T15:00:00"/>
    <d v="1899-12-30T03:10:00"/>
    <n v="3"/>
    <n v="10"/>
    <n v="190"/>
  </r>
  <r>
    <n v="501"/>
    <x v="1"/>
    <n v="1"/>
    <s v="SALA CIRURGICA 05"/>
    <d v="2026-02-05T07:30:00"/>
    <d v="2026-02-05T07:45:00"/>
    <d v="2026-02-05T08:10:00"/>
    <d v="2026-02-05T10:10:00"/>
    <d v="2026-02-05T10:20:00"/>
    <d v="2026-02-05T10:25:00"/>
    <n v="2.92"/>
    <d v="2026-02-05T10:35:00"/>
    <d v="1899-12-30T02:55:00"/>
    <n v="2"/>
    <n v="55"/>
    <n v="175"/>
  </r>
  <r>
    <n v="502"/>
    <x v="0"/>
    <n v="1"/>
    <s v="SALA CIRURGICA 01"/>
    <d v="2026-02-25T18:00:00"/>
    <d v="2026-02-25T18:30:00"/>
    <d v="2026-02-25T18:35:00"/>
    <d v="2026-02-25T19:00:00"/>
    <d v="2026-02-25T19:01:00"/>
    <d v="2026-02-25T19:20:00"/>
    <n v="1.33"/>
    <d v="2026-02-25T19:30:00"/>
    <d v="1899-12-30T01:20:00"/>
    <n v="1"/>
    <n v="20"/>
    <n v="80"/>
  </r>
  <r>
    <n v="503"/>
    <x v="2"/>
    <n v="1"/>
    <s v="SALA CIRURGICA 02"/>
    <d v="2026-02-05T15:15:00"/>
    <d v="2026-02-05T15:30:00"/>
    <d v="2026-02-05T16:30:00"/>
    <d v="2026-02-05T19:00:00"/>
    <d v="2026-02-05T19:25:00"/>
    <d v="2026-02-05T19:35:00"/>
    <n v="4.33"/>
    <d v="2026-02-05T19:45:00"/>
    <d v="1899-12-30T04:20:00"/>
    <n v="4"/>
    <n v="20"/>
    <n v="260"/>
  </r>
  <r>
    <n v="504"/>
    <x v="2"/>
    <n v="1"/>
    <s v="SALA CIRURGICA 03"/>
    <d v="2026-02-04T20:41:00"/>
    <d v="2026-02-04T20:50:00"/>
    <d v="2026-02-04T21:15:00"/>
    <d v="2026-02-04T21:30:00"/>
    <d v="2026-02-04T21:40:00"/>
    <d v="2026-02-04T21:49:00"/>
    <n v="1.1299999999999999"/>
    <d v="2026-02-04T21:50:00"/>
    <d v="1899-12-30T01:08:00"/>
    <n v="1"/>
    <n v="8"/>
    <n v="68"/>
  </r>
  <r>
    <n v="505"/>
    <x v="1"/>
    <n v="1"/>
    <s v="SALA CIRURGICA 03"/>
    <d v="2026-02-04T23:27:00"/>
    <d v="2026-02-04T23:30:00"/>
    <d v="2026-02-04T23:32:00"/>
    <d v="2026-02-04T23:58:00"/>
    <d v="2026-02-05T00:08:00"/>
    <d v="2026-02-05T00:10:00"/>
    <n v="0.72"/>
    <d v="2026-02-05T00:20:00"/>
    <d v="1899-12-30T00:43:00"/>
    <n v="0"/>
    <n v="43"/>
    <n v="43"/>
  </r>
  <r>
    <n v="506"/>
    <x v="1"/>
    <n v="1"/>
    <s v="SALA CIRURGICA 02"/>
    <d v="2026-02-05T15:40:00"/>
    <d v="2026-02-05T16:20:00"/>
    <d v="2026-02-05T16:40:00"/>
    <d v="2026-02-05T18:15:00"/>
    <d v="2026-02-05T18:20:00"/>
    <d v="2026-02-05T18:25:00"/>
    <n v="2.75"/>
    <d v="2026-02-05T18:30:00"/>
    <d v="1899-12-30T02:45:00"/>
    <n v="2"/>
    <n v="45"/>
    <n v="165"/>
  </r>
  <r>
    <n v="507"/>
    <x v="1"/>
    <n v="1"/>
    <s v="SALA CIRURGICA 03"/>
    <d v="2026-02-05T11:20:00"/>
    <d v="2026-02-05T11:35:00"/>
    <d v="2026-02-05T12:10:00"/>
    <d v="2026-02-05T13:55:00"/>
    <d v="2026-02-05T14:05:00"/>
    <d v="2026-02-05T14:25:00"/>
    <n v="3.08"/>
    <d v="2026-02-05T14:30:00"/>
    <d v="1899-12-30T03:05:00"/>
    <n v="3"/>
    <n v="5"/>
    <n v="185"/>
  </r>
  <r>
    <n v="508"/>
    <x v="1"/>
    <n v="1"/>
    <s v="SALA CIRURGICA 06"/>
    <d v="2026-02-05T09:25:00"/>
    <d v="2026-02-05T09:30:00"/>
    <d v="2026-02-05T09:50:00"/>
    <d v="2026-02-05T11:40:00"/>
    <d v="2026-02-05T11:50:00"/>
    <d v="2026-02-05T12:20:00"/>
    <n v="2.92"/>
    <d v="2026-02-05T12:30:00"/>
    <d v="1899-12-30T02:55:00"/>
    <n v="2"/>
    <n v="55"/>
    <n v="175"/>
  </r>
  <r>
    <n v="509"/>
    <x v="2"/>
    <n v="1"/>
    <s v="SALA CIRURGICA 05"/>
    <d v="2026-02-05T11:00:00"/>
    <d v="2026-02-05T11:10:00"/>
    <d v="2026-02-05T11:20:00"/>
    <d v="2026-02-05T11:40:00"/>
    <d v="2026-02-05T11:50:00"/>
    <d v="2026-02-05T12:00:00"/>
    <n v="1"/>
    <d v="2026-02-05T12:10:00"/>
    <d v="1899-12-30T01:00:00"/>
    <n v="1"/>
    <n v="0"/>
    <n v="60"/>
  </r>
  <r>
    <n v="510"/>
    <x v="0"/>
    <n v="1"/>
    <s v="SALA CIRURGICA 01"/>
    <d v="2026-02-05T13:20:00"/>
    <d v="2026-02-05T13:30:00"/>
    <d v="2026-02-05T13:35:00"/>
    <d v="2026-02-05T14:00:00"/>
    <d v="2026-02-05T14:05:00"/>
    <d v="2026-02-05T14:08:00"/>
    <n v="0.8"/>
    <d v="2026-02-05T14:18:00"/>
    <d v="1899-12-30T00:48:00"/>
    <n v="0"/>
    <n v="48"/>
    <n v="48"/>
  </r>
  <r>
    <n v="511"/>
    <x v="1"/>
    <n v="1"/>
    <s v="SALA CIRURGICA 01"/>
    <d v="2026-02-05T10:59:00"/>
    <d v="2026-02-05T11:45:00"/>
    <d v="2026-02-05T12:05:00"/>
    <d v="2026-02-05T14:00:00"/>
    <d v="2026-02-05T14:10:00"/>
    <d v="2026-02-05T18:20:00"/>
    <n v="7.35"/>
    <d v="2026-02-05T18:30:00"/>
    <d v="1899-12-30T07:21:00"/>
    <n v="7"/>
    <n v="21"/>
    <n v="441"/>
  </r>
  <r>
    <n v="512"/>
    <x v="2"/>
    <n v="1"/>
    <s v="SALA CIRURGICA 06"/>
    <d v="2026-02-05T13:30:00"/>
    <d v="2026-02-05T13:45:00"/>
    <d v="2026-02-05T14:45:00"/>
    <d v="2026-02-05T18:00:00"/>
    <d v="2026-02-05T18:50:00"/>
    <d v="2026-02-05T21:45:00"/>
    <n v="8.25"/>
    <d v="2026-02-05T21:50:00"/>
    <d v="1899-12-30T08:15:00"/>
    <n v="8"/>
    <n v="15"/>
    <n v="495"/>
  </r>
  <r>
    <n v="513"/>
    <x v="0"/>
    <n v="1"/>
    <s v="SALA CIRURGICA 01"/>
    <d v="2026-02-05T16:05:00"/>
    <d v="2026-02-05T16:15:00"/>
    <d v="2026-02-05T17:10:00"/>
    <d v="2026-02-05T20:40:00"/>
    <d v="2026-02-05T20:50:00"/>
    <d v="2026-02-05T21:00:00"/>
    <n v="4.92"/>
    <d v="2026-02-05T21:10:00"/>
    <d v="1899-12-30T04:55:00"/>
    <n v="4"/>
    <n v="55"/>
    <n v="295"/>
  </r>
  <r>
    <n v="514"/>
    <x v="2"/>
    <n v="1"/>
    <s v="SALA CIRURGICA 05"/>
    <d v="2026-02-05T14:55:00"/>
    <d v="2026-02-05T15:00:00"/>
    <d v="2026-02-05T15:05:00"/>
    <d v="2026-02-05T15:15:00"/>
    <d v="2026-02-05T15:20:00"/>
    <d v="2026-02-05T15:30:00"/>
    <n v="0.57999999999999996"/>
    <d v="2026-02-05T15:40:00"/>
    <d v="1899-12-30T00:35:00"/>
    <n v="0"/>
    <n v="35"/>
    <n v="35"/>
  </r>
  <r>
    <n v="515"/>
    <x v="2"/>
    <n v="1"/>
    <s v="SALA CIRURGICA 06"/>
    <d v="2026-02-10T06:55:00"/>
    <d v="2026-02-10T06:58:00"/>
    <d v="2026-02-10T07:00:00"/>
    <d v="2026-02-10T07:17:00"/>
    <d v="2026-02-10T07:24:00"/>
    <d v="2026-02-10T07:30:00"/>
    <n v="0.57999999999999996"/>
    <d v="2026-02-10T07:40:00"/>
    <d v="1899-12-30T00:35:00"/>
    <n v="0"/>
    <n v="35"/>
    <n v="35"/>
  </r>
  <r>
    <n v="516"/>
    <x v="2"/>
    <n v="1"/>
    <s v="SALA CIRURGICA 03"/>
    <d v="2026-02-06T08:00:00"/>
    <d v="2026-02-06T08:10:00"/>
    <d v="2026-02-06T08:40:00"/>
    <d v="2026-02-06T09:20:00"/>
    <d v="2026-02-06T09:30:00"/>
    <d v="2026-02-06T10:00:00"/>
    <n v="2"/>
    <d v="2026-02-06T10:10:00"/>
    <d v="1899-12-30T02:00:00"/>
    <n v="2"/>
    <n v="0"/>
    <n v="120"/>
  </r>
  <r>
    <n v="517"/>
    <x v="1"/>
    <n v="1"/>
    <s v="SALA CIRURGICA 05"/>
    <d v="2026-02-06T07:05:00"/>
    <d v="2026-02-06T07:40:00"/>
    <d v="2026-02-06T08:00:00"/>
    <d v="2026-02-06T10:58:00"/>
    <d v="2026-02-06T11:17:00"/>
    <d v="2026-02-06T11:25:00"/>
    <n v="4.33"/>
    <d v="2026-02-06T11:35:00"/>
    <d v="1899-12-30T04:20:00"/>
    <n v="4"/>
    <n v="20"/>
    <n v="260"/>
  </r>
  <r>
    <n v="518"/>
    <x v="0"/>
    <n v="1"/>
    <s v="SALA CIRURGICA 02"/>
    <d v="2026-02-06T11:35:00"/>
    <d v="2026-02-06T11:50:00"/>
    <d v="2026-02-06T14:30:00"/>
    <d v="2026-02-06T16:10:00"/>
    <d v="2026-02-06T16:20:00"/>
    <d v="2026-02-06T17:00:00"/>
    <n v="5.42"/>
    <d v="2026-02-06T17:10:00"/>
    <d v="1899-12-30T05:25:00"/>
    <n v="5"/>
    <n v="25"/>
    <n v="325"/>
  </r>
  <r>
    <n v="519"/>
    <x v="2"/>
    <n v="1"/>
    <s v="SALA CIRURGICA 02"/>
    <d v="2026-02-06T18:40:00"/>
    <d v="2026-02-06T19:00:00"/>
    <d v="2026-02-06T19:10:00"/>
    <d v="2026-02-06T21:26:00"/>
    <d v="2026-02-06T21:36:00"/>
    <d v="2026-02-06T21:55:00"/>
    <n v="3.25"/>
    <d v="2026-02-06T22:00:00"/>
    <d v="1899-12-30T03:15:00"/>
    <n v="3"/>
    <n v="15"/>
    <n v="195"/>
  </r>
  <r>
    <n v="520"/>
    <x v="0"/>
    <n v="1"/>
    <s v="SALA CIRURGICA 01"/>
    <d v="2026-02-06T08:00:00"/>
    <d v="2026-02-06T08:10:00"/>
    <d v="2026-02-06T08:30:00"/>
    <d v="2026-02-06T11:55:00"/>
    <d v="2026-02-06T12:40:00"/>
    <d v="2026-02-06T12:45:00"/>
    <n v="4.75"/>
    <d v="2026-02-06T12:46:00"/>
    <d v="1899-12-30T04:45:00"/>
    <n v="4"/>
    <n v="45"/>
    <n v="285"/>
  </r>
  <r>
    <n v="521"/>
    <x v="2"/>
    <n v="1"/>
    <s v="SALA CIRURGICA 02"/>
    <d v="2026-02-05T21:50:00"/>
    <d v="2026-02-05T22:05:00"/>
    <d v="2026-02-05T22:28:00"/>
    <d v="2026-02-05T23:15:00"/>
    <d v="2026-02-05T23:25:00"/>
    <d v="2026-02-05T23:28:00"/>
    <n v="1.63"/>
    <d v="2026-02-05T23:38:00"/>
    <d v="1899-12-30T01:38:00"/>
    <n v="1"/>
    <n v="38"/>
    <n v="98"/>
  </r>
  <r>
    <n v="522"/>
    <x v="0"/>
    <n v="1"/>
    <s v="SALA CIRURGICA 01"/>
    <d v="2026-02-05T23:00:00"/>
    <d v="2026-02-05T23:10:00"/>
    <d v="2026-02-05T23:25:00"/>
    <d v="2026-02-05T23:45:00"/>
    <d v="2026-02-05T23:50:00"/>
    <d v="2026-02-05T23:55:00"/>
    <n v="0.92"/>
    <d v="2026-02-06T00:00:00"/>
    <d v="1899-12-30T00:55:00"/>
    <n v="0"/>
    <n v="55"/>
    <n v="55"/>
  </r>
  <r>
    <n v="523"/>
    <x v="2"/>
    <n v="1"/>
    <s v="SALA CIRURGICA 01"/>
    <d v="2026-02-06T00:20:00"/>
    <d v="2026-02-06T00:30:00"/>
    <d v="2026-02-06T00:45:00"/>
    <d v="2026-02-06T02:15:00"/>
    <d v="2026-02-06T02:25:00"/>
    <d v="2026-02-06T17:00:00"/>
    <n v="16.670000000000002"/>
    <d v="2026-02-06T17:10:00"/>
    <d v="1899-12-30T16:40:00"/>
    <n v="16"/>
    <n v="40"/>
    <n v="1000"/>
  </r>
  <r>
    <n v="524"/>
    <x v="2"/>
    <n v="1"/>
    <s v="SALA CIRURGICA 02"/>
    <d v="2026-02-06T03:10:00"/>
    <d v="2026-02-06T03:15:00"/>
    <d v="2026-02-06T03:30:00"/>
    <d v="2026-02-06T04:40:00"/>
    <d v="2026-02-06T05:05:00"/>
    <d v="2026-02-06T05:10:00"/>
    <n v="2"/>
    <d v="2026-02-06T05:20:00"/>
    <d v="1899-12-30T02:00:00"/>
    <n v="2"/>
    <n v="0"/>
    <n v="120"/>
  </r>
  <r>
    <n v="525"/>
    <x v="0"/>
    <n v="1"/>
    <s v="SALA CIRURGICA 06"/>
    <d v="2026-02-06T10:40:00"/>
    <d v="2026-02-06T10:50:00"/>
    <d v="2026-02-06T11:00:00"/>
    <d v="2026-02-06T11:33:00"/>
    <d v="2026-02-06T11:43:00"/>
    <d v="2026-02-06T11:45:00"/>
    <n v="1.08"/>
    <d v="2026-02-06T11:55:00"/>
    <d v="1899-12-30T01:05:00"/>
    <n v="1"/>
    <n v="5"/>
    <n v="65"/>
  </r>
  <r>
    <n v="526"/>
    <x v="2"/>
    <n v="1"/>
    <s v="SALA CIRURGICA 01"/>
    <d v="2026-02-06T09:22:00"/>
    <d v="2026-02-06T09:23:00"/>
    <d v="2026-02-06T09:50:00"/>
    <d v="2026-02-06T10:10:00"/>
    <d v="2026-02-06T15:40:00"/>
    <d v="2026-02-06T15:45:00"/>
    <n v="6.38"/>
    <d v="2026-02-06T15:50:00"/>
    <d v="1899-12-30T06:23:00"/>
    <n v="6"/>
    <n v="23"/>
    <n v="383"/>
  </r>
  <r>
    <n v="527"/>
    <x v="1"/>
    <n v="1"/>
    <s v="SALA CIRURGICA 01"/>
    <d v="2026-02-06T20:55:00"/>
    <d v="2026-02-06T21:10:00"/>
    <d v="2026-02-06T21:35:00"/>
    <d v="2026-02-06T23:30:00"/>
    <d v="2026-02-06T23:35:00"/>
    <d v="2026-02-06T23:45:00"/>
    <n v="2.83"/>
    <d v="2026-02-06T23:55:00"/>
    <d v="1899-12-30T02:50:00"/>
    <n v="2"/>
    <n v="50"/>
    <n v="170"/>
  </r>
  <r>
    <n v="528"/>
    <x v="2"/>
    <n v="1"/>
    <s v="SALA CIRURGICA 06"/>
    <d v="2026-02-06T15:50:00"/>
    <d v="2026-02-06T16:00:00"/>
    <d v="2026-02-06T16:05:00"/>
    <d v="2026-02-06T16:20:00"/>
    <d v="2026-02-06T16:30:00"/>
    <d v="2026-02-06T16:35:00"/>
    <n v="0.75"/>
    <d v="2026-02-06T16:38:00"/>
    <d v="1899-12-30T00:45:00"/>
    <n v="0"/>
    <n v="45"/>
    <n v="45"/>
  </r>
  <r>
    <n v="529"/>
    <x v="2"/>
    <n v="1"/>
    <s v="SALA CIRURGICA 05"/>
    <d v="2026-02-06T16:27:00"/>
    <d v="2026-02-06T16:30:00"/>
    <d v="2026-02-06T16:45:00"/>
    <d v="2026-02-06T19:10:00"/>
    <d v="2026-02-06T19:20:00"/>
    <d v="2026-02-06T19:45:00"/>
    <n v="3.3"/>
    <d v="2026-02-06T19:46:00"/>
    <d v="1899-12-30T03:18:00"/>
    <n v="3"/>
    <n v="18"/>
    <n v="198"/>
  </r>
  <r>
    <n v="530"/>
    <x v="2"/>
    <n v="1"/>
    <s v="SALA CIRURGICA 01"/>
    <d v="2026-02-06T17:30:00"/>
    <d v="2026-02-06T17:40:00"/>
    <d v="2026-02-06T18:30:00"/>
    <d v="2026-02-06T20:56:00"/>
    <d v="2026-02-06T21:06:00"/>
    <d v="2026-02-06T21:10:00"/>
    <n v="3.67"/>
    <d v="2026-02-06T21:20:00"/>
    <d v="1899-12-30T03:40:00"/>
    <n v="3"/>
    <n v="40"/>
    <n v="220"/>
  </r>
  <r>
    <n v="531"/>
    <x v="1"/>
    <n v="1"/>
    <s v="SALA CIRURGICA 02"/>
    <d v="2026-02-07T07:55:00"/>
    <d v="2026-02-07T08:00:00"/>
    <d v="2026-02-07T08:45:00"/>
    <d v="2026-02-07T12:40:00"/>
    <d v="2026-02-07T13:00:00"/>
    <d v="2026-02-07T13:05:00"/>
    <n v="5.17"/>
    <d v="2026-02-07T13:10:00"/>
    <d v="1899-12-30T05:10:00"/>
    <n v="5"/>
    <n v="10"/>
    <n v="310"/>
  </r>
  <r>
    <n v="532"/>
    <x v="0"/>
    <n v="1"/>
    <s v="SALA CIRURGICA 02"/>
    <d v="2026-02-06T23:05:00"/>
    <d v="2026-02-06T23:06:00"/>
    <d v="2026-02-06T23:15:00"/>
    <d v="2026-02-07T02:30:00"/>
    <d v="2026-02-07T02:40:00"/>
    <d v="2026-02-07T04:00:00"/>
    <n v="4.92"/>
    <d v="2026-02-07T04:10:00"/>
    <d v="1899-12-30T04:55:00"/>
    <n v="4"/>
    <n v="55"/>
    <n v="295"/>
  </r>
  <r>
    <n v="533"/>
    <x v="2"/>
    <n v="1"/>
    <s v="SALA CIRURGICA 03"/>
    <d v="2026-02-07T03:00:00"/>
    <d v="2026-02-07T03:10:00"/>
    <d v="2026-02-07T03:20:00"/>
    <d v="2026-02-07T05:04:00"/>
    <d v="2026-02-07T21:50:00"/>
    <d v="2026-02-07T21:55:00"/>
    <n v="18.920000000000002"/>
    <d v="2026-02-07T22:05:00"/>
    <d v="1899-12-30T18:55:00"/>
    <n v="18"/>
    <n v="55"/>
    <n v="1135"/>
  </r>
  <r>
    <n v="534"/>
    <x v="1"/>
    <n v="1"/>
    <s v="SALA CIRURGICA 02"/>
    <d v="2026-02-07T09:20:00"/>
    <d v="2026-02-07T09:25:00"/>
    <d v="2026-02-07T09:35:00"/>
    <d v="2026-02-07T12:00:00"/>
    <d v="2026-02-07T12:10:00"/>
    <d v="2026-02-07T12:40:00"/>
    <n v="3.33"/>
    <d v="2026-02-07T12:50:00"/>
    <d v="1899-12-30T03:20:00"/>
    <n v="3"/>
    <n v="20"/>
    <n v="200"/>
  </r>
  <r>
    <n v="535"/>
    <x v="0"/>
    <n v="1"/>
    <s v="SALA CIRURGICA 02"/>
    <d v="2026-02-07T09:20:00"/>
    <d v="2026-02-07T09:25:00"/>
    <d v="2026-02-07T09:35:00"/>
    <d v="2026-02-07T12:00:00"/>
    <d v="2026-02-07T12:10:00"/>
    <d v="2026-02-07T12:40:00"/>
    <n v="3.33"/>
    <d v="2026-02-07T12:50:00"/>
    <d v="1899-12-30T03:20:00"/>
    <n v="3"/>
    <n v="20"/>
    <n v="200"/>
  </r>
  <r>
    <n v="536"/>
    <x v="0"/>
    <n v="1"/>
    <s v="SALA CIRURGICA 01"/>
    <d v="2026-02-07T10:25:00"/>
    <d v="2026-02-07T10:30:00"/>
    <d v="2026-02-07T11:10:00"/>
    <d v="2026-02-07T11:40:00"/>
    <d v="2026-02-07T11:50:00"/>
    <d v="2026-02-07T12:00:00"/>
    <n v="1.58"/>
    <d v="2026-02-07T12:05:00"/>
    <d v="1899-12-30T01:35:00"/>
    <n v="1"/>
    <n v="35"/>
    <n v="95"/>
  </r>
  <r>
    <n v="537"/>
    <x v="0"/>
    <n v="1"/>
    <s v="SALA CIRURGICA 05"/>
    <d v="2026-02-07T09:30:00"/>
    <d v="2026-02-07T09:35:00"/>
    <d v="2026-02-07T09:40:00"/>
    <d v="2026-02-07T09:55:00"/>
    <d v="2026-02-07T10:00:00"/>
    <d v="2026-02-07T10:20:00"/>
    <n v="0.83"/>
    <d v="2026-02-07T10:30:00"/>
    <d v="1899-12-30T00:50:00"/>
    <n v="0"/>
    <n v="50"/>
    <n v="50"/>
  </r>
  <r>
    <n v="538"/>
    <x v="1"/>
    <n v="1"/>
    <s v="SALA CIRURGICA 01"/>
    <d v="2026-02-07T15:27:00"/>
    <d v="2026-02-07T15:30:00"/>
    <d v="2026-02-07T15:57:00"/>
    <d v="2026-02-07T17:25:00"/>
    <d v="2026-02-07T18:10:00"/>
    <d v="2026-02-07T18:15:00"/>
    <n v="2.8"/>
    <d v="2026-02-07T18:25:00"/>
    <d v="1899-12-30T02:48:00"/>
    <n v="2"/>
    <n v="48"/>
    <n v="168"/>
  </r>
  <r>
    <n v="539"/>
    <x v="2"/>
    <n v="1"/>
    <s v="SALA CIRURGICA 01"/>
    <d v="2026-02-07T22:00:00"/>
    <d v="2026-02-07T22:20:00"/>
    <d v="2026-02-07T22:35:00"/>
    <d v="2026-02-07T23:08:00"/>
    <d v="2026-02-07T23:18:00"/>
    <d v="2026-02-07T23:40:00"/>
    <n v="1.67"/>
    <d v="2026-02-07T23:50:00"/>
    <d v="1899-12-30T01:40:00"/>
    <n v="1"/>
    <n v="40"/>
    <n v="100"/>
  </r>
  <r>
    <n v="540"/>
    <x v="2"/>
    <n v="1"/>
    <s v="SALA CIRURGICA 02"/>
    <d v="2026-02-07T14:20:00"/>
    <d v="2026-02-07T14:25:00"/>
    <d v="2026-02-07T14:40:00"/>
    <d v="2026-02-07T17:20:00"/>
    <d v="2026-02-07T17:30:00"/>
    <d v="2026-02-07T17:50:00"/>
    <n v="3.5"/>
    <d v="2026-02-07T18:00:00"/>
    <d v="1899-12-30T03:30:00"/>
    <n v="3"/>
    <n v="30"/>
    <n v="210"/>
  </r>
  <r>
    <n v="541"/>
    <x v="2"/>
    <n v="1"/>
    <s v="SALA CIRURGICA 05"/>
    <d v="2026-02-07T12:10:00"/>
    <d v="2026-02-07T12:20:00"/>
    <d v="2026-02-07T13:05:00"/>
    <d v="2026-02-07T15:50:00"/>
    <d v="2026-02-07T16:00:00"/>
    <d v="2026-02-07T20:20:00"/>
    <n v="8.17"/>
    <d v="2026-02-07T20:30:00"/>
    <d v="1899-12-30T08:10:00"/>
    <n v="8"/>
    <n v="10"/>
    <n v="490"/>
  </r>
  <r>
    <n v="542"/>
    <x v="1"/>
    <n v="1"/>
    <s v="SALA CIRURGICA 01"/>
    <d v="2026-02-08T08:15:00"/>
    <d v="2026-02-08T08:35:00"/>
    <d v="2026-02-08T08:45:00"/>
    <d v="2026-02-08T09:20:00"/>
    <d v="2026-02-08T09:25:00"/>
    <d v="2026-02-08T09:30:00"/>
    <n v="1.25"/>
    <d v="2026-02-08T09:40:00"/>
    <d v="1899-12-30T01:15:00"/>
    <n v="1"/>
    <n v="15"/>
    <n v="75"/>
  </r>
  <r>
    <n v="543"/>
    <x v="2"/>
    <n v="1"/>
    <s v="SALA CIRURGICA 01"/>
    <d v="2026-02-08T11:12:00"/>
    <d v="2026-02-08T11:17:00"/>
    <d v="2026-02-08T11:30:00"/>
    <d v="2026-02-08T12:10:00"/>
    <d v="2026-02-08T12:20:00"/>
    <d v="2026-02-08T12:30:00"/>
    <n v="1.3"/>
    <d v="2026-02-08T12:40:00"/>
    <d v="1899-12-30T01:18:00"/>
    <n v="1"/>
    <n v="18"/>
    <n v="78"/>
  </r>
  <r>
    <n v="544"/>
    <x v="0"/>
    <n v="1"/>
    <s v="SALA CIRURGICA 01"/>
    <d v="2026-02-07T15:40:00"/>
    <d v="2026-02-07T15:50:00"/>
    <d v="2026-02-07T16:37:00"/>
    <d v="2026-02-07T17:30:00"/>
    <d v="2026-02-07T17:40:00"/>
    <d v="2026-02-07T18:20:00"/>
    <n v="2.67"/>
    <d v="2026-02-07T18:30:00"/>
    <d v="1899-12-30T02:40:00"/>
    <n v="2"/>
    <n v="40"/>
    <n v="160"/>
  </r>
  <r>
    <n v="545"/>
    <x v="0"/>
    <n v="1"/>
    <s v="SALA CIRURGICA 06"/>
    <d v="2026-02-07T20:40:00"/>
    <d v="2026-02-07T20:45:00"/>
    <d v="2026-02-07T21:00:00"/>
    <d v="2026-02-07T22:30:00"/>
    <d v="2026-02-07T22:40:00"/>
    <d v="2026-02-07T22:45:00"/>
    <n v="2.08"/>
    <d v="2026-02-07T22:55:00"/>
    <d v="1899-12-30T02:05:00"/>
    <n v="2"/>
    <n v="5"/>
    <n v="125"/>
  </r>
  <r>
    <n v="546"/>
    <x v="1"/>
    <n v="1"/>
    <s v="SALA CIRURGICA 01"/>
    <d v="2026-02-07T19:35:00"/>
    <d v="2026-02-07T19:40:00"/>
    <d v="2026-02-07T19:45:00"/>
    <d v="2026-02-07T21:24:00"/>
    <d v="2026-02-07T21:34:00"/>
    <d v="2026-02-07T21:40:00"/>
    <n v="2.08"/>
    <d v="2026-02-07T21:50:00"/>
    <d v="1899-12-30T02:05:00"/>
    <n v="2"/>
    <n v="5"/>
    <n v="125"/>
  </r>
  <r>
    <n v="547"/>
    <x v="0"/>
    <n v="1"/>
    <s v="SALA CIRURGICA 01"/>
    <d v="2026-02-08T01:15:00"/>
    <d v="2026-02-08T01:40:00"/>
    <d v="2026-02-08T02:00:00"/>
    <d v="2026-02-08T02:20:00"/>
    <d v="2026-02-08T02:25:00"/>
    <d v="2026-02-08T02:27:00"/>
    <n v="1.2"/>
    <d v="2026-02-08T02:30:00"/>
    <d v="1899-12-30T01:12:00"/>
    <n v="1"/>
    <n v="12"/>
    <n v="72"/>
  </r>
  <r>
    <n v="548"/>
    <x v="0"/>
    <n v="1"/>
    <s v="SALA CIRURGICA 05"/>
    <d v="2026-02-08T09:50:00"/>
    <d v="2026-02-08T10:00:00"/>
    <d v="2026-02-08T10:25:00"/>
    <d v="2026-02-08T11:00:00"/>
    <d v="2026-02-08T11:10:00"/>
    <d v="2026-02-08T11:17:00"/>
    <n v="1.45"/>
    <d v="2026-02-08T11:27:00"/>
    <d v="1899-12-30T01:27:00"/>
    <n v="1"/>
    <n v="27"/>
    <n v="87"/>
  </r>
  <r>
    <n v="549"/>
    <x v="0"/>
    <n v="1"/>
    <s v="SALA CIRURGICA 01"/>
    <d v="2026-02-08T15:10:00"/>
    <d v="2026-02-08T15:30:00"/>
    <d v="2026-02-08T15:45:00"/>
    <d v="2026-02-08T16:00:00"/>
    <d v="2026-02-08T16:10:00"/>
    <d v="2026-02-08T16:20:00"/>
    <n v="1.17"/>
    <d v="2026-02-08T16:30:00"/>
    <d v="1899-12-30T01:10:00"/>
    <n v="1"/>
    <n v="10"/>
    <n v="70"/>
  </r>
  <r>
    <n v="550"/>
    <x v="1"/>
    <n v="1"/>
    <s v="SALA CIRURGICA 01"/>
    <d v="2026-02-08T20:15:00"/>
    <d v="2026-02-08T20:20:00"/>
    <d v="2026-02-08T20:30:00"/>
    <d v="2026-02-08T20:57:00"/>
    <d v="2026-02-08T21:07:00"/>
    <d v="2026-02-08T21:20:00"/>
    <n v="1.08"/>
    <d v="2026-02-08T21:30:00"/>
    <d v="1899-12-30T01:05:00"/>
    <n v="1"/>
    <n v="5"/>
    <n v="65"/>
  </r>
  <r>
    <n v="551"/>
    <x v="1"/>
    <n v="1"/>
    <s v="SALA CIRURGICA 06"/>
    <d v="2026-02-09T12:15:00"/>
    <d v="2026-02-09T12:30:00"/>
    <d v="2026-02-09T12:50:00"/>
    <d v="2026-02-09T13:30:00"/>
    <d v="2026-02-09T13:40:00"/>
    <d v="2026-02-09T19:55:00"/>
    <n v="7.67"/>
    <d v="2026-02-09T20:05:00"/>
    <d v="1899-12-30T07:40:00"/>
    <n v="7"/>
    <n v="40"/>
    <n v="460"/>
  </r>
  <r>
    <n v="552"/>
    <x v="0"/>
    <n v="1"/>
    <s v="SALA CIRURGICA 01"/>
    <d v="2026-02-08T21:59:00"/>
    <d v="2026-02-08T22:15:00"/>
    <d v="2026-02-08T22:30:00"/>
    <d v="2026-02-08T22:47:00"/>
    <d v="2026-02-08T22:52:00"/>
    <d v="2026-02-08T23:00:00"/>
    <n v="1.02"/>
    <d v="2026-02-08T23:10:00"/>
    <d v="1899-12-30T01:01:00"/>
    <n v="1"/>
    <n v="1"/>
    <n v="61"/>
  </r>
  <r>
    <n v="553"/>
    <x v="1"/>
    <n v="1"/>
    <s v="SALA CIRURGICA 06"/>
    <d v="2026-02-09T07:00:00"/>
    <d v="2026-02-09T08:40:00"/>
    <d v="2026-02-09T09:05:00"/>
    <d v="2026-02-09T10:00:00"/>
    <d v="2026-02-09T10:40:00"/>
    <d v="2026-02-09T10:50:00"/>
    <n v="3.83"/>
    <d v="2026-02-09T11:05:00"/>
    <d v="1899-12-30T03:50:00"/>
    <n v="3"/>
    <n v="50"/>
    <n v="230"/>
  </r>
  <r>
    <n v="554"/>
    <x v="0"/>
    <n v="1"/>
    <s v="SALA CIRURGICA 03"/>
    <d v="2026-02-08T13:25:00"/>
    <d v="2026-02-08T13:35:00"/>
    <d v="2026-02-08T13:55:00"/>
    <d v="2026-02-08T14:59:00"/>
    <d v="2026-02-08T15:09:00"/>
    <d v="2026-02-08T15:10:00"/>
    <n v="1.75"/>
    <d v="2026-02-08T15:20:00"/>
    <d v="1899-12-30T01:45:00"/>
    <n v="1"/>
    <n v="45"/>
    <n v="105"/>
  </r>
  <r>
    <n v="555"/>
    <x v="0"/>
    <n v="1"/>
    <s v="SALA CIRURGICA 05"/>
    <d v="2026-02-08T15:55:00"/>
    <d v="2026-02-08T15:57:00"/>
    <d v="2026-02-08T16:00:00"/>
    <d v="2026-02-08T16:05:00"/>
    <d v="2026-02-08T16:15:00"/>
    <d v="2026-02-08T16:20:00"/>
    <n v="0.42"/>
    <d v="2026-02-08T16:30:00"/>
    <d v="1899-12-30T00:25:00"/>
    <n v="0"/>
    <n v="25"/>
    <n v="25"/>
  </r>
  <r>
    <n v="556"/>
    <x v="2"/>
    <n v="1"/>
    <s v="SALA CIRURGICA 01"/>
    <d v="2026-02-09T06:50:00"/>
    <d v="2026-02-09T07:50:00"/>
    <d v="2026-02-09T08:35:00"/>
    <d v="2026-02-09T10:15:00"/>
    <d v="2026-02-09T11:50:00"/>
    <d v="2026-02-09T12:05:00"/>
    <n v="5.25"/>
    <d v="2026-02-09T12:15:00"/>
    <d v="1899-12-30T05:15:00"/>
    <n v="5"/>
    <n v="15"/>
    <n v="315"/>
  </r>
  <r>
    <n v="557"/>
    <x v="1"/>
    <n v="1"/>
    <s v="SALA CIRURGICA 01"/>
    <d v="2026-02-09T00:40:00"/>
    <d v="2026-02-09T00:50:00"/>
    <d v="2026-02-09T01:00:00"/>
    <d v="2026-02-09T01:10:00"/>
    <d v="2026-02-09T01:20:00"/>
    <d v="2026-02-09T01:25:00"/>
    <n v="0.75"/>
    <d v="2026-02-09T01:28:00"/>
    <d v="1899-12-30T00:45:00"/>
    <n v="0"/>
    <n v="45"/>
    <n v="45"/>
  </r>
  <r>
    <n v="558"/>
    <x v="1"/>
    <n v="1"/>
    <s v="SALA CIRURGICA 05"/>
    <d v="2026-02-09T02:30:00"/>
    <d v="2026-02-09T02:40:00"/>
    <d v="2026-02-09T03:30:00"/>
    <d v="2026-02-09T04:45:00"/>
    <d v="2026-02-09T05:00:00"/>
    <d v="2026-02-09T16:10:00"/>
    <n v="13.67"/>
    <d v="2026-02-09T16:20:00"/>
    <d v="1899-12-30T13:40:00"/>
    <n v="13"/>
    <n v="40"/>
    <n v="820"/>
  </r>
  <r>
    <n v="559"/>
    <x v="2"/>
    <n v="1"/>
    <s v="SALA CIRURGICA 01"/>
    <d v="2026-02-09T21:36:00"/>
    <d v="2026-02-09T21:46:00"/>
    <d v="2026-02-09T21:50:00"/>
    <d v="2026-02-09T23:00:00"/>
    <d v="2026-02-09T23:10:00"/>
    <d v="2026-02-09T23:30:00"/>
    <n v="1.9"/>
    <d v="2026-02-09T23:40:00"/>
    <d v="1899-12-30T01:54:00"/>
    <n v="1"/>
    <n v="54"/>
    <n v="114"/>
  </r>
  <r>
    <n v="560"/>
    <x v="2"/>
    <n v="1"/>
    <s v="SALA CIRURGICA 01"/>
    <d v="2026-02-09T12:35:00"/>
    <d v="2026-02-09T13:05:00"/>
    <d v="2026-02-09T14:50:00"/>
    <d v="2026-02-09T18:20:00"/>
    <d v="2026-02-09T19:00:00"/>
    <d v="2026-02-09T19:10:00"/>
    <n v="6.58"/>
    <d v="2026-02-09T19:20:00"/>
    <d v="1899-12-30T06:35:00"/>
    <n v="6"/>
    <n v="35"/>
    <n v="395"/>
  </r>
  <r>
    <n v="561"/>
    <x v="2"/>
    <n v="1"/>
    <s v="SALA CIRURGICA 05"/>
    <d v="2026-02-09T17:20:00"/>
    <d v="2026-02-09T17:25:00"/>
    <d v="2026-02-09T17:48:00"/>
    <d v="2026-02-09T18:40:00"/>
    <d v="2026-02-09T19:00:00"/>
    <d v="2026-02-09T20:00:00"/>
    <n v="2.67"/>
    <d v="2026-02-09T20:15:00"/>
    <d v="1899-12-30T02:40:00"/>
    <n v="2"/>
    <n v="40"/>
    <n v="160"/>
  </r>
  <r>
    <n v="562"/>
    <x v="2"/>
    <n v="1"/>
    <s v="SALA CIRURGICA 01"/>
    <d v="2026-02-10T10:10:00"/>
    <d v="2026-02-10T10:35:00"/>
    <d v="2026-02-10T10:45:00"/>
    <d v="2026-02-10T11:16:00"/>
    <d v="2026-02-10T11:26:00"/>
    <d v="2026-02-10T12:00:00"/>
    <n v="1.83"/>
    <d v="2026-02-10T12:10:00"/>
    <d v="1899-12-30T01:50:00"/>
    <n v="1"/>
    <n v="50"/>
    <n v="110"/>
  </r>
  <r>
    <n v="563"/>
    <x v="1"/>
    <n v="1"/>
    <s v="SALA CIRURGICA 04"/>
    <d v="2026-02-10T07:00:00"/>
    <d v="2026-02-10T07:50:00"/>
    <d v="2026-02-10T08:00:00"/>
    <d v="2026-02-10T10:30:00"/>
    <d v="2026-02-10T10:40:00"/>
    <d v="2026-02-10T11:00:00"/>
    <n v="4"/>
    <d v="2026-02-10T11:10:00"/>
    <d v="1899-12-30T04:00:00"/>
    <n v="4"/>
    <n v="0"/>
    <n v="240"/>
  </r>
  <r>
    <n v="564"/>
    <x v="1"/>
    <n v="1"/>
    <s v="SALA CIRURGICA 06"/>
    <d v="2026-02-10T07:58:00"/>
    <d v="2026-02-10T08:00:00"/>
    <d v="2026-02-10T08:35:00"/>
    <d v="2026-02-10T11:20:00"/>
    <d v="2026-02-10T11:50:00"/>
    <d v="2026-02-10T12:00:00"/>
    <n v="4.03"/>
    <d v="2026-02-10T12:01:00"/>
    <d v="1899-12-30T04:02:00"/>
    <n v="4"/>
    <n v="2"/>
    <n v="242"/>
  </r>
  <r>
    <n v="565"/>
    <x v="2"/>
    <n v="1"/>
    <s v="SALA CIRURGICA 02"/>
    <d v="2026-02-10T12:50:00"/>
    <d v="2026-02-10T13:15:00"/>
    <d v="2026-02-10T13:35:00"/>
    <d v="2026-02-10T14:55:00"/>
    <d v="2026-02-10T15:00:00"/>
    <d v="2026-02-10T15:01:00"/>
    <n v="2.1800000000000002"/>
    <d v="2026-02-10T15:02:00"/>
    <d v="1899-12-30T02:11:00"/>
    <n v="2"/>
    <n v="11"/>
    <n v="131"/>
  </r>
  <r>
    <n v="566"/>
    <x v="1"/>
    <n v="1"/>
    <s v="SALA CIRURGICA 01"/>
    <d v="2026-02-10T11:15:00"/>
    <d v="2026-02-10T11:30:00"/>
    <d v="2026-02-10T12:00:00"/>
    <d v="2026-02-10T15:03:00"/>
    <d v="2026-02-10T15:30:00"/>
    <d v="2026-02-10T15:40:00"/>
    <n v="4.42"/>
    <d v="2026-02-10T15:50:00"/>
    <d v="1899-12-30T04:25:00"/>
    <n v="4"/>
    <n v="25"/>
    <n v="265"/>
  </r>
  <r>
    <n v="567"/>
    <x v="0"/>
    <n v="1"/>
    <s v="SALA CIRURGICA 02"/>
    <d v="2026-02-13T07:05:00"/>
    <d v="2026-02-13T07:35:00"/>
    <d v="2026-02-13T08:40:00"/>
    <d v="2026-02-13T08:55:00"/>
    <d v="2026-02-13T09:05:00"/>
    <d v="2026-02-13T09:25:00"/>
    <n v="2.33"/>
    <d v="2026-02-13T09:35:00"/>
    <d v="1899-12-30T02:20:00"/>
    <n v="2"/>
    <n v="20"/>
    <n v="140"/>
  </r>
  <r>
    <n v="568"/>
    <x v="2"/>
    <n v="1"/>
    <s v="SALA CIRURGICA 02"/>
    <d v="2026-02-27T07:45:00"/>
    <d v="2026-02-27T08:00:00"/>
    <d v="2026-02-27T09:00:00"/>
    <d v="2026-02-27T14:20:00"/>
    <d v="2026-02-27T16:40:00"/>
    <d v="2026-02-27T16:50:00"/>
    <n v="9.08"/>
    <d v="2026-02-27T17:00:00"/>
    <d v="1899-12-30T09:05:00"/>
    <n v="9"/>
    <n v="5"/>
    <n v="545"/>
  </r>
  <r>
    <n v="569"/>
    <x v="2"/>
    <n v="1"/>
    <s v="SALA CIRURGICA 06"/>
    <d v="2026-02-10T08:00:00"/>
    <d v="2026-02-10T08:20:00"/>
    <d v="2026-02-10T08:30:00"/>
    <d v="2026-02-10T08:55:00"/>
    <d v="2026-02-10T09:05:00"/>
    <d v="2026-02-10T09:10:00"/>
    <n v="1.17"/>
    <d v="2026-02-10T09:20:00"/>
    <d v="1899-12-30T01:10:00"/>
    <n v="1"/>
    <n v="10"/>
    <n v="70"/>
  </r>
  <r>
    <n v="570"/>
    <x v="2"/>
    <n v="1"/>
    <s v="SALA CIRURGICA 01"/>
    <d v="2026-02-10T13:10:00"/>
    <d v="2026-02-10T13:50:00"/>
    <d v="2026-02-10T13:55:00"/>
    <d v="2026-02-10T15:40:00"/>
    <d v="2026-02-10T15:50:00"/>
    <d v="2026-02-10T16:00:00"/>
    <n v="2.83"/>
    <d v="2026-02-10T16:10:00"/>
    <d v="1899-12-30T02:50:00"/>
    <n v="2"/>
    <n v="50"/>
    <n v="170"/>
  </r>
  <r>
    <n v="571"/>
    <x v="1"/>
    <n v="1"/>
    <s v="SALA CIRURGICA 01"/>
    <d v="2026-02-09T17:00:00"/>
    <d v="2026-02-09T17:15:00"/>
    <d v="2026-02-09T17:30:00"/>
    <d v="2026-02-09T17:40:00"/>
    <d v="2026-02-09T20:35:00"/>
    <d v="2026-02-09T20:40:00"/>
    <n v="3.67"/>
    <d v="2026-02-09T20:45:00"/>
    <d v="1899-12-30T03:40:00"/>
    <n v="3"/>
    <n v="40"/>
    <n v="220"/>
  </r>
  <r>
    <n v="572"/>
    <x v="2"/>
    <n v="1"/>
    <s v="SALA CIRURGICA 03"/>
    <d v="2026-03-04T08:05:00"/>
    <d v="2026-03-04T08:10:00"/>
    <d v="2026-03-04T08:20:00"/>
    <d v="2026-03-04T09:15:00"/>
    <d v="2026-03-04T09:25:00"/>
    <d v="2026-03-04T09:30:00"/>
    <n v="1.42"/>
    <d v="2026-03-04T09:35:00"/>
    <d v="1899-12-30T01:25:00"/>
    <n v="1"/>
    <n v="25"/>
    <n v="85"/>
  </r>
  <r>
    <n v="573"/>
    <x v="0"/>
    <n v="1"/>
    <s v="SALA CIRURGICA 01"/>
    <d v="2026-02-10T07:00:00"/>
    <d v="2026-02-10T07:50:00"/>
    <d v="2026-02-10T08:00:00"/>
    <d v="2026-02-10T08:41:00"/>
    <d v="2026-02-10T08:51:00"/>
    <d v="2026-02-10T09:50:00"/>
    <n v="2.83"/>
    <d v="2026-02-10T10:00:00"/>
    <d v="1899-12-30T02:50:00"/>
    <n v="2"/>
    <n v="50"/>
    <n v="170"/>
  </r>
  <r>
    <n v="574"/>
    <x v="0"/>
    <n v="1"/>
    <s v="SALA CIRURGICA 06"/>
    <d v="2026-02-10T08:05:00"/>
    <d v="2026-02-10T08:15:00"/>
    <d v="2026-02-10T08:40:00"/>
    <d v="2026-02-10T10:00:00"/>
    <d v="2026-02-10T10:10:00"/>
    <d v="2026-02-10T10:15:00"/>
    <n v="2.17"/>
    <d v="2026-02-10T10:20:00"/>
    <d v="1899-12-30T02:10:00"/>
    <n v="2"/>
    <n v="10"/>
    <n v="130"/>
  </r>
  <r>
    <n v="575"/>
    <x v="2"/>
    <n v="1"/>
    <s v="SALA CIRURGICA 01"/>
    <d v="2026-02-10T11:40:00"/>
    <d v="2026-02-10T11:41:00"/>
    <d v="2026-02-10T11:42:00"/>
    <d v="2026-02-10T11:43:00"/>
    <d v="2026-02-10T11:44:00"/>
    <d v="2026-02-10T11:45:00"/>
    <n v="0.08"/>
    <d v="2026-02-10T11:55:00"/>
    <d v="1899-12-30T00:05:00"/>
    <n v="0"/>
    <n v="5"/>
    <n v="5"/>
  </r>
  <r>
    <n v="576"/>
    <x v="1"/>
    <n v="1"/>
    <s v="SALA CIRURGICA 03"/>
    <d v="2026-02-11T08:10:00"/>
    <d v="2026-02-11T08:20:00"/>
    <d v="2026-02-11T08:40:00"/>
    <d v="2026-02-11T09:14:00"/>
    <d v="2026-02-11T10:30:00"/>
    <d v="2026-02-11T10:40:00"/>
    <n v="2.5"/>
    <d v="2026-02-11T10:41:00"/>
    <d v="1899-12-30T02:30:00"/>
    <n v="2"/>
    <n v="30"/>
    <n v="150"/>
  </r>
  <r>
    <n v="577"/>
    <x v="1"/>
    <n v="1"/>
    <s v="SALA CIRURGICA 01"/>
    <d v="2026-02-10T14:05:00"/>
    <d v="2026-02-10T14:15:00"/>
    <d v="2026-02-10T15:07:00"/>
    <d v="2026-02-10T18:07:00"/>
    <d v="2026-02-10T18:17:00"/>
    <d v="2026-02-10T18:25:00"/>
    <n v="4.33"/>
    <d v="2026-02-10T18:35:00"/>
    <d v="1899-12-30T04:20:00"/>
    <n v="4"/>
    <n v="20"/>
    <n v="260"/>
  </r>
  <r>
    <n v="578"/>
    <x v="1"/>
    <n v="1"/>
    <s v="SALA CIRURGICA 06"/>
    <d v="2026-02-10T13:50:00"/>
    <d v="2026-02-10T14:00:00"/>
    <d v="2026-02-10T14:30:00"/>
    <d v="2026-02-10T16:30:00"/>
    <d v="2026-02-10T16:40:00"/>
    <d v="2026-02-10T17:00:00"/>
    <n v="3.17"/>
    <d v="2026-02-10T17:10:00"/>
    <d v="1899-12-30T03:10:00"/>
    <n v="3"/>
    <n v="10"/>
    <n v="190"/>
  </r>
  <r>
    <n v="579"/>
    <x v="0"/>
    <n v="1"/>
    <s v="SALA CIRURGICA 01"/>
    <d v="2026-02-10T16:35:00"/>
    <d v="2026-02-10T16:40:00"/>
    <d v="2026-02-10T17:00:00"/>
    <d v="2026-02-10T18:00:00"/>
    <d v="2026-02-10T18:01:00"/>
    <d v="2026-02-10T18:02:00"/>
    <n v="1.45"/>
    <d v="2026-02-10T18:12:00"/>
    <d v="1899-12-30T01:27:00"/>
    <n v="1"/>
    <n v="27"/>
    <n v="87"/>
  </r>
  <r>
    <n v="580"/>
    <x v="0"/>
    <n v="1"/>
    <s v="SALA CIRURGICA 05"/>
    <d v="2026-02-11T12:30:00"/>
    <d v="2026-02-11T12:50:00"/>
    <d v="2026-02-11T13:00:00"/>
    <d v="2026-02-11T13:40:00"/>
    <d v="2026-02-11T13:50:00"/>
    <d v="2026-02-11T14:00:00"/>
    <n v="1.5"/>
    <d v="2026-02-11T14:10:00"/>
    <d v="1899-12-30T01:30:00"/>
    <n v="1"/>
    <n v="30"/>
    <n v="90"/>
  </r>
  <r>
    <n v="581"/>
    <x v="0"/>
    <n v="1"/>
    <s v="SALA CIRURGICA 04"/>
    <d v="2026-02-13T10:30:00"/>
    <d v="2026-02-13T10:40:00"/>
    <d v="2026-02-13T11:20:00"/>
    <d v="2026-02-13T12:40:00"/>
    <d v="2026-02-13T14:45:00"/>
    <d v="2026-02-13T14:50:00"/>
    <n v="4.33"/>
    <d v="2026-02-13T14:55:00"/>
    <d v="1899-12-30T04:20:00"/>
    <n v="4"/>
    <n v="20"/>
    <n v="260"/>
  </r>
  <r>
    <n v="582"/>
    <x v="0"/>
    <n v="1"/>
    <s v="SALA CIRURGICA 06"/>
    <d v="2026-03-03T07:25:00"/>
    <d v="2026-03-03T08:27:00"/>
    <d v="2026-03-03T08:40:00"/>
    <d v="2026-03-03T09:35:00"/>
    <d v="2026-03-03T09:40:00"/>
    <d v="2026-03-03T10:03:00"/>
    <n v="2.63"/>
    <d v="2026-03-03T10:04:00"/>
    <d v="1899-12-30T02:38:00"/>
    <n v="2"/>
    <n v="38"/>
    <n v="158"/>
  </r>
  <r>
    <n v="583"/>
    <x v="0"/>
    <n v="1"/>
    <s v="SALA CIRURGICA 05"/>
    <d v="2026-02-12T08:40:00"/>
    <d v="2026-02-12T08:50:00"/>
    <d v="2026-02-12T08:55:00"/>
    <d v="2026-02-12T09:40:00"/>
    <d v="2026-02-12T09:45:00"/>
    <d v="2026-02-12T09:50:00"/>
    <n v="1.17"/>
    <d v="2026-02-12T09:55:00"/>
    <d v="1899-12-30T01:10:00"/>
    <n v="1"/>
    <n v="10"/>
    <n v="70"/>
  </r>
  <r>
    <n v="584"/>
    <x v="2"/>
    <n v="1"/>
    <s v="SALA CIRURGICA 05"/>
    <d v="2026-02-12T07:25:00"/>
    <d v="2026-02-12T07:35:00"/>
    <d v="2026-02-12T07:40:00"/>
    <d v="2026-02-12T08:00:00"/>
    <d v="2026-02-12T08:10:00"/>
    <d v="2026-02-12T08:12:00"/>
    <n v="0.78"/>
    <d v="2026-02-12T08:22:00"/>
    <d v="1899-12-30T00:47:00"/>
    <n v="0"/>
    <n v="47"/>
    <n v="47"/>
  </r>
  <r>
    <n v="585"/>
    <x v="2"/>
    <n v="1"/>
    <s v="SALA CIRURGICA 02"/>
    <d v="2026-02-11T07:55:00"/>
    <d v="2026-02-11T08:15:00"/>
    <d v="2026-02-11T08:30:00"/>
    <d v="2026-02-11T09:15:00"/>
    <d v="2026-02-11T09:25:00"/>
    <d v="2026-02-11T09:40:00"/>
    <n v="1.75"/>
    <d v="2026-02-11T09:50:00"/>
    <d v="1899-12-30T01:45:00"/>
    <n v="1"/>
    <n v="45"/>
    <n v="105"/>
  </r>
  <r>
    <n v="586"/>
    <x v="0"/>
    <n v="1"/>
    <s v="SALA CIRURGICA 03"/>
    <d v="2026-02-11T07:00:00"/>
    <d v="2026-02-11T07:45:00"/>
    <d v="2026-02-11T08:10:00"/>
    <d v="2026-02-11T09:45:00"/>
    <d v="2026-02-11T10:05:00"/>
    <d v="2026-02-11T10:15:00"/>
    <n v="3.25"/>
    <d v="2026-02-11T10:20:00"/>
    <d v="1899-12-30T03:15:00"/>
    <n v="3"/>
    <n v="15"/>
    <n v="195"/>
  </r>
  <r>
    <n v="587"/>
    <x v="0"/>
    <n v="1"/>
    <s v="SALA CIRURGICA 03"/>
    <d v="2026-02-10T17:00:00"/>
    <d v="2026-02-10T17:25:00"/>
    <d v="2026-02-10T17:45:00"/>
    <d v="2026-02-10T19:45:00"/>
    <d v="2026-02-10T19:50:00"/>
    <d v="2026-02-10T19:54:00"/>
    <n v="2.9"/>
    <d v="2026-02-10T20:04:00"/>
    <d v="1899-12-30T02:54:00"/>
    <n v="2"/>
    <n v="54"/>
    <n v="174"/>
  </r>
  <r>
    <n v="588"/>
    <x v="0"/>
    <n v="1"/>
    <s v="SALA CIRURGICA 06"/>
    <d v="2026-02-10T17:50:00"/>
    <d v="2026-02-10T18:00:00"/>
    <d v="2026-02-10T18:05:00"/>
    <d v="2026-02-10T18:30:00"/>
    <d v="2026-02-10T18:37:00"/>
    <d v="2026-02-10T18:38:00"/>
    <n v="0.8"/>
    <d v="2026-02-10T18:40:00"/>
    <d v="1899-12-30T00:48:00"/>
    <n v="0"/>
    <n v="48"/>
    <n v="48"/>
  </r>
  <r>
    <n v="589"/>
    <x v="2"/>
    <n v="1"/>
    <s v="SALA CIRURGICA 02"/>
    <d v="2026-02-10T16:00:00"/>
    <d v="2026-02-10T16:10:00"/>
    <d v="2026-02-10T16:30:00"/>
    <d v="2026-02-10T18:40:00"/>
    <d v="2026-02-10T18:50:00"/>
    <d v="2026-02-10T19:35:00"/>
    <n v="3.58"/>
    <d v="2026-02-10T19:45:00"/>
    <d v="1899-12-30T03:35:00"/>
    <n v="3"/>
    <n v="35"/>
    <n v="215"/>
  </r>
  <r>
    <n v="590"/>
    <x v="1"/>
    <n v="1"/>
    <s v="SALA CIRURGICA 02"/>
    <d v="2026-02-11T07:05:00"/>
    <d v="2026-02-11T07:40:00"/>
    <d v="2026-02-11T08:15:00"/>
    <d v="2026-02-11T10:35:00"/>
    <d v="2026-02-11T10:45:00"/>
    <d v="2026-02-11T10:50:00"/>
    <n v="3.75"/>
    <d v="2026-02-11T11:00:00"/>
    <d v="1899-12-30T03:45:00"/>
    <n v="3"/>
    <n v="45"/>
    <n v="225"/>
  </r>
  <r>
    <n v="591"/>
    <x v="2"/>
    <n v="1"/>
    <s v="SALA CIRURGICA 01"/>
    <d v="2026-02-10T20:15:00"/>
    <d v="2026-02-10T20:30:00"/>
    <d v="2026-02-10T20:45:00"/>
    <d v="2026-02-10T22:55:00"/>
    <d v="2026-02-10T23:10:00"/>
    <d v="2026-02-10T23:25:00"/>
    <n v="3.17"/>
    <d v="2026-02-10T23:35:00"/>
    <d v="1899-12-30T03:10:00"/>
    <n v="3"/>
    <n v="10"/>
    <n v="190"/>
  </r>
  <r>
    <n v="592"/>
    <x v="0"/>
    <n v="1"/>
    <s v="SALA CIRURGICA 02"/>
    <d v="2026-02-10T20:58:00"/>
    <d v="2026-02-10T21:10:00"/>
    <d v="2026-02-10T21:30:00"/>
    <d v="2026-02-10T22:00:00"/>
    <d v="2026-02-10T22:10:00"/>
    <d v="2026-02-10T22:20:00"/>
    <n v="1.37"/>
    <d v="2026-02-10T22:30:00"/>
    <d v="1899-12-30T01:22:00"/>
    <n v="1"/>
    <n v="22"/>
    <n v="82"/>
  </r>
  <r>
    <n v="593"/>
    <x v="1"/>
    <n v="1"/>
    <s v="SALA CIRURGICA 03"/>
    <d v="2026-02-11T10:55:00"/>
    <d v="2026-02-11T11:30:00"/>
    <d v="2026-02-11T12:45:00"/>
    <d v="2026-02-11T18:02:00"/>
    <d v="2026-02-11T18:20:00"/>
    <d v="2026-02-11T18:25:00"/>
    <n v="7.5"/>
    <d v="2026-02-11T18:35:00"/>
    <d v="1899-12-30T07:30:00"/>
    <n v="7"/>
    <n v="30"/>
    <n v="450"/>
  </r>
  <r>
    <n v="594"/>
    <x v="1"/>
    <n v="1"/>
    <s v="SALA CIRURGICA 03"/>
    <d v="2026-02-10T23:17:00"/>
    <d v="2026-02-10T23:25:00"/>
    <d v="2026-02-10T23:35:00"/>
    <d v="2026-02-11T01:45:00"/>
    <d v="2026-02-11T01:50:00"/>
    <d v="2026-02-11T02:00:00"/>
    <n v="2.72"/>
    <d v="2026-02-11T02:10:00"/>
    <d v="1899-12-30T02:43:00"/>
    <n v="2"/>
    <n v="43"/>
    <n v="163"/>
  </r>
  <r>
    <n v="595"/>
    <x v="1"/>
    <n v="1"/>
    <s v="SALA CIRURGICA 02"/>
    <d v="2026-02-11T00:05:00"/>
    <d v="2026-02-11T00:15:00"/>
    <d v="2026-02-11T00:30:00"/>
    <d v="2026-02-11T00:44:00"/>
    <d v="2026-02-11T00:55:00"/>
    <d v="2026-02-11T01:00:00"/>
    <n v="0.92"/>
    <d v="2026-02-11T01:10:00"/>
    <d v="1899-12-30T00:55:00"/>
    <n v="0"/>
    <n v="55"/>
    <n v="55"/>
  </r>
  <r>
    <n v="596"/>
    <x v="2"/>
    <n v="1"/>
    <s v="SALA CIRURGICA 06"/>
    <d v="2026-02-11T10:55:00"/>
    <d v="2026-02-11T11:40:00"/>
    <d v="2026-02-11T12:00:00"/>
    <d v="2026-02-11T12:20:00"/>
    <d v="2026-02-11T12:30:00"/>
    <d v="2026-02-11T12:40:00"/>
    <n v="1.75"/>
    <d v="2026-02-11T12:50:00"/>
    <d v="1899-12-30T01:45:00"/>
    <n v="1"/>
    <n v="45"/>
    <n v="105"/>
  </r>
  <r>
    <n v="597"/>
    <x v="1"/>
    <n v="1"/>
    <s v="SALA CIRURGICA 01"/>
    <d v="2026-02-11T16:50:00"/>
    <d v="2026-02-11T17:00:00"/>
    <d v="2026-02-11T17:15:00"/>
    <d v="2026-02-11T18:46:00"/>
    <d v="2026-02-11T20:00:00"/>
    <d v="2026-02-11T20:10:00"/>
    <n v="3.33"/>
    <d v="2026-02-11T20:15:00"/>
    <d v="1899-12-30T03:20:00"/>
    <n v="3"/>
    <n v="20"/>
    <n v="200"/>
  </r>
  <r>
    <n v="598"/>
    <x v="1"/>
    <n v="1"/>
    <s v="SALA CIRURGICA 02"/>
    <d v="2026-02-11T10:48:00"/>
    <d v="2026-02-11T11:10:00"/>
    <d v="2026-02-11T11:40:00"/>
    <d v="2026-02-11T12:10:00"/>
    <d v="2026-02-11T12:20:00"/>
    <d v="2026-02-11T15:40:00"/>
    <n v="4.87"/>
    <d v="2026-02-11T15:50:00"/>
    <d v="1899-12-30T04:52:00"/>
    <n v="4"/>
    <n v="52"/>
    <n v="292"/>
  </r>
  <r>
    <n v="599"/>
    <x v="1"/>
    <n v="1"/>
    <s v="SALA CIRURGICA 06"/>
    <d v="2026-02-11T13:40:00"/>
    <d v="2026-02-11T14:00:00"/>
    <d v="2026-02-11T14:20:00"/>
    <d v="2026-02-11T18:10:00"/>
    <d v="2026-02-11T18:20:00"/>
    <d v="2026-02-11T18:22:00"/>
    <n v="4.7"/>
    <d v="2026-02-11T18:32:00"/>
    <d v="1899-12-30T04:42:00"/>
    <n v="4"/>
    <n v="42"/>
    <n v="282"/>
  </r>
  <r>
    <n v="600"/>
    <x v="1"/>
    <n v="1"/>
    <s v="SALA CIRURGICA 01"/>
    <d v="2026-02-11T12:20:00"/>
    <d v="2026-02-11T12:30:00"/>
    <d v="2026-02-11T13:10:00"/>
    <d v="2026-02-11T15:15:00"/>
    <d v="2026-02-11T15:25:00"/>
    <d v="2026-02-11T15:40:00"/>
    <n v="3.33"/>
    <d v="2026-02-11T15:50:00"/>
    <d v="1899-12-30T03:20:00"/>
    <n v="3"/>
    <n v="20"/>
    <n v="200"/>
  </r>
  <r>
    <n v="601"/>
    <x v="0"/>
    <n v="1"/>
    <s v="SALA CIRURGICA 06"/>
    <d v="2026-02-12T07:45:00"/>
    <d v="2026-02-12T08:00:00"/>
    <d v="2026-02-12T08:15:00"/>
    <d v="2026-02-12T08:40:00"/>
    <d v="2026-02-12T08:50:00"/>
    <d v="2026-02-12T08:55:00"/>
    <n v="1.17"/>
    <d v="2026-02-12T09:05:00"/>
    <d v="1899-12-30T01:10:00"/>
    <n v="1"/>
    <n v="10"/>
    <n v="70"/>
  </r>
  <r>
    <n v="602"/>
    <x v="2"/>
    <n v="1"/>
    <s v="SALA CIRURGICA 06"/>
    <d v="2026-02-12T09:50:00"/>
    <d v="2026-02-12T10:00:00"/>
    <d v="2026-02-12T10:35:00"/>
    <d v="2026-02-12T11:35:00"/>
    <d v="2026-02-12T11:45:00"/>
    <d v="2026-02-12T12:00:00"/>
    <n v="2.17"/>
    <d v="2026-02-12T12:10:00"/>
    <d v="1899-12-30T02:10:00"/>
    <n v="2"/>
    <n v="10"/>
    <n v="130"/>
  </r>
  <r>
    <n v="603"/>
    <x v="2"/>
    <n v="1"/>
    <s v="SALA CIRURGICA 01"/>
    <d v="2026-02-13T15:30:00"/>
    <d v="2026-02-13T15:45:00"/>
    <d v="2026-02-13T16:20:00"/>
    <d v="2026-02-13T21:40:00"/>
    <d v="2026-02-13T21:45:00"/>
    <d v="2026-02-13T21:50:00"/>
    <n v="6.33"/>
    <d v="2026-02-13T21:55:00"/>
    <d v="1899-12-30T06:20:00"/>
    <n v="6"/>
    <n v="20"/>
    <n v="380"/>
  </r>
  <r>
    <n v="604"/>
    <x v="1"/>
    <n v="1"/>
    <s v="SALA CIRURGICA 02"/>
    <d v="2026-02-12T07:05:00"/>
    <d v="2026-02-12T07:40:00"/>
    <d v="2026-02-12T08:15:00"/>
    <d v="2026-02-12T10:17:00"/>
    <d v="2026-02-12T10:27:00"/>
    <d v="2026-02-12T10:28:00"/>
    <n v="3.38"/>
    <d v="2026-02-12T10:38:00"/>
    <d v="1899-12-30T03:23:00"/>
    <n v="3"/>
    <n v="23"/>
    <n v="203"/>
  </r>
  <r>
    <n v="605"/>
    <x v="1"/>
    <n v="1"/>
    <s v="SALA CIRURGICA 01"/>
    <d v="2026-02-11T20:20:00"/>
    <d v="2026-02-11T20:30:00"/>
    <d v="2026-02-11T20:45:00"/>
    <d v="2026-02-11T22:10:00"/>
    <d v="2026-02-11T22:20:00"/>
    <d v="2026-02-11T22:22:00"/>
    <n v="2.0299999999999998"/>
    <d v="2026-02-11T22:25:00"/>
    <d v="1899-12-30T02:02:00"/>
    <n v="2"/>
    <n v="2"/>
    <n v="122"/>
  </r>
  <r>
    <n v="606"/>
    <x v="2"/>
    <n v="1"/>
    <s v="SALA CIRURGICA 05"/>
    <d v="2026-02-11T14:45:00"/>
    <d v="2026-02-11T15:05:00"/>
    <d v="2026-02-11T15:15:00"/>
    <d v="2026-02-11T15:50:00"/>
    <d v="2026-02-11T15:55:00"/>
    <d v="2026-02-11T16:00:00"/>
    <n v="1.25"/>
    <d v="2026-02-11T16:10:00"/>
    <d v="1899-12-30T01:15:00"/>
    <n v="1"/>
    <n v="15"/>
    <n v="75"/>
  </r>
  <r>
    <n v="607"/>
    <x v="1"/>
    <n v="1"/>
    <s v="SALA CIRURGICA 01"/>
    <d v="2026-02-12T07:00:00"/>
    <d v="2026-02-12T08:00:00"/>
    <d v="2026-02-12T08:20:00"/>
    <d v="2026-02-12T10:03:00"/>
    <d v="2026-02-12T10:10:00"/>
    <d v="2026-02-12T10:20:00"/>
    <n v="3.33"/>
    <d v="2026-02-12T10:30:00"/>
    <d v="1899-12-30T03:20:00"/>
    <n v="3"/>
    <n v="20"/>
    <n v="200"/>
  </r>
  <r>
    <n v="608"/>
    <x v="1"/>
    <n v="1"/>
    <s v="SALA CIRURGICA 05"/>
    <d v="2026-02-12T07:00:00"/>
    <d v="2026-02-12T08:00:00"/>
    <d v="2026-02-12T08:30:00"/>
    <d v="2026-02-12T10:30:00"/>
    <d v="2026-02-12T10:40:00"/>
    <d v="2026-02-12T10:50:00"/>
    <n v="3.83"/>
    <d v="2026-02-12T11:00:00"/>
    <d v="1899-12-30T03:50:00"/>
    <n v="3"/>
    <n v="50"/>
    <n v="230"/>
  </r>
  <r>
    <n v="609"/>
    <x v="2"/>
    <n v="1"/>
    <s v="SALA CIRURGICA 05"/>
    <d v="2026-02-12T11:25:00"/>
    <d v="2026-02-12T12:00:00"/>
    <d v="2026-02-12T12:09:00"/>
    <d v="2026-02-12T12:59:00"/>
    <d v="2026-02-12T13:00:00"/>
    <d v="2026-02-12T13:05:00"/>
    <n v="1.67"/>
    <d v="2026-02-12T13:06:00"/>
    <d v="1899-12-30T01:40:00"/>
    <n v="1"/>
    <n v="40"/>
    <n v="100"/>
  </r>
  <r>
    <n v="610"/>
    <x v="2"/>
    <n v="1"/>
    <s v="SALA CIRURGICA 02"/>
    <d v="2026-02-12T11:50:00"/>
    <d v="2026-02-12T12:00:00"/>
    <d v="2026-02-12T12:08:00"/>
    <d v="2026-02-12T13:28:00"/>
    <d v="2026-02-12T13:38:00"/>
    <d v="2026-02-12T14:17:00"/>
    <n v="2.4500000000000002"/>
    <d v="2026-02-12T14:25:00"/>
    <d v="1899-12-30T02:27:00"/>
    <n v="2"/>
    <n v="27"/>
    <n v="147"/>
  </r>
  <r>
    <n v="611"/>
    <x v="2"/>
    <n v="1"/>
    <s v="SALA CIRURGICA 01"/>
    <d v="2026-02-11T16:27:00"/>
    <d v="2026-02-11T16:50:00"/>
    <d v="2026-02-11T17:25:00"/>
    <d v="2026-02-11T18:05:00"/>
    <d v="2026-02-11T18:15:00"/>
    <d v="2026-02-11T18:25:00"/>
    <n v="1.97"/>
    <d v="2026-02-11T18:35:00"/>
    <d v="1899-12-30T01:58:00"/>
    <n v="1"/>
    <n v="58"/>
    <n v="118"/>
  </r>
  <r>
    <n v="612"/>
    <x v="0"/>
    <n v="1"/>
    <s v="SALA CIRURGICA 05"/>
    <d v="2026-02-11T17:35:00"/>
    <d v="2026-02-11T17:45:00"/>
    <d v="2026-02-11T18:00:00"/>
    <d v="2026-02-11T19:09:00"/>
    <d v="2026-02-11T19:19:00"/>
    <d v="2026-02-11T19:25:00"/>
    <n v="1.83"/>
    <d v="2026-02-11T19:35:00"/>
    <d v="1899-12-30T01:50:00"/>
    <n v="1"/>
    <n v="50"/>
    <n v="110"/>
  </r>
  <r>
    <n v="613"/>
    <x v="0"/>
    <n v="1"/>
    <s v="SALA CIRURGICA 03"/>
    <d v="2026-02-12T06:20:00"/>
    <d v="2026-02-12T06:40:00"/>
    <d v="2026-02-12T06:45:00"/>
    <d v="2026-02-12T07:10:00"/>
    <d v="2026-02-12T07:20:00"/>
    <d v="2026-02-12T07:30:00"/>
    <n v="1.17"/>
    <d v="2026-02-12T07:40:00"/>
    <d v="1899-12-30T01:10:00"/>
    <n v="1"/>
    <n v="10"/>
    <n v="70"/>
  </r>
  <r>
    <n v="614"/>
    <x v="0"/>
    <n v="1"/>
    <s v="SALA CIRURGICA 06"/>
    <d v="2026-02-13T06:25:00"/>
    <d v="2026-02-13T06:50:00"/>
    <d v="2026-02-13T06:55:00"/>
    <d v="2026-02-13T07:05:00"/>
    <d v="2026-02-13T07:15:00"/>
    <d v="2026-02-13T07:35:00"/>
    <n v="1.17"/>
    <d v="2026-02-13T07:45:00"/>
    <d v="1899-12-30T01:10:00"/>
    <n v="1"/>
    <n v="10"/>
    <n v="70"/>
  </r>
  <r>
    <n v="615"/>
    <x v="1"/>
    <n v="1"/>
    <s v="SALA CIRURGICA 01"/>
    <d v="2026-02-11T22:53:00"/>
    <d v="2026-02-11T23:00:00"/>
    <d v="2026-02-11T23:10:00"/>
    <d v="2026-02-11T23:25:00"/>
    <d v="2026-02-12T00:40:00"/>
    <d v="2026-02-12T00:50:00"/>
    <n v="1.95"/>
    <d v="2026-02-12T01:00:00"/>
    <d v="1899-12-30T01:57:00"/>
    <n v="1"/>
    <n v="57"/>
    <n v="117"/>
  </r>
  <r>
    <n v="616"/>
    <x v="2"/>
    <n v="1"/>
    <s v="SALA CIRURGICA 01"/>
    <d v="2026-02-12T10:06:00"/>
    <d v="2026-02-12T10:08:00"/>
    <d v="2026-02-12T10:15:00"/>
    <d v="2026-02-12T10:28:00"/>
    <d v="2026-02-12T10:30:00"/>
    <d v="2026-02-12T10:32:00"/>
    <n v="0.43"/>
    <d v="2026-02-12T10:35:00"/>
    <d v="1899-12-30T00:26:00"/>
    <n v="0"/>
    <n v="26"/>
    <n v="26"/>
  </r>
  <r>
    <n v="617"/>
    <x v="1"/>
    <n v="1"/>
    <s v="SALA CIRURGICA 01"/>
    <d v="2026-02-12T11:45:00"/>
    <d v="2026-02-12T11:50:00"/>
    <d v="2026-02-12T11:56:00"/>
    <d v="2026-02-12T13:56:00"/>
    <d v="2026-02-12T14:06:00"/>
    <d v="2026-02-12T19:45:00"/>
    <n v="8"/>
    <d v="2026-02-12T19:55:00"/>
    <d v="1899-12-30T08:00:00"/>
    <n v="8"/>
    <n v="0"/>
    <n v="480"/>
  </r>
  <r>
    <n v="618"/>
    <x v="0"/>
    <n v="1"/>
    <s v="SALA CIRURGICA 06"/>
    <d v="2026-02-19T07:20:00"/>
    <d v="2026-02-19T07:35:00"/>
    <d v="2026-02-19T07:45:00"/>
    <d v="2026-02-19T09:30:00"/>
    <d v="2026-02-19T09:40:00"/>
    <d v="2026-02-19T09:58:00"/>
    <n v="2.63"/>
    <d v="2026-02-19T10:08:00"/>
    <d v="1899-12-30T02:38:00"/>
    <n v="2"/>
    <n v="38"/>
    <n v="158"/>
  </r>
  <r>
    <n v="619"/>
    <x v="1"/>
    <n v="1"/>
    <s v="SALA CIRURGICA 06"/>
    <d v="2026-02-19T10:25:00"/>
    <d v="2026-02-19T10:35:00"/>
    <d v="2026-02-19T10:45:00"/>
    <d v="2026-02-19T11:30:00"/>
    <d v="2026-02-19T11:40:00"/>
    <d v="2026-02-19T12:00:00"/>
    <n v="1.58"/>
    <d v="2026-02-19T12:10:00"/>
    <d v="1899-12-30T01:35:00"/>
    <n v="1"/>
    <n v="35"/>
    <n v="95"/>
  </r>
  <r>
    <n v="620"/>
    <x v="0"/>
    <n v="1"/>
    <s v="SALA CIRURGICA 06"/>
    <d v="2026-02-24T10:15:00"/>
    <d v="2026-02-24T10:20:00"/>
    <d v="2026-02-24T10:25:00"/>
    <d v="2026-02-24T11:40:00"/>
    <d v="2026-02-24T11:50:00"/>
    <d v="2026-02-24T12:10:00"/>
    <n v="1.92"/>
    <d v="2026-02-24T12:20:00"/>
    <d v="1899-12-30T01:55:00"/>
    <n v="1"/>
    <n v="55"/>
    <n v="115"/>
  </r>
  <r>
    <n v="621"/>
    <x v="2"/>
    <n v="1"/>
    <s v="SALA CIRURGICA 01"/>
    <d v="2026-02-12T11:50:00"/>
    <d v="2026-02-12T12:00:00"/>
    <d v="2026-02-12T12:10:00"/>
    <d v="2026-02-12T12:30:00"/>
    <d v="2026-02-12T12:40:00"/>
    <d v="2026-02-12T12:45:00"/>
    <n v="0.92"/>
    <d v="2026-02-12T12:55:00"/>
    <d v="1899-12-30T00:55:00"/>
    <n v="0"/>
    <n v="55"/>
    <n v="55"/>
  </r>
  <r>
    <n v="622"/>
    <x v="2"/>
    <n v="1"/>
    <s v="SALA CIRURGICA 06"/>
    <d v="2026-02-13T08:25:00"/>
    <d v="2026-02-13T08:30:00"/>
    <d v="2026-02-13T09:00:00"/>
    <d v="2026-02-13T12:35:00"/>
    <d v="2026-02-13T12:40:00"/>
    <d v="2026-02-13T13:00:00"/>
    <n v="4.58"/>
    <d v="2026-02-13T13:10:00"/>
    <d v="1899-12-30T04:35:00"/>
    <n v="4"/>
    <n v="35"/>
    <n v="275"/>
  </r>
  <r>
    <n v="623"/>
    <x v="2"/>
    <n v="1"/>
    <s v="SALA CIRURGICA 02"/>
    <d v="2026-02-13T15:20:00"/>
    <d v="2026-02-13T15:30:00"/>
    <d v="2026-02-13T15:40:00"/>
    <d v="2026-02-13T17:15:00"/>
    <d v="2026-02-13T17:30:00"/>
    <d v="2026-02-13T17:45:00"/>
    <n v="2.42"/>
    <d v="2026-02-13T17:55:00"/>
    <d v="1899-12-30T02:25:00"/>
    <n v="2"/>
    <n v="25"/>
    <n v="145"/>
  </r>
  <r>
    <n v="624"/>
    <x v="0"/>
    <n v="1"/>
    <s v="SALA CIRURGICA 06"/>
    <d v="2026-02-12T18:05:00"/>
    <d v="2026-02-12T18:07:00"/>
    <d v="2026-02-12T18:10:00"/>
    <d v="2026-02-12T18:35:00"/>
    <d v="2026-02-12T18:37:00"/>
    <d v="2026-02-12T18:40:00"/>
    <n v="0.57999999999999996"/>
    <d v="2026-02-12T18:42:00"/>
    <d v="1899-12-30T00:35:00"/>
    <n v="0"/>
    <n v="35"/>
    <n v="35"/>
  </r>
  <r>
    <n v="625"/>
    <x v="0"/>
    <n v="1"/>
    <s v="SALA CIRURGICA 01"/>
    <d v="2026-02-13T10:10:00"/>
    <d v="2026-02-13T10:30:00"/>
    <d v="2026-02-13T11:15:00"/>
    <d v="2026-02-13T14:00:00"/>
    <d v="2026-02-13T14:10:00"/>
    <d v="2026-02-13T14:30:00"/>
    <n v="4.33"/>
    <d v="2026-02-13T14:40:00"/>
    <d v="1899-12-30T04:20:00"/>
    <n v="4"/>
    <n v="20"/>
    <n v="260"/>
  </r>
  <r>
    <n v="626"/>
    <x v="0"/>
    <n v="1"/>
    <s v="SALA CIRURGICA 02"/>
    <d v="2026-02-13T07:00:00"/>
    <d v="2026-02-13T08:00:00"/>
    <d v="2026-02-13T08:15:00"/>
    <d v="2026-02-13T08:45:00"/>
    <d v="2026-02-13T09:00:00"/>
    <d v="2026-02-13T10:00:00"/>
    <n v="3"/>
    <d v="2026-02-13T10:10:00"/>
    <d v="1899-12-30T03:00:00"/>
    <n v="3"/>
    <n v="0"/>
    <n v="180"/>
  </r>
  <r>
    <n v="627"/>
    <x v="1"/>
    <n v="1"/>
    <s v="SALA CIRURGICA 01"/>
    <d v="2026-02-12T13:50:00"/>
    <d v="2026-02-12T14:00:00"/>
    <d v="2026-02-12T14:24:00"/>
    <d v="2026-02-12T16:24:00"/>
    <d v="2026-02-12T16:35:00"/>
    <d v="2026-02-12T16:45:00"/>
    <n v="2.92"/>
    <d v="2026-02-12T16:55:00"/>
    <d v="1899-12-30T02:55:00"/>
    <n v="2"/>
    <n v="55"/>
    <n v="175"/>
  </r>
  <r>
    <n v="628"/>
    <x v="2"/>
    <n v="1"/>
    <s v="SALA CIRURGICA 02"/>
    <d v="2026-02-13T11:30:00"/>
    <d v="2026-02-13T11:45:00"/>
    <d v="2026-02-13T12:35:00"/>
    <d v="2026-02-13T14:00:00"/>
    <d v="2026-02-13T14:15:00"/>
    <d v="2026-02-13T14:30:00"/>
    <n v="3"/>
    <d v="2026-02-13T14:40:00"/>
    <d v="1899-12-30T03:00:00"/>
    <n v="3"/>
    <n v="0"/>
    <n v="180"/>
  </r>
  <r>
    <n v="629"/>
    <x v="1"/>
    <n v="1"/>
    <s v="SALA CIRURGICA 04"/>
    <d v="2026-02-12T14:55:00"/>
    <d v="2026-02-12T14:56:00"/>
    <d v="2026-02-12T15:00:00"/>
    <d v="2026-02-12T17:30:00"/>
    <d v="2026-02-12T18:30:00"/>
    <d v="2026-02-12T18:40:00"/>
    <n v="3.75"/>
    <d v="2026-02-12T18:41:00"/>
    <d v="1899-12-30T03:45:00"/>
    <n v="3"/>
    <n v="45"/>
    <n v="225"/>
  </r>
  <r>
    <n v="630"/>
    <x v="0"/>
    <n v="1"/>
    <s v="SALA CIRURGICA 01"/>
    <d v="2026-02-12T21:10:00"/>
    <d v="2026-02-12T21:20:00"/>
    <d v="2026-02-12T21:30:00"/>
    <d v="2026-02-12T21:45:00"/>
    <d v="2026-02-12T22:10:00"/>
    <d v="2026-02-12T22:17:00"/>
    <n v="1.1200000000000001"/>
    <d v="2026-02-12T22:18:00"/>
    <d v="1899-12-30T01:07:00"/>
    <n v="1"/>
    <n v="7"/>
    <n v="67"/>
  </r>
  <r>
    <n v="631"/>
    <x v="1"/>
    <n v="1"/>
    <s v="SALA CIRURGICA 02"/>
    <d v="2026-02-13T15:40:00"/>
    <d v="2026-02-13T16:10:00"/>
    <d v="2026-02-13T16:35:00"/>
    <d v="2026-02-13T19:35:00"/>
    <d v="2026-02-13T19:45:00"/>
    <d v="2026-02-13T19:50:00"/>
    <n v="4.17"/>
    <d v="2026-02-13T20:00:00"/>
    <d v="1899-12-30T04:10:00"/>
    <n v="4"/>
    <n v="10"/>
    <n v="250"/>
  </r>
  <r>
    <n v="632"/>
    <x v="0"/>
    <n v="1"/>
    <s v="SALA CIRURGICA 03"/>
    <d v="2026-02-12T21:55:00"/>
    <d v="2026-02-12T22:15:00"/>
    <d v="2026-02-12T22:20:00"/>
    <d v="2026-02-12T23:45:00"/>
    <d v="2026-02-12T23:50:00"/>
    <d v="2026-02-12T23:55:00"/>
    <n v="2"/>
    <d v="2026-02-13T00:05:00"/>
    <d v="1899-12-30T02:00:00"/>
    <n v="2"/>
    <n v="0"/>
    <n v="120"/>
  </r>
  <r>
    <n v="633"/>
    <x v="1"/>
    <n v="1"/>
    <s v="SALA CIRURGICA 02"/>
    <d v="2026-02-13T00:20:00"/>
    <d v="2026-02-13T00:30:00"/>
    <d v="2026-02-13T00:40:00"/>
    <d v="2026-02-13T01:30:00"/>
    <d v="2026-02-13T01:35:00"/>
    <d v="2026-02-13T01:38:00"/>
    <n v="1.3"/>
    <d v="2026-02-13T01:40:00"/>
    <d v="1899-12-30T01:18:00"/>
    <n v="1"/>
    <n v="18"/>
    <n v="78"/>
  </r>
  <r>
    <n v="634"/>
    <x v="1"/>
    <n v="1"/>
    <s v="SALA CIRURGICA 01"/>
    <d v="2026-02-13T16:10:00"/>
    <d v="2026-02-13T16:15:00"/>
    <d v="2026-02-13T16:40:00"/>
    <d v="2026-02-13T19:38:00"/>
    <d v="2026-02-13T19:48:00"/>
    <d v="2026-02-13T20:05:00"/>
    <n v="3.92"/>
    <d v="2026-02-13T20:15:00"/>
    <d v="1899-12-30T03:55:00"/>
    <n v="3"/>
    <n v="55"/>
    <n v="235"/>
  </r>
  <r>
    <n v="635"/>
    <x v="2"/>
    <n v="1"/>
    <s v="SALA CIRURGICA 06"/>
    <d v="2026-02-25T08:00:00"/>
    <d v="2026-02-25T08:15:00"/>
    <d v="2026-02-25T08:30:00"/>
    <d v="2026-02-25T11:20:00"/>
    <d v="2026-02-25T11:30:00"/>
    <d v="2026-02-25T11:45:00"/>
    <n v="3.75"/>
    <d v="2026-02-25T11:55:00"/>
    <d v="1899-12-30T03:45:00"/>
    <n v="3"/>
    <n v="45"/>
    <n v="225"/>
  </r>
  <r>
    <n v="636"/>
    <x v="0"/>
    <n v="1"/>
    <s v="SALA CIRURGICA 01"/>
    <d v="2026-02-14T17:00:00"/>
    <d v="2026-02-14T17:25:00"/>
    <d v="2026-02-14T17:32:00"/>
    <d v="2026-02-14T17:52:00"/>
    <d v="2026-02-14T18:02:00"/>
    <d v="2026-02-14T18:20:00"/>
    <n v="1.33"/>
    <d v="2026-02-14T18:32:00"/>
    <d v="1899-12-30T01:20:00"/>
    <n v="1"/>
    <n v="20"/>
    <n v="80"/>
  </r>
  <r>
    <n v="637"/>
    <x v="2"/>
    <n v="1"/>
    <s v="SALA CIRURGICA 03"/>
    <d v="2026-02-14T08:44:00"/>
    <d v="2026-02-14T08:53:00"/>
    <d v="2026-02-14T09:10:00"/>
    <d v="2026-02-14T09:57:00"/>
    <d v="2026-02-14T10:07:00"/>
    <d v="2026-02-14T10:10:00"/>
    <n v="1.43"/>
    <d v="2026-02-14T10:20:00"/>
    <d v="1899-12-30T01:26:00"/>
    <n v="1"/>
    <n v="26"/>
    <n v="86"/>
  </r>
  <r>
    <n v="638"/>
    <x v="2"/>
    <n v="1"/>
    <s v="SALA CIRURGICA 04"/>
    <d v="2026-02-14T11:20:00"/>
    <d v="2026-02-14T11:25:00"/>
    <d v="2026-02-14T11:30:00"/>
    <d v="2026-02-14T13:00:00"/>
    <d v="2026-02-14T13:05:00"/>
    <d v="2026-02-14T13:10:00"/>
    <n v="1.83"/>
    <d v="2026-02-14T13:15:00"/>
    <d v="1899-12-30T01:50:00"/>
    <n v="1"/>
    <n v="50"/>
    <n v="110"/>
  </r>
  <r>
    <n v="639"/>
    <x v="1"/>
    <n v="1"/>
    <s v="SALA CIRURGICA 05"/>
    <d v="2026-02-14T08:30:00"/>
    <d v="2026-02-14T08:40:00"/>
    <d v="2026-02-14T09:00:00"/>
    <d v="2026-02-14T09:50:00"/>
    <d v="2026-02-14T10:00:00"/>
    <d v="2026-02-14T10:15:00"/>
    <n v="1.75"/>
    <d v="2026-02-14T10:25:00"/>
    <d v="1899-12-30T01:45:00"/>
    <n v="1"/>
    <n v="45"/>
    <n v="105"/>
  </r>
  <r>
    <n v="640"/>
    <x v="0"/>
    <n v="1"/>
    <s v="SALA CIRURGICA 05"/>
    <d v="2026-02-16T06:55:00"/>
    <d v="2026-02-16T07:40:00"/>
    <d v="2026-02-16T08:10:00"/>
    <d v="2026-02-16T10:50:00"/>
    <d v="2026-02-16T11:00:00"/>
    <d v="2026-02-16T11:10:00"/>
    <n v="4.25"/>
    <d v="2026-02-16T11:20:00"/>
    <d v="1899-12-30T04:15:00"/>
    <n v="4"/>
    <n v="15"/>
    <n v="255"/>
  </r>
  <r>
    <n v="641"/>
    <x v="0"/>
    <n v="1"/>
    <s v="SALA CIRURGICA 06"/>
    <d v="2026-02-16T12:15:00"/>
    <d v="2026-02-16T12:30:00"/>
    <d v="2026-02-16T13:30:00"/>
    <d v="2026-02-16T15:00:00"/>
    <d v="2026-02-16T15:15:00"/>
    <d v="2026-02-16T16:00:00"/>
    <n v="3.75"/>
    <d v="2026-02-16T16:10:00"/>
    <d v="1899-12-30T03:45:00"/>
    <n v="3"/>
    <n v="45"/>
    <n v="225"/>
  </r>
  <r>
    <n v="642"/>
    <x v="0"/>
    <n v="1"/>
    <s v="SALA CIRURGICA 06"/>
    <d v="2026-02-16T07:00:00"/>
    <d v="2026-02-16T07:45:00"/>
    <d v="2026-02-16T08:15:00"/>
    <d v="2026-02-16T10:30:00"/>
    <d v="2026-02-16T10:40:00"/>
    <d v="2026-02-16T10:50:00"/>
    <n v="3.83"/>
    <d v="2026-02-16T11:00:00"/>
    <d v="1899-12-30T03:50:00"/>
    <n v="3"/>
    <n v="50"/>
    <n v="230"/>
  </r>
  <r>
    <n v="643"/>
    <x v="0"/>
    <n v="1"/>
    <s v="SALA CIRURGICA 01"/>
    <d v="2026-02-14T12:30:00"/>
    <d v="2026-02-14T12:45:00"/>
    <d v="2026-02-14T12:50:00"/>
    <d v="2026-02-14T13:05:00"/>
    <d v="2026-02-14T13:15:00"/>
    <d v="2026-02-14T13:20:00"/>
    <n v="0.83"/>
    <d v="2026-02-14T13:30:00"/>
    <d v="1899-12-30T00:50:00"/>
    <n v="0"/>
    <n v="50"/>
    <n v="50"/>
  </r>
  <r>
    <n v="644"/>
    <x v="1"/>
    <n v="1"/>
    <s v="SALA CIRURGICA 01"/>
    <d v="2026-02-13T21:40:00"/>
    <d v="2026-02-13T21:50:00"/>
    <d v="2026-02-13T22:00:00"/>
    <d v="2026-02-13T23:10:00"/>
    <d v="2026-02-13T23:12:00"/>
    <d v="2026-02-13T23:15:00"/>
    <n v="1.58"/>
    <d v="2026-02-13T23:25:00"/>
    <d v="1899-12-30T01:35:00"/>
    <n v="1"/>
    <n v="35"/>
    <n v="95"/>
  </r>
  <r>
    <n v="645"/>
    <x v="1"/>
    <n v="1"/>
    <s v="SALA CIRURGICA 02"/>
    <d v="2026-02-14T05:30:00"/>
    <d v="2026-02-14T05:40:00"/>
    <d v="2026-02-14T05:50:00"/>
    <d v="2026-02-14T11:45:00"/>
    <d v="2026-02-14T17:30:00"/>
    <d v="2026-02-14T17:40:00"/>
    <n v="12.17"/>
    <d v="2026-02-14T17:50:00"/>
    <d v="1899-12-30T12:10:00"/>
    <n v="12"/>
    <n v="10"/>
    <n v="730"/>
  </r>
  <r>
    <n v="646"/>
    <x v="1"/>
    <n v="1"/>
    <s v="SALA CIRURGICA 02"/>
    <d v="2026-02-14T05:30:00"/>
    <d v="2026-02-14T05:40:00"/>
    <d v="2026-02-14T05:50:00"/>
    <d v="2026-02-14T11:45:00"/>
    <d v="2026-02-14T17:30:00"/>
    <d v="2026-02-14T17:40:00"/>
    <n v="12.17"/>
    <d v="2026-02-14T17:50:00"/>
    <d v="1899-12-30T12:10:00"/>
    <n v="12"/>
    <n v="10"/>
    <n v="730"/>
  </r>
  <r>
    <n v="647"/>
    <x v="2"/>
    <n v="1"/>
    <s v="SALA CIRURGICA 01"/>
    <d v="2026-02-14T11:00:00"/>
    <d v="2026-02-14T11:10:00"/>
    <d v="2026-02-14T11:30:00"/>
    <d v="2026-02-14T12:15:00"/>
    <d v="2026-02-14T12:25:00"/>
    <d v="2026-02-14T12:40:00"/>
    <n v="1.67"/>
    <d v="2026-02-14T12:50:00"/>
    <d v="1899-12-30T01:40:00"/>
    <n v="1"/>
    <n v="40"/>
    <n v="100"/>
  </r>
  <r>
    <n v="648"/>
    <x v="1"/>
    <n v="1"/>
    <s v="SALA CIRURGICA 01"/>
    <d v="2026-02-14T16:35:00"/>
    <d v="2026-02-14T17:00:00"/>
    <d v="2026-02-14T17:21:00"/>
    <d v="2026-02-14T19:00:00"/>
    <d v="2026-02-14T19:10:00"/>
    <d v="2026-02-14T19:30:00"/>
    <n v="2.92"/>
    <d v="2026-02-14T19:40:00"/>
    <d v="1899-12-30T02:55:00"/>
    <n v="2"/>
    <n v="55"/>
    <n v="175"/>
  </r>
  <r>
    <n v="649"/>
    <x v="1"/>
    <n v="1"/>
    <s v="SALA CIRURGICA 01"/>
    <d v="2026-02-14T14:40:00"/>
    <d v="2026-02-14T14:50:00"/>
    <d v="2026-02-14T15:05:00"/>
    <d v="2026-02-14T17:20:00"/>
    <d v="2026-02-14T17:30:00"/>
    <d v="2026-02-14T18:30:00"/>
    <n v="3.83"/>
    <d v="2026-02-14T18:35:00"/>
    <d v="1899-12-30T03:50:00"/>
    <n v="3"/>
    <n v="50"/>
    <n v="230"/>
  </r>
  <r>
    <n v="650"/>
    <x v="2"/>
    <n v="1"/>
    <s v="SALA CIRURGICA 04"/>
    <d v="2026-02-19T12:17:00"/>
    <d v="2026-02-19T12:25:00"/>
    <d v="2026-02-19T14:50:00"/>
    <d v="2026-02-19T17:00:00"/>
    <d v="2026-02-19T18:05:00"/>
    <d v="2026-02-19T18:15:00"/>
    <n v="5.97"/>
    <d v="2026-02-19T18:25:00"/>
    <d v="1899-12-30T05:58:00"/>
    <n v="5"/>
    <n v="58"/>
    <n v="358"/>
  </r>
  <r>
    <n v="651"/>
    <x v="2"/>
    <n v="1"/>
    <s v="SALA CIRURGICA 02"/>
    <d v="2026-02-15T08:45:00"/>
    <d v="2026-02-15T09:00:00"/>
    <d v="2026-02-15T09:20:00"/>
    <d v="2026-02-15T09:50:00"/>
    <d v="2026-02-15T10:00:00"/>
    <d v="2026-02-15T10:02:00"/>
    <n v="1.28"/>
    <d v="2026-02-15T10:12:00"/>
    <d v="1899-12-30T01:17:00"/>
    <n v="1"/>
    <n v="17"/>
    <n v="77"/>
  </r>
  <r>
    <n v="652"/>
    <x v="2"/>
    <n v="1"/>
    <s v="SALA CIRURGICA 01"/>
    <d v="2026-02-14T19:25:00"/>
    <d v="2026-02-14T19:40:00"/>
    <d v="2026-02-14T19:50:00"/>
    <d v="2026-02-14T20:50:00"/>
    <d v="2026-02-14T20:55:00"/>
    <d v="2026-02-14T20:59:00"/>
    <n v="1.57"/>
    <d v="2026-02-14T21:09:00"/>
    <d v="1899-12-30T01:34:00"/>
    <n v="1"/>
    <n v="34"/>
    <n v="94"/>
  </r>
  <r>
    <n v="653"/>
    <x v="0"/>
    <n v="1"/>
    <s v="SALA CIRURGICA 01"/>
    <d v="2026-02-14T21:20:00"/>
    <d v="2026-02-14T21:30:00"/>
    <d v="2026-02-14T21:45:00"/>
    <d v="2026-02-14T22:37:00"/>
    <d v="2026-02-14T22:47:00"/>
    <d v="2026-02-14T22:50:00"/>
    <n v="1.5"/>
    <d v="2026-02-14T22:55:00"/>
    <d v="1899-12-30T01:30:00"/>
    <n v="1"/>
    <n v="30"/>
    <n v="90"/>
  </r>
  <r>
    <n v="654"/>
    <x v="2"/>
    <n v="1"/>
    <s v="SALA CIRURGICA 01"/>
    <d v="2026-02-15T10:00:00"/>
    <d v="2026-02-15T10:10:00"/>
    <d v="2026-02-15T11:15:00"/>
    <d v="2026-02-15T13:20:00"/>
    <d v="2026-02-15T13:40:00"/>
    <d v="2026-02-15T18:10:00"/>
    <n v="8.17"/>
    <d v="2026-02-15T18:15:00"/>
    <d v="1899-12-30T08:10:00"/>
    <n v="8"/>
    <n v="10"/>
    <n v="490"/>
  </r>
  <r>
    <n v="655"/>
    <x v="0"/>
    <n v="1"/>
    <s v="SALA CIRURGICA 01"/>
    <d v="2026-02-15T00:45:00"/>
    <d v="2026-02-15T00:55:00"/>
    <d v="2026-02-15T01:10:00"/>
    <d v="2026-02-15T02:00:00"/>
    <d v="2026-02-15T02:10:00"/>
    <d v="2026-02-15T02:15:00"/>
    <n v="1.5"/>
    <d v="2026-02-15T02:16:00"/>
    <d v="1899-12-30T01:30:00"/>
    <n v="1"/>
    <n v="30"/>
    <n v="90"/>
  </r>
  <r>
    <n v="656"/>
    <x v="0"/>
    <n v="1"/>
    <s v="SALA CIRURGICA 03"/>
    <d v="2026-02-15T01:45:00"/>
    <d v="2026-02-15T01:50:00"/>
    <d v="2026-02-15T02:10:00"/>
    <d v="2026-02-15T03:20:00"/>
    <d v="2026-02-15T03:30:00"/>
    <d v="2026-02-15T03:35:00"/>
    <n v="1.83"/>
    <d v="2026-02-15T03:45:00"/>
    <d v="1899-12-30T01:50:00"/>
    <n v="1"/>
    <n v="50"/>
    <n v="110"/>
  </r>
  <r>
    <n v="657"/>
    <x v="0"/>
    <n v="1"/>
    <s v="SALA CIRURGICA 01"/>
    <d v="2026-02-15T11:25:00"/>
    <d v="2026-02-15T11:35:00"/>
    <d v="2026-02-15T11:45:00"/>
    <d v="2026-02-15T12:30:00"/>
    <d v="2026-02-15T12:35:00"/>
    <d v="2026-02-15T12:40:00"/>
    <n v="1.25"/>
    <d v="2026-02-15T12:45:00"/>
    <d v="1899-12-30T01:15:00"/>
    <n v="1"/>
    <n v="15"/>
    <n v="75"/>
  </r>
  <r>
    <n v="658"/>
    <x v="0"/>
    <n v="1"/>
    <s v="SALA CIRURGICA 03"/>
    <d v="2026-02-15T10:10:00"/>
    <d v="2026-02-15T10:25:00"/>
    <d v="2026-02-15T10:55:00"/>
    <d v="2026-02-15T11:35:00"/>
    <d v="2026-02-15T11:45:00"/>
    <d v="2026-02-15T11:50:00"/>
    <n v="1.67"/>
    <d v="2026-02-15T12:00:00"/>
    <d v="1899-12-30T01:40:00"/>
    <n v="1"/>
    <n v="40"/>
    <n v="100"/>
  </r>
  <r>
    <n v="659"/>
    <x v="1"/>
    <n v="1"/>
    <s v="SALA CIRURGICA 04"/>
    <d v="2026-02-16T12:40:00"/>
    <d v="2026-02-16T13:15:00"/>
    <d v="2026-02-16T13:45:00"/>
    <d v="2026-02-16T16:25:00"/>
    <d v="2026-02-16T16:35:00"/>
    <d v="2026-02-16T16:45:00"/>
    <n v="4.08"/>
    <d v="2026-02-16T16:55:00"/>
    <d v="1899-12-30T04:05:00"/>
    <n v="4"/>
    <n v="5"/>
    <n v="245"/>
  </r>
  <r>
    <n v="660"/>
    <x v="2"/>
    <n v="1"/>
    <s v="SALA CIRURGICA 05"/>
    <d v="2026-02-16T07:00:00"/>
    <d v="2026-02-16T07:50:00"/>
    <d v="2026-02-16T08:00:00"/>
    <d v="2026-02-16T08:40:00"/>
    <d v="2026-02-16T08:50:00"/>
    <d v="2026-02-16T08:54:00"/>
    <n v="1.9"/>
    <d v="2026-02-16T09:04:00"/>
    <d v="1899-12-30T01:54:00"/>
    <n v="1"/>
    <n v="54"/>
    <n v="114"/>
  </r>
  <r>
    <n v="661"/>
    <x v="2"/>
    <n v="1"/>
    <s v="SALA CIRURGICA 05"/>
    <d v="2026-02-16T14:20:00"/>
    <d v="2026-02-16T15:00:00"/>
    <d v="2026-02-16T16:00:00"/>
    <d v="2026-02-16T17:55:00"/>
    <d v="2026-02-16T18:30:00"/>
    <d v="2026-02-16T18:40:00"/>
    <n v="4.33"/>
    <d v="2026-02-16T18:45:00"/>
    <d v="1899-12-30T04:20:00"/>
    <n v="4"/>
    <n v="20"/>
    <n v="260"/>
  </r>
  <r>
    <n v="662"/>
    <x v="1"/>
    <n v="1"/>
    <s v="SALA CIRURGICA 01"/>
    <d v="2026-02-16T08:00:00"/>
    <d v="2026-02-16T08:10:00"/>
    <d v="2026-02-16T08:40:00"/>
    <d v="2026-02-16T10:35:00"/>
    <d v="2026-02-16T10:45:00"/>
    <d v="2026-02-16T11:10:00"/>
    <n v="3.17"/>
    <d v="2026-02-16T11:20:00"/>
    <d v="1899-12-30T03:10:00"/>
    <n v="3"/>
    <n v="10"/>
    <n v="190"/>
  </r>
  <r>
    <n v="663"/>
    <x v="0"/>
    <n v="1"/>
    <s v="SALA CIRURGICA 02"/>
    <d v="2026-02-15T17:15:00"/>
    <d v="2026-02-15T17:20:00"/>
    <d v="2026-02-15T17:55:00"/>
    <d v="2026-02-15T18:20:00"/>
    <d v="2026-02-15T18:25:00"/>
    <d v="2026-02-15T18:30:00"/>
    <n v="1.25"/>
    <d v="2026-02-15T18:40:00"/>
    <d v="1899-12-30T01:15:00"/>
    <n v="1"/>
    <n v="15"/>
    <n v="75"/>
  </r>
  <r>
    <n v="664"/>
    <x v="0"/>
    <n v="1"/>
    <s v="SALA CIRURGICA 01"/>
    <d v="2026-02-15T20:05:00"/>
    <d v="2026-02-15T20:10:00"/>
    <d v="2026-02-15T20:30:00"/>
    <d v="2026-02-15T21:00:00"/>
    <d v="2026-02-15T21:30:00"/>
    <d v="2026-02-15T21:31:00"/>
    <n v="1.43"/>
    <d v="2026-02-15T21:41:00"/>
    <d v="1899-12-30T01:26:00"/>
    <n v="1"/>
    <n v="26"/>
    <n v="86"/>
  </r>
  <r>
    <n v="665"/>
    <x v="1"/>
    <n v="1"/>
    <s v="SALA CIRURGICA 01"/>
    <d v="2026-02-15T20:50:00"/>
    <d v="2026-02-15T20:55:00"/>
    <d v="2026-02-15T21:00:00"/>
    <d v="2026-02-15T21:50:00"/>
    <d v="2026-02-15T22:00:00"/>
    <d v="2026-02-16T04:30:00"/>
    <n v="7.67"/>
    <d v="2026-02-16T04:32:00"/>
    <d v="1899-12-30T07:40:00"/>
    <n v="7"/>
    <n v="40"/>
    <n v="460"/>
  </r>
  <r>
    <n v="666"/>
    <x v="2"/>
    <n v="1"/>
    <s v="SALA CIRURGICA 01"/>
    <d v="2026-02-16T00:35:00"/>
    <d v="2026-02-16T00:40:00"/>
    <d v="2026-02-16T00:45:00"/>
    <d v="2026-02-16T01:40:00"/>
    <d v="2026-02-16T01:45:00"/>
    <d v="2026-02-16T01:50:00"/>
    <n v="1.25"/>
    <d v="2026-02-16T01:55:00"/>
    <d v="1899-12-30T01:15:00"/>
    <n v="1"/>
    <n v="15"/>
    <n v="75"/>
  </r>
  <r>
    <n v="667"/>
    <x v="2"/>
    <n v="1"/>
    <s v="SALA CIRURGICA 01"/>
    <d v="2026-02-16T02:12:00"/>
    <d v="2026-02-16T02:20:00"/>
    <d v="2026-02-16T03:00:00"/>
    <d v="2026-02-16T03:22:00"/>
    <d v="2026-02-16T03:50:00"/>
    <d v="2026-02-16T04:00:00"/>
    <n v="1.8"/>
    <d v="2026-02-16T04:05:00"/>
    <d v="1899-12-30T01:48:00"/>
    <n v="1"/>
    <n v="48"/>
    <n v="108"/>
  </r>
  <r>
    <n v="668"/>
    <x v="1"/>
    <n v="1"/>
    <s v="SALA CIRURGICA 01"/>
    <d v="2026-02-15T23:25:00"/>
    <d v="2026-02-15T23:30:00"/>
    <d v="2026-02-15T23:40:00"/>
    <d v="2026-02-16T00:20:00"/>
    <d v="2026-02-16T00:30:00"/>
    <d v="2026-02-16T00:35:00"/>
    <n v="1.17"/>
    <d v="2026-02-16T00:40:00"/>
    <d v="1899-12-30T01:10:00"/>
    <n v="1"/>
    <n v="10"/>
    <n v="70"/>
  </r>
  <r>
    <n v="669"/>
    <x v="1"/>
    <n v="1"/>
    <s v="SALA CIRURGICA 03"/>
    <d v="2026-02-16T04:50:00"/>
    <d v="2026-02-16T04:55:00"/>
    <d v="2026-02-16T05:05:00"/>
    <d v="2026-02-16T06:55:00"/>
    <d v="2026-02-16T07:05:00"/>
    <d v="2026-02-16T07:06:00"/>
    <n v="2.27"/>
    <d v="2026-02-16T07:16:00"/>
    <d v="1899-12-30T02:16:00"/>
    <n v="2"/>
    <n v="16"/>
    <n v="136"/>
  </r>
  <r>
    <n v="670"/>
    <x v="2"/>
    <n v="1"/>
    <s v="SALA CIRURGICA 02"/>
    <d v="2026-02-16T14:50:00"/>
    <d v="2026-02-16T15:10:00"/>
    <d v="2026-02-16T15:30:00"/>
    <d v="2026-02-16T17:30:00"/>
    <d v="2026-02-16T17:35:00"/>
    <d v="2026-02-16T17:40:00"/>
    <n v="2.83"/>
    <d v="2026-02-16T17:45:00"/>
    <d v="1899-12-30T02:50:00"/>
    <n v="2"/>
    <n v="50"/>
    <n v="170"/>
  </r>
  <r>
    <n v="671"/>
    <x v="2"/>
    <n v="1"/>
    <s v="SALA CIRURGICA 01"/>
    <d v="2026-02-16T09:55:00"/>
    <d v="2026-02-16T10:30:00"/>
    <d v="2026-02-16T10:45:00"/>
    <d v="2026-02-16T12:30:00"/>
    <d v="2026-02-16T12:31:00"/>
    <d v="2026-02-16T12:32:00"/>
    <n v="2.62"/>
    <d v="2026-02-16T12:33:00"/>
    <d v="1899-12-30T02:37:00"/>
    <n v="2"/>
    <n v="37"/>
    <n v="157"/>
  </r>
  <r>
    <n v="672"/>
    <x v="0"/>
    <n v="1"/>
    <s v="SALA CIRURGICA 01"/>
    <d v="2026-02-16T09:15:00"/>
    <d v="2026-02-16T09:30:00"/>
    <d v="2026-02-16T09:45:00"/>
    <d v="2026-02-16T10:15:00"/>
    <d v="2026-02-16T10:19:00"/>
    <d v="2026-02-16T10:21:00"/>
    <n v="1.1000000000000001"/>
    <d v="2026-02-16T10:31:00"/>
    <d v="1899-12-30T01:06:00"/>
    <n v="1"/>
    <n v="6"/>
    <n v="66"/>
  </r>
  <r>
    <n v="673"/>
    <x v="1"/>
    <n v="1"/>
    <s v="SALA CIRURGICA 01"/>
    <d v="2026-02-16T11:40:00"/>
    <d v="2026-02-16T12:00:00"/>
    <d v="2026-02-16T12:20:00"/>
    <d v="2026-02-16T14:23:00"/>
    <d v="2026-02-16T16:00:00"/>
    <d v="2026-02-16T16:30:00"/>
    <n v="4.83"/>
    <d v="2026-02-16T16:40:00"/>
    <d v="1899-12-30T04:50:00"/>
    <n v="4"/>
    <n v="50"/>
    <n v="290"/>
  </r>
  <r>
    <n v="674"/>
    <x v="1"/>
    <n v="1"/>
    <s v="SALA CIRURGICA 01"/>
    <d v="2026-02-16T17:35:00"/>
    <d v="2026-02-16T17:50:00"/>
    <d v="2026-02-16T18:00:00"/>
    <d v="2026-02-16T19:09:00"/>
    <d v="2026-02-16T19:19:00"/>
    <d v="2026-02-16T20:10:00"/>
    <n v="2.58"/>
    <d v="2026-02-16T20:20:00"/>
    <d v="1899-12-30T02:35:00"/>
    <n v="2"/>
    <n v="35"/>
    <n v="155"/>
  </r>
  <r>
    <n v="675"/>
    <x v="1"/>
    <n v="1"/>
    <s v="SALA CIRURGICA 01"/>
    <d v="2026-02-17T07:00:00"/>
    <d v="2026-02-17T08:00:00"/>
    <d v="2026-02-17T09:00:00"/>
    <d v="2026-02-17T11:00:00"/>
    <d v="2026-02-17T11:20:00"/>
    <d v="2026-02-17T11:30:00"/>
    <n v="4.5"/>
    <d v="2026-02-17T11:40:00"/>
    <d v="1899-12-30T04:30:00"/>
    <n v="4"/>
    <n v="30"/>
    <n v="270"/>
  </r>
  <r>
    <n v="676"/>
    <x v="0"/>
    <n v="1"/>
    <s v="SALA CIRURGICA 05"/>
    <d v="2026-02-17T07:45:00"/>
    <d v="2026-02-17T07:55:00"/>
    <d v="2026-02-17T08:45:00"/>
    <d v="2026-02-17T10:40:00"/>
    <d v="2026-02-17T10:50:00"/>
    <d v="2026-02-17T10:55:00"/>
    <n v="3.17"/>
    <d v="2026-02-17T10:56:00"/>
    <d v="1899-12-30T03:10:00"/>
    <n v="3"/>
    <n v="10"/>
    <n v="190"/>
  </r>
  <r>
    <n v="677"/>
    <x v="2"/>
    <n v="1"/>
    <s v="SALA CIRURGICA 06"/>
    <d v="2026-02-17T11:00:00"/>
    <d v="2026-02-17T11:20:00"/>
    <d v="2026-02-17T11:40:00"/>
    <d v="2026-02-17T12:40:00"/>
    <d v="2026-02-17T12:50:00"/>
    <d v="2026-02-17T13:00:00"/>
    <n v="2"/>
    <d v="2026-02-17T13:10:00"/>
    <d v="1899-12-30T02:00:00"/>
    <n v="2"/>
    <n v="0"/>
    <n v="120"/>
  </r>
  <r>
    <n v="678"/>
    <x v="1"/>
    <n v="1"/>
    <s v="SALA CIRURGICA 03"/>
    <d v="2026-02-17T16:40:00"/>
    <d v="2026-02-17T16:45:00"/>
    <d v="2026-02-17T17:20:00"/>
    <d v="2026-02-17T20:10:00"/>
    <d v="2026-02-17T20:30:00"/>
    <d v="2026-02-17T20:35:00"/>
    <n v="3.92"/>
    <d v="2026-02-17T20:45:00"/>
    <d v="1899-12-30T03:55:00"/>
    <n v="3"/>
    <n v="55"/>
    <n v="235"/>
  </r>
  <r>
    <n v="679"/>
    <x v="1"/>
    <n v="1"/>
    <s v="SALA CIRURGICA 02"/>
    <d v="2026-02-17T13:35:00"/>
    <d v="2026-02-17T14:00:00"/>
    <d v="2026-02-17T14:50:00"/>
    <d v="2026-02-17T17:30:00"/>
    <d v="2026-02-17T17:50:00"/>
    <d v="2026-02-17T18:05:00"/>
    <n v="4.5"/>
    <d v="2026-02-17T18:10:00"/>
    <d v="1899-12-30T04:30:00"/>
    <n v="4"/>
    <n v="30"/>
    <n v="270"/>
  </r>
  <r>
    <n v="680"/>
    <x v="0"/>
    <n v="1"/>
    <s v="SALA CIRURGICA 05"/>
    <d v="2026-02-17T10:05:00"/>
    <d v="2026-02-17T10:20:00"/>
    <d v="2026-02-17T10:50:00"/>
    <d v="2026-02-17T12:30:00"/>
    <d v="2026-02-17T12:40:00"/>
    <d v="2026-02-17T13:00:00"/>
    <n v="2.92"/>
    <d v="2026-02-17T13:10:00"/>
    <d v="1899-12-30T02:55:00"/>
    <n v="2"/>
    <n v="55"/>
    <n v="175"/>
  </r>
  <r>
    <n v="681"/>
    <x v="2"/>
    <n v="1"/>
    <s v="SALA CIRURGICA 03"/>
    <d v="2026-02-17T08:18:00"/>
    <d v="2026-02-17T08:29:00"/>
    <d v="2026-02-17T08:55:00"/>
    <d v="2026-02-17T10:30:00"/>
    <d v="2026-02-17T10:45:00"/>
    <d v="2026-02-17T11:00:00"/>
    <n v="2.7"/>
    <d v="2026-02-17T11:05:00"/>
    <d v="1899-12-30T02:42:00"/>
    <n v="2"/>
    <n v="42"/>
    <n v="162"/>
  </r>
  <r>
    <n v="682"/>
    <x v="2"/>
    <n v="1"/>
    <s v="SALA CIRURGICA 01"/>
    <d v="2026-02-17T14:55:00"/>
    <d v="2026-02-17T15:15:00"/>
    <d v="2026-02-17T15:50:00"/>
    <d v="2026-02-17T16:40:00"/>
    <d v="2026-02-17T16:50:00"/>
    <d v="2026-02-17T17:00:00"/>
    <n v="2.08"/>
    <d v="2026-02-17T17:10:00"/>
    <d v="1899-12-30T02:05:00"/>
    <n v="2"/>
    <n v="5"/>
    <n v="125"/>
  </r>
  <r>
    <n v="683"/>
    <x v="1"/>
    <n v="1"/>
    <s v="SALA CIRURGICA 06"/>
    <d v="2026-02-17T07:00:00"/>
    <d v="2026-02-17T08:00:00"/>
    <d v="2026-02-17T08:10:00"/>
    <d v="2026-02-17T09:15:00"/>
    <d v="2026-02-17T09:25:00"/>
    <d v="2026-02-17T09:55:00"/>
    <n v="2.92"/>
    <d v="2026-02-17T10:05:00"/>
    <d v="1899-12-30T02:55:00"/>
    <n v="2"/>
    <n v="55"/>
    <n v="175"/>
  </r>
  <r>
    <n v="684"/>
    <x v="2"/>
    <n v="1"/>
    <s v="SALA CIRURGICA 01"/>
    <d v="2026-03-18T07:40:00"/>
    <d v="2026-03-18T07:50:00"/>
    <d v="2026-03-18T07:55:00"/>
    <d v="2026-03-18T09:20:00"/>
    <d v="2026-03-18T09:30:00"/>
    <d v="2026-03-18T09:40:00"/>
    <n v="2"/>
    <d v="2026-03-18T09:50:00"/>
    <d v="1899-12-30T02:00:00"/>
    <n v="2"/>
    <n v="0"/>
    <n v="120"/>
  </r>
  <r>
    <n v="685"/>
    <x v="1"/>
    <n v="1"/>
    <s v="SALA CIRURGICA 05"/>
    <d v="2026-02-17T14:15:00"/>
    <d v="2026-02-17T14:25:00"/>
    <d v="2026-02-17T14:50:00"/>
    <d v="2026-02-17T16:30:00"/>
    <d v="2026-02-17T16:40:00"/>
    <d v="2026-02-17T17:00:00"/>
    <n v="2.75"/>
    <d v="2026-02-17T17:02:00"/>
    <d v="1899-12-30T02:45:00"/>
    <n v="2"/>
    <n v="45"/>
    <n v="165"/>
  </r>
  <r>
    <n v="686"/>
    <x v="1"/>
    <n v="1"/>
    <s v="SALA CIRURGICA 01"/>
    <d v="2026-02-16T21:43:00"/>
    <d v="2026-02-16T21:45:00"/>
    <d v="2026-02-16T21:50:00"/>
    <d v="2026-02-16T23:14:00"/>
    <d v="2026-02-16T23:30:00"/>
    <d v="2026-02-17T00:05:00"/>
    <n v="2.37"/>
    <d v="2026-02-17T00:15:00"/>
    <d v="1899-12-30T02:22:00"/>
    <n v="2"/>
    <n v="22"/>
    <n v="142"/>
  </r>
  <r>
    <n v="687"/>
    <x v="2"/>
    <n v="1"/>
    <s v="SALA CIRURGICA 01"/>
    <d v="2026-02-16T21:35:00"/>
    <d v="2026-02-16T21:45:00"/>
    <d v="2026-02-16T22:15:00"/>
    <d v="2026-02-16T23:05:00"/>
    <d v="2026-02-16T23:15:00"/>
    <d v="2026-02-16T23:30:00"/>
    <n v="1.92"/>
    <d v="2026-02-16T23:31:00"/>
    <d v="1899-12-30T01:55:00"/>
    <n v="1"/>
    <n v="55"/>
    <n v="115"/>
  </r>
  <r>
    <n v="688"/>
    <x v="0"/>
    <n v="1"/>
    <s v="SALA CIRURGICA 05"/>
    <d v="2026-02-17T08:05:00"/>
    <d v="2026-02-17T08:25:00"/>
    <d v="2026-02-17T08:30:00"/>
    <d v="2026-02-17T08:45:00"/>
    <d v="2026-02-17T08:55:00"/>
    <d v="2026-02-17T09:10:00"/>
    <n v="1.08"/>
    <d v="2026-02-17T09:20:00"/>
    <d v="1899-12-30T01:05:00"/>
    <n v="1"/>
    <n v="5"/>
    <n v="65"/>
  </r>
  <r>
    <n v="689"/>
    <x v="0"/>
    <n v="1"/>
    <s v="SALA CIRURGICA 01"/>
    <d v="2026-02-17T11:55:00"/>
    <d v="2026-02-17T12:05:00"/>
    <d v="2026-02-17T12:20:00"/>
    <d v="2026-02-17T13:20:00"/>
    <d v="2026-02-17T13:30:00"/>
    <d v="2026-02-17T14:05:00"/>
    <n v="2.17"/>
    <d v="2026-02-17T14:15:00"/>
    <d v="1899-12-30T02:10:00"/>
    <n v="2"/>
    <n v="10"/>
    <n v="130"/>
  </r>
  <r>
    <n v="690"/>
    <x v="0"/>
    <n v="1"/>
    <s v="SALA CIRURGICA 01"/>
    <d v="2026-02-17T12:10:00"/>
    <d v="2026-02-17T12:20:00"/>
    <d v="2026-02-17T13:00:00"/>
    <d v="2026-02-17T14:20:00"/>
    <d v="2026-02-17T14:30:00"/>
    <d v="2026-02-17T14:35:00"/>
    <n v="2.42"/>
    <d v="2026-02-17T14:36:00"/>
    <d v="1899-12-30T02:25:00"/>
    <n v="2"/>
    <n v="25"/>
    <n v="145"/>
  </r>
  <r>
    <n v="691"/>
    <x v="1"/>
    <n v="1"/>
    <s v="SALA CIRURGICA 06"/>
    <d v="2026-02-17T15:05:00"/>
    <d v="2026-02-17T15:25:00"/>
    <d v="2026-02-17T15:50:00"/>
    <d v="2026-02-17T18:10:00"/>
    <d v="2026-02-17T18:25:00"/>
    <d v="2026-02-17T18:35:00"/>
    <n v="3.5"/>
    <d v="2026-02-17T18:40:00"/>
    <d v="1899-12-30T03:30:00"/>
    <n v="3"/>
    <n v="30"/>
    <n v="210"/>
  </r>
  <r>
    <n v="692"/>
    <x v="0"/>
    <n v="1"/>
    <s v="SALA CIRURGICA 02"/>
    <d v="2026-02-18T09:30:00"/>
    <d v="2026-02-18T10:00:00"/>
    <d v="2026-02-18T10:10:00"/>
    <d v="2026-02-18T10:19:00"/>
    <d v="2026-02-18T10:22:00"/>
    <d v="2026-02-18T10:30:00"/>
    <n v="1"/>
    <d v="2026-02-18T10:40:00"/>
    <d v="1899-12-30T01:00:00"/>
    <n v="1"/>
    <n v="0"/>
    <n v="60"/>
  </r>
  <r>
    <n v="693"/>
    <x v="0"/>
    <n v="1"/>
    <s v="SALA CIRURGICA 03"/>
    <d v="2026-02-18T07:00:00"/>
    <d v="2026-02-18T07:45:00"/>
    <d v="2026-02-18T08:20:00"/>
    <d v="2026-02-18T08:50:00"/>
    <d v="2026-02-18T09:00:00"/>
    <d v="2026-02-18T09:05:00"/>
    <n v="2.08"/>
    <d v="2026-02-18T09:10:00"/>
    <d v="1899-12-30T02:05:00"/>
    <n v="2"/>
    <n v="5"/>
    <n v="125"/>
  </r>
  <r>
    <n v="694"/>
    <x v="2"/>
    <n v="1"/>
    <s v="SALA CIRURGICA 06"/>
    <d v="2026-02-18T13:00:00"/>
    <d v="2026-02-18T13:30:00"/>
    <d v="2026-02-18T14:00:00"/>
    <d v="2026-02-18T14:20:00"/>
    <d v="2026-02-18T14:38:00"/>
    <d v="2026-02-18T14:48:00"/>
    <n v="1.8"/>
    <d v="2026-02-18T14:58:00"/>
    <d v="1899-12-30T01:48:00"/>
    <n v="1"/>
    <n v="48"/>
    <n v="108"/>
  </r>
  <r>
    <n v="695"/>
    <x v="0"/>
    <n v="1"/>
    <s v="SALA CIRURGICA 01"/>
    <d v="2026-02-18T11:30:00"/>
    <d v="2026-02-18T11:45:00"/>
    <d v="2026-02-18T12:49:00"/>
    <d v="2026-02-18T15:49:00"/>
    <d v="2026-02-18T15:59:00"/>
    <d v="2026-02-18T16:10:00"/>
    <n v="4.67"/>
    <d v="2026-02-18T16:20:00"/>
    <d v="1899-12-30T04:40:00"/>
    <n v="4"/>
    <n v="40"/>
    <n v="280"/>
  </r>
  <r>
    <n v="696"/>
    <x v="1"/>
    <n v="1"/>
    <s v="SALA CIRURGICA 03"/>
    <d v="2026-02-18T07:10:00"/>
    <d v="2026-02-18T07:50:00"/>
    <d v="2026-02-18T08:20:00"/>
    <d v="2026-02-18T11:30:00"/>
    <d v="2026-02-18T11:40:00"/>
    <d v="2026-02-18T11:50:00"/>
    <n v="4.67"/>
    <d v="2026-02-18T12:00:00"/>
    <d v="1899-12-30T04:40:00"/>
    <n v="4"/>
    <n v="40"/>
    <n v="280"/>
  </r>
  <r>
    <n v="697"/>
    <x v="1"/>
    <n v="1"/>
    <s v="SALA CIRURGICA 04"/>
    <d v="2026-02-18T14:55:00"/>
    <d v="2026-02-18T15:15:00"/>
    <d v="2026-02-18T15:30:00"/>
    <d v="2026-02-18T17:00:00"/>
    <d v="2026-02-18T17:10:00"/>
    <d v="2026-02-18T17:20:00"/>
    <n v="2.42"/>
    <d v="2026-02-18T17:30:00"/>
    <d v="1899-12-30T02:25:00"/>
    <n v="2"/>
    <n v="25"/>
    <n v="145"/>
  </r>
  <r>
    <n v="698"/>
    <x v="1"/>
    <n v="1"/>
    <s v="SALA CIRURGICA 05"/>
    <d v="2026-02-18T07:35:00"/>
    <d v="2026-02-18T07:50:00"/>
    <d v="2026-02-18T08:25:00"/>
    <d v="2026-02-18T08:35:00"/>
    <d v="2026-02-18T10:10:00"/>
    <d v="2026-02-18T10:30:00"/>
    <n v="2.92"/>
    <d v="2026-02-18T10:40:00"/>
    <d v="1899-12-30T02:55:00"/>
    <n v="2"/>
    <n v="55"/>
    <n v="175"/>
  </r>
  <r>
    <n v="699"/>
    <x v="0"/>
    <n v="1"/>
    <s v="SALA CIRURGICA 06"/>
    <d v="2026-02-18T17:30:00"/>
    <d v="2026-02-18T17:35:00"/>
    <d v="2026-02-18T17:40:00"/>
    <d v="2026-02-18T18:15:00"/>
    <d v="2026-02-18T18:25:00"/>
    <d v="2026-02-18T18:40:00"/>
    <n v="1.17"/>
    <d v="2026-02-18T18:45:00"/>
    <d v="1899-12-30T01:10:00"/>
    <n v="1"/>
    <n v="10"/>
    <n v="70"/>
  </r>
  <r>
    <n v="700"/>
    <x v="1"/>
    <n v="1"/>
    <s v="SALA CIRURGICA 01"/>
    <d v="2026-02-17T22:10:00"/>
    <d v="2026-02-17T22:15:00"/>
    <d v="2026-02-17T22:35:00"/>
    <d v="2026-02-17T23:47:00"/>
    <d v="2026-02-17T23:57:00"/>
    <d v="2026-02-18T00:10:00"/>
    <n v="2"/>
    <d v="2026-02-18T00:20:00"/>
    <d v="1899-12-30T02:00:00"/>
    <n v="2"/>
    <n v="0"/>
    <n v="120"/>
  </r>
  <r>
    <n v="701"/>
    <x v="0"/>
    <n v="1"/>
    <s v="SALA CIRURGICA 01"/>
    <d v="2026-02-17T22:10:00"/>
    <d v="2026-02-17T22:50:00"/>
    <d v="2026-02-17T23:30:00"/>
    <d v="2026-02-18T00:40:00"/>
    <d v="2026-02-18T00:50:00"/>
    <d v="2026-02-18T01:10:00"/>
    <n v="3"/>
    <d v="2026-02-18T01:15:00"/>
    <d v="1899-12-30T03:00:00"/>
    <n v="3"/>
    <n v="0"/>
    <n v="180"/>
  </r>
  <r>
    <n v="702"/>
    <x v="2"/>
    <n v="1"/>
    <s v="SALA CIRURGICA 01"/>
    <d v="2026-02-18T07:52:00"/>
    <d v="2026-02-18T08:02:00"/>
    <d v="2026-02-18T08:30:00"/>
    <d v="2026-02-18T08:40:00"/>
    <d v="2026-02-18T09:00:00"/>
    <d v="2026-02-18T14:20:00"/>
    <n v="6.47"/>
    <d v="2026-02-18T14:30:00"/>
    <d v="1899-12-30T06:28:00"/>
    <n v="6"/>
    <n v="28"/>
    <n v="388"/>
  </r>
  <r>
    <n v="703"/>
    <x v="1"/>
    <n v="1"/>
    <s v="SALA CIRURGICA 05"/>
    <d v="2026-02-18T11:30:00"/>
    <d v="2026-02-18T12:00:00"/>
    <d v="2026-02-18T12:30:00"/>
    <d v="2026-02-18T16:26:00"/>
    <d v="2026-02-18T16:36:00"/>
    <d v="2026-02-18T17:37:00"/>
    <n v="6.12"/>
    <d v="2026-02-18T17:40:00"/>
    <d v="1899-12-30T06:07:00"/>
    <n v="6"/>
    <n v="7"/>
    <n v="367"/>
  </r>
  <r>
    <n v="704"/>
    <x v="0"/>
    <n v="1"/>
    <s v="SALA CIRURGICA 06"/>
    <d v="2026-02-19T13:50:00"/>
    <d v="2026-02-19T14:15:00"/>
    <d v="2026-02-19T14:25:00"/>
    <d v="2026-02-19T15:15:00"/>
    <d v="2026-02-19T15:25:00"/>
    <d v="2026-02-19T15:50:00"/>
    <n v="2"/>
    <d v="2026-02-19T16:00:00"/>
    <d v="1899-12-30T02:00:00"/>
    <n v="2"/>
    <n v="0"/>
    <n v="120"/>
  </r>
  <r>
    <n v="705"/>
    <x v="0"/>
    <n v="1"/>
    <s v="SALA CIRURGICA 01"/>
    <d v="2026-02-19T10:35:00"/>
    <d v="2026-02-19T11:20:00"/>
    <d v="2026-02-19T11:25:00"/>
    <d v="2026-02-19T11:40:00"/>
    <d v="2026-02-19T11:45:00"/>
    <d v="2026-02-19T12:50:00"/>
    <n v="2.25"/>
    <d v="2026-02-19T13:00:00"/>
    <d v="1899-12-30T02:15:00"/>
    <n v="2"/>
    <n v="15"/>
    <n v="135"/>
  </r>
  <r>
    <n v="706"/>
    <x v="2"/>
    <n v="1"/>
    <s v="SALA CIRURGICA 02"/>
    <d v="2026-02-19T16:20:00"/>
    <d v="2026-02-19T16:35:00"/>
    <d v="2026-02-19T16:50:00"/>
    <d v="2026-02-19T18:25:00"/>
    <d v="2026-02-19T18:30:00"/>
    <d v="2026-02-19T18:35:00"/>
    <n v="2.25"/>
    <d v="2026-02-19T18:38:00"/>
    <d v="1899-12-30T02:15:00"/>
    <n v="2"/>
    <n v="15"/>
    <n v="135"/>
  </r>
  <r>
    <n v="707"/>
    <x v="2"/>
    <n v="1"/>
    <s v="SALA CIRURGICA 03"/>
    <d v="2026-02-19T06:50:00"/>
    <d v="2026-02-19T07:35:00"/>
    <d v="2026-02-19T08:10:00"/>
    <d v="2026-02-19T08:30:00"/>
    <d v="2026-02-19T08:40:00"/>
    <d v="2026-02-19T08:55:00"/>
    <n v="2.08"/>
    <d v="2026-02-19T09:05:00"/>
    <d v="1899-12-30T02:05:00"/>
    <n v="2"/>
    <n v="5"/>
    <n v="125"/>
  </r>
  <r>
    <n v="708"/>
    <x v="2"/>
    <n v="1"/>
    <s v="SALA CIRURGICA 05"/>
    <d v="2026-02-19T06:55:00"/>
    <d v="2026-02-19T07:30:00"/>
    <d v="2026-02-19T08:20:00"/>
    <d v="2026-02-19T09:30:00"/>
    <d v="2026-02-19T09:35:00"/>
    <d v="2026-02-19T09:45:00"/>
    <n v="2.83"/>
    <d v="2026-02-19T09:55:00"/>
    <d v="1899-12-30T02:50:00"/>
    <n v="2"/>
    <n v="50"/>
    <n v="170"/>
  </r>
  <r>
    <n v="709"/>
    <x v="0"/>
    <n v="1"/>
    <s v="SALA CIRURGICA 03"/>
    <d v="2026-02-19T12:55:00"/>
    <d v="2026-02-19T13:15:00"/>
    <d v="2026-02-19T14:05:00"/>
    <d v="2026-02-19T16:00:00"/>
    <d v="2026-02-19T16:15:00"/>
    <d v="2026-02-19T16:35:00"/>
    <n v="3.67"/>
    <d v="2026-02-19T16:45:00"/>
    <d v="1899-12-30T03:40:00"/>
    <n v="3"/>
    <n v="40"/>
    <n v="220"/>
  </r>
  <r>
    <n v="710"/>
    <x v="1"/>
    <n v="1"/>
    <s v="SALA CIRURGICA 02"/>
    <d v="2026-02-19T12:20:00"/>
    <d v="2026-02-19T12:30:00"/>
    <d v="2026-02-19T13:00:00"/>
    <d v="2026-02-19T14:30:00"/>
    <d v="2026-02-19T14:40:00"/>
    <d v="2026-02-19T14:55:00"/>
    <n v="2.58"/>
    <d v="2026-02-19T14:56:00"/>
    <d v="1899-12-30T02:35:00"/>
    <n v="2"/>
    <n v="35"/>
    <n v="155"/>
  </r>
  <r>
    <n v="711"/>
    <x v="2"/>
    <n v="1"/>
    <s v="SALA CIRURGICA 03"/>
    <d v="2026-02-19T07:00:00"/>
    <d v="2026-02-19T07:40:00"/>
    <d v="2026-02-19T08:55:00"/>
    <d v="2026-02-19T11:05:00"/>
    <d v="2026-02-19T11:15:00"/>
    <d v="2026-02-19T11:40:00"/>
    <n v="4.67"/>
    <d v="2026-02-19T11:45:00"/>
    <d v="1899-12-30T04:40:00"/>
    <n v="4"/>
    <n v="40"/>
    <n v="280"/>
  </r>
  <r>
    <n v="712"/>
    <x v="1"/>
    <n v="1"/>
    <s v="SALA CIRURGICA 06"/>
    <d v="2026-02-19T15:00:00"/>
    <d v="2026-02-19T15:15:00"/>
    <d v="2026-02-19T15:30:00"/>
    <d v="2026-02-19T16:10:00"/>
    <d v="2026-02-19T16:20:00"/>
    <d v="2026-02-19T16:30:00"/>
    <n v="1.5"/>
    <d v="2026-02-19T16:40:00"/>
    <d v="1899-12-30T01:30:00"/>
    <n v="1"/>
    <n v="30"/>
    <n v="90"/>
  </r>
  <r>
    <n v="713"/>
    <x v="1"/>
    <n v="1"/>
    <s v="SALA CIRURGICA 02"/>
    <d v="2026-02-19T08:20:00"/>
    <d v="2026-02-19T08:30:00"/>
    <d v="2026-02-19T08:50:00"/>
    <d v="2026-02-19T10:30:00"/>
    <d v="2026-02-19T10:40:00"/>
    <d v="2026-02-19T10:50:00"/>
    <n v="2.5"/>
    <d v="2026-02-19T11:00:00"/>
    <d v="1899-12-30T02:30:00"/>
    <n v="2"/>
    <n v="30"/>
    <n v="150"/>
  </r>
  <r>
    <n v="714"/>
    <x v="0"/>
    <n v="1"/>
    <s v="SALA CIRURGICA 01"/>
    <d v="2026-02-18T16:05:00"/>
    <d v="2026-02-18T16:10:00"/>
    <d v="2026-02-18T16:15:00"/>
    <d v="2026-02-18T16:16:00"/>
    <d v="2026-02-18T16:17:00"/>
    <d v="2026-02-18T16:18:00"/>
    <n v="0.22"/>
    <d v="2026-02-18T16:19:00"/>
    <d v="1899-12-30T00:13:00"/>
    <n v="0"/>
    <n v="13"/>
    <n v="13"/>
  </r>
  <r>
    <n v="715"/>
    <x v="0"/>
    <n v="1"/>
    <s v="SALA CIRURGICA 01"/>
    <d v="2026-02-20T15:05:00"/>
    <d v="2026-02-20T15:10:00"/>
    <d v="2026-02-20T15:15:00"/>
    <d v="2026-02-20T15:25:00"/>
    <d v="2026-02-20T15:26:00"/>
    <d v="2026-02-20T15:27:00"/>
    <n v="0.37"/>
    <d v="2026-02-20T15:28:00"/>
    <d v="1899-12-30T00:22:00"/>
    <n v="0"/>
    <n v="22"/>
    <n v="22"/>
  </r>
  <r>
    <n v="716"/>
    <x v="0"/>
    <n v="1"/>
    <s v="SALA CIRURGICA 01"/>
    <d v="2026-02-19T09:25:00"/>
    <d v="2026-02-19T09:40:00"/>
    <d v="2026-02-19T10:15:00"/>
    <d v="2026-02-19T10:50:00"/>
    <d v="2026-02-19T11:00:00"/>
    <d v="2026-02-19T11:05:00"/>
    <n v="1.67"/>
    <d v="2026-02-19T11:10:00"/>
    <d v="1899-12-30T01:40:00"/>
    <n v="1"/>
    <n v="40"/>
    <n v="100"/>
  </r>
  <r>
    <n v="717"/>
    <x v="2"/>
    <n v="1"/>
    <s v="SALA CIRURGICA 06"/>
    <d v="2026-02-24T07:00:00"/>
    <d v="2026-02-24T08:10:00"/>
    <d v="2026-02-24T08:30:00"/>
    <d v="2026-02-24T09:30:00"/>
    <d v="2026-02-24T09:40:00"/>
    <d v="2026-02-24T09:45:00"/>
    <n v="2.75"/>
    <d v="2026-02-24T09:55:00"/>
    <d v="1899-12-30T02:45:00"/>
    <n v="2"/>
    <n v="45"/>
    <n v="165"/>
  </r>
  <r>
    <n v="718"/>
    <x v="1"/>
    <n v="1"/>
    <s v="SALA CIRURGICA 06"/>
    <d v="2026-02-20T14:35:00"/>
    <d v="2026-02-20T14:40:00"/>
    <d v="2026-02-20T14:50:00"/>
    <d v="2026-02-20T15:20:00"/>
    <d v="2026-02-20T15:30:00"/>
    <d v="2026-02-20T15:35:00"/>
    <n v="1"/>
    <d v="2026-02-20T15:40:00"/>
    <d v="1899-12-30T01:00:00"/>
    <n v="1"/>
    <n v="0"/>
    <n v="60"/>
  </r>
  <r>
    <n v="719"/>
    <x v="1"/>
    <n v="1"/>
    <s v="SALA CIRURGICA 02"/>
    <d v="2026-02-20T17:00:00"/>
    <d v="2026-02-20T17:20:00"/>
    <d v="2026-02-20T17:40:00"/>
    <d v="2026-02-20T19:10:00"/>
    <d v="2026-02-20T19:30:00"/>
    <d v="2026-02-20T19:40:00"/>
    <n v="2.67"/>
    <d v="2026-02-20T19:45:00"/>
    <d v="1899-12-30T02:40:00"/>
    <n v="2"/>
    <n v="40"/>
    <n v="160"/>
  </r>
  <r>
    <n v="720"/>
    <x v="0"/>
    <n v="1"/>
    <s v="SALA CIRURGICA 04"/>
    <d v="2026-02-20T10:10:00"/>
    <d v="2026-02-20T10:30:00"/>
    <d v="2026-02-20T10:40:00"/>
    <d v="2026-02-20T11:11:00"/>
    <d v="2026-02-20T11:20:00"/>
    <d v="2026-02-20T11:22:00"/>
    <n v="1.2"/>
    <d v="2026-02-20T11:26:00"/>
    <d v="1899-12-30T01:12:00"/>
    <n v="1"/>
    <n v="12"/>
    <n v="72"/>
  </r>
  <r>
    <n v="721"/>
    <x v="2"/>
    <n v="1"/>
    <s v="SALA CIRURGICA 05"/>
    <d v="2026-02-20T06:55:00"/>
    <d v="2026-02-20T07:38:00"/>
    <d v="2026-02-20T09:30:00"/>
    <d v="2026-02-20T12:50:00"/>
    <d v="2026-02-20T13:00:00"/>
    <d v="2026-02-20T13:20:00"/>
    <n v="6.42"/>
    <d v="2026-02-20T13:30:00"/>
    <d v="1899-12-30T06:25:00"/>
    <n v="6"/>
    <n v="25"/>
    <n v="385"/>
  </r>
  <r>
    <n v="722"/>
    <x v="2"/>
    <n v="1"/>
    <s v="SALA CIRURGICA 06"/>
    <d v="2026-02-20T16:45:00"/>
    <d v="2026-02-20T17:00:00"/>
    <d v="2026-02-20T17:20:00"/>
    <d v="2026-02-20T18:30:00"/>
    <d v="2026-02-20T18:40:00"/>
    <d v="2026-02-20T18:41:00"/>
    <n v="1.93"/>
    <d v="2026-02-20T18:51:00"/>
    <d v="1899-12-30T01:56:00"/>
    <n v="1"/>
    <n v="56"/>
    <n v="116"/>
  </r>
  <r>
    <n v="723"/>
    <x v="0"/>
    <n v="1"/>
    <s v="SALA CIRURGICA 02"/>
    <d v="2026-02-20T07:00:00"/>
    <d v="2026-02-20T08:00:00"/>
    <d v="2026-02-20T08:10:00"/>
    <d v="2026-02-20T08:45:00"/>
    <d v="2026-02-20T08:55:00"/>
    <d v="2026-02-20T09:00:00"/>
    <n v="2"/>
    <d v="2026-02-20T09:10:00"/>
    <d v="1899-12-30T02:00:00"/>
    <n v="2"/>
    <n v="0"/>
    <n v="120"/>
  </r>
  <r>
    <n v="724"/>
    <x v="0"/>
    <n v="1"/>
    <s v="SALA CIRURGICA 06"/>
    <d v="2026-02-20T12:30:00"/>
    <d v="2026-02-20T12:35:00"/>
    <d v="2026-02-20T12:37:00"/>
    <d v="2026-02-20T12:45:00"/>
    <d v="2026-02-20T12:55:00"/>
    <d v="2026-02-20T13:00:00"/>
    <n v="0.5"/>
    <d v="2026-02-20T13:10:00"/>
    <d v="1899-12-30T00:30:00"/>
    <n v="0"/>
    <n v="30"/>
    <n v="30"/>
  </r>
  <r>
    <n v="725"/>
    <x v="2"/>
    <n v="1"/>
    <s v="SALA CIRURGICA 01"/>
    <d v="2026-02-20T13:20:00"/>
    <d v="2026-02-20T13:40:00"/>
    <d v="2026-02-20T14:30:00"/>
    <d v="2026-02-20T20:00:00"/>
    <d v="2026-02-20T20:10:00"/>
    <d v="2026-02-20T20:50:00"/>
    <n v="7.5"/>
    <d v="2026-02-20T21:00:00"/>
    <d v="1899-12-30T07:30:00"/>
    <n v="7"/>
    <n v="30"/>
    <n v="450"/>
  </r>
  <r>
    <n v="726"/>
    <x v="2"/>
    <n v="1"/>
    <s v="SALA CIRURGICA 06"/>
    <d v="2026-02-20T15:00:00"/>
    <d v="2026-02-20T15:10:00"/>
    <d v="2026-02-20T15:30:00"/>
    <d v="2026-02-20T16:40:00"/>
    <d v="2026-02-20T16:50:00"/>
    <d v="2026-02-20T17:00:00"/>
    <n v="2"/>
    <d v="2026-02-20T17:10:00"/>
    <d v="1899-12-30T02:00:00"/>
    <n v="2"/>
    <n v="0"/>
    <n v="120"/>
  </r>
  <r>
    <n v="727"/>
    <x v="2"/>
    <n v="1"/>
    <s v="SALA CIRURGICA 01"/>
    <d v="2026-02-20T07:50:00"/>
    <d v="2026-02-20T08:05:00"/>
    <d v="2026-02-20T09:20:00"/>
    <d v="2026-02-20T11:00:00"/>
    <d v="2026-02-20T11:10:00"/>
    <d v="2026-02-20T11:30:00"/>
    <n v="3.67"/>
    <d v="2026-02-20T11:40:00"/>
    <d v="1899-12-30T03:40:00"/>
    <n v="3"/>
    <n v="40"/>
    <n v="220"/>
  </r>
  <r>
    <n v="728"/>
    <x v="2"/>
    <n v="1"/>
    <s v="SALA CIRURGICA 05"/>
    <d v="2026-02-20T07:10:00"/>
    <d v="2026-02-20T07:40:00"/>
    <d v="2026-02-20T08:00:00"/>
    <d v="2026-02-20T12:20:00"/>
    <d v="2026-02-20T12:30:00"/>
    <d v="2026-02-20T12:31:00"/>
    <n v="5.35"/>
    <d v="2026-02-20T12:32:00"/>
    <d v="1899-12-30T05:21:00"/>
    <n v="5"/>
    <n v="21"/>
    <n v="321"/>
  </r>
  <r>
    <n v="729"/>
    <x v="1"/>
    <n v="1"/>
    <s v="SALA CIRURGICA 06"/>
    <d v="2026-02-20T07:00:00"/>
    <d v="2026-02-20T08:00:00"/>
    <d v="2026-02-20T08:20:00"/>
    <d v="2026-02-20T10:30:00"/>
    <d v="2026-02-20T10:40:00"/>
    <d v="2026-02-20T10:45:00"/>
    <n v="3.75"/>
    <d v="2026-02-20T10:55:00"/>
    <d v="1899-12-30T03:45:00"/>
    <n v="3"/>
    <n v="45"/>
    <n v="225"/>
  </r>
  <r>
    <n v="730"/>
    <x v="1"/>
    <n v="1"/>
    <s v="SALA CIRURGICA 01"/>
    <d v="2026-02-20T12:20:00"/>
    <d v="2026-02-20T13:10:00"/>
    <d v="2026-02-20T13:45:00"/>
    <d v="2026-02-20T15:18:00"/>
    <d v="2026-02-20T15:28:00"/>
    <d v="2026-02-20T15:50:00"/>
    <n v="3.5"/>
    <d v="2026-02-20T16:00:00"/>
    <d v="1899-12-30T03:30:00"/>
    <n v="3"/>
    <n v="30"/>
    <n v="210"/>
  </r>
  <r>
    <n v="731"/>
    <x v="0"/>
    <n v="1"/>
    <s v="SALA CIRURGICA 06"/>
    <d v="2026-02-21T10:40:00"/>
    <d v="2026-02-21T11:20:00"/>
    <d v="2026-02-21T11:45:00"/>
    <d v="2026-02-21T12:10:00"/>
    <d v="2026-02-21T12:15:00"/>
    <d v="2026-02-21T12:18:00"/>
    <n v="1.63"/>
    <d v="2026-02-21T12:28:00"/>
    <d v="1899-12-30T01:38:00"/>
    <n v="1"/>
    <n v="38"/>
    <n v="98"/>
  </r>
  <r>
    <n v="732"/>
    <x v="1"/>
    <n v="1"/>
    <s v="SALA CIRURGICA 03"/>
    <d v="2026-02-21T09:10:00"/>
    <d v="2026-02-21T09:35:00"/>
    <d v="2026-02-21T10:10:00"/>
    <d v="2026-02-21T10:35:00"/>
    <d v="2026-02-21T10:40:00"/>
    <d v="2026-02-21T10:45:00"/>
    <n v="1.58"/>
    <d v="2026-02-21T10:50:00"/>
    <d v="1899-12-30T01:35:00"/>
    <n v="1"/>
    <n v="35"/>
    <n v="95"/>
  </r>
  <r>
    <n v="733"/>
    <x v="2"/>
    <n v="1"/>
    <s v="SALA CIRURGICA 03"/>
    <d v="2026-02-21T13:56:00"/>
    <d v="2026-02-21T14:15:00"/>
    <d v="2026-02-21T14:40:00"/>
    <d v="2026-02-21T18:37:00"/>
    <d v="2026-02-21T18:47:00"/>
    <d v="2026-02-21T19:40:00"/>
    <n v="5.73"/>
    <d v="2026-02-21T19:50:00"/>
    <d v="1899-12-30T05:44:00"/>
    <n v="5"/>
    <n v="44"/>
    <n v="344"/>
  </r>
  <r>
    <n v="734"/>
    <x v="1"/>
    <n v="1"/>
    <s v="SALA CIRURGICA 04"/>
    <d v="2026-02-21T08:50:00"/>
    <d v="2026-02-21T09:15:00"/>
    <d v="2026-02-21T09:30:00"/>
    <d v="2026-02-21T10:15:00"/>
    <d v="2026-02-21T10:25:00"/>
    <d v="2026-02-21T10:30:00"/>
    <n v="1.67"/>
    <d v="2026-02-21T10:40:00"/>
    <d v="1899-12-30T01:40:00"/>
    <n v="1"/>
    <n v="40"/>
    <n v="100"/>
  </r>
  <r>
    <n v="735"/>
    <x v="2"/>
    <n v="1"/>
    <s v="SALA CIRURGICA 01"/>
    <d v="2026-02-20T21:15:00"/>
    <d v="2026-02-20T21:25:00"/>
    <d v="2026-02-20T22:00:00"/>
    <d v="2026-02-21T00:10:00"/>
    <d v="2026-02-21T00:20:00"/>
    <d v="2026-02-21T00:25:00"/>
    <n v="3.17"/>
    <d v="2026-02-21T00:35:00"/>
    <d v="1899-12-30T03:10:00"/>
    <n v="3"/>
    <n v="10"/>
    <n v="190"/>
  </r>
  <r>
    <n v="736"/>
    <x v="1"/>
    <n v="1"/>
    <s v="SALA CIRURGICA 06"/>
    <d v="2026-02-23T08:00:00"/>
    <d v="2026-02-23T08:40:00"/>
    <d v="2026-02-23T09:45:00"/>
    <d v="2026-02-23T12:50:00"/>
    <d v="2026-02-23T13:00:00"/>
    <d v="2026-02-23T13:10:00"/>
    <n v="5.17"/>
    <d v="2026-02-23T13:20:00"/>
    <d v="1899-12-30T05:10:00"/>
    <n v="5"/>
    <n v="10"/>
    <n v="310"/>
  </r>
  <r>
    <n v="737"/>
    <x v="0"/>
    <n v="1"/>
    <s v="SALA CIRURGICA 05"/>
    <d v="2026-02-23T11:30:00"/>
    <d v="2026-02-23T11:45:00"/>
    <d v="2026-02-23T12:30:00"/>
    <d v="2026-02-23T14:30:00"/>
    <d v="2026-02-23T14:40:00"/>
    <d v="2026-02-23T15:05:00"/>
    <n v="3.58"/>
    <d v="2026-02-23T15:15:00"/>
    <d v="1899-12-30T03:35:00"/>
    <n v="3"/>
    <n v="35"/>
    <n v="215"/>
  </r>
  <r>
    <n v="738"/>
    <x v="1"/>
    <n v="1"/>
    <s v="SALA CIRURGICA 01"/>
    <d v="2026-02-20T16:48:00"/>
    <d v="2026-02-20T16:58:00"/>
    <d v="2026-02-20T17:45:00"/>
    <d v="2026-02-20T19:13:00"/>
    <d v="2026-02-20T19:23:00"/>
    <d v="2026-02-20T19:35:00"/>
    <n v="2.78"/>
    <d v="2026-02-20T19:45:00"/>
    <d v="1899-12-30T02:47:00"/>
    <n v="2"/>
    <n v="47"/>
    <n v="167"/>
  </r>
  <r>
    <n v="739"/>
    <x v="0"/>
    <n v="1"/>
    <s v="SALA CIRURGICA 01"/>
    <d v="2026-02-22T10:10:00"/>
    <d v="2026-02-22T10:15:00"/>
    <d v="2026-02-22T10:20:00"/>
    <d v="2026-02-22T10:30:00"/>
    <d v="2026-02-22T10:40:00"/>
    <d v="2026-02-22T10:41:00"/>
    <n v="0.52"/>
    <d v="2026-02-22T10:42:00"/>
    <d v="1899-12-30T00:31:00"/>
    <n v="0"/>
    <n v="31"/>
    <n v="31"/>
  </r>
  <r>
    <n v="740"/>
    <x v="1"/>
    <n v="1"/>
    <s v="SALA CIRURGICA 01"/>
    <d v="2026-02-20T20:02:00"/>
    <d v="2026-02-20T20:20:00"/>
    <d v="2026-02-20T20:40:00"/>
    <d v="2026-02-20T22:40:00"/>
    <d v="2026-02-20T22:45:00"/>
    <d v="2026-02-20T22:46:00"/>
    <n v="2.73"/>
    <d v="2026-02-20T22:56:00"/>
    <d v="1899-12-30T02:44:00"/>
    <n v="2"/>
    <n v="44"/>
    <n v="164"/>
  </r>
  <r>
    <n v="741"/>
    <x v="2"/>
    <n v="1"/>
    <s v="SALA CIRURGICA 01"/>
    <d v="2026-02-20T23:37:00"/>
    <d v="2026-02-20T23:40:00"/>
    <d v="2026-02-20T23:55:00"/>
    <d v="2026-02-21T00:20:00"/>
    <d v="2026-02-21T00:25:00"/>
    <d v="2026-02-21T00:30:00"/>
    <n v="0.88"/>
    <d v="2026-02-21T00:40:00"/>
    <d v="1899-12-30T00:53:00"/>
    <n v="0"/>
    <n v="53"/>
    <n v="53"/>
  </r>
  <r>
    <n v="742"/>
    <x v="1"/>
    <n v="1"/>
    <s v="SALA CIRURGICA 02"/>
    <d v="2026-02-21T09:05:00"/>
    <d v="2026-02-21T09:15:00"/>
    <d v="2026-02-21T09:20:00"/>
    <d v="2026-02-21T09:35:00"/>
    <d v="2026-02-21T09:40:00"/>
    <d v="2026-02-21T09:41:00"/>
    <n v="0.6"/>
    <d v="2026-02-21T09:42:00"/>
    <d v="1899-12-30T00:36:00"/>
    <n v="0"/>
    <n v="36"/>
    <n v="36"/>
  </r>
  <r>
    <n v="743"/>
    <x v="1"/>
    <n v="1"/>
    <s v="SALA CIRURGICA 01"/>
    <d v="2026-02-21T10:20:00"/>
    <d v="2026-02-21T10:50:00"/>
    <d v="2026-02-21T11:10:00"/>
    <d v="2026-02-21T13:20:00"/>
    <d v="2026-02-21T13:30:00"/>
    <d v="2026-02-21T14:30:00"/>
    <n v="4.17"/>
    <d v="2026-02-21T14:40:00"/>
    <d v="1899-12-30T04:10:00"/>
    <n v="4"/>
    <n v="10"/>
    <n v="250"/>
  </r>
  <r>
    <n v="744"/>
    <x v="0"/>
    <n v="1"/>
    <s v="SALA CIRURGICA 02"/>
    <d v="2026-02-21T12:40:00"/>
    <d v="2026-02-21T12:50:00"/>
    <d v="2026-02-21T13:05:00"/>
    <d v="2026-02-21T13:10:00"/>
    <d v="2026-02-21T13:25:00"/>
    <d v="2026-02-21T13:30:00"/>
    <n v="0.83"/>
    <d v="2026-02-21T13:40:00"/>
    <d v="1899-12-30T00:50:00"/>
    <n v="0"/>
    <n v="50"/>
    <n v="50"/>
  </r>
  <r>
    <n v="745"/>
    <x v="0"/>
    <n v="1"/>
    <s v="SALA CIRURGICA 03"/>
    <d v="2026-02-21T16:15:00"/>
    <d v="2026-02-21T17:28:00"/>
    <d v="2026-02-21T17:30:00"/>
    <d v="2026-02-21T17:50:00"/>
    <d v="2026-02-21T17:55:00"/>
    <d v="2026-02-21T18:00:00"/>
    <n v="1.75"/>
    <d v="2026-02-21T18:10:00"/>
    <d v="1899-12-30T01:45:00"/>
    <n v="1"/>
    <n v="45"/>
    <n v="105"/>
  </r>
  <r>
    <n v="746"/>
    <x v="2"/>
    <n v="1"/>
    <s v="SALA CIRURGICA 01"/>
    <d v="2026-02-21T21:35:00"/>
    <d v="2026-02-21T21:45:00"/>
    <d v="2026-02-21T22:20:00"/>
    <d v="2026-02-21T23:22:00"/>
    <d v="2026-02-21T23:35:00"/>
    <d v="2026-02-21T23:40:00"/>
    <n v="2.08"/>
    <d v="2026-02-21T23:41:00"/>
    <d v="1899-12-30T02:05:00"/>
    <n v="2"/>
    <n v="5"/>
    <n v="125"/>
  </r>
  <r>
    <n v="747"/>
    <x v="0"/>
    <n v="1"/>
    <s v="SALA CIRURGICA 01"/>
    <d v="2026-02-21T19:30:00"/>
    <d v="2026-02-21T19:40:00"/>
    <d v="2026-02-21T20:15:00"/>
    <d v="2026-02-21T22:24:00"/>
    <d v="2026-02-21T22:30:00"/>
    <d v="2026-02-21T22:36:00"/>
    <n v="3.1"/>
    <d v="2026-02-21T22:46:00"/>
    <d v="1899-12-30T03:06:00"/>
    <n v="3"/>
    <n v="6"/>
    <n v="186"/>
  </r>
  <r>
    <n v="748"/>
    <x v="1"/>
    <n v="1"/>
    <s v="SALA CIRURGICA 02"/>
    <d v="2026-02-22T08:10:00"/>
    <d v="2026-02-22T08:30:00"/>
    <d v="2026-02-22T09:30:00"/>
    <d v="2026-02-22T10:28:00"/>
    <d v="2026-02-22T10:34:00"/>
    <d v="2026-02-22T10:35:00"/>
    <n v="2.42"/>
    <d v="2026-02-22T10:45:00"/>
    <d v="1899-12-30T02:25:00"/>
    <n v="2"/>
    <n v="25"/>
    <n v="145"/>
  </r>
  <r>
    <n v="749"/>
    <x v="2"/>
    <n v="1"/>
    <s v="SALA CIRURGICA 02"/>
    <d v="2026-02-21T16:00:00"/>
    <d v="2026-02-21T16:15:00"/>
    <d v="2026-02-21T17:10:00"/>
    <d v="2026-02-21T19:45:00"/>
    <d v="2026-02-21T20:00:00"/>
    <d v="2026-02-22T13:30:00"/>
    <n v="21.5"/>
    <d v="2026-02-22T13:35:00"/>
    <d v="1899-12-30T21:30:00"/>
    <n v="21"/>
    <n v="30"/>
    <n v="1290"/>
  </r>
  <r>
    <n v="750"/>
    <x v="1"/>
    <n v="1"/>
    <s v="SALA CIRURGICA 05"/>
    <d v="2026-02-21T22:45:00"/>
    <d v="2026-02-21T22:55:00"/>
    <d v="2026-02-21T23:20:00"/>
    <d v="2026-02-22T00:05:00"/>
    <d v="2026-02-22T00:11:00"/>
    <d v="2026-02-22T00:14:00"/>
    <n v="1.48"/>
    <d v="2026-02-22T00:24:00"/>
    <d v="1899-12-30T01:29:00"/>
    <n v="1"/>
    <n v="29"/>
    <n v="89"/>
  </r>
  <r>
    <n v="751"/>
    <x v="0"/>
    <n v="1"/>
    <s v="SALA CIRURGICA 01"/>
    <d v="2026-02-22T11:30:00"/>
    <d v="2026-02-22T11:45:00"/>
    <d v="2026-02-22T12:00:00"/>
    <d v="2026-02-22T12:08:00"/>
    <d v="2026-02-22T12:10:00"/>
    <d v="2026-02-22T12:35:00"/>
    <n v="1.08"/>
    <d v="2026-02-22T12:45:00"/>
    <d v="1899-12-30T01:05:00"/>
    <n v="1"/>
    <n v="5"/>
    <n v="65"/>
  </r>
  <r>
    <n v="752"/>
    <x v="1"/>
    <n v="1"/>
    <s v="SALA CIRURGICA 02"/>
    <d v="2026-02-23T07:00:00"/>
    <d v="2026-02-23T07:50:00"/>
    <d v="2026-02-23T08:30:00"/>
    <d v="2026-02-23T10:39:00"/>
    <d v="2026-02-23T10:50:00"/>
    <d v="2026-02-23T11:00:00"/>
    <n v="4"/>
    <d v="2026-02-23T11:05:00"/>
    <d v="1899-12-30T04:00:00"/>
    <n v="4"/>
    <n v="0"/>
    <n v="240"/>
  </r>
  <r>
    <n v="753"/>
    <x v="2"/>
    <n v="1"/>
    <s v="SALA CIRURGICA 03"/>
    <d v="2026-02-23T07:00:00"/>
    <d v="2026-02-23T07:55:00"/>
    <d v="2026-02-23T08:45:00"/>
    <d v="2026-02-23T16:10:00"/>
    <d v="2026-02-23T16:20:00"/>
    <d v="2026-02-23T17:00:00"/>
    <n v="10"/>
    <d v="2026-02-23T17:05:00"/>
    <d v="1899-12-30T10:00:00"/>
    <n v="10"/>
    <n v="0"/>
    <n v="600"/>
  </r>
  <r>
    <n v="754"/>
    <x v="1"/>
    <n v="1"/>
    <s v="SALA CIRURGICA 01"/>
    <d v="2026-02-22T21:30:00"/>
    <d v="2026-02-22T21:40:00"/>
    <d v="2026-02-22T21:45:00"/>
    <d v="2026-02-22T23:30:00"/>
    <d v="2026-02-22T23:31:00"/>
    <d v="2026-02-22T23:32:00"/>
    <n v="2.0299999999999998"/>
    <d v="2026-02-22T23:33:00"/>
    <d v="1899-12-30T02:02:00"/>
    <n v="2"/>
    <n v="2"/>
    <n v="122"/>
  </r>
  <r>
    <n v="755"/>
    <x v="2"/>
    <n v="1"/>
    <s v="SALA CIRURGICA 01"/>
    <d v="2026-02-23T08:07:00"/>
    <d v="2026-02-23T08:15:00"/>
    <d v="2026-02-23T09:05:00"/>
    <d v="2026-02-23T10:10:00"/>
    <d v="2026-02-23T10:20:00"/>
    <d v="2026-02-23T10:35:00"/>
    <n v="2.4700000000000002"/>
    <d v="2026-02-23T10:45:00"/>
    <d v="1899-12-30T02:28:00"/>
    <n v="2"/>
    <n v="28"/>
    <n v="148"/>
  </r>
  <r>
    <n v="756"/>
    <x v="2"/>
    <n v="1"/>
    <s v="SALA CIRURGICA 01"/>
    <d v="2026-02-23T09:02:00"/>
    <d v="2026-02-23T09:20:00"/>
    <d v="2026-02-23T09:45:00"/>
    <d v="2026-02-23T11:45:00"/>
    <d v="2026-02-23T12:00:00"/>
    <d v="2026-02-23T14:25:00"/>
    <n v="5.38"/>
    <d v="2026-02-23T14:26:00"/>
    <d v="1899-12-30T05:23:00"/>
    <n v="5"/>
    <n v="23"/>
    <n v="323"/>
  </r>
  <r>
    <n v="757"/>
    <x v="0"/>
    <n v="1"/>
    <s v="SALA CIRURGICA 03"/>
    <d v="2026-02-24T09:00:00"/>
    <d v="2026-02-24T09:20:00"/>
    <d v="2026-02-24T09:30:00"/>
    <d v="2026-02-24T10:00:00"/>
    <d v="2026-02-24T10:10:00"/>
    <d v="2026-02-24T10:11:00"/>
    <n v="1.18"/>
    <d v="2026-02-24T10:12:00"/>
    <d v="1899-12-30T01:11:00"/>
    <n v="1"/>
    <n v="11"/>
    <n v="71"/>
  </r>
  <r>
    <n v="758"/>
    <x v="2"/>
    <n v="1"/>
    <s v="SALA CIRURGICA 02"/>
    <d v="2026-02-23T12:10:00"/>
    <d v="2026-02-23T12:45:00"/>
    <d v="2026-02-23T13:03:00"/>
    <d v="2026-02-23T16:06:00"/>
    <d v="2026-02-23T16:55:00"/>
    <d v="2026-02-23T17:00:00"/>
    <n v="4.83"/>
    <d v="2026-02-23T17:10:00"/>
    <d v="1899-12-30T04:50:00"/>
    <n v="4"/>
    <n v="50"/>
    <n v="290"/>
  </r>
  <r>
    <n v="759"/>
    <x v="0"/>
    <n v="1"/>
    <s v="SALA CIRURGICA 01"/>
    <d v="2026-02-23T14:55:00"/>
    <d v="2026-02-23T15:20:00"/>
    <d v="2026-02-23T15:55:00"/>
    <d v="2026-02-23T16:15:00"/>
    <d v="2026-02-23T16:45:00"/>
    <d v="2026-02-23T18:00:00"/>
    <n v="3.08"/>
    <d v="2026-02-23T18:10:00"/>
    <d v="1899-12-30T03:05:00"/>
    <n v="3"/>
    <n v="5"/>
    <n v="185"/>
  </r>
  <r>
    <n v="760"/>
    <x v="1"/>
    <n v="1"/>
    <s v="SALA CIRURGICA 05"/>
    <d v="2026-02-23T16:10:00"/>
    <d v="2026-02-23T16:35:00"/>
    <d v="2026-02-23T17:25:00"/>
    <d v="2026-02-23T19:13:00"/>
    <d v="2026-02-23T21:50:00"/>
    <d v="2026-02-23T22:00:00"/>
    <n v="5.83"/>
    <d v="2026-02-23T22:10:00"/>
    <d v="1899-12-30T05:50:00"/>
    <n v="5"/>
    <n v="50"/>
    <n v="350"/>
  </r>
  <r>
    <n v="761"/>
    <x v="0"/>
    <n v="1"/>
    <s v="SALA CIRURGICA 02"/>
    <d v="2026-02-23T18:15:00"/>
    <d v="2026-02-23T18:25:00"/>
    <d v="2026-02-23T18:30:00"/>
    <d v="2026-02-23T18:45:00"/>
    <d v="2026-02-23T18:55:00"/>
    <d v="2026-02-23T19:00:00"/>
    <n v="0.75"/>
    <d v="2026-02-23T19:05:00"/>
    <d v="1899-12-30T00:45:00"/>
    <n v="0"/>
    <n v="45"/>
    <n v="45"/>
  </r>
  <r>
    <n v="762"/>
    <x v="2"/>
    <n v="1"/>
    <s v="SALA CIRURGICA 06"/>
    <d v="2026-02-23T15:15:00"/>
    <d v="2026-02-23T15:25:00"/>
    <d v="2026-02-23T16:25:00"/>
    <d v="2026-02-23T18:30:00"/>
    <d v="2026-02-23T18:40:00"/>
    <d v="2026-02-23T19:20:00"/>
    <n v="4.08"/>
    <d v="2026-02-23T19:30:00"/>
    <d v="1899-12-30T04:05:00"/>
    <n v="4"/>
    <n v="5"/>
    <n v="245"/>
  </r>
  <r>
    <n v="763"/>
    <x v="2"/>
    <n v="1"/>
    <s v="SALA CIRURGICA 05"/>
    <d v="2026-02-24T07:00:00"/>
    <d v="2026-02-24T08:20:00"/>
    <d v="2026-02-24T08:35:00"/>
    <d v="2026-02-24T09:05:00"/>
    <d v="2026-02-24T09:15:00"/>
    <d v="2026-02-24T12:10:00"/>
    <n v="5.17"/>
    <d v="2026-02-24T12:20:00"/>
    <d v="1899-12-30T05:10:00"/>
    <n v="5"/>
    <n v="10"/>
    <n v="310"/>
  </r>
  <r>
    <n v="764"/>
    <x v="2"/>
    <n v="1"/>
    <s v="SALA CIRURGICA 03"/>
    <d v="2026-02-24T07:00:00"/>
    <d v="2026-02-24T09:00:00"/>
    <d v="2026-02-24T09:30:00"/>
    <d v="2026-02-24T13:30:00"/>
    <d v="2026-02-24T13:40:00"/>
    <d v="2026-02-24T13:50:00"/>
    <n v="6.83"/>
    <d v="2026-02-24T14:00:00"/>
    <d v="1899-12-30T06:50:00"/>
    <n v="6"/>
    <n v="50"/>
    <n v="410"/>
  </r>
  <r>
    <n v="765"/>
    <x v="1"/>
    <n v="1"/>
    <s v="SALA CIRURGICA 01"/>
    <d v="2026-02-24T16:25:00"/>
    <d v="2026-02-24T16:50:00"/>
    <d v="2026-02-24T17:40:00"/>
    <d v="2026-02-24T20:35:00"/>
    <d v="2026-02-24T20:40:00"/>
    <d v="2026-02-24T20:55:00"/>
    <n v="4.5"/>
    <d v="2026-02-24T21:05:00"/>
    <d v="1899-12-30T04:30:00"/>
    <n v="4"/>
    <n v="30"/>
    <n v="270"/>
  </r>
  <r>
    <n v="766"/>
    <x v="2"/>
    <n v="1"/>
    <s v="SALA CIRURGICA 03"/>
    <d v="2026-02-26T07:00:00"/>
    <d v="2026-02-26T07:40:00"/>
    <d v="2026-02-26T08:00:00"/>
    <d v="2026-02-26T12:00:00"/>
    <d v="2026-02-26T12:10:00"/>
    <d v="2026-02-26T12:15:00"/>
    <n v="5.25"/>
    <d v="2026-02-26T12:25:00"/>
    <d v="1899-12-30T05:15:00"/>
    <n v="5"/>
    <n v="15"/>
    <n v="315"/>
  </r>
  <r>
    <n v="767"/>
    <x v="2"/>
    <n v="1"/>
    <s v="SALA CIRURGICA 03"/>
    <d v="2026-02-23T17:25:00"/>
    <d v="2026-02-23T17:30:00"/>
    <d v="2026-02-23T17:35:00"/>
    <d v="2026-02-23T21:36:00"/>
    <d v="2026-02-23T22:45:00"/>
    <d v="2026-02-23T22:46:00"/>
    <n v="5.35"/>
    <d v="2026-02-23T22:48:00"/>
    <d v="1899-12-30T05:21:00"/>
    <n v="5"/>
    <n v="21"/>
    <n v="321"/>
  </r>
  <r>
    <n v="768"/>
    <x v="1"/>
    <n v="1"/>
    <s v="SALA CIRURGICA 01"/>
    <d v="2026-02-23T20:10:00"/>
    <d v="2026-02-23T20:15:00"/>
    <d v="2026-02-23T20:25:00"/>
    <d v="2026-02-23T21:27:00"/>
    <d v="2026-02-23T21:37:00"/>
    <d v="2026-02-23T21:49:00"/>
    <n v="1.65"/>
    <d v="2026-02-23T21:59:00"/>
    <d v="1899-12-30T01:39:00"/>
    <n v="1"/>
    <n v="39"/>
    <n v="99"/>
  </r>
  <r>
    <n v="769"/>
    <x v="2"/>
    <n v="1"/>
    <s v="SALA CIRURGICA 01"/>
    <d v="2026-02-24T08:20:00"/>
    <d v="2026-02-24T08:21:00"/>
    <d v="2026-02-24T08:48:00"/>
    <d v="2026-02-24T11:30:00"/>
    <d v="2026-02-24T12:00:00"/>
    <d v="2026-02-24T12:01:00"/>
    <n v="3.68"/>
    <d v="2026-02-24T12:05:00"/>
    <d v="1899-12-30T03:41:00"/>
    <n v="3"/>
    <n v="41"/>
    <n v="221"/>
  </r>
  <r>
    <n v="770"/>
    <x v="2"/>
    <n v="1"/>
    <s v="SALA CIRURGICA 05"/>
    <d v="2026-02-24T13:40:00"/>
    <d v="2026-02-24T13:45:00"/>
    <d v="2026-02-24T14:00:00"/>
    <d v="2026-02-24T18:19:00"/>
    <d v="2026-02-24T18:20:00"/>
    <d v="2026-02-24T18:45:00"/>
    <n v="5.08"/>
    <d v="2026-02-24T18:55:00"/>
    <d v="1899-12-30T05:05:00"/>
    <n v="5"/>
    <n v="5"/>
    <n v="305"/>
  </r>
  <r>
    <n v="771"/>
    <x v="1"/>
    <n v="1"/>
    <s v="SALA CIRURGICA 01"/>
    <d v="2026-02-24T12:45:00"/>
    <d v="2026-02-24T13:00:00"/>
    <d v="2026-02-24T13:40:00"/>
    <d v="2026-02-24T15:24:00"/>
    <d v="2026-02-24T15:34:00"/>
    <d v="2026-02-24T15:40:00"/>
    <n v="2.92"/>
    <d v="2026-02-24T15:50:00"/>
    <d v="1899-12-30T02:55:00"/>
    <n v="2"/>
    <n v="55"/>
    <n v="175"/>
  </r>
  <r>
    <n v="772"/>
    <x v="0"/>
    <n v="1"/>
    <s v="SALA CIRURGICA 01"/>
    <d v="2026-02-24T13:10:00"/>
    <d v="2026-02-24T13:20:00"/>
    <d v="2026-02-24T13:50:00"/>
    <d v="2026-02-24T14:45:00"/>
    <d v="2026-02-24T14:55:00"/>
    <d v="2026-02-24T14:56:00"/>
    <n v="1.77"/>
    <d v="2026-02-24T15:00:00"/>
    <d v="1899-12-30T01:46:00"/>
    <n v="1"/>
    <n v="46"/>
    <n v="106"/>
  </r>
  <r>
    <n v="773"/>
    <x v="0"/>
    <n v="1"/>
    <s v="SALA CIRURGICA 06"/>
    <d v="2026-02-24T14:25:00"/>
    <d v="2026-02-24T14:35:00"/>
    <d v="2026-02-24T15:20:00"/>
    <d v="2026-02-24T16:30:00"/>
    <d v="2026-02-24T16:40:00"/>
    <d v="2026-02-24T17:00:00"/>
    <n v="2.58"/>
    <d v="2026-02-24T17:10:00"/>
    <d v="1899-12-30T02:35:00"/>
    <n v="2"/>
    <n v="35"/>
    <n v="155"/>
  </r>
  <r>
    <n v="774"/>
    <x v="1"/>
    <n v="1"/>
    <s v="SALA CIRURGICA 03"/>
    <d v="2026-02-25T12:15:00"/>
    <d v="2026-02-25T12:40:00"/>
    <d v="2026-02-25T13:15:00"/>
    <d v="2026-02-25T17:25:00"/>
    <d v="2026-02-25T17:30:00"/>
    <d v="2026-02-25T17:35:00"/>
    <n v="5.33"/>
    <d v="2026-02-25T17:40:00"/>
    <d v="1899-12-30T05:20:00"/>
    <n v="5"/>
    <n v="20"/>
    <n v="320"/>
  </r>
  <r>
    <n v="775"/>
    <x v="2"/>
    <n v="1"/>
    <s v="SALA CIRURGICA 05"/>
    <d v="2026-02-25T06:50:00"/>
    <d v="2026-02-25T07:40:00"/>
    <d v="2026-02-25T08:40:00"/>
    <d v="2026-02-25T09:45:00"/>
    <d v="2026-02-25T09:55:00"/>
    <d v="2026-02-25T10:15:00"/>
    <n v="3.42"/>
    <d v="2026-02-25T10:25:00"/>
    <d v="1899-12-30T03:25:00"/>
    <n v="3"/>
    <n v="25"/>
    <n v="205"/>
  </r>
  <r>
    <n v="776"/>
    <x v="2"/>
    <n v="1"/>
    <s v="SALA CIRURGICA 03"/>
    <d v="2026-02-25T07:00:00"/>
    <d v="2026-02-25T07:45:00"/>
    <d v="2026-02-25T08:20:00"/>
    <d v="2026-02-25T10:55:00"/>
    <d v="2026-02-25T11:10:00"/>
    <d v="2026-02-25T11:20:00"/>
    <n v="4.33"/>
    <d v="2026-02-25T11:30:00"/>
    <d v="1899-12-30T04:20:00"/>
    <n v="4"/>
    <n v="20"/>
    <n v="260"/>
  </r>
  <r>
    <n v="777"/>
    <x v="1"/>
    <n v="1"/>
    <s v="SALA CIRURGICA 03"/>
    <d v="2026-02-25T15:30:00"/>
    <d v="2026-02-25T15:45:00"/>
    <d v="2026-02-25T16:15:00"/>
    <d v="2026-02-25T17:30:00"/>
    <d v="2026-02-25T17:40:00"/>
    <d v="2026-02-25T17:45:00"/>
    <n v="2.25"/>
    <d v="2026-02-25T17:55:00"/>
    <d v="1899-12-30T02:15:00"/>
    <n v="2"/>
    <n v="15"/>
    <n v="135"/>
  </r>
  <r>
    <n v="778"/>
    <x v="2"/>
    <n v="1"/>
    <s v="SALA CIRURGICA 05"/>
    <d v="2026-02-25T11:40:00"/>
    <d v="2026-02-25T12:40:00"/>
    <d v="2026-02-25T13:20:00"/>
    <d v="2026-02-25T14:15:00"/>
    <d v="2026-02-25T14:25:00"/>
    <d v="2026-02-25T14:35:00"/>
    <n v="2.92"/>
    <d v="2026-02-25T14:36:00"/>
    <d v="1899-12-30T02:55:00"/>
    <n v="2"/>
    <n v="55"/>
    <n v="175"/>
  </r>
  <r>
    <n v="779"/>
    <x v="0"/>
    <n v="1"/>
    <s v="SALA CIRURGICA 06"/>
    <d v="2026-02-25T12:44:00"/>
    <d v="2026-02-25T13:00:00"/>
    <d v="2026-02-25T13:55:00"/>
    <d v="2026-02-25T15:40:00"/>
    <d v="2026-02-25T15:45:00"/>
    <d v="2026-02-25T16:00:00"/>
    <n v="3.27"/>
    <d v="2026-02-25T16:10:00"/>
    <d v="1899-12-30T03:16:00"/>
    <n v="3"/>
    <n v="16"/>
    <n v="196"/>
  </r>
  <r>
    <n v="780"/>
    <x v="1"/>
    <n v="1"/>
    <s v="SALA CIRURGICA 05"/>
    <d v="2026-02-25T14:20:00"/>
    <d v="2026-02-25T14:35:00"/>
    <d v="2026-02-25T15:10:00"/>
    <d v="2026-02-25T17:20:00"/>
    <d v="2026-02-25T17:30:00"/>
    <d v="2026-02-25T18:29:00"/>
    <n v="4.1500000000000004"/>
    <d v="2026-02-25T18:39:00"/>
    <d v="1899-12-30T04:09:00"/>
    <n v="4"/>
    <n v="9"/>
    <n v="249"/>
  </r>
  <r>
    <n v="781"/>
    <x v="1"/>
    <n v="1"/>
    <s v="SALA CIRURGICA 06"/>
    <d v="2026-02-26T07:35:00"/>
    <d v="2026-02-26T07:38:00"/>
    <d v="2026-02-26T07:40:00"/>
    <d v="2026-02-26T07:50:00"/>
    <d v="2026-02-26T08:00:00"/>
    <d v="2026-02-26T08:10:00"/>
    <n v="0.57999999999999996"/>
    <d v="2026-02-26T08:15:00"/>
    <d v="1899-12-30T00:35:00"/>
    <n v="0"/>
    <n v="35"/>
    <n v="35"/>
  </r>
  <r>
    <n v="782"/>
    <x v="0"/>
    <n v="1"/>
    <s v="SALA CIRURGICA 02"/>
    <d v="2026-02-25T06:55:00"/>
    <d v="2026-02-25T07:45:00"/>
    <d v="2026-02-25T08:17:00"/>
    <d v="2026-02-25T08:40:00"/>
    <d v="2026-02-25T08:50:00"/>
    <d v="2026-02-25T09:08:00"/>
    <n v="2.2200000000000002"/>
    <d v="2026-02-25T09:10:00"/>
    <d v="1899-12-30T02:13:00"/>
    <n v="2"/>
    <n v="13"/>
    <n v="133"/>
  </r>
  <r>
    <n v="783"/>
    <x v="2"/>
    <n v="1"/>
    <s v="SALA CIRURGICA 05"/>
    <d v="2026-02-25T09:40:00"/>
    <d v="2026-02-25T10:00:00"/>
    <d v="2026-02-25T10:35:00"/>
    <d v="2026-02-25T12:50:00"/>
    <d v="2026-02-25T13:00:00"/>
    <d v="2026-02-25T13:25:00"/>
    <n v="3.75"/>
    <d v="2026-02-25T13:35:00"/>
    <d v="1899-12-30T03:45:00"/>
    <n v="3"/>
    <n v="45"/>
    <n v="225"/>
  </r>
  <r>
    <n v="784"/>
    <x v="2"/>
    <n v="1"/>
    <s v="SALA CIRURGICA 01"/>
    <d v="2026-02-24T15:50:00"/>
    <d v="2026-02-24T16:00:00"/>
    <d v="2026-02-24T17:00:00"/>
    <d v="2026-02-24T18:20:00"/>
    <d v="2026-02-24T18:25:00"/>
    <d v="2026-02-24T18:30:00"/>
    <n v="2.67"/>
    <d v="2026-02-24T18:40:00"/>
    <d v="1899-12-30T02:40:00"/>
    <n v="2"/>
    <n v="40"/>
    <n v="160"/>
  </r>
  <r>
    <n v="785"/>
    <x v="1"/>
    <n v="1"/>
    <s v="SALA CIRURGICA 05"/>
    <d v="2026-02-25T07:00:00"/>
    <d v="2026-02-25T07:35:00"/>
    <d v="2026-02-25T08:05:00"/>
    <d v="2026-02-25T10:35:00"/>
    <d v="2026-02-25T10:50:00"/>
    <d v="2026-02-25T10:55:00"/>
    <n v="3.92"/>
    <d v="2026-02-25T10:56:00"/>
    <d v="1899-12-30T03:55:00"/>
    <n v="3"/>
    <n v="55"/>
    <n v="235"/>
  </r>
  <r>
    <n v="786"/>
    <x v="0"/>
    <n v="1"/>
    <s v="SALA CIRURGICA 01"/>
    <d v="2026-02-24T18:10:00"/>
    <d v="2026-02-24T18:20:00"/>
    <d v="2026-02-24T18:30:00"/>
    <d v="2026-02-24T19:20:00"/>
    <d v="2026-02-24T19:25:00"/>
    <d v="2026-02-24T19:30:00"/>
    <n v="1.33"/>
    <d v="2026-02-24T19:31:00"/>
    <d v="1899-12-30T01:20:00"/>
    <n v="1"/>
    <n v="20"/>
    <n v="80"/>
  </r>
  <r>
    <n v="787"/>
    <x v="0"/>
    <n v="1"/>
    <s v="SALA CIRURGICA 01"/>
    <d v="2026-02-24T21:59:00"/>
    <d v="2026-02-24T22:15:00"/>
    <d v="2026-02-24T22:30:00"/>
    <d v="2026-02-25T00:45:00"/>
    <d v="2026-02-25T00:55:00"/>
    <d v="2026-02-25T01:05:00"/>
    <n v="3.1"/>
    <d v="2026-02-25T01:15:00"/>
    <d v="1899-12-30T03:06:00"/>
    <n v="3"/>
    <n v="6"/>
    <n v="186"/>
  </r>
  <r>
    <n v="788"/>
    <x v="2"/>
    <n v="1"/>
    <s v="SALA CIRURGICA 01"/>
    <d v="2026-02-25T11:38:00"/>
    <d v="2026-02-25T11:40:00"/>
    <d v="2026-02-25T12:10:00"/>
    <d v="2026-02-25T13:50:00"/>
    <d v="2026-02-25T15:15:00"/>
    <d v="2026-02-25T15:20:00"/>
    <n v="3.7"/>
    <d v="2026-02-25T15:30:00"/>
    <d v="1899-12-30T03:42:00"/>
    <n v="3"/>
    <n v="42"/>
    <n v="222"/>
  </r>
  <r>
    <n v="789"/>
    <x v="0"/>
    <n v="1"/>
    <s v="SALA CIRURGICA 06"/>
    <d v="2026-02-26T09:25:00"/>
    <d v="2026-02-26T09:30:00"/>
    <d v="2026-02-26T09:45:00"/>
    <d v="2026-02-26T10:25:00"/>
    <d v="2026-02-26T10:45:00"/>
    <d v="2026-02-26T10:50:00"/>
    <n v="1.42"/>
    <d v="2026-02-26T11:00:00"/>
    <d v="1899-12-30T01:25:00"/>
    <n v="1"/>
    <n v="25"/>
    <n v="85"/>
  </r>
  <r>
    <n v="790"/>
    <x v="2"/>
    <n v="1"/>
    <s v="SALA CIRURGICA 06"/>
    <d v="2026-02-26T14:40:00"/>
    <d v="2026-02-26T15:20:00"/>
    <d v="2026-02-26T15:30:00"/>
    <d v="2026-02-26T17:40:00"/>
    <d v="2026-02-26T17:50:00"/>
    <d v="2026-02-26T18:38:00"/>
    <n v="3.97"/>
    <d v="2026-02-26T18:48:00"/>
    <d v="1899-12-30T03:58:00"/>
    <n v="3"/>
    <n v="58"/>
    <n v="238"/>
  </r>
  <r>
    <n v="791"/>
    <x v="0"/>
    <n v="1"/>
    <s v="SALA CIRURGICA 05"/>
    <d v="2026-02-26T06:55:00"/>
    <d v="2026-02-26T07:40:00"/>
    <d v="2026-02-26T08:00:00"/>
    <d v="2026-02-26T09:27:00"/>
    <d v="2026-02-26T09:37:00"/>
    <d v="2026-02-26T09:40:00"/>
    <n v="2.75"/>
    <d v="2026-02-26T09:45:00"/>
    <d v="1899-12-30T02:45:00"/>
    <n v="2"/>
    <n v="45"/>
    <n v="165"/>
  </r>
  <r>
    <n v="792"/>
    <x v="0"/>
    <n v="1"/>
    <s v="SALA CIRURGICA 05"/>
    <d v="2026-02-26T10:23:00"/>
    <d v="2026-02-26T10:33:00"/>
    <d v="2026-02-26T11:54:00"/>
    <d v="2026-02-26T12:54:00"/>
    <d v="2026-02-26T13:04:00"/>
    <d v="2026-02-26T13:25:00"/>
    <n v="3.03"/>
    <d v="2026-02-26T13:26:00"/>
    <d v="1899-12-30T03:02:00"/>
    <n v="3"/>
    <n v="2"/>
    <n v="182"/>
  </r>
  <r>
    <n v="793"/>
    <x v="2"/>
    <n v="1"/>
    <s v="SALA CIRURGICA 01"/>
    <d v="2026-02-26T07:00:00"/>
    <d v="2026-02-26T07:50:00"/>
    <d v="2026-02-26T08:05:00"/>
    <d v="2026-02-26T08:45:00"/>
    <d v="2026-02-26T08:55:00"/>
    <d v="2026-02-26T08:56:00"/>
    <n v="1.93"/>
    <d v="2026-02-26T09:06:00"/>
    <d v="1899-12-30T01:56:00"/>
    <n v="1"/>
    <n v="56"/>
    <n v="116"/>
  </r>
  <r>
    <n v="794"/>
    <x v="1"/>
    <n v="1"/>
    <s v="SALA CIRURGICA 01"/>
    <d v="2026-02-26T10:00:00"/>
    <d v="2026-02-26T10:10:00"/>
    <d v="2026-02-26T10:50:00"/>
    <d v="2026-02-26T13:30:00"/>
    <d v="2026-02-26T13:40:00"/>
    <d v="2026-02-26T13:41:00"/>
    <n v="3.68"/>
    <d v="2026-02-26T13:45:00"/>
    <d v="1899-12-30T03:41:00"/>
    <n v="3"/>
    <n v="41"/>
    <n v="221"/>
  </r>
  <r>
    <n v="795"/>
    <x v="1"/>
    <n v="1"/>
    <s v="SALA CIRURGICA 01"/>
    <d v="2026-02-25T16:10:00"/>
    <d v="2026-02-25T16:15:00"/>
    <d v="2026-02-25T16:45:00"/>
    <d v="2026-02-25T17:40:00"/>
    <d v="2026-02-25T18:00:00"/>
    <d v="2026-02-25T18:15:00"/>
    <n v="2.08"/>
    <d v="2026-02-25T18:16:00"/>
    <d v="1899-12-30T02:05:00"/>
    <n v="2"/>
    <n v="5"/>
    <n v="125"/>
  </r>
  <r>
    <n v="796"/>
    <x v="1"/>
    <n v="1"/>
    <s v="SALA CIRURGICA 06"/>
    <d v="2026-02-25T17:00:00"/>
    <d v="2026-02-25T17:15:00"/>
    <d v="2026-02-25T17:30:00"/>
    <d v="2026-02-25T18:52:00"/>
    <d v="2026-02-25T20:50:00"/>
    <d v="2026-02-25T21:00:00"/>
    <n v="4"/>
    <d v="2026-02-25T21:10:00"/>
    <d v="1899-12-30T04:00:00"/>
    <n v="4"/>
    <n v="0"/>
    <n v="240"/>
  </r>
  <r>
    <n v="797"/>
    <x v="0"/>
    <n v="1"/>
    <s v="SALA CIRURGICA 01"/>
    <d v="2026-02-26T17:05:00"/>
    <d v="2026-02-26T17:10:00"/>
    <d v="2026-02-26T17:15:00"/>
    <d v="2026-02-26T17:30:00"/>
    <d v="2026-02-26T17:35:00"/>
    <d v="2026-02-26T17:40:00"/>
    <n v="0.57999999999999996"/>
    <d v="2026-02-26T17:45:00"/>
    <d v="1899-12-30T00:35:00"/>
    <n v="0"/>
    <n v="35"/>
    <n v="35"/>
  </r>
  <r>
    <n v="798"/>
    <x v="0"/>
    <n v="1"/>
    <s v="SALA CIRURGICA 03"/>
    <d v="2026-02-26T10:40:00"/>
    <d v="2026-02-26T10:50:00"/>
    <d v="2026-02-26T11:25:00"/>
    <d v="2026-02-26T11:55:00"/>
    <d v="2026-02-26T12:05:00"/>
    <d v="2026-02-26T12:15:00"/>
    <n v="1.58"/>
    <d v="2026-02-26T12:25:00"/>
    <d v="1899-12-30T01:35:00"/>
    <n v="1"/>
    <n v="35"/>
    <n v="95"/>
  </r>
  <r>
    <n v="799"/>
    <x v="2"/>
    <n v="1"/>
    <s v="SALA CIRURGICA 04"/>
    <d v="2026-02-26T07:00:00"/>
    <d v="2026-02-26T07:50:00"/>
    <d v="2026-02-26T08:30:00"/>
    <d v="2026-02-26T09:20:00"/>
    <d v="2026-02-26T09:30:00"/>
    <d v="2026-02-26T09:50:00"/>
    <n v="2.83"/>
    <d v="2026-02-26T10:00:00"/>
    <d v="1899-12-30T02:50:00"/>
    <n v="2"/>
    <n v="50"/>
    <n v="170"/>
  </r>
  <r>
    <n v="800"/>
    <x v="1"/>
    <n v="1"/>
    <s v="SALA CIRURGICA 06"/>
    <d v="2026-02-26T14:20:00"/>
    <d v="2026-02-26T14:30:00"/>
    <d v="2026-02-26T15:00:00"/>
    <d v="2026-02-26T16:55:00"/>
    <d v="2026-02-26T17:05:00"/>
    <d v="2026-02-26T17:20:00"/>
    <n v="3"/>
    <d v="2026-02-26T17:30:00"/>
    <d v="1899-12-30T03:00:00"/>
    <n v="3"/>
    <n v="0"/>
    <n v="180"/>
  </r>
  <r>
    <n v="801"/>
    <x v="0"/>
    <n v="1"/>
    <s v="SALA CIRURGICA 01"/>
    <d v="2026-02-25T21:10:00"/>
    <d v="2026-02-25T21:20:00"/>
    <d v="2026-02-25T21:45:00"/>
    <d v="2026-02-25T23:25:00"/>
    <d v="2026-02-25T23:35:00"/>
    <d v="2026-02-25T23:36:00"/>
    <n v="2.4300000000000002"/>
    <d v="2026-02-25T23:37:00"/>
    <d v="1899-12-30T02:26:00"/>
    <n v="2"/>
    <n v="26"/>
    <n v="146"/>
  </r>
  <r>
    <n v="802"/>
    <x v="0"/>
    <n v="1"/>
    <s v="SALA CIRURGICA 06"/>
    <d v="2026-02-26T12:15:00"/>
    <d v="2026-02-26T12:25:00"/>
    <d v="2026-02-26T12:35:00"/>
    <d v="2026-02-26T12:50:00"/>
    <d v="2026-02-26T12:55:00"/>
    <d v="2026-02-26T13:00:00"/>
    <n v="0.75"/>
    <d v="2026-02-26T13:10:00"/>
    <d v="1899-12-30T00:45:00"/>
    <n v="0"/>
    <n v="45"/>
    <n v="45"/>
  </r>
  <r>
    <n v="803"/>
    <x v="1"/>
    <n v="1"/>
    <s v="SALA CIRURGICA 01"/>
    <d v="2026-02-26T13:25:00"/>
    <d v="2026-02-26T13:40:00"/>
    <d v="2026-02-26T14:10:00"/>
    <d v="2026-02-26T16:20:00"/>
    <d v="2026-02-26T16:30:00"/>
    <d v="2026-02-26T16:40:00"/>
    <n v="3.25"/>
    <d v="2026-02-26T16:50:00"/>
    <d v="1899-12-30T03:15:00"/>
    <n v="3"/>
    <n v="15"/>
    <n v="195"/>
  </r>
  <r>
    <n v="804"/>
    <x v="2"/>
    <n v="1"/>
    <s v="SALA CIRURGICA 02"/>
    <d v="2026-02-27T13:50:00"/>
    <d v="2026-02-27T14:25:00"/>
    <d v="2026-02-27T16:25:00"/>
    <d v="2026-02-27T19:48:00"/>
    <d v="2026-02-27T21:30:00"/>
    <d v="2026-02-27T21:45:00"/>
    <n v="7.92"/>
    <d v="2026-02-27T21:55:00"/>
    <d v="1899-12-30T07:55:00"/>
    <n v="7"/>
    <n v="55"/>
    <n v="475"/>
  </r>
  <r>
    <n v="805"/>
    <x v="0"/>
    <n v="1"/>
    <s v="SALA CIRURGICA 06"/>
    <d v="2026-02-27T06:50:00"/>
    <d v="2026-02-27T08:15:00"/>
    <d v="2026-02-27T08:25:00"/>
    <d v="2026-02-27T08:35:00"/>
    <d v="2026-02-27T08:45:00"/>
    <d v="2026-02-27T08:57:00"/>
    <n v="2.12"/>
    <d v="2026-02-27T09:07:00"/>
    <d v="1899-12-30T02:07:00"/>
    <n v="2"/>
    <n v="7"/>
    <n v="127"/>
  </r>
  <r>
    <n v="806"/>
    <x v="2"/>
    <n v="1"/>
    <s v="SALA CIRURGICA 03"/>
    <d v="2026-02-27T07:00:00"/>
    <d v="2026-02-27T07:50:00"/>
    <d v="2026-02-27T09:15:00"/>
    <d v="2026-02-27T14:05:00"/>
    <d v="2026-02-27T14:30:00"/>
    <d v="2026-02-27T14:45:00"/>
    <n v="7.75"/>
    <d v="2026-02-27T15:00:00"/>
    <d v="1899-12-30T07:45:00"/>
    <n v="7"/>
    <n v="45"/>
    <n v="465"/>
  </r>
  <r>
    <n v="807"/>
    <x v="0"/>
    <n v="1"/>
    <s v="SALA CIRURGICA 05"/>
    <d v="2026-02-27T06:55:00"/>
    <d v="2026-02-27T08:00:00"/>
    <d v="2026-02-27T08:05:00"/>
    <d v="2026-02-27T08:30:00"/>
    <d v="2026-02-27T08:35:00"/>
    <d v="2026-02-27T08:40:00"/>
    <n v="1.75"/>
    <d v="2026-02-27T08:50:00"/>
    <d v="1899-12-30T01:45:00"/>
    <n v="1"/>
    <n v="45"/>
    <n v="105"/>
  </r>
  <r>
    <n v="808"/>
    <x v="0"/>
    <n v="1"/>
    <s v="SALA CIRURGICA 06"/>
    <d v="2026-02-27T12:10:00"/>
    <d v="2026-02-27T12:35:00"/>
    <d v="2026-02-27T12:36:00"/>
    <d v="2026-02-27T12:45:00"/>
    <d v="2026-02-27T12:46:00"/>
    <d v="2026-02-27T13:10:00"/>
    <n v="1"/>
    <d v="2026-02-27T13:20:00"/>
    <d v="1899-12-30T01:00:00"/>
    <n v="1"/>
    <n v="0"/>
    <n v="60"/>
  </r>
  <r>
    <n v="809"/>
    <x v="1"/>
    <n v="1"/>
    <s v="SALA CIRURGICA 06"/>
    <d v="2026-02-27T16:45:00"/>
    <d v="2026-02-27T16:55:00"/>
    <d v="2026-02-27T17:15:00"/>
    <d v="2026-02-27T19:58:00"/>
    <d v="2026-02-27T21:00:00"/>
    <d v="2026-02-27T22:35:00"/>
    <n v="5.83"/>
    <d v="2026-02-27T22:45:00"/>
    <d v="1899-12-30T05:50:00"/>
    <n v="5"/>
    <n v="50"/>
    <n v="350"/>
  </r>
  <r>
    <n v="810"/>
    <x v="2"/>
    <n v="1"/>
    <s v="SALA CIRURGICA 01"/>
    <d v="2026-02-26T15:25:00"/>
    <d v="2026-02-26T15:35:00"/>
    <d v="2026-02-26T16:50:00"/>
    <d v="2026-02-26T16:51:00"/>
    <d v="2026-02-26T16:52:00"/>
    <d v="2026-02-26T16:53:00"/>
    <n v="1.47"/>
    <d v="2026-02-26T17:03:00"/>
    <d v="1899-12-30T01:28:00"/>
    <n v="1"/>
    <n v="28"/>
    <n v="88"/>
  </r>
  <r>
    <n v="811"/>
    <x v="1"/>
    <n v="1"/>
    <s v="SALA CIRURGICA 04"/>
    <d v="2026-02-26T14:55:00"/>
    <d v="2026-02-26T15:00:00"/>
    <d v="2026-02-26T15:10:00"/>
    <d v="2026-02-26T15:20:00"/>
    <d v="2026-02-26T15:30:00"/>
    <d v="2026-02-26T15:31:00"/>
    <n v="0.6"/>
    <d v="2026-02-26T15:32:00"/>
    <d v="1899-12-30T00:36:00"/>
    <n v="0"/>
    <n v="36"/>
    <n v="36"/>
  </r>
  <r>
    <n v="812"/>
    <x v="1"/>
    <n v="1"/>
    <s v="SALA CIRURGICA 03"/>
    <d v="2026-02-27T16:20:00"/>
    <d v="2026-02-27T16:40:00"/>
    <d v="2026-02-27T17:30:00"/>
    <d v="2026-02-27T20:55:00"/>
    <d v="2026-02-27T21:05:00"/>
    <d v="2026-02-27T21:15:00"/>
    <n v="4.92"/>
    <d v="2026-02-27T21:25:00"/>
    <d v="1899-12-30T04:55:00"/>
    <n v="4"/>
    <n v="55"/>
    <n v="295"/>
  </r>
  <r>
    <n v="813"/>
    <x v="1"/>
    <n v="1"/>
    <s v="SALA CIRURGICA 03"/>
    <d v="2026-02-27T06:55:00"/>
    <d v="2026-02-27T08:05:00"/>
    <d v="2026-02-27T08:40:00"/>
    <d v="2026-02-27T10:45:00"/>
    <d v="2026-02-27T11:00:00"/>
    <d v="2026-02-27T11:10:00"/>
    <n v="4.25"/>
    <d v="2026-02-27T11:20:00"/>
    <d v="1899-12-30T04:15:00"/>
    <n v="4"/>
    <n v="15"/>
    <n v="255"/>
  </r>
  <r>
    <n v="814"/>
    <x v="0"/>
    <n v="1"/>
    <s v="SALA CIRURGICA 01"/>
    <d v="2026-02-26T18:35:00"/>
    <d v="2026-02-26T18:45:00"/>
    <d v="2026-02-26T18:50:00"/>
    <d v="2026-02-26T19:30:00"/>
    <d v="2026-02-26T19:35:00"/>
    <d v="2026-02-26T19:45:00"/>
    <n v="1.17"/>
    <d v="2026-02-26T19:55:00"/>
    <d v="1899-12-30T01:10:00"/>
    <n v="1"/>
    <n v="10"/>
    <n v="70"/>
  </r>
  <r>
    <n v="815"/>
    <x v="1"/>
    <n v="1"/>
    <s v="SALA CIRURGICA 03"/>
    <d v="2026-02-26T21:20:00"/>
    <d v="2026-02-26T21:40:00"/>
    <d v="2026-02-26T22:00:00"/>
    <d v="2026-02-27T00:10:00"/>
    <d v="2026-02-27T00:20:00"/>
    <d v="2026-02-27T00:30:00"/>
    <n v="3.17"/>
    <d v="2026-02-27T00:32:00"/>
    <d v="1899-12-30T03:10:00"/>
    <n v="3"/>
    <n v="10"/>
    <n v="190"/>
  </r>
  <r>
    <n v="816"/>
    <x v="0"/>
    <n v="1"/>
    <s v="SALA CIRURGICA 05"/>
    <d v="2026-02-26T22:35:00"/>
    <d v="2026-02-26T22:45:00"/>
    <d v="2026-02-26T23:00:00"/>
    <d v="2026-02-26T23:20:00"/>
    <d v="2026-02-26T23:30:00"/>
    <d v="2026-02-26T23:50:00"/>
    <n v="1.25"/>
    <d v="2026-02-27T00:00:00"/>
    <d v="1899-12-30T01:15:00"/>
    <n v="1"/>
    <n v="15"/>
    <n v="75"/>
  </r>
  <r>
    <n v="817"/>
    <x v="1"/>
    <n v="1"/>
    <s v="SALA CIRURGICA 02"/>
    <d v="2026-02-26T23:15:00"/>
    <d v="2026-02-26T23:20:00"/>
    <d v="2026-02-26T23:40:00"/>
    <d v="2026-02-27T00:30:00"/>
    <d v="2026-02-27T00:40:00"/>
    <d v="2026-02-27T00:45:00"/>
    <n v="1.5"/>
    <d v="2026-02-27T00:46:00"/>
    <d v="1899-12-30T01:30:00"/>
    <n v="1"/>
    <n v="30"/>
    <n v="90"/>
  </r>
  <r>
    <n v="818"/>
    <x v="1"/>
    <n v="1"/>
    <s v="SALA CIRURGICA 05"/>
    <d v="2026-02-27T09:50:00"/>
    <d v="2026-02-27T10:05:00"/>
    <d v="2026-02-27T10:30:00"/>
    <d v="2026-02-27T12:51:00"/>
    <d v="2026-02-27T13:20:00"/>
    <d v="2026-02-27T17:30:00"/>
    <n v="7.67"/>
    <d v="2026-02-27T17:40:00"/>
    <d v="1899-12-30T07:40:00"/>
    <n v="7"/>
    <n v="40"/>
    <n v="460"/>
  </r>
  <r>
    <n v="819"/>
    <x v="1"/>
    <n v="1"/>
    <s v="SALA CIRURGICA 06"/>
    <d v="2026-02-27T10:45:00"/>
    <d v="2026-02-27T11:20:00"/>
    <d v="2026-02-27T11:30:00"/>
    <d v="2026-02-27T12:20:00"/>
    <d v="2026-02-27T12:30:00"/>
    <d v="2026-02-27T13:20:00"/>
    <n v="2.58"/>
    <d v="2026-02-27T13:21:00"/>
    <d v="1899-12-30T02:35:00"/>
    <n v="2"/>
    <n v="35"/>
    <n v="155"/>
  </r>
  <r>
    <n v="820"/>
    <x v="1"/>
    <n v="1"/>
    <s v="SALA CIRURGICA 01"/>
    <d v="2026-02-28T08:25:00"/>
    <d v="2026-02-28T08:35:00"/>
    <d v="2026-02-28T08:36:00"/>
    <d v="2026-02-28T10:00:00"/>
    <d v="2026-02-28T10:10:00"/>
    <d v="2026-02-28T10:15:00"/>
    <n v="1.83"/>
    <d v="2026-02-28T10:25:00"/>
    <d v="1899-12-30T01:50:00"/>
    <n v="1"/>
    <n v="50"/>
    <n v="110"/>
  </r>
  <r>
    <n v="821"/>
    <x v="2"/>
    <n v="1"/>
    <s v="SALA CIRURGICA 02"/>
    <d v="2026-02-28T10:10:00"/>
    <d v="2026-02-28T10:20:00"/>
    <d v="2026-02-28T10:30:00"/>
    <d v="2026-02-28T11:32:00"/>
    <d v="2026-02-28T11:35:00"/>
    <d v="2026-02-28T11:40:00"/>
    <n v="1.5"/>
    <d v="2026-02-28T11:50:00"/>
    <d v="1899-12-30T01:30:00"/>
    <n v="1"/>
    <n v="30"/>
    <n v="90"/>
  </r>
  <r>
    <n v="822"/>
    <x v="2"/>
    <n v="1"/>
    <s v="SALA CIRURGICA 06"/>
    <d v="2026-02-27T14:20:00"/>
    <d v="2026-02-27T14:45:00"/>
    <d v="2026-02-27T14:50:00"/>
    <d v="2026-02-27T15:10:00"/>
    <d v="2026-02-27T15:20:00"/>
    <d v="2026-02-27T15:25:00"/>
    <n v="1.08"/>
    <d v="2026-02-27T15:35:00"/>
    <d v="1899-12-30T01:05:00"/>
    <n v="1"/>
    <n v="5"/>
    <n v="65"/>
  </r>
  <r>
    <n v="823"/>
    <x v="2"/>
    <n v="1"/>
    <s v="SALA CIRURGICA 02"/>
    <d v="2026-03-02T07:00:00"/>
    <d v="2026-03-02T07:50:00"/>
    <d v="2026-03-02T08:20:00"/>
    <d v="2026-03-02T10:00:00"/>
    <d v="2026-03-02T10:10:00"/>
    <d v="2026-03-02T10:37:00"/>
    <n v="3.62"/>
    <d v="2026-03-02T10:39:00"/>
    <d v="1899-12-30T03:37:00"/>
    <n v="3"/>
    <n v="37"/>
    <n v="217"/>
  </r>
  <r>
    <n v="824"/>
    <x v="2"/>
    <n v="1"/>
    <s v="SALA CIRURGICA 04"/>
    <d v="2026-03-02T11:12:00"/>
    <d v="2026-03-02T12:15:00"/>
    <d v="2026-03-02T14:40:00"/>
    <d v="2026-03-02T15:40:00"/>
    <d v="2026-03-02T16:30:00"/>
    <d v="2026-03-02T17:30:00"/>
    <n v="6.3"/>
    <d v="2026-03-02T17:40:00"/>
    <d v="1899-12-30T06:18:00"/>
    <n v="6"/>
    <n v="18"/>
    <n v="378"/>
  </r>
  <r>
    <n v="825"/>
    <x v="0"/>
    <n v="1"/>
    <s v="SALA CIRURGICA 01"/>
    <d v="2026-02-27T22:40:00"/>
    <d v="2026-02-27T23:00:00"/>
    <d v="2026-02-27T23:20:00"/>
    <d v="2026-02-28T00:00:00"/>
    <d v="2026-02-28T00:05:00"/>
    <d v="2026-02-28T00:10:00"/>
    <n v="1.5"/>
    <d v="2026-02-28T00:20:00"/>
    <d v="1899-12-30T01:30:00"/>
    <n v="1"/>
    <n v="30"/>
    <n v="90"/>
  </r>
  <r>
    <n v="826"/>
    <x v="2"/>
    <n v="1"/>
    <s v="SALA CIRURGICA 01"/>
    <d v="2026-02-27T20:10:00"/>
    <d v="2026-02-27T20:20:00"/>
    <d v="2026-02-27T20:30:00"/>
    <d v="2026-02-27T23:30:00"/>
    <d v="2026-02-28T00:10:00"/>
    <d v="2026-02-28T00:20:00"/>
    <n v="4.17"/>
    <d v="2026-02-28T00:30:00"/>
    <d v="1899-12-30T04:10:00"/>
    <n v="4"/>
    <n v="10"/>
    <n v="250"/>
  </r>
  <r>
    <n v="827"/>
    <x v="0"/>
    <n v="1"/>
    <s v="SALA CIRURGICA 01"/>
    <d v="2026-02-28T05:15:00"/>
    <d v="2026-02-28T05:45:00"/>
    <d v="2026-02-28T06:00:00"/>
    <d v="2026-02-28T07:02:00"/>
    <d v="2026-02-28T08:00:00"/>
    <d v="2026-02-28T08:10:00"/>
    <n v="2.92"/>
    <d v="2026-02-28T08:20:00"/>
    <d v="1899-12-30T02:55:00"/>
    <n v="2"/>
    <n v="55"/>
    <n v="175"/>
  </r>
  <r>
    <n v="828"/>
    <x v="1"/>
    <n v="1"/>
    <s v="SALA CIRURGICA 01"/>
    <d v="2026-02-28T09:25:00"/>
    <d v="2026-02-28T09:35:00"/>
    <d v="2026-02-28T09:40:00"/>
    <d v="2026-02-28T11:40:00"/>
    <d v="2026-02-28T11:50:00"/>
    <d v="2026-02-28T12:00:00"/>
    <n v="2.58"/>
    <d v="2026-02-28T12:10:00"/>
    <d v="1899-12-30T02:35:00"/>
    <n v="2"/>
    <n v="35"/>
    <n v="155"/>
  </r>
  <r>
    <n v="829"/>
    <x v="0"/>
    <n v="1"/>
    <s v="SALA CIRURGICA 01"/>
    <d v="2026-02-28T14:55:00"/>
    <d v="2026-02-28T15:10:00"/>
    <d v="2026-02-28T15:15:00"/>
    <d v="2026-02-28T15:40:00"/>
    <d v="2026-02-28T15:45:00"/>
    <d v="2026-02-28T15:46:00"/>
    <n v="0.85"/>
    <d v="2026-02-28T15:50:00"/>
    <d v="1899-12-30T00:51:00"/>
    <n v="0"/>
    <n v="51"/>
    <n v="51"/>
  </r>
  <r>
    <n v="830"/>
    <x v="2"/>
    <n v="1"/>
    <s v="SALA CIRURGICA 06"/>
    <d v="2026-02-28T12:30:00"/>
    <d v="2026-02-28T12:40:00"/>
    <d v="2026-02-28T13:00:00"/>
    <d v="2026-02-28T14:05:00"/>
    <d v="2026-02-28T14:25:00"/>
    <d v="2026-02-28T14:30:00"/>
    <n v="2"/>
    <d v="2026-02-28T14:40:00"/>
    <d v="1899-12-30T02:00:00"/>
    <n v="2"/>
    <n v="0"/>
    <n v="120"/>
  </r>
  <r>
    <n v="831"/>
    <x v="1"/>
    <n v="1"/>
    <s v="SALA CIRURGICA 02"/>
    <d v="2026-02-28T12:10:00"/>
    <d v="2026-02-28T12:20:00"/>
    <d v="2026-02-28T12:55:00"/>
    <d v="2026-02-28T19:45:00"/>
    <d v="2026-02-28T20:00:00"/>
    <d v="2026-02-28T20:40:00"/>
    <n v="8.5"/>
    <d v="2026-02-28T20:42:00"/>
    <d v="1899-12-30T08:30:00"/>
    <n v="8"/>
    <n v="30"/>
    <n v="510"/>
  </r>
  <r>
    <n v="832"/>
    <x v="0"/>
    <n v="1"/>
    <s v="SALA CIRURGICA 05"/>
    <d v="2026-02-28T15:20:00"/>
    <d v="2026-02-28T15:28:00"/>
    <d v="2026-02-28T16:00:00"/>
    <d v="2026-02-28T17:00:00"/>
    <d v="2026-02-28T17:10:00"/>
    <d v="2026-02-28T17:15:00"/>
    <n v="1.92"/>
    <d v="2026-02-28T17:25:00"/>
    <d v="1899-12-30T01:55:00"/>
    <n v="1"/>
    <n v="55"/>
    <n v="115"/>
  </r>
  <r>
    <n v="833"/>
    <x v="2"/>
    <n v="1"/>
    <s v="SALA CIRURGICA 03"/>
    <d v="2026-02-28T17:20:00"/>
    <d v="2026-02-28T17:25:00"/>
    <d v="2026-02-28T17:30:00"/>
    <d v="2026-02-28T18:00:00"/>
    <d v="2026-02-28T18:10:00"/>
    <d v="2026-02-28T18:20:00"/>
    <n v="1"/>
    <d v="2026-02-28T18:30:00"/>
    <d v="1899-12-30T01:00:00"/>
    <n v="1"/>
    <n v="0"/>
    <n v="60"/>
  </r>
  <r>
    <n v="834"/>
    <x v="2"/>
    <n v="1"/>
    <s v="SALA CIRURGICA 01"/>
    <d v="2026-02-28T16:20:00"/>
    <d v="2026-02-28T16:25:00"/>
    <d v="2026-02-28T16:35:00"/>
    <d v="2026-02-28T17:40:00"/>
    <d v="2026-02-28T17:50:00"/>
    <d v="2026-02-28T18:00:00"/>
    <n v="1.67"/>
    <d v="2026-02-28T18:10:00"/>
    <d v="1899-12-30T01:40:00"/>
    <n v="1"/>
    <n v="40"/>
    <n v="100"/>
  </r>
  <r>
    <n v="835"/>
    <x v="2"/>
    <n v="1"/>
    <s v="SALA CIRURGICA 01"/>
    <d v="2026-03-01T08:10:00"/>
    <d v="2026-03-01T08:30:00"/>
    <d v="2026-03-01T08:55:00"/>
    <d v="2026-03-01T09:10:00"/>
    <d v="2026-03-01T09:15:00"/>
    <d v="2026-03-01T09:16:00"/>
    <n v="1.1000000000000001"/>
    <d v="2026-03-01T09:17:00"/>
    <d v="1899-12-30T01:06:00"/>
    <n v="1"/>
    <n v="6"/>
    <n v="66"/>
  </r>
  <r>
    <n v="836"/>
    <x v="2"/>
    <n v="1"/>
    <s v="SALA CIRURGICA 02"/>
    <d v="2026-03-01T09:50:00"/>
    <d v="2026-03-01T10:00:00"/>
    <d v="2026-03-01T10:15:00"/>
    <d v="2026-03-01T10:40:00"/>
    <d v="2026-03-01T10:50:00"/>
    <d v="2026-03-01T10:55:00"/>
    <n v="1.08"/>
    <d v="2026-03-01T11:00:00"/>
    <d v="1899-12-30T01:05:00"/>
    <n v="1"/>
    <n v="5"/>
    <n v="65"/>
  </r>
  <r>
    <n v="837"/>
    <x v="0"/>
    <n v="1"/>
    <s v="SALA CIRURGICA 01"/>
    <d v="2026-02-28T19:32:00"/>
    <d v="2026-02-28T19:35:00"/>
    <d v="2026-02-28T19:40:00"/>
    <d v="2026-02-28T20:14:00"/>
    <d v="2026-02-28T20:20:00"/>
    <d v="2026-02-28T20:25:00"/>
    <n v="0.88"/>
    <d v="2026-02-28T20:30:00"/>
    <d v="1899-12-30T00:53:00"/>
    <n v="0"/>
    <n v="53"/>
    <n v="53"/>
  </r>
  <r>
    <n v="838"/>
    <x v="0"/>
    <n v="1"/>
    <s v="SALA CIRURGICA 01"/>
    <d v="2026-02-28T23:33:00"/>
    <d v="2026-02-28T23:50:00"/>
    <d v="2026-03-01T00:20:00"/>
    <d v="2026-03-01T01:31:00"/>
    <d v="2026-03-01T01:35:00"/>
    <d v="2026-03-01T01:38:00"/>
    <n v="2.08"/>
    <d v="2026-03-01T01:48:00"/>
    <d v="1899-12-30T02:05:00"/>
    <n v="2"/>
    <n v="5"/>
    <n v="125"/>
  </r>
  <r>
    <n v="839"/>
    <x v="2"/>
    <n v="1"/>
    <s v="SALA CIRURGICA 01"/>
    <d v="2026-03-01T00:15:00"/>
    <d v="2026-03-01T00:25:00"/>
    <d v="2026-03-01T01:00:00"/>
    <d v="2026-03-01T01:35:00"/>
    <d v="2026-03-01T01:40:00"/>
    <d v="2026-03-01T01:42:00"/>
    <n v="1.45"/>
    <d v="2026-03-01T01:52:00"/>
    <d v="1899-12-30T01:27:00"/>
    <n v="1"/>
    <n v="27"/>
    <n v="87"/>
  </r>
  <r>
    <n v="840"/>
    <x v="0"/>
    <n v="1"/>
    <s v="SALA CIRURGICA 01"/>
    <d v="2026-03-01T12:35:00"/>
    <d v="2026-03-01T12:55:00"/>
    <d v="2026-03-01T13:00:00"/>
    <d v="2026-03-01T13:20:00"/>
    <d v="2026-03-01T13:23:00"/>
    <d v="2026-03-01T13:25:00"/>
    <n v="0.83"/>
    <d v="2026-03-01T13:27:00"/>
    <d v="1899-12-30T00:50:00"/>
    <n v="0"/>
    <n v="50"/>
    <n v="50"/>
  </r>
  <r>
    <n v="841"/>
    <x v="2"/>
    <n v="1"/>
    <s v="SALA CIRURGICA 03"/>
    <d v="2026-03-02T10:20:00"/>
    <d v="2026-03-02T10:25:00"/>
    <d v="2026-03-02T10:45:00"/>
    <d v="2026-03-02T15:00:00"/>
    <d v="2026-03-02T17:10:00"/>
    <d v="2026-03-02T17:11:00"/>
    <n v="6.85"/>
    <d v="2026-03-02T17:12:00"/>
    <d v="1899-12-30T06:51:00"/>
    <n v="6"/>
    <n v="51"/>
    <n v="411"/>
  </r>
  <r>
    <n v="842"/>
    <x v="1"/>
    <n v="1"/>
    <s v="SALA CIRURGICA 01"/>
    <d v="2026-03-02T18:29:00"/>
    <d v="2026-03-02T18:40:00"/>
    <d v="2026-03-02T18:55:00"/>
    <d v="2026-03-02T19:25:00"/>
    <d v="2026-03-02T19:30:00"/>
    <d v="2026-03-02T19:32:00"/>
    <n v="1.05"/>
    <d v="2026-03-02T19:42:00"/>
    <d v="1899-12-30T01:03:00"/>
    <n v="1"/>
    <n v="3"/>
    <n v="63"/>
  </r>
  <r>
    <n v="843"/>
    <x v="2"/>
    <n v="1"/>
    <s v="SALA CIRURGICA 03"/>
    <d v="2026-03-02T07:00:00"/>
    <d v="2026-03-02T07:25:00"/>
    <d v="2026-03-02T07:30:00"/>
    <d v="2026-03-02T08:19:00"/>
    <d v="2026-03-02T08:35:00"/>
    <d v="2026-03-02T09:15:00"/>
    <n v="2.25"/>
    <d v="2026-03-02T09:20:00"/>
    <d v="1899-12-30T02:15:00"/>
    <n v="2"/>
    <n v="15"/>
    <n v="135"/>
  </r>
  <r>
    <n v="844"/>
    <x v="1"/>
    <n v="1"/>
    <s v="SALA CIRURGICA 05"/>
    <d v="2026-03-02T17:00:00"/>
    <d v="2026-03-02T17:10:00"/>
    <d v="2026-03-02T17:40:00"/>
    <d v="2026-03-02T20:10:00"/>
    <d v="2026-03-02T20:20:00"/>
    <d v="2026-03-02T20:40:00"/>
    <n v="3.67"/>
    <d v="2026-03-02T20:50:00"/>
    <d v="1899-12-30T03:40:00"/>
    <n v="3"/>
    <n v="40"/>
    <n v="220"/>
  </r>
  <r>
    <n v="845"/>
    <x v="1"/>
    <n v="1"/>
    <s v="SALA CIRURGICA 05"/>
    <d v="2026-03-02T13:00:00"/>
    <d v="2026-03-02T13:15:00"/>
    <d v="2026-03-02T14:00:00"/>
    <d v="2026-03-02T15:30:00"/>
    <d v="2026-03-02T15:45:00"/>
    <d v="2026-03-02T16:00:00"/>
    <n v="3"/>
    <d v="2026-03-02T16:01:00"/>
    <d v="1899-12-30T03:00:00"/>
    <n v="3"/>
    <n v="0"/>
    <n v="180"/>
  </r>
  <r>
    <n v="846"/>
    <x v="0"/>
    <n v="1"/>
    <s v="SALA CIRURGICA 02"/>
    <d v="2026-03-01T14:52:00"/>
    <d v="2026-03-01T15:00:00"/>
    <d v="2026-03-01T15:10:00"/>
    <d v="2026-03-01T15:20:00"/>
    <d v="2026-03-01T15:30:00"/>
    <d v="2026-03-01T15:40:00"/>
    <n v="0.8"/>
    <d v="2026-03-01T15:50:00"/>
    <d v="1899-12-30T00:48:00"/>
    <n v="0"/>
    <n v="48"/>
    <n v="48"/>
  </r>
  <r>
    <n v="847"/>
    <x v="0"/>
    <n v="1"/>
    <s v="SALA CIRURGICA 01"/>
    <d v="2026-03-01T16:37:00"/>
    <d v="2026-03-01T16:40:00"/>
    <d v="2026-03-01T17:15:00"/>
    <d v="2026-03-01T18:14:00"/>
    <d v="2026-03-01T18:15:00"/>
    <d v="2026-03-01T18:16:00"/>
    <n v="1.65"/>
    <d v="2026-03-01T18:17:00"/>
    <d v="1899-12-30T01:39:00"/>
    <n v="1"/>
    <n v="39"/>
    <n v="99"/>
  </r>
  <r>
    <n v="848"/>
    <x v="2"/>
    <n v="1"/>
    <s v="SALA CIRURGICA 01"/>
    <d v="2026-03-02T07:00:00"/>
    <d v="2026-03-02T08:25:00"/>
    <d v="2026-03-02T08:35:00"/>
    <d v="2026-03-02T11:15:00"/>
    <d v="2026-03-02T11:25:00"/>
    <d v="2026-03-02T11:30:00"/>
    <n v="4.5"/>
    <d v="2026-03-02T11:40:00"/>
    <d v="1899-12-30T04:30:00"/>
    <n v="4"/>
    <n v="30"/>
    <n v="270"/>
  </r>
  <r>
    <n v="849"/>
    <x v="1"/>
    <n v="1"/>
    <s v="SALA CIRURGICA 01"/>
    <d v="2026-03-01T21:50:00"/>
    <d v="2026-03-01T22:00:00"/>
    <d v="2026-03-01T22:35:00"/>
    <d v="2026-03-02T01:30:00"/>
    <d v="2026-03-02T01:40:00"/>
    <d v="2026-03-02T01:50:00"/>
    <n v="4"/>
    <d v="2026-03-02T02:00:00"/>
    <d v="1899-12-30T04:00:00"/>
    <n v="4"/>
    <n v="0"/>
    <n v="240"/>
  </r>
  <r>
    <n v="850"/>
    <x v="0"/>
    <n v="1"/>
    <s v="SALA CIRURGICA 01"/>
    <d v="2026-03-01T21:55:00"/>
    <d v="2026-03-01T22:05:00"/>
    <d v="2026-03-01T22:25:00"/>
    <d v="2026-03-01T22:40:00"/>
    <d v="2026-03-01T22:50:00"/>
    <d v="2026-03-01T23:00:00"/>
    <n v="1.08"/>
    <d v="2026-03-01T23:10:00"/>
    <d v="1899-12-30T01:05:00"/>
    <n v="1"/>
    <n v="5"/>
    <n v="65"/>
  </r>
  <r>
    <n v="851"/>
    <x v="0"/>
    <n v="1"/>
    <s v="SALA CIRURGICA 01"/>
    <d v="2026-03-01T23:30:00"/>
    <d v="2026-03-01T23:40:00"/>
    <d v="2026-03-01T23:41:00"/>
    <d v="2026-03-01T23:45:00"/>
    <d v="2026-03-01T23:50:00"/>
    <d v="2026-03-01T23:55:00"/>
    <n v="0.42"/>
    <d v="2026-03-01T23:57:00"/>
    <d v="1899-12-30T00:25:00"/>
    <n v="0"/>
    <n v="25"/>
    <n v="25"/>
  </r>
  <r>
    <n v="852"/>
    <x v="0"/>
    <n v="1"/>
    <s v="SALA CIRURGICA 01"/>
    <d v="2026-03-02T02:35:00"/>
    <d v="2026-03-02T02:40:00"/>
    <d v="2026-03-02T02:45:00"/>
    <d v="2026-03-02T03:24:00"/>
    <d v="2026-03-02T03:27:00"/>
    <d v="2026-03-02T03:29:00"/>
    <n v="0.9"/>
    <d v="2026-03-02T03:39:00"/>
    <d v="1899-12-30T00:54:00"/>
    <n v="0"/>
    <n v="54"/>
    <n v="54"/>
  </r>
  <r>
    <n v="853"/>
    <x v="2"/>
    <n v="1"/>
    <s v="SALA CIRURGICA 01"/>
    <d v="2026-03-02T07:45:00"/>
    <d v="2026-03-02T07:55:00"/>
    <d v="2026-03-02T08:50:00"/>
    <d v="2026-03-02T09:10:00"/>
    <d v="2026-03-02T09:20:00"/>
    <d v="2026-03-02T09:30:00"/>
    <n v="1.75"/>
    <d v="2026-03-02T09:40:00"/>
    <d v="1899-12-30T01:45:00"/>
    <n v="1"/>
    <n v="45"/>
    <n v="105"/>
  </r>
  <r>
    <n v="854"/>
    <x v="1"/>
    <n v="1"/>
    <s v="SALA CIRURGICA 01"/>
    <d v="2026-03-02T08:45:00"/>
    <d v="2026-03-02T09:25:00"/>
    <d v="2026-03-02T09:50:00"/>
    <d v="2026-03-02T11:30:00"/>
    <d v="2026-03-02T11:40:00"/>
    <d v="2026-03-02T14:30:00"/>
    <n v="5.75"/>
    <d v="2026-03-02T14:40:00"/>
    <d v="1899-12-30T05:45:00"/>
    <n v="5"/>
    <n v="45"/>
    <n v="345"/>
  </r>
  <r>
    <n v="855"/>
    <x v="2"/>
    <n v="1"/>
    <s v="SALA CIRURGICA 06"/>
    <d v="2026-03-02T10:40:00"/>
    <d v="2026-03-02T10:50:00"/>
    <d v="2026-03-02T11:15:00"/>
    <d v="2026-03-02T12:10:00"/>
    <d v="2026-03-02T12:20:00"/>
    <d v="2026-03-02T12:25:00"/>
    <n v="1.75"/>
    <d v="2026-03-02T12:35:00"/>
    <d v="1899-12-30T01:45:00"/>
    <n v="1"/>
    <n v="45"/>
    <n v="105"/>
  </r>
  <r>
    <n v="856"/>
    <x v="2"/>
    <n v="1"/>
    <s v="SALA CIRURGICA 01"/>
    <d v="2026-03-02T13:35:00"/>
    <d v="2026-03-02T14:00:00"/>
    <d v="2026-03-02T14:30:00"/>
    <d v="2026-03-02T15:40:00"/>
    <d v="2026-03-02T15:41:00"/>
    <d v="2026-03-02T15:42:00"/>
    <n v="2.12"/>
    <d v="2026-03-02T15:52:00"/>
    <d v="1899-12-30T02:07:00"/>
    <n v="2"/>
    <n v="7"/>
    <n v="127"/>
  </r>
  <r>
    <n v="857"/>
    <x v="2"/>
    <n v="1"/>
    <s v="SALA CIRURGICA 03"/>
    <d v="2026-03-03T07:00:00"/>
    <d v="2026-03-03T08:00:00"/>
    <d v="2026-03-03T08:24:00"/>
    <d v="2026-03-03T12:10:00"/>
    <d v="2026-03-03T12:30:00"/>
    <d v="2026-03-03T12:40:00"/>
    <n v="5.67"/>
    <d v="2026-03-03T12:50:00"/>
    <d v="1899-12-30T05:40:00"/>
    <n v="5"/>
    <n v="40"/>
    <n v="340"/>
  </r>
  <r>
    <n v="858"/>
    <x v="1"/>
    <n v="1"/>
    <s v="SALA CIRURGICA 02"/>
    <d v="2026-03-03T15:30:00"/>
    <d v="2026-03-03T15:44:00"/>
    <d v="2026-03-03T16:20:00"/>
    <d v="2026-03-03T19:26:00"/>
    <d v="2026-03-03T19:27:00"/>
    <d v="2026-03-03T19:28:00"/>
    <n v="3.97"/>
    <d v="2026-03-03T19:38:00"/>
    <d v="1899-12-30T03:58:00"/>
    <n v="3"/>
    <n v="58"/>
    <n v="238"/>
  </r>
  <r>
    <n v="859"/>
    <x v="1"/>
    <n v="1"/>
    <s v="SALA CIRURGICA 06"/>
    <d v="2026-03-03T11:20:00"/>
    <d v="2026-03-03T11:40:00"/>
    <d v="2026-03-03T12:35:00"/>
    <d v="2026-03-03T14:55:00"/>
    <d v="2026-03-03T15:05:00"/>
    <d v="2026-03-03T15:15:00"/>
    <n v="3.92"/>
    <d v="2026-03-03T15:20:00"/>
    <d v="1899-12-30T03:55:00"/>
    <n v="3"/>
    <n v="55"/>
    <n v="235"/>
  </r>
  <r>
    <n v="860"/>
    <x v="2"/>
    <n v="1"/>
    <s v="SALA CIRURGICA 06"/>
    <d v="2026-03-03T13:13:00"/>
    <d v="2026-03-03T13:20:00"/>
    <d v="2026-03-03T13:40:00"/>
    <d v="2026-03-03T14:15:00"/>
    <d v="2026-03-03T14:25:00"/>
    <d v="2026-03-03T14:40:00"/>
    <n v="1.45"/>
    <d v="2026-03-03T14:45:00"/>
    <d v="1899-12-30T01:27:00"/>
    <n v="1"/>
    <n v="27"/>
    <n v="87"/>
  </r>
  <r>
    <n v="861"/>
    <x v="1"/>
    <n v="1"/>
    <s v="SALA CIRURGICA 03"/>
    <d v="2026-03-03T17:55:00"/>
    <d v="2026-03-03T18:10:00"/>
    <d v="2026-03-03T18:55:00"/>
    <d v="2026-03-03T22:30:00"/>
    <d v="2026-03-03T22:40:00"/>
    <d v="2026-03-03T23:00:00"/>
    <n v="5.08"/>
    <d v="2026-03-03T23:05:00"/>
    <d v="1899-12-30T05:05:00"/>
    <n v="5"/>
    <n v="5"/>
    <n v="305"/>
  </r>
  <r>
    <n v="862"/>
    <x v="1"/>
    <n v="1"/>
    <s v="SALA CIRURGICA 04"/>
    <d v="2026-03-03T08:18:00"/>
    <d v="2026-03-03T08:30:00"/>
    <d v="2026-03-03T09:05:00"/>
    <d v="2026-03-03T09:17:00"/>
    <d v="2026-03-03T09:20:00"/>
    <d v="2026-03-03T10:32:00"/>
    <n v="2.23"/>
    <d v="2026-03-03T10:33:00"/>
    <d v="1899-12-30T02:14:00"/>
    <n v="2"/>
    <n v="14"/>
    <n v="134"/>
  </r>
  <r>
    <n v="863"/>
    <x v="2"/>
    <n v="1"/>
    <s v="SALA CIRURGICA 05"/>
    <d v="2026-03-03T10:15:00"/>
    <d v="2026-03-03T10:20:00"/>
    <d v="2026-03-03T10:50:00"/>
    <d v="2026-03-03T11:05:00"/>
    <d v="2026-03-03T11:20:00"/>
    <d v="2026-03-03T12:15:00"/>
    <n v="2"/>
    <d v="2026-03-03T12:25:00"/>
    <d v="1899-12-30T02:00:00"/>
    <n v="2"/>
    <n v="0"/>
    <n v="120"/>
  </r>
  <r>
    <n v="864"/>
    <x v="0"/>
    <n v="1"/>
    <s v="SALA CIRURGICA 02"/>
    <d v="2026-03-03T07:40:00"/>
    <d v="2026-03-03T07:55:00"/>
    <d v="2026-03-03T08:40:00"/>
    <d v="2026-03-03T09:10:00"/>
    <d v="2026-03-03T09:30:00"/>
    <d v="2026-03-03T09:45:00"/>
    <n v="2.08"/>
    <d v="2026-03-03T09:50:00"/>
    <d v="1899-12-30T02:05:00"/>
    <n v="2"/>
    <n v="5"/>
    <n v="125"/>
  </r>
  <r>
    <n v="865"/>
    <x v="0"/>
    <n v="1"/>
    <s v="SALA CIRURGICA 01"/>
    <d v="2026-03-02T15:35:00"/>
    <d v="2026-03-02T15:45:00"/>
    <d v="2026-03-02T15:46:00"/>
    <d v="2026-03-02T17:00:00"/>
    <d v="2026-03-02T17:10:00"/>
    <d v="2026-03-02T17:45:00"/>
    <n v="2.15"/>
    <d v="2026-03-02T17:55:00"/>
    <d v="1899-12-30T02:10:00"/>
    <n v="2"/>
    <n v="10"/>
    <n v="130"/>
  </r>
  <r>
    <n v="866"/>
    <x v="2"/>
    <n v="1"/>
    <s v="SALA CIRURGICA 03"/>
    <d v="2026-03-02T18:15:00"/>
    <d v="2026-03-02T18:30:00"/>
    <d v="2026-03-02T19:05:00"/>
    <d v="2026-03-02T19:40:00"/>
    <d v="2026-03-02T19:45:00"/>
    <d v="2026-03-02T19:50:00"/>
    <n v="1.58"/>
    <d v="2026-03-02T20:00:00"/>
    <d v="1899-12-30T01:35:00"/>
    <n v="1"/>
    <n v="35"/>
    <n v="95"/>
  </r>
  <r>
    <n v="867"/>
    <x v="2"/>
    <n v="1"/>
    <s v="SALA CIRURGICA 01"/>
    <d v="2026-03-02T17:30:00"/>
    <d v="2026-03-02T17:40:00"/>
    <d v="2026-03-02T18:00:00"/>
    <d v="2026-03-02T18:30:00"/>
    <d v="2026-03-02T18:40:00"/>
    <d v="2026-03-02T18:41:00"/>
    <n v="1.18"/>
    <d v="2026-03-02T18:51:00"/>
    <d v="1899-12-30T01:11:00"/>
    <n v="1"/>
    <n v="11"/>
    <n v="71"/>
  </r>
  <r>
    <n v="868"/>
    <x v="0"/>
    <n v="1"/>
    <s v="SALA CIRURGICA 01"/>
    <d v="2026-03-02T22:19:00"/>
    <d v="2026-03-02T22:20:00"/>
    <d v="2026-03-02T23:00:00"/>
    <d v="2026-03-03T02:00:00"/>
    <d v="2026-03-03T02:10:00"/>
    <d v="2026-03-03T02:30:00"/>
    <n v="4.18"/>
    <d v="2026-03-03T02:40:00"/>
    <d v="1899-12-30T04:11:00"/>
    <n v="4"/>
    <n v="11"/>
    <n v="251"/>
  </r>
  <r>
    <n v="869"/>
    <x v="1"/>
    <n v="1"/>
    <s v="SALA CIRURGICA 05"/>
    <d v="2026-03-03T07:00:00"/>
    <d v="2026-03-03T08:00:00"/>
    <d v="2026-03-03T08:10:00"/>
    <d v="2026-03-03T09:50:00"/>
    <d v="2026-03-03T10:00:00"/>
    <d v="2026-03-03T10:10:00"/>
    <n v="3.17"/>
    <d v="2026-03-03T10:20:00"/>
    <d v="1899-12-30T03:10:00"/>
    <n v="3"/>
    <n v="10"/>
    <n v="190"/>
  </r>
  <r>
    <n v="870"/>
    <x v="2"/>
    <n v="1"/>
    <s v="SALA CIRURGICA 01"/>
    <d v="2026-03-02T21:23:00"/>
    <d v="2026-03-02T21:33:00"/>
    <d v="2026-03-02T21:41:00"/>
    <d v="2026-03-02T22:41:00"/>
    <d v="2026-03-02T22:44:00"/>
    <d v="2026-03-02T22:45:00"/>
    <n v="1.37"/>
    <d v="2026-03-02T22:55:00"/>
    <d v="1899-12-30T01:22:00"/>
    <n v="1"/>
    <n v="22"/>
    <n v="82"/>
  </r>
  <r>
    <n v="871"/>
    <x v="2"/>
    <n v="1"/>
    <s v="SALA CIRURGICA 01"/>
    <d v="2026-03-02T23:20:00"/>
    <d v="2026-03-02T23:30:00"/>
    <d v="2026-03-02T23:45:00"/>
    <d v="2026-03-03T00:05:00"/>
    <d v="2026-03-03T00:10:00"/>
    <d v="2026-03-03T00:20:00"/>
    <n v="1"/>
    <d v="2026-03-03T00:30:00"/>
    <d v="1899-12-30T01:00:00"/>
    <n v="1"/>
    <n v="0"/>
    <n v="60"/>
  </r>
  <r>
    <n v="872"/>
    <x v="0"/>
    <n v="1"/>
    <s v="SALA CIRURGICA 01"/>
    <d v="2026-03-03T00:00:00"/>
    <d v="2026-03-03T00:10:00"/>
    <d v="2026-03-03T00:15:00"/>
    <d v="2026-03-03T00:30:00"/>
    <d v="2026-03-03T00:40:00"/>
    <d v="2026-03-03T00:41:00"/>
    <n v="0.68"/>
    <d v="2026-03-03T00:51:00"/>
    <d v="1899-12-30T00:41:00"/>
    <n v="0"/>
    <n v="41"/>
    <n v="41"/>
  </r>
  <r>
    <n v="873"/>
    <x v="0"/>
    <n v="1"/>
    <s v="SALA CIRURGICA 01"/>
    <d v="2026-03-03T01:05:00"/>
    <d v="2026-03-03T01:15:00"/>
    <d v="2026-03-03T01:50:00"/>
    <d v="2026-03-03T02:40:00"/>
    <d v="2026-03-03T02:50:00"/>
    <d v="2026-03-03T03:00:00"/>
    <n v="1.92"/>
    <d v="2026-03-03T03:10:00"/>
    <d v="1899-12-30T01:55:00"/>
    <n v="1"/>
    <n v="55"/>
    <n v="115"/>
  </r>
  <r>
    <n v="874"/>
    <x v="0"/>
    <n v="1"/>
    <s v="SALA CIRURGICA 05"/>
    <d v="2026-03-03T11:32:00"/>
    <d v="2026-03-03T12:05:00"/>
    <d v="2026-03-03T12:06:00"/>
    <d v="2026-03-03T12:21:00"/>
    <d v="2026-03-03T12:23:00"/>
    <d v="2026-03-03T12:50:00"/>
    <n v="1.3"/>
    <d v="2026-03-03T12:51:00"/>
    <d v="1899-12-30T01:18:00"/>
    <n v="1"/>
    <n v="18"/>
    <n v="78"/>
  </r>
  <r>
    <n v="875"/>
    <x v="0"/>
    <n v="1"/>
    <s v="SALA CIRURGICA 01"/>
    <d v="2026-03-03T11:30:00"/>
    <d v="2026-03-03T11:45:00"/>
    <d v="2026-03-03T11:55:00"/>
    <d v="2026-03-03T12:10:00"/>
    <d v="2026-03-03T12:20:00"/>
    <d v="2026-03-03T12:30:00"/>
    <n v="1"/>
    <d v="2026-03-03T12:40:00"/>
    <d v="1899-12-30T01:00:00"/>
    <n v="1"/>
    <n v="0"/>
    <n v="60"/>
  </r>
  <r>
    <n v="876"/>
    <x v="1"/>
    <n v="1"/>
    <s v="SALA CIRURGICA 05"/>
    <d v="2026-03-03T14:35:00"/>
    <d v="2026-03-03T15:00:00"/>
    <d v="2026-03-03T15:30:00"/>
    <d v="2026-03-03T16:50:00"/>
    <d v="2026-03-03T18:30:00"/>
    <d v="2026-03-03T18:40:00"/>
    <n v="4.08"/>
    <d v="2026-03-03T18:42:00"/>
    <d v="1899-12-30T04:05:00"/>
    <n v="4"/>
    <n v="5"/>
    <n v="245"/>
  </r>
  <r>
    <n v="877"/>
    <x v="1"/>
    <n v="1"/>
    <s v="SALA CIRURGICA 01"/>
    <d v="2026-03-03T13:51:00"/>
    <d v="2026-03-03T14:00:00"/>
    <d v="2026-03-03T14:40:00"/>
    <d v="2026-03-03T15:30:00"/>
    <d v="2026-03-03T16:00:00"/>
    <d v="2026-03-03T17:20:00"/>
    <n v="3.48"/>
    <d v="2026-03-03T17:30:00"/>
    <d v="1899-12-30T03:29:00"/>
    <n v="3"/>
    <n v="29"/>
    <n v="209"/>
  </r>
  <r>
    <n v="878"/>
    <x v="1"/>
    <n v="1"/>
    <s v="SALA CIRURGICA 06"/>
    <d v="2026-03-05T08:40:00"/>
    <d v="2026-03-05T08:43:00"/>
    <d v="2026-03-05T08:45:00"/>
    <d v="2026-03-05T08:57:00"/>
    <d v="2026-03-05T09:00:00"/>
    <d v="2026-03-05T09:20:00"/>
    <n v="0.67"/>
    <d v="2026-03-05T09:21:00"/>
    <d v="1899-12-30T00:40:00"/>
    <n v="0"/>
    <n v="40"/>
    <n v="40"/>
  </r>
  <r>
    <n v="879"/>
    <x v="1"/>
    <n v="1"/>
    <s v="SALA CIRURGICA 03"/>
    <d v="2026-03-04T07:00:00"/>
    <d v="2026-03-04T07:35:00"/>
    <d v="2026-03-04T07:50:00"/>
    <d v="2026-03-04T10:05:00"/>
    <d v="2026-03-04T10:30:00"/>
    <d v="2026-03-04T10:35:00"/>
    <n v="3.58"/>
    <d v="2026-03-04T10:45:00"/>
    <d v="1899-12-30T03:35:00"/>
    <n v="3"/>
    <n v="35"/>
    <n v="215"/>
  </r>
  <r>
    <n v="880"/>
    <x v="0"/>
    <n v="1"/>
    <s v="SALA CIRURGICA 04"/>
    <d v="2026-03-04T07:00:00"/>
    <d v="2026-03-04T08:00:00"/>
    <d v="2026-03-04T08:30:00"/>
    <d v="2026-03-04T10:30:00"/>
    <d v="2026-03-04T10:31:00"/>
    <d v="2026-03-04T10:32:00"/>
    <n v="3.53"/>
    <d v="2026-03-04T10:42:00"/>
    <d v="1899-12-30T03:32:00"/>
    <n v="3"/>
    <n v="32"/>
    <n v="212"/>
  </r>
  <r>
    <n v="881"/>
    <x v="1"/>
    <n v="1"/>
    <s v="SALA CIRURGICA 06"/>
    <d v="2026-03-04T15:20:00"/>
    <d v="2026-03-04T15:35:00"/>
    <d v="2026-03-04T16:15:00"/>
    <d v="2026-03-04T18:00:00"/>
    <d v="2026-03-04T18:10:00"/>
    <d v="2026-03-04T18:20:00"/>
    <n v="3"/>
    <d v="2026-03-04T18:25:00"/>
    <d v="1899-12-30T03:00:00"/>
    <n v="3"/>
    <n v="0"/>
    <n v="180"/>
  </r>
  <r>
    <n v="882"/>
    <x v="0"/>
    <n v="1"/>
    <s v="SALA CIRURGICA 06"/>
    <d v="2026-03-04T12:00:00"/>
    <d v="2026-03-04T12:25:00"/>
    <d v="2026-03-04T13:07:00"/>
    <d v="2026-03-04T14:00:00"/>
    <d v="2026-03-04T14:10:00"/>
    <d v="2026-03-04T14:12:00"/>
    <n v="2.2000000000000002"/>
    <d v="2026-03-04T14:22:00"/>
    <d v="1899-12-30T02:12:00"/>
    <n v="2"/>
    <n v="12"/>
    <n v="132"/>
  </r>
  <r>
    <n v="883"/>
    <x v="2"/>
    <n v="1"/>
    <s v="SALA CIRURGICA 06"/>
    <d v="2026-03-04T11:25:00"/>
    <d v="2026-03-04T12:00:00"/>
    <d v="2026-03-04T12:47:00"/>
    <d v="2026-03-04T13:47:00"/>
    <d v="2026-03-04T13:50:00"/>
    <d v="2026-03-04T13:55:00"/>
    <n v="2.5"/>
    <d v="2026-03-04T14:05:00"/>
    <d v="1899-12-30T02:30:00"/>
    <n v="2"/>
    <n v="30"/>
    <n v="150"/>
  </r>
  <r>
    <n v="884"/>
    <x v="0"/>
    <n v="1"/>
    <s v="SALA CIRURGICA 01"/>
    <d v="2026-03-03T14:40:00"/>
    <d v="2026-03-03T15:00:00"/>
    <d v="2026-03-03T16:00:00"/>
    <d v="2026-03-03T16:10:00"/>
    <d v="2026-03-03T16:20:00"/>
    <d v="2026-03-03T16:30:00"/>
    <n v="1.83"/>
    <d v="2026-03-03T16:40:00"/>
    <d v="1899-12-30T01:50:00"/>
    <n v="1"/>
    <n v="50"/>
    <n v="110"/>
  </r>
  <r>
    <n v="885"/>
    <x v="2"/>
    <n v="1"/>
    <s v="SALA CIRURGICA 01"/>
    <d v="2026-03-04T07:00:00"/>
    <d v="2026-03-04T08:00:00"/>
    <d v="2026-03-04T08:30:00"/>
    <d v="2026-03-04T10:50:00"/>
    <d v="2026-03-04T11:00:00"/>
    <d v="2026-03-04T11:10:00"/>
    <n v="4.17"/>
    <d v="2026-03-04T11:20:00"/>
    <d v="1899-12-30T04:10:00"/>
    <n v="4"/>
    <n v="10"/>
    <n v="250"/>
  </r>
  <r>
    <n v="886"/>
    <x v="2"/>
    <n v="1"/>
    <s v="SALA CIRURGICA 01"/>
    <d v="2026-03-03T16:45:00"/>
    <d v="2026-03-03T16:50:00"/>
    <d v="2026-03-03T17:30:00"/>
    <d v="2026-03-03T19:30:00"/>
    <d v="2026-03-03T19:40:00"/>
    <d v="2026-03-03T20:30:00"/>
    <n v="3.75"/>
    <d v="2026-03-03T20:40:00"/>
    <d v="1899-12-30T03:45:00"/>
    <n v="3"/>
    <n v="45"/>
    <n v="225"/>
  </r>
  <r>
    <n v="887"/>
    <x v="1"/>
    <n v="1"/>
    <s v="SALA CIRURGICA 01"/>
    <d v="2026-03-03T20:30:00"/>
    <d v="2026-03-03T20:45:00"/>
    <d v="2026-03-03T21:00:00"/>
    <d v="2026-03-03T21:35:00"/>
    <d v="2026-03-03T21:45:00"/>
    <d v="2026-03-03T21:48:00"/>
    <n v="1.3"/>
    <d v="2026-03-03T21:55:00"/>
    <d v="1899-12-30T01:18:00"/>
    <n v="1"/>
    <n v="18"/>
    <n v="78"/>
  </r>
  <r>
    <n v="888"/>
    <x v="1"/>
    <n v="1"/>
    <s v="SALA CIRURGICA 01"/>
    <d v="2026-03-03T21:15:00"/>
    <d v="2026-03-03T21:20:00"/>
    <d v="2026-03-03T21:30:00"/>
    <d v="2026-03-03T22:34:00"/>
    <d v="2026-03-03T22:44:00"/>
    <d v="2026-03-03T22:45:00"/>
    <n v="1.5"/>
    <d v="2026-03-03T22:55:00"/>
    <d v="1899-12-30T01:30:00"/>
    <n v="1"/>
    <n v="30"/>
    <n v="90"/>
  </r>
  <r>
    <n v="889"/>
    <x v="0"/>
    <n v="1"/>
    <s v="SALA CIRURGICA 01"/>
    <d v="2026-03-03T22:22:00"/>
    <d v="2026-03-03T22:30:00"/>
    <d v="2026-03-03T23:10:00"/>
    <d v="2026-03-04T01:30:00"/>
    <d v="2026-03-04T01:40:00"/>
    <d v="2026-03-04T01:45:00"/>
    <n v="3.38"/>
    <d v="2026-03-04T01:55:00"/>
    <d v="1899-12-30T03:23:00"/>
    <n v="3"/>
    <n v="23"/>
    <n v="203"/>
  </r>
  <r>
    <n v="890"/>
    <x v="2"/>
    <n v="1"/>
    <s v="SALA CIRURGICA 01"/>
    <d v="2026-03-03T23:10:00"/>
    <d v="2026-03-03T23:20:00"/>
    <d v="2026-03-03T23:40:00"/>
    <d v="2026-03-04T00:36:00"/>
    <d v="2026-03-04T00:40:00"/>
    <d v="2026-03-04T00:45:00"/>
    <n v="1.58"/>
    <d v="2026-03-04T00:55:00"/>
    <d v="1899-12-30T01:35:00"/>
    <n v="1"/>
    <n v="35"/>
    <n v="95"/>
  </r>
  <r>
    <n v="891"/>
    <x v="1"/>
    <n v="1"/>
    <s v="SALA CIRURGICA 01"/>
    <d v="2026-03-04T01:00:00"/>
    <d v="2026-03-04T01:10:00"/>
    <d v="2026-03-04T01:30:00"/>
    <d v="2026-03-04T02:10:00"/>
    <d v="2026-03-04T02:20:00"/>
    <d v="2026-03-04T02:30:00"/>
    <n v="1.5"/>
    <d v="2026-03-04T02:40:00"/>
    <d v="1899-12-30T01:30:00"/>
    <n v="1"/>
    <n v="30"/>
    <n v="90"/>
  </r>
  <r>
    <n v="892"/>
    <x v="2"/>
    <n v="1"/>
    <s v="SALA CIRURGICA 03"/>
    <d v="2026-03-04T00:40:00"/>
    <d v="2026-03-04T00:50:00"/>
    <d v="2026-03-04T01:15:00"/>
    <d v="2026-03-04T02:30:00"/>
    <d v="2026-03-04T02:40:00"/>
    <d v="2026-03-04T02:45:00"/>
    <n v="2.08"/>
    <d v="2026-03-04T02:55:00"/>
    <d v="1899-12-30T02:05:00"/>
    <n v="2"/>
    <n v="5"/>
    <n v="125"/>
  </r>
  <r>
    <n v="893"/>
    <x v="2"/>
    <n v="1"/>
    <s v="SALA CIRURGICA 03"/>
    <d v="2026-03-04T10:55:00"/>
    <d v="2026-03-04T11:05:00"/>
    <d v="2026-03-04T11:20:00"/>
    <d v="2026-03-04T13:40:00"/>
    <d v="2026-03-04T14:05:00"/>
    <d v="2026-03-04T14:15:00"/>
    <n v="3.33"/>
    <d v="2026-03-04T14:16:00"/>
    <d v="1899-12-30T03:20:00"/>
    <n v="3"/>
    <n v="20"/>
    <n v="200"/>
  </r>
  <r>
    <n v="894"/>
    <x v="1"/>
    <n v="1"/>
    <s v="SALA CIRURGICA 01"/>
    <d v="2026-03-04T04:10:00"/>
    <d v="2026-03-04T04:15:00"/>
    <d v="2026-03-04T04:30:00"/>
    <d v="2026-03-04T06:45:00"/>
    <d v="2026-03-04T06:55:00"/>
    <d v="2026-03-04T08:55:00"/>
    <n v="4.75"/>
    <d v="2026-03-04T08:56:00"/>
    <d v="1899-12-30T04:45:00"/>
    <n v="4"/>
    <n v="45"/>
    <n v="285"/>
  </r>
  <r>
    <n v="895"/>
    <x v="2"/>
    <n v="1"/>
    <s v="SALA CIRURGICA 01"/>
    <d v="2026-03-04T10:00:00"/>
    <d v="2026-03-04T10:20:00"/>
    <d v="2026-03-04T10:35:00"/>
    <d v="2026-03-04T11:14:00"/>
    <d v="2026-03-04T11:20:00"/>
    <d v="2026-03-04T11:21:00"/>
    <n v="1.35"/>
    <d v="2026-03-04T11:29:00"/>
    <d v="1899-12-30T01:21:00"/>
    <n v="1"/>
    <n v="21"/>
    <n v="81"/>
  </r>
  <r>
    <n v="896"/>
    <x v="1"/>
    <n v="1"/>
    <s v="SALA CIRURGICA 01"/>
    <d v="2026-03-04T12:30:00"/>
    <d v="2026-03-04T12:45:00"/>
    <d v="2026-03-04T13:10:00"/>
    <d v="2026-03-04T13:35:00"/>
    <d v="2026-03-04T13:40:00"/>
    <d v="2026-03-04T13:46:00"/>
    <n v="1.27"/>
    <d v="2026-03-04T13:56:00"/>
    <d v="1899-12-30T01:16:00"/>
    <n v="1"/>
    <n v="16"/>
    <n v="76"/>
  </r>
  <r>
    <n v="897"/>
    <x v="0"/>
    <n v="1"/>
    <s v="SALA CIRURGICA 01"/>
    <d v="2026-03-04T12:20:00"/>
    <d v="2026-03-04T12:25:00"/>
    <d v="2026-03-04T13:00:00"/>
    <d v="2026-03-04T16:00:00"/>
    <d v="2026-03-04T16:10:00"/>
    <d v="2026-03-04T16:15:00"/>
    <n v="3.92"/>
    <d v="2026-03-04T16:25:00"/>
    <d v="1899-12-30T03:55:00"/>
    <n v="3"/>
    <n v="55"/>
    <n v="235"/>
  </r>
  <r>
    <n v="898"/>
    <x v="2"/>
    <n v="1"/>
    <s v="SALA CIRURGICA 06"/>
    <d v="2026-03-05T07:00:00"/>
    <d v="2026-03-05T07:10:00"/>
    <d v="2026-03-05T07:20:00"/>
    <d v="2026-03-05T07:28:00"/>
    <d v="2026-03-05T07:29:00"/>
    <d v="2026-03-05T07:30:00"/>
    <n v="0.5"/>
    <d v="2026-03-05T07:31:00"/>
    <d v="1899-12-30T00:30:00"/>
    <n v="0"/>
    <n v="30"/>
    <n v="30"/>
  </r>
  <r>
    <n v="899"/>
    <x v="1"/>
    <n v="1"/>
    <s v="SALA CIRURGICA 05"/>
    <d v="2026-03-05T10:30:00"/>
    <d v="2026-03-05T10:40:00"/>
    <d v="2026-03-05T11:00:00"/>
    <d v="2026-03-05T11:50:00"/>
    <d v="2026-03-05T12:00:00"/>
    <d v="2026-03-05T12:05:00"/>
    <n v="1.58"/>
    <d v="2026-03-05T12:15:00"/>
    <d v="1899-12-30T01:35:00"/>
    <n v="1"/>
    <n v="35"/>
    <n v="95"/>
  </r>
  <r>
    <n v="900"/>
    <x v="0"/>
    <n v="1"/>
    <s v="SALA CIRURGICA 01"/>
    <d v="2026-03-04T15:30:00"/>
    <d v="2026-03-04T15:40:00"/>
    <d v="2026-03-04T16:04:00"/>
    <d v="2026-03-04T16:20:00"/>
    <d v="2026-03-04T16:25:00"/>
    <d v="2026-03-04T16:29:00"/>
    <n v="0.98"/>
    <d v="2026-03-04T16:39:00"/>
    <d v="1899-12-30T00:59:00"/>
    <n v="0"/>
    <n v="59"/>
    <n v="59"/>
  </r>
  <r>
    <n v="901"/>
    <x v="1"/>
    <n v="1"/>
    <s v="SALA CIRURGICA 06"/>
    <d v="2026-03-05T10:30:00"/>
    <d v="2026-03-05T10:40:00"/>
    <d v="2026-03-05T11:20:00"/>
    <d v="2026-03-05T13:07:00"/>
    <d v="2026-03-05T13:17:00"/>
    <d v="2026-03-05T13:45:00"/>
    <n v="3.25"/>
    <d v="2026-03-05T13:55:00"/>
    <d v="1899-12-30T03:15:00"/>
    <n v="3"/>
    <n v="15"/>
    <n v="195"/>
  </r>
  <r>
    <n v="902"/>
    <x v="0"/>
    <n v="1"/>
    <s v="SALA CIRURGICA 02"/>
    <d v="2026-03-04T14:50:00"/>
    <d v="2026-03-04T15:00:00"/>
    <d v="2026-03-04T15:10:00"/>
    <d v="2026-03-04T15:22:00"/>
    <d v="2026-03-04T15:32:00"/>
    <d v="2026-03-04T15:45:00"/>
    <n v="0.92"/>
    <d v="2026-03-04T15:55:00"/>
    <d v="1899-12-30T00:55:00"/>
    <n v="0"/>
    <n v="55"/>
    <n v="55"/>
  </r>
  <r>
    <n v="903"/>
    <x v="2"/>
    <n v="1"/>
    <s v="SALA CIRURGICA 04"/>
    <d v="2026-03-05T16:05:00"/>
    <d v="2026-03-05T16:20:00"/>
    <d v="2026-03-05T16:25:00"/>
    <d v="2026-03-05T16:35:00"/>
    <d v="2026-03-05T17:20:00"/>
    <d v="2026-03-05T17:30:00"/>
    <n v="1.42"/>
    <d v="2026-03-05T17:40:00"/>
    <d v="1899-12-30T01:25:00"/>
    <n v="1"/>
    <n v="25"/>
    <n v="85"/>
  </r>
  <r>
    <n v="904"/>
    <x v="2"/>
    <n v="1"/>
    <s v="SALA CIRURGICA 05"/>
    <d v="2026-03-05T07:00:00"/>
    <d v="2026-03-05T07:40:00"/>
    <d v="2026-03-05T08:10:00"/>
    <d v="2026-03-05T09:30:00"/>
    <d v="2026-03-05T09:35:00"/>
    <d v="2026-03-05T09:38:00"/>
    <n v="2.63"/>
    <d v="2026-03-05T09:48:00"/>
    <d v="1899-12-30T02:38:00"/>
    <n v="2"/>
    <n v="38"/>
    <n v="158"/>
  </r>
  <r>
    <n v="905"/>
    <x v="2"/>
    <n v="1"/>
    <s v="SALA CIRURGICA 03"/>
    <d v="2026-03-05T07:45:00"/>
    <d v="2026-03-05T08:05:00"/>
    <d v="2026-03-05T09:00:00"/>
    <d v="2026-03-05T14:00:00"/>
    <d v="2026-03-05T14:20:00"/>
    <d v="2026-03-05T14:30:00"/>
    <n v="6.75"/>
    <d v="2026-03-05T14:32:00"/>
    <d v="1899-12-30T06:45:00"/>
    <n v="6"/>
    <n v="45"/>
    <n v="405"/>
  </r>
  <r>
    <n v="906"/>
    <x v="1"/>
    <n v="1"/>
    <s v="SALA CIRURGICA 03"/>
    <d v="2026-03-04T21:21:00"/>
    <d v="2026-03-04T21:40:00"/>
    <d v="2026-03-04T21:50:00"/>
    <d v="2026-03-04T22:45:00"/>
    <d v="2026-03-04T22:46:00"/>
    <d v="2026-03-04T22:47:00"/>
    <n v="1.43"/>
    <d v="2026-03-04T22:48:00"/>
    <d v="1899-12-30T01:26:00"/>
    <n v="1"/>
    <n v="26"/>
    <n v="86"/>
  </r>
  <r>
    <n v="907"/>
    <x v="0"/>
    <n v="1"/>
    <s v="SALA CIRURGICA 01"/>
    <d v="2026-03-04T23:25:00"/>
    <d v="2026-03-04T23:30:00"/>
    <d v="2026-03-04T23:50:00"/>
    <d v="2026-03-05T00:45:00"/>
    <d v="2026-03-05T00:50:00"/>
    <d v="2026-03-05T00:55:00"/>
    <n v="1.5"/>
    <d v="2026-03-05T01:00:00"/>
    <d v="1899-12-30T01:30:00"/>
    <n v="1"/>
    <n v="30"/>
    <n v="90"/>
  </r>
  <r>
    <n v="908"/>
    <x v="1"/>
    <n v="1"/>
    <s v="SALA CIRURGICA 03"/>
    <d v="2026-03-04T23:59:00"/>
    <d v="2026-03-05T00:15:00"/>
    <d v="2026-03-05T00:20:00"/>
    <d v="2026-03-05T01:00:00"/>
    <d v="2026-03-05T01:10:00"/>
    <d v="2026-03-05T01:20:00"/>
    <n v="1.35"/>
    <d v="2026-03-05T01:21:00"/>
    <d v="1899-12-30T01:21:00"/>
    <n v="1"/>
    <n v="21"/>
    <n v="81"/>
  </r>
  <r>
    <n v="909"/>
    <x v="2"/>
    <n v="1"/>
    <s v="SALA CIRURGICA 02"/>
    <d v="2026-03-05T06:55:00"/>
    <d v="2026-03-05T07:30:00"/>
    <d v="2026-03-05T08:00:00"/>
    <d v="2026-03-05T10:15:00"/>
    <d v="2026-03-05T10:25:00"/>
    <d v="2026-03-05T10:30:00"/>
    <n v="3.58"/>
    <d v="2026-03-05T10:40:00"/>
    <d v="1899-12-30T03:35:00"/>
    <n v="3"/>
    <n v="35"/>
    <n v="215"/>
  </r>
  <r>
    <n v="910"/>
    <x v="2"/>
    <n v="1"/>
    <s v="SALA CIRURGICA 01"/>
    <d v="2026-03-05T08:00:00"/>
    <d v="2026-03-05T08:15:00"/>
    <d v="2026-03-05T08:50:00"/>
    <d v="2026-03-05T09:20:00"/>
    <d v="2026-03-05T09:30:00"/>
    <d v="2026-03-05T09:49:00"/>
    <n v="1.82"/>
    <d v="2026-03-05T09:59:00"/>
    <d v="1899-12-30T01:49:00"/>
    <n v="1"/>
    <n v="49"/>
    <n v="109"/>
  </r>
  <r>
    <n v="911"/>
    <x v="2"/>
    <n v="1"/>
    <s v="SALA CIRURGICA 04"/>
    <d v="2026-03-05T13:40:00"/>
    <d v="2026-03-05T13:45:00"/>
    <d v="2026-03-05T14:08:00"/>
    <d v="2026-03-05T14:30:00"/>
    <d v="2026-03-05T15:10:00"/>
    <d v="2026-03-05T15:13:00"/>
    <n v="1.55"/>
    <d v="2026-03-05T15:14:00"/>
    <d v="1899-12-30T01:33:00"/>
    <n v="1"/>
    <n v="33"/>
    <n v="93"/>
  </r>
  <r>
    <n v="912"/>
    <x v="1"/>
    <n v="1"/>
    <s v="SALA CIRURGICA 06"/>
    <d v="2026-03-05T10:48:00"/>
    <d v="2026-03-05T10:49:00"/>
    <d v="2026-03-05T11:02:00"/>
    <d v="2026-03-05T12:00:00"/>
    <d v="2026-03-05T12:19:00"/>
    <d v="2026-03-05T12:20:00"/>
    <n v="1.53"/>
    <d v="2026-03-05T12:30:00"/>
    <d v="1899-12-30T01:32:00"/>
    <n v="1"/>
    <n v="32"/>
    <n v="92"/>
  </r>
  <r>
    <n v="913"/>
    <x v="2"/>
    <n v="1"/>
    <s v="SALA CIRURGICA 01"/>
    <d v="2026-03-05T11:20:00"/>
    <d v="2026-03-05T11:30:00"/>
    <d v="2026-03-05T11:50:00"/>
    <d v="2026-03-05T12:45:00"/>
    <d v="2026-03-05T12:55:00"/>
    <d v="2026-03-05T13:00:00"/>
    <n v="1.67"/>
    <d v="2026-03-05T13:10:00"/>
    <d v="1899-12-30T01:40:00"/>
    <n v="1"/>
    <n v="40"/>
    <n v="100"/>
  </r>
  <r>
    <n v="914"/>
    <x v="1"/>
    <n v="1"/>
    <s v="SALA CIRURGICA 05"/>
    <d v="2026-03-05T15:40:00"/>
    <d v="2026-03-05T15:50:00"/>
    <d v="2026-03-05T16:10:00"/>
    <d v="2026-03-05T19:45:00"/>
    <d v="2026-03-05T20:20:00"/>
    <d v="2026-03-05T20:45:00"/>
    <n v="5.08"/>
    <d v="2026-03-05T20:55:00"/>
    <d v="1899-12-30T05:05:00"/>
    <n v="5"/>
    <n v="5"/>
    <n v="305"/>
  </r>
  <r>
    <n v="915"/>
    <x v="0"/>
    <n v="1"/>
    <s v="SALA CIRURGICA 01"/>
    <d v="2026-03-05T13:55:00"/>
    <d v="2026-03-05T14:05:00"/>
    <d v="2026-03-05T14:40:00"/>
    <d v="2026-03-05T17:22:00"/>
    <d v="2026-03-05T17:32:00"/>
    <d v="2026-03-05T17:35:00"/>
    <n v="3.67"/>
    <d v="2026-03-05T17:45:00"/>
    <d v="1899-12-30T03:40:00"/>
    <n v="3"/>
    <n v="40"/>
    <n v="220"/>
  </r>
  <r>
    <n v="916"/>
    <x v="1"/>
    <n v="1"/>
    <s v="SALA CIRURGICA 01"/>
    <d v="2026-03-05T15:20:00"/>
    <d v="2026-03-05T15:25:00"/>
    <d v="2026-03-05T15:40:00"/>
    <d v="2026-03-05T16:30:00"/>
    <d v="2026-03-05T16:37:00"/>
    <d v="2026-03-05T17:00:00"/>
    <n v="1.67"/>
    <d v="2026-03-05T17:08:00"/>
    <d v="1899-12-30T01:40:00"/>
    <n v="1"/>
    <n v="40"/>
    <n v="100"/>
  </r>
  <r>
    <n v="917"/>
    <x v="1"/>
    <n v="1"/>
    <s v="SALA CIRURGICA 06"/>
    <d v="2026-03-05T16:50:00"/>
    <d v="2026-03-05T17:00:00"/>
    <d v="2026-03-05T17:15:00"/>
    <d v="2026-03-05T18:38:00"/>
    <d v="2026-03-05T19:00:00"/>
    <d v="2026-03-05T19:05:00"/>
    <n v="2.25"/>
    <d v="2026-03-05T19:10:00"/>
    <d v="1899-12-30T02:15:00"/>
    <n v="2"/>
    <n v="15"/>
    <n v="135"/>
  </r>
  <r>
    <n v="918"/>
    <x v="0"/>
    <n v="1"/>
    <s v="SALA CIRURGICA 01"/>
    <d v="2026-03-06T07:45:00"/>
    <d v="2026-03-06T07:55:00"/>
    <d v="2026-03-06T09:30:00"/>
    <d v="2026-03-06T11:44:00"/>
    <d v="2026-03-06T11:54:00"/>
    <d v="2026-03-06T12:10:00"/>
    <n v="4.42"/>
    <d v="2026-03-06T12:20:00"/>
    <d v="1899-12-30T04:25:00"/>
    <n v="4"/>
    <n v="25"/>
    <n v="265"/>
  </r>
  <r>
    <n v="919"/>
    <x v="2"/>
    <n v="1"/>
    <s v="SALA CIRURGICA 02"/>
    <d v="2026-03-06T07:00:00"/>
    <d v="2026-03-06T08:10:00"/>
    <d v="2026-03-06T08:55:00"/>
    <d v="2026-03-06T11:50:00"/>
    <d v="2026-03-06T11:55:00"/>
    <d v="2026-03-06T12:30:00"/>
    <n v="5.5"/>
    <d v="2026-03-06T12:31:00"/>
    <d v="1899-12-30T05:30:00"/>
    <n v="5"/>
    <n v="30"/>
    <n v="330"/>
  </r>
  <r>
    <n v="920"/>
    <x v="2"/>
    <n v="1"/>
    <s v="SALA CIRURGICA 04"/>
    <d v="2026-03-06T14:10:00"/>
    <d v="2026-03-06T14:15:00"/>
    <d v="2026-03-06T14:50:00"/>
    <d v="2026-03-06T19:58:00"/>
    <d v="2026-03-06T20:08:00"/>
    <d v="2026-03-06T21:15:00"/>
    <n v="7.08"/>
    <d v="2026-03-06T21:25:00"/>
    <d v="1899-12-30T07:05:00"/>
    <n v="7"/>
    <n v="5"/>
    <n v="425"/>
  </r>
  <r>
    <n v="921"/>
    <x v="2"/>
    <n v="1"/>
    <s v="SALA CIRURGICA 03"/>
    <d v="2026-03-06T07:00:00"/>
    <d v="2026-03-06T07:30:00"/>
    <d v="2026-03-06T08:15:00"/>
    <d v="2026-03-06T12:24:00"/>
    <d v="2026-03-06T13:00:00"/>
    <d v="2026-03-06T13:10:00"/>
    <n v="6.17"/>
    <d v="2026-03-06T13:20:00"/>
    <d v="1899-12-30T06:10:00"/>
    <n v="6"/>
    <n v="10"/>
    <n v="370"/>
  </r>
  <r>
    <n v="922"/>
    <x v="1"/>
    <n v="1"/>
    <s v="SALA CIRURGICA 01"/>
    <d v="2026-03-06T07:00:00"/>
    <d v="2026-03-06T07:45:00"/>
    <d v="2026-03-06T08:10:00"/>
    <d v="2026-03-06T09:45:00"/>
    <d v="2026-03-06T09:55:00"/>
    <d v="2026-03-06T10:00:00"/>
    <n v="3"/>
    <d v="2026-03-06T10:10:00"/>
    <d v="1899-12-30T03:00:00"/>
    <n v="3"/>
    <n v="0"/>
    <n v="180"/>
  </r>
  <r>
    <n v="923"/>
    <x v="1"/>
    <n v="1"/>
    <s v="SALA CIRURGICA 03"/>
    <d v="2026-03-06T14:30:00"/>
    <d v="2026-03-06T15:15:00"/>
    <d v="2026-03-06T15:30:00"/>
    <d v="2026-03-06T17:00:00"/>
    <d v="2026-03-06T17:20:00"/>
    <d v="2026-03-06T17:30:00"/>
    <n v="3"/>
    <d v="2026-03-06T17:40:00"/>
    <d v="1899-12-30T03:00:00"/>
    <n v="3"/>
    <n v="0"/>
    <n v="180"/>
  </r>
  <r>
    <n v="924"/>
    <x v="2"/>
    <n v="1"/>
    <s v="SALA CIRURGICA 04"/>
    <d v="2026-03-06T08:10:00"/>
    <d v="2026-03-06T08:30:00"/>
    <d v="2026-03-06T09:12:00"/>
    <d v="2026-03-06T10:08:00"/>
    <d v="2026-03-06T10:18:00"/>
    <d v="2026-03-06T10:20:00"/>
    <n v="2.17"/>
    <d v="2026-03-06T10:30:00"/>
    <d v="1899-12-30T02:10:00"/>
    <n v="2"/>
    <n v="10"/>
    <n v="130"/>
  </r>
  <r>
    <n v="925"/>
    <x v="1"/>
    <n v="1"/>
    <s v="SALA CIRURGICA 01"/>
    <d v="2026-03-05T18:12:00"/>
    <d v="2026-03-05T18:25:00"/>
    <d v="2026-03-05T18:30:00"/>
    <d v="2026-03-05T19:00:00"/>
    <d v="2026-03-05T19:10:00"/>
    <d v="2026-03-05T19:15:00"/>
    <n v="1.05"/>
    <d v="2026-03-05T19:25:00"/>
    <d v="1899-12-30T01:03:00"/>
    <n v="1"/>
    <n v="3"/>
    <n v="63"/>
  </r>
  <r>
    <n v="926"/>
    <x v="0"/>
    <n v="1"/>
    <s v="SALA CIRURGICA 01"/>
    <d v="2026-03-05T20:50:00"/>
    <d v="2026-03-05T21:10:00"/>
    <d v="2026-03-05T21:40:00"/>
    <d v="2026-03-05T22:47:00"/>
    <d v="2026-03-05T22:48:00"/>
    <d v="2026-03-05T22:49:00"/>
    <n v="1.98"/>
    <d v="2026-03-05T22:50:00"/>
    <d v="1899-12-30T01:59:00"/>
    <n v="1"/>
    <n v="59"/>
    <n v="119"/>
  </r>
  <r>
    <n v="927"/>
    <x v="2"/>
    <n v="1"/>
    <s v="SALA CIRURGICA 01"/>
    <d v="2026-03-05T23:22:00"/>
    <d v="2026-03-05T23:23:00"/>
    <d v="2026-03-05T23:40:00"/>
    <d v="2026-03-06T00:00:00"/>
    <d v="2026-03-06T00:10:00"/>
    <d v="2026-03-06T00:13:00"/>
    <n v="0.85"/>
    <d v="2026-03-06T00:15:00"/>
    <d v="1899-12-30T00:51:00"/>
    <n v="0"/>
    <n v="51"/>
    <n v="51"/>
  </r>
  <r>
    <n v="928"/>
    <x v="0"/>
    <n v="1"/>
    <s v="SALA CIRURGICA 01"/>
    <d v="2026-03-06T00:20:00"/>
    <d v="2026-03-06T00:30:00"/>
    <d v="2026-03-06T00:45:00"/>
    <d v="2026-03-06T01:50:00"/>
    <d v="2026-03-06T01:53:00"/>
    <d v="2026-03-06T01:57:00"/>
    <n v="1.62"/>
    <d v="2026-03-06T02:00:00"/>
    <d v="1899-12-30T01:37:00"/>
    <n v="1"/>
    <n v="37"/>
    <n v="97"/>
  </r>
  <r>
    <n v="929"/>
    <x v="2"/>
    <n v="1"/>
    <s v="SALA CIRURGICA 01"/>
    <d v="2026-03-06T10:55:00"/>
    <d v="2026-03-06T11:10:00"/>
    <d v="2026-03-06T11:50:00"/>
    <d v="2026-03-06T12:55:00"/>
    <d v="2026-03-06T13:10:00"/>
    <d v="2026-03-06T13:11:00"/>
    <n v="2.27"/>
    <d v="2026-03-06T13:12:00"/>
    <d v="1899-12-30T02:16:00"/>
    <n v="2"/>
    <n v="16"/>
    <n v="136"/>
  </r>
  <r>
    <n v="930"/>
    <x v="1"/>
    <n v="1"/>
    <s v="SALA CIRURGICA 04"/>
    <d v="2026-03-06T11:50:00"/>
    <d v="2026-03-06T11:55:00"/>
    <d v="2026-03-06T12:00:00"/>
    <d v="2026-03-06T12:30:00"/>
    <d v="2026-03-06T12:40:00"/>
    <d v="2026-03-06T12:45:00"/>
    <n v="0.92"/>
    <d v="2026-03-06T12:55:00"/>
    <d v="1899-12-30T00:55:00"/>
    <n v="0"/>
    <n v="55"/>
    <n v="55"/>
  </r>
  <r>
    <n v="931"/>
    <x v="2"/>
    <n v="1"/>
    <s v="SALA CIRURGICA 01"/>
    <d v="2026-03-07T16:50:00"/>
    <d v="2026-03-07T17:15:00"/>
    <d v="2026-03-07T17:45:00"/>
    <d v="2026-03-07T18:45:00"/>
    <d v="2026-03-07T18:50:00"/>
    <d v="2026-03-07T19:00:00"/>
    <n v="2.17"/>
    <d v="2026-03-07T19:10:00"/>
    <d v="1899-12-30T02:10:00"/>
    <n v="2"/>
    <n v="10"/>
    <n v="130"/>
  </r>
  <r>
    <n v="932"/>
    <x v="0"/>
    <n v="1"/>
    <s v="SALA CIRURGICA 06"/>
    <d v="2026-03-07T14:30:00"/>
    <d v="2026-03-07T14:40:00"/>
    <d v="2026-03-07T14:45:00"/>
    <d v="2026-03-07T15:10:00"/>
    <d v="2026-03-07T15:15:00"/>
    <d v="2026-03-07T15:20:00"/>
    <n v="0.83"/>
    <d v="2026-03-07T15:22:00"/>
    <d v="1899-12-30T00:50:00"/>
    <n v="0"/>
    <n v="50"/>
    <n v="50"/>
  </r>
  <r>
    <n v="933"/>
    <x v="1"/>
    <n v="1"/>
    <s v="SALA CIRURGICA 06"/>
    <d v="2026-03-06T14:30:00"/>
    <d v="2026-03-06T14:50:00"/>
    <d v="2026-03-06T15:10:00"/>
    <d v="2026-03-06T17:40:00"/>
    <d v="2026-03-06T17:50:00"/>
    <d v="2026-03-06T17:55:00"/>
    <n v="3.42"/>
    <d v="2026-03-06T18:05:00"/>
    <d v="1899-12-30T03:25:00"/>
    <n v="3"/>
    <n v="25"/>
    <n v="205"/>
  </r>
  <r>
    <n v="934"/>
    <x v="2"/>
    <n v="1"/>
    <s v="SALA CIRURGICA 02"/>
    <d v="2026-03-09T07:00:00"/>
    <d v="2026-03-09T08:00:00"/>
    <d v="2026-03-09T09:10:00"/>
    <d v="2026-03-09T11:25:00"/>
    <d v="2026-03-09T11:40:00"/>
    <d v="2026-03-09T12:00:00"/>
    <n v="5"/>
    <d v="2026-03-09T12:05:00"/>
    <d v="1899-12-30T05:00:00"/>
    <n v="5"/>
    <n v="0"/>
    <n v="300"/>
  </r>
  <r>
    <n v="935"/>
    <x v="1"/>
    <n v="1"/>
    <s v="SALA CIRURGICA 02"/>
    <d v="2026-03-09T11:50:00"/>
    <d v="2026-03-09T12:00:00"/>
    <d v="2026-03-09T12:30:00"/>
    <d v="2026-03-09T13:20:00"/>
    <d v="2026-03-09T13:30:00"/>
    <d v="2026-03-09T13:35:00"/>
    <n v="1.75"/>
    <d v="2026-03-09T13:45:00"/>
    <d v="1899-12-30T01:45:00"/>
    <n v="1"/>
    <n v="45"/>
    <n v="105"/>
  </r>
  <r>
    <n v="936"/>
    <x v="1"/>
    <n v="1"/>
    <s v="SALA CIRURGICA 03"/>
    <d v="2026-03-09T15:10:00"/>
    <d v="2026-03-09T15:20:00"/>
    <d v="2026-03-09T15:40:00"/>
    <d v="2026-03-09T17:15:00"/>
    <d v="2026-03-09T17:25:00"/>
    <d v="2026-03-09T17:30:00"/>
    <n v="2.33"/>
    <d v="2026-03-09T17:40:00"/>
    <d v="1899-12-30T02:20:00"/>
    <n v="2"/>
    <n v="20"/>
    <n v="140"/>
  </r>
  <r>
    <n v="937"/>
    <x v="0"/>
    <n v="1"/>
    <s v="SALA CIRURGICA 06"/>
    <d v="2026-03-09T16:05:00"/>
    <d v="2026-03-09T16:15:00"/>
    <d v="2026-03-09T17:15:00"/>
    <d v="2026-03-09T19:50:00"/>
    <d v="2026-03-09T20:00:00"/>
    <d v="2026-03-09T20:15:00"/>
    <n v="4.17"/>
    <d v="2026-03-09T20:25:00"/>
    <d v="1899-12-30T04:10:00"/>
    <n v="4"/>
    <n v="10"/>
    <n v="250"/>
  </r>
  <r>
    <n v="938"/>
    <x v="2"/>
    <n v="1"/>
    <s v="SALA CIRURGICA 05"/>
    <d v="2026-03-07T09:50:00"/>
    <d v="2026-03-07T10:00:00"/>
    <d v="2026-03-07T11:10:00"/>
    <d v="2026-03-07T14:20:00"/>
    <d v="2026-03-07T16:00:00"/>
    <d v="2026-03-07T16:37:00"/>
    <n v="6.78"/>
    <d v="2026-03-07T16:47:00"/>
    <d v="1899-12-30T06:47:00"/>
    <n v="6"/>
    <n v="47"/>
    <n v="407"/>
  </r>
  <r>
    <n v="939"/>
    <x v="2"/>
    <n v="1"/>
    <s v="SALA CIRURGICA 02"/>
    <d v="2026-03-09T13:00:00"/>
    <d v="2026-03-09T13:30:00"/>
    <d v="2026-03-09T14:20:00"/>
    <d v="2026-03-09T15:35:00"/>
    <d v="2026-03-09T16:00:00"/>
    <d v="2026-03-09T16:50:00"/>
    <n v="3.83"/>
    <d v="2026-03-09T16:52:00"/>
    <d v="1899-12-30T03:50:00"/>
    <n v="3"/>
    <n v="50"/>
    <n v="230"/>
  </r>
  <r>
    <n v="940"/>
    <x v="2"/>
    <n v="1"/>
    <s v="SALA CIRURGICA 01"/>
    <d v="2026-03-06T18:45:00"/>
    <d v="2026-03-06T18:50:00"/>
    <d v="2026-03-06T19:00:00"/>
    <d v="2026-03-06T19:10:00"/>
    <d v="2026-03-06T19:35:00"/>
    <d v="2026-03-06T19:40:00"/>
    <n v="0.92"/>
    <d v="2026-03-06T19:45:00"/>
    <d v="1899-12-30T00:55:00"/>
    <n v="0"/>
    <n v="55"/>
    <n v="55"/>
  </r>
  <r>
    <n v="941"/>
    <x v="1"/>
    <n v="1"/>
    <s v="SALA CIRURGICA 02"/>
    <d v="2026-03-07T16:15:00"/>
    <d v="2026-03-07T16:30:00"/>
    <d v="2026-03-07T16:50:00"/>
    <d v="2026-03-07T17:40:00"/>
    <d v="2026-03-07T17:50:00"/>
    <d v="2026-03-07T18:15:00"/>
    <n v="2"/>
    <d v="2026-03-07T18:16:00"/>
    <d v="1899-12-30T02:00:00"/>
    <n v="2"/>
    <n v="0"/>
    <n v="120"/>
  </r>
  <r>
    <n v="942"/>
    <x v="1"/>
    <n v="1"/>
    <s v="SALA CIRURGICA 01"/>
    <d v="2026-03-07T11:05:00"/>
    <d v="2026-03-07T11:06:00"/>
    <d v="2026-03-07T11:35:00"/>
    <d v="2026-03-07T14:05:00"/>
    <d v="2026-03-07T14:40:00"/>
    <d v="2026-03-07T14:41:00"/>
    <n v="3.6"/>
    <d v="2026-03-07T14:51:00"/>
    <d v="1899-12-30T03:36:00"/>
    <n v="3"/>
    <n v="36"/>
    <n v="216"/>
  </r>
  <r>
    <n v="943"/>
    <x v="0"/>
    <n v="1"/>
    <s v="SALA CIRURGICA 01"/>
    <d v="2026-03-07T10:24:00"/>
    <d v="2026-03-07T10:40:00"/>
    <d v="2026-03-07T11:00:00"/>
    <d v="2026-03-07T12:43:00"/>
    <d v="2026-03-07T12:53:00"/>
    <d v="2026-03-07T13:10:00"/>
    <n v="2.77"/>
    <d v="2026-03-07T13:20:00"/>
    <d v="1899-12-30T02:46:00"/>
    <n v="2"/>
    <n v="46"/>
    <n v="166"/>
  </r>
  <r>
    <n v="944"/>
    <x v="2"/>
    <n v="1"/>
    <s v="SALA CIRURGICA 02"/>
    <d v="2026-03-07T10:15:00"/>
    <d v="2026-03-07T11:30:00"/>
    <d v="2026-03-07T11:35:00"/>
    <d v="2026-03-07T12:30:00"/>
    <d v="2026-03-07T12:35:00"/>
    <d v="2026-03-07T12:50:00"/>
    <n v="2.58"/>
    <d v="2026-03-07T13:00:00"/>
    <d v="1899-12-30T02:35:00"/>
    <n v="2"/>
    <n v="35"/>
    <n v="155"/>
  </r>
  <r>
    <n v="945"/>
    <x v="2"/>
    <n v="1"/>
    <s v="SALA CIRURGICA 01"/>
    <d v="2026-03-10T07:00:00"/>
    <d v="2026-03-10T07:10:00"/>
    <d v="2026-03-10T07:20:00"/>
    <d v="2026-03-10T07:50:00"/>
    <d v="2026-03-10T07:51:00"/>
    <d v="2026-03-10T07:52:00"/>
    <n v="0.87"/>
    <d v="2026-03-10T07:53:00"/>
    <d v="1899-12-30T00:52:00"/>
    <n v="0"/>
    <n v="52"/>
    <n v="52"/>
  </r>
  <r>
    <n v="946"/>
    <x v="1"/>
    <n v="1"/>
    <s v="SALA CIRURGICA 03"/>
    <d v="2026-03-07T14:50:00"/>
    <d v="2026-03-07T14:55:00"/>
    <d v="2026-03-07T15:05:00"/>
    <d v="2026-03-07T15:28:00"/>
    <d v="2026-03-07T15:30:00"/>
    <d v="2026-03-07T15:40:00"/>
    <n v="0.83"/>
    <d v="2026-03-07T15:50:00"/>
    <d v="1899-12-30T00:50:00"/>
    <n v="0"/>
    <n v="50"/>
    <n v="50"/>
  </r>
  <r>
    <n v="947"/>
    <x v="1"/>
    <n v="1"/>
    <s v="SALA CIRURGICA 01"/>
    <d v="2026-03-08T08:15:00"/>
    <d v="2026-03-08T08:35:00"/>
    <d v="2026-03-08T09:00:00"/>
    <d v="2026-03-08T12:10:00"/>
    <d v="2026-03-08T12:20:00"/>
    <d v="2026-03-09T00:10:00"/>
    <n v="15.92"/>
    <d v="2026-03-09T00:20:00"/>
    <d v="1899-12-30T15:55:00"/>
    <n v="15"/>
    <n v="55"/>
    <n v="955"/>
  </r>
  <r>
    <n v="948"/>
    <x v="2"/>
    <n v="1"/>
    <s v="SALA CIRURGICA 01"/>
    <d v="2026-03-07T16:20:00"/>
    <d v="2026-03-07T16:30:00"/>
    <d v="2026-03-07T16:33:00"/>
    <d v="2026-03-07T16:40:00"/>
    <d v="2026-03-07T16:50:00"/>
    <d v="2026-03-07T16:55:00"/>
    <n v="0.57999999999999996"/>
    <d v="2026-03-07T17:00:00"/>
    <d v="1899-12-30T00:35:00"/>
    <n v="0"/>
    <n v="35"/>
    <n v="35"/>
  </r>
  <r>
    <n v="949"/>
    <x v="1"/>
    <n v="1"/>
    <s v="SALA CIRURGICA 02"/>
    <d v="2026-03-08T08:20:00"/>
    <d v="2026-03-08T08:30:00"/>
    <d v="2026-03-08T09:15:00"/>
    <d v="2026-03-08T12:20:00"/>
    <d v="2026-03-08T12:30:00"/>
    <d v="2026-03-08T12:40:00"/>
    <n v="4.33"/>
    <d v="2026-03-08T12:41:00"/>
    <d v="1899-12-30T04:20:00"/>
    <n v="4"/>
    <n v="20"/>
    <n v="260"/>
  </r>
  <r>
    <n v="950"/>
    <x v="1"/>
    <n v="1"/>
    <s v="SALA CIRURGICA 03"/>
    <d v="2026-03-08T08:40:00"/>
    <d v="2026-03-08T08:50:00"/>
    <d v="2026-03-08T09:00:00"/>
    <d v="2026-03-08T10:10:00"/>
    <d v="2026-03-08T10:20:00"/>
    <d v="2026-03-08T10:22:00"/>
    <n v="1.7"/>
    <d v="2026-03-08T10:32:00"/>
    <d v="1899-12-30T01:42:00"/>
    <n v="1"/>
    <n v="42"/>
    <n v="102"/>
  </r>
  <r>
    <n v="951"/>
    <x v="0"/>
    <n v="1"/>
    <s v="SALA CIRURGICA 01"/>
    <d v="2026-03-07T20:10:00"/>
    <d v="2026-03-07T20:30:00"/>
    <d v="2026-03-07T20:35:00"/>
    <d v="2026-03-07T20:54:00"/>
    <d v="2026-03-07T21:00:00"/>
    <d v="2026-03-07T21:08:00"/>
    <n v="0.97"/>
    <d v="2026-03-07T21:10:00"/>
    <d v="1899-12-30T00:58:00"/>
    <n v="0"/>
    <n v="58"/>
    <n v="58"/>
  </r>
  <r>
    <n v="952"/>
    <x v="0"/>
    <n v="1"/>
    <s v="SALA CIRURGICA 01"/>
    <d v="2026-03-07T20:40:00"/>
    <d v="2026-03-07T20:50:00"/>
    <d v="2026-03-07T21:00:00"/>
    <d v="2026-03-07T21:30:00"/>
    <d v="2026-03-07T21:35:00"/>
    <d v="2026-03-07T21:40:00"/>
    <n v="1"/>
    <d v="2026-03-07T21:42:00"/>
    <d v="1899-12-30T01:00:00"/>
    <n v="1"/>
    <n v="0"/>
    <n v="60"/>
  </r>
  <r>
    <n v="953"/>
    <x v="1"/>
    <n v="1"/>
    <s v="SALA CIRURGICA 01"/>
    <d v="2026-03-07T23:00:00"/>
    <d v="2026-03-07T23:15:00"/>
    <d v="2026-03-07T23:30:00"/>
    <d v="2026-03-08T01:30:00"/>
    <d v="2026-03-08T01:40:00"/>
    <d v="2026-03-08T02:00:00"/>
    <n v="3"/>
    <d v="2026-03-08T02:10:00"/>
    <d v="1899-12-30T03:00:00"/>
    <n v="3"/>
    <n v="0"/>
    <n v="180"/>
  </r>
  <r>
    <n v="954"/>
    <x v="1"/>
    <n v="1"/>
    <s v="SALA CIRURGICA 02"/>
    <d v="2026-03-09T07:50:00"/>
    <d v="2026-03-09T08:00:00"/>
    <d v="2026-03-09T08:15:00"/>
    <d v="2026-03-09T09:00:00"/>
    <d v="2026-03-09T09:20:00"/>
    <d v="2026-03-09T10:00:00"/>
    <n v="2.17"/>
    <d v="2026-03-09T10:18:00"/>
    <d v="1899-12-30T02:10:00"/>
    <n v="2"/>
    <n v="10"/>
    <n v="130"/>
  </r>
  <r>
    <n v="955"/>
    <x v="1"/>
    <n v="1"/>
    <s v="SALA CIRURGICA 01"/>
    <d v="2026-03-09T10:53:00"/>
    <d v="2026-03-09T11:05:00"/>
    <d v="2026-03-09T11:20:00"/>
    <d v="2026-03-09T13:25:00"/>
    <d v="2026-03-09T13:40:00"/>
    <d v="2026-03-09T13:41:00"/>
    <n v="2.8"/>
    <d v="2026-03-09T13:42:00"/>
    <d v="1899-12-30T02:48:00"/>
    <n v="2"/>
    <n v="48"/>
    <n v="168"/>
  </r>
  <r>
    <n v="956"/>
    <x v="2"/>
    <n v="1"/>
    <s v="SALA CIRURGICA 02"/>
    <d v="2026-03-09T07:00:00"/>
    <d v="2026-03-09T07:55:00"/>
    <d v="2026-03-09T08:20:00"/>
    <d v="2026-03-09T09:45:00"/>
    <d v="2026-03-09T10:10:00"/>
    <d v="2026-03-09T15:30:00"/>
    <n v="8.5"/>
    <d v="2026-03-09T15:40:00"/>
    <d v="1899-12-30T08:30:00"/>
    <n v="8"/>
    <n v="30"/>
    <n v="510"/>
  </r>
  <r>
    <n v="957"/>
    <x v="1"/>
    <n v="1"/>
    <s v="SALA CIRURGICA 06"/>
    <d v="2026-03-09T13:10:00"/>
    <d v="2026-03-09T13:30:00"/>
    <d v="2026-03-09T13:50:00"/>
    <d v="2026-03-09T14:35:00"/>
    <d v="2026-03-09T14:45:00"/>
    <d v="2026-03-09T14:50:00"/>
    <n v="1.67"/>
    <d v="2026-03-09T15:00:00"/>
    <d v="1899-12-30T01:40:00"/>
    <n v="1"/>
    <n v="40"/>
    <n v="100"/>
  </r>
  <r>
    <n v="958"/>
    <x v="1"/>
    <n v="1"/>
    <s v="SALA CIRURGICA 02"/>
    <d v="2026-03-08T16:35:00"/>
    <d v="2026-03-08T16:50:00"/>
    <d v="2026-03-08T17:10:00"/>
    <d v="2026-03-08T19:15:00"/>
    <d v="2026-03-08T19:25:00"/>
    <d v="2026-03-08T22:15:00"/>
    <n v="5.67"/>
    <d v="2026-03-08T22:25:00"/>
    <d v="1899-12-30T05:40:00"/>
    <n v="5"/>
    <n v="40"/>
    <n v="340"/>
  </r>
  <r>
    <n v="959"/>
    <x v="0"/>
    <n v="1"/>
    <s v="SALA CIRURGICA 03"/>
    <d v="2026-03-09T00:10:00"/>
    <d v="2026-03-09T00:15:00"/>
    <d v="2026-03-09T00:18:00"/>
    <d v="2026-03-09T00:30:00"/>
    <d v="2026-03-09T00:40:00"/>
    <d v="2026-03-09T00:45:00"/>
    <n v="0.57999999999999996"/>
    <d v="2026-03-09T00:55:00"/>
    <d v="1899-12-30T00:35:00"/>
    <n v="0"/>
    <n v="35"/>
    <n v="35"/>
  </r>
  <r>
    <n v="960"/>
    <x v="0"/>
    <n v="1"/>
    <s v="SALA CIRURGICA 02"/>
    <d v="2026-03-09T01:45:00"/>
    <d v="2026-03-09T01:55:00"/>
    <d v="2026-03-09T02:15:00"/>
    <d v="2026-03-09T03:12:00"/>
    <d v="2026-03-09T03:22:00"/>
    <d v="2026-03-09T03:40:00"/>
    <n v="1.92"/>
    <d v="2026-03-09T03:50:00"/>
    <d v="1899-12-30T01:55:00"/>
    <n v="1"/>
    <n v="55"/>
    <n v="115"/>
  </r>
  <r>
    <n v="961"/>
    <x v="0"/>
    <n v="1"/>
    <s v="SALA CIRURGICA 02"/>
    <d v="2026-03-09T07:00:00"/>
    <d v="2026-03-09T08:00:00"/>
    <d v="2026-03-09T09:00:00"/>
    <d v="2026-03-09T10:10:00"/>
    <d v="2026-03-09T10:11:00"/>
    <d v="2026-03-09T10:40:00"/>
    <n v="3.67"/>
    <d v="2026-03-09T10:41:00"/>
    <d v="1899-12-30T03:40:00"/>
    <n v="3"/>
    <n v="40"/>
    <n v="220"/>
  </r>
  <r>
    <n v="962"/>
    <x v="1"/>
    <n v="1"/>
    <s v="SALA CIRURGICA 06"/>
    <d v="2026-03-09T08:15:00"/>
    <d v="2026-03-09T08:20:00"/>
    <d v="2026-03-09T08:35:00"/>
    <d v="2026-03-09T10:45:00"/>
    <d v="2026-03-09T10:55:00"/>
    <d v="2026-03-09T11:50:00"/>
    <n v="3.58"/>
    <d v="2026-03-09T12:00:00"/>
    <d v="1899-12-30T03:35:00"/>
    <n v="3"/>
    <n v="35"/>
    <n v="215"/>
  </r>
  <r>
    <n v="963"/>
    <x v="0"/>
    <n v="1"/>
    <s v="SALA CIRURGICA 01"/>
    <d v="2026-03-09T16:25:00"/>
    <d v="2026-03-09T16:40:00"/>
    <d v="2026-03-09T17:10:00"/>
    <d v="2026-03-09T17:25:00"/>
    <d v="2026-03-09T17:45:00"/>
    <d v="2026-03-09T17:55:00"/>
    <n v="1.5"/>
    <d v="2026-03-09T17:56:00"/>
    <d v="1899-12-30T01:30:00"/>
    <n v="1"/>
    <n v="30"/>
    <n v="90"/>
  </r>
  <r>
    <n v="964"/>
    <x v="0"/>
    <n v="1"/>
    <s v="SALA CIRURGICA 01"/>
    <d v="2026-03-10T07:00:00"/>
    <d v="2026-03-10T07:30:00"/>
    <d v="2026-03-10T07:35:00"/>
    <d v="2026-03-10T08:00:00"/>
    <d v="2026-03-10T08:05:00"/>
    <d v="2026-03-10T08:25:00"/>
    <n v="1.42"/>
    <d v="2026-03-10T08:35:00"/>
    <d v="1899-12-30T01:25:00"/>
    <n v="1"/>
    <n v="25"/>
    <n v="85"/>
  </r>
  <r>
    <n v="965"/>
    <x v="1"/>
    <n v="1"/>
    <s v="SALA CIRURGICA 01"/>
    <d v="2026-03-09T14:55:00"/>
    <d v="2026-03-09T15:15:00"/>
    <d v="2026-03-09T15:30:00"/>
    <d v="2026-03-09T16:00:00"/>
    <d v="2026-03-09T16:05:00"/>
    <d v="2026-03-09T16:30:00"/>
    <n v="1.58"/>
    <d v="2026-03-09T16:35:00"/>
    <d v="1899-12-30T01:35:00"/>
    <n v="1"/>
    <n v="35"/>
    <n v="95"/>
  </r>
  <r>
    <n v="966"/>
    <x v="0"/>
    <n v="1"/>
    <s v="SALA CIRURGICA 05"/>
    <d v="2026-03-16T07:20:00"/>
    <d v="2026-03-16T07:45:00"/>
    <d v="2026-03-16T08:10:00"/>
    <d v="2026-03-16T09:12:00"/>
    <d v="2026-03-16T09:22:00"/>
    <d v="2026-03-16T09:30:00"/>
    <n v="2.17"/>
    <d v="2026-03-16T09:40:00"/>
    <d v="1899-12-30T02:10:00"/>
    <n v="2"/>
    <n v="10"/>
    <n v="130"/>
  </r>
  <r>
    <n v="967"/>
    <x v="1"/>
    <n v="1"/>
    <s v="SALA CIRURGICA 03"/>
    <d v="2026-03-10T07:00:00"/>
    <d v="2026-03-10T07:40:00"/>
    <d v="2026-03-10T08:20:00"/>
    <d v="2026-03-10T10:47:00"/>
    <d v="2026-03-10T11:00:00"/>
    <d v="2026-03-10T13:00:00"/>
    <n v="6"/>
    <d v="2026-03-10T13:10:00"/>
    <d v="1899-12-30T06:00:00"/>
    <n v="6"/>
    <n v="0"/>
    <n v="360"/>
  </r>
  <r>
    <n v="968"/>
    <x v="2"/>
    <n v="1"/>
    <s v="SALA CIRURGICA 06"/>
    <d v="2026-03-10T16:35:00"/>
    <d v="2026-03-10T16:40:00"/>
    <d v="2026-03-10T17:00:00"/>
    <d v="2026-03-10T17:55:00"/>
    <d v="2026-03-10T18:00:00"/>
    <d v="2026-03-10T18:05:00"/>
    <n v="1.5"/>
    <d v="2026-03-10T18:15:00"/>
    <d v="1899-12-30T01:30:00"/>
    <n v="1"/>
    <n v="30"/>
    <n v="90"/>
  </r>
  <r>
    <n v="969"/>
    <x v="2"/>
    <n v="1"/>
    <s v="SALA CIRURGICA 03"/>
    <d v="2026-03-10T16:00:00"/>
    <d v="2026-03-10T16:30:00"/>
    <d v="2026-03-10T17:25:00"/>
    <d v="2026-03-10T21:40:00"/>
    <d v="2026-03-10T21:50:00"/>
    <d v="2026-03-10T22:05:00"/>
    <n v="6.08"/>
    <d v="2026-03-10T22:15:00"/>
    <d v="1899-12-30T06:05:00"/>
    <n v="6"/>
    <n v="5"/>
    <n v="365"/>
  </r>
  <r>
    <n v="970"/>
    <x v="1"/>
    <n v="1"/>
    <s v="SALA CIRURGICA 01"/>
    <d v="2026-03-09T17:25:00"/>
    <d v="2026-03-09T17:40:00"/>
    <d v="2026-03-09T17:50:00"/>
    <d v="2026-03-09T18:17:00"/>
    <d v="2026-03-09T18:20:00"/>
    <d v="2026-03-09T18:30:00"/>
    <n v="1.08"/>
    <d v="2026-03-09T18:40:00"/>
    <d v="1899-12-30T01:05:00"/>
    <n v="1"/>
    <n v="5"/>
    <n v="65"/>
  </r>
  <r>
    <n v="971"/>
    <x v="1"/>
    <n v="1"/>
    <s v="SALA CIRURGICA 02"/>
    <d v="2026-03-10T07:00:00"/>
    <d v="2026-03-10T07:30:00"/>
    <d v="2026-03-10T08:00:00"/>
    <d v="2026-03-10T11:15:00"/>
    <d v="2026-03-10T11:25:00"/>
    <d v="2026-03-10T11:40:00"/>
    <n v="4.67"/>
    <d v="2026-03-10T11:41:00"/>
    <d v="1899-12-30T04:40:00"/>
    <n v="4"/>
    <n v="40"/>
    <n v="280"/>
  </r>
  <r>
    <n v="972"/>
    <x v="2"/>
    <n v="1"/>
    <s v="SALA CIRURGICA 01"/>
    <d v="2026-03-09T19:50:00"/>
    <d v="2026-03-09T20:00:00"/>
    <d v="2026-03-09T20:10:00"/>
    <d v="2026-03-09T20:52:00"/>
    <d v="2026-03-09T21:02:00"/>
    <d v="2026-03-09T21:15:00"/>
    <n v="1.42"/>
    <d v="2026-03-09T21:25:00"/>
    <d v="1899-12-30T01:25:00"/>
    <n v="1"/>
    <n v="25"/>
    <n v="85"/>
  </r>
  <r>
    <n v="973"/>
    <x v="0"/>
    <n v="1"/>
    <s v="SALA CIRURGICA 01"/>
    <d v="2026-03-10T10:00:00"/>
    <d v="2026-03-10T10:05:00"/>
    <d v="2026-03-10T10:15:00"/>
    <d v="2026-03-10T10:25:00"/>
    <d v="2026-03-10T10:26:00"/>
    <d v="2026-03-10T10:30:00"/>
    <n v="0.5"/>
    <d v="2026-03-10T10:50:00"/>
    <d v="1899-12-30T00:30:00"/>
    <n v="0"/>
    <n v="30"/>
    <n v="30"/>
  </r>
  <r>
    <n v="974"/>
    <x v="0"/>
    <n v="1"/>
    <s v="SALA CIRURGICA 01"/>
    <d v="2026-03-10T08:20:00"/>
    <d v="2026-03-10T08:30:00"/>
    <d v="2026-03-10T09:00:00"/>
    <d v="2026-03-10T09:48:00"/>
    <d v="2026-03-10T09:58:00"/>
    <d v="2026-03-10T09:59:00"/>
    <n v="1.65"/>
    <d v="2026-03-10T10:09:00"/>
    <d v="1899-12-30T01:39:00"/>
    <n v="1"/>
    <n v="39"/>
    <n v="99"/>
  </r>
  <r>
    <n v="975"/>
    <x v="2"/>
    <n v="1"/>
    <s v="SALA CIRURGICA 01"/>
    <d v="2026-03-10T13:30:00"/>
    <d v="2026-03-10T13:35:00"/>
    <d v="2026-03-10T14:15:00"/>
    <d v="2026-03-10T15:30:00"/>
    <d v="2026-03-10T15:40:00"/>
    <d v="2026-03-10T15:50:00"/>
    <n v="2.33"/>
    <d v="2026-03-10T16:00:00"/>
    <d v="1899-12-30T02:20:00"/>
    <n v="2"/>
    <n v="20"/>
    <n v="140"/>
  </r>
  <r>
    <n v="976"/>
    <x v="1"/>
    <n v="1"/>
    <s v="SALA CIRURGICA 01"/>
    <d v="2026-03-10T12:15:00"/>
    <d v="2026-03-10T12:50:00"/>
    <d v="2026-03-10T13:41:00"/>
    <d v="2026-03-10T14:20:00"/>
    <d v="2026-03-10T14:30:00"/>
    <d v="2026-03-10T15:00:00"/>
    <n v="2.75"/>
    <d v="2026-03-10T15:10:00"/>
    <d v="1899-12-30T02:45:00"/>
    <n v="2"/>
    <n v="45"/>
    <n v="165"/>
  </r>
  <r>
    <n v="977"/>
    <x v="1"/>
    <n v="1"/>
    <s v="SALA CIRURGICA 01"/>
    <d v="2026-03-11T08:15:00"/>
    <d v="2026-03-11T08:20:00"/>
    <d v="2026-03-11T08:40:00"/>
    <d v="2026-03-11T12:30:00"/>
    <d v="2026-03-11T12:40:00"/>
    <d v="2026-03-11T13:00:00"/>
    <n v="4.75"/>
    <d v="2026-03-11T13:10:00"/>
    <d v="1899-12-30T04:45:00"/>
    <n v="4"/>
    <n v="45"/>
    <n v="285"/>
  </r>
  <r>
    <n v="978"/>
    <x v="2"/>
    <n v="1"/>
    <s v="SALA CIRURGICA 06"/>
    <d v="2026-03-11T07:00:00"/>
    <d v="2026-03-11T07:45:00"/>
    <d v="2026-03-11T08:20:00"/>
    <d v="2026-03-11T12:20:00"/>
    <d v="2026-03-11T12:30:00"/>
    <d v="2026-03-11T12:50:00"/>
    <n v="5.83"/>
    <d v="2026-03-11T13:00:00"/>
    <d v="1899-12-30T05:50:00"/>
    <n v="5"/>
    <n v="50"/>
    <n v="350"/>
  </r>
  <r>
    <n v="979"/>
    <x v="1"/>
    <n v="1"/>
    <s v="SALA CIRURGICA 06"/>
    <d v="2026-03-11T14:50:00"/>
    <d v="2026-03-11T15:08:00"/>
    <d v="2026-03-11T15:30:00"/>
    <d v="2026-03-11T19:40:00"/>
    <d v="2026-03-11T19:50:00"/>
    <d v="2026-03-11T20:45:00"/>
    <n v="5.92"/>
    <d v="2026-03-11T20:50:00"/>
    <d v="1899-12-30T05:55:00"/>
    <n v="5"/>
    <n v="55"/>
    <n v="355"/>
  </r>
  <r>
    <n v="980"/>
    <x v="1"/>
    <n v="1"/>
    <s v="SALA CIRURGICA 04"/>
    <d v="2026-03-11T13:30:00"/>
    <d v="2026-03-11T14:05:00"/>
    <d v="2026-03-11T15:10:00"/>
    <d v="2026-03-11T17:50:00"/>
    <d v="2026-03-11T18:10:00"/>
    <d v="2026-03-11T18:15:00"/>
    <n v="4.75"/>
    <d v="2026-03-11T18:25:00"/>
    <d v="1899-12-30T04:45:00"/>
    <n v="4"/>
    <n v="45"/>
    <n v="285"/>
  </r>
  <r>
    <n v="981"/>
    <x v="1"/>
    <n v="1"/>
    <s v="SALA CIRURGICA 05"/>
    <d v="2026-03-11T07:50:00"/>
    <d v="2026-03-11T08:15:00"/>
    <d v="2026-03-11T08:50:00"/>
    <d v="2026-03-11T11:10:00"/>
    <d v="2026-03-11T11:20:00"/>
    <d v="2026-03-11T11:40:00"/>
    <n v="3.83"/>
    <d v="2026-03-11T11:50:00"/>
    <d v="1899-12-30T03:50:00"/>
    <n v="3"/>
    <n v="50"/>
    <n v="230"/>
  </r>
  <r>
    <n v="982"/>
    <x v="1"/>
    <n v="1"/>
    <s v="SALA CIRURGICA 06"/>
    <d v="2026-03-11T07:00:00"/>
    <d v="2026-03-11T07:20:00"/>
    <d v="2026-03-11T08:35:00"/>
    <d v="2026-03-11T10:25:00"/>
    <d v="2026-03-11T10:50:00"/>
    <d v="2026-03-11T10:55:00"/>
    <n v="3.92"/>
    <d v="2026-03-11T10:56:00"/>
    <d v="1899-12-30T03:55:00"/>
    <n v="3"/>
    <n v="55"/>
    <n v="235"/>
  </r>
  <r>
    <n v="983"/>
    <x v="2"/>
    <n v="1"/>
    <s v="SALA CIRURGICA 02"/>
    <d v="2026-03-11T11:35:00"/>
    <d v="2026-03-11T11:45:00"/>
    <d v="2026-03-11T12:30:00"/>
    <d v="2026-03-11T14:20:00"/>
    <d v="2026-03-11T17:00:00"/>
    <d v="2026-03-11T17:50:00"/>
    <n v="6.25"/>
    <d v="2026-03-11T17:52:00"/>
    <d v="1899-12-30T06:15:00"/>
    <n v="6"/>
    <n v="15"/>
    <n v="375"/>
  </r>
  <r>
    <n v="984"/>
    <x v="2"/>
    <n v="1"/>
    <s v="SALA CIRURGICA 02"/>
    <d v="2026-03-10T15:15:00"/>
    <d v="2026-03-10T15:25:00"/>
    <d v="2026-03-10T16:00:00"/>
    <d v="2026-03-10T18:02:00"/>
    <d v="2026-03-10T18:05:00"/>
    <d v="2026-03-10T18:06:00"/>
    <n v="2.85"/>
    <d v="2026-03-10T18:07:00"/>
    <d v="1899-12-30T02:51:00"/>
    <n v="2"/>
    <n v="51"/>
    <n v="171"/>
  </r>
  <r>
    <n v="985"/>
    <x v="0"/>
    <n v="1"/>
    <s v="SALA CIRURGICA 02"/>
    <d v="2026-03-11T07:00:00"/>
    <d v="2026-03-11T07:45:00"/>
    <d v="2026-03-11T08:00:00"/>
    <d v="2026-03-11T09:30:00"/>
    <d v="2026-03-11T09:40:00"/>
    <d v="2026-03-11T10:40:00"/>
    <n v="3.67"/>
    <d v="2026-03-11T10:41:00"/>
    <d v="1899-12-30T03:40:00"/>
    <n v="3"/>
    <n v="40"/>
    <n v="220"/>
  </r>
  <r>
    <n v="986"/>
    <x v="1"/>
    <n v="1"/>
    <s v="SALA CIRURGICA 04"/>
    <d v="2026-03-11T16:10:00"/>
    <d v="2026-03-11T16:30:00"/>
    <d v="2026-03-11T16:50:00"/>
    <d v="2026-03-11T17:56:00"/>
    <d v="2026-03-11T18:06:00"/>
    <d v="2026-03-11T18:39:00"/>
    <n v="2.48"/>
    <d v="2026-03-11T18:42:00"/>
    <d v="1899-12-30T02:29:00"/>
    <n v="2"/>
    <n v="29"/>
    <n v="149"/>
  </r>
  <r>
    <n v="987"/>
    <x v="2"/>
    <n v="1"/>
    <s v="SALA CIRURGICA 05"/>
    <d v="2026-03-11T10:15:00"/>
    <d v="2026-03-11T11:05:00"/>
    <d v="2026-03-11T11:40:00"/>
    <d v="2026-03-11T12:20:00"/>
    <d v="2026-03-11T12:30:00"/>
    <d v="2026-03-11T12:45:00"/>
    <n v="2.5"/>
    <d v="2026-03-11T12:46:00"/>
    <d v="1899-12-30T02:30:00"/>
    <n v="2"/>
    <n v="30"/>
    <n v="150"/>
  </r>
  <r>
    <n v="988"/>
    <x v="2"/>
    <n v="1"/>
    <s v="SALA CIRURGICA 01"/>
    <d v="2026-03-12T07:00:00"/>
    <d v="2026-03-12T07:10:00"/>
    <d v="2026-03-12T07:20:00"/>
    <d v="2026-03-12T07:59:00"/>
    <d v="2026-03-12T08:09:00"/>
    <d v="2026-03-12T08:12:00"/>
    <n v="1.2"/>
    <d v="2026-03-12T08:22:00"/>
    <d v="1899-12-30T01:12:00"/>
    <n v="1"/>
    <n v="12"/>
    <n v="72"/>
  </r>
  <r>
    <n v="989"/>
    <x v="2"/>
    <n v="1"/>
    <s v="SALA CIRURGICA 04"/>
    <d v="2026-03-10T20:35:00"/>
    <d v="2026-03-10T20:45:00"/>
    <d v="2026-03-10T21:00:00"/>
    <d v="2026-03-10T21:30:00"/>
    <d v="2026-03-10T21:40:00"/>
    <d v="2026-03-10T22:00:00"/>
    <n v="1.42"/>
    <d v="2026-03-10T22:10:00"/>
    <d v="1899-12-30T01:25:00"/>
    <n v="1"/>
    <n v="25"/>
    <n v="85"/>
  </r>
  <r>
    <n v="990"/>
    <x v="0"/>
    <n v="1"/>
    <s v="SALA CIRURGICA 02"/>
    <d v="2026-03-11T02:05:00"/>
    <d v="2026-03-11T02:10:00"/>
    <d v="2026-03-11T02:15:00"/>
    <d v="2026-03-11T03:30:00"/>
    <d v="2026-03-11T03:40:00"/>
    <d v="2026-03-11T03:45:00"/>
    <n v="1.67"/>
    <d v="2026-03-11T03:46:00"/>
    <d v="1899-12-30T01:40:00"/>
    <n v="1"/>
    <n v="40"/>
    <n v="100"/>
  </r>
  <r>
    <n v="991"/>
    <x v="0"/>
    <n v="1"/>
    <s v="SALA CIRURGICA 01"/>
    <d v="2026-03-11T14:22:00"/>
    <d v="2026-03-11T14:53:00"/>
    <d v="2026-03-11T14:55:00"/>
    <d v="2026-03-11T15:10:00"/>
    <d v="2026-03-11T15:11:00"/>
    <d v="2026-03-11T15:35:00"/>
    <n v="1.22"/>
    <d v="2026-03-11T15:36:00"/>
    <d v="1899-12-30T01:13:00"/>
    <n v="1"/>
    <n v="13"/>
    <n v="73"/>
  </r>
  <r>
    <n v="992"/>
    <x v="1"/>
    <n v="1"/>
    <s v="SALA CIRURGICA 05"/>
    <d v="2026-03-11T13:58:00"/>
    <d v="2026-03-11T14:00:00"/>
    <d v="2026-03-11T14:15:00"/>
    <d v="2026-03-11T15:30:00"/>
    <d v="2026-03-11T15:40:00"/>
    <d v="2026-03-11T15:50:00"/>
    <n v="1.87"/>
    <d v="2026-03-11T15:52:00"/>
    <d v="1899-12-30T01:52:00"/>
    <n v="1"/>
    <n v="52"/>
    <n v="112"/>
  </r>
  <r>
    <n v="993"/>
    <x v="1"/>
    <n v="1"/>
    <s v="SALA CIRURGICA 01"/>
    <d v="2026-03-11T16:37:00"/>
    <d v="2026-03-11T16:45:00"/>
    <d v="2026-03-11T17:30:00"/>
    <d v="2026-03-11T18:35:00"/>
    <d v="2026-03-11T18:55:00"/>
    <d v="2026-03-11T20:00:00"/>
    <n v="3.38"/>
    <d v="2026-03-11T20:10:00"/>
    <d v="1899-12-30T03:23:00"/>
    <n v="3"/>
    <n v="23"/>
    <n v="203"/>
  </r>
  <r>
    <n v="994"/>
    <x v="0"/>
    <n v="1"/>
    <s v="SALA CIRURGICA 06"/>
    <d v="2026-03-12T14:15:00"/>
    <d v="2026-03-12T14:25:00"/>
    <d v="2026-03-12T15:00:00"/>
    <d v="2026-03-12T17:10:00"/>
    <d v="2026-03-12T17:11:00"/>
    <d v="2026-03-12T17:12:00"/>
    <n v="2.95"/>
    <d v="2026-03-12T17:13:00"/>
    <d v="1899-12-30T02:57:00"/>
    <n v="2"/>
    <n v="57"/>
    <n v="177"/>
  </r>
  <r>
    <n v="995"/>
    <x v="0"/>
    <n v="1"/>
    <s v="SALA CIRURGICA 04"/>
    <d v="2026-03-12T07:00:00"/>
    <d v="2026-03-12T07:30:00"/>
    <d v="2026-03-12T08:00:00"/>
    <d v="2026-03-12T09:20:00"/>
    <d v="2026-03-12T09:30:00"/>
    <d v="2026-03-12T09:35:00"/>
    <n v="2.58"/>
    <d v="2026-03-12T09:45:00"/>
    <d v="1899-12-30T02:35:00"/>
    <n v="2"/>
    <n v="35"/>
    <n v="155"/>
  </r>
  <r>
    <n v="996"/>
    <x v="1"/>
    <n v="1"/>
    <s v="SALA CIRURGICA 02"/>
    <d v="2026-03-12T07:00:00"/>
    <d v="2026-03-12T07:30:00"/>
    <d v="2026-03-12T07:50:00"/>
    <d v="2026-03-12T10:15:00"/>
    <d v="2026-03-12T10:25:00"/>
    <d v="2026-03-12T10:35:00"/>
    <n v="3.58"/>
    <d v="2026-03-12T10:36:00"/>
    <d v="1899-12-30T03:35:00"/>
    <n v="3"/>
    <n v="35"/>
    <n v="215"/>
  </r>
  <r>
    <n v="997"/>
    <x v="0"/>
    <n v="1"/>
    <s v="SALA CIRURGICA 06"/>
    <d v="2026-03-12T18:25:00"/>
    <d v="2026-03-12T18:32:00"/>
    <d v="2026-03-12T18:40:00"/>
    <d v="2026-03-12T19:00:00"/>
    <d v="2026-03-12T19:05:00"/>
    <d v="2026-03-12T19:20:00"/>
    <n v="0.92"/>
    <d v="2026-03-12T19:25:00"/>
    <d v="1899-12-30T00:55:00"/>
    <n v="0"/>
    <n v="55"/>
    <n v="55"/>
  </r>
  <r>
    <n v="998"/>
    <x v="1"/>
    <n v="1"/>
    <s v="SALA CIRURGICA 01"/>
    <d v="2026-03-12T15:40:00"/>
    <d v="2026-03-12T15:50:00"/>
    <d v="2026-03-12T17:00:00"/>
    <d v="2026-03-12T17:45:00"/>
    <d v="2026-03-12T18:10:00"/>
    <d v="2026-03-12T18:30:00"/>
    <n v="2.83"/>
    <d v="2026-03-12T18:40:00"/>
    <d v="1899-12-30T02:50:00"/>
    <n v="2"/>
    <n v="50"/>
    <n v="170"/>
  </r>
  <r>
    <n v="999"/>
    <x v="2"/>
    <n v="1"/>
    <s v="SALA CIRURGICA 05"/>
    <d v="2026-03-12T11:25:00"/>
    <d v="2026-03-12T12:20:00"/>
    <d v="2026-03-12T12:35:00"/>
    <d v="2026-03-12T13:28:00"/>
    <d v="2026-03-12T13:30:00"/>
    <d v="2026-03-12T13:35:00"/>
    <n v="2.17"/>
    <d v="2026-03-12T13:45:00"/>
    <d v="1899-12-30T02:10:00"/>
    <n v="2"/>
    <n v="10"/>
    <n v="130"/>
  </r>
  <r>
    <n v="1000"/>
    <x v="1"/>
    <n v="1"/>
    <s v="SALA CIRURGICA 03"/>
    <d v="2026-03-12T07:00:00"/>
    <d v="2026-03-12T07:35:00"/>
    <d v="2026-03-12T07:50:00"/>
    <d v="2026-03-12T10:00:00"/>
    <d v="2026-03-12T10:10:00"/>
    <d v="2026-03-12T10:15:00"/>
    <n v="3.25"/>
    <d v="2026-03-12T10:25:00"/>
    <d v="1899-12-30T03:15:00"/>
    <n v="3"/>
    <n v="15"/>
    <n v="195"/>
  </r>
  <r>
    <n v="1001"/>
    <x v="1"/>
    <n v="1"/>
    <s v="SALA CIRURGICA 01"/>
    <d v="2026-03-11T20:40:00"/>
    <d v="2026-03-11T20:50:00"/>
    <d v="2026-03-11T21:15:00"/>
    <d v="2026-03-11T23:50:00"/>
    <d v="2026-03-12T00:00:00"/>
    <d v="2026-03-12T00:10:00"/>
    <n v="3.5"/>
    <d v="2026-03-12T00:20:00"/>
    <d v="1899-12-30T03:30:00"/>
    <n v="3"/>
    <n v="30"/>
    <n v="210"/>
  </r>
  <r>
    <n v="1002"/>
    <x v="2"/>
    <n v="1"/>
    <s v="SALA CIRURGICA 01"/>
    <d v="2026-03-12T10:50:00"/>
    <d v="2026-03-12T11:10:00"/>
    <d v="2026-03-12T11:35:00"/>
    <d v="2026-03-12T12:45:00"/>
    <d v="2026-03-12T12:55:00"/>
    <d v="2026-03-12T13:00:00"/>
    <n v="2.17"/>
    <d v="2026-03-12T13:01:00"/>
    <d v="1899-12-30T02:10:00"/>
    <n v="2"/>
    <n v="10"/>
    <n v="130"/>
  </r>
  <r>
    <n v="1003"/>
    <x v="2"/>
    <n v="1"/>
    <s v="SALA CIRURGICA 01"/>
    <d v="2026-03-11T19:35:00"/>
    <d v="2026-03-11T19:55:00"/>
    <d v="2026-03-11T20:15:00"/>
    <d v="2026-03-11T22:10:00"/>
    <d v="2026-03-11T22:15:00"/>
    <d v="2026-03-11T22:20:00"/>
    <n v="2.75"/>
    <d v="2026-03-11T22:30:00"/>
    <d v="1899-12-30T02:45:00"/>
    <n v="2"/>
    <n v="45"/>
    <n v="165"/>
  </r>
  <r>
    <n v="1004"/>
    <x v="0"/>
    <n v="1"/>
    <s v="SALA CIRURGICA 01"/>
    <d v="2026-03-11T21:05:00"/>
    <d v="2026-03-11T21:10:00"/>
    <d v="2026-03-11T22:00:00"/>
    <d v="2026-03-11T22:30:00"/>
    <d v="2026-03-11T22:40:00"/>
    <d v="2026-03-11T22:41:00"/>
    <n v="1.6"/>
    <d v="2026-03-11T22:51:00"/>
    <d v="1899-12-30T01:36:00"/>
    <n v="1"/>
    <n v="36"/>
    <n v="96"/>
  </r>
  <r>
    <n v="1005"/>
    <x v="0"/>
    <n v="1"/>
    <s v="SALA CIRURGICA 01"/>
    <d v="2026-03-11T22:30:00"/>
    <d v="2026-03-11T22:45:00"/>
    <d v="2026-03-11T23:00:00"/>
    <d v="2026-03-12T00:30:00"/>
    <d v="2026-03-12T00:40:00"/>
    <d v="2026-03-12T14:30:00"/>
    <n v="16"/>
    <d v="2026-03-12T14:40:00"/>
    <d v="1899-12-30T16:00:00"/>
    <n v="16"/>
    <n v="0"/>
    <n v="960"/>
  </r>
  <r>
    <n v="1006"/>
    <x v="2"/>
    <n v="1"/>
    <s v="SALA CIRURGICA 01"/>
    <d v="2026-03-11T22:30:00"/>
    <d v="2026-03-11T22:45:00"/>
    <d v="2026-03-11T23:00:00"/>
    <d v="2026-03-12T00:30:00"/>
    <d v="2026-03-12T00:40:00"/>
    <d v="2026-03-12T14:30:00"/>
    <n v="16"/>
    <d v="2026-03-12T14:40:00"/>
    <d v="1899-12-30T16:00:00"/>
    <n v="16"/>
    <n v="0"/>
    <n v="960"/>
  </r>
  <r>
    <n v="1007"/>
    <x v="2"/>
    <n v="1"/>
    <s v="SALA CIRURGICA 01"/>
    <d v="2026-03-12T08:40:00"/>
    <d v="2026-03-12T09:10:00"/>
    <d v="2026-03-12T09:25:00"/>
    <d v="2026-03-12T10:00:00"/>
    <d v="2026-03-12T10:01:00"/>
    <d v="2026-03-12T10:02:00"/>
    <n v="1.37"/>
    <d v="2026-03-12T10:12:00"/>
    <d v="1899-12-30T01:22:00"/>
    <n v="1"/>
    <n v="22"/>
    <n v="82"/>
  </r>
  <r>
    <n v="1008"/>
    <x v="1"/>
    <n v="1"/>
    <s v="SALA CIRURGICA 05"/>
    <d v="2026-03-12T15:30:00"/>
    <d v="2026-03-12T15:45:00"/>
    <d v="2026-03-12T15:50:00"/>
    <d v="2026-03-12T16:20:00"/>
    <d v="2026-03-12T16:25:00"/>
    <d v="2026-03-12T16:30:00"/>
    <n v="1"/>
    <d v="2026-03-12T16:31:00"/>
    <d v="1899-12-30T01:00:00"/>
    <n v="1"/>
    <n v="0"/>
    <n v="60"/>
  </r>
  <r>
    <n v="1009"/>
    <x v="0"/>
    <n v="1"/>
    <s v="SALA CIRURGICA 02"/>
    <d v="2026-03-12T16:15:00"/>
    <d v="2026-03-12T16:35:00"/>
    <d v="2026-03-12T17:10:00"/>
    <d v="2026-03-12T18:15:00"/>
    <d v="2026-03-12T18:25:00"/>
    <d v="2026-03-12T18:30:00"/>
    <n v="2.25"/>
    <d v="2026-03-12T18:40:00"/>
    <d v="1899-12-30T02:15:00"/>
    <n v="2"/>
    <n v="15"/>
    <n v="135"/>
  </r>
  <r>
    <n v="1010"/>
    <x v="1"/>
    <n v="1"/>
    <s v="SALA CIRURGICA 02"/>
    <d v="2026-03-12T12:35:00"/>
    <d v="2026-03-12T12:55:00"/>
    <d v="2026-03-12T13:15:00"/>
    <d v="2026-03-12T14:45:00"/>
    <d v="2026-03-12T15:10:00"/>
    <d v="2026-03-12T15:35:00"/>
    <n v="3"/>
    <d v="2026-03-12T15:36:00"/>
    <d v="1899-12-30T03:00:00"/>
    <n v="3"/>
    <n v="0"/>
    <n v="180"/>
  </r>
  <r>
    <n v="1011"/>
    <x v="2"/>
    <n v="1"/>
    <s v="SALA CIRURGICA 01"/>
    <d v="2026-03-12T10:05:00"/>
    <d v="2026-03-12T10:15:00"/>
    <d v="2026-03-12T10:45:00"/>
    <d v="2026-03-12T11:19:00"/>
    <d v="2026-03-12T11:29:00"/>
    <d v="2026-03-12T11:35:00"/>
    <n v="1.5"/>
    <d v="2026-03-12T11:45:00"/>
    <d v="1899-12-30T01:30:00"/>
    <n v="1"/>
    <n v="30"/>
    <n v="90"/>
  </r>
  <r>
    <n v="1012"/>
    <x v="0"/>
    <n v="1"/>
    <s v="SALA CIRURGICA 03"/>
    <d v="2026-03-12T10:50:00"/>
    <d v="2026-03-12T11:00:00"/>
    <d v="2026-03-12T11:25:00"/>
    <d v="2026-03-12T12:15:00"/>
    <d v="2026-03-12T12:25:00"/>
    <d v="2026-03-12T12:45:00"/>
    <n v="1.92"/>
    <d v="2026-03-12T12:55:00"/>
    <d v="1899-12-30T01:55:00"/>
    <n v="1"/>
    <n v="55"/>
    <n v="115"/>
  </r>
  <r>
    <n v="1013"/>
    <x v="0"/>
    <n v="1"/>
    <s v="SALA CIRURGICA 05"/>
    <d v="2026-03-12T18:00:00"/>
    <d v="2026-03-12T18:20:00"/>
    <d v="2026-03-12T18:45:00"/>
    <d v="2026-03-12T18:55:00"/>
    <d v="2026-03-12T19:00:00"/>
    <d v="2026-03-12T19:05:00"/>
    <n v="1.08"/>
    <d v="2026-03-12T19:06:00"/>
    <d v="1899-12-30T01:05:00"/>
    <n v="1"/>
    <n v="5"/>
    <n v="65"/>
  </r>
  <r>
    <n v="1014"/>
    <x v="0"/>
    <n v="1"/>
    <s v="SALA CIRURGICA 02"/>
    <d v="2026-03-12T14:10:00"/>
    <d v="2026-03-12T14:30:00"/>
    <d v="2026-03-12T15:40:00"/>
    <d v="2026-03-12T18:45:00"/>
    <d v="2026-03-12T19:10:00"/>
    <d v="2026-03-12T20:00:00"/>
    <n v="5.83"/>
    <d v="2026-03-12T20:01:00"/>
    <d v="1899-12-30T05:50:00"/>
    <n v="5"/>
    <n v="50"/>
    <n v="350"/>
  </r>
  <r>
    <n v="1015"/>
    <x v="1"/>
    <n v="1"/>
    <s v="SALA CIRURGICA 02"/>
    <d v="2026-03-13T13:45:00"/>
    <d v="2026-03-13T14:10:00"/>
    <d v="2026-03-13T14:35:00"/>
    <d v="2026-03-13T15:40:00"/>
    <d v="2026-03-13T16:00:00"/>
    <d v="2026-03-13T16:05:00"/>
    <n v="2.33"/>
    <d v="2026-03-13T16:07:00"/>
    <d v="1899-12-30T02:20:00"/>
    <n v="2"/>
    <n v="20"/>
    <n v="140"/>
  </r>
  <r>
    <n v="1016"/>
    <x v="2"/>
    <n v="1"/>
    <s v="SALA CIRURGICA 06"/>
    <d v="2026-03-13T07:50:00"/>
    <d v="2026-03-13T08:05:00"/>
    <d v="2026-03-13T08:35:00"/>
    <d v="2026-03-13T10:12:00"/>
    <d v="2026-03-13T10:15:00"/>
    <d v="2026-03-13T10:18:00"/>
    <n v="2.4700000000000002"/>
    <d v="2026-03-13T10:20:00"/>
    <d v="1899-12-30T02:28:00"/>
    <n v="2"/>
    <n v="28"/>
    <n v="148"/>
  </r>
  <r>
    <n v="1017"/>
    <x v="2"/>
    <n v="1"/>
    <s v="SALA CIRURGICA 05"/>
    <d v="2026-03-13T08:00:00"/>
    <d v="2026-03-13T08:15:00"/>
    <d v="2026-03-13T08:45:00"/>
    <d v="2026-03-13T10:15:00"/>
    <d v="2026-03-13T10:25:00"/>
    <d v="2026-03-13T10:40:00"/>
    <n v="2.67"/>
    <d v="2026-03-13T10:50:00"/>
    <d v="1899-12-30T02:40:00"/>
    <n v="2"/>
    <n v="40"/>
    <n v="160"/>
  </r>
  <r>
    <n v="1018"/>
    <x v="2"/>
    <n v="1"/>
    <s v="SALA CIRURGICA 01"/>
    <d v="2026-03-13T11:40:00"/>
    <d v="2026-03-13T12:21:00"/>
    <d v="2026-03-13T14:03:00"/>
    <d v="2026-03-13T17:47:00"/>
    <d v="2026-03-13T19:00:00"/>
    <d v="2026-03-13T21:00:00"/>
    <n v="9.33"/>
    <d v="2026-03-13T21:10:00"/>
    <d v="1899-12-30T09:20:00"/>
    <n v="9"/>
    <n v="20"/>
    <n v="560"/>
  </r>
  <r>
    <n v="1019"/>
    <x v="1"/>
    <n v="1"/>
    <s v="SALA CIRURGICA 02"/>
    <d v="2026-03-13T07:00:00"/>
    <d v="2026-03-13T07:20:00"/>
    <d v="2026-03-13T08:15:00"/>
    <d v="2026-03-13T10:45:00"/>
    <d v="2026-03-13T11:05:00"/>
    <d v="2026-03-13T11:30:00"/>
    <n v="4.5"/>
    <d v="2026-03-13T11:32:00"/>
    <d v="1899-12-30T04:30:00"/>
    <n v="4"/>
    <n v="30"/>
    <n v="270"/>
  </r>
  <r>
    <n v="1020"/>
    <x v="1"/>
    <n v="1"/>
    <s v="SALA CIRURGICA 03"/>
    <d v="2026-03-13T07:05:00"/>
    <d v="2026-03-13T07:50:00"/>
    <d v="2026-03-13T08:10:00"/>
    <d v="2026-03-13T11:40:00"/>
    <d v="2026-03-13T11:50:00"/>
    <d v="2026-03-13T12:00:00"/>
    <n v="4.92"/>
    <d v="2026-03-13T12:10:00"/>
    <d v="1899-12-30T04:55:00"/>
    <n v="4"/>
    <n v="55"/>
    <n v="295"/>
  </r>
  <r>
    <n v="1021"/>
    <x v="1"/>
    <n v="1"/>
    <s v="SALA CIRURGICA 05"/>
    <d v="2026-03-13T11:40:00"/>
    <d v="2026-03-13T12:00:00"/>
    <d v="2026-03-13T12:40:00"/>
    <d v="2026-03-13T17:10:00"/>
    <d v="2026-03-13T17:20:00"/>
    <d v="2026-03-13T18:30:00"/>
    <n v="6.83"/>
    <d v="2026-03-13T18:32:00"/>
    <d v="1899-12-30T06:50:00"/>
    <n v="6"/>
    <n v="50"/>
    <n v="410"/>
  </r>
  <r>
    <n v="1022"/>
    <x v="1"/>
    <n v="1"/>
    <s v="SALA CIRURGICA 06"/>
    <d v="2026-03-13T08:35:00"/>
    <d v="2026-03-13T08:40:00"/>
    <d v="2026-03-13T08:50:00"/>
    <d v="2026-03-13T10:30:00"/>
    <d v="2026-03-13T10:36:00"/>
    <d v="2026-03-13T10:55:00"/>
    <n v="2.33"/>
    <d v="2026-03-13T10:56:00"/>
    <d v="1899-12-30T02:20:00"/>
    <n v="2"/>
    <n v="20"/>
    <n v="140"/>
  </r>
  <r>
    <n v="1023"/>
    <x v="1"/>
    <n v="1"/>
    <s v="SALA CIRURGICA 01"/>
    <d v="2026-03-13T15:05:00"/>
    <d v="2026-03-13T15:06:00"/>
    <d v="2026-03-13T15:45:00"/>
    <d v="2026-03-13T17:05:00"/>
    <d v="2026-03-13T18:15:00"/>
    <d v="2026-03-13T18:20:00"/>
    <n v="3.25"/>
    <d v="2026-03-13T18:21:00"/>
    <d v="1899-12-30T03:15:00"/>
    <n v="3"/>
    <n v="15"/>
    <n v="195"/>
  </r>
  <r>
    <n v="1024"/>
    <x v="2"/>
    <n v="1"/>
    <s v="SALA CIRURGICA 02"/>
    <d v="2026-03-14T08:28:00"/>
    <d v="2026-03-14T08:30:00"/>
    <d v="2026-03-14T09:00:00"/>
    <d v="2026-03-14T10:25:00"/>
    <d v="2026-03-14T10:40:00"/>
    <d v="2026-03-14T10:49:00"/>
    <n v="2.35"/>
    <d v="2026-03-14T10:50:00"/>
    <d v="1899-12-30T02:21:00"/>
    <n v="2"/>
    <n v="21"/>
    <n v="141"/>
  </r>
  <r>
    <n v="1025"/>
    <x v="1"/>
    <n v="1"/>
    <s v="SALA CIRURGICA 01"/>
    <d v="2026-03-13T21:20:00"/>
    <d v="2026-03-13T21:30:00"/>
    <d v="2026-03-13T21:50:00"/>
    <d v="2026-03-13T22:30:00"/>
    <d v="2026-03-13T22:40:00"/>
    <d v="2026-03-13T22:45:00"/>
    <n v="1.42"/>
    <d v="2026-03-13T22:55:00"/>
    <d v="1899-12-30T01:25:00"/>
    <n v="1"/>
    <n v="25"/>
    <n v="85"/>
  </r>
  <r>
    <n v="1026"/>
    <x v="2"/>
    <n v="1"/>
    <s v="SALA CIRURGICA 01"/>
    <d v="2026-03-13T13:23:00"/>
    <d v="2026-03-13T13:30:00"/>
    <d v="2026-03-13T13:50:00"/>
    <d v="2026-03-13T16:08:00"/>
    <d v="2026-03-13T16:20:00"/>
    <d v="2026-03-13T16:55:00"/>
    <n v="3.53"/>
    <d v="2026-03-13T17:00:00"/>
    <d v="1899-12-30T03:32:00"/>
    <n v="3"/>
    <n v="32"/>
    <n v="212"/>
  </r>
  <r>
    <n v="1027"/>
    <x v="0"/>
    <n v="1"/>
    <s v="SALA CIRURGICA 02"/>
    <d v="2026-03-16T07:05:00"/>
    <d v="2026-03-16T07:40:00"/>
    <d v="2026-03-16T08:15:00"/>
    <d v="2026-03-16T10:15:00"/>
    <d v="2026-03-16T10:25:00"/>
    <d v="2026-03-16T10:30:00"/>
    <n v="3.42"/>
    <d v="2026-03-16T10:40:00"/>
    <d v="1899-12-30T03:25:00"/>
    <n v="3"/>
    <n v="25"/>
    <n v="205"/>
  </r>
  <r>
    <n v="1028"/>
    <x v="2"/>
    <n v="1"/>
    <s v="SALA CIRURGICA 04"/>
    <d v="2026-03-16T11:45:00"/>
    <d v="2026-03-16T12:00:00"/>
    <d v="2026-03-16T12:20:00"/>
    <d v="2026-03-16T12:55:00"/>
    <d v="2026-03-16T13:05:00"/>
    <d v="2026-03-16T13:15:00"/>
    <n v="1.5"/>
    <d v="2026-03-16T13:25:00"/>
    <d v="1899-12-30T01:30:00"/>
    <n v="1"/>
    <n v="30"/>
    <n v="90"/>
  </r>
  <r>
    <n v="1029"/>
    <x v="2"/>
    <n v="1"/>
    <s v="SALA CIRURGICA 06"/>
    <d v="2026-03-16T14:35:00"/>
    <d v="2026-03-16T14:50:00"/>
    <d v="2026-03-16T15:30:00"/>
    <d v="2026-03-16T19:10:00"/>
    <d v="2026-03-16T19:20:00"/>
    <d v="2026-03-16T19:29:00"/>
    <n v="4.9000000000000004"/>
    <d v="2026-03-16T19:39:00"/>
    <d v="1899-12-30T04:54:00"/>
    <n v="4"/>
    <n v="54"/>
    <n v="294"/>
  </r>
  <r>
    <n v="1030"/>
    <x v="2"/>
    <n v="1"/>
    <s v="SALA CIRURGICA 02"/>
    <d v="2026-03-16T11:10:00"/>
    <d v="2026-03-16T11:20:00"/>
    <d v="2026-03-16T11:50:00"/>
    <d v="2026-03-16T12:45:00"/>
    <d v="2026-03-16T12:50:00"/>
    <d v="2026-03-16T13:10:00"/>
    <n v="2"/>
    <d v="2026-03-16T13:11:00"/>
    <d v="1899-12-30T02:00:00"/>
    <n v="2"/>
    <n v="0"/>
    <n v="120"/>
  </r>
  <r>
    <n v="1031"/>
    <x v="2"/>
    <n v="1"/>
    <s v="SALA CIRURGICA 01"/>
    <d v="2026-03-13T14:35:00"/>
    <d v="2026-03-13T14:40:00"/>
    <d v="2026-03-13T14:45:00"/>
    <d v="2026-03-13T14:50:00"/>
    <d v="2026-03-13T15:00:00"/>
    <d v="2026-03-13T15:05:00"/>
    <n v="0.5"/>
    <d v="2026-03-13T15:15:00"/>
    <d v="1899-12-30T00:30:00"/>
    <n v="0"/>
    <n v="30"/>
    <n v="30"/>
  </r>
  <r>
    <n v="1032"/>
    <x v="2"/>
    <n v="1"/>
    <s v="SALA CIRURGICA 01"/>
    <d v="2026-03-14T14:45:00"/>
    <d v="2026-03-14T15:05:00"/>
    <d v="2026-03-14T15:25:00"/>
    <d v="2026-03-14T15:55:00"/>
    <d v="2026-03-14T16:00:00"/>
    <d v="2026-03-14T16:05:00"/>
    <n v="1.33"/>
    <d v="2026-03-14T16:15:00"/>
    <d v="1899-12-30T01:20:00"/>
    <n v="1"/>
    <n v="20"/>
    <n v="80"/>
  </r>
  <r>
    <n v="1033"/>
    <x v="2"/>
    <n v="1"/>
    <s v="SALA CIRURGICA 01"/>
    <d v="2026-03-19T11:50:00"/>
    <d v="2026-03-19T12:30:00"/>
    <d v="2026-03-19T14:00:00"/>
    <d v="2026-03-19T16:00:00"/>
    <d v="2026-03-19T16:30:00"/>
    <d v="2026-03-19T16:45:00"/>
    <n v="4.92"/>
    <d v="2026-03-19T16:46:00"/>
    <d v="1899-12-30T04:55:00"/>
    <n v="4"/>
    <n v="55"/>
    <n v="295"/>
  </r>
  <r>
    <n v="1034"/>
    <x v="1"/>
    <n v="1"/>
    <s v="SALA CIRURGICA 02"/>
    <d v="2026-03-13T17:05:00"/>
    <d v="2026-03-13T17:20:00"/>
    <d v="2026-03-13T17:50:00"/>
    <d v="2026-03-13T23:28:00"/>
    <d v="2026-03-13T23:35:00"/>
    <d v="2026-03-13T23:40:00"/>
    <n v="6.58"/>
    <d v="2026-03-13T23:50:00"/>
    <d v="1899-12-30T06:35:00"/>
    <n v="6"/>
    <n v="35"/>
    <n v="395"/>
  </r>
  <r>
    <n v="1035"/>
    <x v="1"/>
    <n v="1"/>
    <s v="SALA CIRURGICA 01"/>
    <d v="2026-03-13T17:10:00"/>
    <d v="2026-03-13T17:15:00"/>
    <d v="2026-03-13T17:20:00"/>
    <d v="2026-03-13T19:20:00"/>
    <d v="2026-03-13T19:30:00"/>
    <d v="2026-03-13T20:00:00"/>
    <n v="2.83"/>
    <d v="2026-03-13T20:10:00"/>
    <d v="1899-12-30T02:50:00"/>
    <n v="2"/>
    <n v="50"/>
    <n v="170"/>
  </r>
  <r>
    <n v="1036"/>
    <x v="2"/>
    <n v="1"/>
    <s v="SALA CIRURGICA 01"/>
    <d v="2026-03-13T22:25:00"/>
    <d v="2026-03-13T22:35:00"/>
    <d v="2026-03-13T22:50:00"/>
    <d v="2026-03-13T23:20:00"/>
    <d v="2026-03-13T23:25:00"/>
    <d v="2026-03-13T23:30:00"/>
    <n v="1.08"/>
    <d v="2026-03-13T23:40:00"/>
    <d v="1899-12-30T01:05:00"/>
    <n v="1"/>
    <n v="5"/>
    <n v="65"/>
  </r>
  <r>
    <n v="1037"/>
    <x v="1"/>
    <n v="1"/>
    <s v="SALA CIRURGICA 01"/>
    <d v="2026-03-13T23:47:00"/>
    <d v="2026-03-13T23:55:00"/>
    <d v="2026-03-14T00:05:00"/>
    <d v="2026-03-14T02:50:00"/>
    <d v="2026-03-14T03:15:00"/>
    <d v="2026-03-14T03:20:00"/>
    <n v="3.55"/>
    <d v="2026-03-14T03:30:00"/>
    <d v="1899-12-30T03:33:00"/>
    <n v="3"/>
    <n v="33"/>
    <n v="213"/>
  </r>
  <r>
    <n v="1038"/>
    <x v="1"/>
    <n v="1"/>
    <s v="SALA CIRURGICA 01"/>
    <d v="2026-03-14T08:30:00"/>
    <d v="2026-03-14T08:35:00"/>
    <d v="2026-03-14T08:50:00"/>
    <d v="2026-03-14T10:40:00"/>
    <d v="2026-03-14T10:50:00"/>
    <d v="2026-03-14T13:45:00"/>
    <n v="5.25"/>
    <d v="2026-03-14T13:55:00"/>
    <d v="1899-12-30T05:15:00"/>
    <n v="5"/>
    <n v="15"/>
    <n v="315"/>
  </r>
  <r>
    <n v="1039"/>
    <x v="2"/>
    <n v="1"/>
    <s v="SALA CIRURGICA 03"/>
    <d v="2026-03-14T08:55:00"/>
    <d v="2026-03-14T09:00:00"/>
    <d v="2026-03-14T09:45:00"/>
    <d v="2026-03-14T10:14:00"/>
    <d v="2026-03-14T10:16:00"/>
    <d v="2026-03-14T10:20:00"/>
    <n v="1.42"/>
    <d v="2026-03-14T10:23:00"/>
    <d v="1899-12-30T01:25:00"/>
    <n v="1"/>
    <n v="25"/>
    <n v="85"/>
  </r>
  <r>
    <n v="1040"/>
    <x v="1"/>
    <n v="1"/>
    <s v="SALA CIRURGICA 03"/>
    <d v="2026-03-14T11:40:00"/>
    <d v="2026-03-14T11:50:00"/>
    <d v="2026-03-14T12:00:00"/>
    <d v="2026-03-14T12:33:00"/>
    <d v="2026-03-14T12:50:00"/>
    <d v="2026-03-14T13:02:00"/>
    <n v="1.37"/>
    <d v="2026-03-14T13:12:00"/>
    <d v="1899-12-30T01:22:00"/>
    <n v="1"/>
    <n v="22"/>
    <n v="82"/>
  </r>
  <r>
    <n v="1041"/>
    <x v="1"/>
    <n v="1"/>
    <s v="SALA CIRURGICA 01"/>
    <d v="2026-03-14T13:50:00"/>
    <d v="2026-03-14T14:05:00"/>
    <d v="2026-03-14T14:10:00"/>
    <d v="2026-03-14T15:31:00"/>
    <d v="2026-03-14T15:41:00"/>
    <d v="2026-03-14T15:55:00"/>
    <n v="2.08"/>
    <d v="2026-03-14T16:05:00"/>
    <d v="1899-12-30T02:05:00"/>
    <n v="2"/>
    <n v="5"/>
    <n v="125"/>
  </r>
  <r>
    <n v="1042"/>
    <x v="0"/>
    <n v="1"/>
    <s v="SALA CIRURGICA 01"/>
    <d v="2026-03-15T11:35:00"/>
    <d v="2026-03-15T11:55:00"/>
    <d v="2026-03-15T12:10:00"/>
    <d v="2026-03-15T13:20:00"/>
    <d v="2026-03-15T13:21:00"/>
    <d v="2026-03-15T13:24:00"/>
    <n v="1.82"/>
    <d v="2026-03-15T13:34:00"/>
    <d v="1899-12-30T01:49:00"/>
    <n v="1"/>
    <n v="49"/>
    <n v="109"/>
  </r>
  <r>
    <n v="1043"/>
    <x v="2"/>
    <n v="1"/>
    <s v="SALA CIRURGICA 02"/>
    <d v="2026-03-15T10:30:00"/>
    <d v="2026-03-15T10:50:00"/>
    <d v="2026-03-15T11:15:00"/>
    <d v="2026-03-15T11:38:00"/>
    <d v="2026-03-15T11:40:00"/>
    <d v="2026-03-15T11:55:00"/>
    <n v="1.42"/>
    <d v="2026-03-15T11:57:00"/>
    <d v="1899-12-30T01:25:00"/>
    <n v="1"/>
    <n v="25"/>
    <n v="85"/>
  </r>
  <r>
    <n v="1044"/>
    <x v="2"/>
    <n v="1"/>
    <s v="SALA CIRURGICA 01"/>
    <d v="2026-03-14T15:45:00"/>
    <d v="2026-03-14T15:55:00"/>
    <d v="2026-03-14T16:10:00"/>
    <d v="2026-03-14T17:19:00"/>
    <d v="2026-03-14T17:50:00"/>
    <d v="2026-03-14T17:55:00"/>
    <n v="2.17"/>
    <d v="2026-03-14T18:05:00"/>
    <d v="1899-12-30T02:10:00"/>
    <n v="2"/>
    <n v="10"/>
    <n v="130"/>
  </r>
  <r>
    <n v="1045"/>
    <x v="2"/>
    <n v="1"/>
    <s v="SALA CIRURGICA 03"/>
    <d v="2026-03-14T16:20:00"/>
    <d v="2026-03-14T16:25:00"/>
    <d v="2026-03-14T16:30:00"/>
    <d v="2026-03-14T17:25:00"/>
    <d v="2026-03-14T17:40:00"/>
    <d v="2026-03-14T17:50:00"/>
    <n v="1.5"/>
    <d v="2026-03-14T17:51:00"/>
    <d v="1899-12-30T01:30:00"/>
    <n v="1"/>
    <n v="30"/>
    <n v="90"/>
  </r>
  <r>
    <n v="1046"/>
    <x v="2"/>
    <n v="1"/>
    <s v="SALA CIRURGICA 02"/>
    <d v="2026-03-14T17:05:00"/>
    <d v="2026-03-14T17:20:00"/>
    <d v="2026-03-14T17:55:00"/>
    <d v="2026-03-14T18:53:00"/>
    <d v="2026-03-14T19:10:00"/>
    <d v="2026-03-14T19:35:00"/>
    <n v="2.5"/>
    <d v="2026-03-14T19:45:00"/>
    <d v="1899-12-30T02:30:00"/>
    <n v="2"/>
    <n v="30"/>
    <n v="150"/>
  </r>
  <r>
    <n v="1047"/>
    <x v="2"/>
    <n v="1"/>
    <s v="SALA CIRURGICA 05"/>
    <d v="2026-03-14T17:25:00"/>
    <d v="2026-03-14T17:40:00"/>
    <d v="2026-03-14T18:05:00"/>
    <d v="2026-03-14T18:52:00"/>
    <d v="2026-03-14T18:55:00"/>
    <d v="2026-03-14T19:10:00"/>
    <n v="1.75"/>
    <d v="2026-03-14T19:11:00"/>
    <d v="1899-12-30T01:45:00"/>
    <n v="1"/>
    <n v="45"/>
    <n v="105"/>
  </r>
  <r>
    <n v="1048"/>
    <x v="0"/>
    <n v="1"/>
    <s v="SALA CIRURGICA 03"/>
    <d v="2026-03-14T21:03:00"/>
    <d v="2026-03-14T21:10:00"/>
    <d v="2026-03-14T21:30:00"/>
    <d v="2026-03-14T22:49:00"/>
    <d v="2026-03-14T22:50:00"/>
    <d v="2026-03-14T23:00:00"/>
    <n v="1.95"/>
    <d v="2026-03-14T23:02:00"/>
    <d v="1899-12-30T01:57:00"/>
    <n v="1"/>
    <n v="57"/>
    <n v="117"/>
  </r>
  <r>
    <n v="1049"/>
    <x v="2"/>
    <n v="1"/>
    <s v="SALA CIRURGICA 01"/>
    <d v="2026-03-14T23:48:00"/>
    <d v="2026-03-14T23:59:00"/>
    <d v="2026-03-15T00:20:00"/>
    <d v="2026-03-15T01:40:00"/>
    <d v="2026-03-15T01:45:00"/>
    <d v="2026-03-15T01:50:00"/>
    <n v="2.0299999999999998"/>
    <d v="2026-03-15T01:51:00"/>
    <d v="1899-12-30T02:02:00"/>
    <n v="2"/>
    <n v="2"/>
    <n v="122"/>
  </r>
  <r>
    <n v="1050"/>
    <x v="2"/>
    <n v="1"/>
    <s v="SALA CIRURGICA 03"/>
    <d v="2026-03-15T05:10:00"/>
    <d v="2026-03-15T05:12:00"/>
    <d v="2026-03-15T05:40:00"/>
    <d v="2026-03-15T07:50:00"/>
    <d v="2026-03-15T08:00:00"/>
    <d v="2026-03-15T11:00:00"/>
    <n v="5.83"/>
    <d v="2026-03-15T11:10:00"/>
    <d v="1899-12-30T05:50:00"/>
    <n v="5"/>
    <n v="50"/>
    <n v="350"/>
  </r>
  <r>
    <n v="1051"/>
    <x v="0"/>
    <n v="1"/>
    <s v="SALA CIRURGICA 03"/>
    <d v="2026-03-15T05:10:00"/>
    <d v="2026-03-15T05:12:00"/>
    <d v="2026-03-15T05:40:00"/>
    <d v="2026-03-15T07:50:00"/>
    <d v="2026-03-15T08:00:00"/>
    <d v="2026-03-15T11:00:00"/>
    <n v="5.83"/>
    <d v="2026-03-15T11:10:00"/>
    <d v="1899-12-30T05:50:00"/>
    <n v="5"/>
    <n v="50"/>
    <n v="350"/>
  </r>
  <r>
    <n v="1052"/>
    <x v="2"/>
    <n v="1"/>
    <s v="SALA CIRURGICA 01"/>
    <d v="2026-03-15T08:45:00"/>
    <d v="2026-03-15T09:15:00"/>
    <d v="2026-03-15T09:30:00"/>
    <d v="2026-03-15T11:04:00"/>
    <d v="2026-03-15T11:08:00"/>
    <d v="2026-03-15T11:10:00"/>
    <n v="2.42"/>
    <d v="2026-03-15T11:20:00"/>
    <d v="1899-12-30T02:25:00"/>
    <n v="2"/>
    <n v="25"/>
    <n v="145"/>
  </r>
  <r>
    <n v="1053"/>
    <x v="1"/>
    <n v="1"/>
    <s v="SALA CIRURGICA 05"/>
    <d v="2026-03-16T10:30:00"/>
    <d v="2026-03-16T10:50:00"/>
    <d v="2026-03-16T11:10:00"/>
    <d v="2026-03-16T13:10:00"/>
    <d v="2026-03-16T13:20:00"/>
    <d v="2026-03-16T13:21:00"/>
    <n v="2.85"/>
    <d v="2026-03-16T13:22:00"/>
    <d v="1899-12-30T02:51:00"/>
    <n v="2"/>
    <n v="51"/>
    <n v="171"/>
  </r>
  <r>
    <n v="1054"/>
    <x v="1"/>
    <n v="1"/>
    <s v="SALA CIRURGICA 03"/>
    <d v="2026-03-16T07:30:00"/>
    <d v="2026-03-16T07:55:00"/>
    <d v="2026-03-16T08:25:00"/>
    <d v="2026-03-16T09:50:00"/>
    <d v="2026-03-16T10:00:00"/>
    <d v="2026-03-16T10:10:00"/>
    <n v="2.67"/>
    <d v="2026-03-16T10:20:00"/>
    <d v="1899-12-30T02:40:00"/>
    <n v="2"/>
    <n v="40"/>
    <n v="160"/>
  </r>
  <r>
    <n v="1055"/>
    <x v="2"/>
    <n v="1"/>
    <s v="SALA CIRURGICA 01"/>
    <d v="2026-03-16T08:00:00"/>
    <d v="2026-03-16T08:20:00"/>
    <d v="2026-03-16T08:40:00"/>
    <d v="2026-03-16T09:30:00"/>
    <d v="2026-03-16T09:40:00"/>
    <d v="2026-03-16T10:05:00"/>
    <n v="2.08"/>
    <d v="2026-03-16T10:15:00"/>
    <d v="1899-12-30T02:05:00"/>
    <n v="2"/>
    <n v="5"/>
    <n v="125"/>
  </r>
  <r>
    <n v="1056"/>
    <x v="2"/>
    <n v="1"/>
    <s v="SALA CIRURGICA 03"/>
    <d v="2026-03-16T15:20:00"/>
    <d v="2026-03-16T15:30:00"/>
    <d v="2026-03-16T15:50:00"/>
    <d v="2026-03-16T16:20:00"/>
    <d v="2026-03-16T16:30:00"/>
    <d v="2026-03-16T17:05:00"/>
    <n v="1.75"/>
    <d v="2026-03-16T17:10:00"/>
    <d v="1899-12-30T01:45:00"/>
    <n v="1"/>
    <n v="45"/>
    <n v="105"/>
  </r>
  <r>
    <n v="1057"/>
    <x v="2"/>
    <n v="1"/>
    <s v="SALA CIRURGICA 03"/>
    <d v="2026-03-16T07:00:00"/>
    <d v="2026-03-16T07:30:00"/>
    <d v="2026-03-16T08:00:00"/>
    <d v="2026-03-16T09:43:00"/>
    <d v="2026-03-16T09:53:00"/>
    <d v="2026-03-16T09:55:00"/>
    <n v="2.92"/>
    <d v="2026-03-16T10:05:00"/>
    <d v="1899-12-30T02:55:00"/>
    <n v="2"/>
    <n v="55"/>
    <n v="175"/>
  </r>
  <r>
    <n v="1058"/>
    <x v="1"/>
    <n v="1"/>
    <s v="SALA CIRURGICA 05"/>
    <d v="2026-03-16T11:15:00"/>
    <d v="2026-03-16T11:30:00"/>
    <d v="2026-03-16T12:50:00"/>
    <d v="2026-03-16T13:37:00"/>
    <d v="2026-03-16T13:40:00"/>
    <d v="2026-03-16T13:45:00"/>
    <n v="2.5"/>
    <d v="2026-03-16T13:50:00"/>
    <d v="1899-12-30T02:30:00"/>
    <n v="2"/>
    <n v="30"/>
    <n v="150"/>
  </r>
  <r>
    <n v="1059"/>
    <x v="0"/>
    <n v="1"/>
    <s v="SALA CIRURGICA 02"/>
    <d v="2026-03-16T18:00:00"/>
    <d v="2026-03-16T18:10:00"/>
    <d v="2026-03-16T18:12:00"/>
    <d v="2026-03-16T18:21:00"/>
    <d v="2026-03-16T18:31:00"/>
    <d v="2026-03-16T18:35:00"/>
    <n v="0.57999999999999996"/>
    <d v="2026-03-16T18:36:00"/>
    <d v="1899-12-30T00:35:00"/>
    <n v="0"/>
    <n v="35"/>
    <n v="35"/>
  </r>
  <r>
    <n v="1060"/>
    <x v="2"/>
    <n v="1"/>
    <s v="SALA CIRURGICA 01"/>
    <d v="2026-03-15T15:30:00"/>
    <d v="2026-03-15T15:40:00"/>
    <d v="2026-03-15T15:53:00"/>
    <d v="2026-03-15T18:00:00"/>
    <d v="2026-03-15T18:10:00"/>
    <d v="2026-03-15T18:12:00"/>
    <n v="2.7"/>
    <d v="2026-03-15T18:22:00"/>
    <d v="1899-12-30T02:42:00"/>
    <n v="2"/>
    <n v="42"/>
    <n v="162"/>
  </r>
  <r>
    <n v="1061"/>
    <x v="0"/>
    <n v="1"/>
    <s v="SALA CIRURGICA 03"/>
    <d v="2026-03-15T16:00:00"/>
    <d v="2026-03-15T16:17:00"/>
    <d v="2026-03-15T16:21:00"/>
    <d v="2026-03-15T17:12:00"/>
    <d v="2026-03-15T17:18:00"/>
    <d v="2026-03-15T18:00:00"/>
    <n v="2"/>
    <d v="2026-03-15T18:01:00"/>
    <d v="1899-12-30T02:00:00"/>
    <n v="2"/>
    <n v="0"/>
    <n v="120"/>
  </r>
  <r>
    <n v="1062"/>
    <x v="1"/>
    <n v="1"/>
    <s v="SALA CIRURGICA 01"/>
    <d v="2026-03-15T22:30:00"/>
    <d v="2026-03-15T22:45:00"/>
    <d v="2026-03-15T23:00:00"/>
    <d v="2026-03-16T00:24:00"/>
    <d v="2026-03-16T00:34:00"/>
    <d v="2026-03-16T01:00:00"/>
    <n v="2.5"/>
    <d v="2026-03-16T01:10:00"/>
    <d v="1899-12-30T02:30:00"/>
    <n v="2"/>
    <n v="30"/>
    <n v="150"/>
  </r>
  <r>
    <n v="1063"/>
    <x v="0"/>
    <n v="1"/>
    <s v="SALA CIRURGICA 01"/>
    <d v="2026-03-16T01:00:00"/>
    <d v="2026-03-16T01:10:00"/>
    <d v="2026-03-16T01:15:00"/>
    <d v="2026-03-16T02:00:00"/>
    <d v="2026-03-16T02:10:00"/>
    <d v="2026-03-16T02:12:00"/>
    <n v="1.2"/>
    <d v="2026-03-16T02:14:00"/>
    <d v="1899-12-30T01:12:00"/>
    <n v="1"/>
    <n v="12"/>
    <n v="72"/>
  </r>
  <r>
    <n v="1064"/>
    <x v="2"/>
    <n v="1"/>
    <s v="SALA CIRURGICA 01"/>
    <d v="2026-03-16T10:45:00"/>
    <d v="2026-03-16T11:00:00"/>
    <d v="2026-03-16T11:25:00"/>
    <d v="2026-03-16T12:51:00"/>
    <d v="2026-03-16T13:01:00"/>
    <d v="2026-03-16T13:10:00"/>
    <n v="2.42"/>
    <d v="2026-03-16T13:20:00"/>
    <d v="1899-12-30T02:25:00"/>
    <n v="2"/>
    <n v="25"/>
    <n v="145"/>
  </r>
  <r>
    <n v="1065"/>
    <x v="0"/>
    <n v="1"/>
    <s v="SALA CIRURGICA 01"/>
    <d v="2026-03-16T20:25:00"/>
    <d v="2026-03-16T20:32:00"/>
    <d v="2026-03-16T20:45:00"/>
    <d v="2026-03-16T21:20:00"/>
    <d v="2026-03-16T21:30:00"/>
    <d v="2026-03-16T21:32:00"/>
    <n v="1.1200000000000001"/>
    <d v="2026-03-16T21:42:00"/>
    <d v="1899-12-30T01:07:00"/>
    <n v="1"/>
    <n v="7"/>
    <n v="67"/>
  </r>
  <r>
    <n v="1066"/>
    <x v="2"/>
    <n v="1"/>
    <s v="SALA CIRURGICA 02"/>
    <d v="2026-03-16T14:10:00"/>
    <d v="2026-03-16T14:25:00"/>
    <d v="2026-03-16T14:45:00"/>
    <d v="2026-03-16T16:34:00"/>
    <d v="2026-03-16T16:40:00"/>
    <d v="2026-03-16T16:45:00"/>
    <n v="2.58"/>
    <d v="2026-03-16T16:50:00"/>
    <d v="1899-12-30T02:35:00"/>
    <n v="2"/>
    <n v="35"/>
    <n v="155"/>
  </r>
  <r>
    <n v="1067"/>
    <x v="2"/>
    <n v="1"/>
    <s v="SALA CIRURGICA 01"/>
    <d v="2026-03-16T14:30:00"/>
    <d v="2026-03-16T14:40:00"/>
    <d v="2026-03-16T15:15:00"/>
    <d v="2026-03-16T16:44:00"/>
    <d v="2026-03-16T17:10:00"/>
    <d v="2026-03-16T17:20:00"/>
    <n v="2.83"/>
    <d v="2026-03-16T17:30:00"/>
    <d v="1899-12-30T02:50:00"/>
    <n v="2"/>
    <n v="50"/>
    <n v="170"/>
  </r>
  <r>
    <n v="1068"/>
    <x v="2"/>
    <n v="1"/>
    <s v="SALA CIRURGICA 01"/>
    <d v="2026-03-16T17:20:00"/>
    <d v="2026-03-16T17:30:00"/>
    <d v="2026-03-16T18:00:00"/>
    <d v="2026-03-16T18:52:00"/>
    <d v="2026-03-16T19:05:00"/>
    <d v="2026-03-16T19:06:00"/>
    <n v="1.77"/>
    <d v="2026-03-16T19:07:00"/>
    <d v="1899-12-30T01:46:00"/>
    <n v="1"/>
    <n v="46"/>
    <n v="106"/>
  </r>
  <r>
    <n v="1069"/>
    <x v="1"/>
    <n v="1"/>
    <s v="SALA CIRURGICA 04"/>
    <d v="2026-03-16T13:51:00"/>
    <d v="2026-03-16T13:52:00"/>
    <d v="2026-03-16T13:53:00"/>
    <d v="2026-03-16T14:03:00"/>
    <d v="2026-03-16T18:45:00"/>
    <d v="2026-03-16T21:20:00"/>
    <n v="7.48"/>
    <d v="2026-03-16T21:30:00"/>
    <d v="1899-12-30T07:29:00"/>
    <n v="7"/>
    <n v="29"/>
    <n v="449"/>
  </r>
  <r>
    <n v="1070"/>
    <x v="0"/>
    <n v="1"/>
    <s v="SALA CIRURGICA 05"/>
    <d v="2026-03-17T11:27:00"/>
    <d v="2026-03-17T11:40:00"/>
    <d v="2026-03-17T11:41:00"/>
    <d v="2026-03-17T11:45:00"/>
    <d v="2026-03-17T11:55:00"/>
    <d v="2026-03-17T12:10:00"/>
    <n v="0.72"/>
    <d v="2026-03-17T12:20:00"/>
    <d v="1899-12-30T00:43:00"/>
    <n v="0"/>
    <n v="43"/>
    <n v="43"/>
  </r>
  <r>
    <n v="1071"/>
    <x v="2"/>
    <n v="1"/>
    <s v="SALA CIRURGICA 06"/>
    <d v="2026-03-17T07:15:00"/>
    <d v="2026-03-17T07:25:00"/>
    <d v="2026-03-17T07:40:00"/>
    <d v="2026-03-17T10:53:00"/>
    <d v="2026-03-17T10:54:00"/>
    <d v="2026-03-17T11:03:00"/>
    <n v="3.8"/>
    <d v="2026-03-17T11:13:00"/>
    <d v="1899-12-30T03:48:00"/>
    <n v="3"/>
    <n v="48"/>
    <n v="228"/>
  </r>
  <r>
    <n v="1072"/>
    <x v="0"/>
    <n v="1"/>
    <s v="SALA CIRURGICA 02"/>
    <d v="2026-03-18T07:00:00"/>
    <d v="2026-03-18T07:50:00"/>
    <d v="2026-03-18T08:45:00"/>
    <d v="2026-03-18T12:30:00"/>
    <d v="2026-03-18T12:40:00"/>
    <d v="2026-03-18T13:10:00"/>
    <n v="6.17"/>
    <d v="2026-03-18T13:11:00"/>
    <d v="1899-12-30T06:10:00"/>
    <n v="6"/>
    <n v="10"/>
    <n v="370"/>
  </r>
  <r>
    <n v="1073"/>
    <x v="2"/>
    <n v="1"/>
    <s v="SALA CIRURGICA 02"/>
    <d v="2026-03-19T13:40:00"/>
    <d v="2026-03-19T14:07:00"/>
    <d v="2026-03-19T15:00:00"/>
    <d v="2026-03-19T17:54:00"/>
    <d v="2026-03-19T19:00:00"/>
    <d v="2026-03-19T19:30:00"/>
    <n v="5.83"/>
    <d v="2026-03-19T19:40:00"/>
    <d v="1899-12-30T05:50:00"/>
    <n v="5"/>
    <n v="50"/>
    <n v="350"/>
  </r>
  <r>
    <n v="1074"/>
    <x v="2"/>
    <n v="1"/>
    <s v="SALA CIRURGICA 02"/>
    <d v="2026-03-17T07:55:00"/>
    <d v="2026-03-17T08:00:00"/>
    <d v="2026-03-17T08:45:00"/>
    <d v="2026-03-17T10:35:00"/>
    <d v="2026-03-17T10:50:00"/>
    <d v="2026-03-17T11:15:00"/>
    <n v="3.33"/>
    <d v="2026-03-17T11:16:00"/>
    <d v="1899-12-30T03:20:00"/>
    <n v="3"/>
    <n v="20"/>
    <n v="200"/>
  </r>
  <r>
    <n v="1075"/>
    <x v="2"/>
    <n v="1"/>
    <s v="SALA CIRURGICA 05"/>
    <d v="2026-03-17T07:52:00"/>
    <d v="2026-03-17T08:00:00"/>
    <d v="2026-03-17T08:30:00"/>
    <d v="2026-03-17T10:30:00"/>
    <d v="2026-03-17T10:40:00"/>
    <d v="2026-03-17T11:00:00"/>
    <n v="3.13"/>
    <d v="2026-03-17T11:10:00"/>
    <d v="1899-12-30T03:08:00"/>
    <n v="3"/>
    <n v="8"/>
    <n v="188"/>
  </r>
  <r>
    <n v="1076"/>
    <x v="0"/>
    <n v="1"/>
    <s v="SALA CIRURGICA 01"/>
    <d v="2026-03-16T18:10:00"/>
    <d v="2026-03-16T18:15:00"/>
    <d v="2026-03-16T18:20:00"/>
    <d v="2026-03-16T18:30:00"/>
    <d v="2026-03-16T18:32:00"/>
    <d v="2026-03-16T18:35:00"/>
    <n v="0.42"/>
    <d v="2026-03-16T18:37:00"/>
    <d v="1899-12-30T00:25:00"/>
    <n v="0"/>
    <n v="25"/>
    <n v="25"/>
  </r>
  <r>
    <n v="1077"/>
    <x v="0"/>
    <n v="1"/>
    <s v="SALA CIRURGICA 02"/>
    <d v="2026-03-17T09:55:00"/>
    <d v="2026-03-17T10:00:00"/>
    <d v="2026-03-17T10:10:00"/>
    <d v="2026-03-17T10:20:00"/>
    <d v="2026-03-17T10:30:00"/>
    <d v="2026-03-17T10:35:00"/>
    <n v="0.67"/>
    <d v="2026-03-17T10:41:00"/>
    <d v="1899-12-30T00:40:00"/>
    <n v="0"/>
    <n v="40"/>
    <n v="40"/>
  </r>
  <r>
    <n v="1078"/>
    <x v="2"/>
    <n v="1"/>
    <s v="SALA CIRURGICA 02"/>
    <d v="2026-03-16T22:25:00"/>
    <d v="2026-03-16T22:35:00"/>
    <d v="2026-03-16T22:50:00"/>
    <d v="2026-03-16T23:15:00"/>
    <d v="2026-03-16T23:25:00"/>
    <d v="2026-03-16T23:35:00"/>
    <n v="1.17"/>
    <d v="2026-03-16T23:36:00"/>
    <d v="1899-12-30T01:10:00"/>
    <n v="1"/>
    <n v="10"/>
    <n v="70"/>
  </r>
  <r>
    <n v="1079"/>
    <x v="2"/>
    <n v="1"/>
    <s v="SALA CIRURGICA 01"/>
    <d v="2026-03-17T07:35:00"/>
    <d v="2026-03-17T07:45:00"/>
    <d v="2026-03-17T08:00:00"/>
    <d v="2026-03-17T08:10:00"/>
    <d v="2026-03-17T08:30:00"/>
    <d v="2026-03-17T08:35:00"/>
    <n v="1"/>
    <d v="2026-03-17T08:45:00"/>
    <d v="1899-12-30T01:00:00"/>
    <n v="1"/>
    <n v="0"/>
    <n v="60"/>
  </r>
  <r>
    <n v="1080"/>
    <x v="1"/>
    <n v="1"/>
    <s v="SALA CIRURGICA 01"/>
    <d v="2026-03-17T09:15:00"/>
    <d v="2026-03-17T09:20:00"/>
    <d v="2026-03-17T10:00:00"/>
    <d v="2026-03-17T12:20:00"/>
    <d v="2026-03-17T12:30:00"/>
    <d v="2026-03-17T21:00:00"/>
    <n v="11.75"/>
    <d v="2026-03-17T21:10:00"/>
    <d v="1899-12-30T11:45:00"/>
    <n v="11"/>
    <n v="45"/>
    <n v="705"/>
  </r>
  <r>
    <n v="1081"/>
    <x v="1"/>
    <n v="1"/>
    <s v="SALA CIRURGICA 01"/>
    <d v="2026-03-17T12:15:00"/>
    <d v="2026-03-17T12:25:00"/>
    <d v="2026-03-17T12:40:00"/>
    <d v="2026-03-17T14:41:00"/>
    <d v="2026-03-17T16:00:00"/>
    <d v="2026-03-17T18:05:00"/>
    <n v="5.83"/>
    <d v="2026-03-17T18:15:00"/>
    <d v="1899-12-30T05:50:00"/>
    <n v="5"/>
    <n v="50"/>
    <n v="350"/>
  </r>
  <r>
    <n v="1082"/>
    <x v="1"/>
    <n v="1"/>
    <s v="SALA CIRURGICA 01"/>
    <d v="2026-03-17T16:15:00"/>
    <d v="2026-03-17T16:20:00"/>
    <d v="2026-03-17T16:40:00"/>
    <d v="2026-03-17T19:40:00"/>
    <d v="2026-03-17T20:10:00"/>
    <d v="2026-03-17T20:20:00"/>
    <n v="4.08"/>
    <d v="2026-03-17T20:30:00"/>
    <d v="1899-12-30T04:05:00"/>
    <n v="4"/>
    <n v="5"/>
    <n v="245"/>
  </r>
  <r>
    <n v="1083"/>
    <x v="2"/>
    <n v="1"/>
    <s v="SALA CIRURGICA 02"/>
    <d v="2026-03-17T12:20:00"/>
    <d v="2026-03-17T12:30:00"/>
    <d v="2026-03-17T13:30:00"/>
    <d v="2026-03-17T17:10:00"/>
    <d v="2026-03-17T17:20:00"/>
    <d v="2026-03-17T17:25:00"/>
    <n v="5.08"/>
    <d v="2026-03-17T17:27:00"/>
    <d v="1899-12-30T05:05:00"/>
    <n v="5"/>
    <n v="5"/>
    <n v="305"/>
  </r>
  <r>
    <n v="1084"/>
    <x v="0"/>
    <n v="1"/>
    <s v="SALA CIRURGICA 05"/>
    <d v="2026-03-17T11:15:00"/>
    <d v="2026-03-17T11:30:00"/>
    <d v="2026-03-17T12:20:00"/>
    <d v="2026-03-17T12:30:00"/>
    <d v="2026-03-17T12:40:00"/>
    <d v="2026-03-17T12:50:00"/>
    <n v="1.58"/>
    <d v="2026-03-17T13:00:00"/>
    <d v="1899-12-30T01:35:00"/>
    <n v="1"/>
    <n v="35"/>
    <n v="95"/>
  </r>
  <r>
    <n v="1085"/>
    <x v="2"/>
    <n v="1"/>
    <s v="SALA CIRURGICA 02"/>
    <d v="2026-03-17T18:20:00"/>
    <d v="2026-03-17T18:30:00"/>
    <d v="2026-03-17T19:09:00"/>
    <d v="2026-03-17T20:43:00"/>
    <d v="2026-03-17T20:53:00"/>
    <d v="2026-03-17T21:10:00"/>
    <n v="2.83"/>
    <d v="2026-03-17T21:20:00"/>
    <d v="1899-12-30T02:50:00"/>
    <n v="2"/>
    <n v="50"/>
    <n v="170"/>
  </r>
  <r>
    <n v="1086"/>
    <x v="1"/>
    <n v="1"/>
    <s v="SALA CIRURGICA 05"/>
    <d v="2026-03-17T15:00:00"/>
    <d v="2026-03-17T15:10:00"/>
    <d v="2026-03-17T15:40:00"/>
    <d v="2026-03-17T17:50:00"/>
    <d v="2026-03-17T18:20:00"/>
    <d v="2026-03-17T18:30:00"/>
    <n v="3.5"/>
    <d v="2026-03-17T18:32:00"/>
    <d v="1899-12-30T03:30:00"/>
    <n v="3"/>
    <n v="30"/>
    <n v="210"/>
  </r>
  <r>
    <n v="1087"/>
    <x v="1"/>
    <n v="1"/>
    <s v="SALA CIRURGICA 01"/>
    <d v="2026-03-17T12:55:00"/>
    <d v="2026-03-17T12:57:00"/>
    <d v="2026-03-17T13:00:00"/>
    <d v="2026-03-17T14:10:00"/>
    <d v="2026-03-17T15:25:00"/>
    <d v="2026-03-17T15:30:00"/>
    <n v="2.58"/>
    <d v="2026-03-17T15:40:00"/>
    <d v="1899-12-30T02:35:00"/>
    <n v="2"/>
    <n v="35"/>
    <n v="155"/>
  </r>
  <r>
    <n v="1088"/>
    <x v="1"/>
    <n v="1"/>
    <s v="SALA CIRURGICA 06"/>
    <d v="2026-03-24T07:00:00"/>
    <d v="2026-03-24T07:25:00"/>
    <d v="2026-03-24T07:35:00"/>
    <d v="2026-03-24T08:53:00"/>
    <d v="2026-03-24T09:10:00"/>
    <d v="2026-03-24T09:20:00"/>
    <n v="2.33"/>
    <d v="2026-03-24T09:30:00"/>
    <d v="1899-12-30T02:20:00"/>
    <n v="2"/>
    <n v="20"/>
    <n v="140"/>
  </r>
  <r>
    <n v="1089"/>
    <x v="1"/>
    <n v="1"/>
    <s v="SALA CIRURGICA 02"/>
    <d v="2026-03-18T14:05:00"/>
    <d v="2026-03-18T14:15:00"/>
    <d v="2026-03-18T14:55:00"/>
    <d v="2026-03-18T17:00:00"/>
    <d v="2026-03-18T17:10:00"/>
    <d v="2026-03-18T17:30:00"/>
    <n v="3.42"/>
    <d v="2026-03-18T17:31:00"/>
    <d v="1899-12-30T03:25:00"/>
    <n v="3"/>
    <n v="25"/>
    <n v="205"/>
  </r>
  <r>
    <n v="1090"/>
    <x v="0"/>
    <n v="1"/>
    <s v="SALA CIRURGICA 03"/>
    <d v="2026-03-18T15:50:00"/>
    <d v="2026-03-18T16:10:00"/>
    <d v="2026-03-18T16:30:00"/>
    <d v="2026-03-18T20:19:00"/>
    <d v="2026-03-18T20:29:00"/>
    <d v="2026-03-18T20:35:00"/>
    <n v="4.75"/>
    <d v="2026-03-18T20:45:00"/>
    <d v="1899-12-30T04:45:00"/>
    <n v="4"/>
    <n v="45"/>
    <n v="285"/>
  </r>
  <r>
    <n v="1091"/>
    <x v="0"/>
    <n v="1"/>
    <s v="SALA CIRURGICA 01"/>
    <d v="2026-03-18T06:55:00"/>
    <d v="2026-03-18T07:40:00"/>
    <d v="2026-03-18T08:30:00"/>
    <d v="2026-03-18T09:45:00"/>
    <d v="2026-03-18T10:00:00"/>
    <d v="2026-03-18T10:10:00"/>
    <n v="3.25"/>
    <d v="2026-03-18T10:11:00"/>
    <d v="1899-12-30T03:15:00"/>
    <n v="3"/>
    <n v="15"/>
    <n v="195"/>
  </r>
  <r>
    <n v="1092"/>
    <x v="2"/>
    <n v="1"/>
    <s v="SALA CIRURGICA 03"/>
    <d v="2026-03-18T14:55:00"/>
    <d v="2026-03-18T15:05:00"/>
    <d v="2026-03-18T15:25:00"/>
    <d v="2026-03-18T16:00:00"/>
    <d v="2026-03-18T16:10:00"/>
    <d v="2026-03-18T16:15:00"/>
    <n v="1.33"/>
    <d v="2026-03-18T16:25:00"/>
    <d v="1899-12-30T01:20:00"/>
    <n v="1"/>
    <n v="20"/>
    <n v="80"/>
  </r>
  <r>
    <n v="1093"/>
    <x v="2"/>
    <n v="1"/>
    <s v="SALA CIRURGICA 01"/>
    <d v="2026-03-18T07:45:00"/>
    <d v="2026-03-18T07:55:00"/>
    <d v="2026-03-18T08:15:00"/>
    <d v="2026-03-18T09:15:00"/>
    <d v="2026-03-18T09:25:00"/>
    <d v="2026-03-18T09:45:00"/>
    <n v="2"/>
    <d v="2026-03-18T09:55:00"/>
    <d v="1899-12-30T02:00:00"/>
    <n v="2"/>
    <n v="0"/>
    <n v="120"/>
  </r>
  <r>
    <n v="1094"/>
    <x v="2"/>
    <n v="1"/>
    <s v="SALA CIRURGICA 01"/>
    <d v="2026-03-18T10:25:00"/>
    <d v="2026-03-18T10:40:00"/>
    <d v="2026-03-18T11:05:00"/>
    <d v="2026-03-18T11:30:00"/>
    <d v="2026-03-18T11:35:00"/>
    <d v="2026-03-18T11:40:00"/>
    <n v="1.25"/>
    <d v="2026-03-18T11:50:00"/>
    <d v="1899-12-30T01:15:00"/>
    <n v="1"/>
    <n v="15"/>
    <n v="75"/>
  </r>
  <r>
    <n v="1095"/>
    <x v="1"/>
    <n v="1"/>
    <s v="SALA CIRURGICA 03"/>
    <d v="2026-03-18T07:00:00"/>
    <d v="2026-03-18T07:30:00"/>
    <d v="2026-03-18T07:50:00"/>
    <d v="2026-03-18T10:02:00"/>
    <d v="2026-03-18T10:12:00"/>
    <d v="2026-03-18T10:25:00"/>
    <n v="3.42"/>
    <d v="2026-03-18T10:35:00"/>
    <d v="1899-12-30T03:25:00"/>
    <n v="3"/>
    <n v="25"/>
    <n v="205"/>
  </r>
  <r>
    <n v="1096"/>
    <x v="2"/>
    <n v="1"/>
    <s v="SALA CIRURGICA 01"/>
    <d v="2026-03-17T22:50:00"/>
    <d v="2026-03-17T23:05:00"/>
    <d v="2026-03-17T23:35:00"/>
    <d v="2026-03-18T02:00:00"/>
    <d v="2026-03-18T02:05:00"/>
    <d v="2026-03-18T02:10:00"/>
    <n v="3.33"/>
    <d v="2026-03-18T02:15:00"/>
    <d v="1899-12-30T03:20:00"/>
    <n v="3"/>
    <n v="20"/>
    <n v="200"/>
  </r>
  <r>
    <n v="1097"/>
    <x v="2"/>
    <n v="1"/>
    <s v="SALA CIRURGICA 01"/>
    <d v="2026-03-17T22:50:00"/>
    <d v="2026-03-17T23:00:00"/>
    <d v="2026-03-17T23:45:00"/>
    <d v="2026-03-18T01:04:00"/>
    <d v="2026-03-18T01:07:00"/>
    <d v="2026-03-18T01:10:00"/>
    <n v="2.33"/>
    <d v="2026-03-18T01:15:00"/>
    <d v="1899-12-30T02:20:00"/>
    <n v="2"/>
    <n v="20"/>
    <n v="140"/>
  </r>
  <r>
    <n v="1098"/>
    <x v="0"/>
    <n v="1"/>
    <s v="SALA CIRURGICA 01"/>
    <d v="2026-03-18T04:15:00"/>
    <d v="2026-03-18T04:25:00"/>
    <d v="2026-03-18T04:30:00"/>
    <d v="2026-03-18T04:40:00"/>
    <d v="2026-03-18T04:42:00"/>
    <d v="2026-03-18T04:45:00"/>
    <n v="0.75"/>
    <d v="2026-03-18T04:46:00"/>
    <d v="1899-12-30T00:30:00"/>
    <n v="0"/>
    <n v="30"/>
    <n v="30"/>
  </r>
  <r>
    <n v="1099"/>
    <x v="1"/>
    <n v="8"/>
    <s v="SALA CIRURGICA 01"/>
    <d v="2026-03-18T15:20:00"/>
    <d v="2026-03-18T16:20:00"/>
    <d v="2026-03-18T16:40:00"/>
    <d v="2026-03-18T17:30:00"/>
    <d v="2026-03-18T17:40:00"/>
    <d v="2026-03-18T17:50:00"/>
    <n v="2.5"/>
    <d v="2026-03-18T18:00:00"/>
    <d v="1899-12-30T02:30:00"/>
    <n v="2"/>
    <n v="30"/>
    <n v="150"/>
  </r>
  <r>
    <n v="1100"/>
    <x v="1"/>
    <n v="1"/>
    <s v="SALA CIRURGICA 05"/>
    <d v="2026-03-18T10:40:00"/>
    <d v="2026-03-18T10:42:00"/>
    <d v="2026-03-18T10:45:00"/>
    <d v="2026-03-18T13:00:00"/>
    <d v="2026-03-18T13:10:00"/>
    <d v="2026-03-18T13:20:00"/>
    <n v="2.67"/>
    <d v="2026-03-18T13:30:00"/>
    <d v="1899-12-30T02:40:00"/>
    <n v="2"/>
    <n v="40"/>
    <n v="160"/>
  </r>
  <r>
    <n v="1101"/>
    <x v="0"/>
    <n v="1"/>
    <s v="SALA CIRURGICA 02"/>
    <d v="2026-03-18T17:23:00"/>
    <d v="2026-03-18T17:25:00"/>
    <d v="2026-03-18T17:30:00"/>
    <d v="2026-03-18T19:15:00"/>
    <d v="2026-03-18T19:25:00"/>
    <d v="2026-03-18T19:30:00"/>
    <n v="2.12"/>
    <d v="2026-03-18T19:40:00"/>
    <d v="1899-12-30T02:07:00"/>
    <n v="2"/>
    <n v="7"/>
    <n v="127"/>
  </r>
  <r>
    <n v="1102"/>
    <x v="1"/>
    <n v="1"/>
    <s v="SALA CIRURGICA 05"/>
    <d v="2026-03-18T11:30:00"/>
    <d v="2026-03-18T11:50:00"/>
    <d v="2026-03-18T12:10:00"/>
    <d v="2026-03-18T16:10:00"/>
    <d v="2026-03-18T17:15:00"/>
    <d v="2026-03-18T17:20:00"/>
    <n v="5.83"/>
    <d v="2026-03-18T17:30:00"/>
    <d v="1899-12-30T05:50:00"/>
    <n v="5"/>
    <n v="50"/>
    <n v="350"/>
  </r>
  <r>
    <n v="1103"/>
    <x v="1"/>
    <n v="1"/>
    <s v="SALA CIRURGICA 03"/>
    <d v="2026-03-18T11:58:00"/>
    <d v="2026-03-18T12:10:00"/>
    <d v="2026-03-18T12:20:00"/>
    <d v="2026-03-18T14:04:00"/>
    <d v="2026-03-18T14:14:00"/>
    <d v="2026-03-18T14:20:00"/>
    <n v="2.37"/>
    <d v="2026-03-18T14:30:00"/>
    <d v="1899-12-30T02:22:00"/>
    <n v="2"/>
    <n v="22"/>
    <n v="142"/>
  </r>
  <r>
    <n v="1104"/>
    <x v="1"/>
    <n v="1"/>
    <s v="SALA CIRURGICA 01"/>
    <d v="2026-03-18T12:32:00"/>
    <d v="2026-03-18T12:40:00"/>
    <d v="2026-03-18T12:50:00"/>
    <d v="2026-03-18T13:41:00"/>
    <d v="2026-03-18T13:43:00"/>
    <d v="2026-03-18T13:45:00"/>
    <n v="1.22"/>
    <d v="2026-03-18T13:55:00"/>
    <d v="1899-12-30T01:13:00"/>
    <n v="1"/>
    <n v="13"/>
    <n v="73"/>
  </r>
  <r>
    <n v="1105"/>
    <x v="1"/>
    <n v="1"/>
    <s v="SALA CIRURGICA 05"/>
    <d v="2026-03-19T10:15:00"/>
    <d v="2026-03-19T10:30:00"/>
    <d v="2026-03-19T11:40:00"/>
    <d v="2026-03-19T12:15:00"/>
    <d v="2026-03-19T12:25:00"/>
    <d v="2026-03-19T12:30:00"/>
    <n v="2.25"/>
    <d v="2026-03-19T12:40:00"/>
    <d v="1899-12-30T02:15:00"/>
    <n v="2"/>
    <n v="15"/>
    <n v="135"/>
  </r>
  <r>
    <n v="1106"/>
    <x v="2"/>
    <n v="1"/>
    <s v="SALA CIRURGICA 05"/>
    <d v="2026-03-19T07:00:00"/>
    <d v="2026-03-19T07:40:00"/>
    <d v="2026-03-19T08:00:00"/>
    <d v="2026-03-19T09:30:00"/>
    <d v="2026-03-19T09:35:00"/>
    <d v="2026-03-19T09:38:00"/>
    <n v="2.63"/>
    <d v="2026-03-19T09:48:00"/>
    <d v="1899-12-30T02:38:00"/>
    <n v="2"/>
    <n v="38"/>
    <n v="158"/>
  </r>
  <r>
    <n v="1107"/>
    <x v="0"/>
    <n v="1"/>
    <s v="SALA CIRURGICA 01"/>
    <d v="2026-03-20T08:00:00"/>
    <d v="2026-03-20T08:10:00"/>
    <d v="2026-03-20T08:20:00"/>
    <d v="2026-03-20T10:15:00"/>
    <d v="2026-03-20T10:25:00"/>
    <d v="2026-03-20T10:30:00"/>
    <n v="2.5"/>
    <d v="2026-03-20T10:40:00"/>
    <d v="1899-12-30T02:30:00"/>
    <n v="2"/>
    <n v="30"/>
    <n v="150"/>
  </r>
  <r>
    <n v="1108"/>
    <x v="1"/>
    <n v="1"/>
    <s v="SALA CIRURGICA 02"/>
    <d v="2026-03-19T06:55:00"/>
    <d v="2026-03-19T07:15:00"/>
    <d v="2026-03-19T07:40:00"/>
    <d v="2026-03-19T09:32:00"/>
    <d v="2026-03-19T09:42:00"/>
    <d v="2026-03-19T09:52:00"/>
    <n v="2.95"/>
    <d v="2026-03-19T10:02:00"/>
    <d v="1899-12-30T02:57:00"/>
    <n v="2"/>
    <n v="57"/>
    <n v="177"/>
  </r>
  <r>
    <n v="1109"/>
    <x v="1"/>
    <n v="1"/>
    <s v="SALA CIRURGICA 06"/>
    <d v="2026-03-19T13:15:00"/>
    <d v="2026-03-19T13:30:00"/>
    <d v="2026-03-19T14:15:00"/>
    <d v="2026-03-19T17:00:00"/>
    <d v="2026-03-19T17:10:00"/>
    <d v="2026-03-19T17:20:00"/>
    <n v="4.08"/>
    <d v="2026-03-19T17:23:00"/>
    <d v="1899-12-30T04:05:00"/>
    <n v="4"/>
    <n v="5"/>
    <n v="245"/>
  </r>
  <r>
    <n v="1110"/>
    <x v="2"/>
    <n v="1"/>
    <s v="SALA CIRURGICA 02"/>
    <d v="2026-03-19T07:35:00"/>
    <d v="2026-03-19T07:45:00"/>
    <d v="2026-03-19T08:30:00"/>
    <d v="2026-03-19T11:00:00"/>
    <d v="2026-03-19T11:15:00"/>
    <d v="2026-03-19T11:30:00"/>
    <n v="3.92"/>
    <d v="2026-03-19T11:31:00"/>
    <d v="1899-12-30T03:55:00"/>
    <n v="3"/>
    <n v="55"/>
    <n v="235"/>
  </r>
  <r>
    <n v="1111"/>
    <x v="0"/>
    <n v="1"/>
    <s v="SALA CIRURGICA 03"/>
    <d v="2026-03-19T09:45:00"/>
    <d v="2026-03-19T09:55:00"/>
    <d v="2026-03-19T10:40:00"/>
    <d v="2026-03-19T12:25:00"/>
    <d v="2026-03-19T12:40:00"/>
    <d v="2026-03-19T13:00:00"/>
    <n v="3.25"/>
    <d v="2026-03-19T13:05:00"/>
    <d v="1899-12-30T03:15:00"/>
    <n v="3"/>
    <n v="15"/>
    <n v="195"/>
  </r>
  <r>
    <n v="1112"/>
    <x v="2"/>
    <n v="1"/>
    <s v="SALA CIRURGICA 03"/>
    <d v="2026-03-19T07:20:00"/>
    <d v="2026-03-19T07:35:00"/>
    <d v="2026-03-19T08:05:00"/>
    <d v="2026-03-19T08:35:00"/>
    <d v="2026-03-19T08:45:00"/>
    <d v="2026-03-19T08:55:00"/>
    <n v="1.58"/>
    <d v="2026-03-19T09:10:00"/>
    <d v="1899-12-30T01:35:00"/>
    <n v="1"/>
    <n v="35"/>
    <n v="95"/>
  </r>
  <r>
    <n v="1113"/>
    <x v="1"/>
    <n v="1"/>
    <s v="SALA CIRURGICA 04"/>
    <d v="2026-03-18T18:50:00"/>
    <d v="2026-03-18T19:10:00"/>
    <d v="2026-03-18T19:20:00"/>
    <d v="2026-03-18T22:15:00"/>
    <d v="2026-03-18T22:25:00"/>
    <d v="2026-03-18T22:55:00"/>
    <n v="4.08"/>
    <d v="2026-03-18T23:05:00"/>
    <d v="1899-12-30T04:05:00"/>
    <n v="4"/>
    <n v="5"/>
    <n v="245"/>
  </r>
  <r>
    <n v="1114"/>
    <x v="1"/>
    <n v="1"/>
    <s v="SALA CIRURGICA 01"/>
    <d v="2026-03-18T20:15:00"/>
    <d v="2026-03-18T20:45:00"/>
    <d v="2026-03-18T21:00:00"/>
    <d v="2026-03-18T21:20:00"/>
    <d v="2026-03-18T21:30:00"/>
    <d v="2026-03-18T21:31:00"/>
    <n v="1.27"/>
    <d v="2026-03-18T21:41:00"/>
    <d v="1899-12-30T01:16:00"/>
    <n v="1"/>
    <n v="16"/>
    <n v="76"/>
  </r>
  <r>
    <n v="1115"/>
    <x v="2"/>
    <n v="1"/>
    <s v="SALA CIRURGICA 02"/>
    <d v="2026-03-18T21:50:00"/>
    <d v="2026-03-18T22:05:00"/>
    <d v="2026-03-18T22:30:00"/>
    <d v="2026-03-18T23:30:00"/>
    <d v="2026-03-18T23:40:00"/>
    <d v="2026-03-18T23:42:00"/>
    <n v="1.87"/>
    <d v="2026-03-18T23:43:00"/>
    <d v="1899-12-30T01:52:00"/>
    <n v="1"/>
    <n v="52"/>
    <n v="112"/>
  </r>
  <r>
    <n v="1116"/>
    <x v="2"/>
    <n v="1"/>
    <s v="SALA CIRURGICA 01"/>
    <d v="2026-03-19T07:45:00"/>
    <d v="2026-03-19T07:50:00"/>
    <d v="2026-03-19T08:30:00"/>
    <d v="2026-03-19T09:25:00"/>
    <d v="2026-03-19T09:35:00"/>
    <d v="2026-03-19T10:00:00"/>
    <n v="2.25"/>
    <d v="2026-03-19T10:10:00"/>
    <d v="1899-12-30T02:15:00"/>
    <n v="2"/>
    <n v="15"/>
    <n v="135"/>
  </r>
  <r>
    <n v="1117"/>
    <x v="2"/>
    <n v="1"/>
    <s v="SALA CIRURGICA 01"/>
    <d v="2026-03-19T10:37:00"/>
    <d v="2026-03-19T10:55:00"/>
    <d v="2026-03-19T11:20:00"/>
    <d v="2026-03-19T12:50:00"/>
    <d v="2026-03-19T13:15:00"/>
    <d v="2026-03-19T13:16:00"/>
    <n v="2.65"/>
    <d v="2026-03-19T13:17:00"/>
    <d v="1899-12-30T02:39:00"/>
    <n v="2"/>
    <n v="39"/>
    <n v="159"/>
  </r>
  <r>
    <n v="1118"/>
    <x v="1"/>
    <n v="1"/>
    <s v="SALA CIRURGICA 01"/>
    <d v="2026-03-19T10:55:00"/>
    <d v="2026-03-19T11:05:00"/>
    <d v="2026-03-19T11:15:00"/>
    <d v="2026-03-19T12:08:00"/>
    <d v="2026-03-19T12:10:00"/>
    <d v="2026-03-19T12:15:00"/>
    <n v="1.33"/>
    <d v="2026-03-19T12:25:00"/>
    <d v="1899-12-30T01:20:00"/>
    <n v="1"/>
    <n v="20"/>
    <n v="80"/>
  </r>
  <r>
    <n v="1119"/>
    <x v="1"/>
    <n v="1"/>
    <s v="SALA CIRURGICA 03"/>
    <d v="2026-03-20T07:55:00"/>
    <d v="2026-03-20T07:57:00"/>
    <d v="2026-03-20T08:20:00"/>
    <d v="2026-03-20T09:50:00"/>
    <d v="2026-03-20T11:05:00"/>
    <d v="2026-03-20T11:10:00"/>
    <n v="3.25"/>
    <d v="2026-03-20T11:20:00"/>
    <d v="1899-12-30T03:15:00"/>
    <n v="3"/>
    <n v="15"/>
    <n v="195"/>
  </r>
  <r>
    <n v="1120"/>
    <x v="2"/>
    <n v="1"/>
    <s v="SALA CIRURGICA 01"/>
    <d v="2026-03-20T07:00:00"/>
    <d v="2026-03-20T07:55:00"/>
    <d v="2026-03-20T09:20:00"/>
    <d v="2026-03-20T14:40:00"/>
    <d v="2026-03-20T15:15:00"/>
    <d v="2026-03-20T15:30:00"/>
    <n v="8.5"/>
    <d v="2026-03-20T15:40:00"/>
    <d v="1899-12-30T08:30:00"/>
    <n v="8"/>
    <n v="30"/>
    <n v="510"/>
  </r>
  <r>
    <n v="1121"/>
    <x v="1"/>
    <n v="1"/>
    <s v="SALA CIRURGICA 05"/>
    <d v="2026-03-20T17:45:00"/>
    <d v="2026-03-20T17:55:00"/>
    <d v="2026-03-20T18:00:00"/>
    <d v="2026-03-20T20:25:00"/>
    <d v="2026-03-20T20:35:00"/>
    <d v="2026-03-20T21:15:00"/>
    <n v="3.5"/>
    <d v="2026-03-20T21:25:00"/>
    <d v="1899-12-30T03:30:00"/>
    <n v="3"/>
    <n v="30"/>
    <n v="210"/>
  </r>
  <r>
    <n v="1122"/>
    <x v="1"/>
    <n v="1"/>
    <s v="SALA CIRURGICA 02"/>
    <d v="2026-03-20T07:45:00"/>
    <d v="2026-03-20T08:05:00"/>
    <d v="2026-03-20T08:30:00"/>
    <d v="2026-03-20T09:15:00"/>
    <d v="2026-03-20T09:25:00"/>
    <d v="2026-03-20T09:35:00"/>
    <n v="1.83"/>
    <d v="2026-03-20T09:45:00"/>
    <d v="1899-12-30T01:50:00"/>
    <n v="1"/>
    <n v="50"/>
    <n v="110"/>
  </r>
  <r>
    <n v="1123"/>
    <x v="2"/>
    <n v="1"/>
    <s v="SALA CIRURGICA 01"/>
    <d v="2026-03-19T17:10:00"/>
    <d v="2026-03-19T17:25:00"/>
    <d v="2026-03-19T17:39:00"/>
    <d v="2026-03-19T18:11:00"/>
    <d v="2026-03-19T18:18:00"/>
    <d v="2026-03-19T18:25:00"/>
    <n v="1.25"/>
    <d v="2026-03-19T18:34:00"/>
    <d v="1899-12-30T01:15:00"/>
    <n v="1"/>
    <n v="15"/>
    <n v="75"/>
  </r>
  <r>
    <n v="1124"/>
    <x v="1"/>
    <n v="1"/>
    <s v="SALA CIRURGICA 05"/>
    <d v="2026-03-20T06:55:00"/>
    <d v="2026-03-20T07:30:00"/>
    <d v="2026-03-20T08:30:00"/>
    <d v="2026-03-20T11:00:00"/>
    <d v="2026-03-20T11:30:00"/>
    <d v="2026-03-20T11:45:00"/>
    <n v="4.83"/>
    <d v="2026-03-20T11:55:00"/>
    <d v="1899-12-30T04:50:00"/>
    <n v="4"/>
    <n v="50"/>
    <n v="290"/>
  </r>
  <r>
    <n v="1125"/>
    <x v="1"/>
    <n v="1"/>
    <s v="SALA CIRURGICA 03"/>
    <d v="2026-03-19T14:20:00"/>
    <d v="2026-03-19T14:35:00"/>
    <d v="2026-03-19T15:00:00"/>
    <d v="2026-03-19T18:00:00"/>
    <d v="2026-03-19T18:10:00"/>
    <d v="2026-03-19T20:00:00"/>
    <n v="5.67"/>
    <d v="2026-03-19T20:10:00"/>
    <d v="1899-12-30T05:40:00"/>
    <n v="5"/>
    <n v="40"/>
    <n v="340"/>
  </r>
  <r>
    <n v="1126"/>
    <x v="2"/>
    <n v="1"/>
    <s v="SALA CIRURGICA 03"/>
    <d v="2026-03-20T11:50:00"/>
    <d v="2026-03-20T12:00:00"/>
    <d v="2026-03-20T12:10:00"/>
    <d v="2026-03-20T14:30:00"/>
    <d v="2026-03-20T14:40:00"/>
    <d v="2026-03-20T14:42:00"/>
    <n v="2.87"/>
    <d v="2026-03-20T14:52:00"/>
    <d v="1899-12-30T02:52:00"/>
    <n v="2"/>
    <n v="52"/>
    <n v="172"/>
  </r>
  <r>
    <n v="1127"/>
    <x v="1"/>
    <n v="1"/>
    <s v="SALA CIRURGICA 04"/>
    <d v="2026-03-20T16:40:00"/>
    <d v="2026-03-20T17:00:00"/>
    <d v="2026-03-20T17:30:00"/>
    <d v="2026-03-20T18:55:00"/>
    <d v="2026-03-20T19:40:00"/>
    <d v="2026-03-20T20:40:00"/>
    <n v="4"/>
    <d v="2026-03-20T20:42:00"/>
    <d v="1899-12-30T04:00:00"/>
    <n v="4"/>
    <n v="0"/>
    <n v="240"/>
  </r>
  <r>
    <n v="1128"/>
    <x v="1"/>
    <n v="1"/>
    <s v="SALA CIRURGICA 01"/>
    <d v="2026-03-19T15:45:00"/>
    <d v="2026-03-19T16:00:00"/>
    <d v="2026-03-19T16:15:00"/>
    <d v="2026-03-19T18:15:00"/>
    <d v="2026-03-19T18:25:00"/>
    <d v="2026-03-19T18:30:00"/>
    <n v="2.75"/>
    <d v="2026-03-19T18:32:00"/>
    <d v="1899-12-30T02:45:00"/>
    <n v="2"/>
    <n v="45"/>
    <n v="165"/>
  </r>
  <r>
    <n v="1129"/>
    <x v="2"/>
    <n v="1"/>
    <s v="SALA CIRURGICA 03"/>
    <d v="2026-03-20T15:35:00"/>
    <d v="2026-03-20T15:55:00"/>
    <d v="2026-03-20T16:40:00"/>
    <d v="2026-03-20T19:15:00"/>
    <d v="2026-03-20T19:42:00"/>
    <d v="2026-03-20T19:43:00"/>
    <n v="4.13"/>
    <d v="2026-03-20T19:44:00"/>
    <d v="1899-12-30T04:08:00"/>
    <n v="4"/>
    <n v="8"/>
    <n v="248"/>
  </r>
  <r>
    <n v="1130"/>
    <x v="2"/>
    <n v="1"/>
    <s v="SALA CIRURGICA 01"/>
    <d v="2026-03-21T12:18:00"/>
    <d v="2026-03-21T12:20:00"/>
    <d v="2026-03-21T12:35:00"/>
    <d v="2026-03-21T13:15:00"/>
    <d v="2026-03-21T13:30:00"/>
    <d v="2026-03-21T13:35:00"/>
    <n v="1.28"/>
    <d v="2026-03-21T13:45:00"/>
    <d v="1899-12-30T01:17:00"/>
    <n v="1"/>
    <n v="17"/>
    <n v="77"/>
  </r>
  <r>
    <n v="1131"/>
    <x v="1"/>
    <n v="1"/>
    <s v="SALA CIRURGICA 06"/>
    <d v="2026-03-20T13:30:00"/>
    <d v="2026-03-20T13:45:00"/>
    <d v="2026-03-20T14:20:00"/>
    <d v="2026-03-20T15:13:00"/>
    <d v="2026-03-20T15:40:00"/>
    <d v="2026-03-20T15:45:00"/>
    <n v="2.25"/>
    <d v="2026-03-20T15:55:00"/>
    <d v="1899-12-30T02:15:00"/>
    <n v="2"/>
    <n v="15"/>
    <n v="135"/>
  </r>
  <r>
    <n v="1132"/>
    <x v="1"/>
    <n v="1"/>
    <s v="SALA CIRURGICA 02"/>
    <d v="2026-03-20T10:30:00"/>
    <d v="2026-03-20T10:40:00"/>
    <d v="2026-03-20T11:00:00"/>
    <d v="2026-03-20T14:50:00"/>
    <d v="2026-03-20T15:00:00"/>
    <d v="2026-03-20T15:20:00"/>
    <n v="4.83"/>
    <d v="2026-03-20T15:30:00"/>
    <d v="1899-12-30T04:50:00"/>
    <n v="4"/>
    <n v="50"/>
    <n v="290"/>
  </r>
  <r>
    <n v="1133"/>
    <x v="2"/>
    <n v="1"/>
    <s v="SALA CIRURGICA 05"/>
    <d v="2026-03-20T12:55:00"/>
    <d v="2026-03-20T13:10:00"/>
    <d v="2026-03-20T14:30:00"/>
    <d v="2026-03-20T17:10:00"/>
    <d v="2026-03-20T17:30:00"/>
    <d v="2026-03-20T18:10:00"/>
    <n v="5.25"/>
    <d v="2026-03-20T18:15:00"/>
    <d v="1899-12-30T05:15:00"/>
    <n v="5"/>
    <n v="15"/>
    <n v="315"/>
  </r>
  <r>
    <n v="1134"/>
    <x v="0"/>
    <n v="1"/>
    <s v="SALA CIRURGICA 02"/>
    <d v="2026-03-23T07:00:00"/>
    <d v="2026-03-23T07:35:00"/>
    <d v="2026-03-23T08:20:00"/>
    <d v="2026-03-23T10:30:00"/>
    <d v="2026-03-23T10:40:00"/>
    <d v="2026-03-23T10:45:00"/>
    <n v="3.75"/>
    <d v="2026-03-23T10:55:00"/>
    <d v="1899-12-30T03:45:00"/>
    <n v="3"/>
    <n v="45"/>
    <n v="225"/>
  </r>
  <r>
    <n v="1135"/>
    <x v="0"/>
    <n v="1"/>
    <s v="SALA CIRURGICA 05"/>
    <d v="2026-03-23T11:07:00"/>
    <d v="2026-03-23T11:30:00"/>
    <d v="2026-03-23T12:50:00"/>
    <d v="2026-03-23T13:15:00"/>
    <d v="2026-03-23T13:25:00"/>
    <d v="2026-03-23T13:30:00"/>
    <n v="2.38"/>
    <d v="2026-03-23T13:40:00"/>
    <d v="1899-12-30T02:23:00"/>
    <n v="2"/>
    <n v="23"/>
    <n v="143"/>
  </r>
  <r>
    <n v="1136"/>
    <x v="0"/>
    <n v="1"/>
    <s v="SALA CIRURGICA 06"/>
    <d v="2026-03-23T15:20:00"/>
    <d v="2026-03-23T15:30:00"/>
    <d v="2026-03-23T16:20:00"/>
    <d v="2026-03-23T17:22:00"/>
    <d v="2026-03-23T17:32:00"/>
    <d v="2026-03-23T17:35:00"/>
    <n v="2.25"/>
    <d v="2026-03-23T17:45:00"/>
    <d v="1899-12-30T02:15:00"/>
    <n v="2"/>
    <n v="15"/>
    <n v="135"/>
  </r>
  <r>
    <n v="1137"/>
    <x v="0"/>
    <n v="1"/>
    <s v="SALA CIRURGICA 01"/>
    <d v="2026-03-21T08:20:00"/>
    <d v="2026-03-21T08:35:00"/>
    <d v="2026-03-21T08:43:00"/>
    <d v="2026-03-21T09:24:00"/>
    <d v="2026-03-21T09:34:00"/>
    <d v="2026-03-21T09:40:00"/>
    <n v="1.33"/>
    <d v="2026-03-21T09:50:00"/>
    <d v="1899-12-30T01:20:00"/>
    <n v="1"/>
    <n v="20"/>
    <n v="80"/>
  </r>
  <r>
    <n v="1138"/>
    <x v="1"/>
    <n v="1"/>
    <s v="SALA CIRURGICA 03"/>
    <d v="2026-03-21T10:55:00"/>
    <d v="2026-03-21T11:15:00"/>
    <d v="2026-03-21T11:20:00"/>
    <d v="2026-03-21T12:00:00"/>
    <d v="2026-03-21T12:10:00"/>
    <d v="2026-03-21T12:15:00"/>
    <n v="1.33"/>
    <d v="2026-03-21T12:20:00"/>
    <d v="1899-12-30T01:20:00"/>
    <n v="1"/>
    <n v="20"/>
    <n v="80"/>
  </r>
  <r>
    <n v="1139"/>
    <x v="2"/>
    <n v="1"/>
    <s v="SALA CIRURGICA 03"/>
    <d v="2026-03-23T14:55:00"/>
    <d v="2026-03-23T15:00:00"/>
    <d v="2026-03-23T15:50:00"/>
    <d v="2026-03-23T18:15:00"/>
    <d v="2026-03-23T18:25:00"/>
    <d v="2026-03-23T18:35:00"/>
    <n v="3.67"/>
    <d v="2026-03-23T18:45:00"/>
    <d v="1899-12-30T03:40:00"/>
    <n v="3"/>
    <n v="40"/>
    <n v="220"/>
  </r>
  <r>
    <n v="1140"/>
    <x v="2"/>
    <n v="1"/>
    <s v="SALA CIRURGICA 03"/>
    <d v="2026-03-20T21:30:00"/>
    <d v="2026-03-20T21:45:00"/>
    <d v="2026-03-20T22:00:00"/>
    <d v="2026-03-20T22:46:00"/>
    <d v="2026-03-20T22:56:00"/>
    <d v="2026-03-21T06:20:00"/>
    <n v="8.83"/>
    <d v="2026-03-21T06:30:00"/>
    <d v="1899-12-30T08:50:00"/>
    <n v="8"/>
    <n v="50"/>
    <n v="530"/>
  </r>
  <r>
    <n v="1141"/>
    <x v="2"/>
    <n v="1"/>
    <s v="SALA CIRURGICA 02"/>
    <d v="2026-03-21T08:15:00"/>
    <d v="2026-03-21T08:45:00"/>
    <d v="2026-03-21T08:50:00"/>
    <d v="2026-03-21T14:00:00"/>
    <d v="2026-03-21T14:10:00"/>
    <d v="2026-03-21T19:55:00"/>
    <n v="11.67"/>
    <d v="2026-03-21T20:05:00"/>
    <d v="1899-12-30T11:40:00"/>
    <n v="11"/>
    <n v="40"/>
    <n v="700"/>
  </r>
  <r>
    <n v="1142"/>
    <x v="1"/>
    <n v="1"/>
    <s v="SALA CIRURGICA 03"/>
    <d v="2026-03-21T14:35:00"/>
    <d v="2026-03-21T14:50:00"/>
    <d v="2026-03-21T15:10:00"/>
    <d v="2026-03-21T15:45:00"/>
    <d v="2026-03-21T16:15:00"/>
    <d v="2026-03-21T16:20:00"/>
    <n v="1.75"/>
    <d v="2026-03-21T16:25:00"/>
    <d v="1899-12-30T01:45:00"/>
    <n v="1"/>
    <n v="45"/>
    <n v="105"/>
  </r>
  <r>
    <n v="1143"/>
    <x v="1"/>
    <n v="1"/>
    <s v="SALA CIRURGICA 01"/>
    <d v="2026-03-21T16:55:00"/>
    <d v="2026-03-21T17:05:00"/>
    <d v="2026-03-21T17:20:00"/>
    <d v="2026-03-21T18:05:00"/>
    <d v="2026-03-21T18:15:00"/>
    <d v="2026-03-21T18:20:00"/>
    <n v="1.42"/>
    <d v="2026-03-21T18:30:00"/>
    <d v="1899-12-30T01:25:00"/>
    <n v="1"/>
    <n v="25"/>
    <n v="85"/>
  </r>
  <r>
    <n v="1144"/>
    <x v="2"/>
    <n v="1"/>
    <s v="SALA CIRURGICA 01"/>
    <d v="2026-03-21T11:23:00"/>
    <d v="2026-03-21T12:00:00"/>
    <d v="2026-03-21T12:35:00"/>
    <d v="2026-03-21T14:00:00"/>
    <d v="2026-03-21T14:20:00"/>
    <d v="2026-03-21T14:30:00"/>
    <n v="3.12"/>
    <d v="2026-03-21T14:31:00"/>
    <d v="1899-12-30T03:07:00"/>
    <n v="3"/>
    <n v="7"/>
    <n v="187"/>
  </r>
  <r>
    <n v="1145"/>
    <x v="2"/>
    <n v="1"/>
    <s v="SALA CIRURGICA 01"/>
    <d v="2026-03-21T14:55:00"/>
    <d v="2026-03-21T15:05:00"/>
    <d v="2026-03-21T15:25:00"/>
    <d v="2026-03-21T17:00:00"/>
    <d v="2026-03-21T17:05:00"/>
    <d v="2026-03-21T17:10:00"/>
    <n v="2.25"/>
    <d v="2026-03-21T17:20:00"/>
    <d v="1899-12-30T02:15:00"/>
    <n v="2"/>
    <n v="15"/>
    <n v="135"/>
  </r>
  <r>
    <n v="1146"/>
    <x v="2"/>
    <n v="1"/>
    <s v="SALA CIRURGICA 01"/>
    <d v="2026-03-22T15:40:00"/>
    <d v="2026-03-22T15:45:00"/>
    <d v="2026-03-22T15:50:00"/>
    <d v="2026-03-22T16:25:00"/>
    <d v="2026-03-22T16:35:00"/>
    <d v="2026-03-22T16:40:00"/>
    <n v="1"/>
    <d v="2026-03-22T16:50:00"/>
    <d v="1899-12-30T01:00:00"/>
    <n v="1"/>
    <n v="0"/>
    <n v="60"/>
  </r>
  <r>
    <n v="1147"/>
    <x v="1"/>
    <n v="1"/>
    <s v="SALA CIRURGICA 02"/>
    <d v="2026-03-22T10:25:00"/>
    <d v="2026-03-22T10:35:00"/>
    <d v="2026-03-22T10:45:00"/>
    <d v="2026-03-22T11:30:00"/>
    <d v="2026-03-22T11:35:00"/>
    <d v="2026-03-22T11:50:00"/>
    <n v="1.42"/>
    <d v="2026-03-22T12:00:00"/>
    <d v="1899-12-30T01:25:00"/>
    <n v="1"/>
    <n v="25"/>
    <n v="85"/>
  </r>
  <r>
    <n v="1148"/>
    <x v="2"/>
    <n v="1"/>
    <s v="SALA CIRURGICA 03"/>
    <d v="2026-03-21T17:12:00"/>
    <d v="2026-03-21T17:15:00"/>
    <d v="2026-03-21T17:35:00"/>
    <d v="2026-03-21T18:10:00"/>
    <d v="2026-03-21T18:20:00"/>
    <d v="2026-03-21T18:22:00"/>
    <n v="1.17"/>
    <d v="2026-03-21T18:23:00"/>
    <d v="1899-12-30T01:10:00"/>
    <n v="1"/>
    <n v="10"/>
    <n v="70"/>
  </r>
  <r>
    <n v="1149"/>
    <x v="2"/>
    <n v="1"/>
    <s v="SALA CIRURGICA 01"/>
    <d v="2026-03-21T20:50:00"/>
    <d v="2026-03-21T21:00:00"/>
    <d v="2026-03-21T21:20:00"/>
    <d v="2026-03-21T22:15:00"/>
    <d v="2026-03-21T22:20:00"/>
    <d v="2026-03-21T22:25:00"/>
    <n v="1.58"/>
    <d v="2026-03-21T22:30:00"/>
    <d v="1899-12-30T01:35:00"/>
    <n v="1"/>
    <n v="35"/>
    <n v="95"/>
  </r>
  <r>
    <n v="1150"/>
    <x v="0"/>
    <n v="1"/>
    <s v="SALA CIRURGICA 01"/>
    <d v="2026-03-21T23:40:00"/>
    <d v="2026-03-21T23:45:00"/>
    <d v="2026-03-22T00:00:00"/>
    <d v="2026-03-22T00:52:00"/>
    <d v="2026-03-22T00:53:00"/>
    <d v="2026-03-22T00:54:00"/>
    <n v="1.23"/>
    <d v="2026-03-22T00:55:00"/>
    <d v="1899-12-30T01:14:00"/>
    <n v="1"/>
    <n v="14"/>
    <n v="74"/>
  </r>
  <r>
    <n v="1151"/>
    <x v="0"/>
    <n v="1"/>
    <s v="SALA CIRURGICA 01"/>
    <d v="2026-03-22T00:30:00"/>
    <d v="2026-03-22T00:35:00"/>
    <d v="2026-03-22T01:00:00"/>
    <d v="2026-03-22T02:36:00"/>
    <d v="2026-03-22T03:00:00"/>
    <d v="2026-03-22T03:15:00"/>
    <n v="2.75"/>
    <d v="2026-03-22T03:25:00"/>
    <d v="1899-12-30T02:45:00"/>
    <n v="2"/>
    <n v="45"/>
    <n v="165"/>
  </r>
  <r>
    <n v="1152"/>
    <x v="2"/>
    <n v="1"/>
    <s v="SALA CIRURGICA 01"/>
    <d v="2026-03-22T01:20:00"/>
    <d v="2026-03-22T01:30:00"/>
    <d v="2026-03-22T01:50:00"/>
    <d v="2026-03-22T03:30:00"/>
    <d v="2026-03-22T03:40:00"/>
    <d v="2026-03-22T03:50:00"/>
    <n v="2.5"/>
    <d v="2026-03-22T04:00:00"/>
    <d v="1899-12-30T02:30:00"/>
    <n v="2"/>
    <n v="30"/>
    <n v="150"/>
  </r>
  <r>
    <n v="1153"/>
    <x v="1"/>
    <n v="1"/>
    <s v="SALA CIRURGICA 01"/>
    <d v="2026-03-22T10:00:00"/>
    <d v="2026-03-22T10:10:00"/>
    <d v="2026-03-22T10:15:00"/>
    <d v="2026-03-22T10:40:00"/>
    <d v="2026-03-22T10:45:00"/>
    <d v="2026-03-22T11:00:00"/>
    <n v="1"/>
    <d v="2026-03-22T11:10:00"/>
    <d v="1899-12-30T01:00:00"/>
    <n v="1"/>
    <n v="0"/>
    <n v="60"/>
  </r>
  <r>
    <n v="1154"/>
    <x v="0"/>
    <n v="1"/>
    <s v="SALA CIRURGICA 02"/>
    <d v="2026-03-22T09:35:00"/>
    <d v="2026-03-22T09:40:00"/>
    <d v="2026-03-22T10:00:00"/>
    <d v="2026-03-22T10:30:00"/>
    <d v="2026-03-22T10:40:00"/>
    <d v="2026-03-22T10:45:00"/>
    <n v="1.17"/>
    <d v="2026-03-22T10:46:00"/>
    <d v="1899-12-30T01:10:00"/>
    <n v="1"/>
    <n v="10"/>
    <n v="70"/>
  </r>
  <r>
    <n v="1155"/>
    <x v="2"/>
    <n v="1"/>
    <s v="SALA CIRURGICA 01"/>
    <d v="2026-03-22T10:55:00"/>
    <d v="2026-03-22T11:25:00"/>
    <d v="2026-03-22T11:30:00"/>
    <d v="2026-03-22T12:00:00"/>
    <d v="2026-03-22T12:10:00"/>
    <d v="2026-03-22T12:11:00"/>
    <n v="1.27"/>
    <d v="2026-03-22T12:12:00"/>
    <d v="1899-12-30T01:16:00"/>
    <n v="1"/>
    <n v="16"/>
    <n v="76"/>
  </r>
  <r>
    <n v="1156"/>
    <x v="1"/>
    <n v="1"/>
    <s v="SALA CIRURGICA 02"/>
    <d v="2026-03-22T14:00:00"/>
    <d v="2026-03-22T14:10:00"/>
    <d v="2026-03-22T14:25:00"/>
    <d v="2026-03-22T15:00:00"/>
    <d v="2026-03-22T15:10:00"/>
    <d v="2026-03-22T15:15:00"/>
    <n v="1.25"/>
    <d v="2026-03-22T15:25:00"/>
    <d v="1899-12-30T01:15:00"/>
    <n v="1"/>
    <n v="15"/>
    <n v="75"/>
  </r>
  <r>
    <n v="1157"/>
    <x v="2"/>
    <n v="1"/>
    <s v="SALA CIRURGICA 01"/>
    <d v="2026-03-22T15:55:00"/>
    <d v="2026-03-22T16:15:00"/>
    <d v="2026-03-22T16:35:00"/>
    <d v="2026-03-22T17:05:00"/>
    <d v="2026-03-22T17:15:00"/>
    <d v="2026-03-22T17:35:00"/>
    <n v="1.67"/>
    <d v="2026-03-22T17:45:00"/>
    <d v="1899-12-30T01:40:00"/>
    <n v="1"/>
    <n v="40"/>
    <n v="100"/>
  </r>
  <r>
    <n v="1158"/>
    <x v="2"/>
    <n v="1"/>
    <s v="SALA CIRURGICA 02"/>
    <d v="2026-03-23T07:55:00"/>
    <d v="2026-03-23T08:10:00"/>
    <d v="2026-03-23T10:28:00"/>
    <d v="2026-03-23T10:29:00"/>
    <d v="2026-03-23T10:39:00"/>
    <d v="2026-03-23T15:00:00"/>
    <n v="7.08"/>
    <d v="2026-03-23T15:10:00"/>
    <d v="1899-12-30T07:05:00"/>
    <n v="7"/>
    <n v="5"/>
    <n v="425"/>
  </r>
  <r>
    <n v="1159"/>
    <x v="1"/>
    <n v="1"/>
    <s v="SALA CIRURGICA 01"/>
    <d v="2026-03-23T06:55:00"/>
    <d v="2026-03-23T07:30:00"/>
    <d v="2026-03-23T07:55:00"/>
    <d v="2026-03-23T09:54:00"/>
    <d v="2026-03-23T10:10:00"/>
    <d v="2026-03-23T10:30:00"/>
    <n v="3.58"/>
    <d v="2026-03-23T10:40:00"/>
    <d v="1899-12-30T03:35:00"/>
    <n v="3"/>
    <n v="35"/>
    <n v="215"/>
  </r>
  <r>
    <n v="1160"/>
    <x v="1"/>
    <n v="1"/>
    <s v="SALA CIRURGICA 06"/>
    <d v="2026-03-23T10:10:00"/>
    <d v="2026-03-23T10:20:00"/>
    <d v="2026-03-23T10:50:00"/>
    <d v="2026-03-23T13:40:00"/>
    <d v="2026-03-23T13:50:00"/>
    <d v="2026-03-23T14:00:00"/>
    <n v="3.83"/>
    <d v="2026-03-23T14:05:00"/>
    <d v="1899-12-30T03:50:00"/>
    <n v="3"/>
    <n v="50"/>
    <n v="230"/>
  </r>
  <r>
    <n v="1161"/>
    <x v="0"/>
    <n v="1"/>
    <s v="SALA CIRURGICA 02"/>
    <d v="2026-03-22T17:40:00"/>
    <d v="2026-03-22T17:55:00"/>
    <d v="2026-03-22T18:00:00"/>
    <d v="2026-03-22T18:30:00"/>
    <d v="2026-03-22T18:35:00"/>
    <d v="2026-03-22T18:40:00"/>
    <n v="1"/>
    <d v="2026-03-22T18:45:00"/>
    <d v="1899-12-30T01:00:00"/>
    <n v="1"/>
    <n v="0"/>
    <n v="60"/>
  </r>
  <r>
    <n v="1162"/>
    <x v="1"/>
    <n v="1"/>
    <s v="SALA CIRURGICA 01"/>
    <d v="2026-03-22T19:38:00"/>
    <d v="2026-03-22T19:48:00"/>
    <d v="2026-03-22T20:00:00"/>
    <d v="2026-03-22T21:10:00"/>
    <d v="2026-03-22T21:15:00"/>
    <d v="2026-03-22T21:30:00"/>
    <n v="1.87"/>
    <d v="2026-03-22T21:35:00"/>
    <d v="1899-12-30T01:52:00"/>
    <n v="1"/>
    <n v="52"/>
    <n v="112"/>
  </r>
  <r>
    <n v="1163"/>
    <x v="0"/>
    <n v="1"/>
    <s v="SALA CIRURGICA 02"/>
    <d v="2026-03-22T23:25:00"/>
    <d v="2026-03-22T23:35:00"/>
    <d v="2026-03-22T23:45:00"/>
    <d v="2026-03-23T00:40:00"/>
    <d v="2026-03-23T00:50:00"/>
    <d v="2026-03-23T00:55:00"/>
    <n v="1.5"/>
    <d v="2026-03-23T01:05:00"/>
    <d v="1899-12-30T01:30:00"/>
    <n v="1"/>
    <n v="30"/>
    <n v="90"/>
  </r>
  <r>
    <n v="1164"/>
    <x v="0"/>
    <n v="1"/>
    <s v="SALA CIRURGICA 01"/>
    <d v="2026-03-23T00:47:00"/>
    <d v="2026-03-23T01:00:00"/>
    <d v="2026-03-23T01:15:00"/>
    <d v="2026-03-23T02:04:00"/>
    <d v="2026-03-23T02:14:00"/>
    <d v="2026-03-23T02:20:00"/>
    <n v="1.55"/>
    <d v="2026-03-23T02:22:00"/>
    <d v="1899-12-30T01:33:00"/>
    <n v="1"/>
    <n v="33"/>
    <n v="93"/>
  </r>
  <r>
    <n v="1165"/>
    <x v="2"/>
    <n v="1"/>
    <s v="SALA CIRURGICA 05"/>
    <d v="2026-03-23T13:35:00"/>
    <d v="2026-03-23T13:40:00"/>
    <d v="2026-03-23T14:00:00"/>
    <d v="2026-03-23T15:55:00"/>
    <d v="2026-03-23T16:00:00"/>
    <d v="2026-03-23T16:55:00"/>
    <n v="3.33"/>
    <d v="2026-03-23T17:00:00"/>
    <d v="1899-12-30T03:20:00"/>
    <n v="3"/>
    <n v="20"/>
    <n v="200"/>
  </r>
  <r>
    <n v="1166"/>
    <x v="0"/>
    <n v="1"/>
    <s v="SALA CIRURGICA 05"/>
    <d v="2026-03-23T10:00:00"/>
    <d v="2026-03-23T10:30:00"/>
    <d v="2026-03-23T10:32:00"/>
    <d v="2026-03-23T11:00:00"/>
    <d v="2026-03-23T11:10:00"/>
    <d v="2026-03-23T12:20:00"/>
    <n v="2.33"/>
    <d v="2026-03-23T12:30:00"/>
    <d v="1899-12-30T02:20:00"/>
    <n v="2"/>
    <n v="20"/>
    <n v="140"/>
  </r>
  <r>
    <n v="1167"/>
    <x v="1"/>
    <n v="1"/>
    <s v="SALA CIRURGICA 01"/>
    <d v="2026-03-23T11:40:00"/>
    <d v="2026-03-23T12:00:00"/>
    <d v="2026-03-23T12:20:00"/>
    <d v="2026-03-23T13:02:00"/>
    <d v="2026-03-23T13:12:00"/>
    <d v="2026-03-23T13:15:00"/>
    <n v="1.58"/>
    <d v="2026-03-23T13:25:00"/>
    <d v="1899-12-30T01:35:00"/>
    <n v="1"/>
    <n v="35"/>
    <n v="95"/>
  </r>
  <r>
    <n v="1168"/>
    <x v="2"/>
    <n v="1"/>
    <s v="SALA CIRURGICA 01"/>
    <d v="2026-03-23T15:20:00"/>
    <d v="2026-03-23T15:30:00"/>
    <d v="2026-03-23T17:15:00"/>
    <d v="2026-03-23T17:45:00"/>
    <d v="2026-03-23T18:20:00"/>
    <d v="2026-03-23T19:00:00"/>
    <n v="3.67"/>
    <d v="2026-03-23T19:10:00"/>
    <d v="1899-12-30T03:40:00"/>
    <n v="3"/>
    <n v="40"/>
    <n v="220"/>
  </r>
  <r>
    <n v="1169"/>
    <x v="2"/>
    <n v="1"/>
    <s v="SALA CIRURGICA 03"/>
    <d v="2026-03-23T16:15:00"/>
    <d v="2026-03-23T16:25:00"/>
    <d v="2026-03-23T16:50:00"/>
    <d v="2026-03-23T17:20:00"/>
    <d v="2026-03-23T17:35:00"/>
    <d v="2026-03-23T17:45:00"/>
    <n v="1.5"/>
    <d v="2026-03-23T17:55:00"/>
    <d v="1899-12-30T01:30:00"/>
    <n v="1"/>
    <n v="30"/>
    <n v="90"/>
  </r>
  <r>
    <n v="1170"/>
    <x v="0"/>
    <n v="1"/>
    <s v="SALA CIRURGICA 01"/>
    <d v="2026-03-23T18:35:00"/>
    <d v="2026-03-23T18:40:00"/>
    <d v="2026-03-23T18:45:00"/>
    <d v="2026-03-23T19:20:00"/>
    <d v="2026-03-23T19:50:00"/>
    <d v="2026-03-23T20:00:00"/>
    <n v="1.42"/>
    <d v="2026-03-23T20:05:00"/>
    <d v="1899-12-30T01:25:00"/>
    <n v="1"/>
    <n v="25"/>
    <n v="85"/>
  </r>
  <r>
    <n v="1171"/>
    <x v="0"/>
    <n v="1"/>
    <s v="SALA CIRURGICA 06"/>
    <d v="2026-03-24T12:20:00"/>
    <d v="2026-03-24T12:30:00"/>
    <d v="2026-03-24T13:00:00"/>
    <d v="2026-03-24T15:50:00"/>
    <d v="2026-03-24T16:00:00"/>
    <d v="2026-03-24T16:05:00"/>
    <n v="3.75"/>
    <d v="2026-03-24T16:06:00"/>
    <d v="1899-12-30T03:45:00"/>
    <n v="3"/>
    <n v="45"/>
    <n v="225"/>
  </r>
  <r>
    <n v="1172"/>
    <x v="1"/>
    <n v="1"/>
    <s v="SALA CIRURGICA 01"/>
    <d v="2026-03-24T16:50:00"/>
    <d v="2026-03-24T17:30:00"/>
    <d v="2026-03-24T18:20:00"/>
    <d v="2026-03-24T21:08:00"/>
    <d v="2026-03-24T21:18:00"/>
    <d v="2026-03-24T21:20:00"/>
    <n v="4.5"/>
    <d v="2026-03-24T21:25:00"/>
    <d v="1899-12-30T04:30:00"/>
    <n v="4"/>
    <n v="30"/>
    <n v="270"/>
  </r>
  <r>
    <n v="1173"/>
    <x v="1"/>
    <n v="1"/>
    <s v="SALA CIRURGICA 06"/>
    <d v="2026-03-24T09:05:00"/>
    <d v="2026-03-24T09:15:00"/>
    <d v="2026-03-24T09:30:00"/>
    <d v="2026-03-24T09:40:00"/>
    <d v="2026-03-24T09:50:00"/>
    <d v="2026-03-24T10:00:00"/>
    <n v="0.92"/>
    <d v="2026-03-24T10:10:00"/>
    <d v="1899-12-30T00:55:00"/>
    <n v="0"/>
    <n v="55"/>
    <n v="55"/>
  </r>
  <r>
    <n v="1174"/>
    <x v="1"/>
    <n v="1"/>
    <s v="SALA CIRURGICA 02"/>
    <d v="2026-03-24T07:20:00"/>
    <d v="2026-03-24T07:35:00"/>
    <d v="2026-03-24T08:00:00"/>
    <d v="2026-03-24T08:35:00"/>
    <d v="2026-03-24T08:45:00"/>
    <d v="2026-03-24T09:00:00"/>
    <n v="1.67"/>
    <d v="2026-03-24T09:10:00"/>
    <d v="1899-12-30T01:40:00"/>
    <n v="1"/>
    <n v="40"/>
    <n v="100"/>
  </r>
  <r>
    <n v="1175"/>
    <x v="2"/>
    <n v="1"/>
    <s v="SALA CIRURGICA 01"/>
    <d v="2026-03-24T07:30:00"/>
    <d v="2026-03-24T07:40:00"/>
    <d v="2026-03-24T08:30:00"/>
    <d v="2026-03-24T12:15:00"/>
    <d v="2026-03-24T12:20:00"/>
    <d v="2026-03-24T12:35:00"/>
    <n v="5.08"/>
    <d v="2026-03-24T12:45:00"/>
    <d v="1899-12-30T05:05:00"/>
    <n v="5"/>
    <n v="5"/>
    <n v="305"/>
  </r>
  <r>
    <n v="1176"/>
    <x v="0"/>
    <n v="1"/>
    <s v="SALA CIRURGICA 01"/>
    <d v="2026-03-24T13:49:00"/>
    <d v="2026-03-24T13:55:00"/>
    <d v="2026-03-24T14:15:00"/>
    <d v="2026-03-24T15:00:00"/>
    <d v="2026-03-24T15:10:00"/>
    <d v="2026-03-24T15:20:00"/>
    <n v="1.52"/>
    <d v="2026-03-24T15:30:00"/>
    <d v="1899-12-30T01:31:00"/>
    <n v="1"/>
    <n v="31"/>
    <n v="91"/>
  </r>
  <r>
    <n v="1177"/>
    <x v="2"/>
    <n v="1"/>
    <s v="SALA CIRURGICA 03"/>
    <d v="2026-03-24T15:45:00"/>
    <d v="2026-03-24T15:50:00"/>
    <d v="2026-03-24T16:05:00"/>
    <d v="2026-03-24T16:45:00"/>
    <d v="2026-03-24T16:55:00"/>
    <d v="2026-03-24T17:05:00"/>
    <n v="1.33"/>
    <d v="2026-03-24T17:10:00"/>
    <d v="1899-12-30T01:20:00"/>
    <n v="1"/>
    <n v="20"/>
    <n v="80"/>
  </r>
  <r>
    <n v="1178"/>
    <x v="1"/>
    <n v="1"/>
    <s v="SALA CIRURGICA 02"/>
    <d v="2026-03-24T10:50:00"/>
    <d v="2026-03-24T10:55:00"/>
    <d v="2026-03-24T11:25:00"/>
    <d v="2026-03-24T13:10:00"/>
    <d v="2026-03-24T13:15:00"/>
    <d v="2026-03-24T13:20:00"/>
    <n v="2.5"/>
    <d v="2026-03-24T13:30:00"/>
    <d v="1899-12-30T02:30:00"/>
    <n v="2"/>
    <n v="30"/>
    <n v="150"/>
  </r>
  <r>
    <n v="1179"/>
    <x v="2"/>
    <n v="1"/>
    <s v="SALA CIRURGICA 01"/>
    <d v="2026-03-23T18:10:00"/>
    <d v="2026-03-23T18:30:00"/>
    <d v="2026-03-23T18:45:00"/>
    <d v="2026-03-23T20:36:00"/>
    <d v="2026-03-23T20:46:00"/>
    <d v="2026-03-23T22:30:00"/>
    <n v="4.33"/>
    <d v="2026-03-23T22:32:00"/>
    <d v="1899-12-30T04:20:00"/>
    <n v="4"/>
    <n v="20"/>
    <n v="260"/>
  </r>
  <r>
    <n v="1180"/>
    <x v="0"/>
    <n v="1"/>
    <s v="SALA CIRURGICA 01"/>
    <d v="2026-03-24T07:00:00"/>
    <d v="2026-03-24T07:10:00"/>
    <d v="2026-03-24T07:15:00"/>
    <d v="2026-03-24T07:20:00"/>
    <d v="2026-03-24T07:25:00"/>
    <d v="2026-03-24T07:30:00"/>
    <n v="0.5"/>
    <d v="2026-03-24T07:40:00"/>
    <d v="1899-12-30T00:30:00"/>
    <n v="0"/>
    <n v="30"/>
    <n v="30"/>
  </r>
  <r>
    <n v="1181"/>
    <x v="1"/>
    <n v="1"/>
    <s v="SALA CIRURGICA 03"/>
    <d v="2026-03-24T07:00:00"/>
    <d v="2026-03-24T07:25:00"/>
    <d v="2026-03-24T07:50:00"/>
    <d v="2026-03-24T10:50:00"/>
    <d v="2026-03-24T11:00:00"/>
    <d v="2026-03-24T11:05:00"/>
    <n v="4.08"/>
    <d v="2026-03-24T11:15:00"/>
    <d v="1899-12-30T04:05:00"/>
    <n v="4"/>
    <n v="5"/>
    <n v="245"/>
  </r>
  <r>
    <n v="1182"/>
    <x v="1"/>
    <n v="1"/>
    <s v="SALA CIRURGICA 03"/>
    <d v="2026-03-24T14:20:00"/>
    <d v="2026-03-24T14:30:00"/>
    <d v="2026-03-24T15:00:00"/>
    <d v="2026-03-24T17:30:00"/>
    <d v="2026-03-24T17:40:00"/>
    <d v="2026-03-24T17:45:00"/>
    <n v="3.42"/>
    <d v="2026-03-24T17:55:00"/>
    <d v="1899-12-30T03:25:00"/>
    <n v="3"/>
    <n v="25"/>
    <n v="205"/>
  </r>
  <r>
    <n v="1183"/>
    <x v="0"/>
    <n v="1"/>
    <s v="SALA CIRURGICA 06"/>
    <d v="2026-03-23T18:20:00"/>
    <d v="2026-03-23T18:25:00"/>
    <d v="2026-03-23T18:30:00"/>
    <d v="2026-03-23T18:38:00"/>
    <d v="2026-03-23T18:40:00"/>
    <d v="2026-03-23T18:42:00"/>
    <n v="0.37"/>
    <d v="2026-03-23T18:45:00"/>
    <d v="1899-12-30T00:22:00"/>
    <n v="0"/>
    <n v="22"/>
    <n v="22"/>
  </r>
  <r>
    <n v="1184"/>
    <x v="0"/>
    <n v="1"/>
    <s v="SALA CIRURGICA 01"/>
    <d v="2026-03-23T21:44:00"/>
    <d v="2026-03-23T21:55:00"/>
    <d v="2026-03-23T22:10:00"/>
    <d v="2026-03-23T23:10:00"/>
    <d v="2026-03-23T23:15:00"/>
    <d v="2026-03-23T23:16:00"/>
    <n v="1.53"/>
    <d v="2026-03-23T23:26:00"/>
    <d v="1899-12-30T01:32:00"/>
    <n v="1"/>
    <n v="32"/>
    <n v="92"/>
  </r>
  <r>
    <n v="1185"/>
    <x v="2"/>
    <n v="1"/>
    <s v="SALA CIRURGICA 02"/>
    <d v="2026-03-24T15:40:00"/>
    <d v="2026-03-24T15:50:00"/>
    <d v="2026-03-24T16:20:00"/>
    <d v="2026-03-24T18:30:00"/>
    <d v="2026-03-24T18:35:00"/>
    <d v="2026-03-24T18:40:00"/>
    <n v="3"/>
    <d v="2026-03-24T18:41:00"/>
    <d v="1899-12-30T03:00:00"/>
    <n v="3"/>
    <n v="0"/>
    <n v="180"/>
  </r>
  <r>
    <n v="1186"/>
    <x v="1"/>
    <n v="1"/>
    <s v="SALA CIRURGICA 03"/>
    <d v="2026-03-24T13:18:00"/>
    <d v="2026-03-24T13:25:00"/>
    <d v="2026-03-24T13:35:00"/>
    <d v="2026-03-24T14:30:00"/>
    <d v="2026-03-24T14:40:00"/>
    <d v="2026-03-24T14:45:00"/>
    <n v="1.45"/>
    <d v="2026-03-24T14:55:00"/>
    <d v="1899-12-30T01:27:00"/>
    <n v="1"/>
    <n v="27"/>
    <n v="87"/>
  </r>
  <r>
    <n v="1187"/>
    <x v="2"/>
    <n v="1"/>
    <s v="SALA CIRURGICA 01"/>
    <d v="2026-03-26T08:57:00"/>
    <d v="2026-03-26T08:58:00"/>
    <d v="2026-03-26T09:00:00"/>
    <d v="2026-03-26T09:02:00"/>
    <d v="2026-03-26T09:03:00"/>
    <d v="2026-03-26T09:15:00"/>
    <n v="0.3"/>
    <d v="2026-03-26T09:25:00"/>
    <d v="1899-12-30T00:18:00"/>
    <n v="0"/>
    <n v="18"/>
    <n v="18"/>
  </r>
  <r>
    <n v="1188"/>
    <x v="2"/>
    <n v="1"/>
    <s v="SALA CIRURGICA 02"/>
    <d v="2026-03-26T06:55:00"/>
    <d v="2026-03-26T07:05:00"/>
    <d v="2026-03-26T07:10:00"/>
    <d v="2026-03-26T07:20:00"/>
    <d v="2026-03-26T07:21:00"/>
    <d v="2026-03-26T07:30:00"/>
    <n v="0.57999999999999996"/>
    <d v="2026-03-26T07:31:00"/>
    <d v="1899-12-30T00:35:00"/>
    <n v="0"/>
    <n v="35"/>
    <n v="35"/>
  </r>
  <r>
    <n v="1189"/>
    <x v="0"/>
    <n v="1"/>
    <s v="SALA CIRURGICA 06"/>
    <d v="2026-03-25T07:00:00"/>
    <d v="2026-03-25T07:35:00"/>
    <d v="2026-03-25T08:25:00"/>
    <d v="2026-03-25T09:55:00"/>
    <d v="2026-03-25T10:05:00"/>
    <d v="2026-03-25T10:10:00"/>
    <n v="3.17"/>
    <d v="2026-03-25T10:20:00"/>
    <d v="1899-12-30T03:10:00"/>
    <n v="3"/>
    <n v="10"/>
    <n v="190"/>
  </r>
  <r>
    <n v="1190"/>
    <x v="2"/>
    <n v="1"/>
    <s v="SALA CIRURGICA 05"/>
    <d v="2026-03-25T17:50:00"/>
    <d v="2026-03-25T17:55:00"/>
    <d v="2026-03-25T18:00:00"/>
    <d v="2026-03-25T18:40:00"/>
    <d v="2026-03-25T18:45:00"/>
    <d v="2026-03-25T18:50:00"/>
    <n v="1"/>
    <d v="2026-03-25T19:00:00"/>
    <d v="1899-12-30T01:00:00"/>
    <n v="1"/>
    <n v="0"/>
    <n v="60"/>
  </r>
  <r>
    <n v="1191"/>
    <x v="1"/>
    <n v="1"/>
    <s v="SALA CIRURGICA 01"/>
    <d v="2026-03-31T09:02:00"/>
    <d v="2026-03-31T09:15:00"/>
    <d v="2026-03-31T09:18:00"/>
    <d v="2026-03-31T09:22:00"/>
    <d v="2026-03-31T09:23:00"/>
    <d v="2026-03-31T09:25:00"/>
    <n v="0.38"/>
    <d v="2026-03-31T09:35:00"/>
    <d v="1899-12-30T00:23:00"/>
    <n v="0"/>
    <n v="23"/>
    <n v="23"/>
  </r>
  <r>
    <n v="1192"/>
    <x v="1"/>
    <n v="1"/>
    <s v="SALA CIRURGICA 02"/>
    <d v="2026-03-25T07:00:00"/>
    <d v="2026-03-25T07:45:00"/>
    <d v="2026-03-25T09:00:00"/>
    <d v="2026-03-25T10:50:00"/>
    <d v="2026-03-25T11:10:00"/>
    <d v="2026-03-25T11:15:00"/>
    <n v="4.25"/>
    <d v="2026-03-25T11:16:00"/>
    <d v="1899-12-30T04:15:00"/>
    <n v="4"/>
    <n v="15"/>
    <n v="255"/>
  </r>
  <r>
    <n v="1193"/>
    <x v="0"/>
    <n v="1"/>
    <s v="SALA CIRURGICA 06"/>
    <d v="2026-03-26T08:09:00"/>
    <d v="2026-03-26T08:10:00"/>
    <d v="2026-03-26T08:11:00"/>
    <d v="2026-03-26T08:18:00"/>
    <d v="2026-03-26T08:19:00"/>
    <d v="2026-03-26T08:20:00"/>
    <n v="0.18"/>
    <d v="2026-03-26T08:21:00"/>
    <d v="1899-12-30T00:11:00"/>
    <n v="0"/>
    <n v="11"/>
    <n v="11"/>
  </r>
  <r>
    <n v="1194"/>
    <x v="1"/>
    <n v="1"/>
    <s v="SALA CIRURGICA 03"/>
    <d v="2026-03-25T06:58:00"/>
    <d v="2026-03-25T07:30:00"/>
    <d v="2026-03-25T08:05:00"/>
    <d v="2026-03-25T13:25:00"/>
    <d v="2026-03-25T13:30:00"/>
    <d v="2026-03-25T13:31:00"/>
    <n v="6.55"/>
    <d v="2026-03-25T13:32:00"/>
    <d v="1899-12-30T06:33:00"/>
    <n v="6"/>
    <n v="33"/>
    <n v="393"/>
  </r>
  <r>
    <n v="1195"/>
    <x v="2"/>
    <n v="1"/>
    <s v="SALA CIRURGICA 04"/>
    <d v="2026-03-25T11:25:00"/>
    <d v="2026-03-25T11:40:00"/>
    <d v="2026-03-25T13:20:00"/>
    <d v="2026-03-25T16:30:00"/>
    <d v="2026-03-25T17:40:00"/>
    <d v="2026-03-25T18:05:00"/>
    <n v="6.67"/>
    <d v="2026-03-25T18:06:00"/>
    <d v="1899-12-30T06:40:00"/>
    <n v="6"/>
    <n v="40"/>
    <n v="400"/>
  </r>
  <r>
    <n v="1196"/>
    <x v="1"/>
    <n v="1"/>
    <s v="SALA CIRURGICA 06"/>
    <d v="2026-03-25T07:20:00"/>
    <d v="2026-03-25T08:10:00"/>
    <d v="2026-03-25T08:40:00"/>
    <d v="2026-03-25T14:32:00"/>
    <d v="2026-03-25T14:50:00"/>
    <d v="2026-03-25T16:30:00"/>
    <n v="9.17"/>
    <d v="2026-03-25T16:37:00"/>
    <d v="1899-12-30T09:10:00"/>
    <n v="9"/>
    <n v="10"/>
    <n v="550"/>
  </r>
  <r>
    <n v="1197"/>
    <x v="0"/>
    <n v="1"/>
    <s v="SALA CIRURGICA 02"/>
    <d v="2026-03-25T17:40:00"/>
    <d v="2026-03-25T18:00:00"/>
    <d v="2026-03-25T18:20:00"/>
    <d v="2026-03-25T18:40:00"/>
    <d v="2026-03-25T18:50:00"/>
    <d v="2026-03-25T19:00:00"/>
    <n v="1.33"/>
    <d v="2026-03-25T19:01:00"/>
    <d v="1899-12-30T01:20:00"/>
    <n v="1"/>
    <n v="20"/>
    <n v="80"/>
  </r>
  <r>
    <n v="1198"/>
    <x v="0"/>
    <n v="1"/>
    <s v="SALA CIRURGICA 06"/>
    <d v="2026-03-24T18:00:00"/>
    <d v="2026-03-24T18:10:00"/>
    <d v="2026-03-24T18:12:00"/>
    <d v="2026-03-24T18:46:00"/>
    <d v="2026-03-24T18:50:00"/>
    <d v="2026-03-24T18:51:00"/>
    <n v="0.85"/>
    <d v="2026-03-24T19:01:00"/>
    <d v="1899-12-30T00:51:00"/>
    <n v="0"/>
    <n v="51"/>
    <n v="51"/>
  </r>
  <r>
    <n v="1199"/>
    <x v="1"/>
    <n v="1"/>
    <s v="SALA CIRURGICA 01"/>
    <d v="2026-03-24T18:45:00"/>
    <d v="2026-03-24T18:48:00"/>
    <d v="2026-03-24T18:50:00"/>
    <d v="2026-03-24T19:20:00"/>
    <d v="2026-03-24T19:30:00"/>
    <d v="2026-03-24T19:40:00"/>
    <n v="0.92"/>
    <d v="2026-03-24T19:50:00"/>
    <d v="1899-12-30T00:55:00"/>
    <n v="0"/>
    <n v="55"/>
    <n v="55"/>
  </r>
  <r>
    <n v="1200"/>
    <x v="1"/>
    <n v="1"/>
    <s v="SALA CIRURGICA 02"/>
    <d v="2026-03-25T04:00:00"/>
    <d v="2026-03-25T04:10:00"/>
    <d v="2026-03-25T04:20:00"/>
    <d v="2026-03-25T05:50:00"/>
    <d v="2026-03-25T06:00:00"/>
    <d v="2026-03-25T06:10:00"/>
    <n v="2.17"/>
    <d v="2026-03-25T06:20:00"/>
    <d v="1899-12-30T02:10:00"/>
    <n v="2"/>
    <n v="10"/>
    <n v="130"/>
  </r>
  <r>
    <n v="1201"/>
    <x v="2"/>
    <n v="1"/>
    <s v="SALA CIRURGICA 01"/>
    <d v="2026-03-25T07:50:00"/>
    <d v="2026-03-25T08:00:00"/>
    <d v="2026-03-25T08:30:00"/>
    <d v="2026-03-25T10:30:00"/>
    <d v="2026-03-25T10:35:00"/>
    <d v="2026-03-25T10:38:00"/>
    <n v="2.8"/>
    <d v="2026-03-25T10:48:00"/>
    <d v="1899-12-30T02:48:00"/>
    <n v="2"/>
    <n v="48"/>
    <n v="168"/>
  </r>
  <r>
    <n v="1202"/>
    <x v="1"/>
    <n v="1"/>
    <s v="SALA CIRURGICA 01"/>
    <d v="2026-03-25T15:00:00"/>
    <d v="2026-03-25T15:20:00"/>
    <d v="2026-03-25T15:30:00"/>
    <d v="2026-03-25T17:10:00"/>
    <d v="2026-03-25T17:15:00"/>
    <d v="2026-03-25T17:20:00"/>
    <n v="2.33"/>
    <d v="2026-03-25T17:30:00"/>
    <d v="1899-12-30T02:20:00"/>
    <n v="2"/>
    <n v="20"/>
    <n v="140"/>
  </r>
  <r>
    <n v="1203"/>
    <x v="2"/>
    <n v="1"/>
    <s v="SALA CIRURGICA 02"/>
    <d v="2026-03-25T11:45:00"/>
    <d v="2026-03-25T12:10:00"/>
    <d v="2026-03-25T12:45:00"/>
    <d v="2026-03-25T13:15:00"/>
    <d v="2026-03-25T13:25:00"/>
    <d v="2026-03-25T13:40:00"/>
    <n v="1.92"/>
    <d v="2026-03-25T13:45:00"/>
    <d v="1899-12-30T01:55:00"/>
    <n v="1"/>
    <n v="55"/>
    <n v="115"/>
  </r>
  <r>
    <n v="1204"/>
    <x v="2"/>
    <n v="1"/>
    <s v="SALA CIRURGICA 01"/>
    <d v="2026-03-25T11:20:00"/>
    <d v="2026-03-25T11:35:00"/>
    <d v="2026-03-25T11:57:00"/>
    <d v="2026-03-25T13:50:00"/>
    <d v="2026-03-25T14:00:00"/>
    <d v="2026-03-25T14:15:00"/>
    <n v="2.92"/>
    <d v="2026-03-25T14:25:00"/>
    <d v="1899-12-30T02:55:00"/>
    <n v="2"/>
    <n v="55"/>
    <n v="175"/>
  </r>
  <r>
    <n v="1205"/>
    <x v="2"/>
    <n v="1"/>
    <s v="SALA CIRURGICA 01"/>
    <d v="2026-03-25T14:50:00"/>
    <d v="2026-03-25T15:00:00"/>
    <d v="2026-03-25T15:20:00"/>
    <d v="2026-03-25T17:10:00"/>
    <d v="2026-03-25T17:20:00"/>
    <d v="2026-03-25T17:45:00"/>
    <n v="2.92"/>
    <d v="2026-03-25T17:46:00"/>
    <d v="1899-12-30T02:55:00"/>
    <n v="2"/>
    <n v="55"/>
    <n v="175"/>
  </r>
  <r>
    <n v="1206"/>
    <x v="2"/>
    <n v="1"/>
    <s v="SALA CIRURGICA 02"/>
    <d v="2026-03-26T07:00:00"/>
    <d v="2026-03-26T07:15:00"/>
    <d v="2026-03-26T08:20:00"/>
    <d v="2026-03-26T13:20:00"/>
    <d v="2026-03-26T13:40:00"/>
    <d v="2026-03-26T13:50:00"/>
    <n v="6.83"/>
    <d v="2026-03-26T14:00:00"/>
    <d v="1899-12-30T06:50:00"/>
    <n v="6"/>
    <n v="50"/>
    <n v="410"/>
  </r>
  <r>
    <n v="1207"/>
    <x v="0"/>
    <n v="1"/>
    <s v="SALA CIRURGICA 03"/>
    <d v="2026-03-26T07:00:00"/>
    <d v="2026-03-26T07:35:00"/>
    <d v="2026-03-26T07:45:00"/>
    <d v="2026-03-26T09:10:00"/>
    <d v="2026-03-26T09:20:00"/>
    <d v="2026-03-26T09:25:00"/>
    <n v="2.42"/>
    <d v="2026-03-26T09:35:00"/>
    <d v="1899-12-30T02:25:00"/>
    <n v="2"/>
    <n v="25"/>
    <n v="145"/>
  </r>
  <r>
    <n v="1208"/>
    <x v="2"/>
    <n v="1"/>
    <s v="SALA CIRURGICA 01"/>
    <d v="2026-03-26T07:00:00"/>
    <d v="2026-03-26T07:30:00"/>
    <d v="2026-03-26T08:00:00"/>
    <d v="2026-03-26T08:30:00"/>
    <d v="2026-03-26T08:40:00"/>
    <d v="2026-03-26T08:45:00"/>
    <n v="1.75"/>
    <d v="2026-03-26T08:55:00"/>
    <d v="1899-12-30T01:45:00"/>
    <n v="1"/>
    <n v="45"/>
    <n v="105"/>
  </r>
  <r>
    <n v="1209"/>
    <x v="2"/>
    <n v="1"/>
    <s v="SALA CIRURGICA 06"/>
    <d v="2026-03-25T15:10:00"/>
    <d v="2026-03-25T15:25:00"/>
    <d v="2026-03-25T15:55:00"/>
    <d v="2026-03-25T16:40:00"/>
    <d v="2026-03-25T16:45:00"/>
    <d v="2026-03-25T16:50:00"/>
    <n v="1.67"/>
    <d v="2026-03-25T17:00:00"/>
    <d v="1899-12-30T01:40:00"/>
    <n v="1"/>
    <n v="40"/>
    <n v="100"/>
  </r>
  <r>
    <n v="1210"/>
    <x v="1"/>
    <n v="1"/>
    <s v="SALA CIRURGICA 01"/>
    <d v="2026-03-26T17:00:00"/>
    <d v="2026-03-26T17:10:00"/>
    <d v="2026-03-26T17:40:00"/>
    <d v="2026-03-26T18:35:00"/>
    <d v="2026-03-26T18:40:00"/>
    <d v="2026-03-26T18:45:00"/>
    <n v="1.75"/>
    <d v="2026-03-26T18:50:00"/>
    <d v="1899-12-30T01:45:00"/>
    <n v="1"/>
    <n v="45"/>
    <n v="105"/>
  </r>
  <r>
    <n v="1211"/>
    <x v="1"/>
    <n v="1"/>
    <s v="SALA CIRURGICA 03"/>
    <d v="2026-03-26T07:00:00"/>
    <d v="2026-03-26T07:30:00"/>
    <d v="2026-03-26T09:00:00"/>
    <d v="2026-03-26T09:50:00"/>
    <d v="2026-03-26T09:55:00"/>
    <d v="2026-03-26T09:58:00"/>
    <n v="2.97"/>
    <d v="2026-03-26T10:08:00"/>
    <d v="1899-12-30T02:58:00"/>
    <n v="2"/>
    <n v="58"/>
    <n v="178"/>
  </r>
  <r>
    <n v="1212"/>
    <x v="2"/>
    <n v="1"/>
    <s v="SALA CIRURGICA 02"/>
    <d v="2026-03-26T17:40:00"/>
    <d v="2026-03-26T17:50:00"/>
    <d v="2026-03-26T18:10:00"/>
    <d v="2026-03-26T19:15:00"/>
    <d v="2026-03-26T19:20:00"/>
    <d v="2026-03-26T19:21:00"/>
    <n v="1.68"/>
    <d v="2026-03-26T19:22:00"/>
    <d v="1899-12-30T01:41:00"/>
    <n v="1"/>
    <n v="41"/>
    <n v="101"/>
  </r>
  <r>
    <n v="1213"/>
    <x v="0"/>
    <n v="1"/>
    <s v="SALA CIRURGICA 01"/>
    <d v="2026-03-25T21:10:00"/>
    <d v="2026-03-25T21:25:00"/>
    <d v="2026-03-25T21:35:00"/>
    <d v="2026-03-25T22:10:00"/>
    <d v="2026-03-25T22:15:00"/>
    <d v="2026-03-25T22:28:00"/>
    <n v="1.3"/>
    <d v="2026-03-25T22:29:00"/>
    <d v="1899-12-30T01:18:00"/>
    <n v="1"/>
    <n v="18"/>
    <n v="78"/>
  </r>
  <r>
    <n v="1214"/>
    <x v="0"/>
    <n v="1"/>
    <s v="SALA CIRURGICA 01"/>
    <d v="2026-03-25T21:10:00"/>
    <d v="2026-03-25T21:40:00"/>
    <d v="2026-03-25T22:10:00"/>
    <d v="2026-03-25T22:45:00"/>
    <d v="2026-03-25T22:55:00"/>
    <d v="2026-03-25T23:00:00"/>
    <n v="1.83"/>
    <d v="2026-03-25T23:10:00"/>
    <d v="1899-12-30T01:50:00"/>
    <n v="1"/>
    <n v="50"/>
    <n v="110"/>
  </r>
  <r>
    <n v="1215"/>
    <x v="2"/>
    <n v="1"/>
    <s v="SALA CIRURGICA 01"/>
    <d v="2026-03-25T23:29:00"/>
    <d v="2026-03-25T23:30:00"/>
    <d v="2026-03-25T23:45:00"/>
    <d v="2026-03-25T23:59:00"/>
    <d v="2026-03-26T00:09:00"/>
    <d v="2026-03-26T00:15:00"/>
    <n v="0.77"/>
    <d v="2026-03-26T00:25:00"/>
    <d v="1899-12-30T00:46:00"/>
    <n v="0"/>
    <n v="46"/>
    <n v="46"/>
  </r>
  <r>
    <n v="1216"/>
    <x v="1"/>
    <n v="1"/>
    <s v="SALA CIRURGICA 01"/>
    <d v="2026-03-26T09:20:00"/>
    <d v="2026-03-26T09:50:00"/>
    <d v="2026-03-26T10:05:00"/>
    <d v="2026-03-26T12:10:00"/>
    <d v="2026-03-26T12:20:00"/>
    <d v="2026-03-26T12:21:00"/>
    <n v="3.02"/>
    <d v="2026-03-26T12:25:00"/>
    <d v="1899-12-30T03:01:00"/>
    <n v="3"/>
    <n v="1"/>
    <n v="181"/>
  </r>
  <r>
    <n v="1217"/>
    <x v="1"/>
    <n v="1"/>
    <s v="SALA CIRURGICA 01"/>
    <d v="2026-03-26T13:35:00"/>
    <d v="2026-03-26T13:45:00"/>
    <d v="2026-03-26T14:00:00"/>
    <d v="2026-03-26T15:00:00"/>
    <d v="2026-03-26T15:10:00"/>
    <d v="2026-03-26T15:15:00"/>
    <n v="1.67"/>
    <d v="2026-03-26T15:25:00"/>
    <d v="1899-12-30T01:40:00"/>
    <n v="1"/>
    <n v="40"/>
    <n v="100"/>
  </r>
  <r>
    <n v="1218"/>
    <x v="0"/>
    <n v="1"/>
    <s v="SALA CIRURGICA 06"/>
    <d v="2026-03-26T10:00:00"/>
    <d v="2026-03-26T10:15:00"/>
    <d v="2026-03-26T10:45:00"/>
    <d v="2026-03-26T13:16:00"/>
    <d v="2026-03-26T13:26:00"/>
    <d v="2026-03-26T14:45:00"/>
    <n v="4.75"/>
    <d v="2026-03-26T14:55:00"/>
    <d v="1899-12-30T04:45:00"/>
    <n v="4"/>
    <n v="45"/>
    <n v="285"/>
  </r>
  <r>
    <n v="1219"/>
    <x v="0"/>
    <n v="1"/>
    <s v="SALA CIRURGICA 01"/>
    <d v="2026-03-26T10:55:00"/>
    <d v="2026-03-26T11:10:00"/>
    <d v="2026-03-26T11:50:00"/>
    <d v="2026-03-26T13:10:00"/>
    <d v="2026-03-26T13:20:00"/>
    <d v="2026-03-26T13:35:00"/>
    <n v="2.67"/>
    <d v="2026-03-26T13:36:00"/>
    <d v="1899-12-30T02:40:00"/>
    <n v="2"/>
    <n v="40"/>
    <n v="160"/>
  </r>
  <r>
    <n v="1220"/>
    <x v="1"/>
    <n v="1"/>
    <s v="SALA CIRURGICA 01"/>
    <d v="2026-03-26T11:00:00"/>
    <d v="2026-03-26T11:15:00"/>
    <d v="2026-03-26T11:25:00"/>
    <d v="2026-03-26T15:50:00"/>
    <d v="2026-03-26T16:00:00"/>
    <d v="2026-03-26T16:02:00"/>
    <n v="5.03"/>
    <d v="2026-03-26T16:07:00"/>
    <d v="1899-12-30T05:02:00"/>
    <n v="5"/>
    <n v="2"/>
    <n v="302"/>
  </r>
  <r>
    <n v="1221"/>
    <x v="2"/>
    <n v="1"/>
    <s v="SALA CIRURGICA 05"/>
    <d v="2026-03-26T15:00:00"/>
    <d v="2026-03-26T15:02:00"/>
    <d v="2026-03-26T15:25:00"/>
    <d v="2026-03-26T15:50:00"/>
    <d v="2026-03-26T16:00:00"/>
    <d v="2026-03-26T20:15:00"/>
    <n v="5.25"/>
    <d v="2026-03-26T20:25:00"/>
    <d v="1899-12-30T05:15:00"/>
    <n v="5"/>
    <n v="15"/>
    <n v="315"/>
  </r>
  <r>
    <n v="1222"/>
    <x v="1"/>
    <n v="1"/>
    <s v="SALA CIRURGICA 06"/>
    <d v="2026-03-26T14:55:00"/>
    <d v="2026-03-26T15:15:00"/>
    <d v="2026-03-26T15:35:00"/>
    <d v="2026-03-26T16:23:00"/>
    <d v="2026-03-26T16:40:00"/>
    <d v="2026-03-26T16:50:00"/>
    <n v="1.92"/>
    <d v="2026-03-26T17:00:00"/>
    <d v="1899-12-30T01:55:00"/>
    <n v="1"/>
    <n v="55"/>
    <n v="115"/>
  </r>
  <r>
    <n v="1223"/>
    <x v="0"/>
    <n v="1"/>
    <s v="SALA CIRURGICA 01"/>
    <d v="2026-03-26T15:55:00"/>
    <d v="2026-03-26T16:10:00"/>
    <d v="2026-03-26T16:35:00"/>
    <d v="2026-03-26T17:40:00"/>
    <d v="2026-03-26T17:50:00"/>
    <d v="2026-03-26T17:55:00"/>
    <n v="2"/>
    <d v="2026-03-26T17:56:00"/>
    <d v="1899-12-30T02:00:00"/>
    <n v="2"/>
    <n v="0"/>
    <n v="120"/>
  </r>
  <r>
    <n v="1224"/>
    <x v="0"/>
    <n v="1"/>
    <s v="SALA CIRURGICA 02"/>
    <d v="2026-03-26T14:55:00"/>
    <d v="2026-03-26T15:20:00"/>
    <d v="2026-03-26T15:25:00"/>
    <d v="2026-03-26T15:50:00"/>
    <d v="2026-03-26T16:00:00"/>
    <d v="2026-03-26T16:25:00"/>
    <n v="1.5"/>
    <d v="2026-03-26T16:26:00"/>
    <d v="1899-12-30T01:30:00"/>
    <n v="1"/>
    <n v="30"/>
    <n v="90"/>
  </r>
  <r>
    <n v="1225"/>
    <x v="0"/>
    <n v="1"/>
    <s v="SALA CIRURGICA 06"/>
    <d v="2026-03-31T06:55:00"/>
    <d v="2026-03-31T07:25:00"/>
    <d v="2026-03-31T07:40:00"/>
    <d v="2026-03-31T08:20:00"/>
    <d v="2026-03-31T08:25:00"/>
    <d v="2026-03-31T08:40:00"/>
    <n v="1.75"/>
    <d v="2026-03-31T08:45:00"/>
    <d v="1899-12-30T01:45:00"/>
    <n v="1"/>
    <n v="45"/>
    <n v="105"/>
  </r>
  <r>
    <n v="1226"/>
    <x v="1"/>
    <n v="1"/>
    <s v="SALA CIRURGICA 01"/>
    <d v="2026-03-27T17:20:00"/>
    <d v="2026-03-27T17:40:00"/>
    <d v="2026-03-27T18:00:00"/>
    <d v="2026-03-27T20:00:00"/>
    <d v="2026-03-27T20:05:00"/>
    <d v="2026-03-27T20:08:00"/>
    <n v="2.8"/>
    <d v="2026-03-27T20:18:00"/>
    <d v="1899-12-30T02:48:00"/>
    <n v="2"/>
    <n v="48"/>
    <n v="168"/>
  </r>
  <r>
    <n v="1227"/>
    <x v="2"/>
    <n v="1"/>
    <s v="SALA CIRURGICA 06"/>
    <d v="2026-03-27T07:10:00"/>
    <d v="2026-03-27T07:50:00"/>
    <d v="2026-03-27T08:30:00"/>
    <d v="2026-03-27T10:05:00"/>
    <d v="2026-03-27T10:10:00"/>
    <d v="2026-03-27T10:14:00"/>
    <n v="3.07"/>
    <d v="2026-03-27T10:25:00"/>
    <d v="1899-12-30T03:04:00"/>
    <n v="3"/>
    <n v="4"/>
    <n v="184"/>
  </r>
  <r>
    <n v="1228"/>
    <x v="2"/>
    <n v="1"/>
    <s v="SALA CIRURGICA 02"/>
    <d v="2026-03-27T07:00:00"/>
    <d v="2026-03-27T07:30:00"/>
    <d v="2026-03-27T08:50:00"/>
    <d v="2026-03-27T12:10:00"/>
    <d v="2026-03-27T12:20:00"/>
    <d v="2026-03-27T15:00:00"/>
    <n v="8"/>
    <d v="2026-03-27T15:03:00"/>
    <d v="1899-12-30T08:00:00"/>
    <n v="8"/>
    <n v="0"/>
    <n v="480"/>
  </r>
  <r>
    <n v="1229"/>
    <x v="2"/>
    <n v="1"/>
    <s v="SALA CIRURGICA 01"/>
    <d v="2026-03-27T11:08:00"/>
    <d v="2026-03-27T11:15:00"/>
    <d v="2026-03-27T12:15:00"/>
    <d v="2026-03-27T14:50:00"/>
    <d v="2026-03-27T15:25:00"/>
    <d v="2026-03-27T15:30:00"/>
    <n v="4.37"/>
    <d v="2026-03-27T15:40:00"/>
    <d v="1899-12-30T04:22:00"/>
    <n v="4"/>
    <n v="22"/>
    <n v="262"/>
  </r>
  <r>
    <n v="1230"/>
    <x v="1"/>
    <n v="1"/>
    <s v="SALA CIRURGICA 05"/>
    <d v="2026-03-27T16:30:00"/>
    <d v="2026-03-27T16:45:00"/>
    <d v="2026-03-27T17:05:00"/>
    <d v="2026-03-27T17:30:00"/>
    <d v="2026-03-27T17:40:00"/>
    <d v="2026-03-27T17:41:00"/>
    <n v="1.18"/>
    <d v="2026-03-27T17:42:00"/>
    <d v="1899-12-30T01:11:00"/>
    <n v="1"/>
    <n v="11"/>
    <n v="71"/>
  </r>
  <r>
    <n v="1231"/>
    <x v="2"/>
    <n v="1"/>
    <s v="SALA CIRURGICA 05"/>
    <d v="2026-03-27T18:00:00"/>
    <d v="2026-03-27T18:10:00"/>
    <d v="2026-03-27T18:20:00"/>
    <d v="2026-03-27T18:40:00"/>
    <d v="2026-03-27T18:42:00"/>
    <d v="2026-03-27T18:45:00"/>
    <n v="0.75"/>
    <d v="2026-03-27T19:00:00"/>
    <d v="1899-12-30T00:45:00"/>
    <n v="0"/>
    <n v="45"/>
    <n v="45"/>
  </r>
  <r>
    <n v="1232"/>
    <x v="0"/>
    <n v="1"/>
    <s v="SALA CIRURGICA 01"/>
    <d v="2026-03-27T11:50:00"/>
    <d v="2026-03-27T11:55:00"/>
    <d v="2026-03-27T12:00:00"/>
    <d v="2026-03-27T12:10:00"/>
    <d v="2026-03-27T12:30:00"/>
    <d v="2026-03-27T12:35:00"/>
    <n v="0.75"/>
    <d v="2026-03-27T12:45:00"/>
    <d v="1899-12-30T00:45:00"/>
    <n v="0"/>
    <n v="45"/>
    <n v="45"/>
  </r>
  <r>
    <n v="1233"/>
    <x v="1"/>
    <n v="1"/>
    <s v="SALA CIRURGICA 05"/>
    <d v="2026-03-27T07:00:00"/>
    <d v="2026-03-27T08:15:00"/>
    <d v="2026-03-27T08:45:00"/>
    <d v="2026-03-27T11:10:00"/>
    <d v="2026-03-27T11:15:00"/>
    <d v="2026-03-27T11:18:00"/>
    <n v="4.3"/>
    <d v="2026-03-27T11:28:00"/>
    <d v="1899-12-30T04:18:00"/>
    <n v="4"/>
    <n v="18"/>
    <n v="258"/>
  </r>
  <r>
    <n v="1234"/>
    <x v="2"/>
    <n v="1"/>
    <s v="SALA CIRURGICA 02"/>
    <d v="2026-03-26T19:50:00"/>
    <d v="2026-03-26T20:00:00"/>
    <d v="2026-03-26T20:20:00"/>
    <d v="2026-03-26T21:30:00"/>
    <d v="2026-03-26T21:40:00"/>
    <d v="2026-03-26T22:00:00"/>
    <n v="2.17"/>
    <d v="2026-03-26T22:10:00"/>
    <d v="1899-12-30T02:10:00"/>
    <n v="2"/>
    <n v="10"/>
    <n v="130"/>
  </r>
  <r>
    <n v="1235"/>
    <x v="1"/>
    <n v="1"/>
    <s v="SALA CIRURGICA 03"/>
    <d v="2026-03-26T21:00:00"/>
    <d v="2026-03-26T21:10:00"/>
    <d v="2026-03-26T22:20:00"/>
    <d v="2026-03-26T23:30:00"/>
    <d v="2026-03-26T23:40:00"/>
    <d v="2026-03-27T01:58:00"/>
    <n v="4.97"/>
    <d v="2026-03-27T02:01:00"/>
    <d v="1899-12-30T04:58:00"/>
    <n v="4"/>
    <n v="58"/>
    <n v="298"/>
  </r>
  <r>
    <n v="1236"/>
    <x v="2"/>
    <n v="1"/>
    <s v="SALA CIRURGICA 03"/>
    <d v="2026-03-26T22:40:00"/>
    <d v="2026-03-26T22:45:00"/>
    <d v="2026-03-26T22:55:00"/>
    <d v="2026-03-26T23:00:00"/>
    <d v="2026-03-26T23:10:00"/>
    <d v="2026-03-26T23:18:00"/>
    <n v="0.63"/>
    <d v="2026-03-26T23:20:00"/>
    <d v="1899-12-30T00:38:00"/>
    <n v="0"/>
    <n v="38"/>
    <n v="38"/>
  </r>
  <r>
    <n v="1237"/>
    <x v="1"/>
    <n v="1"/>
    <s v="SALA CIRURGICA 01"/>
    <d v="2026-03-26T23:00:00"/>
    <d v="2026-03-26T23:05:00"/>
    <d v="2026-03-26T23:10:00"/>
    <d v="2026-03-27T00:30:00"/>
    <d v="2026-03-27T00:40:00"/>
    <d v="2026-03-27T00:45:00"/>
    <n v="1.75"/>
    <d v="2026-03-27T00:55:00"/>
    <d v="1899-12-30T01:45:00"/>
    <n v="1"/>
    <n v="45"/>
    <n v="105"/>
  </r>
  <r>
    <n v="1238"/>
    <x v="1"/>
    <n v="1"/>
    <s v="SALA CIRURGICA 03"/>
    <d v="2026-03-27T07:10:00"/>
    <d v="2026-03-27T08:00:00"/>
    <d v="2026-03-27T08:30:00"/>
    <d v="2026-03-27T09:01:00"/>
    <d v="2026-03-27T09:10:00"/>
    <d v="2026-03-27T14:00:00"/>
    <n v="6.83"/>
    <d v="2026-03-27T14:10:00"/>
    <d v="1899-12-30T06:50:00"/>
    <n v="6"/>
    <n v="50"/>
    <n v="410"/>
  </r>
  <r>
    <n v="1239"/>
    <x v="2"/>
    <n v="1"/>
    <s v="SALA CIRURGICA 01"/>
    <d v="2026-03-27T08:50:00"/>
    <d v="2026-03-27T08:55:00"/>
    <d v="2026-03-27T09:14:00"/>
    <d v="2026-03-27T13:00:00"/>
    <d v="2026-03-27T13:05:00"/>
    <d v="2026-03-27T13:45:00"/>
    <n v="4.92"/>
    <d v="2026-03-27T13:46:00"/>
    <d v="1899-12-30T04:55:00"/>
    <n v="4"/>
    <n v="55"/>
    <n v="295"/>
  </r>
  <r>
    <n v="1240"/>
    <x v="2"/>
    <n v="1"/>
    <s v="SALA CIRURGICA 05"/>
    <d v="2026-03-27T13:57:00"/>
    <d v="2026-03-27T14:15:00"/>
    <d v="2026-03-27T14:20:00"/>
    <d v="2026-03-27T15:50:00"/>
    <d v="2026-03-27T15:55:00"/>
    <d v="2026-03-27T16:00:00"/>
    <n v="2.0499999999999998"/>
    <d v="2026-03-27T16:10:00"/>
    <d v="1899-12-30T02:03:00"/>
    <n v="2"/>
    <n v="3"/>
    <n v="123"/>
  </r>
  <r>
    <n v="1241"/>
    <x v="0"/>
    <n v="1"/>
    <s v="SALA CIRURGICA 05"/>
    <d v="2026-03-27T12:00:00"/>
    <d v="2026-03-27T12:10:00"/>
    <d v="2026-03-27T12:35:00"/>
    <d v="2026-03-27T12:40:00"/>
    <d v="2026-03-27T12:45:00"/>
    <d v="2026-03-27T12:50:00"/>
    <n v="0.83"/>
    <d v="2026-03-27T12:52:00"/>
    <d v="1899-12-30T00:50:00"/>
    <n v="0"/>
    <n v="50"/>
    <n v="50"/>
  </r>
  <r>
    <n v="1242"/>
    <x v="2"/>
    <n v="1"/>
    <s v="SALA CIRURGICA 01"/>
    <d v="2026-03-27T15:15:00"/>
    <d v="2026-03-27T15:20:00"/>
    <d v="2026-03-27T15:50:00"/>
    <d v="2026-03-27T16:40:00"/>
    <d v="2026-03-27T16:45:00"/>
    <d v="2026-03-27T16:50:00"/>
    <n v="1.58"/>
    <d v="2026-03-27T17:00:00"/>
    <d v="1899-12-30T01:35:00"/>
    <n v="1"/>
    <n v="35"/>
    <n v="95"/>
  </r>
  <r>
    <n v="1243"/>
    <x v="1"/>
    <n v="1"/>
    <s v="SALA CIRURGICA 03"/>
    <d v="2026-03-27T15:24:00"/>
    <d v="2026-03-27T16:00:00"/>
    <d v="2026-03-27T16:05:00"/>
    <d v="2026-03-27T16:51:00"/>
    <d v="2026-03-27T16:56:00"/>
    <d v="2026-03-27T17:00:00"/>
    <n v="1.6"/>
    <d v="2026-03-27T17:05:00"/>
    <d v="1899-12-30T01:36:00"/>
    <n v="1"/>
    <n v="36"/>
    <n v="96"/>
  </r>
  <r>
    <n v="1244"/>
    <x v="2"/>
    <n v="1"/>
    <s v="SALA CIRURGICA 02"/>
    <d v="2026-03-28T15:45:00"/>
    <d v="2026-03-28T15:46:00"/>
    <d v="2026-03-28T15:55:00"/>
    <d v="2026-03-28T17:41:00"/>
    <d v="2026-03-28T17:45:00"/>
    <d v="2026-03-28T17:46:00"/>
    <n v="2.02"/>
    <d v="2026-03-28T17:47:00"/>
    <d v="1899-12-30T02:01:00"/>
    <n v="2"/>
    <n v="1"/>
    <n v="121"/>
  </r>
  <r>
    <n v="1245"/>
    <x v="0"/>
    <n v="1"/>
    <s v="SALA CIRURGICA 02"/>
    <d v="2026-03-28T08:30:00"/>
    <d v="2026-03-28T08:45:00"/>
    <d v="2026-03-28T09:15:00"/>
    <d v="2026-03-28T09:55:00"/>
    <d v="2026-03-28T10:00:00"/>
    <d v="2026-03-28T10:05:00"/>
    <n v="1.58"/>
    <d v="2026-03-28T10:15:00"/>
    <d v="1899-12-30T01:35:00"/>
    <n v="1"/>
    <n v="35"/>
    <n v="95"/>
  </r>
  <r>
    <n v="1246"/>
    <x v="1"/>
    <n v="1"/>
    <s v="SALA CIRURGICA 01"/>
    <d v="2026-03-27T16:00:00"/>
    <d v="2026-03-27T16:15:00"/>
    <d v="2026-03-27T16:40:00"/>
    <d v="2026-03-27T20:05:00"/>
    <d v="2026-03-27T20:15:00"/>
    <d v="2026-03-27T20:16:00"/>
    <n v="4.2699999999999996"/>
    <d v="2026-03-27T20:26:00"/>
    <d v="1899-12-30T04:16:00"/>
    <n v="4"/>
    <n v="16"/>
    <n v="256"/>
  </r>
  <r>
    <n v="1247"/>
    <x v="2"/>
    <n v="1"/>
    <s v="SALA CIRURGICA 01"/>
    <d v="2026-03-27T16:45:00"/>
    <d v="2026-03-27T17:00:00"/>
    <d v="2026-03-27T17:50:00"/>
    <d v="2026-03-27T18:59:00"/>
    <d v="2026-03-27T19:10:00"/>
    <d v="2026-03-27T19:15:00"/>
    <n v="2.5"/>
    <d v="2026-03-27T19:20:00"/>
    <d v="1899-12-30T02:30:00"/>
    <n v="2"/>
    <n v="30"/>
    <n v="150"/>
  </r>
  <r>
    <n v="1248"/>
    <x v="0"/>
    <n v="1"/>
    <s v="SALA CIRURGICA 06"/>
    <d v="2026-03-30T07:00:00"/>
    <d v="2026-03-30T07:44:00"/>
    <d v="2026-03-30T08:10:00"/>
    <d v="2026-03-30T10:40:00"/>
    <d v="2026-03-30T10:50:00"/>
    <d v="2026-03-30T11:00:00"/>
    <n v="4"/>
    <d v="2026-03-30T11:05:00"/>
    <d v="1899-12-30T04:00:00"/>
    <n v="4"/>
    <n v="0"/>
    <n v="240"/>
  </r>
  <r>
    <n v="1249"/>
    <x v="0"/>
    <n v="1"/>
    <s v="SALA CIRURGICA 01"/>
    <d v="2026-03-27T20:45:00"/>
    <d v="2026-03-27T20:55:00"/>
    <d v="2026-03-27T21:00:00"/>
    <d v="2026-03-27T21:20:00"/>
    <d v="2026-03-27T21:25:00"/>
    <d v="2026-03-27T21:30:00"/>
    <n v="0.75"/>
    <d v="2026-03-27T21:35:00"/>
    <d v="1899-12-30T00:45:00"/>
    <n v="0"/>
    <n v="45"/>
    <n v="45"/>
  </r>
  <r>
    <n v="1250"/>
    <x v="1"/>
    <n v="1"/>
    <s v="SALA CIRURGICA 01"/>
    <d v="2026-03-27T21:20:00"/>
    <d v="2026-03-27T21:35:00"/>
    <d v="2026-03-27T22:05:00"/>
    <d v="2026-03-27T23:20:00"/>
    <d v="2026-03-27T23:35:00"/>
    <d v="2026-03-27T23:45:00"/>
    <n v="2.42"/>
    <d v="2026-03-27T23:55:00"/>
    <d v="1899-12-30T02:25:00"/>
    <n v="2"/>
    <n v="25"/>
    <n v="145"/>
  </r>
  <r>
    <n v="1251"/>
    <x v="0"/>
    <n v="1"/>
    <s v="SALA CIRURGICA 01"/>
    <d v="2026-03-27T23:00:00"/>
    <d v="2026-03-27T23:10:00"/>
    <d v="2026-03-27T23:30:00"/>
    <d v="2026-03-27T23:45:00"/>
    <d v="2026-03-27T23:48:00"/>
    <d v="2026-03-27T23:49:00"/>
    <n v="0.82"/>
    <d v="2026-03-27T23:50:00"/>
    <d v="1899-12-30T00:49:00"/>
    <n v="0"/>
    <n v="49"/>
    <n v="49"/>
  </r>
  <r>
    <n v="1252"/>
    <x v="0"/>
    <n v="1"/>
    <s v="SALA CIRURGICA 01"/>
    <d v="2026-03-27T22:50:00"/>
    <d v="2026-03-27T23:00:00"/>
    <d v="2026-03-27T23:15:00"/>
    <d v="2026-03-28T00:45:00"/>
    <d v="2026-03-28T00:55:00"/>
    <d v="2026-03-28T00:59:00"/>
    <n v="2.15"/>
    <d v="2026-03-28T01:09:00"/>
    <d v="1899-12-30T02:09:00"/>
    <n v="2"/>
    <n v="9"/>
    <n v="129"/>
  </r>
  <r>
    <n v="1253"/>
    <x v="0"/>
    <n v="1"/>
    <s v="SALA CIRURGICA 01"/>
    <d v="2026-03-28T02:20:00"/>
    <d v="2026-03-28T02:25:00"/>
    <d v="2026-03-28T02:30:00"/>
    <d v="2026-03-28T02:59:00"/>
    <d v="2026-03-28T03:09:00"/>
    <d v="2026-03-28T03:10:00"/>
    <n v="0.83"/>
    <d v="2026-03-28T03:11:00"/>
    <d v="1899-12-30T00:50:00"/>
    <n v="0"/>
    <n v="50"/>
    <n v="50"/>
  </r>
  <r>
    <n v="1254"/>
    <x v="2"/>
    <n v="1"/>
    <s v="SALA CIRURGICA 01"/>
    <d v="2026-03-28T01:25:00"/>
    <d v="2026-03-28T01:40:00"/>
    <d v="2026-03-28T01:50:00"/>
    <d v="2026-03-28T02:00:00"/>
    <d v="2026-03-28T02:10:00"/>
    <d v="2026-03-28T02:15:00"/>
    <n v="0.83"/>
    <d v="2026-03-28T02:25:00"/>
    <d v="1899-12-30T00:50:00"/>
    <n v="0"/>
    <n v="50"/>
    <n v="50"/>
  </r>
  <r>
    <n v="1255"/>
    <x v="1"/>
    <n v="1"/>
    <s v="SALA CIRURGICA 01"/>
    <d v="2026-03-28T10:10:00"/>
    <d v="2026-03-28T10:20:00"/>
    <d v="2026-03-28T10:55:00"/>
    <d v="2026-03-28T12:37:00"/>
    <d v="2026-03-28T12:47:00"/>
    <d v="2026-03-28T14:15:00"/>
    <n v="4.08"/>
    <d v="2026-03-28T14:25:00"/>
    <d v="1899-12-30T04:05:00"/>
    <n v="4"/>
    <n v="5"/>
    <n v="245"/>
  </r>
  <r>
    <n v="1256"/>
    <x v="0"/>
    <n v="1"/>
    <s v="SALA CIRURGICA 01"/>
    <d v="2026-03-28T16:30:00"/>
    <d v="2026-03-28T16:40:00"/>
    <d v="2026-03-28T16:55:00"/>
    <d v="2026-03-28T18:19:00"/>
    <d v="2026-03-28T18:29:00"/>
    <d v="2026-03-28T19:29:00"/>
    <n v="2.98"/>
    <d v="2026-03-28T19:39:00"/>
    <d v="1899-12-30T02:59:00"/>
    <n v="2"/>
    <n v="59"/>
    <n v="179"/>
  </r>
  <r>
    <n v="1257"/>
    <x v="1"/>
    <n v="1"/>
    <s v="SALA CIRURGICA 01"/>
    <d v="2026-03-28T18:55:00"/>
    <d v="2026-03-28T18:56:00"/>
    <d v="2026-03-28T18:57:00"/>
    <d v="2026-03-28T19:25:00"/>
    <d v="2026-03-29T10:50:00"/>
    <d v="2026-03-29T16:30:00"/>
    <n v="21.58"/>
    <d v="2026-03-29T16:31:00"/>
    <d v="1899-12-30T21:35:00"/>
    <n v="21"/>
    <n v="35"/>
    <n v="1295"/>
  </r>
  <r>
    <n v="1258"/>
    <x v="0"/>
    <n v="1"/>
    <s v="SALA CIRURGICA 01"/>
    <d v="2026-03-28T21:30:00"/>
    <d v="2026-03-28T21:35:00"/>
    <d v="2026-03-28T21:40:00"/>
    <d v="2026-03-28T22:10:00"/>
    <d v="2026-03-28T22:20:00"/>
    <d v="2026-03-28T22:40:00"/>
    <n v="1.17"/>
    <d v="2026-03-28T22:45:00"/>
    <d v="1899-12-30T01:10:00"/>
    <n v="1"/>
    <n v="10"/>
    <n v="70"/>
  </r>
  <r>
    <n v="1259"/>
    <x v="0"/>
    <n v="1"/>
    <s v="SALA CIRURGICA 02"/>
    <d v="2026-03-29T03:00:00"/>
    <d v="2026-03-29T03:10:00"/>
    <d v="2026-03-29T03:20:00"/>
    <d v="2026-03-29T03:40:00"/>
    <d v="2026-03-29T03:50:00"/>
    <d v="2026-03-29T04:00:00"/>
    <n v="1"/>
    <d v="2026-03-29T04:10:00"/>
    <d v="1899-12-30T01:00:00"/>
    <n v="1"/>
    <n v="0"/>
    <n v="60"/>
  </r>
  <r>
    <n v="1260"/>
    <x v="1"/>
    <n v="1"/>
    <s v="SALA CIRURGICA 01"/>
    <d v="2026-03-29T08:55:00"/>
    <d v="2026-03-29T09:00:00"/>
    <d v="2026-03-29T09:01:00"/>
    <d v="2026-03-29T09:02:00"/>
    <d v="2026-03-29T11:00:00"/>
    <d v="2026-03-29T11:20:00"/>
    <n v="2.42"/>
    <d v="2026-03-29T11:25:00"/>
    <d v="1899-12-30T02:25:00"/>
    <n v="2"/>
    <n v="25"/>
    <n v="145"/>
  </r>
  <r>
    <n v="1261"/>
    <x v="2"/>
    <n v="1"/>
    <s v="SALA CIRURGICA 02"/>
    <d v="2026-03-30T07:00:00"/>
    <d v="2026-03-30T07:50:00"/>
    <d v="2026-03-30T08:15:00"/>
    <d v="2026-03-30T08:50:00"/>
    <d v="2026-03-30T09:00:00"/>
    <d v="2026-03-30T09:10:00"/>
    <n v="2.17"/>
    <d v="2026-03-30T09:11:00"/>
    <d v="1899-12-30T02:10:00"/>
    <n v="2"/>
    <n v="10"/>
    <n v="130"/>
  </r>
  <r>
    <n v="1262"/>
    <x v="2"/>
    <n v="1"/>
    <s v="SALA CIRURGICA 03"/>
    <d v="2026-03-30T07:00:00"/>
    <d v="2026-03-30T07:50:00"/>
    <d v="2026-03-30T08:05:00"/>
    <d v="2026-03-30T08:29:00"/>
    <d v="2026-03-30T08:30:00"/>
    <d v="2026-03-30T08:35:00"/>
    <n v="1.58"/>
    <d v="2026-03-30T08:40:00"/>
    <d v="1899-12-30T01:35:00"/>
    <n v="1"/>
    <n v="35"/>
    <n v="95"/>
  </r>
  <r>
    <n v="1263"/>
    <x v="2"/>
    <n v="1"/>
    <s v="SALA CIRURGICA 01"/>
    <d v="2026-03-29T22:30:00"/>
    <d v="2026-03-29T22:35:00"/>
    <d v="2026-03-29T22:40:00"/>
    <d v="2026-03-29T23:11:00"/>
    <d v="2026-03-29T23:21:00"/>
    <d v="2026-03-29T23:25:00"/>
    <n v="0.92"/>
    <d v="2026-03-29T23:26:00"/>
    <d v="1899-12-30T00:55:00"/>
    <n v="0"/>
    <n v="55"/>
    <n v="55"/>
  </r>
  <r>
    <n v="1264"/>
    <x v="2"/>
    <n v="1"/>
    <s v="SALA CIRURGICA 01"/>
    <d v="2026-03-30T00:25:00"/>
    <d v="2026-03-30T00:30:00"/>
    <d v="2026-03-30T00:40:00"/>
    <d v="2026-03-30T01:14:00"/>
    <d v="2026-03-30T01:20:00"/>
    <d v="2026-03-30T01:21:00"/>
    <n v="0.93"/>
    <d v="2026-03-30T01:25:00"/>
    <d v="1899-12-30T00:56:00"/>
    <n v="0"/>
    <n v="56"/>
    <n v="56"/>
  </r>
  <r>
    <n v="1265"/>
    <x v="0"/>
    <n v="1"/>
    <s v="SALA CIRURGICA 01"/>
    <d v="2026-03-30T01:20:00"/>
    <d v="2026-03-30T01:25:00"/>
    <d v="2026-03-30T01:30:00"/>
    <d v="2026-03-30T01:50:00"/>
    <d v="2026-03-30T02:00:00"/>
    <d v="2026-03-30T02:05:00"/>
    <n v="0.75"/>
    <d v="2026-03-30T02:10:00"/>
    <d v="1899-12-30T00:45:00"/>
    <n v="0"/>
    <n v="45"/>
    <n v="45"/>
  </r>
  <r>
    <n v="1266"/>
    <x v="0"/>
    <n v="1"/>
    <s v="SALA CIRURGICA 01"/>
    <d v="2026-03-30T01:10:00"/>
    <d v="2026-03-30T01:20:00"/>
    <d v="2026-03-30T01:30:00"/>
    <d v="2026-03-30T01:52:00"/>
    <d v="2026-03-30T02:02:00"/>
    <d v="2026-03-30T02:05:00"/>
    <n v="0.92"/>
    <d v="2026-03-30T02:15:00"/>
    <d v="1899-12-30T00:55:00"/>
    <n v="0"/>
    <n v="55"/>
    <n v="55"/>
  </r>
  <r>
    <n v="1267"/>
    <x v="2"/>
    <n v="1"/>
    <s v="SALA CIRURGICA 01"/>
    <d v="2026-03-30T02:10:00"/>
    <d v="2026-03-30T02:15:00"/>
    <d v="2026-03-30T02:30:00"/>
    <d v="2026-03-30T04:00:00"/>
    <d v="2026-03-30T04:10:00"/>
    <d v="2026-03-30T22:10:00"/>
    <n v="20"/>
    <d v="2026-03-30T22:20:00"/>
    <d v="1899-12-30T20:00:00"/>
    <n v="20"/>
    <n v="0"/>
    <n v="1200"/>
  </r>
  <r>
    <n v="1268"/>
    <x v="1"/>
    <n v="1"/>
    <s v="SALA CIRURGICA 01"/>
    <d v="2026-03-30T08:00:00"/>
    <d v="2026-03-30T09:00:00"/>
    <d v="2026-03-30T09:30:00"/>
    <d v="2026-03-30T10:43:00"/>
    <d v="2026-03-30T10:53:00"/>
    <d v="2026-03-30T12:00:00"/>
    <n v="4"/>
    <d v="2026-03-30T12:10:00"/>
    <d v="1899-12-30T04:00:00"/>
    <n v="4"/>
    <n v="0"/>
    <n v="240"/>
  </r>
  <r>
    <n v="1269"/>
    <x v="2"/>
    <n v="1"/>
    <s v="SALA CIRURGICA 02"/>
    <d v="2026-03-30T18:30:00"/>
    <d v="2026-03-30T18:35:00"/>
    <d v="2026-03-30T18:50:00"/>
    <d v="2026-03-30T19:19:00"/>
    <d v="2026-03-30T20:00:00"/>
    <d v="2026-03-31T13:00:00"/>
    <n v="18.5"/>
    <d v="2026-03-31T13:10:00"/>
    <d v="1899-12-30T18:30:00"/>
    <n v="18"/>
    <n v="30"/>
    <n v="1110"/>
  </r>
  <r>
    <n v="1270"/>
    <x v="1"/>
    <n v="1"/>
    <s v="SALA CIRURGICA 03"/>
    <d v="2026-03-30T10:00:00"/>
    <d v="2026-03-30T10:15:00"/>
    <d v="2026-03-30T10:50:00"/>
    <d v="2026-03-30T12:35:00"/>
    <d v="2026-03-30T12:45:00"/>
    <d v="2026-03-30T21:30:00"/>
    <n v="11.5"/>
    <d v="2026-03-30T21:31:00"/>
    <d v="1899-12-30T11:30:00"/>
    <n v="11"/>
    <n v="30"/>
    <n v="690"/>
  </r>
  <r>
    <n v="1271"/>
    <x v="2"/>
    <n v="1"/>
    <s v="SALA CIRURGICA 01"/>
    <d v="2026-03-30T11:50:00"/>
    <d v="2026-03-30T12:10:00"/>
    <d v="2026-03-30T13:00:00"/>
    <d v="2026-03-30T18:13:00"/>
    <d v="2026-03-30T18:23:00"/>
    <d v="2026-03-30T20:00:00"/>
    <n v="8.17"/>
    <d v="2026-03-30T20:10:00"/>
    <d v="1899-12-30T08:10:00"/>
    <n v="8"/>
    <n v="10"/>
    <n v="490"/>
  </r>
  <r>
    <n v="1272"/>
    <x v="2"/>
    <n v="1"/>
    <s v="SALA CIRURGICA 01"/>
    <d v="2026-03-30T22:20:00"/>
    <d v="2026-03-30T22:30:00"/>
    <d v="2026-03-30T22:45:00"/>
    <d v="2026-03-30T23:10:00"/>
    <d v="2026-03-30T23:15:00"/>
    <d v="2026-03-30T23:30:00"/>
    <n v="1.17"/>
    <d v="2026-03-30T23:31:00"/>
    <d v="1899-12-30T01:10:00"/>
    <n v="1"/>
    <n v="10"/>
    <n v="70"/>
  </r>
  <r>
    <n v="1273"/>
    <x v="2"/>
    <n v="1"/>
    <s v="SALA CIRURGICA 02"/>
    <d v="2026-03-30T09:55:00"/>
    <d v="2026-03-30T10:00:00"/>
    <d v="2026-03-30T10:55:00"/>
    <d v="2026-03-30T15:10:00"/>
    <d v="2026-03-30T15:55:00"/>
    <d v="2026-03-30T17:55:00"/>
    <n v="8"/>
    <d v="2026-03-30T17:56:00"/>
    <d v="1899-12-30T08:00:00"/>
    <n v="8"/>
    <n v="0"/>
    <n v="480"/>
  </r>
  <r>
    <n v="1274"/>
    <x v="1"/>
    <n v="1"/>
    <s v="SALA CIRURGICA 01"/>
    <d v="2026-03-30T15:00:00"/>
    <d v="2026-03-30T15:10:00"/>
    <d v="2026-03-30T15:20:00"/>
    <d v="2026-03-30T15:50:00"/>
    <d v="2026-03-30T16:00:00"/>
    <d v="2026-03-30T16:20:00"/>
    <n v="1.33"/>
    <d v="2026-03-30T16:30:00"/>
    <d v="1899-12-30T01:20:00"/>
    <n v="1"/>
    <n v="20"/>
    <n v="80"/>
  </r>
  <r>
    <n v="1275"/>
    <x v="2"/>
    <n v="1"/>
    <s v="SALA CIRURGICA 01"/>
    <d v="2026-03-31T10:40:00"/>
    <d v="2026-03-31T11:00:00"/>
    <d v="2026-03-31T11:30:00"/>
    <d v="2026-03-31T15:10:00"/>
    <d v="2026-03-31T15:20:00"/>
    <d v="2026-03-31T15:30:00"/>
    <n v="4.83"/>
    <d v="2026-03-31T15:35:00"/>
    <d v="1899-12-30T04:50:00"/>
    <n v="4"/>
    <n v="50"/>
    <n v="290"/>
  </r>
  <r>
    <n v="1276"/>
    <x v="0"/>
    <n v="1"/>
    <s v="SALA CIRURGICA 05"/>
    <d v="2026-03-31T07:35:00"/>
    <d v="2026-03-31T07:45:00"/>
    <d v="2026-03-31T08:50:00"/>
    <d v="2026-03-31T09:50:00"/>
    <d v="2026-03-31T10:00:00"/>
    <d v="2026-03-31T10:10:00"/>
    <n v="2.58"/>
    <d v="2026-03-31T10:11:00"/>
    <d v="1899-12-30T02:35:00"/>
    <n v="2"/>
    <n v="35"/>
    <n v="155"/>
  </r>
  <r>
    <n v="1277"/>
    <x v="0"/>
    <n v="1"/>
    <s v="SALA CIRURGICA 06"/>
    <d v="2026-03-31T12:10:00"/>
    <d v="2026-03-31T12:20:00"/>
    <d v="2026-03-31T12:30:00"/>
    <d v="2026-03-31T12:40:00"/>
    <d v="2026-03-31T12:50:00"/>
    <d v="2026-03-31T13:00:00"/>
    <n v="0.83"/>
    <d v="2026-03-31T13:10:00"/>
    <d v="1899-12-30T00:50:00"/>
    <n v="0"/>
    <n v="50"/>
    <n v="50"/>
  </r>
  <r>
    <n v="1278"/>
    <x v="2"/>
    <n v="1"/>
    <s v="SALA CIRURGICA 05"/>
    <d v="2026-03-31T08:30:00"/>
    <d v="2026-03-31T08:40:00"/>
    <d v="2026-03-31T09:00:00"/>
    <d v="2026-03-31T10:10:00"/>
    <d v="2026-03-31T10:15:00"/>
    <d v="2026-03-31T10:20:00"/>
    <n v="1.83"/>
    <d v="2026-03-31T10:30:00"/>
    <d v="1899-12-30T01:50:00"/>
    <n v="1"/>
    <n v="50"/>
    <n v="110"/>
  </r>
  <r>
    <n v="1279"/>
    <x v="2"/>
    <n v="1"/>
    <s v="SALA CIRURGICA 04"/>
    <d v="2026-03-31T11:00:00"/>
    <d v="2026-03-31T11:20:00"/>
    <d v="2026-03-31T11:50:00"/>
    <d v="2026-03-31T12:35:00"/>
    <d v="2026-03-31T12:40:00"/>
    <d v="2026-03-31T12:45:00"/>
    <n v="1.75"/>
    <d v="2026-03-31T12:46:00"/>
    <d v="1899-12-30T01:45:00"/>
    <n v="1"/>
    <n v="45"/>
    <n v="105"/>
  </r>
  <r>
    <n v="1280"/>
    <x v="0"/>
    <n v="1"/>
    <s v="SALA CIRURGICA 01"/>
    <d v="2026-03-31T10:00:00"/>
    <d v="2026-03-31T10:20:00"/>
    <d v="2026-03-31T11:30:00"/>
    <d v="2026-03-31T12:25:00"/>
    <d v="2026-03-31T12:35:00"/>
    <d v="2026-03-31T16:40:00"/>
    <n v="6.67"/>
    <d v="2026-03-31T16:50:00"/>
    <d v="1899-12-30T06:40:00"/>
    <n v="6"/>
    <n v="40"/>
    <n v="400"/>
  </r>
  <r>
    <n v="1281"/>
    <x v="2"/>
    <n v="1"/>
    <s v="SALA CIRURGICA 05"/>
    <d v="2026-03-31T14:00:00"/>
    <d v="2026-03-31T14:15:00"/>
    <d v="2026-03-31T16:00:00"/>
    <d v="2026-03-31T18:15:00"/>
    <d v="2026-03-31T18:25:00"/>
    <d v="2026-03-31T23:30:00"/>
    <n v="9.5"/>
    <d v="2026-03-31T23:40:00"/>
    <d v="1899-12-30T09:30:00"/>
    <n v="9"/>
    <n v="30"/>
    <n v="570"/>
  </r>
  <r>
    <n v="1282"/>
    <x v="0"/>
    <n v="1"/>
    <s v="SALA CIRURGICA 01"/>
    <d v="2026-03-30T18:30:00"/>
    <d v="2026-03-30T18:35:00"/>
    <d v="2026-03-30T18:40:00"/>
    <d v="2026-03-30T18:46:00"/>
    <d v="2026-03-30T18:50:00"/>
    <d v="2026-03-30T18:55:00"/>
    <n v="0.42"/>
    <d v="2026-03-30T19:05:00"/>
    <d v="1899-12-30T00:25:00"/>
    <n v="0"/>
    <n v="25"/>
    <n v="25"/>
  </r>
  <r>
    <n v="1283"/>
    <x v="0"/>
    <n v="1"/>
    <s v="SALA CIRURGICA 03"/>
    <d v="2026-03-31T07:00:00"/>
    <d v="2026-03-31T07:30:00"/>
    <d v="2026-03-31T08:00:00"/>
    <d v="2026-03-31T10:11:00"/>
    <d v="2026-03-31T10:15:00"/>
    <d v="2026-03-31T10:30:00"/>
    <n v="3.5"/>
    <d v="2026-03-31T10:40:00"/>
    <d v="1899-12-30T03:30:00"/>
    <n v="3"/>
    <n v="30"/>
    <n v="210"/>
  </r>
  <r>
    <n v="1284"/>
    <x v="0"/>
    <n v="1"/>
    <s v="SALA CIRURGICA 03"/>
    <d v="2026-03-31T00:01:00"/>
    <d v="2026-03-31T00:10:00"/>
    <d v="2026-03-31T00:20:00"/>
    <d v="2026-03-31T00:45:00"/>
    <d v="2026-03-31T00:50:00"/>
    <d v="2026-03-31T00:55:00"/>
    <n v="0.9"/>
    <d v="2026-03-31T01:05:00"/>
    <d v="1899-12-30T00:54:00"/>
    <n v="0"/>
    <n v="54"/>
    <n v="54"/>
  </r>
  <r>
    <n v="1285"/>
    <x v="1"/>
    <n v="1"/>
    <s v="SALA CIRURGICA 01"/>
    <d v="2026-03-31T14:30:00"/>
    <d v="2026-03-31T14:35:00"/>
    <d v="2026-03-31T16:03:00"/>
    <d v="2026-03-31T18:15:00"/>
    <d v="2026-03-31T18:25:00"/>
    <d v="2026-03-31T18:40:00"/>
    <n v="4.17"/>
    <d v="2026-03-31T18:41:00"/>
    <d v="1899-12-30T04:10:00"/>
    <n v="4"/>
    <n v="10"/>
    <n v="250"/>
  </r>
  <r>
    <n v="1286"/>
    <x v="2"/>
    <n v="1"/>
    <s v="SALA CIRURGICA 01"/>
    <d v="2026-03-31T16:25:00"/>
    <d v="2026-03-31T16:40:00"/>
    <d v="2026-03-31T17:00:00"/>
    <d v="2026-03-31T18:00:00"/>
    <d v="2026-03-31T18:05:00"/>
    <d v="2026-03-31T18:10:00"/>
    <n v="1.75"/>
    <d v="2026-03-31T18:15:00"/>
    <d v="1899-12-30T01:45:00"/>
    <n v="1"/>
    <n v="45"/>
    <n v="105"/>
  </r>
  <r>
    <n v="1287"/>
    <x v="2"/>
    <n v="1"/>
    <s v="SALA CIRURGICA 03"/>
    <d v="2026-03-31T15:00:00"/>
    <d v="2026-03-31T15:15:00"/>
    <d v="2026-03-31T16:40:00"/>
    <d v="2026-03-31T17:15:00"/>
    <d v="2026-03-31T17:25:00"/>
    <d v="2026-03-31T18:37:00"/>
    <n v="3.62"/>
    <d v="2026-03-31T18:40:00"/>
    <d v="1899-12-30T03:37:00"/>
    <n v="3"/>
    <n v="37"/>
    <n v="217"/>
  </r>
  <r>
    <n v="1288"/>
    <x v="0"/>
    <n v="1"/>
    <s v="SALA CIRURGICA 06"/>
    <d v="2026-03-31T17:05:00"/>
    <d v="2026-03-31T17:39:00"/>
    <d v="2026-03-31T17:40:00"/>
    <d v="2026-03-31T18:30:00"/>
    <d v="2026-03-31T18:40:00"/>
    <d v="2026-03-31T19:00:00"/>
    <n v="1.92"/>
    <d v="2026-03-31T19:10:00"/>
    <d v="1899-12-30T01:55:00"/>
    <n v="1"/>
    <n v="55"/>
    <n v="115"/>
  </r>
  <r>
    <n v="1289"/>
    <x v="2"/>
    <n v="1"/>
    <s v="SALA CIRURGICA 01"/>
    <d v="2026-03-31T20:20:00"/>
    <d v="2026-03-31T20:25:00"/>
    <d v="2026-03-31T20:40:00"/>
    <d v="2026-03-31T21:03:00"/>
    <d v="2026-03-31T21:05:00"/>
    <d v="2026-03-31T21:10:00"/>
    <n v="0.83"/>
    <d v="2026-03-31T21:20:00"/>
    <d v="1899-12-30T00:50:00"/>
    <n v="0"/>
    <n v="50"/>
    <n v="50"/>
  </r>
  <r>
    <n v="1290"/>
    <x v="0"/>
    <n v="1"/>
    <s v="SALA CIRURGICA 01"/>
    <d v="2026-03-31T22:20:00"/>
    <d v="2026-03-31T22:30:00"/>
    <d v="2026-03-31T22:50:00"/>
    <d v="2026-03-31T22:51:00"/>
    <d v="2026-03-31T22:56:00"/>
    <d v="2026-03-31T23:00:00"/>
    <n v="0.67"/>
    <d v="2026-03-31T23:05:00"/>
    <d v="1899-12-30T00:40:00"/>
    <n v="0"/>
    <n v="40"/>
    <n v="40"/>
  </r>
  <r>
    <n v="1291"/>
    <x v="1"/>
    <n v="1"/>
    <s v="SALA CIRURGICA 01"/>
    <d v="2026-03-31T22:50:00"/>
    <d v="2026-03-31T23:00:00"/>
    <d v="2026-03-31T23:15:00"/>
    <d v="2026-04-01T01:00:00"/>
    <d v="2026-04-01T01:10:00"/>
    <d v="2026-04-01T01:12:00"/>
    <n v="2.37"/>
    <d v="2026-04-01T01:22:00"/>
    <d v="1899-12-30T02:22:00"/>
    <n v="2"/>
    <n v="22"/>
    <n v="142"/>
  </r>
  <r>
    <n v="1292"/>
    <x v="0"/>
    <n v="1"/>
    <s v="SALA CIRURGICA 01"/>
    <d v="2026-03-31T23:43:00"/>
    <d v="2026-03-31T23:50:00"/>
    <d v="2026-04-01T00:00:00"/>
    <d v="2026-04-01T01:00:00"/>
    <d v="2026-04-01T01:10:00"/>
    <d v="2026-04-01T01:12:00"/>
    <n v="1.48"/>
    <d v="2026-04-01T01:22:00"/>
    <d v="1899-12-30T01:29:00"/>
    <n v="1"/>
    <n v="29"/>
    <n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BEDA4-131F-4D42-953D-9AB2591B244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/>
  <pivotFields count="6">
    <pivotField showAll="0"/>
    <pivotField showAll="0"/>
    <pivotField axis="axisRow" dataField="1" showAll="0">
      <items count="6">
        <item x="1"/>
        <item x="2"/>
        <item x="3"/>
        <item x="4"/>
        <item x="0"/>
        <item t="default"/>
      </items>
    </pivotField>
    <pivotField showAll="0"/>
    <pivotField showAll="0">
      <items count="9">
        <item x="2"/>
        <item x="0"/>
        <item x="3"/>
        <item x="1"/>
        <item x="7"/>
        <item x="6"/>
        <item x="4"/>
        <item x="5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NTRAD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3FA59-F485-4316-B7DF-E78B4FAAA0F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numFmtId="22" showAll="0"/>
    <pivotField numFmtId="167"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inutos-2" fld="15" baseField="1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C7B3-0C96-4D9A-A24D-953378B21240}">
  <dimension ref="A1:F1251"/>
  <sheetViews>
    <sheetView workbookViewId="0">
      <selection sqref="A1:F1251"/>
    </sheetView>
  </sheetViews>
  <sheetFormatPr defaultRowHeight="15" x14ac:dyDescent="0.25"/>
  <cols>
    <col min="1" max="1" width="5" bestFit="1" customWidth="1"/>
    <col min="2" max="2" width="18.5703125" bestFit="1" customWidth="1"/>
    <col min="3" max="3" width="18" bestFit="1" customWidth="1"/>
    <col min="4" max="4" width="12.5703125" bestFit="1" customWidth="1"/>
    <col min="5" max="5" width="23.85546875" bestFit="1" customWidth="1"/>
    <col min="6" max="6" width="12" bestFit="1" customWidth="1"/>
  </cols>
  <sheetData>
    <row r="1" spans="1:6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>
        <v>46023.020833333336</v>
      </c>
      <c r="E2" t="s">
        <v>7</v>
      </c>
      <c r="F2">
        <v>46023.469259259262</v>
      </c>
    </row>
    <row r="3" spans="1:6" x14ac:dyDescent="0.25">
      <c r="A3">
        <v>2</v>
      </c>
      <c r="B3" t="s">
        <v>5</v>
      </c>
      <c r="C3" t="s">
        <v>6</v>
      </c>
      <c r="D3">
        <v>46023.104930555557</v>
      </c>
      <c r="E3" t="s">
        <v>8</v>
      </c>
      <c r="F3">
        <v>46030.443333333336</v>
      </c>
    </row>
    <row r="4" spans="1:6" x14ac:dyDescent="0.25">
      <c r="A4">
        <v>3</v>
      </c>
      <c r="B4" t="s">
        <v>5</v>
      </c>
      <c r="C4" t="s">
        <v>6</v>
      </c>
      <c r="D4">
        <v>46023.351423611108</v>
      </c>
      <c r="E4" t="s">
        <v>9</v>
      </c>
      <c r="F4">
        <v>46023.517164351855</v>
      </c>
    </row>
    <row r="5" spans="1:6" x14ac:dyDescent="0.25">
      <c r="A5">
        <v>4</v>
      </c>
      <c r="B5" t="s">
        <v>5</v>
      </c>
      <c r="C5" t="s">
        <v>7</v>
      </c>
      <c r="D5">
        <v>46023.375</v>
      </c>
      <c r="E5" t="s">
        <v>7</v>
      </c>
      <c r="F5">
        <v>46023.541666666664</v>
      </c>
    </row>
    <row r="6" spans="1:6" x14ac:dyDescent="0.25">
      <c r="A6">
        <v>5</v>
      </c>
      <c r="B6" t="s">
        <v>5</v>
      </c>
      <c r="C6" t="s">
        <v>7</v>
      </c>
      <c r="D6">
        <v>46023.416666666664</v>
      </c>
      <c r="E6" t="s">
        <v>7</v>
      </c>
      <c r="F6">
        <v>46023.5</v>
      </c>
    </row>
    <row r="7" spans="1:6" x14ac:dyDescent="0.25">
      <c r="A7">
        <v>6</v>
      </c>
      <c r="B7" t="s">
        <v>5</v>
      </c>
      <c r="C7" t="s">
        <v>6</v>
      </c>
      <c r="D7">
        <v>46023.439398148148</v>
      </c>
      <c r="E7" t="s">
        <v>7</v>
      </c>
      <c r="F7">
        <v>46023.669062499997</v>
      </c>
    </row>
    <row r="8" spans="1:6" x14ac:dyDescent="0.25">
      <c r="A8">
        <v>7</v>
      </c>
      <c r="B8" t="s">
        <v>5</v>
      </c>
      <c r="C8" t="s">
        <v>7</v>
      </c>
      <c r="D8">
        <v>46023.451388888891</v>
      </c>
      <c r="E8" t="s">
        <v>7</v>
      </c>
      <c r="F8">
        <v>46023.611111111109</v>
      </c>
    </row>
    <row r="9" spans="1:6" x14ac:dyDescent="0.25">
      <c r="A9">
        <v>8</v>
      </c>
      <c r="B9" t="s">
        <v>5</v>
      </c>
      <c r="C9" t="s">
        <v>6</v>
      </c>
      <c r="D9">
        <v>46023.46875</v>
      </c>
      <c r="E9" t="s">
        <v>7</v>
      </c>
      <c r="F9">
        <v>46023.534722222219</v>
      </c>
    </row>
    <row r="10" spans="1:6" x14ac:dyDescent="0.25">
      <c r="A10">
        <v>9</v>
      </c>
      <c r="B10" t="s">
        <v>5</v>
      </c>
      <c r="C10" t="s">
        <v>6</v>
      </c>
      <c r="D10">
        <v>46023.544074074074</v>
      </c>
      <c r="E10" t="s">
        <v>7</v>
      </c>
      <c r="F10">
        <v>46023.840902777774</v>
      </c>
    </row>
    <row r="11" spans="1:6" x14ac:dyDescent="0.25">
      <c r="A11">
        <v>10</v>
      </c>
      <c r="B11" t="s">
        <v>5</v>
      </c>
      <c r="C11" t="s">
        <v>7</v>
      </c>
      <c r="D11">
        <v>46023.666666666664</v>
      </c>
      <c r="E11" t="s">
        <v>8</v>
      </c>
      <c r="F11">
        <v>46023.722222222219</v>
      </c>
    </row>
    <row r="12" spans="1:6" x14ac:dyDescent="0.25">
      <c r="A12">
        <v>11</v>
      </c>
      <c r="B12" t="s">
        <v>5</v>
      </c>
      <c r="C12" t="s">
        <v>6</v>
      </c>
      <c r="D12">
        <v>46023.676782407405</v>
      </c>
      <c r="E12" t="s">
        <v>7</v>
      </c>
      <c r="F12">
        <v>46023.953425925924</v>
      </c>
    </row>
    <row r="13" spans="1:6" x14ac:dyDescent="0.25">
      <c r="A13">
        <v>12</v>
      </c>
      <c r="B13" t="s">
        <v>5</v>
      </c>
      <c r="C13" t="s">
        <v>6</v>
      </c>
      <c r="D13">
        <v>46024.008287037039</v>
      </c>
      <c r="E13" t="s">
        <v>7</v>
      </c>
      <c r="F13">
        <v>46024.507384259261</v>
      </c>
    </row>
    <row r="14" spans="1:6" x14ac:dyDescent="0.25">
      <c r="A14">
        <v>13</v>
      </c>
      <c r="B14" t="s">
        <v>5</v>
      </c>
      <c r="C14" t="s">
        <v>7</v>
      </c>
      <c r="D14">
        <v>46024.274305555555</v>
      </c>
      <c r="E14" t="s">
        <v>7</v>
      </c>
      <c r="F14">
        <v>46024.291666666664</v>
      </c>
    </row>
    <row r="15" spans="1:6" x14ac:dyDescent="0.25">
      <c r="A15">
        <v>14</v>
      </c>
      <c r="B15" t="s">
        <v>5</v>
      </c>
      <c r="C15" t="s">
        <v>6</v>
      </c>
      <c r="D15">
        <v>46024.286770833336</v>
      </c>
      <c r="E15" t="s">
        <v>7</v>
      </c>
      <c r="F15">
        <v>46024.739027777781</v>
      </c>
    </row>
    <row r="16" spans="1:6" x14ac:dyDescent="0.25">
      <c r="A16">
        <v>15</v>
      </c>
      <c r="B16" t="s">
        <v>5</v>
      </c>
      <c r="C16" t="s">
        <v>7</v>
      </c>
      <c r="D16">
        <v>46024.349305555559</v>
      </c>
      <c r="E16" t="s">
        <v>7</v>
      </c>
      <c r="F16">
        <v>46024.377083333333</v>
      </c>
    </row>
    <row r="17" spans="1:6" x14ac:dyDescent="0.25">
      <c r="A17">
        <v>16</v>
      </c>
      <c r="B17" t="s">
        <v>5</v>
      </c>
      <c r="C17" t="s">
        <v>7</v>
      </c>
      <c r="D17">
        <v>46024.375</v>
      </c>
      <c r="E17" t="s">
        <v>8</v>
      </c>
      <c r="F17">
        <v>46024.491018518522</v>
      </c>
    </row>
    <row r="18" spans="1:6" x14ac:dyDescent="0.25">
      <c r="A18">
        <v>17</v>
      </c>
      <c r="B18" t="s">
        <v>5</v>
      </c>
      <c r="C18" t="s">
        <v>6</v>
      </c>
      <c r="D18">
        <v>46024.413321759261</v>
      </c>
      <c r="E18" t="s">
        <v>7</v>
      </c>
      <c r="F18">
        <v>46025.758611111109</v>
      </c>
    </row>
    <row r="19" spans="1:6" x14ac:dyDescent="0.25">
      <c r="A19">
        <v>18</v>
      </c>
      <c r="B19" t="s">
        <v>5</v>
      </c>
      <c r="C19" t="s">
        <v>10</v>
      </c>
      <c r="D19">
        <v>46024.444444444445</v>
      </c>
      <c r="E19" t="s">
        <v>10</v>
      </c>
      <c r="F19">
        <v>46024.576388888891</v>
      </c>
    </row>
    <row r="20" spans="1:6" x14ac:dyDescent="0.25">
      <c r="A20">
        <v>19</v>
      </c>
      <c r="B20" t="s">
        <v>5</v>
      </c>
      <c r="C20" t="s">
        <v>7</v>
      </c>
      <c r="D20">
        <v>46024.486111111109</v>
      </c>
      <c r="E20" t="s">
        <v>7</v>
      </c>
      <c r="F20">
        <v>46024.513888888891</v>
      </c>
    </row>
    <row r="21" spans="1:6" x14ac:dyDescent="0.25">
      <c r="A21">
        <v>20</v>
      </c>
      <c r="B21" t="s">
        <v>5</v>
      </c>
      <c r="C21" t="s">
        <v>6</v>
      </c>
      <c r="D21">
        <v>46024.520833333336</v>
      </c>
      <c r="E21" t="s">
        <v>7</v>
      </c>
      <c r="F21">
        <v>46024.735763888886</v>
      </c>
    </row>
    <row r="22" spans="1:6" x14ac:dyDescent="0.25">
      <c r="A22">
        <v>21</v>
      </c>
      <c r="B22" t="s">
        <v>5</v>
      </c>
      <c r="C22" t="s">
        <v>6</v>
      </c>
      <c r="D22">
        <v>46024.562164351853</v>
      </c>
      <c r="E22" t="s">
        <v>8</v>
      </c>
      <c r="F22">
        <v>46024.811203703706</v>
      </c>
    </row>
    <row r="23" spans="1:6" x14ac:dyDescent="0.25">
      <c r="A23">
        <v>22</v>
      </c>
      <c r="B23" t="s">
        <v>5</v>
      </c>
      <c r="C23" t="s">
        <v>6</v>
      </c>
      <c r="D23">
        <v>46024.587430555555</v>
      </c>
      <c r="E23" t="s">
        <v>7</v>
      </c>
      <c r="F23">
        <v>46024.921238425923</v>
      </c>
    </row>
    <row r="24" spans="1:6" x14ac:dyDescent="0.25">
      <c r="A24">
        <v>23</v>
      </c>
      <c r="B24" t="s">
        <v>5</v>
      </c>
      <c r="C24" t="s">
        <v>7</v>
      </c>
      <c r="D24">
        <v>46024.607638888891</v>
      </c>
      <c r="E24" t="s">
        <v>7</v>
      </c>
      <c r="F24">
        <v>46024.666666666664</v>
      </c>
    </row>
    <row r="25" spans="1:6" x14ac:dyDescent="0.25">
      <c r="A25">
        <v>24</v>
      </c>
      <c r="B25" t="s">
        <v>5</v>
      </c>
      <c r="C25" t="s">
        <v>6</v>
      </c>
      <c r="D25">
        <v>46024.654849537037</v>
      </c>
      <c r="E25" t="s">
        <v>7</v>
      </c>
      <c r="F25">
        <v>46026.596539351849</v>
      </c>
    </row>
    <row r="26" spans="1:6" x14ac:dyDescent="0.25">
      <c r="A26">
        <v>25</v>
      </c>
      <c r="B26" t="s">
        <v>5</v>
      </c>
      <c r="C26" t="s">
        <v>6</v>
      </c>
      <c r="D26">
        <v>46024.745127314818</v>
      </c>
      <c r="E26" t="s">
        <v>8</v>
      </c>
      <c r="F26">
        <v>46025.077349537038</v>
      </c>
    </row>
    <row r="27" spans="1:6" x14ac:dyDescent="0.25">
      <c r="A27">
        <v>26</v>
      </c>
      <c r="B27" t="s">
        <v>5</v>
      </c>
      <c r="C27" t="s">
        <v>6</v>
      </c>
      <c r="D27">
        <v>46024.82613425926</v>
      </c>
      <c r="E27" t="s">
        <v>8</v>
      </c>
      <c r="F27">
        <v>46025.741701388892</v>
      </c>
    </row>
    <row r="28" spans="1:6" x14ac:dyDescent="0.25">
      <c r="A28">
        <v>27</v>
      </c>
      <c r="B28" t="s">
        <v>5</v>
      </c>
      <c r="C28" t="s">
        <v>6</v>
      </c>
      <c r="D28">
        <v>46024.82613425926</v>
      </c>
      <c r="E28" t="s">
        <v>8</v>
      </c>
      <c r="F28">
        <v>46025.741701388892</v>
      </c>
    </row>
    <row r="29" spans="1:6" x14ac:dyDescent="0.25">
      <c r="A29">
        <v>28</v>
      </c>
      <c r="B29" t="s">
        <v>5</v>
      </c>
      <c r="C29" t="s">
        <v>6</v>
      </c>
      <c r="D29">
        <v>46024.888888888891</v>
      </c>
      <c r="E29" t="s">
        <v>7</v>
      </c>
      <c r="F29">
        <v>46025.402303240742</v>
      </c>
    </row>
    <row r="30" spans="1:6" x14ac:dyDescent="0.25">
      <c r="A30">
        <v>29</v>
      </c>
      <c r="B30" t="s">
        <v>5</v>
      </c>
      <c r="C30" t="s">
        <v>6</v>
      </c>
      <c r="D30">
        <v>46025.009004629632</v>
      </c>
      <c r="E30" t="s">
        <v>7</v>
      </c>
      <c r="F30">
        <v>46025.520775462966</v>
      </c>
    </row>
    <row r="31" spans="1:6" x14ac:dyDescent="0.25">
      <c r="A31">
        <v>30</v>
      </c>
      <c r="B31" t="s">
        <v>5</v>
      </c>
      <c r="C31" t="s">
        <v>8</v>
      </c>
      <c r="D31">
        <v>46025.392361111109</v>
      </c>
      <c r="E31" t="s">
        <v>8</v>
      </c>
      <c r="F31">
        <v>46025.486111111109</v>
      </c>
    </row>
    <row r="32" spans="1:6" x14ac:dyDescent="0.25">
      <c r="A32">
        <v>31</v>
      </c>
      <c r="B32" t="s">
        <v>5</v>
      </c>
      <c r="C32" t="s">
        <v>6</v>
      </c>
      <c r="D32">
        <v>46025.527083333334</v>
      </c>
      <c r="E32" t="s">
        <v>10</v>
      </c>
      <c r="F32">
        <v>46025.600624999999</v>
      </c>
    </row>
    <row r="33" spans="1:6" x14ac:dyDescent="0.25">
      <c r="A33">
        <v>32</v>
      </c>
      <c r="B33" t="s">
        <v>5</v>
      </c>
      <c r="C33" t="s">
        <v>6</v>
      </c>
      <c r="D33">
        <v>46025.651736111111</v>
      </c>
      <c r="E33" t="s">
        <v>7</v>
      </c>
      <c r="F33">
        <v>46027.504027777781</v>
      </c>
    </row>
    <row r="34" spans="1:6" x14ac:dyDescent="0.25">
      <c r="A34">
        <v>33</v>
      </c>
      <c r="B34" t="s">
        <v>5</v>
      </c>
      <c r="C34" t="s">
        <v>6</v>
      </c>
      <c r="D34">
        <v>46025.668622685182</v>
      </c>
      <c r="E34" t="s">
        <v>7</v>
      </c>
      <c r="F34">
        <v>46025.856840277775</v>
      </c>
    </row>
    <row r="35" spans="1:6" x14ac:dyDescent="0.25">
      <c r="A35">
        <v>34</v>
      </c>
      <c r="B35" t="s">
        <v>5</v>
      </c>
      <c r="C35" t="s">
        <v>10</v>
      </c>
      <c r="D35">
        <v>46025.716562499998</v>
      </c>
      <c r="E35" t="s">
        <v>7</v>
      </c>
      <c r="F35">
        <v>46027.58966435185</v>
      </c>
    </row>
    <row r="36" spans="1:6" x14ac:dyDescent="0.25">
      <c r="A36">
        <v>35</v>
      </c>
      <c r="B36" t="s">
        <v>5</v>
      </c>
      <c r="C36" t="s">
        <v>6</v>
      </c>
      <c r="D36">
        <v>46025.76489583333</v>
      </c>
      <c r="E36" t="s">
        <v>8</v>
      </c>
      <c r="F36">
        <v>46025.859803240739</v>
      </c>
    </row>
    <row r="37" spans="1:6" x14ac:dyDescent="0.25">
      <c r="A37">
        <v>36</v>
      </c>
      <c r="B37" t="s">
        <v>5</v>
      </c>
      <c r="C37" t="s">
        <v>7</v>
      </c>
      <c r="D37">
        <v>46025.76666666667</v>
      </c>
      <c r="E37" t="s">
        <v>7</v>
      </c>
      <c r="F37">
        <v>46025.815972222219</v>
      </c>
    </row>
    <row r="38" spans="1:6" x14ac:dyDescent="0.25">
      <c r="A38">
        <v>37</v>
      </c>
      <c r="B38" t="s">
        <v>5</v>
      </c>
      <c r="C38" t="s">
        <v>6</v>
      </c>
      <c r="D38">
        <v>46025.959085648145</v>
      </c>
      <c r="E38" t="s">
        <v>7</v>
      </c>
      <c r="F38">
        <v>46026.680451388886</v>
      </c>
    </row>
    <row r="39" spans="1:6" x14ac:dyDescent="0.25">
      <c r="A39">
        <v>38</v>
      </c>
      <c r="B39" t="s">
        <v>5</v>
      </c>
      <c r="C39" t="s">
        <v>6</v>
      </c>
      <c r="D39">
        <v>46025.971331018518</v>
      </c>
      <c r="E39" t="s">
        <v>9</v>
      </c>
      <c r="F39">
        <v>46027.818576388891</v>
      </c>
    </row>
    <row r="40" spans="1:6" x14ac:dyDescent="0.25">
      <c r="A40">
        <v>39</v>
      </c>
      <c r="B40" t="s">
        <v>5</v>
      </c>
      <c r="C40" t="s">
        <v>7</v>
      </c>
      <c r="D40">
        <v>46026.34648148148</v>
      </c>
      <c r="E40" t="s">
        <v>7</v>
      </c>
      <c r="F40">
        <v>46026.666273148148</v>
      </c>
    </row>
    <row r="41" spans="1:6" x14ac:dyDescent="0.25">
      <c r="A41">
        <v>40</v>
      </c>
      <c r="B41" t="s">
        <v>5</v>
      </c>
      <c r="C41" t="s">
        <v>6</v>
      </c>
      <c r="D41">
        <v>46026.36109953704</v>
      </c>
      <c r="E41" t="s">
        <v>7</v>
      </c>
      <c r="F41">
        <v>46027.646736111114</v>
      </c>
    </row>
    <row r="42" spans="1:6" x14ac:dyDescent="0.25">
      <c r="A42">
        <v>41</v>
      </c>
      <c r="B42" t="s">
        <v>5</v>
      </c>
      <c r="C42" t="s">
        <v>8</v>
      </c>
      <c r="D42">
        <v>46026.409722222219</v>
      </c>
      <c r="E42" t="s">
        <v>10</v>
      </c>
      <c r="F42">
        <v>46026.6875</v>
      </c>
    </row>
    <row r="43" spans="1:6" x14ac:dyDescent="0.25">
      <c r="A43">
        <v>42</v>
      </c>
      <c r="B43" t="s">
        <v>5</v>
      </c>
      <c r="C43" t="s">
        <v>7</v>
      </c>
      <c r="D43">
        <v>46026.524305555555</v>
      </c>
      <c r="E43" t="s">
        <v>8</v>
      </c>
      <c r="F43">
        <v>46026.545138888891</v>
      </c>
    </row>
    <row r="44" spans="1:6" x14ac:dyDescent="0.25">
      <c r="A44">
        <v>43</v>
      </c>
      <c r="B44" t="s">
        <v>5</v>
      </c>
      <c r="C44" t="s">
        <v>6</v>
      </c>
      <c r="D44">
        <v>46026.533668981479</v>
      </c>
      <c r="E44" t="s">
        <v>9</v>
      </c>
      <c r="F44">
        <v>46027.809814814813</v>
      </c>
    </row>
    <row r="45" spans="1:6" x14ac:dyDescent="0.25">
      <c r="A45">
        <v>44</v>
      </c>
      <c r="B45" t="s">
        <v>5</v>
      </c>
      <c r="C45" t="s">
        <v>6</v>
      </c>
      <c r="D45">
        <v>46026.60429398148</v>
      </c>
      <c r="E45" t="s">
        <v>8</v>
      </c>
      <c r="F45">
        <v>46026.743541666663</v>
      </c>
    </row>
    <row r="46" spans="1:6" x14ac:dyDescent="0.25">
      <c r="A46">
        <v>45</v>
      </c>
      <c r="B46" t="s">
        <v>5</v>
      </c>
      <c r="C46" t="s">
        <v>6</v>
      </c>
      <c r="D46">
        <v>46026.747743055559</v>
      </c>
      <c r="E46" t="s">
        <v>6</v>
      </c>
      <c r="F46">
        <v>46026.857361111113</v>
      </c>
    </row>
    <row r="47" spans="1:6" x14ac:dyDescent="0.25">
      <c r="A47">
        <v>46</v>
      </c>
      <c r="B47" t="s">
        <v>5</v>
      </c>
      <c r="C47" t="s">
        <v>6</v>
      </c>
      <c r="D47">
        <v>46026.84716435185</v>
      </c>
      <c r="E47" t="s">
        <v>8</v>
      </c>
      <c r="F47">
        <v>46026.932256944441</v>
      </c>
    </row>
    <row r="48" spans="1:6" x14ac:dyDescent="0.25">
      <c r="A48">
        <v>47</v>
      </c>
      <c r="B48" t="s">
        <v>5</v>
      </c>
      <c r="C48" t="s">
        <v>6</v>
      </c>
      <c r="D48">
        <v>46026.984085648146</v>
      </c>
      <c r="E48" t="s">
        <v>7</v>
      </c>
      <c r="F48">
        <v>46027.632222222222</v>
      </c>
    </row>
    <row r="49" spans="1:6" x14ac:dyDescent="0.25">
      <c r="A49">
        <v>48</v>
      </c>
      <c r="B49" t="s">
        <v>5</v>
      </c>
      <c r="C49" t="s">
        <v>6</v>
      </c>
      <c r="D49">
        <v>46027.038634259261</v>
      </c>
      <c r="E49" t="s">
        <v>8</v>
      </c>
      <c r="F49">
        <v>46027.627164351848</v>
      </c>
    </row>
    <row r="50" spans="1:6" x14ac:dyDescent="0.25">
      <c r="A50">
        <v>49</v>
      </c>
      <c r="B50" t="s">
        <v>5</v>
      </c>
      <c r="C50" t="s">
        <v>10</v>
      </c>
      <c r="D50">
        <v>46027.28125</v>
      </c>
      <c r="E50" t="s">
        <v>10</v>
      </c>
      <c r="F50">
        <v>46027.319444444445</v>
      </c>
    </row>
    <row r="51" spans="1:6" x14ac:dyDescent="0.25">
      <c r="A51">
        <v>50</v>
      </c>
      <c r="B51" t="s">
        <v>5</v>
      </c>
      <c r="C51" t="s">
        <v>6</v>
      </c>
      <c r="D51">
        <v>46027.287256944444</v>
      </c>
      <c r="E51" t="s">
        <v>7</v>
      </c>
      <c r="F51">
        <v>46027.630590277775</v>
      </c>
    </row>
    <row r="52" spans="1:6" x14ac:dyDescent="0.25">
      <c r="A52">
        <v>51</v>
      </c>
      <c r="B52" t="s">
        <v>5</v>
      </c>
      <c r="C52" t="s">
        <v>7</v>
      </c>
      <c r="D52">
        <v>46027.354166666664</v>
      </c>
      <c r="E52" t="s">
        <v>7</v>
      </c>
      <c r="F52">
        <v>46027.472222222219</v>
      </c>
    </row>
    <row r="53" spans="1:6" x14ac:dyDescent="0.25">
      <c r="A53">
        <v>52</v>
      </c>
      <c r="B53" t="s">
        <v>5</v>
      </c>
      <c r="C53" t="s">
        <v>7</v>
      </c>
      <c r="D53">
        <v>46027.375</v>
      </c>
      <c r="E53" t="s">
        <v>7</v>
      </c>
      <c r="F53">
        <v>46027.4375</v>
      </c>
    </row>
    <row r="54" spans="1:6" x14ac:dyDescent="0.25">
      <c r="A54">
        <v>53</v>
      </c>
      <c r="B54" t="s">
        <v>5</v>
      </c>
      <c r="C54" t="s">
        <v>6</v>
      </c>
      <c r="D54">
        <v>46027.399305555555</v>
      </c>
      <c r="E54" t="s">
        <v>7</v>
      </c>
      <c r="F54">
        <v>46027.513888888891</v>
      </c>
    </row>
    <row r="55" spans="1:6" x14ac:dyDescent="0.25">
      <c r="A55">
        <v>54</v>
      </c>
      <c r="B55" t="s">
        <v>5</v>
      </c>
      <c r="C55" t="s">
        <v>8</v>
      </c>
      <c r="D55">
        <v>46027.479166666664</v>
      </c>
      <c r="E55" t="s">
        <v>10</v>
      </c>
      <c r="F55">
        <v>46027.642361111109</v>
      </c>
    </row>
    <row r="56" spans="1:6" x14ac:dyDescent="0.25">
      <c r="A56">
        <v>55</v>
      </c>
      <c r="B56" t="s">
        <v>5</v>
      </c>
      <c r="C56" t="s">
        <v>6</v>
      </c>
      <c r="D56">
        <v>46027.493159722224</v>
      </c>
      <c r="E56" t="s">
        <v>8</v>
      </c>
      <c r="F56">
        <v>46027.84716435185</v>
      </c>
    </row>
    <row r="57" spans="1:6" x14ac:dyDescent="0.25">
      <c r="A57">
        <v>56</v>
      </c>
      <c r="B57" t="s">
        <v>5</v>
      </c>
      <c r="C57" t="s">
        <v>6</v>
      </c>
      <c r="D57">
        <v>46027.514641203707</v>
      </c>
      <c r="E57" t="s">
        <v>7</v>
      </c>
      <c r="F57">
        <v>46027.771041666667</v>
      </c>
    </row>
    <row r="58" spans="1:6" x14ac:dyDescent="0.25">
      <c r="A58">
        <v>57</v>
      </c>
      <c r="B58" t="s">
        <v>5</v>
      </c>
      <c r="C58" t="s">
        <v>7</v>
      </c>
      <c r="D58">
        <v>46027.597222222219</v>
      </c>
      <c r="E58" t="s">
        <v>7</v>
      </c>
      <c r="F58">
        <v>46027.708333333336</v>
      </c>
    </row>
    <row r="59" spans="1:6" x14ac:dyDescent="0.25">
      <c r="A59">
        <v>58</v>
      </c>
      <c r="B59" t="s">
        <v>5</v>
      </c>
      <c r="C59" t="s">
        <v>7</v>
      </c>
      <c r="D59">
        <v>46027.659722222219</v>
      </c>
      <c r="E59" t="s">
        <v>7</v>
      </c>
      <c r="F59">
        <v>46027.694444444445</v>
      </c>
    </row>
    <row r="60" spans="1:6" x14ac:dyDescent="0.25">
      <c r="A60">
        <v>59</v>
      </c>
      <c r="B60" t="s">
        <v>5</v>
      </c>
      <c r="C60" t="s">
        <v>7</v>
      </c>
      <c r="D60">
        <v>46027.715277777781</v>
      </c>
      <c r="E60" t="s">
        <v>8</v>
      </c>
      <c r="F60">
        <v>46027.875</v>
      </c>
    </row>
    <row r="61" spans="1:6" x14ac:dyDescent="0.25">
      <c r="A61">
        <v>60</v>
      </c>
      <c r="B61" t="s">
        <v>5</v>
      </c>
      <c r="C61" t="s">
        <v>6</v>
      </c>
      <c r="D61">
        <v>46027.719409722224</v>
      </c>
      <c r="E61" t="s">
        <v>9</v>
      </c>
      <c r="F61">
        <v>46028.410486111112</v>
      </c>
    </row>
    <row r="62" spans="1:6" x14ac:dyDescent="0.25">
      <c r="A62">
        <v>61</v>
      </c>
      <c r="B62" t="s">
        <v>5</v>
      </c>
      <c r="C62" t="s">
        <v>6</v>
      </c>
      <c r="D62">
        <v>46027.894525462965</v>
      </c>
      <c r="E62" t="s">
        <v>7</v>
      </c>
      <c r="F62">
        <v>46028.618587962963</v>
      </c>
    </row>
    <row r="63" spans="1:6" x14ac:dyDescent="0.25">
      <c r="A63">
        <v>62</v>
      </c>
      <c r="B63" t="s">
        <v>5</v>
      </c>
      <c r="C63" t="s">
        <v>6</v>
      </c>
      <c r="D63">
        <v>46027.959456018521</v>
      </c>
      <c r="E63" t="s">
        <v>7</v>
      </c>
      <c r="F63">
        <v>46028.135127314818</v>
      </c>
    </row>
    <row r="64" spans="1:6" x14ac:dyDescent="0.25">
      <c r="A64">
        <v>63</v>
      </c>
      <c r="B64" t="s">
        <v>5</v>
      </c>
      <c r="C64" t="s">
        <v>6</v>
      </c>
      <c r="D64">
        <v>46028.011608796296</v>
      </c>
      <c r="E64" t="s">
        <v>8</v>
      </c>
      <c r="F64">
        <v>46028.567372685182</v>
      </c>
    </row>
    <row r="65" spans="1:6" x14ac:dyDescent="0.25">
      <c r="A65">
        <v>64</v>
      </c>
      <c r="B65" t="s">
        <v>5</v>
      </c>
      <c r="C65" t="s">
        <v>7</v>
      </c>
      <c r="D65">
        <v>46028.333333333336</v>
      </c>
      <c r="E65" t="s">
        <v>7</v>
      </c>
      <c r="F65">
        <v>46028.340277777781</v>
      </c>
    </row>
    <row r="66" spans="1:6" x14ac:dyDescent="0.25">
      <c r="A66">
        <v>65</v>
      </c>
      <c r="B66" t="s">
        <v>5</v>
      </c>
      <c r="C66" t="s">
        <v>6</v>
      </c>
      <c r="D66">
        <v>46028.340497685182</v>
      </c>
      <c r="E66" t="s">
        <v>7</v>
      </c>
      <c r="F66">
        <v>46028.604548611111</v>
      </c>
    </row>
    <row r="67" spans="1:6" x14ac:dyDescent="0.25">
      <c r="A67">
        <v>66</v>
      </c>
      <c r="B67" t="s">
        <v>5</v>
      </c>
      <c r="C67" t="s">
        <v>10</v>
      </c>
      <c r="D67">
        <v>46028.361111111109</v>
      </c>
      <c r="E67" t="s">
        <v>10</v>
      </c>
      <c r="F67">
        <v>46028.425694444442</v>
      </c>
    </row>
    <row r="68" spans="1:6" x14ac:dyDescent="0.25">
      <c r="A68">
        <v>67</v>
      </c>
      <c r="B68" t="s">
        <v>5</v>
      </c>
      <c r="C68" t="s">
        <v>8</v>
      </c>
      <c r="D68">
        <v>46028.368055555555</v>
      </c>
      <c r="E68" t="s">
        <v>10</v>
      </c>
      <c r="F68">
        <v>46028.458333333336</v>
      </c>
    </row>
    <row r="69" spans="1:6" x14ac:dyDescent="0.25">
      <c r="A69">
        <v>68</v>
      </c>
      <c r="B69" t="s">
        <v>5</v>
      </c>
      <c r="C69" t="s">
        <v>7</v>
      </c>
      <c r="D69">
        <v>46028.378472222219</v>
      </c>
      <c r="E69" t="s">
        <v>7</v>
      </c>
      <c r="F69">
        <v>46028.431250000001</v>
      </c>
    </row>
    <row r="70" spans="1:6" x14ac:dyDescent="0.25">
      <c r="A70">
        <v>69</v>
      </c>
      <c r="B70" t="s">
        <v>5</v>
      </c>
      <c r="C70" t="s">
        <v>6</v>
      </c>
      <c r="D70">
        <v>46028.459247685183</v>
      </c>
      <c r="E70" t="s">
        <v>7</v>
      </c>
      <c r="F70">
        <v>46028.770300925928</v>
      </c>
    </row>
    <row r="71" spans="1:6" x14ac:dyDescent="0.25">
      <c r="A71">
        <v>70</v>
      </c>
      <c r="B71" t="s">
        <v>5</v>
      </c>
      <c r="C71" t="s">
        <v>10</v>
      </c>
      <c r="D71">
        <v>46028.480555555558</v>
      </c>
      <c r="E71" t="s">
        <v>8</v>
      </c>
      <c r="F71">
        <v>46028.541666666664</v>
      </c>
    </row>
    <row r="72" spans="1:6" x14ac:dyDescent="0.25">
      <c r="A72">
        <v>71</v>
      </c>
      <c r="B72" t="s">
        <v>5</v>
      </c>
      <c r="C72" t="s">
        <v>7</v>
      </c>
      <c r="D72">
        <v>46028.53125</v>
      </c>
      <c r="E72" t="s">
        <v>7</v>
      </c>
      <c r="F72">
        <v>46028.670138888891</v>
      </c>
    </row>
    <row r="73" spans="1:6" x14ac:dyDescent="0.25">
      <c r="A73">
        <v>72</v>
      </c>
      <c r="B73" t="s">
        <v>5</v>
      </c>
      <c r="C73" t="s">
        <v>6</v>
      </c>
      <c r="D73">
        <v>46028.570856481485</v>
      </c>
      <c r="E73" t="s">
        <v>7</v>
      </c>
      <c r="F73">
        <v>46028.86613425926</v>
      </c>
    </row>
    <row r="74" spans="1:6" x14ac:dyDescent="0.25">
      <c r="A74">
        <v>73</v>
      </c>
      <c r="B74" t="s">
        <v>5</v>
      </c>
      <c r="C74" t="s">
        <v>8</v>
      </c>
      <c r="D74">
        <v>46028.590277777781</v>
      </c>
      <c r="E74" t="s">
        <v>7</v>
      </c>
      <c r="F74">
        <v>46028.732638888891</v>
      </c>
    </row>
    <row r="75" spans="1:6" x14ac:dyDescent="0.25">
      <c r="A75">
        <v>74</v>
      </c>
      <c r="B75" t="s">
        <v>5</v>
      </c>
      <c r="C75" t="s">
        <v>7</v>
      </c>
      <c r="D75">
        <v>46028.642361111109</v>
      </c>
      <c r="E75" t="s">
        <v>7</v>
      </c>
      <c r="F75">
        <v>46028.666666666664</v>
      </c>
    </row>
    <row r="76" spans="1:6" x14ac:dyDescent="0.25">
      <c r="A76">
        <v>75</v>
      </c>
      <c r="B76" t="s">
        <v>5</v>
      </c>
      <c r="C76" t="s">
        <v>6</v>
      </c>
      <c r="D76">
        <v>46028.686666666668</v>
      </c>
      <c r="E76" t="s">
        <v>7</v>
      </c>
      <c r="F76">
        <v>46029.668310185189</v>
      </c>
    </row>
    <row r="77" spans="1:6" x14ac:dyDescent="0.25">
      <c r="A77">
        <v>76</v>
      </c>
      <c r="B77" t="s">
        <v>5</v>
      </c>
      <c r="C77" t="s">
        <v>7</v>
      </c>
      <c r="D77">
        <v>46028.725694444445</v>
      </c>
      <c r="E77" t="s">
        <v>7</v>
      </c>
      <c r="F77">
        <v>46028.805555555555</v>
      </c>
    </row>
    <row r="78" spans="1:6" x14ac:dyDescent="0.25">
      <c r="A78">
        <v>77</v>
      </c>
      <c r="B78" t="s">
        <v>5</v>
      </c>
      <c r="C78" t="s">
        <v>6</v>
      </c>
      <c r="D78">
        <v>46029.026099537034</v>
      </c>
      <c r="E78" t="s">
        <v>7</v>
      </c>
      <c r="F78">
        <v>46029.767835648148</v>
      </c>
    </row>
    <row r="79" spans="1:6" x14ac:dyDescent="0.25">
      <c r="A79">
        <v>78</v>
      </c>
      <c r="B79" t="s">
        <v>5</v>
      </c>
      <c r="C79" t="s">
        <v>6</v>
      </c>
      <c r="D79">
        <v>46029.031793981485</v>
      </c>
      <c r="E79" t="s">
        <v>7</v>
      </c>
      <c r="F79">
        <v>46029.770960648151</v>
      </c>
    </row>
    <row r="80" spans="1:6" x14ac:dyDescent="0.25">
      <c r="A80">
        <v>79</v>
      </c>
      <c r="B80" t="s">
        <v>5</v>
      </c>
      <c r="C80" t="s">
        <v>6</v>
      </c>
      <c r="D80">
        <v>46029.060150462959</v>
      </c>
      <c r="E80" t="s">
        <v>7</v>
      </c>
      <c r="F80">
        <v>46030.647615740738</v>
      </c>
    </row>
    <row r="81" spans="1:6" x14ac:dyDescent="0.25">
      <c r="A81">
        <v>80</v>
      </c>
      <c r="B81" t="s">
        <v>5</v>
      </c>
      <c r="C81" t="s">
        <v>7</v>
      </c>
      <c r="D81">
        <v>46029.277777777781</v>
      </c>
      <c r="E81" t="s">
        <v>7</v>
      </c>
      <c r="F81">
        <v>46029.326388888891</v>
      </c>
    </row>
    <row r="82" spans="1:6" x14ac:dyDescent="0.25">
      <c r="A82">
        <v>81</v>
      </c>
      <c r="B82" t="s">
        <v>5</v>
      </c>
      <c r="C82" t="s">
        <v>10</v>
      </c>
      <c r="D82">
        <v>46029.280706018515</v>
      </c>
      <c r="E82" t="s">
        <v>7</v>
      </c>
      <c r="F82">
        <v>46029.769895833335</v>
      </c>
    </row>
    <row r="83" spans="1:6" x14ac:dyDescent="0.25">
      <c r="A83">
        <v>82</v>
      </c>
      <c r="B83" t="s">
        <v>5</v>
      </c>
      <c r="C83" t="s">
        <v>7</v>
      </c>
      <c r="D83">
        <v>46029.347222222219</v>
      </c>
      <c r="E83" t="s">
        <v>7</v>
      </c>
      <c r="F83">
        <v>46029.423611111109</v>
      </c>
    </row>
    <row r="84" spans="1:6" x14ac:dyDescent="0.25">
      <c r="A84">
        <v>83</v>
      </c>
      <c r="B84" t="s">
        <v>5</v>
      </c>
      <c r="C84" t="s">
        <v>7</v>
      </c>
      <c r="D84">
        <v>46029.354166666664</v>
      </c>
      <c r="E84" t="s">
        <v>7</v>
      </c>
      <c r="F84">
        <v>46029.416666666664</v>
      </c>
    </row>
    <row r="85" spans="1:6" x14ac:dyDescent="0.25">
      <c r="A85">
        <v>84</v>
      </c>
      <c r="B85" t="s">
        <v>5</v>
      </c>
      <c r="C85" t="s">
        <v>7</v>
      </c>
      <c r="D85">
        <v>46029.354166666664</v>
      </c>
      <c r="E85" t="s">
        <v>7</v>
      </c>
      <c r="F85">
        <v>46029.461805555555</v>
      </c>
    </row>
    <row r="86" spans="1:6" x14ac:dyDescent="0.25">
      <c r="A86">
        <v>85</v>
      </c>
      <c r="B86" t="s">
        <v>5</v>
      </c>
      <c r="C86" t="s">
        <v>6</v>
      </c>
      <c r="D86">
        <v>46029.436377314814</v>
      </c>
      <c r="E86" t="s">
        <v>8</v>
      </c>
      <c r="F86">
        <v>46029.622453703705</v>
      </c>
    </row>
    <row r="87" spans="1:6" x14ac:dyDescent="0.25">
      <c r="A87">
        <v>86</v>
      </c>
      <c r="B87" t="s">
        <v>5</v>
      </c>
      <c r="C87" t="s">
        <v>6</v>
      </c>
      <c r="D87">
        <v>46029.476770833331</v>
      </c>
      <c r="E87" t="s">
        <v>7</v>
      </c>
      <c r="F87">
        <v>46029.669027777774</v>
      </c>
    </row>
    <row r="88" spans="1:6" x14ac:dyDescent="0.25">
      <c r="A88">
        <v>87</v>
      </c>
      <c r="B88" t="s">
        <v>5</v>
      </c>
      <c r="C88" t="s">
        <v>7</v>
      </c>
      <c r="D88">
        <v>46029.486111111109</v>
      </c>
      <c r="E88" t="s">
        <v>7</v>
      </c>
      <c r="F88">
        <v>46029.510416666664</v>
      </c>
    </row>
    <row r="89" spans="1:6" x14ac:dyDescent="0.25">
      <c r="A89">
        <v>88</v>
      </c>
      <c r="B89" t="s">
        <v>5</v>
      </c>
      <c r="C89" t="s">
        <v>6</v>
      </c>
      <c r="D89">
        <v>46029.502175925925</v>
      </c>
      <c r="E89" t="s">
        <v>9</v>
      </c>
      <c r="F89">
        <v>46030.495520833334</v>
      </c>
    </row>
    <row r="90" spans="1:6" x14ac:dyDescent="0.25">
      <c r="A90">
        <v>89</v>
      </c>
      <c r="B90" t="s">
        <v>5</v>
      </c>
      <c r="C90" t="s">
        <v>7</v>
      </c>
      <c r="D90">
        <v>46029.531759259262</v>
      </c>
      <c r="E90" t="s">
        <v>7</v>
      </c>
      <c r="F90">
        <v>46030.617673611108</v>
      </c>
    </row>
    <row r="91" spans="1:6" x14ac:dyDescent="0.25">
      <c r="A91">
        <v>90</v>
      </c>
      <c r="B91" t="s">
        <v>5</v>
      </c>
      <c r="C91" t="s">
        <v>10</v>
      </c>
      <c r="D91">
        <v>46029.586805555555</v>
      </c>
      <c r="E91" t="s">
        <v>10</v>
      </c>
      <c r="F91">
        <v>46029.621527777781</v>
      </c>
    </row>
    <row r="92" spans="1:6" x14ac:dyDescent="0.25">
      <c r="A92">
        <v>91</v>
      </c>
      <c r="B92" t="s">
        <v>5</v>
      </c>
      <c r="C92" t="s">
        <v>6</v>
      </c>
      <c r="D92">
        <v>46029.616851851853</v>
      </c>
      <c r="E92" t="s">
        <v>7</v>
      </c>
      <c r="F92">
        <v>46029.968101851853</v>
      </c>
    </row>
    <row r="93" spans="1:6" x14ac:dyDescent="0.25">
      <c r="A93">
        <v>92</v>
      </c>
      <c r="B93" t="s">
        <v>5</v>
      </c>
      <c r="C93" t="s">
        <v>7</v>
      </c>
      <c r="D93">
        <v>46029.676458333335</v>
      </c>
      <c r="E93" t="s">
        <v>7</v>
      </c>
      <c r="F93">
        <v>46030.689270833333</v>
      </c>
    </row>
    <row r="94" spans="1:6" x14ac:dyDescent="0.25">
      <c r="A94">
        <v>93</v>
      </c>
      <c r="B94" t="s">
        <v>5</v>
      </c>
      <c r="C94" t="s">
        <v>7</v>
      </c>
      <c r="D94">
        <v>46029.680555555555</v>
      </c>
      <c r="E94" t="s">
        <v>7</v>
      </c>
      <c r="F94">
        <v>46029.729166666664</v>
      </c>
    </row>
    <row r="95" spans="1:6" x14ac:dyDescent="0.25">
      <c r="A95">
        <v>94</v>
      </c>
      <c r="B95" t="s">
        <v>5</v>
      </c>
      <c r="C95" t="s">
        <v>7</v>
      </c>
      <c r="D95">
        <v>46029.767361111109</v>
      </c>
      <c r="E95" t="s">
        <v>7</v>
      </c>
      <c r="F95">
        <v>46029.791666666664</v>
      </c>
    </row>
    <row r="96" spans="1:6" x14ac:dyDescent="0.25">
      <c r="A96">
        <v>95</v>
      </c>
      <c r="B96" t="s">
        <v>5</v>
      </c>
      <c r="C96" t="s">
        <v>6</v>
      </c>
      <c r="D96">
        <v>46029.845706018517</v>
      </c>
      <c r="E96" t="s">
        <v>11</v>
      </c>
      <c r="F96">
        <v>46031.471493055556</v>
      </c>
    </row>
    <row r="97" spans="1:6" x14ac:dyDescent="0.25">
      <c r="A97">
        <v>96</v>
      </c>
      <c r="B97" t="s">
        <v>5</v>
      </c>
      <c r="C97" t="s">
        <v>10</v>
      </c>
      <c r="D97">
        <v>46030.277777777781</v>
      </c>
      <c r="E97" t="s">
        <v>10</v>
      </c>
      <c r="F97">
        <v>46030.298611111109</v>
      </c>
    </row>
    <row r="98" spans="1:6" x14ac:dyDescent="0.25">
      <c r="A98">
        <v>97</v>
      </c>
      <c r="B98" t="s">
        <v>5</v>
      </c>
      <c r="C98" t="s">
        <v>6</v>
      </c>
      <c r="D98">
        <v>46030.300543981481</v>
      </c>
      <c r="E98" t="s">
        <v>9</v>
      </c>
      <c r="F98">
        <v>46030.361250000002</v>
      </c>
    </row>
    <row r="99" spans="1:6" x14ac:dyDescent="0.25">
      <c r="A99">
        <v>98</v>
      </c>
      <c r="B99" t="s">
        <v>5</v>
      </c>
      <c r="C99" t="s">
        <v>10</v>
      </c>
      <c r="D99">
        <v>46030.340277777781</v>
      </c>
      <c r="E99" t="s">
        <v>10</v>
      </c>
      <c r="F99">
        <v>46030.388888888891</v>
      </c>
    </row>
    <row r="100" spans="1:6" x14ac:dyDescent="0.25">
      <c r="A100">
        <v>99</v>
      </c>
      <c r="B100" t="s">
        <v>5</v>
      </c>
      <c r="C100" t="s">
        <v>6</v>
      </c>
      <c r="D100">
        <v>46030.350682870368</v>
      </c>
      <c r="E100" t="s">
        <v>7</v>
      </c>
      <c r="F100">
        <v>46030.552303240744</v>
      </c>
    </row>
    <row r="101" spans="1:6" x14ac:dyDescent="0.25">
      <c r="A101">
        <v>100</v>
      </c>
      <c r="B101" t="s">
        <v>5</v>
      </c>
      <c r="C101" t="s">
        <v>7</v>
      </c>
      <c r="D101">
        <v>46030.350694444445</v>
      </c>
      <c r="E101" t="s">
        <v>7</v>
      </c>
      <c r="F101">
        <v>46030.4375</v>
      </c>
    </row>
    <row r="102" spans="1:6" x14ac:dyDescent="0.25">
      <c r="A102">
        <v>101</v>
      </c>
      <c r="B102" t="s">
        <v>5</v>
      </c>
      <c r="C102" t="s">
        <v>7</v>
      </c>
      <c r="D102">
        <v>46030.368055555555</v>
      </c>
      <c r="E102" t="s">
        <v>7</v>
      </c>
      <c r="F102">
        <v>46030.482638888891</v>
      </c>
    </row>
    <row r="103" spans="1:6" x14ac:dyDescent="0.25">
      <c r="A103">
        <v>102</v>
      </c>
      <c r="B103" t="s">
        <v>5</v>
      </c>
      <c r="C103" t="s">
        <v>6</v>
      </c>
      <c r="D103">
        <v>46030.422337962962</v>
      </c>
      <c r="E103" t="s">
        <v>7</v>
      </c>
      <c r="F103">
        <v>46031.405995370369</v>
      </c>
    </row>
    <row r="104" spans="1:6" x14ac:dyDescent="0.25">
      <c r="A104">
        <v>103</v>
      </c>
      <c r="B104" t="s">
        <v>5</v>
      </c>
      <c r="C104" t="s">
        <v>10</v>
      </c>
      <c r="D104">
        <v>46030.4375</v>
      </c>
      <c r="E104" t="s">
        <v>10</v>
      </c>
      <c r="F104">
        <v>46030.5</v>
      </c>
    </row>
    <row r="105" spans="1:6" x14ac:dyDescent="0.25">
      <c r="A105">
        <v>104</v>
      </c>
      <c r="B105" t="s">
        <v>5</v>
      </c>
      <c r="C105" t="s">
        <v>7</v>
      </c>
      <c r="D105">
        <v>46030.5</v>
      </c>
      <c r="E105" t="s">
        <v>7</v>
      </c>
      <c r="F105">
        <v>46030.555555555555</v>
      </c>
    </row>
    <row r="106" spans="1:6" x14ac:dyDescent="0.25">
      <c r="A106">
        <v>105</v>
      </c>
      <c r="B106" t="s">
        <v>5</v>
      </c>
      <c r="C106" t="s">
        <v>6</v>
      </c>
      <c r="D106">
        <v>46030.519733796296</v>
      </c>
      <c r="E106" t="s">
        <v>7</v>
      </c>
      <c r="F106">
        <v>46031.708692129629</v>
      </c>
    </row>
    <row r="107" spans="1:6" x14ac:dyDescent="0.25">
      <c r="A107">
        <v>106</v>
      </c>
      <c r="B107" t="s">
        <v>5</v>
      </c>
      <c r="C107" t="s">
        <v>6</v>
      </c>
      <c r="D107">
        <v>46030.610555555555</v>
      </c>
      <c r="E107" t="s">
        <v>10</v>
      </c>
      <c r="F107">
        <v>46031.66369212963</v>
      </c>
    </row>
    <row r="108" spans="1:6" x14ac:dyDescent="0.25">
      <c r="A108">
        <v>107</v>
      </c>
      <c r="B108" t="s">
        <v>5</v>
      </c>
      <c r="C108" t="s">
        <v>6</v>
      </c>
      <c r="D108">
        <v>46030.612372685187</v>
      </c>
      <c r="E108" t="s">
        <v>7</v>
      </c>
      <c r="F108">
        <v>46031.827685185184</v>
      </c>
    </row>
    <row r="109" spans="1:6" x14ac:dyDescent="0.25">
      <c r="A109">
        <v>108</v>
      </c>
      <c r="B109" t="s">
        <v>5</v>
      </c>
      <c r="C109" t="s">
        <v>7</v>
      </c>
      <c r="D109">
        <v>46030.684027777781</v>
      </c>
      <c r="E109" t="s">
        <v>7</v>
      </c>
      <c r="F109">
        <v>46030.8</v>
      </c>
    </row>
    <row r="110" spans="1:6" x14ac:dyDescent="0.25">
      <c r="A110">
        <v>109</v>
      </c>
      <c r="B110" t="s">
        <v>5</v>
      </c>
      <c r="C110" t="s">
        <v>7</v>
      </c>
      <c r="D110">
        <v>46030.738194444442</v>
      </c>
      <c r="E110" t="s">
        <v>7</v>
      </c>
      <c r="F110">
        <v>46030.763888888891</v>
      </c>
    </row>
    <row r="111" spans="1:6" x14ac:dyDescent="0.25">
      <c r="A111">
        <v>110</v>
      </c>
      <c r="B111" t="s">
        <v>5</v>
      </c>
      <c r="C111" t="s">
        <v>6</v>
      </c>
      <c r="D111">
        <v>46030.880347222221</v>
      </c>
      <c r="E111" t="s">
        <v>7</v>
      </c>
      <c r="F111">
        <v>46031.859270833331</v>
      </c>
    </row>
    <row r="112" spans="1:6" x14ac:dyDescent="0.25">
      <c r="A112">
        <v>111</v>
      </c>
      <c r="B112" t="s">
        <v>5</v>
      </c>
      <c r="C112" t="s">
        <v>6</v>
      </c>
      <c r="D112">
        <v>46031.285208333335</v>
      </c>
      <c r="E112" t="s">
        <v>8</v>
      </c>
      <c r="F112">
        <v>46031.7497337963</v>
      </c>
    </row>
    <row r="113" spans="1:6" x14ac:dyDescent="0.25">
      <c r="A113">
        <v>112</v>
      </c>
      <c r="B113" t="s">
        <v>5</v>
      </c>
      <c r="C113" t="s">
        <v>6</v>
      </c>
      <c r="D113">
        <v>46031.312048611115</v>
      </c>
      <c r="E113" t="s">
        <v>8</v>
      </c>
      <c r="F113">
        <v>46031.492789351854</v>
      </c>
    </row>
    <row r="114" spans="1:6" x14ac:dyDescent="0.25">
      <c r="A114">
        <v>113</v>
      </c>
      <c r="B114" t="s">
        <v>5</v>
      </c>
      <c r="C114" t="s">
        <v>7</v>
      </c>
      <c r="D114">
        <v>46031.354166666664</v>
      </c>
      <c r="E114" t="s">
        <v>7</v>
      </c>
      <c r="F114">
        <v>46031.458333333336</v>
      </c>
    </row>
    <row r="115" spans="1:6" x14ac:dyDescent="0.25">
      <c r="A115">
        <v>114</v>
      </c>
      <c r="B115" t="s">
        <v>5</v>
      </c>
      <c r="C115" t="s">
        <v>8</v>
      </c>
      <c r="D115">
        <v>46031.395138888889</v>
      </c>
      <c r="E115" t="s">
        <v>7</v>
      </c>
      <c r="F115">
        <v>46031.472222222219</v>
      </c>
    </row>
    <row r="116" spans="1:6" x14ac:dyDescent="0.25">
      <c r="A116">
        <v>115</v>
      </c>
      <c r="B116" t="s">
        <v>5</v>
      </c>
      <c r="C116" t="s">
        <v>8</v>
      </c>
      <c r="D116">
        <v>46031.402777777781</v>
      </c>
      <c r="E116" t="s">
        <v>7</v>
      </c>
      <c r="F116">
        <v>46031.513888888891</v>
      </c>
    </row>
    <row r="117" spans="1:6" x14ac:dyDescent="0.25">
      <c r="A117">
        <v>116</v>
      </c>
      <c r="B117" t="s">
        <v>5</v>
      </c>
      <c r="C117" t="s">
        <v>6</v>
      </c>
      <c r="D117">
        <v>46031.502465277779</v>
      </c>
      <c r="E117" t="s">
        <v>7</v>
      </c>
      <c r="F117">
        <v>46031.847569444442</v>
      </c>
    </row>
    <row r="118" spans="1:6" x14ac:dyDescent="0.25">
      <c r="A118">
        <v>117</v>
      </c>
      <c r="B118" t="s">
        <v>5</v>
      </c>
      <c r="C118" t="s">
        <v>7</v>
      </c>
      <c r="D118">
        <v>46031.530555555553</v>
      </c>
      <c r="E118" t="s">
        <v>7</v>
      </c>
      <c r="F118">
        <v>46031.62222222222</v>
      </c>
    </row>
    <row r="119" spans="1:6" x14ac:dyDescent="0.25">
      <c r="A119">
        <v>118</v>
      </c>
      <c r="B119" t="s">
        <v>5</v>
      </c>
      <c r="C119" t="s">
        <v>6</v>
      </c>
      <c r="D119">
        <v>46031.552083333336</v>
      </c>
      <c r="E119" t="s">
        <v>7</v>
      </c>
      <c r="F119">
        <v>46031.576388888891</v>
      </c>
    </row>
    <row r="120" spans="1:6" x14ac:dyDescent="0.25">
      <c r="A120">
        <v>119</v>
      </c>
      <c r="B120" t="s">
        <v>5</v>
      </c>
      <c r="C120" t="s">
        <v>6</v>
      </c>
      <c r="D120">
        <v>46031.625636574077</v>
      </c>
      <c r="E120" t="s">
        <v>7</v>
      </c>
      <c r="F120">
        <v>46031.855428240742</v>
      </c>
    </row>
    <row r="121" spans="1:6" x14ac:dyDescent="0.25">
      <c r="A121">
        <v>120</v>
      </c>
      <c r="B121" t="s">
        <v>5</v>
      </c>
      <c r="C121" t="s">
        <v>7</v>
      </c>
      <c r="D121">
        <v>46031.666666666664</v>
      </c>
      <c r="E121" t="s">
        <v>7</v>
      </c>
      <c r="F121">
        <v>46031.763888888891</v>
      </c>
    </row>
    <row r="122" spans="1:6" x14ac:dyDescent="0.25">
      <c r="A122">
        <v>121</v>
      </c>
      <c r="B122" t="s">
        <v>5</v>
      </c>
      <c r="C122" t="s">
        <v>7</v>
      </c>
      <c r="D122">
        <v>46031.690972222219</v>
      </c>
      <c r="E122" t="s">
        <v>7</v>
      </c>
      <c r="F122">
        <v>46033.591736111113</v>
      </c>
    </row>
    <row r="123" spans="1:6" x14ac:dyDescent="0.25">
      <c r="A123">
        <v>122</v>
      </c>
      <c r="B123" t="s">
        <v>5</v>
      </c>
      <c r="C123" t="s">
        <v>7</v>
      </c>
      <c r="D123">
        <v>46031.711805555555</v>
      </c>
      <c r="E123" t="s">
        <v>7</v>
      </c>
      <c r="F123">
        <v>46031.743055555555</v>
      </c>
    </row>
    <row r="124" spans="1:6" x14ac:dyDescent="0.25">
      <c r="A124">
        <v>123</v>
      </c>
      <c r="B124" t="s">
        <v>5</v>
      </c>
      <c r="C124" t="s">
        <v>6</v>
      </c>
      <c r="D124">
        <v>46031.7340625</v>
      </c>
      <c r="E124" t="s">
        <v>7</v>
      </c>
      <c r="F124">
        <v>46031.936782407407</v>
      </c>
    </row>
    <row r="125" spans="1:6" x14ac:dyDescent="0.25">
      <c r="A125">
        <v>124</v>
      </c>
      <c r="B125" t="s">
        <v>5</v>
      </c>
      <c r="C125" t="s">
        <v>6</v>
      </c>
      <c r="D125">
        <v>46031.764641203707</v>
      </c>
      <c r="E125" t="s">
        <v>7</v>
      </c>
      <c r="F125">
        <v>46035.501400462963</v>
      </c>
    </row>
    <row r="126" spans="1:6" x14ac:dyDescent="0.25">
      <c r="A126">
        <v>125</v>
      </c>
      <c r="B126" t="s">
        <v>5</v>
      </c>
      <c r="C126" t="s">
        <v>6</v>
      </c>
      <c r="D126">
        <v>46031.889664351853</v>
      </c>
      <c r="E126" t="s">
        <v>7</v>
      </c>
      <c r="F126">
        <v>46032.760937500003</v>
      </c>
    </row>
    <row r="127" spans="1:6" x14ac:dyDescent="0.25">
      <c r="A127">
        <v>126</v>
      </c>
      <c r="B127" t="s">
        <v>5</v>
      </c>
      <c r="C127" t="s">
        <v>6</v>
      </c>
      <c r="D127">
        <v>46031.991840277777</v>
      </c>
      <c r="E127" t="s">
        <v>7</v>
      </c>
      <c r="F127">
        <v>46033.088750000003</v>
      </c>
    </row>
    <row r="128" spans="1:6" x14ac:dyDescent="0.25">
      <c r="A128">
        <v>127</v>
      </c>
      <c r="B128" t="s">
        <v>5</v>
      </c>
      <c r="C128" t="s">
        <v>6</v>
      </c>
      <c r="D128">
        <v>46031.991840277777</v>
      </c>
      <c r="E128" t="s">
        <v>7</v>
      </c>
      <c r="F128">
        <v>46033.088750000003</v>
      </c>
    </row>
    <row r="129" spans="1:6" x14ac:dyDescent="0.25">
      <c r="A129">
        <v>128</v>
      </c>
      <c r="B129" t="s">
        <v>5</v>
      </c>
      <c r="C129" t="s">
        <v>6</v>
      </c>
      <c r="D129">
        <v>46032.4140162037</v>
      </c>
      <c r="E129" t="s">
        <v>7</v>
      </c>
      <c r="F129">
        <v>46033.669976851852</v>
      </c>
    </row>
    <row r="130" spans="1:6" x14ac:dyDescent="0.25">
      <c r="A130">
        <v>129</v>
      </c>
      <c r="B130" t="s">
        <v>5</v>
      </c>
      <c r="C130" t="s">
        <v>6</v>
      </c>
      <c r="D130">
        <v>46032.449467592596</v>
      </c>
      <c r="E130" t="s">
        <v>7</v>
      </c>
      <c r="F130">
        <v>46032.658229166664</v>
      </c>
    </row>
    <row r="131" spans="1:6" x14ac:dyDescent="0.25">
      <c r="A131">
        <v>130</v>
      </c>
      <c r="B131" t="s">
        <v>5</v>
      </c>
      <c r="C131" t="s">
        <v>6</v>
      </c>
      <c r="D131">
        <v>46032.45244212963</v>
      </c>
      <c r="E131" t="s">
        <v>7</v>
      </c>
      <c r="F131">
        <v>46032.661111111112</v>
      </c>
    </row>
    <row r="132" spans="1:6" x14ac:dyDescent="0.25">
      <c r="A132">
        <v>131</v>
      </c>
      <c r="B132" t="s">
        <v>5</v>
      </c>
      <c r="C132" t="s">
        <v>7</v>
      </c>
      <c r="D132">
        <v>46032.590277777781</v>
      </c>
      <c r="E132" t="s">
        <v>7</v>
      </c>
      <c r="F132">
        <v>46032.621527777781</v>
      </c>
    </row>
    <row r="133" spans="1:6" x14ac:dyDescent="0.25">
      <c r="A133">
        <v>132</v>
      </c>
      <c r="B133" t="s">
        <v>5</v>
      </c>
      <c r="C133" t="s">
        <v>6</v>
      </c>
      <c r="D133">
        <v>46032.668657407405</v>
      </c>
      <c r="E133" t="s">
        <v>10</v>
      </c>
      <c r="F133">
        <v>46042.700254629628</v>
      </c>
    </row>
    <row r="134" spans="1:6" x14ac:dyDescent="0.25">
      <c r="A134">
        <v>133</v>
      </c>
      <c r="B134" t="s">
        <v>5</v>
      </c>
      <c r="C134" t="s">
        <v>6</v>
      </c>
      <c r="D134">
        <v>46032.699166666665</v>
      </c>
      <c r="E134" t="s">
        <v>7</v>
      </c>
      <c r="F134">
        <v>46033.347118055557</v>
      </c>
    </row>
    <row r="135" spans="1:6" x14ac:dyDescent="0.25">
      <c r="A135">
        <v>134</v>
      </c>
      <c r="B135" t="s">
        <v>5</v>
      </c>
      <c r="C135" t="s">
        <v>7</v>
      </c>
      <c r="D135">
        <v>46032.786805555559</v>
      </c>
      <c r="E135" t="s">
        <v>7</v>
      </c>
      <c r="F135">
        <v>46032.795138888891</v>
      </c>
    </row>
    <row r="136" spans="1:6" x14ac:dyDescent="0.25">
      <c r="A136">
        <v>135</v>
      </c>
      <c r="B136" t="s">
        <v>5</v>
      </c>
      <c r="C136" t="s">
        <v>6</v>
      </c>
      <c r="D136">
        <v>46032.84778935185</v>
      </c>
      <c r="E136" t="s">
        <v>7</v>
      </c>
      <c r="F136">
        <v>46033.455011574071</v>
      </c>
    </row>
    <row r="137" spans="1:6" x14ac:dyDescent="0.25">
      <c r="A137">
        <v>136</v>
      </c>
      <c r="B137" t="s">
        <v>5</v>
      </c>
      <c r="C137" t="s">
        <v>10</v>
      </c>
      <c r="D137">
        <v>46033.407557870371</v>
      </c>
      <c r="E137" t="s">
        <v>7</v>
      </c>
      <c r="F137">
        <v>46034.674375000002</v>
      </c>
    </row>
    <row r="138" spans="1:6" x14ac:dyDescent="0.25">
      <c r="A138">
        <v>137</v>
      </c>
      <c r="B138" t="s">
        <v>5</v>
      </c>
      <c r="C138" t="s">
        <v>6</v>
      </c>
      <c r="D138">
        <v>46033.452719907407</v>
      </c>
      <c r="E138" t="s">
        <v>7</v>
      </c>
      <c r="F138">
        <v>46033.677905092591</v>
      </c>
    </row>
    <row r="139" spans="1:6" x14ac:dyDescent="0.25">
      <c r="A139">
        <v>138</v>
      </c>
      <c r="B139" t="s">
        <v>5</v>
      </c>
      <c r="C139" t="s">
        <v>6</v>
      </c>
      <c r="D139">
        <v>46033.453402777777</v>
      </c>
      <c r="E139" t="s">
        <v>7</v>
      </c>
      <c r="F139">
        <v>46033.641828703701</v>
      </c>
    </row>
    <row r="140" spans="1:6" x14ac:dyDescent="0.25">
      <c r="A140">
        <v>139</v>
      </c>
      <c r="B140" t="s">
        <v>5</v>
      </c>
      <c r="C140" t="s">
        <v>6</v>
      </c>
      <c r="D140">
        <v>46033.602847222224</v>
      </c>
      <c r="E140" t="s">
        <v>8</v>
      </c>
      <c r="F140">
        <v>46033.898611111108</v>
      </c>
    </row>
    <row r="141" spans="1:6" x14ac:dyDescent="0.25">
      <c r="A141">
        <v>140</v>
      </c>
      <c r="B141" t="s">
        <v>5</v>
      </c>
      <c r="C141" t="s">
        <v>6</v>
      </c>
      <c r="D141">
        <v>46033.707916666666</v>
      </c>
      <c r="E141" t="s">
        <v>7</v>
      </c>
      <c r="F141">
        <v>46036.107256944444</v>
      </c>
    </row>
    <row r="142" spans="1:6" x14ac:dyDescent="0.25">
      <c r="A142">
        <v>141</v>
      </c>
      <c r="B142" t="s">
        <v>5</v>
      </c>
      <c r="C142" t="s">
        <v>6</v>
      </c>
      <c r="D142">
        <v>46033.876898148148</v>
      </c>
      <c r="E142" t="s">
        <v>7</v>
      </c>
      <c r="F142">
        <v>46034.070509259262</v>
      </c>
    </row>
    <row r="143" spans="1:6" x14ac:dyDescent="0.25">
      <c r="A143">
        <v>142</v>
      </c>
      <c r="B143" t="s">
        <v>5</v>
      </c>
      <c r="C143" t="s">
        <v>6</v>
      </c>
      <c r="D143">
        <v>46033.889872685184</v>
      </c>
      <c r="E143" t="s">
        <v>7</v>
      </c>
      <c r="F143">
        <v>46034.877870370372</v>
      </c>
    </row>
    <row r="144" spans="1:6" x14ac:dyDescent="0.25">
      <c r="A144">
        <v>143</v>
      </c>
      <c r="B144" t="s">
        <v>5</v>
      </c>
      <c r="C144" t="s">
        <v>6</v>
      </c>
      <c r="D144">
        <v>46033.934467592589</v>
      </c>
      <c r="E144" t="s">
        <v>7</v>
      </c>
      <c r="F144">
        <v>46034.687314814815</v>
      </c>
    </row>
    <row r="145" spans="1:6" x14ac:dyDescent="0.25">
      <c r="A145">
        <v>144</v>
      </c>
      <c r="B145" t="s">
        <v>5</v>
      </c>
      <c r="C145" t="s">
        <v>6</v>
      </c>
      <c r="D145">
        <v>46033.963148148148</v>
      </c>
      <c r="E145" t="s">
        <v>7</v>
      </c>
      <c r="F145">
        <v>46034.855624999997</v>
      </c>
    </row>
    <row r="146" spans="1:6" x14ac:dyDescent="0.25">
      <c r="A146">
        <v>145</v>
      </c>
      <c r="B146" t="s">
        <v>5</v>
      </c>
      <c r="C146" t="s">
        <v>6</v>
      </c>
      <c r="D146">
        <v>46033.996817129628</v>
      </c>
      <c r="E146" t="s">
        <v>8</v>
      </c>
      <c r="F146">
        <v>46034.18546296296</v>
      </c>
    </row>
    <row r="147" spans="1:6" x14ac:dyDescent="0.25">
      <c r="A147">
        <v>146</v>
      </c>
      <c r="B147" t="s">
        <v>5</v>
      </c>
      <c r="C147" t="s">
        <v>6</v>
      </c>
      <c r="D147">
        <v>46034.073553240742</v>
      </c>
      <c r="E147" t="s">
        <v>7</v>
      </c>
      <c r="F147">
        <v>46035.682442129626</v>
      </c>
    </row>
    <row r="148" spans="1:6" x14ac:dyDescent="0.25">
      <c r="A148">
        <v>147</v>
      </c>
      <c r="B148" t="s">
        <v>5</v>
      </c>
      <c r="C148" t="s">
        <v>6</v>
      </c>
      <c r="D148">
        <v>46034.336400462962</v>
      </c>
      <c r="E148" t="s">
        <v>9</v>
      </c>
      <c r="F148">
        <v>46034.551608796297</v>
      </c>
    </row>
    <row r="149" spans="1:6" x14ac:dyDescent="0.25">
      <c r="A149">
        <v>148</v>
      </c>
      <c r="B149" t="s">
        <v>5</v>
      </c>
      <c r="C149" t="s">
        <v>6</v>
      </c>
      <c r="D149">
        <v>46034.336585648147</v>
      </c>
      <c r="E149" t="s">
        <v>9</v>
      </c>
      <c r="F149">
        <v>46036.775995370372</v>
      </c>
    </row>
    <row r="150" spans="1:6" x14ac:dyDescent="0.25">
      <c r="A150">
        <v>149</v>
      </c>
      <c r="B150" t="s">
        <v>5</v>
      </c>
      <c r="C150" t="s">
        <v>7</v>
      </c>
      <c r="D150">
        <v>46034.34375</v>
      </c>
      <c r="E150" t="s">
        <v>7</v>
      </c>
      <c r="F150">
        <v>46034.378472222219</v>
      </c>
    </row>
    <row r="151" spans="1:6" x14ac:dyDescent="0.25">
      <c r="A151">
        <v>150</v>
      </c>
      <c r="B151" t="s">
        <v>5</v>
      </c>
      <c r="C151" t="s">
        <v>7</v>
      </c>
      <c r="D151">
        <v>46034.357638888891</v>
      </c>
      <c r="E151" t="s">
        <v>7</v>
      </c>
      <c r="F151">
        <v>46034.430555555555</v>
      </c>
    </row>
    <row r="152" spans="1:6" x14ac:dyDescent="0.25">
      <c r="A152">
        <v>151</v>
      </c>
      <c r="B152" t="s">
        <v>5</v>
      </c>
      <c r="C152" t="s">
        <v>6</v>
      </c>
      <c r="D152">
        <v>46034.363761574074</v>
      </c>
      <c r="E152" t="s">
        <v>9</v>
      </c>
      <c r="F152">
        <v>46034.435185185182</v>
      </c>
    </row>
    <row r="153" spans="1:6" x14ac:dyDescent="0.25">
      <c r="A153">
        <v>152</v>
      </c>
      <c r="B153" t="s">
        <v>5</v>
      </c>
      <c r="C153" t="s">
        <v>7</v>
      </c>
      <c r="D153">
        <v>46034.388888888891</v>
      </c>
      <c r="E153" t="s">
        <v>7</v>
      </c>
      <c r="F153">
        <v>46034.444444444445</v>
      </c>
    </row>
    <row r="154" spans="1:6" x14ac:dyDescent="0.25">
      <c r="A154">
        <v>153</v>
      </c>
      <c r="B154" t="s">
        <v>5</v>
      </c>
      <c r="C154" t="s">
        <v>7</v>
      </c>
      <c r="D154">
        <v>46034.434027777781</v>
      </c>
      <c r="E154" t="s">
        <v>7</v>
      </c>
      <c r="F154">
        <v>46034.493055555555</v>
      </c>
    </row>
    <row r="155" spans="1:6" x14ac:dyDescent="0.25">
      <c r="A155">
        <v>154</v>
      </c>
      <c r="B155" t="s">
        <v>5</v>
      </c>
      <c r="C155" t="s">
        <v>6</v>
      </c>
      <c r="D155">
        <v>46034.471203703702</v>
      </c>
      <c r="E155" t="s">
        <v>7</v>
      </c>
      <c r="F155">
        <v>46034.737245370372</v>
      </c>
    </row>
    <row r="156" spans="1:6" x14ac:dyDescent="0.25">
      <c r="A156">
        <v>155</v>
      </c>
      <c r="B156" t="s">
        <v>5</v>
      </c>
      <c r="C156" t="s">
        <v>10</v>
      </c>
      <c r="D156">
        <v>46034.5</v>
      </c>
      <c r="E156" t="s">
        <v>8</v>
      </c>
      <c r="F156">
        <v>46034.545138888891</v>
      </c>
    </row>
    <row r="157" spans="1:6" x14ac:dyDescent="0.25">
      <c r="A157">
        <v>156</v>
      </c>
      <c r="B157" t="s">
        <v>5</v>
      </c>
      <c r="C157" t="s">
        <v>10</v>
      </c>
      <c r="D157">
        <v>46034.517361111109</v>
      </c>
      <c r="E157" t="s">
        <v>10</v>
      </c>
      <c r="F157">
        <v>46034.53125</v>
      </c>
    </row>
    <row r="158" spans="1:6" x14ac:dyDescent="0.25">
      <c r="A158">
        <v>157</v>
      </c>
      <c r="B158" t="s">
        <v>5</v>
      </c>
      <c r="C158" t="s">
        <v>6</v>
      </c>
      <c r="D158">
        <v>46034.591689814813</v>
      </c>
      <c r="E158" t="s">
        <v>8</v>
      </c>
      <c r="F158">
        <v>46034.859131944446</v>
      </c>
    </row>
    <row r="159" spans="1:6" x14ac:dyDescent="0.25">
      <c r="A159">
        <v>158</v>
      </c>
      <c r="B159" t="s">
        <v>5</v>
      </c>
      <c r="C159" t="s">
        <v>10</v>
      </c>
      <c r="D159">
        <v>46034.715277777781</v>
      </c>
      <c r="E159" t="s">
        <v>10</v>
      </c>
      <c r="F159">
        <v>46034.732638888891</v>
      </c>
    </row>
    <row r="160" spans="1:6" x14ac:dyDescent="0.25">
      <c r="A160">
        <v>159</v>
      </c>
      <c r="B160" t="s">
        <v>5</v>
      </c>
      <c r="C160" t="s">
        <v>6</v>
      </c>
      <c r="D160">
        <v>46034.986111111109</v>
      </c>
      <c r="E160" t="s">
        <v>7</v>
      </c>
      <c r="F160">
        <v>46037.545057870368</v>
      </c>
    </row>
    <row r="161" spans="1:6" x14ac:dyDescent="0.25">
      <c r="A161">
        <v>160</v>
      </c>
      <c r="B161" t="s">
        <v>5</v>
      </c>
      <c r="C161" t="s">
        <v>7</v>
      </c>
      <c r="D161">
        <v>46035.270833333336</v>
      </c>
      <c r="E161" t="s">
        <v>7</v>
      </c>
      <c r="F161">
        <v>46035.288194444445</v>
      </c>
    </row>
    <row r="162" spans="1:6" x14ac:dyDescent="0.25">
      <c r="A162">
        <v>161</v>
      </c>
      <c r="B162" t="s">
        <v>5</v>
      </c>
      <c r="C162" t="s">
        <v>7</v>
      </c>
      <c r="D162">
        <v>46035.319444444445</v>
      </c>
      <c r="E162" t="s">
        <v>7</v>
      </c>
      <c r="F162">
        <v>46035.364583333336</v>
      </c>
    </row>
    <row r="163" spans="1:6" x14ac:dyDescent="0.25">
      <c r="A163">
        <v>162</v>
      </c>
      <c r="B163" t="s">
        <v>5</v>
      </c>
      <c r="C163" t="s">
        <v>10</v>
      </c>
      <c r="D163">
        <v>46035.333333333336</v>
      </c>
      <c r="E163" t="s">
        <v>10</v>
      </c>
      <c r="F163">
        <v>46035.34375</v>
      </c>
    </row>
    <row r="164" spans="1:6" x14ac:dyDescent="0.25">
      <c r="A164">
        <v>163</v>
      </c>
      <c r="B164" t="s">
        <v>5</v>
      </c>
      <c r="C164" t="s">
        <v>6</v>
      </c>
      <c r="D164">
        <v>46035.333333333336</v>
      </c>
      <c r="E164" t="s">
        <v>9</v>
      </c>
      <c r="F164">
        <v>46035.642199074071</v>
      </c>
    </row>
    <row r="165" spans="1:6" x14ac:dyDescent="0.25">
      <c r="A165">
        <v>164</v>
      </c>
      <c r="B165" t="s">
        <v>5</v>
      </c>
      <c r="C165" t="s">
        <v>10</v>
      </c>
      <c r="D165">
        <v>46035.357638888891</v>
      </c>
      <c r="E165" t="s">
        <v>10</v>
      </c>
      <c r="F165">
        <v>46035.385416666664</v>
      </c>
    </row>
    <row r="166" spans="1:6" x14ac:dyDescent="0.25">
      <c r="A166">
        <v>165</v>
      </c>
      <c r="B166" t="s">
        <v>5</v>
      </c>
      <c r="C166" t="s">
        <v>7</v>
      </c>
      <c r="D166">
        <v>46035.361111111109</v>
      </c>
      <c r="E166" t="s">
        <v>7</v>
      </c>
      <c r="F166">
        <v>46035.46875</v>
      </c>
    </row>
    <row r="167" spans="1:6" x14ac:dyDescent="0.25">
      <c r="A167">
        <v>166</v>
      </c>
      <c r="B167" t="s">
        <v>5</v>
      </c>
      <c r="C167" t="s">
        <v>6</v>
      </c>
      <c r="D167">
        <v>46035.368518518517</v>
      </c>
      <c r="E167" t="s">
        <v>9</v>
      </c>
      <c r="F167">
        <v>46035.428726851853</v>
      </c>
    </row>
    <row r="168" spans="1:6" x14ac:dyDescent="0.25">
      <c r="A168">
        <v>167</v>
      </c>
      <c r="B168" t="s">
        <v>5</v>
      </c>
      <c r="C168" t="s">
        <v>6</v>
      </c>
      <c r="D168">
        <v>46035.369016203702</v>
      </c>
      <c r="E168" t="s">
        <v>7</v>
      </c>
      <c r="F168">
        <v>46037.647731481484</v>
      </c>
    </row>
    <row r="169" spans="1:6" x14ac:dyDescent="0.25">
      <c r="A169">
        <v>168</v>
      </c>
      <c r="B169" t="s">
        <v>5</v>
      </c>
      <c r="C169" t="s">
        <v>6</v>
      </c>
      <c r="D169">
        <v>46035.424039351848</v>
      </c>
      <c r="E169" t="s">
        <v>9</v>
      </c>
      <c r="F169">
        <v>46035.644062500003</v>
      </c>
    </row>
    <row r="170" spans="1:6" x14ac:dyDescent="0.25">
      <c r="A170">
        <v>169</v>
      </c>
      <c r="B170" t="s">
        <v>5</v>
      </c>
      <c r="C170" t="s">
        <v>7</v>
      </c>
      <c r="D170">
        <v>46035.430555555555</v>
      </c>
      <c r="E170" t="s">
        <v>7</v>
      </c>
      <c r="F170">
        <v>46035.493055555555</v>
      </c>
    </row>
    <row r="171" spans="1:6" x14ac:dyDescent="0.25">
      <c r="A171">
        <v>170</v>
      </c>
      <c r="B171" t="s">
        <v>5</v>
      </c>
      <c r="C171" t="s">
        <v>7</v>
      </c>
      <c r="D171">
        <v>46035.458333333336</v>
      </c>
      <c r="E171" t="s">
        <v>7</v>
      </c>
      <c r="F171">
        <v>46035.486111111109</v>
      </c>
    </row>
    <row r="172" spans="1:6" x14ac:dyDescent="0.25">
      <c r="A172">
        <v>171</v>
      </c>
      <c r="B172" t="s">
        <v>5</v>
      </c>
      <c r="C172" t="s">
        <v>8</v>
      </c>
      <c r="D172">
        <v>46035.472222222219</v>
      </c>
      <c r="E172" t="s">
        <v>10</v>
      </c>
      <c r="F172">
        <v>46035.621527777781</v>
      </c>
    </row>
    <row r="173" spans="1:6" x14ac:dyDescent="0.25">
      <c r="A173">
        <v>172</v>
      </c>
      <c r="B173" t="s">
        <v>5</v>
      </c>
      <c r="C173" t="s">
        <v>10</v>
      </c>
      <c r="D173">
        <v>46035.472222222219</v>
      </c>
      <c r="E173" t="s">
        <v>10</v>
      </c>
      <c r="F173">
        <v>46035.621527777781</v>
      </c>
    </row>
    <row r="174" spans="1:6" x14ac:dyDescent="0.25">
      <c r="A174">
        <v>173</v>
      </c>
      <c r="B174" t="s">
        <v>5</v>
      </c>
      <c r="C174" t="s">
        <v>8</v>
      </c>
      <c r="D174">
        <v>46035.472222222219</v>
      </c>
      <c r="E174" t="s">
        <v>10</v>
      </c>
      <c r="F174">
        <v>46057.419988425929</v>
      </c>
    </row>
    <row r="175" spans="1:6" x14ac:dyDescent="0.25">
      <c r="A175">
        <v>174</v>
      </c>
      <c r="B175" t="s">
        <v>5</v>
      </c>
      <c r="C175" t="s">
        <v>10</v>
      </c>
      <c r="D175">
        <v>46035.472222222219</v>
      </c>
      <c r="E175" t="s">
        <v>10</v>
      </c>
      <c r="F175">
        <v>46044.57135416667</v>
      </c>
    </row>
    <row r="176" spans="1:6" x14ac:dyDescent="0.25">
      <c r="A176">
        <v>175</v>
      </c>
      <c r="B176" t="s">
        <v>5</v>
      </c>
      <c r="C176" t="s">
        <v>10</v>
      </c>
      <c r="D176">
        <v>46035.538194444445</v>
      </c>
      <c r="E176" t="s">
        <v>10</v>
      </c>
      <c r="F176">
        <v>46035.625</v>
      </c>
    </row>
    <row r="177" spans="1:6" x14ac:dyDescent="0.25">
      <c r="A177">
        <v>176</v>
      </c>
      <c r="B177" t="s">
        <v>5</v>
      </c>
      <c r="C177" t="s">
        <v>10</v>
      </c>
      <c r="D177">
        <v>46035.576388888891</v>
      </c>
      <c r="E177" t="s">
        <v>10</v>
      </c>
      <c r="F177">
        <v>46035.604166666664</v>
      </c>
    </row>
    <row r="178" spans="1:6" x14ac:dyDescent="0.25">
      <c r="A178">
        <v>177</v>
      </c>
      <c r="B178" t="s">
        <v>5</v>
      </c>
      <c r="C178" t="s">
        <v>6</v>
      </c>
      <c r="D178">
        <v>46035.584675925929</v>
      </c>
      <c r="E178" t="s">
        <v>7</v>
      </c>
      <c r="F178">
        <v>46051.689270833333</v>
      </c>
    </row>
    <row r="179" spans="1:6" x14ac:dyDescent="0.25">
      <c r="A179">
        <v>178</v>
      </c>
      <c r="B179" t="s">
        <v>5</v>
      </c>
      <c r="C179" t="s">
        <v>7</v>
      </c>
      <c r="D179">
        <v>46035.604166666664</v>
      </c>
      <c r="E179" t="s">
        <v>7</v>
      </c>
      <c r="F179">
        <v>46037.946504629632</v>
      </c>
    </row>
    <row r="180" spans="1:6" x14ac:dyDescent="0.25">
      <c r="A180">
        <v>179</v>
      </c>
      <c r="B180" t="s">
        <v>5</v>
      </c>
      <c r="C180" t="s">
        <v>6</v>
      </c>
      <c r="D180">
        <v>46035.67119212963</v>
      </c>
      <c r="E180" t="s">
        <v>7</v>
      </c>
      <c r="F180">
        <v>46036.016828703701</v>
      </c>
    </row>
    <row r="181" spans="1:6" x14ac:dyDescent="0.25">
      <c r="A181">
        <v>180</v>
      </c>
      <c r="B181" t="s">
        <v>5</v>
      </c>
      <c r="C181" t="s">
        <v>7</v>
      </c>
      <c r="D181">
        <v>46035.680555555555</v>
      </c>
      <c r="E181" t="s">
        <v>10</v>
      </c>
      <c r="F181">
        <v>46035.708333333336</v>
      </c>
    </row>
    <row r="182" spans="1:6" x14ac:dyDescent="0.25">
      <c r="A182">
        <v>181</v>
      </c>
      <c r="B182" t="s">
        <v>5</v>
      </c>
      <c r="C182" t="s">
        <v>7</v>
      </c>
      <c r="D182">
        <v>46035.680555555555</v>
      </c>
      <c r="E182" t="s">
        <v>10</v>
      </c>
      <c r="F182">
        <v>46035.695833333331</v>
      </c>
    </row>
    <row r="183" spans="1:6" x14ac:dyDescent="0.25">
      <c r="A183">
        <v>182</v>
      </c>
      <c r="B183" t="s">
        <v>5</v>
      </c>
      <c r="C183" t="s">
        <v>6</v>
      </c>
      <c r="D183">
        <v>46035.684432870374</v>
      </c>
      <c r="E183" t="s">
        <v>7</v>
      </c>
      <c r="F183">
        <v>46035.945671296293</v>
      </c>
    </row>
    <row r="184" spans="1:6" x14ac:dyDescent="0.25">
      <c r="A184">
        <v>183</v>
      </c>
      <c r="B184" t="s">
        <v>5</v>
      </c>
      <c r="C184" t="s">
        <v>6</v>
      </c>
      <c r="D184">
        <v>46035.835949074077</v>
      </c>
      <c r="E184" t="s">
        <v>7</v>
      </c>
      <c r="F184">
        <v>46036.534131944441</v>
      </c>
    </row>
    <row r="185" spans="1:6" x14ac:dyDescent="0.25">
      <c r="A185">
        <v>184</v>
      </c>
      <c r="B185" t="s">
        <v>5</v>
      </c>
      <c r="C185" t="s">
        <v>6</v>
      </c>
      <c r="D185">
        <v>46035.956087962964</v>
      </c>
      <c r="E185" t="s">
        <v>9</v>
      </c>
      <c r="F185">
        <v>46036.459872685184</v>
      </c>
    </row>
    <row r="186" spans="1:6" x14ac:dyDescent="0.25">
      <c r="A186">
        <v>185</v>
      </c>
      <c r="B186" t="s">
        <v>5</v>
      </c>
      <c r="C186" t="s">
        <v>6</v>
      </c>
      <c r="D186">
        <v>46035.959918981483</v>
      </c>
      <c r="E186" t="s">
        <v>7</v>
      </c>
      <c r="F186">
        <v>46036.331990740742</v>
      </c>
    </row>
    <row r="187" spans="1:6" x14ac:dyDescent="0.25">
      <c r="A187">
        <v>186</v>
      </c>
      <c r="B187" t="s">
        <v>5</v>
      </c>
      <c r="C187" t="s">
        <v>6</v>
      </c>
      <c r="D187">
        <v>46036.274837962963</v>
      </c>
      <c r="E187" t="s">
        <v>7</v>
      </c>
      <c r="F187">
        <v>46036.715902777774</v>
      </c>
    </row>
    <row r="188" spans="1:6" x14ac:dyDescent="0.25">
      <c r="A188">
        <v>187</v>
      </c>
      <c r="B188" t="s">
        <v>5</v>
      </c>
      <c r="C188" t="s">
        <v>7</v>
      </c>
      <c r="D188">
        <v>46036.277777777781</v>
      </c>
      <c r="E188" t="s">
        <v>7</v>
      </c>
      <c r="F188">
        <v>46036.344444444447</v>
      </c>
    </row>
    <row r="189" spans="1:6" x14ac:dyDescent="0.25">
      <c r="A189">
        <v>188</v>
      </c>
      <c r="B189" t="s">
        <v>5</v>
      </c>
      <c r="C189" t="s">
        <v>6</v>
      </c>
      <c r="D189">
        <v>46036.320196759261</v>
      </c>
      <c r="E189" t="s">
        <v>7</v>
      </c>
      <c r="F189">
        <v>46036.549884259257</v>
      </c>
    </row>
    <row r="190" spans="1:6" x14ac:dyDescent="0.25">
      <c r="A190">
        <v>189</v>
      </c>
      <c r="B190" t="s">
        <v>5</v>
      </c>
      <c r="C190" t="s">
        <v>7</v>
      </c>
      <c r="D190">
        <v>46036.340277777781</v>
      </c>
      <c r="E190" t="s">
        <v>7</v>
      </c>
      <c r="F190">
        <v>46036.409722222219</v>
      </c>
    </row>
    <row r="191" spans="1:6" x14ac:dyDescent="0.25">
      <c r="A191">
        <v>190</v>
      </c>
      <c r="B191" t="s">
        <v>5</v>
      </c>
      <c r="C191" t="s">
        <v>7</v>
      </c>
      <c r="D191">
        <v>46036.350694444445</v>
      </c>
      <c r="E191" t="s">
        <v>7</v>
      </c>
      <c r="F191">
        <v>46036.5</v>
      </c>
    </row>
    <row r="192" spans="1:6" x14ac:dyDescent="0.25">
      <c r="A192">
        <v>191</v>
      </c>
      <c r="B192" t="s">
        <v>5</v>
      </c>
      <c r="C192" t="s">
        <v>6</v>
      </c>
      <c r="D192">
        <v>46036.401655092595</v>
      </c>
      <c r="E192" t="s">
        <v>8</v>
      </c>
      <c r="F192">
        <v>46036.621481481481</v>
      </c>
    </row>
    <row r="193" spans="1:6" x14ac:dyDescent="0.25">
      <c r="A193">
        <v>192</v>
      </c>
      <c r="B193" t="s">
        <v>5</v>
      </c>
      <c r="C193" t="s">
        <v>12</v>
      </c>
      <c r="D193">
        <v>46036.440960648149</v>
      </c>
      <c r="E193" t="s">
        <v>7</v>
      </c>
      <c r="F193">
        <v>46036.726712962962</v>
      </c>
    </row>
    <row r="194" spans="1:6" x14ac:dyDescent="0.25">
      <c r="A194">
        <v>193</v>
      </c>
      <c r="B194" t="s">
        <v>5</v>
      </c>
      <c r="C194" t="s">
        <v>10</v>
      </c>
      <c r="D194">
        <v>46036.479166666664</v>
      </c>
      <c r="E194" t="s">
        <v>10</v>
      </c>
      <c r="F194">
        <v>46036.5</v>
      </c>
    </row>
    <row r="195" spans="1:6" x14ac:dyDescent="0.25">
      <c r="A195">
        <v>194</v>
      </c>
      <c r="B195" t="s">
        <v>5</v>
      </c>
      <c r="C195" t="s">
        <v>6</v>
      </c>
      <c r="D195">
        <v>46036.48710648148</v>
      </c>
      <c r="E195" t="s">
        <v>7</v>
      </c>
      <c r="F195">
        <v>46036.898101851853</v>
      </c>
    </row>
    <row r="196" spans="1:6" x14ac:dyDescent="0.25">
      <c r="A196">
        <v>195</v>
      </c>
      <c r="B196" t="s">
        <v>5</v>
      </c>
      <c r="C196" t="s">
        <v>7</v>
      </c>
      <c r="D196">
        <v>46036.548611111109</v>
      </c>
      <c r="E196" t="s">
        <v>7</v>
      </c>
      <c r="F196">
        <v>46036.590277777781</v>
      </c>
    </row>
    <row r="197" spans="1:6" x14ac:dyDescent="0.25">
      <c r="A197">
        <v>196</v>
      </c>
      <c r="B197" t="s">
        <v>5</v>
      </c>
      <c r="C197" t="s">
        <v>7</v>
      </c>
      <c r="D197">
        <v>46036.579861111109</v>
      </c>
      <c r="E197" t="s">
        <v>7</v>
      </c>
      <c r="F197">
        <v>46036.629861111112</v>
      </c>
    </row>
    <row r="198" spans="1:6" x14ac:dyDescent="0.25">
      <c r="A198">
        <v>197</v>
      </c>
      <c r="B198" t="s">
        <v>5</v>
      </c>
      <c r="C198" t="s">
        <v>10</v>
      </c>
      <c r="D198">
        <v>46036.65625</v>
      </c>
      <c r="E198" t="s">
        <v>10</v>
      </c>
      <c r="F198">
        <v>46036.763888888891</v>
      </c>
    </row>
    <row r="199" spans="1:6" x14ac:dyDescent="0.25">
      <c r="A199">
        <v>198</v>
      </c>
      <c r="B199" t="s">
        <v>5</v>
      </c>
      <c r="C199" t="s">
        <v>6</v>
      </c>
      <c r="D199">
        <v>46036.6641087963</v>
      </c>
      <c r="E199" t="s">
        <v>7</v>
      </c>
      <c r="F199">
        <v>46036.914502314816</v>
      </c>
    </row>
    <row r="200" spans="1:6" x14ac:dyDescent="0.25">
      <c r="A200">
        <v>199</v>
      </c>
      <c r="B200" t="s">
        <v>5</v>
      </c>
      <c r="C200" t="s">
        <v>6</v>
      </c>
      <c r="D200">
        <v>46036.665162037039</v>
      </c>
      <c r="E200" t="s">
        <v>7</v>
      </c>
      <c r="F200">
        <v>46037.05228009259</v>
      </c>
    </row>
    <row r="201" spans="1:6" x14ac:dyDescent="0.25">
      <c r="A201">
        <v>200</v>
      </c>
      <c r="B201" t="s">
        <v>5</v>
      </c>
      <c r="C201" t="s">
        <v>10</v>
      </c>
      <c r="D201">
        <v>46036.75</v>
      </c>
      <c r="E201" t="s">
        <v>10</v>
      </c>
      <c r="F201">
        <v>46036.779166666667</v>
      </c>
    </row>
    <row r="202" spans="1:6" x14ac:dyDescent="0.25">
      <c r="A202">
        <v>201</v>
      </c>
      <c r="B202" t="s">
        <v>5</v>
      </c>
      <c r="C202" t="s">
        <v>7</v>
      </c>
      <c r="D202">
        <v>46036.774305555555</v>
      </c>
      <c r="E202" t="s">
        <v>7</v>
      </c>
      <c r="F202">
        <v>46036.819444444445</v>
      </c>
    </row>
    <row r="203" spans="1:6" x14ac:dyDescent="0.25">
      <c r="A203">
        <v>202</v>
      </c>
      <c r="B203" t="s">
        <v>5</v>
      </c>
      <c r="C203" t="s">
        <v>7</v>
      </c>
      <c r="D203">
        <v>46037.333333333336</v>
      </c>
      <c r="E203" t="s">
        <v>7</v>
      </c>
      <c r="F203">
        <v>46037.387499999997</v>
      </c>
    </row>
    <row r="204" spans="1:6" x14ac:dyDescent="0.25">
      <c r="A204">
        <v>203</v>
      </c>
      <c r="B204" t="s">
        <v>5</v>
      </c>
      <c r="C204" t="s">
        <v>7</v>
      </c>
      <c r="D204">
        <v>46037.336805555555</v>
      </c>
      <c r="E204" t="s">
        <v>7</v>
      </c>
      <c r="F204">
        <v>46037.364583333336</v>
      </c>
    </row>
    <row r="205" spans="1:6" x14ac:dyDescent="0.25">
      <c r="A205">
        <v>204</v>
      </c>
      <c r="B205" t="s">
        <v>5</v>
      </c>
      <c r="C205" t="s">
        <v>7</v>
      </c>
      <c r="D205">
        <v>46037.354166666664</v>
      </c>
      <c r="E205" t="s">
        <v>7</v>
      </c>
      <c r="F205">
        <v>46037.461805555555</v>
      </c>
    </row>
    <row r="206" spans="1:6" x14ac:dyDescent="0.25">
      <c r="A206">
        <v>205</v>
      </c>
      <c r="B206" t="s">
        <v>5</v>
      </c>
      <c r="C206" t="s">
        <v>7</v>
      </c>
      <c r="D206">
        <v>46037.375</v>
      </c>
      <c r="E206" t="s">
        <v>7</v>
      </c>
      <c r="F206">
        <v>46037.556944444441</v>
      </c>
    </row>
    <row r="207" spans="1:6" x14ac:dyDescent="0.25">
      <c r="A207">
        <v>206</v>
      </c>
      <c r="B207" t="s">
        <v>5</v>
      </c>
      <c r="C207" t="s">
        <v>10</v>
      </c>
      <c r="D207">
        <v>46037.375</v>
      </c>
      <c r="E207" t="s">
        <v>8</v>
      </c>
      <c r="F207">
        <v>46037.482638888891</v>
      </c>
    </row>
    <row r="208" spans="1:6" x14ac:dyDescent="0.25">
      <c r="A208">
        <v>207</v>
      </c>
      <c r="B208" t="s">
        <v>5</v>
      </c>
      <c r="C208" t="s">
        <v>6</v>
      </c>
      <c r="D208">
        <v>46037.430555555555</v>
      </c>
      <c r="E208" t="s">
        <v>7</v>
      </c>
      <c r="F208">
        <v>46037.836168981485</v>
      </c>
    </row>
    <row r="209" spans="1:6" x14ac:dyDescent="0.25">
      <c r="A209">
        <v>208</v>
      </c>
      <c r="B209" t="s">
        <v>5</v>
      </c>
      <c r="C209" t="s">
        <v>8</v>
      </c>
      <c r="D209">
        <v>46037.447916666664</v>
      </c>
      <c r="E209" t="s">
        <v>7</v>
      </c>
      <c r="F209">
        <v>46037.5</v>
      </c>
    </row>
    <row r="210" spans="1:6" x14ac:dyDescent="0.25">
      <c r="A210">
        <v>209</v>
      </c>
      <c r="B210" t="s">
        <v>5</v>
      </c>
      <c r="C210" t="s">
        <v>6</v>
      </c>
      <c r="D210">
        <v>46037.483483796299</v>
      </c>
      <c r="E210" t="s">
        <v>7</v>
      </c>
      <c r="F210">
        <v>46037.836863425924</v>
      </c>
    </row>
    <row r="211" spans="1:6" x14ac:dyDescent="0.25">
      <c r="A211">
        <v>210</v>
      </c>
      <c r="B211" t="s">
        <v>5</v>
      </c>
      <c r="C211" t="s">
        <v>6</v>
      </c>
      <c r="D211">
        <v>46037.493564814817</v>
      </c>
      <c r="E211" t="s">
        <v>7</v>
      </c>
      <c r="F211">
        <v>46038.699976851851</v>
      </c>
    </row>
    <row r="212" spans="1:6" x14ac:dyDescent="0.25">
      <c r="A212">
        <v>211</v>
      </c>
      <c r="B212" t="s">
        <v>5</v>
      </c>
      <c r="C212" t="s">
        <v>6</v>
      </c>
      <c r="D212">
        <v>46037.582303240742</v>
      </c>
      <c r="E212" t="s">
        <v>7</v>
      </c>
      <c r="F212">
        <v>46038.662222222221</v>
      </c>
    </row>
    <row r="213" spans="1:6" x14ac:dyDescent="0.25">
      <c r="A213">
        <v>212</v>
      </c>
      <c r="B213" t="s">
        <v>5</v>
      </c>
      <c r="C213" t="s">
        <v>7</v>
      </c>
      <c r="D213">
        <v>46037.583333333336</v>
      </c>
      <c r="E213" t="s">
        <v>7</v>
      </c>
      <c r="F213">
        <v>46037.666666666664</v>
      </c>
    </row>
    <row r="214" spans="1:6" x14ac:dyDescent="0.25">
      <c r="A214">
        <v>213</v>
      </c>
      <c r="B214" t="s">
        <v>5</v>
      </c>
      <c r="C214" t="s">
        <v>6</v>
      </c>
      <c r="D214">
        <v>46037.592106481483</v>
      </c>
      <c r="E214" t="s">
        <v>9</v>
      </c>
      <c r="F214">
        <v>46038.448645833334</v>
      </c>
    </row>
    <row r="215" spans="1:6" x14ac:dyDescent="0.25">
      <c r="A215">
        <v>214</v>
      </c>
      <c r="B215" t="s">
        <v>5</v>
      </c>
      <c r="C215" t="s">
        <v>7</v>
      </c>
      <c r="D215">
        <v>46037.649305555555</v>
      </c>
      <c r="E215" t="s">
        <v>7</v>
      </c>
      <c r="F215">
        <v>46037.715277777781</v>
      </c>
    </row>
    <row r="216" spans="1:6" x14ac:dyDescent="0.25">
      <c r="A216">
        <v>215</v>
      </c>
      <c r="B216" t="s">
        <v>5</v>
      </c>
      <c r="C216" t="s">
        <v>6</v>
      </c>
      <c r="D216">
        <v>46037.655798611115</v>
      </c>
      <c r="E216" t="s">
        <v>7</v>
      </c>
      <c r="F216">
        <v>46037.764826388891</v>
      </c>
    </row>
    <row r="217" spans="1:6" x14ac:dyDescent="0.25">
      <c r="A217">
        <v>216</v>
      </c>
      <c r="B217" t="s">
        <v>5</v>
      </c>
      <c r="C217" t="s">
        <v>7</v>
      </c>
      <c r="D217">
        <v>46037.722222222219</v>
      </c>
      <c r="E217" t="s">
        <v>7</v>
      </c>
      <c r="F217">
        <v>46037.834027777775</v>
      </c>
    </row>
    <row r="218" spans="1:6" x14ac:dyDescent="0.25">
      <c r="A218">
        <v>217</v>
      </c>
      <c r="B218" t="s">
        <v>5</v>
      </c>
      <c r="C218" t="s">
        <v>6</v>
      </c>
      <c r="D218">
        <v>46037.739259259259</v>
      </c>
      <c r="E218" t="s">
        <v>7</v>
      </c>
      <c r="F218">
        <v>46037.842534722222</v>
      </c>
    </row>
    <row r="219" spans="1:6" x14ac:dyDescent="0.25">
      <c r="A219">
        <v>218</v>
      </c>
      <c r="B219" t="s">
        <v>5</v>
      </c>
      <c r="C219" t="s">
        <v>7</v>
      </c>
      <c r="D219">
        <v>46037.743055555555</v>
      </c>
      <c r="E219" t="s">
        <v>7</v>
      </c>
      <c r="F219">
        <v>46037.783333333333</v>
      </c>
    </row>
    <row r="220" spans="1:6" x14ac:dyDescent="0.25">
      <c r="A220">
        <v>219</v>
      </c>
      <c r="B220" t="s">
        <v>5</v>
      </c>
      <c r="C220" t="s">
        <v>6</v>
      </c>
      <c r="D220">
        <v>46037.813067129631</v>
      </c>
      <c r="E220" t="s">
        <v>8</v>
      </c>
      <c r="F220">
        <v>46037.923564814817</v>
      </c>
    </row>
    <row r="221" spans="1:6" x14ac:dyDescent="0.25">
      <c r="A221">
        <v>220</v>
      </c>
      <c r="B221" t="s">
        <v>5</v>
      </c>
      <c r="C221" t="s">
        <v>6</v>
      </c>
      <c r="D221">
        <v>46037.927546296298</v>
      </c>
      <c r="E221" t="s">
        <v>7</v>
      </c>
      <c r="F221">
        <v>46038.467835648145</v>
      </c>
    </row>
    <row r="222" spans="1:6" x14ac:dyDescent="0.25">
      <c r="A222">
        <v>221</v>
      </c>
      <c r="B222" t="s">
        <v>5</v>
      </c>
      <c r="C222" t="s">
        <v>6</v>
      </c>
      <c r="D222">
        <v>46038.00408564815</v>
      </c>
      <c r="E222" t="s">
        <v>7</v>
      </c>
      <c r="F222">
        <v>46038.932662037034</v>
      </c>
    </row>
    <row r="223" spans="1:6" x14ac:dyDescent="0.25">
      <c r="A223">
        <v>222</v>
      </c>
      <c r="B223" t="s">
        <v>5</v>
      </c>
      <c r="C223" t="s">
        <v>6</v>
      </c>
      <c r="D223">
        <v>46038.00408564815</v>
      </c>
      <c r="E223" t="s">
        <v>7</v>
      </c>
      <c r="F223">
        <v>46038.932662037034</v>
      </c>
    </row>
    <row r="224" spans="1:6" x14ac:dyDescent="0.25">
      <c r="A224">
        <v>223</v>
      </c>
      <c r="B224" t="s">
        <v>5</v>
      </c>
      <c r="C224" t="s">
        <v>10</v>
      </c>
      <c r="D224">
        <v>46038.289965277778</v>
      </c>
      <c r="E224" t="s">
        <v>7</v>
      </c>
      <c r="F224">
        <v>46038.711122685185</v>
      </c>
    </row>
    <row r="225" spans="1:6" x14ac:dyDescent="0.25">
      <c r="A225">
        <v>224</v>
      </c>
      <c r="B225" t="s">
        <v>5</v>
      </c>
      <c r="C225" t="s">
        <v>8</v>
      </c>
      <c r="D225">
        <v>46038.378472222219</v>
      </c>
      <c r="E225" t="s">
        <v>10</v>
      </c>
      <c r="F225">
        <v>46038.520833333336</v>
      </c>
    </row>
    <row r="226" spans="1:6" x14ac:dyDescent="0.25">
      <c r="A226">
        <v>225</v>
      </c>
      <c r="B226" t="s">
        <v>5</v>
      </c>
      <c r="C226" t="s">
        <v>7</v>
      </c>
      <c r="D226">
        <v>46038.385416666664</v>
      </c>
      <c r="E226" t="s">
        <v>7</v>
      </c>
      <c r="F226">
        <v>46038.506944444445</v>
      </c>
    </row>
    <row r="227" spans="1:6" x14ac:dyDescent="0.25">
      <c r="A227">
        <v>226</v>
      </c>
      <c r="B227" t="s">
        <v>5</v>
      </c>
      <c r="C227" t="s">
        <v>7</v>
      </c>
      <c r="D227">
        <v>46038.399305555555</v>
      </c>
      <c r="E227" t="s">
        <v>7</v>
      </c>
      <c r="F227">
        <v>46038.472222222219</v>
      </c>
    </row>
    <row r="228" spans="1:6" x14ac:dyDescent="0.25">
      <c r="A228">
        <v>227</v>
      </c>
      <c r="B228" t="s">
        <v>5</v>
      </c>
      <c r="C228" t="s">
        <v>8</v>
      </c>
      <c r="D228">
        <v>46038.416666666664</v>
      </c>
      <c r="E228" t="s">
        <v>10</v>
      </c>
      <c r="F228">
        <v>46038.534722222219</v>
      </c>
    </row>
    <row r="229" spans="1:6" x14ac:dyDescent="0.25">
      <c r="A229">
        <v>228</v>
      </c>
      <c r="B229" t="s">
        <v>5</v>
      </c>
      <c r="C229" t="s">
        <v>6</v>
      </c>
      <c r="D229">
        <v>46038.535474537035</v>
      </c>
      <c r="E229" t="s">
        <v>8</v>
      </c>
      <c r="F229">
        <v>46038.744143518517</v>
      </c>
    </row>
    <row r="230" spans="1:6" x14ac:dyDescent="0.25">
      <c r="A230">
        <v>229</v>
      </c>
      <c r="B230" t="s">
        <v>5</v>
      </c>
      <c r="C230" t="s">
        <v>6</v>
      </c>
      <c r="D230">
        <v>46038.545185185183</v>
      </c>
      <c r="E230" t="s">
        <v>7</v>
      </c>
      <c r="F230">
        <v>46038.949189814812</v>
      </c>
    </row>
    <row r="231" spans="1:6" x14ac:dyDescent="0.25">
      <c r="A231">
        <v>230</v>
      </c>
      <c r="B231" t="s">
        <v>5</v>
      </c>
      <c r="C231" t="s">
        <v>10</v>
      </c>
      <c r="D231">
        <v>46038.635416666664</v>
      </c>
      <c r="E231" t="s">
        <v>10</v>
      </c>
      <c r="F231">
        <v>46038.668055555558</v>
      </c>
    </row>
    <row r="232" spans="1:6" x14ac:dyDescent="0.25">
      <c r="A232">
        <v>231</v>
      </c>
      <c r="B232" t="s">
        <v>5</v>
      </c>
      <c r="C232" t="s">
        <v>7</v>
      </c>
      <c r="D232">
        <v>46038.65</v>
      </c>
      <c r="E232" t="s">
        <v>8</v>
      </c>
      <c r="F232">
        <v>46038.870891203704</v>
      </c>
    </row>
    <row r="233" spans="1:6" x14ac:dyDescent="0.25">
      <c r="A233">
        <v>232</v>
      </c>
      <c r="B233" t="s">
        <v>5</v>
      </c>
      <c r="C233" t="s">
        <v>6</v>
      </c>
      <c r="D233">
        <v>46038.728101851855</v>
      </c>
      <c r="E233" t="s">
        <v>7</v>
      </c>
      <c r="F233">
        <v>46039.05164351852</v>
      </c>
    </row>
    <row r="234" spans="1:6" x14ac:dyDescent="0.25">
      <c r="A234">
        <v>233</v>
      </c>
      <c r="B234" t="s">
        <v>5</v>
      </c>
      <c r="C234" t="s">
        <v>6</v>
      </c>
      <c r="D234">
        <v>46038.857638888891</v>
      </c>
      <c r="E234" t="s">
        <v>7</v>
      </c>
      <c r="F234">
        <v>46039.946967592594</v>
      </c>
    </row>
    <row r="235" spans="1:6" x14ac:dyDescent="0.25">
      <c r="A235">
        <v>234</v>
      </c>
      <c r="B235" t="s">
        <v>5</v>
      </c>
      <c r="C235" t="s">
        <v>6</v>
      </c>
      <c r="D235">
        <v>46038.875</v>
      </c>
      <c r="E235" t="s">
        <v>7</v>
      </c>
      <c r="F235">
        <v>46039.751145833332</v>
      </c>
    </row>
    <row r="236" spans="1:6" x14ac:dyDescent="0.25">
      <c r="A236">
        <v>235</v>
      </c>
      <c r="B236" t="s">
        <v>5</v>
      </c>
      <c r="C236" t="s">
        <v>6</v>
      </c>
      <c r="D236">
        <v>46038.956805555557</v>
      </c>
      <c r="E236" t="s">
        <v>7</v>
      </c>
      <c r="F236">
        <v>46039.724618055552</v>
      </c>
    </row>
    <row r="237" spans="1:6" x14ac:dyDescent="0.25">
      <c r="A237">
        <v>236</v>
      </c>
      <c r="B237" t="s">
        <v>5</v>
      </c>
      <c r="C237" t="s">
        <v>6</v>
      </c>
      <c r="D237">
        <v>46039.336712962962</v>
      </c>
      <c r="E237" t="s">
        <v>9</v>
      </c>
      <c r="F237">
        <v>46039.567152777781</v>
      </c>
    </row>
    <row r="238" spans="1:6" x14ac:dyDescent="0.25">
      <c r="A238">
        <v>237</v>
      </c>
      <c r="B238" t="s">
        <v>5</v>
      </c>
      <c r="C238" t="s">
        <v>6</v>
      </c>
      <c r="D238">
        <v>46039.36173611111</v>
      </c>
      <c r="E238" t="s">
        <v>8</v>
      </c>
      <c r="F238">
        <v>46039.667858796296</v>
      </c>
    </row>
    <row r="239" spans="1:6" x14ac:dyDescent="0.25">
      <c r="A239">
        <v>238</v>
      </c>
      <c r="B239" t="s">
        <v>5</v>
      </c>
      <c r="C239" t="s">
        <v>6</v>
      </c>
      <c r="D239">
        <v>46039.488252314812</v>
      </c>
      <c r="E239" t="s">
        <v>9</v>
      </c>
      <c r="F239">
        <v>46040.393819444442</v>
      </c>
    </row>
    <row r="240" spans="1:6" x14ac:dyDescent="0.25">
      <c r="A240">
        <v>239</v>
      </c>
      <c r="B240" t="s">
        <v>5</v>
      </c>
      <c r="C240" t="s">
        <v>7</v>
      </c>
      <c r="D240">
        <v>46039.659722222219</v>
      </c>
      <c r="E240" t="s">
        <v>7</v>
      </c>
      <c r="F240">
        <v>46039.732638888891</v>
      </c>
    </row>
    <row r="241" spans="1:6" x14ac:dyDescent="0.25">
      <c r="A241">
        <v>240</v>
      </c>
      <c r="B241" t="s">
        <v>5</v>
      </c>
      <c r="C241" t="s">
        <v>6</v>
      </c>
      <c r="D241">
        <v>46040.376504629632</v>
      </c>
      <c r="E241" t="s">
        <v>7</v>
      </c>
      <c r="F241">
        <v>46040.636145833334</v>
      </c>
    </row>
    <row r="242" spans="1:6" x14ac:dyDescent="0.25">
      <c r="A242">
        <v>241</v>
      </c>
      <c r="B242" t="s">
        <v>5</v>
      </c>
      <c r="C242" t="s">
        <v>6</v>
      </c>
      <c r="D242">
        <v>46040.438125000001</v>
      </c>
      <c r="E242" t="s">
        <v>7</v>
      </c>
      <c r="F242">
        <v>46041.71733796296</v>
      </c>
    </row>
    <row r="243" spans="1:6" x14ac:dyDescent="0.25">
      <c r="A243">
        <v>242</v>
      </c>
      <c r="B243" t="s">
        <v>5</v>
      </c>
      <c r="C243" t="s">
        <v>6</v>
      </c>
      <c r="D243">
        <v>46040.485995370371</v>
      </c>
      <c r="E243" t="s">
        <v>7</v>
      </c>
      <c r="F243">
        <v>46040.645173611112</v>
      </c>
    </row>
    <row r="244" spans="1:6" x14ac:dyDescent="0.25">
      <c r="A244">
        <v>243</v>
      </c>
      <c r="B244" t="s">
        <v>5</v>
      </c>
      <c r="C244" t="s">
        <v>7</v>
      </c>
      <c r="D244">
        <v>46040.614583333336</v>
      </c>
      <c r="E244" t="s">
        <v>10</v>
      </c>
      <c r="F244">
        <v>46040.677083333336</v>
      </c>
    </row>
    <row r="245" spans="1:6" x14ac:dyDescent="0.25">
      <c r="A245">
        <v>244</v>
      </c>
      <c r="B245" t="s">
        <v>5</v>
      </c>
      <c r="C245" t="s">
        <v>6</v>
      </c>
      <c r="D245">
        <v>46040.672361111108</v>
      </c>
      <c r="E245" t="s">
        <v>7</v>
      </c>
      <c r="F245">
        <v>46042.687974537039</v>
      </c>
    </row>
    <row r="246" spans="1:6" x14ac:dyDescent="0.25">
      <c r="A246">
        <v>245</v>
      </c>
      <c r="B246" t="s">
        <v>5</v>
      </c>
      <c r="C246" t="s">
        <v>6</v>
      </c>
      <c r="D246">
        <v>46040.748090277775</v>
      </c>
      <c r="E246" t="s">
        <v>7</v>
      </c>
      <c r="F246">
        <v>46042.009814814817</v>
      </c>
    </row>
    <row r="247" spans="1:6" x14ac:dyDescent="0.25">
      <c r="A247">
        <v>246</v>
      </c>
      <c r="B247" t="s">
        <v>5</v>
      </c>
      <c r="C247" t="s">
        <v>6</v>
      </c>
      <c r="D247">
        <v>46040.854166666664</v>
      </c>
      <c r="E247" t="s">
        <v>8</v>
      </c>
      <c r="F247">
        <v>46040.976666666669</v>
      </c>
    </row>
    <row r="248" spans="1:6" x14ac:dyDescent="0.25">
      <c r="A248">
        <v>247</v>
      </c>
      <c r="B248" t="s">
        <v>5</v>
      </c>
      <c r="C248" t="s">
        <v>6</v>
      </c>
      <c r="D248">
        <v>46040.989398148151</v>
      </c>
      <c r="E248" t="s">
        <v>7</v>
      </c>
      <c r="F248">
        <v>46042.625243055554</v>
      </c>
    </row>
    <row r="249" spans="1:6" x14ac:dyDescent="0.25">
      <c r="A249">
        <v>248</v>
      </c>
      <c r="B249" t="s">
        <v>5</v>
      </c>
      <c r="C249" t="s">
        <v>6</v>
      </c>
      <c r="D249">
        <v>46041.04550925926</v>
      </c>
      <c r="E249" t="s">
        <v>7</v>
      </c>
      <c r="F249">
        <v>46041.89947916667</v>
      </c>
    </row>
    <row r="250" spans="1:6" x14ac:dyDescent="0.25">
      <c r="A250">
        <v>249</v>
      </c>
      <c r="B250" t="s">
        <v>5</v>
      </c>
      <c r="C250" t="s">
        <v>6</v>
      </c>
      <c r="D250">
        <v>46041.284155092595</v>
      </c>
      <c r="E250" t="s">
        <v>9</v>
      </c>
      <c r="F250">
        <v>46041.645833333336</v>
      </c>
    </row>
    <row r="251" spans="1:6" x14ac:dyDescent="0.25">
      <c r="A251">
        <v>250</v>
      </c>
      <c r="B251" t="s">
        <v>5</v>
      </c>
      <c r="C251" t="s">
        <v>7</v>
      </c>
      <c r="D251">
        <v>46041.347222222219</v>
      </c>
      <c r="E251" t="s">
        <v>7</v>
      </c>
      <c r="F251">
        <v>46041.444444444445</v>
      </c>
    </row>
    <row r="252" spans="1:6" x14ac:dyDescent="0.25">
      <c r="A252">
        <v>251</v>
      </c>
      <c r="B252" t="s">
        <v>5</v>
      </c>
      <c r="C252" t="s">
        <v>7</v>
      </c>
      <c r="D252">
        <v>46041.354166666664</v>
      </c>
      <c r="E252" t="s">
        <v>7</v>
      </c>
      <c r="F252">
        <v>46041.555555555555</v>
      </c>
    </row>
    <row r="253" spans="1:6" x14ac:dyDescent="0.25">
      <c r="A253">
        <v>252</v>
      </c>
      <c r="B253" t="s">
        <v>5</v>
      </c>
      <c r="C253" t="s">
        <v>7</v>
      </c>
      <c r="D253">
        <v>46041.381944444445</v>
      </c>
      <c r="E253" t="s">
        <v>7</v>
      </c>
      <c r="F253">
        <v>46041.520833333336</v>
      </c>
    </row>
    <row r="254" spans="1:6" x14ac:dyDescent="0.25">
      <c r="A254">
        <v>253</v>
      </c>
      <c r="B254" t="s">
        <v>5</v>
      </c>
      <c r="C254" t="s">
        <v>7</v>
      </c>
      <c r="D254">
        <v>46041.395833333336</v>
      </c>
      <c r="E254" t="s">
        <v>7</v>
      </c>
      <c r="F254">
        <v>46041.423611111109</v>
      </c>
    </row>
    <row r="255" spans="1:6" x14ac:dyDescent="0.25">
      <c r="A255">
        <v>254</v>
      </c>
      <c r="B255" t="s">
        <v>5</v>
      </c>
      <c r="C255" t="s">
        <v>6</v>
      </c>
      <c r="D255">
        <v>46041.39875</v>
      </c>
      <c r="E255" t="s">
        <v>9</v>
      </c>
      <c r="F255">
        <v>46041.595983796295</v>
      </c>
    </row>
    <row r="256" spans="1:6" x14ac:dyDescent="0.25">
      <c r="A256">
        <v>255</v>
      </c>
      <c r="B256" t="s">
        <v>5</v>
      </c>
      <c r="C256" t="s">
        <v>7</v>
      </c>
      <c r="D256">
        <v>46041.503472222219</v>
      </c>
      <c r="E256" t="s">
        <v>7</v>
      </c>
      <c r="F256">
        <v>46041.5625</v>
      </c>
    </row>
    <row r="257" spans="1:6" x14ac:dyDescent="0.25">
      <c r="A257">
        <v>256</v>
      </c>
      <c r="B257" t="s">
        <v>5</v>
      </c>
      <c r="C257" t="s">
        <v>7</v>
      </c>
      <c r="D257">
        <v>46041.520833333336</v>
      </c>
      <c r="E257" t="s">
        <v>7</v>
      </c>
      <c r="F257">
        <v>46044.694444444445</v>
      </c>
    </row>
    <row r="258" spans="1:6" x14ac:dyDescent="0.25">
      <c r="A258">
        <v>257</v>
      </c>
      <c r="B258" t="s">
        <v>5</v>
      </c>
      <c r="C258" t="s">
        <v>7</v>
      </c>
      <c r="D258">
        <v>46041.520833333336</v>
      </c>
      <c r="E258" t="s">
        <v>7</v>
      </c>
      <c r="F258">
        <v>46041.569444444445</v>
      </c>
    </row>
    <row r="259" spans="1:6" x14ac:dyDescent="0.25">
      <c r="A259">
        <v>258</v>
      </c>
      <c r="B259" t="s">
        <v>5</v>
      </c>
      <c r="C259" t="s">
        <v>10</v>
      </c>
      <c r="D259">
        <v>46041.616215277776</v>
      </c>
      <c r="E259" t="s">
        <v>7</v>
      </c>
      <c r="F259">
        <v>46041.749062499999</v>
      </c>
    </row>
    <row r="260" spans="1:6" x14ac:dyDescent="0.25">
      <c r="A260">
        <v>259</v>
      </c>
      <c r="B260" t="s">
        <v>5</v>
      </c>
      <c r="C260" t="s">
        <v>6</v>
      </c>
      <c r="D260">
        <v>46041.618310185186</v>
      </c>
      <c r="E260" t="s">
        <v>7</v>
      </c>
      <c r="F260">
        <v>46042.66064814815</v>
      </c>
    </row>
    <row r="261" spans="1:6" x14ac:dyDescent="0.25">
      <c r="A261">
        <v>260</v>
      </c>
      <c r="B261" t="s">
        <v>5</v>
      </c>
      <c r="C261" t="s">
        <v>6</v>
      </c>
      <c r="D261">
        <v>46041.619189814817</v>
      </c>
      <c r="E261" t="s">
        <v>8</v>
      </c>
      <c r="F261">
        <v>46041.898495370369</v>
      </c>
    </row>
    <row r="262" spans="1:6" x14ac:dyDescent="0.25">
      <c r="A262">
        <v>261</v>
      </c>
      <c r="B262" t="s">
        <v>5</v>
      </c>
      <c r="C262" t="s">
        <v>6</v>
      </c>
      <c r="D262">
        <v>46041.626886574071</v>
      </c>
      <c r="E262" t="s">
        <v>7</v>
      </c>
      <c r="F262">
        <v>46041.749652777777</v>
      </c>
    </row>
    <row r="263" spans="1:6" x14ac:dyDescent="0.25">
      <c r="A263">
        <v>262</v>
      </c>
      <c r="B263" t="s">
        <v>5</v>
      </c>
      <c r="C263" t="s">
        <v>7</v>
      </c>
      <c r="D263">
        <v>46041.743055555555</v>
      </c>
      <c r="E263" t="s">
        <v>7</v>
      </c>
      <c r="F263">
        <v>46041.819444444445</v>
      </c>
    </row>
    <row r="264" spans="1:6" x14ac:dyDescent="0.25">
      <c r="A264">
        <v>263</v>
      </c>
      <c r="B264" t="s">
        <v>5</v>
      </c>
      <c r="C264" t="s">
        <v>10</v>
      </c>
      <c r="D264">
        <v>46042.260416666664</v>
      </c>
      <c r="E264" t="s">
        <v>10</v>
      </c>
      <c r="F264">
        <v>46042.291666666664</v>
      </c>
    </row>
    <row r="265" spans="1:6" x14ac:dyDescent="0.25">
      <c r="A265">
        <v>264</v>
      </c>
      <c r="B265" t="s">
        <v>5</v>
      </c>
      <c r="C265" t="s">
        <v>6</v>
      </c>
      <c r="D265">
        <v>46042.300208333334</v>
      </c>
      <c r="E265" t="s">
        <v>7</v>
      </c>
      <c r="F265">
        <v>46042.646666666667</v>
      </c>
    </row>
    <row r="266" spans="1:6" x14ac:dyDescent="0.25">
      <c r="A266">
        <v>265</v>
      </c>
      <c r="B266" t="s">
        <v>5</v>
      </c>
      <c r="C266" t="s">
        <v>6</v>
      </c>
      <c r="D266">
        <v>46042.31658564815</v>
      </c>
      <c r="E266" t="s">
        <v>7</v>
      </c>
      <c r="F266">
        <v>46042.521793981483</v>
      </c>
    </row>
    <row r="267" spans="1:6" x14ac:dyDescent="0.25">
      <c r="A267">
        <v>266</v>
      </c>
      <c r="B267" t="s">
        <v>5</v>
      </c>
      <c r="C267" t="s">
        <v>10</v>
      </c>
      <c r="D267">
        <v>46042.326388888891</v>
      </c>
      <c r="E267" t="s">
        <v>10</v>
      </c>
      <c r="F267">
        <v>46042.402777777781</v>
      </c>
    </row>
    <row r="268" spans="1:6" x14ac:dyDescent="0.25">
      <c r="A268">
        <v>267</v>
      </c>
      <c r="B268" t="s">
        <v>5</v>
      </c>
      <c r="C268" t="s">
        <v>7</v>
      </c>
      <c r="D268">
        <v>46042.340277777781</v>
      </c>
      <c r="E268" t="s">
        <v>7</v>
      </c>
      <c r="F268">
        <v>46042.392361111109</v>
      </c>
    </row>
    <row r="269" spans="1:6" x14ac:dyDescent="0.25">
      <c r="A269">
        <v>268</v>
      </c>
      <c r="B269" t="s">
        <v>5</v>
      </c>
      <c r="C269" t="s">
        <v>6</v>
      </c>
      <c r="D269">
        <v>46042.35564814815</v>
      </c>
      <c r="E269" t="s">
        <v>7</v>
      </c>
      <c r="F269">
        <v>46045.648854166669</v>
      </c>
    </row>
    <row r="270" spans="1:6" x14ac:dyDescent="0.25">
      <c r="A270">
        <v>269</v>
      </c>
      <c r="B270" t="s">
        <v>5</v>
      </c>
      <c r="C270" t="s">
        <v>7</v>
      </c>
      <c r="D270">
        <v>46042.451388888891</v>
      </c>
      <c r="E270" t="s">
        <v>10</v>
      </c>
      <c r="F270">
        <v>46042.492361111108</v>
      </c>
    </row>
    <row r="271" spans="1:6" x14ac:dyDescent="0.25">
      <c r="A271">
        <v>270</v>
      </c>
      <c r="B271" t="s">
        <v>5</v>
      </c>
      <c r="C271" t="s">
        <v>6</v>
      </c>
      <c r="D271">
        <v>46042.482395833336</v>
      </c>
      <c r="E271" t="s">
        <v>7</v>
      </c>
      <c r="F271">
        <v>46042.775694444441</v>
      </c>
    </row>
    <row r="272" spans="1:6" x14ac:dyDescent="0.25">
      <c r="A272">
        <v>271</v>
      </c>
      <c r="B272" t="s">
        <v>5</v>
      </c>
      <c r="C272" t="s">
        <v>7</v>
      </c>
      <c r="D272">
        <v>46042.486111111109</v>
      </c>
      <c r="E272" t="s">
        <v>7</v>
      </c>
      <c r="F272">
        <v>46042.517361111109</v>
      </c>
    </row>
    <row r="273" spans="1:6" x14ac:dyDescent="0.25">
      <c r="A273">
        <v>272</v>
      </c>
      <c r="B273" t="s">
        <v>5</v>
      </c>
      <c r="C273" t="s">
        <v>7</v>
      </c>
      <c r="D273">
        <v>46042.5</v>
      </c>
      <c r="E273" t="s">
        <v>7</v>
      </c>
      <c r="F273">
        <v>46042.611111111109</v>
      </c>
    </row>
    <row r="274" spans="1:6" x14ac:dyDescent="0.25">
      <c r="A274">
        <v>273</v>
      </c>
      <c r="B274" t="s">
        <v>5</v>
      </c>
      <c r="C274" t="s">
        <v>8</v>
      </c>
      <c r="D274">
        <v>46042.559027777781</v>
      </c>
      <c r="E274" t="s">
        <v>7</v>
      </c>
      <c r="F274">
        <v>46042.642361111109</v>
      </c>
    </row>
    <row r="275" spans="1:6" x14ac:dyDescent="0.25">
      <c r="A275">
        <v>274</v>
      </c>
      <c r="B275" t="s">
        <v>5</v>
      </c>
      <c r="C275" t="s">
        <v>7</v>
      </c>
      <c r="D275">
        <v>46042.618055555555</v>
      </c>
      <c r="E275" t="s">
        <v>7</v>
      </c>
      <c r="F275">
        <v>46042.75</v>
      </c>
    </row>
    <row r="276" spans="1:6" x14ac:dyDescent="0.25">
      <c r="A276">
        <v>275</v>
      </c>
      <c r="B276" t="s">
        <v>5</v>
      </c>
      <c r="C276" t="s">
        <v>7</v>
      </c>
      <c r="D276">
        <v>46042.694444444445</v>
      </c>
      <c r="E276" t="s">
        <v>7</v>
      </c>
      <c r="F276">
        <v>46042.875694444447</v>
      </c>
    </row>
    <row r="277" spans="1:6" x14ac:dyDescent="0.25">
      <c r="A277">
        <v>276</v>
      </c>
      <c r="B277" t="s">
        <v>5</v>
      </c>
      <c r="C277" t="s">
        <v>7</v>
      </c>
      <c r="D277">
        <v>46042.701388888891</v>
      </c>
      <c r="E277" t="s">
        <v>7</v>
      </c>
      <c r="F277">
        <v>46042.8125</v>
      </c>
    </row>
    <row r="278" spans="1:6" x14ac:dyDescent="0.25">
      <c r="A278">
        <v>277</v>
      </c>
      <c r="B278" t="s">
        <v>5</v>
      </c>
      <c r="C278" t="s">
        <v>7</v>
      </c>
      <c r="D278">
        <v>46042.708333333336</v>
      </c>
      <c r="E278" t="s">
        <v>7</v>
      </c>
      <c r="F278">
        <v>46042.743055555555</v>
      </c>
    </row>
    <row r="279" spans="1:6" x14ac:dyDescent="0.25">
      <c r="A279">
        <v>278</v>
      </c>
      <c r="B279" t="s">
        <v>5</v>
      </c>
      <c r="C279" t="s">
        <v>7</v>
      </c>
      <c r="D279">
        <v>46042.765277777777</v>
      </c>
      <c r="E279" t="s">
        <v>7</v>
      </c>
      <c r="F279">
        <v>46042.875</v>
      </c>
    </row>
    <row r="280" spans="1:6" x14ac:dyDescent="0.25">
      <c r="A280">
        <v>279</v>
      </c>
      <c r="B280" t="s">
        <v>5</v>
      </c>
      <c r="C280" t="s">
        <v>6</v>
      </c>
      <c r="D280">
        <v>46042.902777777781</v>
      </c>
      <c r="E280" t="s">
        <v>7</v>
      </c>
      <c r="F280">
        <v>46043.688726851855</v>
      </c>
    </row>
    <row r="281" spans="1:6" x14ac:dyDescent="0.25">
      <c r="A281">
        <v>280</v>
      </c>
      <c r="B281" t="s">
        <v>5</v>
      </c>
      <c r="C281" t="s">
        <v>6</v>
      </c>
      <c r="D281">
        <v>46042.914525462962</v>
      </c>
      <c r="E281" t="s">
        <v>8</v>
      </c>
      <c r="F281">
        <v>46043.731909722221</v>
      </c>
    </row>
    <row r="282" spans="1:6" x14ac:dyDescent="0.25">
      <c r="A282">
        <v>281</v>
      </c>
      <c r="B282" t="s">
        <v>5</v>
      </c>
      <c r="C282" t="s">
        <v>6</v>
      </c>
      <c r="D282">
        <v>46042.945138888892</v>
      </c>
      <c r="E282" t="s">
        <v>8</v>
      </c>
      <c r="F282">
        <v>46043.073599537034</v>
      </c>
    </row>
    <row r="283" spans="1:6" x14ac:dyDescent="0.25">
      <c r="A283">
        <v>282</v>
      </c>
      <c r="B283" t="s">
        <v>5</v>
      </c>
      <c r="C283" t="s">
        <v>6</v>
      </c>
      <c r="D283">
        <v>46042.965219907404</v>
      </c>
      <c r="E283" t="s">
        <v>7</v>
      </c>
      <c r="F283">
        <v>46043.733854166669</v>
      </c>
    </row>
    <row r="284" spans="1:6" x14ac:dyDescent="0.25">
      <c r="A284">
        <v>283</v>
      </c>
      <c r="B284" t="s">
        <v>5</v>
      </c>
      <c r="C284" t="s">
        <v>7</v>
      </c>
      <c r="D284">
        <v>46043.354166666664</v>
      </c>
      <c r="E284" t="s">
        <v>7</v>
      </c>
      <c r="F284">
        <v>46043.423611111109</v>
      </c>
    </row>
    <row r="285" spans="1:6" x14ac:dyDescent="0.25">
      <c r="A285">
        <v>284</v>
      </c>
      <c r="B285" t="s">
        <v>5</v>
      </c>
      <c r="C285" t="s">
        <v>10</v>
      </c>
      <c r="D285">
        <v>46043.354166666664</v>
      </c>
      <c r="E285" t="s">
        <v>10</v>
      </c>
      <c r="F285">
        <v>46043.461805555555</v>
      </c>
    </row>
    <row r="286" spans="1:6" x14ac:dyDescent="0.25">
      <c r="A286">
        <v>285</v>
      </c>
      <c r="B286" t="s">
        <v>5</v>
      </c>
      <c r="C286" t="s">
        <v>7</v>
      </c>
      <c r="D286">
        <v>46043.357638888891</v>
      </c>
      <c r="E286" t="s">
        <v>7</v>
      </c>
      <c r="F286">
        <v>46043.388888888891</v>
      </c>
    </row>
    <row r="287" spans="1:6" x14ac:dyDescent="0.25">
      <c r="A287">
        <v>286</v>
      </c>
      <c r="B287" t="s">
        <v>5</v>
      </c>
      <c r="C287" t="s">
        <v>6</v>
      </c>
      <c r="D287">
        <v>46043.429224537038</v>
      </c>
      <c r="E287" t="s">
        <v>7</v>
      </c>
      <c r="F287">
        <v>46043.672962962963</v>
      </c>
    </row>
    <row r="288" spans="1:6" x14ac:dyDescent="0.25">
      <c r="A288">
        <v>287</v>
      </c>
      <c r="B288" t="s">
        <v>5</v>
      </c>
      <c r="C288" t="s">
        <v>7</v>
      </c>
      <c r="D288">
        <v>46043.46875</v>
      </c>
      <c r="E288" t="s">
        <v>7</v>
      </c>
      <c r="F288">
        <v>46043.545138888891</v>
      </c>
    </row>
    <row r="289" spans="1:6" x14ac:dyDescent="0.25">
      <c r="A289">
        <v>288</v>
      </c>
      <c r="B289" t="s">
        <v>5</v>
      </c>
      <c r="C289" t="s">
        <v>10</v>
      </c>
      <c r="D289">
        <v>46043.505324074074</v>
      </c>
      <c r="E289" t="s">
        <v>7</v>
      </c>
      <c r="F289">
        <v>46043.841215277775</v>
      </c>
    </row>
    <row r="290" spans="1:6" x14ac:dyDescent="0.25">
      <c r="A290">
        <v>289</v>
      </c>
      <c r="B290" t="s">
        <v>5</v>
      </c>
      <c r="C290" t="s">
        <v>7</v>
      </c>
      <c r="D290">
        <v>46043.520833333336</v>
      </c>
      <c r="E290" t="s">
        <v>7</v>
      </c>
      <c r="F290">
        <v>46043.5625</v>
      </c>
    </row>
    <row r="291" spans="1:6" x14ac:dyDescent="0.25">
      <c r="A291">
        <v>290</v>
      </c>
      <c r="B291" t="s">
        <v>5</v>
      </c>
      <c r="C291" t="s">
        <v>7</v>
      </c>
      <c r="D291">
        <v>46043.597222222219</v>
      </c>
      <c r="E291" t="s">
        <v>6</v>
      </c>
      <c r="F291">
        <v>46043.638888888891</v>
      </c>
    </row>
    <row r="292" spans="1:6" x14ac:dyDescent="0.25">
      <c r="A292">
        <v>291</v>
      </c>
      <c r="B292" t="s">
        <v>5</v>
      </c>
      <c r="C292" t="s">
        <v>6</v>
      </c>
      <c r="D292">
        <v>46043.599699074075</v>
      </c>
      <c r="E292" t="s">
        <v>9</v>
      </c>
      <c r="F292">
        <v>46044.366041666668</v>
      </c>
    </row>
    <row r="293" spans="1:6" x14ac:dyDescent="0.25">
      <c r="A293">
        <v>292</v>
      </c>
      <c r="B293" t="s">
        <v>5</v>
      </c>
      <c r="C293" t="s">
        <v>7</v>
      </c>
      <c r="D293">
        <v>46043.701388888891</v>
      </c>
      <c r="E293" t="s">
        <v>7</v>
      </c>
      <c r="F293">
        <v>46043.732638888891</v>
      </c>
    </row>
    <row r="294" spans="1:6" x14ac:dyDescent="0.25">
      <c r="A294">
        <v>293</v>
      </c>
      <c r="B294" t="s">
        <v>5</v>
      </c>
      <c r="C294" t="s">
        <v>6</v>
      </c>
      <c r="D294">
        <v>46043.760416666664</v>
      </c>
      <c r="E294" t="s">
        <v>7</v>
      </c>
      <c r="F294">
        <v>46044.525370370371</v>
      </c>
    </row>
    <row r="295" spans="1:6" x14ac:dyDescent="0.25">
      <c r="A295">
        <v>294</v>
      </c>
      <c r="B295" t="s">
        <v>5</v>
      </c>
      <c r="C295" t="s">
        <v>6</v>
      </c>
      <c r="D295">
        <v>46044.312696759262</v>
      </c>
      <c r="E295" t="s">
        <v>7</v>
      </c>
      <c r="F295">
        <v>46044.694953703707</v>
      </c>
    </row>
    <row r="296" spans="1:6" x14ac:dyDescent="0.25">
      <c r="A296">
        <v>295</v>
      </c>
      <c r="B296" t="s">
        <v>5</v>
      </c>
      <c r="C296" t="s">
        <v>7</v>
      </c>
      <c r="D296">
        <v>46044.327777777777</v>
      </c>
      <c r="E296" t="s">
        <v>7</v>
      </c>
      <c r="F296">
        <v>46044.392361111109</v>
      </c>
    </row>
    <row r="297" spans="1:6" x14ac:dyDescent="0.25">
      <c r="A297">
        <v>296</v>
      </c>
      <c r="B297" t="s">
        <v>5</v>
      </c>
      <c r="C297" t="s">
        <v>7</v>
      </c>
      <c r="D297">
        <v>46044.340277777781</v>
      </c>
      <c r="E297" t="s">
        <v>7</v>
      </c>
      <c r="F297">
        <v>46044.361111111109</v>
      </c>
    </row>
    <row r="298" spans="1:6" x14ac:dyDescent="0.25">
      <c r="A298">
        <v>297</v>
      </c>
      <c r="B298" t="s">
        <v>5</v>
      </c>
      <c r="C298" t="s">
        <v>7</v>
      </c>
      <c r="D298">
        <v>46044.340277777781</v>
      </c>
      <c r="E298" t="s">
        <v>7</v>
      </c>
      <c r="F298">
        <v>46044.430555555555</v>
      </c>
    </row>
    <row r="299" spans="1:6" x14ac:dyDescent="0.25">
      <c r="A299">
        <v>298</v>
      </c>
      <c r="B299" t="s">
        <v>5</v>
      </c>
      <c r="C299" t="s">
        <v>8</v>
      </c>
      <c r="D299">
        <v>46044.378472222219</v>
      </c>
      <c r="E299" t="s">
        <v>7</v>
      </c>
      <c r="F299">
        <v>46044.506944444445</v>
      </c>
    </row>
    <row r="300" spans="1:6" x14ac:dyDescent="0.25">
      <c r="A300">
        <v>299</v>
      </c>
      <c r="B300" t="s">
        <v>5</v>
      </c>
      <c r="C300" t="s">
        <v>6</v>
      </c>
      <c r="D300">
        <v>46044.380266203705</v>
      </c>
      <c r="E300" t="s">
        <v>7</v>
      </c>
      <c r="F300">
        <v>46044.764606481483</v>
      </c>
    </row>
    <row r="301" spans="1:6" x14ac:dyDescent="0.25">
      <c r="A301">
        <v>300</v>
      </c>
      <c r="B301" t="s">
        <v>5</v>
      </c>
      <c r="C301" t="s">
        <v>7</v>
      </c>
      <c r="D301">
        <v>46044.458333333336</v>
      </c>
      <c r="E301" t="s">
        <v>8</v>
      </c>
      <c r="F301">
        <v>46044.520833333336</v>
      </c>
    </row>
    <row r="302" spans="1:6" x14ac:dyDescent="0.25">
      <c r="A302">
        <v>301</v>
      </c>
      <c r="B302" t="s">
        <v>5</v>
      </c>
      <c r="C302" t="s">
        <v>6</v>
      </c>
      <c r="D302">
        <v>46044.551493055558</v>
      </c>
      <c r="E302" t="s">
        <v>7</v>
      </c>
      <c r="F302">
        <v>46044.735081018516</v>
      </c>
    </row>
    <row r="303" spans="1:6" x14ac:dyDescent="0.25">
      <c r="A303">
        <v>302</v>
      </c>
      <c r="B303" t="s">
        <v>5</v>
      </c>
      <c r="C303" t="s">
        <v>6</v>
      </c>
      <c r="D303">
        <v>46044.617847222224</v>
      </c>
      <c r="E303" t="s">
        <v>8</v>
      </c>
      <c r="F303">
        <v>46044.75922453704</v>
      </c>
    </row>
    <row r="304" spans="1:6" x14ac:dyDescent="0.25">
      <c r="A304">
        <v>303</v>
      </c>
      <c r="B304" t="s">
        <v>5</v>
      </c>
      <c r="C304" t="s">
        <v>7</v>
      </c>
      <c r="D304">
        <v>46044.631944444445</v>
      </c>
      <c r="E304" t="s">
        <v>8</v>
      </c>
      <c r="F304">
        <v>46044.771840277775</v>
      </c>
    </row>
    <row r="305" spans="1:6" x14ac:dyDescent="0.25">
      <c r="A305">
        <v>304</v>
      </c>
      <c r="B305" t="s">
        <v>5</v>
      </c>
      <c r="C305" t="s">
        <v>7</v>
      </c>
      <c r="D305">
        <v>46044.666666666664</v>
      </c>
      <c r="E305" t="s">
        <v>7</v>
      </c>
      <c r="F305">
        <v>46044.701388888891</v>
      </c>
    </row>
    <row r="306" spans="1:6" x14ac:dyDescent="0.25">
      <c r="A306">
        <v>305</v>
      </c>
      <c r="B306" t="s">
        <v>5</v>
      </c>
      <c r="C306" t="s">
        <v>7</v>
      </c>
      <c r="D306">
        <v>46044.684027777781</v>
      </c>
      <c r="E306" t="s">
        <v>7</v>
      </c>
      <c r="F306">
        <v>46044.802083333336</v>
      </c>
    </row>
    <row r="307" spans="1:6" x14ac:dyDescent="0.25">
      <c r="A307">
        <v>306</v>
      </c>
      <c r="B307" t="s">
        <v>5</v>
      </c>
      <c r="C307" t="s">
        <v>6</v>
      </c>
      <c r="D307">
        <v>46044.848993055559</v>
      </c>
      <c r="E307" t="s">
        <v>7</v>
      </c>
      <c r="F307">
        <v>46045.746828703705</v>
      </c>
    </row>
    <row r="308" spans="1:6" x14ac:dyDescent="0.25">
      <c r="A308">
        <v>307</v>
      </c>
      <c r="B308" t="s">
        <v>5</v>
      </c>
      <c r="C308" t="s">
        <v>6</v>
      </c>
      <c r="D308">
        <v>46044.918368055558</v>
      </c>
      <c r="E308" t="s">
        <v>8</v>
      </c>
      <c r="F308">
        <v>46045.842812499999</v>
      </c>
    </row>
    <row r="309" spans="1:6" x14ac:dyDescent="0.25">
      <c r="A309">
        <v>308</v>
      </c>
      <c r="B309" t="s">
        <v>5</v>
      </c>
      <c r="C309" t="s">
        <v>6</v>
      </c>
      <c r="D309">
        <v>46044.926365740743</v>
      </c>
      <c r="E309" t="s">
        <v>7</v>
      </c>
      <c r="F309">
        <v>46045.462488425925</v>
      </c>
    </row>
    <row r="310" spans="1:6" x14ac:dyDescent="0.25">
      <c r="A310">
        <v>309</v>
      </c>
      <c r="B310" t="s">
        <v>5</v>
      </c>
      <c r="C310" t="s">
        <v>7</v>
      </c>
      <c r="D310">
        <v>46045.356249999997</v>
      </c>
      <c r="E310" t="s">
        <v>7</v>
      </c>
      <c r="F310">
        <v>46045.689027777778</v>
      </c>
    </row>
    <row r="311" spans="1:6" x14ac:dyDescent="0.25">
      <c r="A311">
        <v>310</v>
      </c>
      <c r="B311" t="s">
        <v>5</v>
      </c>
      <c r="C311" t="s">
        <v>7</v>
      </c>
      <c r="D311">
        <v>46045.356944444444</v>
      </c>
      <c r="E311" t="s">
        <v>7</v>
      </c>
      <c r="F311">
        <v>46045.451388888891</v>
      </c>
    </row>
    <row r="312" spans="1:6" x14ac:dyDescent="0.25">
      <c r="A312">
        <v>311</v>
      </c>
      <c r="B312" t="s">
        <v>5</v>
      </c>
      <c r="C312" t="s">
        <v>7</v>
      </c>
      <c r="D312">
        <v>46045.371527777781</v>
      </c>
      <c r="E312" t="s">
        <v>7</v>
      </c>
      <c r="F312">
        <v>46045.451388888891</v>
      </c>
    </row>
    <row r="313" spans="1:6" x14ac:dyDescent="0.25">
      <c r="A313">
        <v>312</v>
      </c>
      <c r="B313" t="s">
        <v>5</v>
      </c>
      <c r="C313" t="s">
        <v>7</v>
      </c>
      <c r="D313">
        <v>46045.375</v>
      </c>
      <c r="E313" t="s">
        <v>7</v>
      </c>
      <c r="F313">
        <v>46045.701388888891</v>
      </c>
    </row>
    <row r="314" spans="1:6" x14ac:dyDescent="0.25">
      <c r="A314">
        <v>313</v>
      </c>
      <c r="B314" t="s">
        <v>5</v>
      </c>
      <c r="C314" t="s">
        <v>10</v>
      </c>
      <c r="D314">
        <v>46045.385416666664</v>
      </c>
      <c r="E314" t="s">
        <v>10</v>
      </c>
      <c r="F314">
        <v>46045.541666666664</v>
      </c>
    </row>
    <row r="315" spans="1:6" x14ac:dyDescent="0.25">
      <c r="A315">
        <v>314</v>
      </c>
      <c r="B315" t="s">
        <v>5</v>
      </c>
      <c r="C315" t="s">
        <v>8</v>
      </c>
      <c r="D315">
        <v>46045.510416666664</v>
      </c>
      <c r="E315" t="s">
        <v>8</v>
      </c>
      <c r="F315">
        <v>46045.673611111109</v>
      </c>
    </row>
    <row r="316" spans="1:6" x14ac:dyDescent="0.25">
      <c r="A316">
        <v>315</v>
      </c>
      <c r="B316" t="s">
        <v>5</v>
      </c>
      <c r="C316" t="s">
        <v>7</v>
      </c>
      <c r="D316">
        <v>46045.541666666664</v>
      </c>
      <c r="E316" t="s">
        <v>7</v>
      </c>
      <c r="F316">
        <v>46045.673611111109</v>
      </c>
    </row>
    <row r="317" spans="1:6" x14ac:dyDescent="0.25">
      <c r="A317">
        <v>316</v>
      </c>
      <c r="B317" t="s">
        <v>5</v>
      </c>
      <c r="C317" t="s">
        <v>7</v>
      </c>
      <c r="D317">
        <v>46045.548611111109</v>
      </c>
      <c r="E317" t="s">
        <v>8</v>
      </c>
      <c r="F317">
        <v>46045.645833333336</v>
      </c>
    </row>
    <row r="318" spans="1:6" x14ac:dyDescent="0.25">
      <c r="A318">
        <v>317</v>
      </c>
      <c r="B318" t="s">
        <v>5</v>
      </c>
      <c r="C318" t="s">
        <v>7</v>
      </c>
      <c r="D318">
        <v>46045.619618055556</v>
      </c>
      <c r="E318" t="s">
        <v>8</v>
      </c>
      <c r="F318">
        <v>46045.905949074076</v>
      </c>
    </row>
    <row r="319" spans="1:6" x14ac:dyDescent="0.25">
      <c r="A319">
        <v>318</v>
      </c>
      <c r="B319" t="s">
        <v>5</v>
      </c>
      <c r="C319" t="s">
        <v>10</v>
      </c>
      <c r="D319">
        <v>46045.777777777781</v>
      </c>
      <c r="E319" t="s">
        <v>10</v>
      </c>
      <c r="F319">
        <v>46045.833333333336</v>
      </c>
    </row>
    <row r="320" spans="1:6" x14ac:dyDescent="0.25">
      <c r="A320">
        <v>319</v>
      </c>
      <c r="B320" t="s">
        <v>5</v>
      </c>
      <c r="C320" t="s">
        <v>8</v>
      </c>
      <c r="D320">
        <v>46045.791666666664</v>
      </c>
      <c r="E320" t="s">
        <v>8</v>
      </c>
      <c r="F320">
        <v>46046.038194444445</v>
      </c>
    </row>
    <row r="321" spans="1:6" x14ac:dyDescent="0.25">
      <c r="A321">
        <v>320</v>
      </c>
      <c r="B321" t="s">
        <v>5</v>
      </c>
      <c r="C321" t="s">
        <v>8</v>
      </c>
      <c r="D321">
        <v>46045.940972222219</v>
      </c>
      <c r="E321" t="s">
        <v>10</v>
      </c>
      <c r="F321">
        <v>46045.958333333336</v>
      </c>
    </row>
    <row r="322" spans="1:6" x14ac:dyDescent="0.25">
      <c r="A322">
        <v>321</v>
      </c>
      <c r="B322" t="s">
        <v>5</v>
      </c>
      <c r="C322" t="s">
        <v>6</v>
      </c>
      <c r="D322">
        <v>46045.945231481484</v>
      </c>
      <c r="E322" t="s">
        <v>7</v>
      </c>
      <c r="F322">
        <v>46046.63008101852</v>
      </c>
    </row>
    <row r="323" spans="1:6" x14ac:dyDescent="0.25">
      <c r="A323">
        <v>322</v>
      </c>
      <c r="B323" t="s">
        <v>5</v>
      </c>
      <c r="C323" t="s">
        <v>6</v>
      </c>
      <c r="D323">
        <v>46045.979363425926</v>
      </c>
      <c r="E323" t="s">
        <v>8</v>
      </c>
      <c r="F323">
        <v>46057.761666666665</v>
      </c>
    </row>
    <row r="324" spans="1:6" x14ac:dyDescent="0.25">
      <c r="A324">
        <v>323</v>
      </c>
      <c r="B324" t="s">
        <v>5</v>
      </c>
      <c r="C324" t="s">
        <v>6</v>
      </c>
      <c r="D324">
        <v>46046.020520833335</v>
      </c>
      <c r="E324" t="s">
        <v>7</v>
      </c>
      <c r="F324">
        <v>46046.722210648149</v>
      </c>
    </row>
    <row r="325" spans="1:6" x14ac:dyDescent="0.25">
      <c r="A325">
        <v>324</v>
      </c>
      <c r="B325" t="s">
        <v>5</v>
      </c>
      <c r="C325" t="s">
        <v>6</v>
      </c>
      <c r="D325">
        <v>46046.392442129632</v>
      </c>
      <c r="E325" t="s">
        <v>7</v>
      </c>
      <c r="F325">
        <v>46048.705127314817</v>
      </c>
    </row>
    <row r="326" spans="1:6" x14ac:dyDescent="0.25">
      <c r="A326">
        <v>325</v>
      </c>
      <c r="B326" t="s">
        <v>5</v>
      </c>
      <c r="C326" t="s">
        <v>6</v>
      </c>
      <c r="D326">
        <v>46046.454826388886</v>
      </c>
      <c r="E326" t="s">
        <v>7</v>
      </c>
      <c r="F326">
        <v>46046.734629629631</v>
      </c>
    </row>
    <row r="327" spans="1:6" x14ac:dyDescent="0.25">
      <c r="A327">
        <v>326</v>
      </c>
      <c r="B327" t="s">
        <v>5</v>
      </c>
      <c r="C327" t="s">
        <v>6</v>
      </c>
      <c r="D327">
        <v>46046.602337962962</v>
      </c>
      <c r="E327" t="s">
        <v>8</v>
      </c>
      <c r="F327">
        <v>46046.894652777781</v>
      </c>
    </row>
    <row r="328" spans="1:6" x14ac:dyDescent="0.25">
      <c r="A328">
        <v>327</v>
      </c>
      <c r="B328" t="s">
        <v>5</v>
      </c>
      <c r="C328" t="s">
        <v>10</v>
      </c>
      <c r="D328">
        <v>46046.715277777781</v>
      </c>
      <c r="E328" t="s">
        <v>10</v>
      </c>
      <c r="F328">
        <v>46046.725694444445</v>
      </c>
    </row>
    <row r="329" spans="1:6" x14ac:dyDescent="0.25">
      <c r="A329">
        <v>328</v>
      </c>
      <c r="B329" t="s">
        <v>5</v>
      </c>
      <c r="C329" t="s">
        <v>6</v>
      </c>
      <c r="D329">
        <v>46046.918263888889</v>
      </c>
      <c r="E329" t="s">
        <v>7</v>
      </c>
      <c r="F329">
        <v>46049.260659722226</v>
      </c>
    </row>
    <row r="330" spans="1:6" x14ac:dyDescent="0.25">
      <c r="A330">
        <v>329</v>
      </c>
      <c r="B330" t="s">
        <v>5</v>
      </c>
      <c r="C330" t="s">
        <v>6</v>
      </c>
      <c r="D330">
        <v>46046.918263888889</v>
      </c>
      <c r="E330" t="s">
        <v>7</v>
      </c>
      <c r="F330">
        <v>46049.260659722226</v>
      </c>
    </row>
    <row r="331" spans="1:6" x14ac:dyDescent="0.25">
      <c r="A331">
        <v>330</v>
      </c>
      <c r="B331" t="s">
        <v>5</v>
      </c>
      <c r="C331" t="s">
        <v>6</v>
      </c>
      <c r="D331">
        <v>46047.341909722221</v>
      </c>
      <c r="E331" t="s">
        <v>7</v>
      </c>
      <c r="F331">
        <v>46048.584606481483</v>
      </c>
    </row>
    <row r="332" spans="1:6" x14ac:dyDescent="0.25">
      <c r="A332">
        <v>331</v>
      </c>
      <c r="B332" t="s">
        <v>5</v>
      </c>
      <c r="C332" t="s">
        <v>7</v>
      </c>
      <c r="D332">
        <v>46047.381944444445</v>
      </c>
      <c r="E332" t="s">
        <v>7</v>
      </c>
      <c r="F332">
        <v>46047.402777777781</v>
      </c>
    </row>
    <row r="333" spans="1:6" x14ac:dyDescent="0.25">
      <c r="A333">
        <v>332</v>
      </c>
      <c r="B333" t="s">
        <v>5</v>
      </c>
      <c r="C333" t="s">
        <v>10</v>
      </c>
      <c r="D333">
        <v>46047.392361111109</v>
      </c>
      <c r="E333" t="s">
        <v>10</v>
      </c>
      <c r="F333">
        <v>46047.458333333336</v>
      </c>
    </row>
    <row r="334" spans="1:6" x14ac:dyDescent="0.25">
      <c r="A334">
        <v>333</v>
      </c>
      <c r="B334" t="s">
        <v>5</v>
      </c>
      <c r="C334" t="s">
        <v>6</v>
      </c>
      <c r="D334">
        <v>46047.575474537036</v>
      </c>
      <c r="E334" t="s">
        <v>7</v>
      </c>
      <c r="F334">
        <v>46047.737384259257</v>
      </c>
    </row>
    <row r="335" spans="1:6" x14ac:dyDescent="0.25">
      <c r="A335">
        <v>334</v>
      </c>
      <c r="B335" t="s">
        <v>5</v>
      </c>
      <c r="C335" t="s">
        <v>6</v>
      </c>
      <c r="D335">
        <v>46047.640138888892</v>
      </c>
      <c r="E335" t="s">
        <v>7</v>
      </c>
      <c r="F335">
        <v>46047.924756944441</v>
      </c>
    </row>
    <row r="336" spans="1:6" x14ac:dyDescent="0.25">
      <c r="A336">
        <v>335</v>
      </c>
      <c r="B336" t="s">
        <v>5</v>
      </c>
      <c r="C336" t="s">
        <v>6</v>
      </c>
      <c r="D336">
        <v>46047.780497685184</v>
      </c>
      <c r="E336" t="s">
        <v>8</v>
      </c>
      <c r="F336">
        <v>46047.956041666665</v>
      </c>
    </row>
    <row r="337" spans="1:6" x14ac:dyDescent="0.25">
      <c r="A337">
        <v>336</v>
      </c>
      <c r="B337" t="s">
        <v>5</v>
      </c>
      <c r="C337" t="s">
        <v>6</v>
      </c>
      <c r="D337">
        <v>46047.96974537037</v>
      </c>
      <c r="E337" t="s">
        <v>7</v>
      </c>
      <c r="F337">
        <v>46049.682141203702</v>
      </c>
    </row>
    <row r="338" spans="1:6" x14ac:dyDescent="0.25">
      <c r="A338">
        <v>337</v>
      </c>
      <c r="B338" t="s">
        <v>5</v>
      </c>
      <c r="C338" t="s">
        <v>6</v>
      </c>
      <c r="D338">
        <v>46048.282905092594</v>
      </c>
      <c r="E338" t="s">
        <v>7</v>
      </c>
      <c r="F338">
        <v>46048.720173611109</v>
      </c>
    </row>
    <row r="339" spans="1:6" x14ac:dyDescent="0.25">
      <c r="A339">
        <v>338</v>
      </c>
      <c r="B339" t="s">
        <v>5</v>
      </c>
      <c r="C339" t="s">
        <v>10</v>
      </c>
      <c r="D339">
        <v>46048.291689814818</v>
      </c>
      <c r="E339" t="s">
        <v>8</v>
      </c>
      <c r="F339">
        <v>46048.663773148146</v>
      </c>
    </row>
    <row r="340" spans="1:6" x14ac:dyDescent="0.25">
      <c r="A340">
        <v>339</v>
      </c>
      <c r="B340" t="s">
        <v>5</v>
      </c>
      <c r="C340" t="s">
        <v>10</v>
      </c>
      <c r="D340">
        <v>46048.296585648146</v>
      </c>
      <c r="E340" t="s">
        <v>9</v>
      </c>
      <c r="F340">
        <v>46048.712569444448</v>
      </c>
    </row>
    <row r="341" spans="1:6" x14ac:dyDescent="0.25">
      <c r="A341">
        <v>340</v>
      </c>
      <c r="B341" t="s">
        <v>5</v>
      </c>
      <c r="C341" t="s">
        <v>7</v>
      </c>
      <c r="D341">
        <v>46048.340277777781</v>
      </c>
      <c r="E341" t="s">
        <v>7</v>
      </c>
      <c r="F341">
        <v>46048.430555555555</v>
      </c>
    </row>
    <row r="342" spans="1:6" x14ac:dyDescent="0.25">
      <c r="A342">
        <v>341</v>
      </c>
      <c r="B342" t="s">
        <v>5</v>
      </c>
      <c r="C342" t="s">
        <v>6</v>
      </c>
      <c r="D342">
        <v>46048.347337962965</v>
      </c>
      <c r="E342" t="s">
        <v>10</v>
      </c>
      <c r="F342">
        <v>46049.395069444443</v>
      </c>
    </row>
    <row r="343" spans="1:6" x14ac:dyDescent="0.25">
      <c r="A343">
        <v>342</v>
      </c>
      <c r="B343" t="s">
        <v>5</v>
      </c>
      <c r="C343" t="s">
        <v>7</v>
      </c>
      <c r="D343">
        <v>46048.451388888891</v>
      </c>
      <c r="E343" t="s">
        <v>7</v>
      </c>
      <c r="F343">
        <v>46048.517361111109</v>
      </c>
    </row>
    <row r="344" spans="1:6" x14ac:dyDescent="0.25">
      <c r="A344">
        <v>343</v>
      </c>
      <c r="B344" t="s">
        <v>5</v>
      </c>
      <c r="C344" t="s">
        <v>7</v>
      </c>
      <c r="D344">
        <v>46048.513888888891</v>
      </c>
      <c r="E344" t="s">
        <v>6</v>
      </c>
      <c r="F344">
        <v>46048.583333333336</v>
      </c>
    </row>
    <row r="345" spans="1:6" x14ac:dyDescent="0.25">
      <c r="A345">
        <v>344</v>
      </c>
      <c r="B345" t="s">
        <v>5</v>
      </c>
      <c r="C345" t="s">
        <v>7</v>
      </c>
      <c r="D345">
        <v>46048.541666666664</v>
      </c>
      <c r="E345" t="s">
        <v>10</v>
      </c>
      <c r="F345">
        <v>46048.684027777781</v>
      </c>
    </row>
    <row r="346" spans="1:6" x14ac:dyDescent="0.25">
      <c r="A346">
        <v>345</v>
      </c>
      <c r="B346" t="s">
        <v>5</v>
      </c>
      <c r="C346" t="s">
        <v>10</v>
      </c>
      <c r="D346">
        <v>46048.621527777781</v>
      </c>
      <c r="E346" t="s">
        <v>8</v>
      </c>
      <c r="F346">
        <v>46048.679270833331</v>
      </c>
    </row>
    <row r="347" spans="1:6" x14ac:dyDescent="0.25">
      <c r="A347">
        <v>346</v>
      </c>
      <c r="B347" t="s">
        <v>5</v>
      </c>
      <c r="C347" t="s">
        <v>7</v>
      </c>
      <c r="D347">
        <v>46048.648854166669</v>
      </c>
      <c r="E347" t="s">
        <v>7</v>
      </c>
      <c r="F347">
        <v>46052.61577546296</v>
      </c>
    </row>
    <row r="348" spans="1:6" x14ac:dyDescent="0.25">
      <c r="A348">
        <v>347</v>
      </c>
      <c r="B348" t="s">
        <v>5</v>
      </c>
      <c r="C348" t="s">
        <v>6</v>
      </c>
      <c r="D348">
        <v>46048.6875</v>
      </c>
      <c r="E348" t="s">
        <v>7</v>
      </c>
      <c r="F348">
        <v>46049.699062500003</v>
      </c>
    </row>
    <row r="349" spans="1:6" x14ac:dyDescent="0.25">
      <c r="A349">
        <v>348</v>
      </c>
      <c r="B349" t="s">
        <v>5</v>
      </c>
      <c r="C349" t="s">
        <v>6</v>
      </c>
      <c r="D349">
        <v>46048.717002314814</v>
      </c>
      <c r="E349" t="s">
        <v>8</v>
      </c>
      <c r="F349">
        <v>46049.681423611109</v>
      </c>
    </row>
    <row r="350" spans="1:6" x14ac:dyDescent="0.25">
      <c r="A350">
        <v>349</v>
      </c>
      <c r="B350" t="s">
        <v>5</v>
      </c>
      <c r="C350" t="s">
        <v>10</v>
      </c>
      <c r="D350">
        <v>46048.75</v>
      </c>
      <c r="E350" t="s">
        <v>10</v>
      </c>
      <c r="F350">
        <v>46048.772916666669</v>
      </c>
    </row>
    <row r="351" spans="1:6" x14ac:dyDescent="0.25">
      <c r="A351">
        <v>350</v>
      </c>
      <c r="B351" t="s">
        <v>5</v>
      </c>
      <c r="C351" t="s">
        <v>6</v>
      </c>
      <c r="D351">
        <v>46048.880428240744</v>
      </c>
      <c r="E351" t="s">
        <v>7</v>
      </c>
      <c r="F351">
        <v>46049.267638888887</v>
      </c>
    </row>
    <row r="352" spans="1:6" x14ac:dyDescent="0.25">
      <c r="A352">
        <v>351</v>
      </c>
      <c r="B352" t="s">
        <v>5</v>
      </c>
      <c r="C352" t="s">
        <v>8</v>
      </c>
      <c r="D352">
        <v>46048.961805555555</v>
      </c>
      <c r="E352" t="s">
        <v>7</v>
      </c>
      <c r="F352">
        <v>46049.041666666664</v>
      </c>
    </row>
    <row r="353" spans="1:6" x14ac:dyDescent="0.25">
      <c r="A353">
        <v>352</v>
      </c>
      <c r="B353" t="s">
        <v>5</v>
      </c>
      <c r="C353" t="s">
        <v>6</v>
      </c>
      <c r="D353">
        <v>46048.974999999999</v>
      </c>
      <c r="E353" t="s">
        <v>7</v>
      </c>
      <c r="F353">
        <v>46049.702465277776</v>
      </c>
    </row>
    <row r="354" spans="1:6" x14ac:dyDescent="0.25">
      <c r="A354">
        <v>353</v>
      </c>
      <c r="B354" t="s">
        <v>5</v>
      </c>
      <c r="C354" t="s">
        <v>7</v>
      </c>
      <c r="D354">
        <v>46049.34375</v>
      </c>
      <c r="E354" t="s">
        <v>7</v>
      </c>
      <c r="F354">
        <v>46049.486111111109</v>
      </c>
    </row>
    <row r="355" spans="1:6" x14ac:dyDescent="0.25">
      <c r="A355">
        <v>354</v>
      </c>
      <c r="B355" t="s">
        <v>5</v>
      </c>
      <c r="C355" t="s">
        <v>7</v>
      </c>
      <c r="D355">
        <v>46049.354166666664</v>
      </c>
      <c r="E355" t="s">
        <v>7</v>
      </c>
      <c r="F355">
        <v>46049.43472222222</v>
      </c>
    </row>
    <row r="356" spans="1:6" x14ac:dyDescent="0.25">
      <c r="A356">
        <v>355</v>
      </c>
      <c r="B356" t="s">
        <v>5</v>
      </c>
      <c r="C356" t="s">
        <v>7</v>
      </c>
      <c r="D356">
        <v>46049.416666666664</v>
      </c>
      <c r="E356" t="s">
        <v>7</v>
      </c>
      <c r="F356">
        <v>46049.541666666664</v>
      </c>
    </row>
    <row r="357" spans="1:6" x14ac:dyDescent="0.25">
      <c r="A357">
        <v>356</v>
      </c>
      <c r="B357" t="s">
        <v>5</v>
      </c>
      <c r="C357" t="s">
        <v>7</v>
      </c>
      <c r="D357">
        <v>46049.489583333336</v>
      </c>
      <c r="E357" t="s">
        <v>7</v>
      </c>
      <c r="F357">
        <v>46049.534722222219</v>
      </c>
    </row>
    <row r="358" spans="1:6" x14ac:dyDescent="0.25">
      <c r="A358">
        <v>357</v>
      </c>
      <c r="B358" t="s">
        <v>5</v>
      </c>
      <c r="C358" t="s">
        <v>6</v>
      </c>
      <c r="D358">
        <v>46049.506944444445</v>
      </c>
      <c r="E358" t="s">
        <v>10</v>
      </c>
      <c r="F358">
        <v>46090.710046296299</v>
      </c>
    </row>
    <row r="359" spans="1:6" x14ac:dyDescent="0.25">
      <c r="A359">
        <v>358</v>
      </c>
      <c r="B359" t="s">
        <v>5</v>
      </c>
      <c r="C359" t="s">
        <v>10</v>
      </c>
      <c r="D359">
        <v>46049.511805555558</v>
      </c>
      <c r="E359" t="s">
        <v>7</v>
      </c>
      <c r="F359">
        <v>46050.482141203705</v>
      </c>
    </row>
    <row r="360" spans="1:6" x14ac:dyDescent="0.25">
      <c r="A360">
        <v>359</v>
      </c>
      <c r="B360" t="s">
        <v>5</v>
      </c>
      <c r="C360" t="s">
        <v>6</v>
      </c>
      <c r="D360">
        <v>46049.551168981481</v>
      </c>
      <c r="E360" t="s">
        <v>9</v>
      </c>
      <c r="F360">
        <v>46049.745648148149</v>
      </c>
    </row>
    <row r="361" spans="1:6" x14ac:dyDescent="0.25">
      <c r="A361">
        <v>360</v>
      </c>
      <c r="B361" t="s">
        <v>5</v>
      </c>
      <c r="C361" t="s">
        <v>6</v>
      </c>
      <c r="D361">
        <v>46049.590983796297</v>
      </c>
      <c r="E361" t="s">
        <v>7</v>
      </c>
      <c r="F361">
        <v>46049.779189814813</v>
      </c>
    </row>
    <row r="362" spans="1:6" x14ac:dyDescent="0.25">
      <c r="A362">
        <v>361</v>
      </c>
      <c r="B362" t="s">
        <v>5</v>
      </c>
      <c r="C362" t="s">
        <v>6</v>
      </c>
      <c r="D362">
        <v>46049.647951388892</v>
      </c>
      <c r="E362" t="s">
        <v>7</v>
      </c>
      <c r="F362">
        <v>46049.938738425924</v>
      </c>
    </row>
    <row r="363" spans="1:6" x14ac:dyDescent="0.25">
      <c r="A363">
        <v>362</v>
      </c>
      <c r="B363" t="s">
        <v>5</v>
      </c>
      <c r="C363" t="s">
        <v>6</v>
      </c>
      <c r="D363">
        <v>46049.711527777778</v>
      </c>
      <c r="E363" t="s">
        <v>7</v>
      </c>
      <c r="F363">
        <v>46051.524756944447</v>
      </c>
    </row>
    <row r="364" spans="1:6" x14ac:dyDescent="0.25">
      <c r="A364">
        <v>363</v>
      </c>
      <c r="B364" t="s">
        <v>5</v>
      </c>
      <c r="C364" t="s">
        <v>6</v>
      </c>
      <c r="D364">
        <v>46049.728831018518</v>
      </c>
      <c r="E364" t="s">
        <v>7</v>
      </c>
      <c r="F364">
        <v>46049.939328703702</v>
      </c>
    </row>
    <row r="365" spans="1:6" x14ac:dyDescent="0.25">
      <c r="A365">
        <v>364</v>
      </c>
      <c r="B365" t="s">
        <v>5</v>
      </c>
      <c r="C365" t="s">
        <v>6</v>
      </c>
      <c r="D365">
        <v>46049.837511574071</v>
      </c>
      <c r="E365" t="s">
        <v>7</v>
      </c>
      <c r="F365">
        <v>46050.715104166666</v>
      </c>
    </row>
    <row r="366" spans="1:6" x14ac:dyDescent="0.25">
      <c r="A366">
        <v>365</v>
      </c>
      <c r="B366" t="s">
        <v>5</v>
      </c>
      <c r="C366" t="s">
        <v>6</v>
      </c>
      <c r="D366">
        <v>46049.837511574071</v>
      </c>
      <c r="E366" t="s">
        <v>7</v>
      </c>
      <c r="F366">
        <v>46050.715104166666</v>
      </c>
    </row>
    <row r="367" spans="1:6" x14ac:dyDescent="0.25">
      <c r="A367">
        <v>366</v>
      </c>
      <c r="B367" t="s">
        <v>5</v>
      </c>
      <c r="C367" t="s">
        <v>6</v>
      </c>
      <c r="D367">
        <v>46049.890694444446</v>
      </c>
      <c r="E367" t="s">
        <v>8</v>
      </c>
      <c r="F367">
        <v>46050.580509259256</v>
      </c>
    </row>
    <row r="368" spans="1:6" x14ac:dyDescent="0.25">
      <c r="A368">
        <v>367</v>
      </c>
      <c r="B368" t="s">
        <v>5</v>
      </c>
      <c r="C368" t="s">
        <v>6</v>
      </c>
      <c r="D368">
        <v>46049.947650462964</v>
      </c>
      <c r="E368" t="s">
        <v>8</v>
      </c>
      <c r="F368">
        <v>46050.905324074076</v>
      </c>
    </row>
    <row r="369" spans="1:6" x14ac:dyDescent="0.25">
      <c r="A369">
        <v>368</v>
      </c>
      <c r="B369" t="s">
        <v>5</v>
      </c>
      <c r="C369" t="s">
        <v>6</v>
      </c>
      <c r="D369">
        <v>46050.037951388891</v>
      </c>
      <c r="E369" t="s">
        <v>7</v>
      </c>
      <c r="F369">
        <v>46050.719513888886</v>
      </c>
    </row>
    <row r="370" spans="1:6" x14ac:dyDescent="0.25">
      <c r="A370">
        <v>369</v>
      </c>
      <c r="B370" t="s">
        <v>5</v>
      </c>
      <c r="C370" t="s">
        <v>6</v>
      </c>
      <c r="D370">
        <v>46050.0625</v>
      </c>
      <c r="E370" t="s">
        <v>8</v>
      </c>
      <c r="F370">
        <v>46050.09375</v>
      </c>
    </row>
    <row r="371" spans="1:6" x14ac:dyDescent="0.25">
      <c r="A371">
        <v>370</v>
      </c>
      <c r="B371" t="s">
        <v>5</v>
      </c>
      <c r="C371" t="s">
        <v>6</v>
      </c>
      <c r="D371">
        <v>46050.138495370367</v>
      </c>
      <c r="E371" t="s">
        <v>8</v>
      </c>
      <c r="F371">
        <v>46050.69740740741</v>
      </c>
    </row>
    <row r="372" spans="1:6" x14ac:dyDescent="0.25">
      <c r="A372">
        <v>371</v>
      </c>
      <c r="B372" t="s">
        <v>5</v>
      </c>
      <c r="C372" t="s">
        <v>6</v>
      </c>
      <c r="D372">
        <v>46050.214618055557</v>
      </c>
      <c r="E372" t="s">
        <v>8</v>
      </c>
      <c r="F372">
        <v>46050.624722222223</v>
      </c>
    </row>
    <row r="373" spans="1:6" x14ac:dyDescent="0.25">
      <c r="A373">
        <v>372</v>
      </c>
      <c r="B373" t="s">
        <v>5</v>
      </c>
      <c r="C373" t="s">
        <v>6</v>
      </c>
      <c r="D373">
        <v>46050.437175925923</v>
      </c>
      <c r="E373" t="s">
        <v>7</v>
      </c>
      <c r="F373">
        <v>46051.616203703707</v>
      </c>
    </row>
    <row r="374" spans="1:6" x14ac:dyDescent="0.25">
      <c r="A374">
        <v>373</v>
      </c>
      <c r="B374" t="s">
        <v>5</v>
      </c>
      <c r="C374" t="s">
        <v>6</v>
      </c>
      <c r="D374">
        <v>46050.611203703702</v>
      </c>
      <c r="E374" t="s">
        <v>7</v>
      </c>
      <c r="F374">
        <v>46051.567858796298</v>
      </c>
    </row>
    <row r="375" spans="1:6" x14ac:dyDescent="0.25">
      <c r="A375">
        <v>374</v>
      </c>
      <c r="B375" t="s">
        <v>5</v>
      </c>
      <c r="C375" t="s">
        <v>8</v>
      </c>
      <c r="D375">
        <v>46050.701388888891</v>
      </c>
      <c r="E375" t="s">
        <v>7</v>
      </c>
      <c r="F375">
        <v>46050.916666666664</v>
      </c>
    </row>
    <row r="376" spans="1:6" x14ac:dyDescent="0.25">
      <c r="A376">
        <v>375</v>
      </c>
      <c r="B376" t="s">
        <v>5</v>
      </c>
      <c r="C376" t="s">
        <v>7</v>
      </c>
      <c r="D376">
        <v>46050.708333333336</v>
      </c>
      <c r="E376" t="s">
        <v>7</v>
      </c>
      <c r="F376">
        <v>46050.784722222219</v>
      </c>
    </row>
    <row r="377" spans="1:6" x14ac:dyDescent="0.25">
      <c r="A377">
        <v>376</v>
      </c>
      <c r="B377" t="s">
        <v>5</v>
      </c>
      <c r="C377" t="s">
        <v>7</v>
      </c>
      <c r="D377">
        <v>46050.75</v>
      </c>
      <c r="E377" t="s">
        <v>7</v>
      </c>
      <c r="F377">
        <v>46050.78125</v>
      </c>
    </row>
    <row r="378" spans="1:6" x14ac:dyDescent="0.25">
      <c r="A378">
        <v>377</v>
      </c>
      <c r="B378" t="s">
        <v>5</v>
      </c>
      <c r="C378" t="s">
        <v>6</v>
      </c>
      <c r="D378">
        <v>46050.853310185186</v>
      </c>
      <c r="E378" t="s">
        <v>9</v>
      </c>
      <c r="F378">
        <v>46051.5937037037</v>
      </c>
    </row>
    <row r="379" spans="1:6" x14ac:dyDescent="0.25">
      <c r="A379">
        <v>378</v>
      </c>
      <c r="B379" t="s">
        <v>5</v>
      </c>
      <c r="C379" t="s">
        <v>6</v>
      </c>
      <c r="D379">
        <v>46050.872499999998</v>
      </c>
      <c r="E379" t="s">
        <v>7</v>
      </c>
      <c r="F379">
        <v>46051.550682870373</v>
      </c>
    </row>
    <row r="380" spans="1:6" x14ac:dyDescent="0.25">
      <c r="A380">
        <v>379</v>
      </c>
      <c r="B380" t="s">
        <v>5</v>
      </c>
      <c r="C380" t="s">
        <v>6</v>
      </c>
      <c r="D380">
        <v>46050.924212962964</v>
      </c>
      <c r="E380" t="s">
        <v>7</v>
      </c>
      <c r="F380">
        <v>46051.647060185183</v>
      </c>
    </row>
    <row r="381" spans="1:6" x14ac:dyDescent="0.25">
      <c r="A381">
        <v>380</v>
      </c>
      <c r="B381" t="s">
        <v>5</v>
      </c>
      <c r="C381" t="s">
        <v>6</v>
      </c>
      <c r="D381">
        <v>46050.973877314813</v>
      </c>
      <c r="E381" t="s">
        <v>7</v>
      </c>
      <c r="F381">
        <v>46051.216956018521</v>
      </c>
    </row>
    <row r="382" spans="1:6" x14ac:dyDescent="0.25">
      <c r="A382">
        <v>381</v>
      </c>
      <c r="B382" t="s">
        <v>5</v>
      </c>
      <c r="C382" t="s">
        <v>6</v>
      </c>
      <c r="D382">
        <v>46051.029976851853</v>
      </c>
      <c r="E382" t="s">
        <v>7</v>
      </c>
      <c r="F382">
        <v>46051.637800925928</v>
      </c>
    </row>
    <row r="383" spans="1:6" x14ac:dyDescent="0.25">
      <c r="A383">
        <v>382</v>
      </c>
      <c r="B383" t="s">
        <v>5</v>
      </c>
      <c r="C383" t="s">
        <v>6</v>
      </c>
      <c r="D383">
        <v>46051.029976851853</v>
      </c>
      <c r="E383" t="s">
        <v>7</v>
      </c>
      <c r="F383">
        <v>46051.637800925928</v>
      </c>
    </row>
    <row r="384" spans="1:6" x14ac:dyDescent="0.25">
      <c r="A384">
        <v>383</v>
      </c>
      <c r="B384" t="s">
        <v>5</v>
      </c>
      <c r="C384" t="s">
        <v>7</v>
      </c>
      <c r="D384">
        <v>46051.25</v>
      </c>
      <c r="E384" t="s">
        <v>7</v>
      </c>
      <c r="F384">
        <v>46051.28125</v>
      </c>
    </row>
    <row r="385" spans="1:6" x14ac:dyDescent="0.25">
      <c r="A385">
        <v>384</v>
      </c>
      <c r="B385" t="s">
        <v>5</v>
      </c>
      <c r="C385" t="s">
        <v>6</v>
      </c>
      <c r="D385">
        <v>46051.285300925927</v>
      </c>
      <c r="E385" t="s">
        <v>7</v>
      </c>
      <c r="F385">
        <v>46052.51966435185</v>
      </c>
    </row>
    <row r="386" spans="1:6" x14ac:dyDescent="0.25">
      <c r="A386">
        <v>385</v>
      </c>
      <c r="B386" t="s">
        <v>5</v>
      </c>
      <c r="C386" t="s">
        <v>7</v>
      </c>
      <c r="D386">
        <v>46051.350694444445</v>
      </c>
      <c r="E386" t="s">
        <v>7</v>
      </c>
      <c r="F386">
        <v>46051.402777777781</v>
      </c>
    </row>
    <row r="387" spans="1:6" x14ac:dyDescent="0.25">
      <c r="A387">
        <v>386</v>
      </c>
      <c r="B387" t="s">
        <v>5</v>
      </c>
      <c r="C387" t="s">
        <v>7</v>
      </c>
      <c r="D387">
        <v>46051.368055555555</v>
      </c>
      <c r="E387" t="s">
        <v>7</v>
      </c>
      <c r="F387">
        <v>46051.486111111109</v>
      </c>
    </row>
    <row r="388" spans="1:6" x14ac:dyDescent="0.25">
      <c r="A388">
        <v>387</v>
      </c>
      <c r="B388" t="s">
        <v>5</v>
      </c>
      <c r="C388" t="s">
        <v>7</v>
      </c>
      <c r="D388">
        <v>46051.388888888891</v>
      </c>
      <c r="E388" t="s">
        <v>7</v>
      </c>
      <c r="F388">
        <v>46051.416666666664</v>
      </c>
    </row>
    <row r="389" spans="1:6" x14ac:dyDescent="0.25">
      <c r="A389">
        <v>388</v>
      </c>
      <c r="B389" t="s">
        <v>5</v>
      </c>
      <c r="C389" t="s">
        <v>7</v>
      </c>
      <c r="D389">
        <v>46051.388888888891</v>
      </c>
      <c r="E389" t="s">
        <v>7</v>
      </c>
      <c r="F389">
        <v>46051.520833333336</v>
      </c>
    </row>
    <row r="390" spans="1:6" x14ac:dyDescent="0.25">
      <c r="A390">
        <v>389</v>
      </c>
      <c r="B390" t="s">
        <v>5</v>
      </c>
      <c r="C390" t="s">
        <v>7</v>
      </c>
      <c r="D390">
        <v>46051.416666666664</v>
      </c>
      <c r="E390" t="s">
        <v>7</v>
      </c>
      <c r="F390">
        <v>46051.489583333336</v>
      </c>
    </row>
    <row r="391" spans="1:6" x14ac:dyDescent="0.25">
      <c r="A391">
        <v>390</v>
      </c>
      <c r="B391" t="s">
        <v>5</v>
      </c>
      <c r="C391" t="s">
        <v>7</v>
      </c>
      <c r="D391">
        <v>46051.517361111109</v>
      </c>
      <c r="E391" t="s">
        <v>7</v>
      </c>
      <c r="F391">
        <v>46051.631944444445</v>
      </c>
    </row>
    <row r="392" spans="1:6" x14ac:dyDescent="0.25">
      <c r="A392">
        <v>391</v>
      </c>
      <c r="B392" t="s">
        <v>5</v>
      </c>
      <c r="C392" t="s">
        <v>7</v>
      </c>
      <c r="D392">
        <v>46051.5625</v>
      </c>
      <c r="E392" t="s">
        <v>7</v>
      </c>
      <c r="F392">
        <v>46051.604166666664</v>
      </c>
    </row>
    <row r="393" spans="1:6" x14ac:dyDescent="0.25">
      <c r="A393">
        <v>392</v>
      </c>
      <c r="B393" t="s">
        <v>5</v>
      </c>
      <c r="C393" t="s">
        <v>7</v>
      </c>
      <c r="D393">
        <v>46051.597222222219</v>
      </c>
      <c r="E393" t="s">
        <v>10</v>
      </c>
      <c r="F393">
        <v>46051.722222222219</v>
      </c>
    </row>
    <row r="394" spans="1:6" x14ac:dyDescent="0.25">
      <c r="A394">
        <v>393</v>
      </c>
      <c r="B394" t="s">
        <v>5</v>
      </c>
      <c r="C394" t="s">
        <v>7</v>
      </c>
      <c r="D394">
        <v>46051.631944444445</v>
      </c>
      <c r="E394" t="s">
        <v>7</v>
      </c>
      <c r="F394">
        <v>46090.442442129628</v>
      </c>
    </row>
    <row r="395" spans="1:6" x14ac:dyDescent="0.25">
      <c r="A395">
        <v>394</v>
      </c>
      <c r="B395" t="s">
        <v>5</v>
      </c>
      <c r="C395" t="s">
        <v>6</v>
      </c>
      <c r="D395">
        <v>46051.653124999997</v>
      </c>
      <c r="E395" t="s">
        <v>7</v>
      </c>
      <c r="F395">
        <v>46051.839317129627</v>
      </c>
    </row>
    <row r="396" spans="1:6" x14ac:dyDescent="0.25">
      <c r="A396">
        <v>395</v>
      </c>
      <c r="B396" t="s">
        <v>5</v>
      </c>
      <c r="C396" t="s">
        <v>6</v>
      </c>
      <c r="D396">
        <v>46051.677812499998</v>
      </c>
      <c r="E396" t="s">
        <v>8</v>
      </c>
      <c r="F396">
        <v>46051.858240740738</v>
      </c>
    </row>
    <row r="397" spans="1:6" x14ac:dyDescent="0.25">
      <c r="A397">
        <v>396</v>
      </c>
      <c r="B397" t="s">
        <v>5</v>
      </c>
      <c r="C397" t="s">
        <v>7</v>
      </c>
      <c r="D397">
        <v>46051.680555555555</v>
      </c>
      <c r="E397" t="s">
        <v>7</v>
      </c>
      <c r="F397">
        <v>46051.729166666664</v>
      </c>
    </row>
    <row r="398" spans="1:6" x14ac:dyDescent="0.25">
      <c r="A398">
        <v>397</v>
      </c>
      <c r="B398" t="s">
        <v>5</v>
      </c>
      <c r="C398" t="s">
        <v>7</v>
      </c>
      <c r="D398">
        <v>46051.791666666664</v>
      </c>
      <c r="E398" t="s">
        <v>7</v>
      </c>
      <c r="F398">
        <v>46051.8125</v>
      </c>
    </row>
    <row r="399" spans="1:6" x14ac:dyDescent="0.25">
      <c r="A399">
        <v>398</v>
      </c>
      <c r="B399" t="s">
        <v>5</v>
      </c>
      <c r="C399" t="s">
        <v>6</v>
      </c>
      <c r="D399">
        <v>46051.976226851853</v>
      </c>
      <c r="E399" t="s">
        <v>8</v>
      </c>
      <c r="F399">
        <v>46052.135752314818</v>
      </c>
    </row>
    <row r="400" spans="1:6" x14ac:dyDescent="0.25">
      <c r="A400">
        <v>399</v>
      </c>
      <c r="B400" t="s">
        <v>5</v>
      </c>
      <c r="C400" t="s">
        <v>6</v>
      </c>
      <c r="D400">
        <v>46052.01771990741</v>
      </c>
      <c r="E400" t="s">
        <v>7</v>
      </c>
      <c r="F400">
        <v>46052.737430555557</v>
      </c>
    </row>
    <row r="401" spans="1:6" x14ac:dyDescent="0.25">
      <c r="A401">
        <v>400</v>
      </c>
      <c r="B401" t="s">
        <v>5</v>
      </c>
      <c r="C401" t="s">
        <v>6</v>
      </c>
      <c r="D401">
        <v>46052.129571759258</v>
      </c>
      <c r="E401" t="s">
        <v>7</v>
      </c>
      <c r="F401">
        <v>46052.348090277781</v>
      </c>
    </row>
    <row r="402" spans="1:6" x14ac:dyDescent="0.25">
      <c r="A402">
        <v>401</v>
      </c>
      <c r="B402" t="s">
        <v>5</v>
      </c>
      <c r="C402" t="s">
        <v>6</v>
      </c>
      <c r="D402">
        <v>46052.180555555555</v>
      </c>
      <c r="E402" t="s">
        <v>7</v>
      </c>
      <c r="F402">
        <v>46052.522615740738</v>
      </c>
    </row>
    <row r="403" spans="1:6" x14ac:dyDescent="0.25">
      <c r="A403">
        <v>402</v>
      </c>
      <c r="B403" t="s">
        <v>5</v>
      </c>
      <c r="C403" t="s">
        <v>10</v>
      </c>
      <c r="D403">
        <v>46052.319444444445</v>
      </c>
      <c r="E403" t="s">
        <v>10</v>
      </c>
      <c r="F403">
        <v>46052.354166666664</v>
      </c>
    </row>
    <row r="404" spans="1:6" x14ac:dyDescent="0.25">
      <c r="A404">
        <v>403</v>
      </c>
      <c r="B404" t="s">
        <v>5</v>
      </c>
      <c r="C404" t="s">
        <v>6</v>
      </c>
      <c r="D404">
        <v>46052.337962962964</v>
      </c>
      <c r="E404" t="s">
        <v>7</v>
      </c>
      <c r="F404">
        <v>46052.761863425927</v>
      </c>
    </row>
    <row r="405" spans="1:6" x14ac:dyDescent="0.25">
      <c r="A405">
        <v>404</v>
      </c>
      <c r="B405" t="s">
        <v>5</v>
      </c>
      <c r="C405" t="s">
        <v>7</v>
      </c>
      <c r="D405">
        <v>46052.350694444445</v>
      </c>
      <c r="E405" t="s">
        <v>7</v>
      </c>
      <c r="F405">
        <v>46052.409722222219</v>
      </c>
    </row>
    <row r="406" spans="1:6" x14ac:dyDescent="0.25">
      <c r="A406">
        <v>405</v>
      </c>
      <c r="B406" t="s">
        <v>5</v>
      </c>
      <c r="C406" t="s">
        <v>8</v>
      </c>
      <c r="D406">
        <v>46052.368055555555</v>
      </c>
      <c r="E406" t="s">
        <v>10</v>
      </c>
      <c r="F406">
        <v>46052.510416666664</v>
      </c>
    </row>
    <row r="407" spans="1:6" x14ac:dyDescent="0.25">
      <c r="A407">
        <v>406</v>
      </c>
      <c r="B407" t="s">
        <v>5</v>
      </c>
      <c r="C407" t="s">
        <v>7</v>
      </c>
      <c r="D407">
        <v>46052.385416666664</v>
      </c>
      <c r="E407" t="s">
        <v>7</v>
      </c>
      <c r="F407">
        <v>46052.520833333336</v>
      </c>
    </row>
    <row r="408" spans="1:6" x14ac:dyDescent="0.25">
      <c r="A408">
        <v>407</v>
      </c>
      <c r="B408" t="s">
        <v>5</v>
      </c>
      <c r="C408" t="s">
        <v>6</v>
      </c>
      <c r="D408">
        <v>46052.414143518516</v>
      </c>
      <c r="E408" t="s">
        <v>8</v>
      </c>
      <c r="F408">
        <v>46052.685879629629</v>
      </c>
    </row>
    <row r="409" spans="1:6" x14ac:dyDescent="0.25">
      <c r="A409">
        <v>408</v>
      </c>
      <c r="B409" t="s">
        <v>5</v>
      </c>
      <c r="C409" t="s">
        <v>8</v>
      </c>
      <c r="D409">
        <v>46052.479166666664</v>
      </c>
      <c r="E409" t="s">
        <v>10</v>
      </c>
      <c r="F409">
        <v>46052.5625</v>
      </c>
    </row>
    <row r="410" spans="1:6" x14ac:dyDescent="0.25">
      <c r="A410">
        <v>409</v>
      </c>
      <c r="B410" t="s">
        <v>5</v>
      </c>
      <c r="C410" t="s">
        <v>6</v>
      </c>
      <c r="D410">
        <v>46052.592129629629</v>
      </c>
      <c r="E410" t="s">
        <v>9</v>
      </c>
      <c r="F410">
        <v>46052.792638888888</v>
      </c>
    </row>
    <row r="411" spans="1:6" x14ac:dyDescent="0.25">
      <c r="A411">
        <v>410</v>
      </c>
      <c r="B411" t="s">
        <v>5</v>
      </c>
      <c r="C411" t="s">
        <v>6</v>
      </c>
      <c r="D411">
        <v>46052.607858796298</v>
      </c>
      <c r="E411" t="s">
        <v>7</v>
      </c>
      <c r="F411">
        <v>46053.688877314817</v>
      </c>
    </row>
    <row r="412" spans="1:6" x14ac:dyDescent="0.25">
      <c r="A412">
        <v>411</v>
      </c>
      <c r="B412" t="s">
        <v>5</v>
      </c>
      <c r="C412" t="s">
        <v>7</v>
      </c>
      <c r="D412">
        <v>46052.631284722222</v>
      </c>
      <c r="E412" t="s">
        <v>7</v>
      </c>
      <c r="F412">
        <v>46054.611261574071</v>
      </c>
    </row>
    <row r="413" spans="1:6" x14ac:dyDescent="0.25">
      <c r="A413">
        <v>412</v>
      </c>
      <c r="B413" t="s">
        <v>5</v>
      </c>
      <c r="C413" t="s">
        <v>7</v>
      </c>
      <c r="D413">
        <v>46052.644884259258</v>
      </c>
      <c r="E413" t="s">
        <v>8</v>
      </c>
      <c r="F413">
        <v>46052.748726851853</v>
      </c>
    </row>
    <row r="414" spans="1:6" x14ac:dyDescent="0.25">
      <c r="A414">
        <v>413</v>
      </c>
      <c r="B414" t="s">
        <v>5</v>
      </c>
      <c r="C414" t="s">
        <v>6</v>
      </c>
      <c r="D414">
        <v>46052.727256944447</v>
      </c>
      <c r="E414" t="s">
        <v>7</v>
      </c>
      <c r="F414">
        <v>46052.887106481481</v>
      </c>
    </row>
    <row r="415" spans="1:6" x14ac:dyDescent="0.25">
      <c r="A415">
        <v>414</v>
      </c>
      <c r="B415" t="s">
        <v>5</v>
      </c>
      <c r="C415" t="s">
        <v>6</v>
      </c>
      <c r="D415">
        <v>46052.859270833331</v>
      </c>
      <c r="E415" t="s">
        <v>7</v>
      </c>
      <c r="F415">
        <v>46053.015787037039</v>
      </c>
    </row>
    <row r="416" spans="1:6" x14ac:dyDescent="0.25">
      <c r="A416">
        <v>415</v>
      </c>
      <c r="B416" t="s">
        <v>5</v>
      </c>
      <c r="C416" t="s">
        <v>6</v>
      </c>
      <c r="D416">
        <v>46052.9690162037</v>
      </c>
      <c r="E416" t="s">
        <v>8</v>
      </c>
      <c r="F416">
        <v>46053.037210648145</v>
      </c>
    </row>
    <row r="417" spans="1:6" x14ac:dyDescent="0.25">
      <c r="A417">
        <v>416</v>
      </c>
      <c r="B417" t="s">
        <v>5</v>
      </c>
      <c r="C417" t="s">
        <v>7</v>
      </c>
      <c r="D417">
        <v>46053.378472222219</v>
      </c>
      <c r="E417" t="s">
        <v>7</v>
      </c>
      <c r="F417">
        <v>46053.402777777781</v>
      </c>
    </row>
    <row r="418" spans="1:6" x14ac:dyDescent="0.25">
      <c r="A418">
        <v>417</v>
      </c>
      <c r="B418" t="s">
        <v>5</v>
      </c>
      <c r="C418" t="s">
        <v>10</v>
      </c>
      <c r="D418">
        <v>46053.402777777781</v>
      </c>
      <c r="E418" t="s">
        <v>10</v>
      </c>
      <c r="F418">
        <v>46053.430555555555</v>
      </c>
    </row>
    <row r="419" spans="1:6" x14ac:dyDescent="0.25">
      <c r="A419">
        <v>418</v>
      </c>
      <c r="B419" t="s">
        <v>5</v>
      </c>
      <c r="C419" t="s">
        <v>7</v>
      </c>
      <c r="D419">
        <v>46053.434027777781</v>
      </c>
      <c r="E419" t="s">
        <v>7</v>
      </c>
      <c r="F419">
        <v>46053.527777777781</v>
      </c>
    </row>
    <row r="420" spans="1:6" x14ac:dyDescent="0.25">
      <c r="A420">
        <v>419</v>
      </c>
      <c r="B420" t="s">
        <v>5</v>
      </c>
      <c r="C420" t="s">
        <v>6</v>
      </c>
      <c r="D420">
        <v>46053.436365740738</v>
      </c>
      <c r="E420" t="s">
        <v>7</v>
      </c>
      <c r="F420">
        <v>46054.713437500002</v>
      </c>
    </row>
    <row r="421" spans="1:6" x14ac:dyDescent="0.25">
      <c r="A421">
        <v>420</v>
      </c>
      <c r="B421" t="s">
        <v>5</v>
      </c>
      <c r="C421" t="s">
        <v>6</v>
      </c>
      <c r="D421">
        <v>46053.498668981483</v>
      </c>
      <c r="E421" t="s">
        <v>7</v>
      </c>
      <c r="F421">
        <v>46054.668726851851</v>
      </c>
    </row>
    <row r="422" spans="1:6" x14ac:dyDescent="0.25">
      <c r="A422">
        <v>421</v>
      </c>
      <c r="B422" t="s">
        <v>5</v>
      </c>
      <c r="C422" t="s">
        <v>8</v>
      </c>
      <c r="D422">
        <v>46053.597222222219</v>
      </c>
      <c r="E422" t="s">
        <v>10</v>
      </c>
      <c r="F422">
        <v>46053.833333333336</v>
      </c>
    </row>
    <row r="423" spans="1:6" x14ac:dyDescent="0.25">
      <c r="A423">
        <v>422</v>
      </c>
      <c r="B423" t="s">
        <v>5</v>
      </c>
      <c r="C423" t="s">
        <v>6</v>
      </c>
      <c r="D423">
        <v>46053.770833333336</v>
      </c>
      <c r="E423" t="s">
        <v>8</v>
      </c>
      <c r="F423">
        <v>46053.860254629632</v>
      </c>
    </row>
    <row r="424" spans="1:6" x14ac:dyDescent="0.25">
      <c r="A424">
        <v>423</v>
      </c>
      <c r="B424" t="s">
        <v>5</v>
      </c>
      <c r="C424" t="s">
        <v>6</v>
      </c>
      <c r="D424">
        <v>46053.975868055553</v>
      </c>
      <c r="E424" t="s">
        <v>7</v>
      </c>
      <c r="F424">
        <v>46054.37945601852</v>
      </c>
    </row>
    <row r="425" spans="1:6" x14ac:dyDescent="0.25">
      <c r="A425">
        <v>424</v>
      </c>
      <c r="B425" t="s">
        <v>5</v>
      </c>
      <c r="C425" t="s">
        <v>6</v>
      </c>
      <c r="D425">
        <v>46053.995729166665</v>
      </c>
      <c r="E425" t="s">
        <v>7</v>
      </c>
      <c r="F425">
        <v>46055.223043981481</v>
      </c>
    </row>
    <row r="426" spans="1:6" x14ac:dyDescent="0.25">
      <c r="A426">
        <v>425</v>
      </c>
      <c r="B426" t="s">
        <v>5</v>
      </c>
      <c r="C426" t="s">
        <v>6</v>
      </c>
      <c r="D426">
        <v>46054.246979166666</v>
      </c>
      <c r="E426" t="s">
        <v>7</v>
      </c>
      <c r="F426">
        <v>46054.973530092589</v>
      </c>
    </row>
    <row r="427" spans="1:6" x14ac:dyDescent="0.25">
      <c r="A427">
        <v>426</v>
      </c>
      <c r="B427" t="s">
        <v>5</v>
      </c>
      <c r="C427" t="s">
        <v>6</v>
      </c>
      <c r="D427">
        <v>46054.357233796298</v>
      </c>
      <c r="E427" t="s">
        <v>7</v>
      </c>
      <c r="F427">
        <v>46055.631064814814</v>
      </c>
    </row>
    <row r="428" spans="1:6" x14ac:dyDescent="0.25">
      <c r="A428">
        <v>427</v>
      </c>
      <c r="B428" t="s">
        <v>5</v>
      </c>
      <c r="C428" t="s">
        <v>7</v>
      </c>
      <c r="D428">
        <v>46054.451388888891</v>
      </c>
      <c r="E428" t="s">
        <v>7</v>
      </c>
      <c r="F428">
        <v>46054.475694444445</v>
      </c>
    </row>
    <row r="429" spans="1:6" x14ac:dyDescent="0.25">
      <c r="A429">
        <v>428</v>
      </c>
      <c r="B429" t="s">
        <v>5</v>
      </c>
      <c r="C429" t="s">
        <v>7</v>
      </c>
      <c r="D429">
        <v>46054.506944444445</v>
      </c>
      <c r="E429" t="s">
        <v>8</v>
      </c>
      <c r="F429">
        <v>46054.704780092594</v>
      </c>
    </row>
    <row r="430" spans="1:6" x14ac:dyDescent="0.25">
      <c r="A430">
        <v>429</v>
      </c>
      <c r="B430" t="s">
        <v>5</v>
      </c>
      <c r="C430" t="s">
        <v>8</v>
      </c>
      <c r="D430">
        <v>46054.569444444445</v>
      </c>
      <c r="E430" t="s">
        <v>8</v>
      </c>
      <c r="F430">
        <v>46054.652777777781</v>
      </c>
    </row>
    <row r="431" spans="1:6" x14ac:dyDescent="0.25">
      <c r="A431">
        <v>430</v>
      </c>
      <c r="B431" t="s">
        <v>5</v>
      </c>
      <c r="C431" t="s">
        <v>6</v>
      </c>
      <c r="D431">
        <v>46054.657106481478</v>
      </c>
      <c r="E431" t="s">
        <v>7</v>
      </c>
      <c r="F431">
        <v>46055.030046296299</v>
      </c>
    </row>
    <row r="432" spans="1:6" x14ac:dyDescent="0.25">
      <c r="A432">
        <v>431</v>
      </c>
      <c r="B432" t="s">
        <v>5</v>
      </c>
      <c r="C432" t="s">
        <v>6</v>
      </c>
      <c r="D432">
        <v>46054.735243055555</v>
      </c>
      <c r="E432" t="s">
        <v>7</v>
      </c>
      <c r="F432">
        <v>46055.511990740742</v>
      </c>
    </row>
    <row r="433" spans="1:6" x14ac:dyDescent="0.25">
      <c r="A433">
        <v>432</v>
      </c>
      <c r="B433" t="s">
        <v>5</v>
      </c>
      <c r="C433" t="s">
        <v>6</v>
      </c>
      <c r="D433">
        <v>46054.888240740744</v>
      </c>
      <c r="E433" t="s">
        <v>8</v>
      </c>
      <c r="F433">
        <v>46055.049328703702</v>
      </c>
    </row>
    <row r="434" spans="1:6" x14ac:dyDescent="0.25">
      <c r="A434">
        <v>433</v>
      </c>
      <c r="B434" t="s">
        <v>5</v>
      </c>
      <c r="C434" t="s">
        <v>6</v>
      </c>
      <c r="D434">
        <v>46054.959027777775</v>
      </c>
      <c r="E434" t="s">
        <v>13</v>
      </c>
      <c r="F434">
        <v>46055.032986111109</v>
      </c>
    </row>
    <row r="435" spans="1:6" x14ac:dyDescent="0.25">
      <c r="A435">
        <v>434</v>
      </c>
      <c r="B435" t="s">
        <v>5</v>
      </c>
      <c r="C435" t="s">
        <v>6</v>
      </c>
      <c r="D435">
        <v>46055.030381944445</v>
      </c>
      <c r="E435" t="s">
        <v>7</v>
      </c>
      <c r="F435">
        <v>46055.729351851849</v>
      </c>
    </row>
    <row r="436" spans="1:6" x14ac:dyDescent="0.25">
      <c r="A436">
        <v>435</v>
      </c>
      <c r="B436" t="s">
        <v>5</v>
      </c>
      <c r="C436" t="s">
        <v>6</v>
      </c>
      <c r="D436">
        <v>46055.281817129631</v>
      </c>
      <c r="E436" t="s">
        <v>7</v>
      </c>
      <c r="F436">
        <v>46055.906064814815</v>
      </c>
    </row>
    <row r="437" spans="1:6" x14ac:dyDescent="0.25">
      <c r="A437">
        <v>436</v>
      </c>
      <c r="B437" t="s">
        <v>5</v>
      </c>
      <c r="C437" t="s">
        <v>6</v>
      </c>
      <c r="D437">
        <v>46055.333749999998</v>
      </c>
      <c r="E437" t="s">
        <v>7</v>
      </c>
      <c r="F437">
        <v>46055.763368055559</v>
      </c>
    </row>
    <row r="438" spans="1:6" x14ac:dyDescent="0.25">
      <c r="A438">
        <v>437</v>
      </c>
      <c r="B438" t="s">
        <v>5</v>
      </c>
      <c r="C438" t="s">
        <v>7</v>
      </c>
      <c r="D438">
        <v>46055.340277777781</v>
      </c>
      <c r="E438" t="s">
        <v>7</v>
      </c>
      <c r="F438">
        <v>46055.392361111109</v>
      </c>
    </row>
    <row r="439" spans="1:6" x14ac:dyDescent="0.25">
      <c r="A439">
        <v>438</v>
      </c>
      <c r="B439" t="s">
        <v>5</v>
      </c>
      <c r="C439" t="s">
        <v>7</v>
      </c>
      <c r="D439">
        <v>46055.357638888891</v>
      </c>
      <c r="E439" t="s">
        <v>7</v>
      </c>
      <c r="F439">
        <v>46055.430555555555</v>
      </c>
    </row>
    <row r="440" spans="1:6" x14ac:dyDescent="0.25">
      <c r="A440">
        <v>439</v>
      </c>
      <c r="B440" t="s">
        <v>5</v>
      </c>
      <c r="C440" t="s">
        <v>7</v>
      </c>
      <c r="D440">
        <v>46055.375</v>
      </c>
      <c r="E440" t="s">
        <v>7</v>
      </c>
      <c r="F440">
        <v>46055.527777777781</v>
      </c>
    </row>
    <row r="441" spans="1:6" x14ac:dyDescent="0.25">
      <c r="A441">
        <v>440</v>
      </c>
      <c r="B441" t="s">
        <v>5</v>
      </c>
      <c r="C441" t="s">
        <v>6</v>
      </c>
      <c r="D441">
        <v>46055.466539351852</v>
      </c>
      <c r="E441" t="s">
        <v>9</v>
      </c>
      <c r="F441">
        <v>46055.717569444445</v>
      </c>
    </row>
    <row r="442" spans="1:6" x14ac:dyDescent="0.25">
      <c r="A442">
        <v>441</v>
      </c>
      <c r="B442" t="s">
        <v>5</v>
      </c>
      <c r="C442" t="s">
        <v>7</v>
      </c>
      <c r="D442">
        <v>46055.479166666664</v>
      </c>
      <c r="E442" t="s">
        <v>7</v>
      </c>
      <c r="F442">
        <v>46055.521527777775</v>
      </c>
    </row>
    <row r="443" spans="1:6" x14ac:dyDescent="0.25">
      <c r="A443">
        <v>442</v>
      </c>
      <c r="B443" t="s">
        <v>5</v>
      </c>
      <c r="C443" t="s">
        <v>7</v>
      </c>
      <c r="D443">
        <v>46055.506944444445</v>
      </c>
      <c r="E443" t="s">
        <v>7</v>
      </c>
      <c r="F443">
        <v>46055.618750000001</v>
      </c>
    </row>
    <row r="444" spans="1:6" x14ac:dyDescent="0.25">
      <c r="A444">
        <v>443</v>
      </c>
      <c r="B444" t="s">
        <v>5</v>
      </c>
      <c r="C444" t="s">
        <v>6</v>
      </c>
      <c r="D444">
        <v>46055.508680555555</v>
      </c>
      <c r="E444" t="s">
        <v>8</v>
      </c>
      <c r="F444">
        <v>46055.764270833337</v>
      </c>
    </row>
    <row r="445" spans="1:6" x14ac:dyDescent="0.25">
      <c r="A445">
        <v>444</v>
      </c>
      <c r="B445" t="s">
        <v>5</v>
      </c>
      <c r="C445" t="s">
        <v>6</v>
      </c>
      <c r="D445">
        <v>46055.555694444447</v>
      </c>
      <c r="E445" t="s">
        <v>7</v>
      </c>
      <c r="F445">
        <v>46056.049062500002</v>
      </c>
    </row>
    <row r="446" spans="1:6" x14ac:dyDescent="0.25">
      <c r="A446">
        <v>445</v>
      </c>
      <c r="B446" t="s">
        <v>5</v>
      </c>
      <c r="C446" t="s">
        <v>10</v>
      </c>
      <c r="D446">
        <v>46055.631944444445</v>
      </c>
      <c r="E446" t="s">
        <v>10</v>
      </c>
      <c r="F446">
        <v>46055.680555555555</v>
      </c>
    </row>
    <row r="447" spans="1:6" x14ac:dyDescent="0.25">
      <c r="A447">
        <v>446</v>
      </c>
      <c r="B447" t="s">
        <v>5</v>
      </c>
      <c r="C447" t="s">
        <v>6</v>
      </c>
      <c r="D447">
        <v>46055.65625</v>
      </c>
      <c r="E447" t="s">
        <v>7</v>
      </c>
      <c r="F447">
        <v>46055.688888888886</v>
      </c>
    </row>
    <row r="448" spans="1:6" x14ac:dyDescent="0.25">
      <c r="A448">
        <v>447</v>
      </c>
      <c r="B448" t="s">
        <v>5</v>
      </c>
      <c r="C448" t="s">
        <v>6</v>
      </c>
      <c r="D448">
        <v>46055.674016203702</v>
      </c>
      <c r="E448" t="s">
        <v>7</v>
      </c>
      <c r="F448">
        <v>46055.871828703705</v>
      </c>
    </row>
    <row r="449" spans="1:6" x14ac:dyDescent="0.25">
      <c r="A449">
        <v>448</v>
      </c>
      <c r="B449" t="s">
        <v>5</v>
      </c>
      <c r="C449" t="s">
        <v>6</v>
      </c>
      <c r="D449">
        <v>46055.715925925928</v>
      </c>
      <c r="E449" t="s">
        <v>7</v>
      </c>
      <c r="F449">
        <v>46056.777395833335</v>
      </c>
    </row>
    <row r="450" spans="1:6" x14ac:dyDescent="0.25">
      <c r="A450">
        <v>449</v>
      </c>
      <c r="B450" t="s">
        <v>5</v>
      </c>
      <c r="C450" t="s">
        <v>10</v>
      </c>
      <c r="D450">
        <v>46055.730243055557</v>
      </c>
      <c r="E450" t="s">
        <v>7</v>
      </c>
      <c r="F450">
        <v>46056.621631944443</v>
      </c>
    </row>
    <row r="451" spans="1:6" x14ac:dyDescent="0.25">
      <c r="A451">
        <v>450</v>
      </c>
      <c r="B451" t="s">
        <v>5</v>
      </c>
      <c r="C451" t="s">
        <v>6</v>
      </c>
      <c r="D451">
        <v>46055.847361111111</v>
      </c>
      <c r="E451" t="s">
        <v>9</v>
      </c>
      <c r="F451">
        <v>46056.457569444443</v>
      </c>
    </row>
    <row r="452" spans="1:6" x14ac:dyDescent="0.25">
      <c r="A452">
        <v>451</v>
      </c>
      <c r="B452" t="s">
        <v>5</v>
      </c>
      <c r="C452" t="s">
        <v>6</v>
      </c>
      <c r="D452">
        <v>46055.867094907408</v>
      </c>
      <c r="E452" t="s">
        <v>9</v>
      </c>
      <c r="F452">
        <v>46056.579432870371</v>
      </c>
    </row>
    <row r="453" spans="1:6" x14ac:dyDescent="0.25">
      <c r="A453">
        <v>452</v>
      </c>
      <c r="B453" t="s">
        <v>5</v>
      </c>
      <c r="C453" t="s">
        <v>6</v>
      </c>
      <c r="D453">
        <v>46055.901712962965</v>
      </c>
      <c r="E453" t="s">
        <v>7</v>
      </c>
      <c r="F453">
        <v>46056.769583333335</v>
      </c>
    </row>
    <row r="454" spans="1:6" x14ac:dyDescent="0.25">
      <c r="A454">
        <v>453</v>
      </c>
      <c r="B454" t="s">
        <v>5</v>
      </c>
      <c r="C454" t="s">
        <v>7</v>
      </c>
      <c r="D454">
        <v>46056.302083333336</v>
      </c>
      <c r="E454" t="s">
        <v>7</v>
      </c>
      <c r="F454">
        <v>46056.316666666666</v>
      </c>
    </row>
    <row r="455" spans="1:6" x14ac:dyDescent="0.25">
      <c r="A455">
        <v>454</v>
      </c>
      <c r="B455" t="s">
        <v>5</v>
      </c>
      <c r="C455" t="s">
        <v>6</v>
      </c>
      <c r="D455">
        <v>46056.312002314815</v>
      </c>
      <c r="E455" t="s">
        <v>9</v>
      </c>
      <c r="F455">
        <v>46056.608043981483</v>
      </c>
    </row>
    <row r="456" spans="1:6" x14ac:dyDescent="0.25">
      <c r="A456">
        <v>455</v>
      </c>
      <c r="B456" t="s">
        <v>5</v>
      </c>
      <c r="C456" t="s">
        <v>7</v>
      </c>
      <c r="D456">
        <v>46056.333333333336</v>
      </c>
      <c r="E456" t="s">
        <v>7</v>
      </c>
      <c r="F456">
        <v>46056.430555555555</v>
      </c>
    </row>
    <row r="457" spans="1:6" x14ac:dyDescent="0.25">
      <c r="A457">
        <v>456</v>
      </c>
      <c r="B457" t="s">
        <v>5</v>
      </c>
      <c r="C457" t="s">
        <v>6</v>
      </c>
      <c r="D457">
        <v>46056.333981481483</v>
      </c>
      <c r="E457" t="s">
        <v>9</v>
      </c>
      <c r="F457">
        <v>46056.586099537039</v>
      </c>
    </row>
    <row r="458" spans="1:6" x14ac:dyDescent="0.25">
      <c r="A458">
        <v>457</v>
      </c>
      <c r="B458" t="s">
        <v>5</v>
      </c>
      <c r="C458" t="s">
        <v>6</v>
      </c>
      <c r="D458">
        <v>46056.350543981483</v>
      </c>
      <c r="E458" t="s">
        <v>7</v>
      </c>
      <c r="F458">
        <v>46056.545706018522</v>
      </c>
    </row>
    <row r="459" spans="1:6" x14ac:dyDescent="0.25">
      <c r="A459">
        <v>458</v>
      </c>
      <c r="B459" t="s">
        <v>5</v>
      </c>
      <c r="C459" t="s">
        <v>12</v>
      </c>
      <c r="D459">
        <v>46056.361111111109</v>
      </c>
      <c r="E459" t="s">
        <v>12</v>
      </c>
      <c r="F459">
        <v>46056.475694444445</v>
      </c>
    </row>
    <row r="460" spans="1:6" x14ac:dyDescent="0.25">
      <c r="A460">
        <v>459</v>
      </c>
      <c r="B460" t="s">
        <v>5</v>
      </c>
      <c r="C460" t="s">
        <v>6</v>
      </c>
      <c r="D460">
        <v>46056.397002314814</v>
      </c>
      <c r="E460" t="s">
        <v>9</v>
      </c>
      <c r="F460">
        <v>46056.600671296299</v>
      </c>
    </row>
    <row r="461" spans="1:6" x14ac:dyDescent="0.25">
      <c r="A461">
        <v>460</v>
      </c>
      <c r="B461" t="s">
        <v>5</v>
      </c>
      <c r="C461" t="s">
        <v>6</v>
      </c>
      <c r="D461">
        <v>46056.459502314814</v>
      </c>
      <c r="E461" t="s">
        <v>7</v>
      </c>
      <c r="F461">
        <v>46056.637465277781</v>
      </c>
    </row>
    <row r="462" spans="1:6" x14ac:dyDescent="0.25">
      <c r="A462">
        <v>461</v>
      </c>
      <c r="B462" t="s">
        <v>5</v>
      </c>
      <c r="C462" t="s">
        <v>6</v>
      </c>
      <c r="D462">
        <v>46056.488715277781</v>
      </c>
      <c r="E462" t="s">
        <v>7</v>
      </c>
      <c r="F462">
        <v>46056.852731481478</v>
      </c>
    </row>
    <row r="463" spans="1:6" x14ac:dyDescent="0.25">
      <c r="A463">
        <v>462</v>
      </c>
      <c r="B463" t="s">
        <v>5</v>
      </c>
      <c r="C463" t="s">
        <v>10</v>
      </c>
      <c r="D463">
        <v>46056.524305555555</v>
      </c>
      <c r="E463" t="s">
        <v>8</v>
      </c>
      <c r="F463">
        <v>46056.755624999998</v>
      </c>
    </row>
    <row r="464" spans="1:6" x14ac:dyDescent="0.25">
      <c r="A464">
        <v>463</v>
      </c>
      <c r="B464" t="s">
        <v>5</v>
      </c>
      <c r="C464" t="s">
        <v>6</v>
      </c>
      <c r="D464">
        <v>46056.556481481479</v>
      </c>
      <c r="E464" t="s">
        <v>7</v>
      </c>
      <c r="F464">
        <v>46057.542233796295</v>
      </c>
    </row>
    <row r="465" spans="1:6" x14ac:dyDescent="0.25">
      <c r="A465">
        <v>464</v>
      </c>
      <c r="B465" t="s">
        <v>5</v>
      </c>
      <c r="C465" t="s">
        <v>7</v>
      </c>
      <c r="D465">
        <v>46056.5625</v>
      </c>
      <c r="E465" t="s">
        <v>7</v>
      </c>
      <c r="F465">
        <v>46056.704861111109</v>
      </c>
    </row>
    <row r="466" spans="1:6" x14ac:dyDescent="0.25">
      <c r="A466">
        <v>465</v>
      </c>
      <c r="B466" t="s">
        <v>5</v>
      </c>
      <c r="C466" t="s">
        <v>6</v>
      </c>
      <c r="D466">
        <v>46056.588553240741</v>
      </c>
      <c r="E466" t="s">
        <v>7</v>
      </c>
      <c r="F466">
        <v>46056.735162037039</v>
      </c>
    </row>
    <row r="467" spans="1:6" x14ac:dyDescent="0.25">
      <c r="A467">
        <v>466</v>
      </c>
      <c r="B467" t="s">
        <v>5</v>
      </c>
      <c r="C467" t="s">
        <v>8</v>
      </c>
      <c r="D467">
        <v>46056.614583333336</v>
      </c>
      <c r="E467" t="s">
        <v>8</v>
      </c>
      <c r="F467">
        <v>46056.732638888891</v>
      </c>
    </row>
    <row r="468" spans="1:6" x14ac:dyDescent="0.25">
      <c r="A468">
        <v>467</v>
      </c>
      <c r="B468" t="s">
        <v>5</v>
      </c>
      <c r="C468" t="s">
        <v>10</v>
      </c>
      <c r="D468">
        <v>46056.770833333336</v>
      </c>
      <c r="E468" t="s">
        <v>10</v>
      </c>
      <c r="F468">
        <v>46056.805555555555</v>
      </c>
    </row>
    <row r="469" spans="1:6" x14ac:dyDescent="0.25">
      <c r="A469">
        <v>468</v>
      </c>
      <c r="B469" t="s">
        <v>5</v>
      </c>
      <c r="C469" t="s">
        <v>7</v>
      </c>
      <c r="D469">
        <v>46056.78125</v>
      </c>
      <c r="E469" t="s">
        <v>7</v>
      </c>
      <c r="F469">
        <v>46056.819444444445</v>
      </c>
    </row>
    <row r="470" spans="1:6" x14ac:dyDescent="0.25">
      <c r="A470">
        <v>469</v>
      </c>
      <c r="B470" t="s">
        <v>5</v>
      </c>
      <c r="C470" t="s">
        <v>6</v>
      </c>
      <c r="D470">
        <v>46056.901203703703</v>
      </c>
      <c r="E470" t="s">
        <v>7</v>
      </c>
      <c r="F470">
        <v>46057.692337962966</v>
      </c>
    </row>
    <row r="471" spans="1:6" x14ac:dyDescent="0.25">
      <c r="A471">
        <v>470</v>
      </c>
      <c r="B471" t="s">
        <v>5</v>
      </c>
      <c r="C471" t="s">
        <v>6</v>
      </c>
      <c r="D471">
        <v>46056.909722222219</v>
      </c>
      <c r="E471" t="s">
        <v>9</v>
      </c>
      <c r="F471">
        <v>46057.407650462963</v>
      </c>
    </row>
    <row r="472" spans="1:6" x14ac:dyDescent="0.25">
      <c r="A472">
        <v>471</v>
      </c>
      <c r="B472" t="s">
        <v>5</v>
      </c>
      <c r="C472" t="s">
        <v>7</v>
      </c>
      <c r="D472">
        <v>46056.927083333336</v>
      </c>
      <c r="E472" t="s">
        <v>8</v>
      </c>
      <c r="F472">
        <v>46057.051562499997</v>
      </c>
    </row>
    <row r="473" spans="1:6" x14ac:dyDescent="0.25">
      <c r="A473">
        <v>472</v>
      </c>
      <c r="B473" t="s">
        <v>5</v>
      </c>
      <c r="C473" t="s">
        <v>7</v>
      </c>
      <c r="D473">
        <v>46057.347222222219</v>
      </c>
      <c r="E473" t="s">
        <v>7</v>
      </c>
      <c r="F473">
        <v>46057.4375</v>
      </c>
    </row>
    <row r="474" spans="1:6" x14ac:dyDescent="0.25">
      <c r="A474">
        <v>473</v>
      </c>
      <c r="B474" t="s">
        <v>5</v>
      </c>
      <c r="C474" t="s">
        <v>7</v>
      </c>
      <c r="D474">
        <v>46057.354166666664</v>
      </c>
      <c r="E474" t="s">
        <v>7</v>
      </c>
      <c r="F474">
        <v>46057.534722222219</v>
      </c>
    </row>
    <row r="475" spans="1:6" x14ac:dyDescent="0.25">
      <c r="A475">
        <v>474</v>
      </c>
      <c r="B475" t="s">
        <v>5</v>
      </c>
      <c r="C475" t="s">
        <v>6</v>
      </c>
      <c r="D475">
        <v>46057.361111111109</v>
      </c>
      <c r="E475" t="s">
        <v>7</v>
      </c>
      <c r="F475">
        <v>46057.444444444445</v>
      </c>
    </row>
    <row r="476" spans="1:6" x14ac:dyDescent="0.25">
      <c r="A476">
        <v>475</v>
      </c>
      <c r="B476" t="s">
        <v>5</v>
      </c>
      <c r="C476" t="s">
        <v>7</v>
      </c>
      <c r="D476">
        <v>46057.361111111109</v>
      </c>
      <c r="E476" t="s">
        <v>7</v>
      </c>
      <c r="F476">
        <v>46057.413194444445</v>
      </c>
    </row>
    <row r="477" spans="1:6" x14ac:dyDescent="0.25">
      <c r="A477">
        <v>476</v>
      </c>
      <c r="B477" t="s">
        <v>5</v>
      </c>
      <c r="C477" t="s">
        <v>8</v>
      </c>
      <c r="D477">
        <v>46057.458333333336</v>
      </c>
      <c r="E477" t="s">
        <v>7</v>
      </c>
      <c r="F477">
        <v>46057.572916666664</v>
      </c>
    </row>
    <row r="478" spans="1:6" x14ac:dyDescent="0.25">
      <c r="A478">
        <v>477</v>
      </c>
      <c r="B478" t="s">
        <v>5</v>
      </c>
      <c r="C478" t="s">
        <v>7</v>
      </c>
      <c r="D478">
        <v>46057.465277777781</v>
      </c>
      <c r="E478" t="s">
        <v>7</v>
      </c>
      <c r="F478">
        <v>46057.506944444445</v>
      </c>
    </row>
    <row r="479" spans="1:6" x14ac:dyDescent="0.25">
      <c r="A479">
        <v>478</v>
      </c>
      <c r="B479" t="s">
        <v>5</v>
      </c>
      <c r="C479" t="s">
        <v>7</v>
      </c>
      <c r="D479">
        <v>46057.479166666664</v>
      </c>
      <c r="E479" t="s">
        <v>7</v>
      </c>
      <c r="F479">
        <v>46057.487500000003</v>
      </c>
    </row>
    <row r="480" spans="1:6" x14ac:dyDescent="0.25">
      <c r="A480">
        <v>479</v>
      </c>
      <c r="B480" t="s">
        <v>5</v>
      </c>
      <c r="C480" t="s">
        <v>7</v>
      </c>
      <c r="D480">
        <v>46057.524305555555</v>
      </c>
      <c r="E480" t="s">
        <v>7</v>
      </c>
      <c r="F480">
        <v>46057.555555555555</v>
      </c>
    </row>
    <row r="481" spans="1:6" x14ac:dyDescent="0.25">
      <c r="A481">
        <v>480</v>
      </c>
      <c r="B481" t="s">
        <v>5</v>
      </c>
      <c r="C481" t="s">
        <v>7</v>
      </c>
      <c r="D481">
        <v>46057.59375</v>
      </c>
      <c r="E481" t="s">
        <v>7</v>
      </c>
      <c r="F481">
        <v>46057.746527777781</v>
      </c>
    </row>
    <row r="482" spans="1:6" x14ac:dyDescent="0.25">
      <c r="A482">
        <v>481</v>
      </c>
      <c r="B482" t="s">
        <v>5</v>
      </c>
      <c r="C482" t="s">
        <v>6</v>
      </c>
      <c r="D482">
        <v>46057.605104166665</v>
      </c>
      <c r="E482" t="s">
        <v>7</v>
      </c>
      <c r="F482">
        <v>46058.495162037034</v>
      </c>
    </row>
    <row r="483" spans="1:6" x14ac:dyDescent="0.25">
      <c r="A483">
        <v>482</v>
      </c>
      <c r="B483" t="s">
        <v>5</v>
      </c>
      <c r="C483" t="s">
        <v>7</v>
      </c>
      <c r="D483">
        <v>46057.625</v>
      </c>
      <c r="E483" t="s">
        <v>7</v>
      </c>
      <c r="F483">
        <v>46057.650694444441</v>
      </c>
    </row>
    <row r="484" spans="1:6" x14ac:dyDescent="0.25">
      <c r="A484">
        <v>483</v>
      </c>
      <c r="B484" t="s">
        <v>5</v>
      </c>
      <c r="C484" t="s">
        <v>7</v>
      </c>
      <c r="D484">
        <v>46057.708333333336</v>
      </c>
      <c r="E484" t="s">
        <v>7</v>
      </c>
      <c r="F484">
        <v>46057.784722222219</v>
      </c>
    </row>
    <row r="485" spans="1:6" x14ac:dyDescent="0.25">
      <c r="A485">
        <v>484</v>
      </c>
      <c r="B485" t="s">
        <v>5</v>
      </c>
      <c r="C485" t="s">
        <v>6</v>
      </c>
      <c r="D485">
        <v>46057.836261574077</v>
      </c>
      <c r="E485" t="s">
        <v>7</v>
      </c>
      <c r="F485">
        <v>46058.039942129632</v>
      </c>
    </row>
    <row r="486" spans="1:6" x14ac:dyDescent="0.25">
      <c r="A486">
        <v>485</v>
      </c>
      <c r="B486" t="s">
        <v>5</v>
      </c>
      <c r="C486" t="s">
        <v>7</v>
      </c>
      <c r="D486">
        <v>46057.980555555558</v>
      </c>
      <c r="E486" t="s">
        <v>7</v>
      </c>
      <c r="F486">
        <v>46058.006944444445</v>
      </c>
    </row>
    <row r="487" spans="1:6" x14ac:dyDescent="0.25">
      <c r="A487">
        <v>486</v>
      </c>
      <c r="B487" t="s">
        <v>5</v>
      </c>
      <c r="C487" t="s">
        <v>10</v>
      </c>
      <c r="D487">
        <v>46058.305555555555</v>
      </c>
      <c r="E487" t="s">
        <v>10</v>
      </c>
      <c r="F487">
        <v>46058.326388888891</v>
      </c>
    </row>
    <row r="488" spans="1:6" x14ac:dyDescent="0.25">
      <c r="A488">
        <v>487</v>
      </c>
      <c r="B488" t="s">
        <v>5</v>
      </c>
      <c r="C488" t="s">
        <v>6</v>
      </c>
      <c r="D488">
        <v>46058.311516203707</v>
      </c>
      <c r="E488" t="s">
        <v>7</v>
      </c>
      <c r="F488">
        <v>46058.501851851855</v>
      </c>
    </row>
    <row r="489" spans="1:6" x14ac:dyDescent="0.25">
      <c r="A489">
        <v>488</v>
      </c>
      <c r="B489" t="s">
        <v>5</v>
      </c>
      <c r="C489" t="s">
        <v>7</v>
      </c>
      <c r="D489">
        <v>46058.326388888891</v>
      </c>
      <c r="E489" t="s">
        <v>7</v>
      </c>
      <c r="F489">
        <v>46058.430555555555</v>
      </c>
    </row>
    <row r="490" spans="1:6" x14ac:dyDescent="0.25">
      <c r="A490">
        <v>489</v>
      </c>
      <c r="B490" t="s">
        <v>5</v>
      </c>
      <c r="C490" t="s">
        <v>7</v>
      </c>
      <c r="D490">
        <v>46058.347222222219</v>
      </c>
      <c r="E490" t="s">
        <v>7</v>
      </c>
      <c r="F490">
        <v>46058.465277777781</v>
      </c>
    </row>
    <row r="491" spans="1:6" x14ac:dyDescent="0.25">
      <c r="A491">
        <v>490</v>
      </c>
      <c r="B491" t="s">
        <v>5</v>
      </c>
      <c r="C491" t="s">
        <v>10</v>
      </c>
      <c r="D491">
        <v>46058.388888888891</v>
      </c>
      <c r="E491" t="s">
        <v>8</v>
      </c>
      <c r="F491">
        <v>46058.404166666667</v>
      </c>
    </row>
    <row r="492" spans="1:6" x14ac:dyDescent="0.25">
      <c r="A492">
        <v>491</v>
      </c>
      <c r="B492" t="s">
        <v>5</v>
      </c>
      <c r="C492" t="s">
        <v>8</v>
      </c>
      <c r="D492">
        <v>46058.409722222219</v>
      </c>
      <c r="E492" t="s">
        <v>7</v>
      </c>
      <c r="F492">
        <v>46058.513888888891</v>
      </c>
    </row>
    <row r="493" spans="1:6" x14ac:dyDescent="0.25">
      <c r="A493">
        <v>492</v>
      </c>
      <c r="B493" t="s">
        <v>5</v>
      </c>
      <c r="C493" t="s">
        <v>6</v>
      </c>
      <c r="D493">
        <v>46058.458240740743</v>
      </c>
      <c r="E493" t="s">
        <v>7</v>
      </c>
      <c r="F493">
        <v>46058.654791666668</v>
      </c>
    </row>
    <row r="494" spans="1:6" x14ac:dyDescent="0.25">
      <c r="A494">
        <v>493</v>
      </c>
      <c r="B494" t="s">
        <v>5</v>
      </c>
      <c r="C494" t="s">
        <v>6</v>
      </c>
      <c r="D494">
        <v>46058.458981481483</v>
      </c>
      <c r="E494" t="s">
        <v>8</v>
      </c>
      <c r="F494">
        <v>46058.767175925925</v>
      </c>
    </row>
    <row r="495" spans="1:6" x14ac:dyDescent="0.25">
      <c r="A495">
        <v>494</v>
      </c>
      <c r="B495" t="s">
        <v>5</v>
      </c>
      <c r="C495" t="s">
        <v>10</v>
      </c>
      <c r="D495">
        <v>46058.477326388886</v>
      </c>
      <c r="E495" t="s">
        <v>7</v>
      </c>
      <c r="F495">
        <v>46058.692175925928</v>
      </c>
    </row>
    <row r="496" spans="1:6" x14ac:dyDescent="0.25">
      <c r="A496">
        <v>495</v>
      </c>
      <c r="B496" t="s">
        <v>5</v>
      </c>
      <c r="C496" t="s">
        <v>7</v>
      </c>
      <c r="D496">
        <v>46058.53125</v>
      </c>
      <c r="E496" t="s">
        <v>7</v>
      </c>
      <c r="F496">
        <v>46058.618055555555</v>
      </c>
    </row>
    <row r="497" spans="1:6" x14ac:dyDescent="0.25">
      <c r="A497">
        <v>496</v>
      </c>
      <c r="B497" t="s">
        <v>5</v>
      </c>
      <c r="C497" t="s">
        <v>6</v>
      </c>
      <c r="D497">
        <v>46058.563148148147</v>
      </c>
      <c r="E497" t="s">
        <v>8</v>
      </c>
      <c r="F497">
        <v>46058.907905092594</v>
      </c>
    </row>
    <row r="498" spans="1:6" x14ac:dyDescent="0.25">
      <c r="A498">
        <v>497</v>
      </c>
      <c r="B498" t="s">
        <v>5</v>
      </c>
      <c r="C498" t="s">
        <v>10</v>
      </c>
      <c r="D498">
        <v>46058.565972222219</v>
      </c>
      <c r="E498" t="s">
        <v>8</v>
      </c>
      <c r="F498">
        <v>46058.588888888888</v>
      </c>
    </row>
    <row r="499" spans="1:6" x14ac:dyDescent="0.25">
      <c r="A499">
        <v>498</v>
      </c>
      <c r="B499" t="s">
        <v>5</v>
      </c>
      <c r="C499" t="s">
        <v>6</v>
      </c>
      <c r="D499">
        <v>46058.620208333334</v>
      </c>
      <c r="E499" t="s">
        <v>9</v>
      </c>
      <c r="F499">
        <v>46058.749826388892</v>
      </c>
    </row>
    <row r="500" spans="1:6" x14ac:dyDescent="0.25">
      <c r="A500">
        <v>499</v>
      </c>
      <c r="B500" t="s">
        <v>5</v>
      </c>
      <c r="C500" t="s">
        <v>6</v>
      </c>
      <c r="D500">
        <v>46058.673819444448</v>
      </c>
      <c r="E500" t="s">
        <v>7</v>
      </c>
      <c r="F500">
        <v>46058.940601851849</v>
      </c>
    </row>
    <row r="501" spans="1:6" x14ac:dyDescent="0.25">
      <c r="A501">
        <v>500</v>
      </c>
      <c r="B501" t="s">
        <v>5</v>
      </c>
      <c r="C501" t="s">
        <v>7</v>
      </c>
      <c r="D501">
        <v>46058.6875</v>
      </c>
      <c r="E501" t="s">
        <v>7</v>
      </c>
      <c r="F501">
        <v>46058.815972222219</v>
      </c>
    </row>
    <row r="502" spans="1:6" x14ac:dyDescent="0.25">
      <c r="A502">
        <v>501</v>
      </c>
      <c r="B502" t="s">
        <v>5</v>
      </c>
      <c r="C502" t="s">
        <v>7</v>
      </c>
      <c r="D502">
        <v>46058.694444444445</v>
      </c>
      <c r="E502" t="s">
        <v>7</v>
      </c>
      <c r="F502">
        <v>46058.767361111109</v>
      </c>
    </row>
    <row r="503" spans="1:6" x14ac:dyDescent="0.25">
      <c r="A503">
        <v>502</v>
      </c>
      <c r="B503" t="s">
        <v>5</v>
      </c>
      <c r="C503" t="s">
        <v>6</v>
      </c>
      <c r="D503">
        <v>46058.908495370371</v>
      </c>
      <c r="E503" t="s">
        <v>7</v>
      </c>
      <c r="F503">
        <v>46059.485717592594</v>
      </c>
    </row>
    <row r="504" spans="1:6" x14ac:dyDescent="0.25">
      <c r="A504">
        <v>503</v>
      </c>
      <c r="B504" t="s">
        <v>5</v>
      </c>
      <c r="C504" t="s">
        <v>6</v>
      </c>
      <c r="D504">
        <v>46058.956296296295</v>
      </c>
      <c r="E504" t="s">
        <v>7</v>
      </c>
      <c r="F504">
        <v>46059.042569444442</v>
      </c>
    </row>
    <row r="505" spans="1:6" x14ac:dyDescent="0.25">
      <c r="A505">
        <v>504</v>
      </c>
      <c r="B505" t="s">
        <v>5</v>
      </c>
      <c r="C505" t="s">
        <v>6</v>
      </c>
      <c r="D505">
        <v>46059.001180555555</v>
      </c>
      <c r="E505" t="s">
        <v>10</v>
      </c>
      <c r="F505">
        <v>46066.704756944448</v>
      </c>
    </row>
    <row r="506" spans="1:6" x14ac:dyDescent="0.25">
      <c r="A506">
        <v>505</v>
      </c>
      <c r="B506" t="s">
        <v>5</v>
      </c>
      <c r="C506" t="s">
        <v>6</v>
      </c>
      <c r="D506">
        <v>46059.117881944447</v>
      </c>
      <c r="E506" t="s">
        <v>7</v>
      </c>
      <c r="F506">
        <v>46059.509409722225</v>
      </c>
    </row>
    <row r="507" spans="1:6" x14ac:dyDescent="0.25">
      <c r="A507">
        <v>506</v>
      </c>
      <c r="B507" t="s">
        <v>5</v>
      </c>
      <c r="C507" t="s">
        <v>7</v>
      </c>
      <c r="D507">
        <v>46059.333333333336</v>
      </c>
      <c r="E507" t="s">
        <v>7</v>
      </c>
      <c r="F507">
        <v>46059.475694444445</v>
      </c>
    </row>
    <row r="508" spans="1:6" x14ac:dyDescent="0.25">
      <c r="A508">
        <v>507</v>
      </c>
      <c r="B508" t="s">
        <v>5</v>
      </c>
      <c r="C508" t="s">
        <v>7</v>
      </c>
      <c r="D508">
        <v>46059.354166666664</v>
      </c>
      <c r="E508" t="s">
        <v>7</v>
      </c>
      <c r="F508">
        <v>46068.529537037037</v>
      </c>
    </row>
    <row r="509" spans="1:6" x14ac:dyDescent="0.25">
      <c r="A509">
        <v>508</v>
      </c>
      <c r="B509" t="s">
        <v>5</v>
      </c>
      <c r="C509" t="s">
        <v>8</v>
      </c>
      <c r="D509">
        <v>46059.361111111109</v>
      </c>
      <c r="E509" t="s">
        <v>10</v>
      </c>
      <c r="F509">
        <v>46059.416666666664</v>
      </c>
    </row>
    <row r="510" spans="1:6" x14ac:dyDescent="0.25">
      <c r="A510">
        <v>509</v>
      </c>
      <c r="B510" t="s">
        <v>5</v>
      </c>
      <c r="C510" t="s">
        <v>6</v>
      </c>
      <c r="D510">
        <v>46059.389826388891</v>
      </c>
      <c r="E510" t="s">
        <v>8</v>
      </c>
      <c r="F510">
        <v>46079.633275462962</v>
      </c>
    </row>
    <row r="511" spans="1:6" x14ac:dyDescent="0.25">
      <c r="A511">
        <v>510</v>
      </c>
      <c r="B511" t="s">
        <v>5</v>
      </c>
      <c r="C511" t="s">
        <v>10</v>
      </c>
      <c r="D511">
        <v>46059.458333333336</v>
      </c>
      <c r="E511" t="s">
        <v>10</v>
      </c>
      <c r="F511">
        <v>46059.489583333336</v>
      </c>
    </row>
    <row r="512" spans="1:6" x14ac:dyDescent="0.25">
      <c r="A512">
        <v>511</v>
      </c>
      <c r="B512" t="s">
        <v>5</v>
      </c>
      <c r="C512" t="s">
        <v>7</v>
      </c>
      <c r="D512">
        <v>46059.604166666664</v>
      </c>
      <c r="E512" t="s">
        <v>8</v>
      </c>
      <c r="F512">
        <v>46059.708333333336</v>
      </c>
    </row>
    <row r="513" spans="1:6" x14ac:dyDescent="0.25">
      <c r="A513">
        <v>512</v>
      </c>
      <c r="B513" t="s">
        <v>5</v>
      </c>
      <c r="C513" t="s">
        <v>7</v>
      </c>
      <c r="D513">
        <v>46059.638888888891</v>
      </c>
      <c r="E513" t="s">
        <v>7</v>
      </c>
      <c r="F513">
        <v>46059.71875</v>
      </c>
    </row>
    <row r="514" spans="1:6" x14ac:dyDescent="0.25">
      <c r="A514">
        <v>513</v>
      </c>
      <c r="B514" t="s">
        <v>5</v>
      </c>
      <c r="C514" t="s">
        <v>7</v>
      </c>
      <c r="D514">
        <v>46059.670138888891</v>
      </c>
      <c r="E514" t="s">
        <v>7</v>
      </c>
      <c r="F514">
        <v>46059.690972222219</v>
      </c>
    </row>
    <row r="515" spans="1:6" x14ac:dyDescent="0.25">
      <c r="A515">
        <v>514</v>
      </c>
      <c r="B515" t="s">
        <v>5</v>
      </c>
      <c r="C515" t="s">
        <v>6</v>
      </c>
      <c r="D515">
        <v>46059.684849537036</v>
      </c>
      <c r="E515" t="s">
        <v>7</v>
      </c>
      <c r="F515">
        <v>46059.926342592589</v>
      </c>
    </row>
    <row r="516" spans="1:6" x14ac:dyDescent="0.25">
      <c r="A516">
        <v>515</v>
      </c>
      <c r="B516" t="s">
        <v>5</v>
      </c>
      <c r="C516" t="s">
        <v>6</v>
      </c>
      <c r="D516">
        <v>46059.717766203707</v>
      </c>
      <c r="E516" t="s">
        <v>8</v>
      </c>
      <c r="F516">
        <v>46059.909201388888</v>
      </c>
    </row>
    <row r="517" spans="1:6" x14ac:dyDescent="0.25">
      <c r="A517">
        <v>516</v>
      </c>
      <c r="B517" t="s">
        <v>5</v>
      </c>
      <c r="C517" t="s">
        <v>6</v>
      </c>
      <c r="D517">
        <v>46059.775833333333</v>
      </c>
      <c r="E517" t="s">
        <v>7</v>
      </c>
      <c r="F517">
        <v>46060.030555555553</v>
      </c>
    </row>
    <row r="518" spans="1:6" x14ac:dyDescent="0.25">
      <c r="A518">
        <v>517</v>
      </c>
      <c r="B518" t="s">
        <v>5</v>
      </c>
      <c r="C518" t="s">
        <v>6</v>
      </c>
      <c r="D518">
        <v>46059.867581018516</v>
      </c>
      <c r="E518" t="s">
        <v>7</v>
      </c>
      <c r="F518">
        <v>46060.611168981479</v>
      </c>
    </row>
    <row r="519" spans="1:6" x14ac:dyDescent="0.25">
      <c r="A519">
        <v>518</v>
      </c>
      <c r="B519" t="s">
        <v>5</v>
      </c>
      <c r="C519" t="s">
        <v>6</v>
      </c>
      <c r="D519">
        <v>46059.882881944446</v>
      </c>
      <c r="E519" t="s">
        <v>7</v>
      </c>
      <c r="F519">
        <v>46061.525763888887</v>
      </c>
    </row>
    <row r="520" spans="1:6" x14ac:dyDescent="0.25">
      <c r="A520">
        <v>519</v>
      </c>
      <c r="B520" t="s">
        <v>5</v>
      </c>
      <c r="C520" t="s">
        <v>6</v>
      </c>
      <c r="D520">
        <v>46059.944953703707</v>
      </c>
      <c r="E520" t="s">
        <v>8</v>
      </c>
      <c r="F520">
        <v>46060.641365740739</v>
      </c>
    </row>
    <row r="521" spans="1:6" x14ac:dyDescent="0.25">
      <c r="A521">
        <v>520</v>
      </c>
      <c r="B521" t="s">
        <v>5</v>
      </c>
      <c r="C521" t="s">
        <v>6</v>
      </c>
      <c r="D521">
        <v>46060.117708333331</v>
      </c>
      <c r="E521" t="s">
        <v>8</v>
      </c>
      <c r="F521">
        <v>46060.913958333331</v>
      </c>
    </row>
    <row r="522" spans="1:6" x14ac:dyDescent="0.25">
      <c r="A522">
        <v>521</v>
      </c>
      <c r="B522" t="s">
        <v>5</v>
      </c>
      <c r="C522" t="s">
        <v>7</v>
      </c>
      <c r="D522">
        <v>46060.364583333336</v>
      </c>
      <c r="E522" t="s">
        <v>7</v>
      </c>
      <c r="F522">
        <v>46060.545138888891</v>
      </c>
    </row>
    <row r="523" spans="1:6" x14ac:dyDescent="0.25">
      <c r="A523">
        <v>522</v>
      </c>
      <c r="B523" t="s">
        <v>5</v>
      </c>
      <c r="C523" t="s">
        <v>6</v>
      </c>
      <c r="D523">
        <v>46060.395231481481</v>
      </c>
      <c r="E523" t="s">
        <v>7</v>
      </c>
      <c r="F523">
        <v>46060.59070601852</v>
      </c>
    </row>
    <row r="524" spans="1:6" x14ac:dyDescent="0.25">
      <c r="A524">
        <v>523</v>
      </c>
      <c r="B524" t="s">
        <v>5</v>
      </c>
      <c r="C524" t="s">
        <v>8</v>
      </c>
      <c r="D524">
        <v>46060.399305555555</v>
      </c>
      <c r="E524" t="s">
        <v>8</v>
      </c>
      <c r="F524">
        <v>46060.527777777781</v>
      </c>
    </row>
    <row r="525" spans="1:6" x14ac:dyDescent="0.25">
      <c r="A525">
        <v>524</v>
      </c>
      <c r="B525" t="s">
        <v>5</v>
      </c>
      <c r="C525" t="s">
        <v>6</v>
      </c>
      <c r="D525">
        <v>46060.454259259262</v>
      </c>
      <c r="E525" t="s">
        <v>7</v>
      </c>
      <c r="F525">
        <v>46061.027395833335</v>
      </c>
    </row>
    <row r="526" spans="1:6" x14ac:dyDescent="0.25">
      <c r="A526">
        <v>525</v>
      </c>
      <c r="B526" t="s">
        <v>5</v>
      </c>
      <c r="C526" t="s">
        <v>6</v>
      </c>
      <c r="D526">
        <v>46060.506006944444</v>
      </c>
      <c r="E526" t="s">
        <v>8</v>
      </c>
      <c r="F526">
        <v>46061.265462962961</v>
      </c>
    </row>
    <row r="527" spans="1:6" x14ac:dyDescent="0.25">
      <c r="A527">
        <v>526</v>
      </c>
      <c r="B527" t="s">
        <v>5</v>
      </c>
      <c r="C527" t="s">
        <v>8</v>
      </c>
      <c r="D527">
        <v>46060.611111111109</v>
      </c>
      <c r="E527" t="s">
        <v>10</v>
      </c>
      <c r="F527">
        <v>46060.743055555555</v>
      </c>
    </row>
    <row r="528" spans="1:6" x14ac:dyDescent="0.25">
      <c r="A528">
        <v>527</v>
      </c>
      <c r="B528" t="s">
        <v>5</v>
      </c>
      <c r="C528" t="s">
        <v>6</v>
      </c>
      <c r="D528">
        <v>46060.657523148147</v>
      </c>
      <c r="E528" t="s">
        <v>7</v>
      </c>
      <c r="F528">
        <v>46061.033796296295</v>
      </c>
    </row>
    <row r="529" spans="1:6" x14ac:dyDescent="0.25">
      <c r="A529">
        <v>528</v>
      </c>
      <c r="B529" t="s">
        <v>5</v>
      </c>
      <c r="C529" t="s">
        <v>8</v>
      </c>
      <c r="D529">
        <v>46060.664583333331</v>
      </c>
      <c r="E529" t="s">
        <v>10</v>
      </c>
      <c r="F529">
        <v>46060.760416666664</v>
      </c>
    </row>
    <row r="530" spans="1:6" x14ac:dyDescent="0.25">
      <c r="A530">
        <v>529</v>
      </c>
      <c r="B530" t="s">
        <v>5</v>
      </c>
      <c r="C530" t="s">
        <v>6</v>
      </c>
      <c r="D530">
        <v>46060.810555555552</v>
      </c>
      <c r="E530" t="s">
        <v>7</v>
      </c>
      <c r="F530">
        <v>46061.645324074074</v>
      </c>
    </row>
    <row r="531" spans="1:6" x14ac:dyDescent="0.25">
      <c r="A531">
        <v>530</v>
      </c>
      <c r="B531" t="s">
        <v>5</v>
      </c>
      <c r="C531" t="s">
        <v>6</v>
      </c>
      <c r="D531">
        <v>46060.881284722222</v>
      </c>
      <c r="E531" t="s">
        <v>7</v>
      </c>
      <c r="F531">
        <v>46061.008298611108</v>
      </c>
    </row>
    <row r="532" spans="1:6" x14ac:dyDescent="0.25">
      <c r="A532">
        <v>531</v>
      </c>
      <c r="B532" t="s">
        <v>5</v>
      </c>
      <c r="C532" t="s">
        <v>6</v>
      </c>
      <c r="D532">
        <v>46061.035219907404</v>
      </c>
      <c r="E532" t="s">
        <v>11</v>
      </c>
      <c r="F532">
        <v>46063.044861111113</v>
      </c>
    </row>
    <row r="533" spans="1:6" x14ac:dyDescent="0.25">
      <c r="A533">
        <v>532</v>
      </c>
      <c r="B533" t="s">
        <v>5</v>
      </c>
      <c r="C533" t="s">
        <v>10</v>
      </c>
      <c r="D533">
        <v>46061.347222222219</v>
      </c>
      <c r="E533" t="s">
        <v>7</v>
      </c>
      <c r="F533">
        <v>46068.704259259262</v>
      </c>
    </row>
    <row r="534" spans="1:6" x14ac:dyDescent="0.25">
      <c r="A534">
        <v>533</v>
      </c>
      <c r="B534" t="s">
        <v>5</v>
      </c>
      <c r="C534" t="s">
        <v>7</v>
      </c>
      <c r="D534">
        <v>46061.364583333336</v>
      </c>
      <c r="E534" t="s">
        <v>7</v>
      </c>
      <c r="F534">
        <v>46061.395833333336</v>
      </c>
    </row>
    <row r="535" spans="1:6" x14ac:dyDescent="0.25">
      <c r="A535">
        <v>534</v>
      </c>
      <c r="B535" t="s">
        <v>5</v>
      </c>
      <c r="C535" t="s">
        <v>6</v>
      </c>
      <c r="D535">
        <v>46061.404710648145</v>
      </c>
      <c r="E535" t="s">
        <v>7</v>
      </c>
      <c r="F535">
        <v>46062.68854166667</v>
      </c>
    </row>
    <row r="536" spans="1:6" x14ac:dyDescent="0.25">
      <c r="A536">
        <v>535</v>
      </c>
      <c r="B536" t="s">
        <v>5</v>
      </c>
      <c r="C536" t="s">
        <v>7</v>
      </c>
      <c r="D536">
        <v>46061.479166666664</v>
      </c>
      <c r="E536" t="s">
        <v>7</v>
      </c>
      <c r="F536">
        <v>46061.520833333336</v>
      </c>
    </row>
    <row r="537" spans="1:6" x14ac:dyDescent="0.25">
      <c r="A537">
        <v>536</v>
      </c>
      <c r="B537" t="s">
        <v>5</v>
      </c>
      <c r="C537" t="s">
        <v>6</v>
      </c>
      <c r="D537">
        <v>46061.579861111109</v>
      </c>
      <c r="E537" t="s">
        <v>7</v>
      </c>
      <c r="F537">
        <v>46061.882407407407</v>
      </c>
    </row>
    <row r="538" spans="1:6" x14ac:dyDescent="0.25">
      <c r="A538">
        <v>537</v>
      </c>
      <c r="B538" t="s">
        <v>5</v>
      </c>
      <c r="C538" t="s">
        <v>6</v>
      </c>
      <c r="D538">
        <v>46061.628981481481</v>
      </c>
      <c r="E538" t="s">
        <v>9</v>
      </c>
      <c r="F538">
        <v>46062.465555555558</v>
      </c>
    </row>
    <row r="539" spans="1:6" x14ac:dyDescent="0.25">
      <c r="A539">
        <v>538</v>
      </c>
      <c r="B539" t="s">
        <v>5</v>
      </c>
      <c r="C539" t="s">
        <v>10</v>
      </c>
      <c r="D539">
        <v>46061.666666666664</v>
      </c>
      <c r="E539" t="s">
        <v>10</v>
      </c>
      <c r="F539">
        <v>46061.680555555555</v>
      </c>
    </row>
    <row r="540" spans="1:6" x14ac:dyDescent="0.25">
      <c r="A540">
        <v>539</v>
      </c>
      <c r="B540" t="s">
        <v>5</v>
      </c>
      <c r="C540" t="s">
        <v>6</v>
      </c>
      <c r="D540">
        <v>46061.685196759259</v>
      </c>
      <c r="E540" t="s">
        <v>8</v>
      </c>
      <c r="F540">
        <v>46062.743703703702</v>
      </c>
    </row>
    <row r="541" spans="1:6" x14ac:dyDescent="0.25">
      <c r="A541">
        <v>540</v>
      </c>
      <c r="B541" t="s">
        <v>5</v>
      </c>
      <c r="C541" t="s">
        <v>8</v>
      </c>
      <c r="D541">
        <v>46061.854166666664</v>
      </c>
      <c r="E541" t="s">
        <v>10</v>
      </c>
      <c r="F541">
        <v>46061.888888888891</v>
      </c>
    </row>
    <row r="542" spans="1:6" x14ac:dyDescent="0.25">
      <c r="A542">
        <v>541</v>
      </c>
      <c r="B542" t="s">
        <v>5</v>
      </c>
      <c r="C542" t="s">
        <v>7</v>
      </c>
      <c r="D542">
        <v>46061.9375</v>
      </c>
      <c r="E542" t="s">
        <v>7</v>
      </c>
      <c r="F542">
        <v>46061.958333333336</v>
      </c>
    </row>
    <row r="543" spans="1:6" x14ac:dyDescent="0.25">
      <c r="A543">
        <v>542</v>
      </c>
      <c r="B543" t="s">
        <v>5</v>
      </c>
      <c r="C543" t="s">
        <v>6</v>
      </c>
      <c r="D543">
        <v>46062.001886574071</v>
      </c>
      <c r="E543" t="s">
        <v>7</v>
      </c>
      <c r="F543">
        <v>46062.652696759258</v>
      </c>
    </row>
    <row r="544" spans="1:6" x14ac:dyDescent="0.25">
      <c r="A544">
        <v>543</v>
      </c>
      <c r="B544" t="s">
        <v>5</v>
      </c>
      <c r="C544" t="s">
        <v>6</v>
      </c>
      <c r="D544">
        <v>46062.100844907407</v>
      </c>
      <c r="E544" t="s">
        <v>8</v>
      </c>
      <c r="F544">
        <v>46063.641331018516</v>
      </c>
    </row>
    <row r="545" spans="1:6" x14ac:dyDescent="0.25">
      <c r="A545">
        <v>544</v>
      </c>
      <c r="B545" t="s">
        <v>5</v>
      </c>
      <c r="C545" t="s">
        <v>6</v>
      </c>
      <c r="D545">
        <v>46062.283900462964</v>
      </c>
      <c r="E545" t="s">
        <v>7</v>
      </c>
      <c r="F545">
        <v>46062.763287037036</v>
      </c>
    </row>
    <row r="546" spans="1:6" x14ac:dyDescent="0.25">
      <c r="A546">
        <v>545</v>
      </c>
      <c r="B546" t="s">
        <v>5</v>
      </c>
      <c r="C546" t="s">
        <v>10</v>
      </c>
      <c r="D546">
        <v>46062.378472222219</v>
      </c>
      <c r="E546" t="s">
        <v>10</v>
      </c>
      <c r="F546">
        <v>46062.451388888891</v>
      </c>
    </row>
    <row r="547" spans="1:6" x14ac:dyDescent="0.25">
      <c r="A547">
        <v>546</v>
      </c>
      <c r="B547" t="s">
        <v>5</v>
      </c>
      <c r="C547" t="s">
        <v>6</v>
      </c>
      <c r="D547">
        <v>46062.50953703704</v>
      </c>
      <c r="E547" t="s">
        <v>8</v>
      </c>
      <c r="F547">
        <v>46062.832858796297</v>
      </c>
    </row>
    <row r="548" spans="1:6" x14ac:dyDescent="0.25">
      <c r="A548">
        <v>547</v>
      </c>
      <c r="B548" t="s">
        <v>5</v>
      </c>
      <c r="C548" t="s">
        <v>6</v>
      </c>
      <c r="D548">
        <v>46062.524224537039</v>
      </c>
      <c r="E548" t="s">
        <v>7</v>
      </c>
      <c r="F548">
        <v>46063.515983796293</v>
      </c>
    </row>
    <row r="549" spans="1:6" x14ac:dyDescent="0.25">
      <c r="A549">
        <v>548</v>
      </c>
      <c r="B549" t="s">
        <v>5</v>
      </c>
      <c r="C549" t="s">
        <v>8</v>
      </c>
      <c r="D549">
        <v>46062.729166666664</v>
      </c>
      <c r="E549" t="s">
        <v>10</v>
      </c>
      <c r="F549">
        <v>46062.861111111109</v>
      </c>
    </row>
    <row r="550" spans="1:6" x14ac:dyDescent="0.25">
      <c r="A550">
        <v>549</v>
      </c>
      <c r="B550" t="s">
        <v>5</v>
      </c>
      <c r="C550" t="s">
        <v>8</v>
      </c>
      <c r="D550">
        <v>46062.741666666669</v>
      </c>
      <c r="E550" t="s">
        <v>7</v>
      </c>
      <c r="F550">
        <v>46062.833333333336</v>
      </c>
    </row>
    <row r="551" spans="1:6" x14ac:dyDescent="0.25">
      <c r="A551">
        <v>550</v>
      </c>
      <c r="B551" t="s">
        <v>5</v>
      </c>
      <c r="C551" t="s">
        <v>6</v>
      </c>
      <c r="D551">
        <v>46062.903761574074</v>
      </c>
      <c r="E551" t="s">
        <v>7</v>
      </c>
      <c r="F551">
        <v>46063.046458333331</v>
      </c>
    </row>
    <row r="552" spans="1:6" x14ac:dyDescent="0.25">
      <c r="A552">
        <v>551</v>
      </c>
      <c r="B552" t="s">
        <v>5</v>
      </c>
      <c r="C552" t="s">
        <v>6</v>
      </c>
      <c r="D552">
        <v>46063.282962962963</v>
      </c>
      <c r="E552" t="s">
        <v>7</v>
      </c>
      <c r="F552">
        <v>46063.634351851855</v>
      </c>
    </row>
    <row r="553" spans="1:6" x14ac:dyDescent="0.25">
      <c r="A553">
        <v>552</v>
      </c>
      <c r="B553" t="s">
        <v>5</v>
      </c>
      <c r="C553" t="s">
        <v>7</v>
      </c>
      <c r="D553">
        <v>46063.291666666664</v>
      </c>
      <c r="E553" t="s">
        <v>7</v>
      </c>
      <c r="F553">
        <v>46063.3125</v>
      </c>
    </row>
    <row r="554" spans="1:6" x14ac:dyDescent="0.25">
      <c r="A554">
        <v>553</v>
      </c>
      <c r="B554" t="s">
        <v>5</v>
      </c>
      <c r="C554" t="s">
        <v>7</v>
      </c>
      <c r="D554">
        <v>46063.333333333336</v>
      </c>
      <c r="E554" t="s">
        <v>7</v>
      </c>
      <c r="F554">
        <v>46063.409722222219</v>
      </c>
    </row>
    <row r="555" spans="1:6" x14ac:dyDescent="0.25">
      <c r="A555">
        <v>554</v>
      </c>
      <c r="B555" t="s">
        <v>5</v>
      </c>
      <c r="C555" t="s">
        <v>7</v>
      </c>
      <c r="D555">
        <v>46063.333333333336</v>
      </c>
      <c r="E555" t="s">
        <v>7</v>
      </c>
      <c r="F555">
        <v>46063.458333333336</v>
      </c>
    </row>
    <row r="556" spans="1:6" x14ac:dyDescent="0.25">
      <c r="A556">
        <v>555</v>
      </c>
      <c r="B556" t="s">
        <v>5</v>
      </c>
      <c r="C556" t="s">
        <v>6</v>
      </c>
      <c r="D556">
        <v>46063.333761574075</v>
      </c>
      <c r="E556" t="s">
        <v>9</v>
      </c>
      <c r="F556">
        <v>46063.7502662037</v>
      </c>
    </row>
    <row r="557" spans="1:6" x14ac:dyDescent="0.25">
      <c r="A557">
        <v>556</v>
      </c>
      <c r="B557" t="s">
        <v>5</v>
      </c>
      <c r="C557" t="s">
        <v>7</v>
      </c>
      <c r="D557">
        <v>46063.354166666664</v>
      </c>
      <c r="E557" t="s">
        <v>7</v>
      </c>
      <c r="F557">
        <v>46063.381944444445</v>
      </c>
    </row>
    <row r="558" spans="1:6" x14ac:dyDescent="0.25">
      <c r="A558">
        <v>557</v>
      </c>
      <c r="B558" t="s">
        <v>5</v>
      </c>
      <c r="C558" t="s">
        <v>8</v>
      </c>
      <c r="D558">
        <v>46063.447916666664</v>
      </c>
      <c r="E558" t="s">
        <v>7</v>
      </c>
      <c r="F558">
        <v>46063.5</v>
      </c>
    </row>
    <row r="559" spans="1:6" x14ac:dyDescent="0.25">
      <c r="A559">
        <v>558</v>
      </c>
      <c r="B559" t="s">
        <v>5</v>
      </c>
      <c r="C559" t="s">
        <v>7</v>
      </c>
      <c r="D559">
        <v>46063.487500000003</v>
      </c>
      <c r="E559" t="s">
        <v>7</v>
      </c>
      <c r="F559">
        <v>46063.489583333336</v>
      </c>
    </row>
    <row r="560" spans="1:6" x14ac:dyDescent="0.25">
      <c r="A560">
        <v>559</v>
      </c>
      <c r="B560" t="s">
        <v>5</v>
      </c>
      <c r="C560" t="s">
        <v>10</v>
      </c>
      <c r="D560">
        <v>46063.5</v>
      </c>
      <c r="E560" t="s">
        <v>10</v>
      </c>
      <c r="F560">
        <v>46063.652777777781</v>
      </c>
    </row>
    <row r="561" spans="1:6" x14ac:dyDescent="0.25">
      <c r="A561">
        <v>560</v>
      </c>
      <c r="B561" t="s">
        <v>5</v>
      </c>
      <c r="C561" t="s">
        <v>10</v>
      </c>
      <c r="D561">
        <v>46063.565972222219</v>
      </c>
      <c r="E561" t="s">
        <v>10</v>
      </c>
      <c r="F561">
        <v>46063.625694444447</v>
      </c>
    </row>
    <row r="562" spans="1:6" x14ac:dyDescent="0.25">
      <c r="A562">
        <v>561</v>
      </c>
      <c r="B562" t="s">
        <v>5</v>
      </c>
      <c r="C562" t="s">
        <v>7</v>
      </c>
      <c r="D562">
        <v>46063.579861111109</v>
      </c>
      <c r="E562" t="s">
        <v>7</v>
      </c>
      <c r="F562">
        <v>46063.666666666664</v>
      </c>
    </row>
    <row r="563" spans="1:6" x14ac:dyDescent="0.25">
      <c r="A563">
        <v>562</v>
      </c>
      <c r="B563" t="s">
        <v>5</v>
      </c>
      <c r="C563" t="s">
        <v>6</v>
      </c>
      <c r="D563">
        <v>46063.586319444446</v>
      </c>
      <c r="E563" t="s">
        <v>8</v>
      </c>
      <c r="F563">
        <v>46063.777407407404</v>
      </c>
    </row>
    <row r="564" spans="1:6" x14ac:dyDescent="0.25">
      <c r="A564">
        <v>563</v>
      </c>
      <c r="B564" t="s">
        <v>5</v>
      </c>
      <c r="C564" t="s">
        <v>7</v>
      </c>
      <c r="D564">
        <v>46063.604166666664</v>
      </c>
      <c r="E564" t="s">
        <v>7</v>
      </c>
      <c r="F564">
        <v>46063.708333333336</v>
      </c>
    </row>
    <row r="565" spans="1:6" x14ac:dyDescent="0.25">
      <c r="A565">
        <v>564</v>
      </c>
      <c r="B565" t="s">
        <v>5</v>
      </c>
      <c r="C565" t="s">
        <v>6</v>
      </c>
      <c r="D565">
        <v>46063.673807870371</v>
      </c>
      <c r="E565" t="s">
        <v>7</v>
      </c>
      <c r="F565">
        <v>46063.890555555554</v>
      </c>
    </row>
    <row r="566" spans="1:6" x14ac:dyDescent="0.25">
      <c r="A566">
        <v>565</v>
      </c>
      <c r="B566" t="s">
        <v>5</v>
      </c>
      <c r="C566" t="s">
        <v>6</v>
      </c>
      <c r="D566">
        <v>46063.674849537034</v>
      </c>
      <c r="E566" t="s">
        <v>7</v>
      </c>
      <c r="F566">
        <v>46063.891192129631</v>
      </c>
    </row>
    <row r="567" spans="1:6" x14ac:dyDescent="0.25">
      <c r="A567">
        <v>566</v>
      </c>
      <c r="B567" t="s">
        <v>5</v>
      </c>
      <c r="C567" t="s">
        <v>6</v>
      </c>
      <c r="D567">
        <v>46063.704861111109</v>
      </c>
      <c r="E567" t="s">
        <v>7</v>
      </c>
      <c r="F567">
        <v>46065.603888888887</v>
      </c>
    </row>
    <row r="568" spans="1:6" x14ac:dyDescent="0.25">
      <c r="A568">
        <v>567</v>
      </c>
      <c r="B568" t="s">
        <v>5</v>
      </c>
      <c r="C568" t="s">
        <v>6</v>
      </c>
      <c r="D568">
        <v>46063.752928240741</v>
      </c>
      <c r="E568" t="s">
        <v>7</v>
      </c>
      <c r="F568">
        <v>46063.893865740742</v>
      </c>
    </row>
    <row r="569" spans="1:6" x14ac:dyDescent="0.25">
      <c r="A569">
        <v>568</v>
      </c>
      <c r="B569" t="s">
        <v>5</v>
      </c>
      <c r="C569" t="s">
        <v>6</v>
      </c>
      <c r="D569">
        <v>46063.844594907408</v>
      </c>
      <c r="E569" t="s">
        <v>7</v>
      </c>
      <c r="F569">
        <v>46064.670983796299</v>
      </c>
    </row>
    <row r="570" spans="1:6" x14ac:dyDescent="0.25">
      <c r="A570">
        <v>569</v>
      </c>
      <c r="B570" t="s">
        <v>5</v>
      </c>
      <c r="C570" t="s">
        <v>6</v>
      </c>
      <c r="D570">
        <v>46063.88858796296</v>
      </c>
      <c r="E570" t="s">
        <v>7</v>
      </c>
      <c r="F570">
        <v>46064.264537037037</v>
      </c>
    </row>
    <row r="571" spans="1:6" x14ac:dyDescent="0.25">
      <c r="A571">
        <v>570</v>
      </c>
      <c r="B571" t="s">
        <v>5</v>
      </c>
      <c r="C571" t="s">
        <v>6</v>
      </c>
      <c r="D571">
        <v>46063.939386574071</v>
      </c>
      <c r="E571" t="s">
        <v>7</v>
      </c>
      <c r="F571">
        <v>46064.665462962963</v>
      </c>
    </row>
    <row r="572" spans="1:6" x14ac:dyDescent="0.25">
      <c r="A572">
        <v>571</v>
      </c>
      <c r="B572" t="s">
        <v>5</v>
      </c>
      <c r="C572" t="s">
        <v>6</v>
      </c>
      <c r="D572">
        <v>46064.002974537034</v>
      </c>
      <c r="E572" t="s">
        <v>7</v>
      </c>
      <c r="F572">
        <v>46064.50341435185</v>
      </c>
    </row>
    <row r="573" spans="1:6" x14ac:dyDescent="0.25">
      <c r="A573">
        <v>572</v>
      </c>
      <c r="B573" t="s">
        <v>5</v>
      </c>
      <c r="C573" t="s">
        <v>12</v>
      </c>
      <c r="D573">
        <v>46064.262789351851</v>
      </c>
      <c r="E573" t="s">
        <v>7</v>
      </c>
      <c r="F573">
        <v>46064.865613425929</v>
      </c>
    </row>
    <row r="574" spans="1:6" x14ac:dyDescent="0.25">
      <c r="A574">
        <v>573</v>
      </c>
      <c r="B574" t="s">
        <v>5</v>
      </c>
      <c r="C574" t="s">
        <v>7</v>
      </c>
      <c r="D574">
        <v>46064.340277777781</v>
      </c>
      <c r="E574" t="s">
        <v>7</v>
      </c>
      <c r="F574">
        <v>46064.427083333336</v>
      </c>
    </row>
    <row r="575" spans="1:6" x14ac:dyDescent="0.25">
      <c r="A575">
        <v>574</v>
      </c>
      <c r="B575" t="s">
        <v>5</v>
      </c>
      <c r="C575" t="s">
        <v>7</v>
      </c>
      <c r="D575">
        <v>46064.34375</v>
      </c>
      <c r="E575" t="s">
        <v>7</v>
      </c>
      <c r="F575">
        <v>46064.451388888891</v>
      </c>
    </row>
    <row r="576" spans="1:6" x14ac:dyDescent="0.25">
      <c r="A576">
        <v>575</v>
      </c>
      <c r="B576" t="s">
        <v>5</v>
      </c>
      <c r="C576" t="s">
        <v>7</v>
      </c>
      <c r="D576">
        <v>46064.354166666664</v>
      </c>
      <c r="E576" t="s">
        <v>7</v>
      </c>
      <c r="F576">
        <v>46064.402777777781</v>
      </c>
    </row>
    <row r="577" spans="1:6" x14ac:dyDescent="0.25">
      <c r="A577">
        <v>576</v>
      </c>
      <c r="B577" t="s">
        <v>5</v>
      </c>
      <c r="C577" t="s">
        <v>8</v>
      </c>
      <c r="D577">
        <v>46064.361111111109</v>
      </c>
      <c r="E577" t="s">
        <v>10</v>
      </c>
      <c r="F577">
        <v>46064.444444444445</v>
      </c>
    </row>
    <row r="578" spans="1:6" x14ac:dyDescent="0.25">
      <c r="A578">
        <v>577</v>
      </c>
      <c r="B578" t="s">
        <v>5</v>
      </c>
      <c r="C578" t="s">
        <v>6</v>
      </c>
      <c r="D578">
        <v>46064.448217592595</v>
      </c>
      <c r="E578" t="s">
        <v>8</v>
      </c>
      <c r="F578">
        <v>46064.662638888891</v>
      </c>
    </row>
    <row r="579" spans="1:6" x14ac:dyDescent="0.25">
      <c r="A579">
        <v>578</v>
      </c>
      <c r="B579" t="s">
        <v>5</v>
      </c>
      <c r="C579" t="s">
        <v>7</v>
      </c>
      <c r="D579">
        <v>46064.5</v>
      </c>
      <c r="E579" t="s">
        <v>7</v>
      </c>
      <c r="F579">
        <v>46064.527777777781</v>
      </c>
    </row>
    <row r="580" spans="1:6" x14ac:dyDescent="0.25">
      <c r="A580">
        <v>579</v>
      </c>
      <c r="B580" t="s">
        <v>5</v>
      </c>
      <c r="C580" t="s">
        <v>10</v>
      </c>
      <c r="D580">
        <v>46064.519166666665</v>
      </c>
      <c r="E580" t="s">
        <v>9</v>
      </c>
      <c r="F580">
        <v>46065.358483796299</v>
      </c>
    </row>
    <row r="581" spans="1:6" x14ac:dyDescent="0.25">
      <c r="A581">
        <v>580</v>
      </c>
      <c r="B581" t="s">
        <v>5</v>
      </c>
      <c r="C581" t="s">
        <v>7</v>
      </c>
      <c r="D581">
        <v>46064.53125</v>
      </c>
      <c r="E581" t="s">
        <v>7</v>
      </c>
      <c r="F581">
        <v>46065.429745370369</v>
      </c>
    </row>
    <row r="582" spans="1:6" x14ac:dyDescent="0.25">
      <c r="A582">
        <v>581</v>
      </c>
      <c r="B582" t="s">
        <v>5</v>
      </c>
      <c r="C582" t="s">
        <v>7</v>
      </c>
      <c r="D582">
        <v>46064.541666666664</v>
      </c>
      <c r="E582" t="s">
        <v>7</v>
      </c>
      <c r="F582">
        <v>46064.583333333336</v>
      </c>
    </row>
    <row r="583" spans="1:6" x14ac:dyDescent="0.25">
      <c r="A583">
        <v>582</v>
      </c>
      <c r="B583" t="s">
        <v>5</v>
      </c>
      <c r="C583" t="s">
        <v>6</v>
      </c>
      <c r="D583">
        <v>46064.560925925929</v>
      </c>
      <c r="E583" t="s">
        <v>7</v>
      </c>
      <c r="F583">
        <v>46064.845497685186</v>
      </c>
    </row>
    <row r="584" spans="1:6" x14ac:dyDescent="0.25">
      <c r="A584">
        <v>583</v>
      </c>
      <c r="B584" t="s">
        <v>5</v>
      </c>
      <c r="C584" t="s">
        <v>6</v>
      </c>
      <c r="D584">
        <v>46064.583414351851</v>
      </c>
      <c r="E584" t="s">
        <v>7</v>
      </c>
      <c r="F584">
        <v>46065.518067129633</v>
      </c>
    </row>
    <row r="585" spans="1:6" x14ac:dyDescent="0.25">
      <c r="A585">
        <v>584</v>
      </c>
      <c r="B585" t="s">
        <v>5</v>
      </c>
      <c r="C585" t="s">
        <v>6</v>
      </c>
      <c r="D585">
        <v>46064.615960648145</v>
      </c>
      <c r="E585" t="s">
        <v>7</v>
      </c>
      <c r="F585">
        <v>46064.760428240741</v>
      </c>
    </row>
    <row r="586" spans="1:6" x14ac:dyDescent="0.25">
      <c r="A586">
        <v>585</v>
      </c>
      <c r="B586" t="s">
        <v>5</v>
      </c>
      <c r="C586" t="s">
        <v>6</v>
      </c>
      <c r="D586">
        <v>46064.695474537039</v>
      </c>
      <c r="E586" t="s">
        <v>8</v>
      </c>
      <c r="F586">
        <v>46064.846307870372</v>
      </c>
    </row>
    <row r="587" spans="1:6" x14ac:dyDescent="0.25">
      <c r="A587">
        <v>586</v>
      </c>
      <c r="B587" t="s">
        <v>5</v>
      </c>
      <c r="C587" t="s">
        <v>6</v>
      </c>
      <c r="D587">
        <v>46064.732118055559</v>
      </c>
      <c r="E587" t="s">
        <v>7</v>
      </c>
      <c r="F587">
        <v>46064.874745370369</v>
      </c>
    </row>
    <row r="588" spans="1:6" x14ac:dyDescent="0.25">
      <c r="A588">
        <v>587</v>
      </c>
      <c r="B588" t="s">
        <v>5</v>
      </c>
      <c r="C588" t="s">
        <v>6</v>
      </c>
      <c r="D588">
        <v>46064.850937499999</v>
      </c>
      <c r="E588" t="s">
        <v>7</v>
      </c>
      <c r="F588">
        <v>46065.02412037037</v>
      </c>
    </row>
    <row r="589" spans="1:6" x14ac:dyDescent="0.25">
      <c r="A589">
        <v>588</v>
      </c>
      <c r="B589" t="s">
        <v>5</v>
      </c>
      <c r="C589" t="s">
        <v>6</v>
      </c>
      <c r="D589">
        <v>46064.953032407408</v>
      </c>
      <c r="E589" t="s">
        <v>7</v>
      </c>
      <c r="F589">
        <v>46065.257789351854</v>
      </c>
    </row>
    <row r="590" spans="1:6" x14ac:dyDescent="0.25">
      <c r="A590">
        <v>589</v>
      </c>
      <c r="B590" t="s">
        <v>5</v>
      </c>
      <c r="C590" t="s">
        <v>6</v>
      </c>
      <c r="D590">
        <v>46065.278923611113</v>
      </c>
      <c r="E590" t="s">
        <v>9</v>
      </c>
      <c r="F590">
        <v>46065.423958333333</v>
      </c>
    </row>
    <row r="591" spans="1:6" x14ac:dyDescent="0.25">
      <c r="A591">
        <v>590</v>
      </c>
      <c r="B591" t="s">
        <v>5</v>
      </c>
      <c r="C591" t="s">
        <v>6</v>
      </c>
      <c r="D591">
        <v>46065.280115740738</v>
      </c>
      <c r="E591" t="s">
        <v>7</v>
      </c>
      <c r="F591">
        <v>46065.679675925923</v>
      </c>
    </row>
    <row r="592" spans="1:6" x14ac:dyDescent="0.25">
      <c r="A592">
        <v>591</v>
      </c>
      <c r="B592" t="s">
        <v>5</v>
      </c>
      <c r="C592" t="s">
        <v>10</v>
      </c>
      <c r="D592">
        <v>46065.28125</v>
      </c>
      <c r="E592" t="s">
        <v>10</v>
      </c>
      <c r="F592">
        <v>46065.3125</v>
      </c>
    </row>
    <row r="593" spans="1:6" x14ac:dyDescent="0.25">
      <c r="A593">
        <v>592</v>
      </c>
      <c r="B593" t="s">
        <v>5</v>
      </c>
      <c r="C593" t="s">
        <v>6</v>
      </c>
      <c r="D593">
        <v>46065.282685185186</v>
      </c>
      <c r="E593" t="s">
        <v>9</v>
      </c>
      <c r="F593">
        <v>46065.35434027778</v>
      </c>
    </row>
    <row r="594" spans="1:6" x14ac:dyDescent="0.25">
      <c r="A594">
        <v>593</v>
      </c>
      <c r="B594" t="s">
        <v>5</v>
      </c>
      <c r="C594" t="s">
        <v>7</v>
      </c>
      <c r="D594">
        <v>46065.34375</v>
      </c>
      <c r="E594" t="s">
        <v>7</v>
      </c>
      <c r="F594">
        <v>46065.371527777781</v>
      </c>
    </row>
    <row r="595" spans="1:6" x14ac:dyDescent="0.25">
      <c r="A595">
        <v>594</v>
      </c>
      <c r="B595" t="s">
        <v>5</v>
      </c>
      <c r="C595" t="s">
        <v>7</v>
      </c>
      <c r="D595">
        <v>46065.34375</v>
      </c>
      <c r="E595" t="s">
        <v>7</v>
      </c>
      <c r="F595">
        <v>46065.436111111114</v>
      </c>
    </row>
    <row r="596" spans="1:6" x14ac:dyDescent="0.25">
      <c r="A596">
        <v>595</v>
      </c>
      <c r="B596" t="s">
        <v>5</v>
      </c>
      <c r="C596" t="s">
        <v>7</v>
      </c>
      <c r="D596">
        <v>46065.354166666664</v>
      </c>
      <c r="E596" t="s">
        <v>7</v>
      </c>
      <c r="F596">
        <v>46065.451388888891</v>
      </c>
    </row>
    <row r="597" spans="1:6" x14ac:dyDescent="0.25">
      <c r="A597">
        <v>596</v>
      </c>
      <c r="B597" t="s">
        <v>5</v>
      </c>
      <c r="C597" t="s">
        <v>10</v>
      </c>
      <c r="D597">
        <v>46065.427083333336</v>
      </c>
      <c r="E597" t="s">
        <v>10</v>
      </c>
      <c r="F597">
        <v>46065.438888888886</v>
      </c>
    </row>
    <row r="598" spans="1:6" x14ac:dyDescent="0.25">
      <c r="A598">
        <v>597</v>
      </c>
      <c r="B598" t="s">
        <v>5</v>
      </c>
      <c r="C598" t="s">
        <v>7</v>
      </c>
      <c r="D598">
        <v>46065.440972222219</v>
      </c>
      <c r="E598" t="s">
        <v>7</v>
      </c>
      <c r="F598">
        <v>46065.5</v>
      </c>
    </row>
    <row r="599" spans="1:6" x14ac:dyDescent="0.25">
      <c r="A599">
        <v>598</v>
      </c>
      <c r="B599" t="s">
        <v>5</v>
      </c>
      <c r="C599" t="s">
        <v>10</v>
      </c>
      <c r="D599">
        <v>46065.486435185187</v>
      </c>
      <c r="E599" t="s">
        <v>8</v>
      </c>
      <c r="F599">
        <v>46065.836400462962</v>
      </c>
    </row>
    <row r="600" spans="1:6" x14ac:dyDescent="0.25">
      <c r="A600">
        <v>599</v>
      </c>
      <c r="B600" t="s">
        <v>5</v>
      </c>
      <c r="C600" t="s">
        <v>7</v>
      </c>
      <c r="D600">
        <v>46065.505555555559</v>
      </c>
      <c r="E600" t="s">
        <v>7</v>
      </c>
      <c r="F600">
        <v>46065.595138888886</v>
      </c>
    </row>
    <row r="601" spans="1:6" x14ac:dyDescent="0.25">
      <c r="A601">
        <v>600</v>
      </c>
      <c r="B601" t="s">
        <v>5</v>
      </c>
      <c r="C601" t="s">
        <v>7</v>
      </c>
      <c r="D601">
        <v>46065.506249999999</v>
      </c>
      <c r="E601" t="s">
        <v>7</v>
      </c>
      <c r="F601">
        <v>46065.545138888891</v>
      </c>
    </row>
    <row r="602" spans="1:6" x14ac:dyDescent="0.25">
      <c r="A602">
        <v>601</v>
      </c>
      <c r="B602" t="s">
        <v>5</v>
      </c>
      <c r="C602" t="s">
        <v>7</v>
      </c>
      <c r="D602">
        <v>46065.506944444445</v>
      </c>
      <c r="E602" t="s">
        <v>7</v>
      </c>
      <c r="F602">
        <v>46065.53125</v>
      </c>
    </row>
    <row r="603" spans="1:6" x14ac:dyDescent="0.25">
      <c r="A603">
        <v>602</v>
      </c>
      <c r="B603" t="s">
        <v>5</v>
      </c>
      <c r="C603" t="s">
        <v>6</v>
      </c>
      <c r="D603">
        <v>46065.520127314812</v>
      </c>
      <c r="E603" t="s">
        <v>7</v>
      </c>
      <c r="F603">
        <v>46066.505844907406</v>
      </c>
    </row>
    <row r="604" spans="1:6" x14ac:dyDescent="0.25">
      <c r="A604">
        <v>603</v>
      </c>
      <c r="B604" t="s">
        <v>5</v>
      </c>
      <c r="C604" t="s">
        <v>6</v>
      </c>
      <c r="D604">
        <v>46065.568368055552</v>
      </c>
      <c r="E604" t="s">
        <v>7</v>
      </c>
      <c r="F604">
        <v>46065.943206018521</v>
      </c>
    </row>
    <row r="605" spans="1:6" x14ac:dyDescent="0.25">
      <c r="A605">
        <v>604</v>
      </c>
      <c r="B605" t="s">
        <v>5</v>
      </c>
      <c r="C605" t="s">
        <v>6</v>
      </c>
      <c r="D605">
        <v>46065.625</v>
      </c>
      <c r="E605" t="s">
        <v>8</v>
      </c>
      <c r="F605">
        <v>46065.787569444445</v>
      </c>
    </row>
    <row r="606" spans="1:6" x14ac:dyDescent="0.25">
      <c r="A606">
        <v>605</v>
      </c>
      <c r="B606" t="s">
        <v>5</v>
      </c>
      <c r="C606" t="s">
        <v>7</v>
      </c>
      <c r="D606">
        <v>46065.708333333336</v>
      </c>
      <c r="E606" t="s">
        <v>8</v>
      </c>
      <c r="F606">
        <v>46066.731296296297</v>
      </c>
    </row>
    <row r="607" spans="1:6" x14ac:dyDescent="0.25">
      <c r="A607">
        <v>606</v>
      </c>
      <c r="B607" t="s">
        <v>5</v>
      </c>
      <c r="C607" t="s">
        <v>7</v>
      </c>
      <c r="D607">
        <v>46065.756944444445</v>
      </c>
      <c r="E607" t="s">
        <v>10</v>
      </c>
      <c r="F607">
        <v>46065.777777777781</v>
      </c>
    </row>
    <row r="608" spans="1:6" x14ac:dyDescent="0.25">
      <c r="A608">
        <v>607</v>
      </c>
      <c r="B608" t="s">
        <v>5</v>
      </c>
      <c r="C608" t="s">
        <v>6</v>
      </c>
      <c r="D608">
        <v>46065.882592592592</v>
      </c>
      <c r="E608" t="s">
        <v>7</v>
      </c>
      <c r="F608">
        <v>46066.51321759259</v>
      </c>
    </row>
    <row r="609" spans="1:6" x14ac:dyDescent="0.25">
      <c r="A609">
        <v>608</v>
      </c>
      <c r="B609" t="s">
        <v>5</v>
      </c>
      <c r="C609" t="s">
        <v>6</v>
      </c>
      <c r="D609">
        <v>46065.912974537037</v>
      </c>
      <c r="E609" t="s">
        <v>7</v>
      </c>
      <c r="F609">
        <v>46066.532800925925</v>
      </c>
    </row>
    <row r="610" spans="1:6" x14ac:dyDescent="0.25">
      <c r="A610">
        <v>609</v>
      </c>
      <c r="B610" t="s">
        <v>5</v>
      </c>
      <c r="C610" t="s">
        <v>6</v>
      </c>
      <c r="D610">
        <v>46066.011111111111</v>
      </c>
      <c r="E610" t="s">
        <v>7</v>
      </c>
      <c r="F610">
        <v>46066.756574074076</v>
      </c>
    </row>
    <row r="611" spans="1:6" x14ac:dyDescent="0.25">
      <c r="A611">
        <v>610</v>
      </c>
      <c r="B611" t="s">
        <v>5</v>
      </c>
      <c r="C611" t="s">
        <v>10</v>
      </c>
      <c r="D611">
        <v>46066.288194444445</v>
      </c>
      <c r="E611" t="s">
        <v>10</v>
      </c>
      <c r="F611">
        <v>46066.315972222219</v>
      </c>
    </row>
    <row r="612" spans="1:6" x14ac:dyDescent="0.25">
      <c r="A612">
        <v>611</v>
      </c>
      <c r="B612" t="s">
        <v>5</v>
      </c>
      <c r="C612" t="s">
        <v>7</v>
      </c>
      <c r="D612">
        <v>46066.34375</v>
      </c>
      <c r="E612" t="s">
        <v>7</v>
      </c>
      <c r="F612">
        <v>46066.416666666664</v>
      </c>
    </row>
    <row r="613" spans="1:6" x14ac:dyDescent="0.25">
      <c r="A613">
        <v>612</v>
      </c>
      <c r="B613" t="s">
        <v>5</v>
      </c>
      <c r="C613" t="s">
        <v>7</v>
      </c>
      <c r="D613">
        <v>46066.361111111109</v>
      </c>
      <c r="E613" t="s">
        <v>7</v>
      </c>
      <c r="F613">
        <v>46066.392361111109</v>
      </c>
    </row>
    <row r="614" spans="1:6" x14ac:dyDescent="0.25">
      <c r="A614">
        <v>613</v>
      </c>
      <c r="B614" t="s">
        <v>5</v>
      </c>
      <c r="C614" t="s">
        <v>12</v>
      </c>
      <c r="D614">
        <v>46066.369942129626</v>
      </c>
      <c r="E614" t="s">
        <v>9</v>
      </c>
      <c r="F614">
        <v>46066.564965277779</v>
      </c>
    </row>
    <row r="615" spans="1:6" x14ac:dyDescent="0.25">
      <c r="A615">
        <v>614</v>
      </c>
      <c r="B615" t="s">
        <v>5</v>
      </c>
      <c r="C615" t="s">
        <v>7</v>
      </c>
      <c r="D615">
        <v>46066.375</v>
      </c>
      <c r="E615" t="s">
        <v>7</v>
      </c>
      <c r="F615">
        <v>46066.541666666664</v>
      </c>
    </row>
    <row r="616" spans="1:6" x14ac:dyDescent="0.25">
      <c r="A616">
        <v>615</v>
      </c>
      <c r="B616" t="s">
        <v>5</v>
      </c>
      <c r="C616" t="s">
        <v>7</v>
      </c>
      <c r="D616">
        <v>46066.46875</v>
      </c>
      <c r="E616" t="s">
        <v>7</v>
      </c>
      <c r="F616">
        <v>46066.604166666664</v>
      </c>
    </row>
    <row r="617" spans="1:6" x14ac:dyDescent="0.25">
      <c r="A617">
        <v>616</v>
      </c>
      <c r="B617" t="s">
        <v>5</v>
      </c>
      <c r="C617" t="s">
        <v>10</v>
      </c>
      <c r="D617">
        <v>46066.472222222219</v>
      </c>
      <c r="E617" t="s">
        <v>8</v>
      </c>
      <c r="F617">
        <v>46066.619641203702</v>
      </c>
    </row>
    <row r="618" spans="1:6" x14ac:dyDescent="0.25">
      <c r="A618">
        <v>617</v>
      </c>
      <c r="B618" t="s">
        <v>5</v>
      </c>
      <c r="C618" t="s">
        <v>7</v>
      </c>
      <c r="D618">
        <v>46066.524305555555</v>
      </c>
      <c r="E618" t="s">
        <v>7</v>
      </c>
      <c r="F618">
        <v>46066.604166666664</v>
      </c>
    </row>
    <row r="619" spans="1:6" x14ac:dyDescent="0.25">
      <c r="A619">
        <v>618</v>
      </c>
      <c r="B619" t="s">
        <v>5</v>
      </c>
      <c r="C619" t="s">
        <v>7</v>
      </c>
      <c r="D619">
        <v>46066.630069444444</v>
      </c>
      <c r="E619" t="s">
        <v>8</v>
      </c>
      <c r="F619">
        <v>46066.918576388889</v>
      </c>
    </row>
    <row r="620" spans="1:6" x14ac:dyDescent="0.25">
      <c r="A620">
        <v>619</v>
      </c>
      <c r="B620" t="s">
        <v>5</v>
      </c>
      <c r="C620" t="s">
        <v>8</v>
      </c>
      <c r="D620">
        <v>46066.652777777781</v>
      </c>
      <c r="E620" t="s">
        <v>7</v>
      </c>
      <c r="F620">
        <v>46066.739583333336</v>
      </c>
    </row>
    <row r="621" spans="1:6" x14ac:dyDescent="0.25">
      <c r="A621">
        <v>620</v>
      </c>
      <c r="B621" t="s">
        <v>5</v>
      </c>
      <c r="C621" t="s">
        <v>10</v>
      </c>
      <c r="D621">
        <v>46066.675775462965</v>
      </c>
      <c r="E621" t="s">
        <v>7</v>
      </c>
      <c r="F621">
        <v>46066.908043981479</v>
      </c>
    </row>
    <row r="622" spans="1:6" x14ac:dyDescent="0.25">
      <c r="A622">
        <v>621</v>
      </c>
      <c r="B622" t="s">
        <v>5</v>
      </c>
      <c r="C622" t="s">
        <v>7</v>
      </c>
      <c r="D622">
        <v>46066.690972222219</v>
      </c>
      <c r="E622" t="s">
        <v>7</v>
      </c>
      <c r="F622">
        <v>46066.826388888891</v>
      </c>
    </row>
    <row r="623" spans="1:6" x14ac:dyDescent="0.25">
      <c r="A623">
        <v>622</v>
      </c>
      <c r="B623" t="s">
        <v>5</v>
      </c>
      <c r="C623" t="s">
        <v>6</v>
      </c>
      <c r="D623">
        <v>46066.876168981478</v>
      </c>
      <c r="E623" t="s">
        <v>7</v>
      </c>
      <c r="F623">
        <v>46067.941851851851</v>
      </c>
    </row>
    <row r="624" spans="1:6" x14ac:dyDescent="0.25">
      <c r="A624">
        <v>623</v>
      </c>
      <c r="B624" t="s">
        <v>5</v>
      </c>
      <c r="C624" t="s">
        <v>6</v>
      </c>
      <c r="D624">
        <v>46067.214745370373</v>
      </c>
      <c r="E624" t="s">
        <v>8</v>
      </c>
      <c r="F624">
        <v>46067.740567129629</v>
      </c>
    </row>
    <row r="625" spans="1:6" x14ac:dyDescent="0.25">
      <c r="A625">
        <v>624</v>
      </c>
      <c r="B625" t="s">
        <v>5</v>
      </c>
      <c r="C625" t="s">
        <v>7</v>
      </c>
      <c r="D625">
        <v>46067.375</v>
      </c>
      <c r="E625" t="s">
        <v>7</v>
      </c>
      <c r="F625">
        <v>46067.427083333336</v>
      </c>
    </row>
    <row r="626" spans="1:6" x14ac:dyDescent="0.25">
      <c r="A626">
        <v>625</v>
      </c>
      <c r="B626" t="s">
        <v>5</v>
      </c>
      <c r="C626" t="s">
        <v>7</v>
      </c>
      <c r="D626">
        <v>46067.381944444445</v>
      </c>
      <c r="E626" t="s">
        <v>7</v>
      </c>
      <c r="F626">
        <v>46067.423611111109</v>
      </c>
    </row>
    <row r="627" spans="1:6" x14ac:dyDescent="0.25">
      <c r="A627">
        <v>626</v>
      </c>
      <c r="B627" t="s">
        <v>5</v>
      </c>
      <c r="C627" t="s">
        <v>6</v>
      </c>
      <c r="D627">
        <v>46067.456469907411</v>
      </c>
      <c r="E627" t="s">
        <v>7</v>
      </c>
      <c r="F627">
        <v>46067.661990740744</v>
      </c>
    </row>
    <row r="628" spans="1:6" x14ac:dyDescent="0.25">
      <c r="A628">
        <v>627</v>
      </c>
      <c r="B628" t="s">
        <v>5</v>
      </c>
      <c r="C628" t="s">
        <v>10</v>
      </c>
      <c r="D628">
        <v>46067.479166666664</v>
      </c>
      <c r="E628" t="s">
        <v>10</v>
      </c>
      <c r="F628">
        <v>46067.548611111109</v>
      </c>
    </row>
    <row r="629" spans="1:6" x14ac:dyDescent="0.25">
      <c r="A629">
        <v>628</v>
      </c>
      <c r="B629" t="s">
        <v>5</v>
      </c>
      <c r="C629" t="s">
        <v>7</v>
      </c>
      <c r="D629">
        <v>46067.534722222219</v>
      </c>
      <c r="E629" t="s">
        <v>7</v>
      </c>
      <c r="F629">
        <v>46067.555555555555</v>
      </c>
    </row>
    <row r="630" spans="1:6" x14ac:dyDescent="0.25">
      <c r="A630">
        <v>629</v>
      </c>
      <c r="B630" t="s">
        <v>5</v>
      </c>
      <c r="C630" t="s">
        <v>10</v>
      </c>
      <c r="D630">
        <v>46067.619641203702</v>
      </c>
      <c r="E630" t="s">
        <v>7</v>
      </c>
      <c r="F630">
        <v>46068.669502314813</v>
      </c>
    </row>
    <row r="631" spans="1:6" x14ac:dyDescent="0.25">
      <c r="A631">
        <v>630</v>
      </c>
      <c r="B631" t="s">
        <v>5</v>
      </c>
      <c r="C631" t="s">
        <v>10</v>
      </c>
      <c r="D631">
        <v>46067.722916666666</v>
      </c>
      <c r="E631" t="s">
        <v>10</v>
      </c>
      <c r="F631">
        <v>46067.8125</v>
      </c>
    </row>
    <row r="632" spans="1:6" x14ac:dyDescent="0.25">
      <c r="A632">
        <v>631</v>
      </c>
      <c r="B632" t="s">
        <v>5</v>
      </c>
      <c r="C632" t="s">
        <v>7</v>
      </c>
      <c r="D632">
        <v>46067.730555555558</v>
      </c>
      <c r="E632" t="s">
        <v>7</v>
      </c>
      <c r="F632">
        <v>46067.763888888891</v>
      </c>
    </row>
    <row r="633" spans="1:6" x14ac:dyDescent="0.25">
      <c r="A633">
        <v>632</v>
      </c>
      <c r="B633" t="s">
        <v>5</v>
      </c>
      <c r="C633" t="s">
        <v>6</v>
      </c>
      <c r="D633">
        <v>46067.808854166666</v>
      </c>
      <c r="E633" t="s">
        <v>7</v>
      </c>
      <c r="F633">
        <v>46068.842488425929</v>
      </c>
    </row>
    <row r="634" spans="1:6" x14ac:dyDescent="0.25">
      <c r="A634">
        <v>633</v>
      </c>
      <c r="B634" t="s">
        <v>5</v>
      </c>
      <c r="C634" t="s">
        <v>6</v>
      </c>
      <c r="D634">
        <v>46067.872372685182</v>
      </c>
      <c r="E634" t="s">
        <v>7</v>
      </c>
      <c r="F634">
        <v>46068.661180555559</v>
      </c>
    </row>
    <row r="635" spans="1:6" x14ac:dyDescent="0.25">
      <c r="A635">
        <v>634</v>
      </c>
      <c r="B635" t="s">
        <v>5</v>
      </c>
      <c r="C635" t="s">
        <v>6</v>
      </c>
      <c r="D635">
        <v>46068.027615740742</v>
      </c>
      <c r="E635" t="s">
        <v>7</v>
      </c>
      <c r="F635">
        <v>46068.53230324074</v>
      </c>
    </row>
    <row r="636" spans="1:6" x14ac:dyDescent="0.25">
      <c r="A636">
        <v>635</v>
      </c>
      <c r="B636" t="s">
        <v>5</v>
      </c>
      <c r="C636" t="s">
        <v>6</v>
      </c>
      <c r="D636">
        <v>46068.049849537034</v>
      </c>
      <c r="E636" t="s">
        <v>7</v>
      </c>
      <c r="F636">
        <v>46068.644270833334</v>
      </c>
    </row>
    <row r="637" spans="1:6" x14ac:dyDescent="0.25">
      <c r="A637">
        <v>636</v>
      </c>
      <c r="B637" t="s">
        <v>5</v>
      </c>
      <c r="C637" t="s">
        <v>6</v>
      </c>
      <c r="D637">
        <v>46068.182638888888</v>
      </c>
      <c r="E637" t="s">
        <v>7</v>
      </c>
      <c r="F637">
        <v>46069.543368055558</v>
      </c>
    </row>
    <row r="638" spans="1:6" x14ac:dyDescent="0.25">
      <c r="A638">
        <v>637</v>
      </c>
      <c r="B638" t="s">
        <v>5</v>
      </c>
      <c r="C638" t="s">
        <v>7</v>
      </c>
      <c r="D638">
        <v>46068.388888888891</v>
      </c>
      <c r="E638" t="s">
        <v>7</v>
      </c>
      <c r="F638">
        <v>46068.418055555558</v>
      </c>
    </row>
    <row r="639" spans="1:6" x14ac:dyDescent="0.25">
      <c r="A639">
        <v>638</v>
      </c>
      <c r="B639" t="s">
        <v>5</v>
      </c>
      <c r="C639" t="s">
        <v>10</v>
      </c>
      <c r="D639">
        <v>46068.46875</v>
      </c>
      <c r="E639" t="s">
        <v>8</v>
      </c>
      <c r="F639">
        <v>46069.852349537039</v>
      </c>
    </row>
    <row r="640" spans="1:6" x14ac:dyDescent="0.25">
      <c r="A640">
        <v>639</v>
      </c>
      <c r="B640" t="s">
        <v>5</v>
      </c>
      <c r="C640" t="s">
        <v>6</v>
      </c>
      <c r="D640">
        <v>46068.479826388888</v>
      </c>
      <c r="E640" t="s">
        <v>7</v>
      </c>
      <c r="F640">
        <v>46069.536504629628</v>
      </c>
    </row>
    <row r="641" spans="1:6" x14ac:dyDescent="0.25">
      <c r="A641">
        <v>640</v>
      </c>
      <c r="B641" t="s">
        <v>5</v>
      </c>
      <c r="C641" t="s">
        <v>6</v>
      </c>
      <c r="D641">
        <v>46068.717511574076</v>
      </c>
      <c r="E641" t="s">
        <v>7</v>
      </c>
      <c r="F641">
        <v>46069.684062499997</v>
      </c>
    </row>
    <row r="642" spans="1:6" x14ac:dyDescent="0.25">
      <c r="A642">
        <v>641</v>
      </c>
      <c r="B642" t="s">
        <v>5</v>
      </c>
      <c r="C642" t="s">
        <v>6</v>
      </c>
      <c r="D642">
        <v>46068.835439814815</v>
      </c>
      <c r="E642" t="s">
        <v>7</v>
      </c>
      <c r="F642">
        <v>46069.6640625</v>
      </c>
    </row>
    <row r="643" spans="1:6" x14ac:dyDescent="0.25">
      <c r="A643">
        <v>642</v>
      </c>
      <c r="B643" t="s">
        <v>5</v>
      </c>
      <c r="C643" t="s">
        <v>6</v>
      </c>
      <c r="D643">
        <v>46068.850324074076</v>
      </c>
      <c r="E643" t="s">
        <v>7</v>
      </c>
      <c r="F643">
        <v>46070.619432870371</v>
      </c>
    </row>
    <row r="644" spans="1:6" x14ac:dyDescent="0.25">
      <c r="A644">
        <v>643</v>
      </c>
      <c r="B644" t="s">
        <v>5</v>
      </c>
      <c r="C644" t="s">
        <v>6</v>
      </c>
      <c r="D644">
        <v>46068.973958333336</v>
      </c>
      <c r="E644" t="s">
        <v>7</v>
      </c>
      <c r="F644">
        <v>46069.242418981485</v>
      </c>
    </row>
    <row r="645" spans="1:6" x14ac:dyDescent="0.25">
      <c r="A645">
        <v>644</v>
      </c>
      <c r="B645" t="s">
        <v>5</v>
      </c>
      <c r="C645" t="s">
        <v>6</v>
      </c>
      <c r="D645">
        <v>46069.023993055554</v>
      </c>
      <c r="E645" t="s">
        <v>7</v>
      </c>
      <c r="F645">
        <v>46069.654907407406</v>
      </c>
    </row>
    <row r="646" spans="1:6" x14ac:dyDescent="0.25">
      <c r="A646">
        <v>645</v>
      </c>
      <c r="B646" t="s">
        <v>5</v>
      </c>
      <c r="C646" t="s">
        <v>6</v>
      </c>
      <c r="D646">
        <v>46069.091608796298</v>
      </c>
      <c r="E646" t="s">
        <v>7</v>
      </c>
      <c r="F646">
        <v>46069.71166666667</v>
      </c>
    </row>
    <row r="647" spans="1:6" x14ac:dyDescent="0.25">
      <c r="A647">
        <v>646</v>
      </c>
      <c r="B647" t="s">
        <v>5</v>
      </c>
      <c r="C647" t="s">
        <v>6</v>
      </c>
      <c r="D647">
        <v>46069.130972222221</v>
      </c>
      <c r="E647" t="s">
        <v>7</v>
      </c>
      <c r="F647">
        <v>46069.623194444444</v>
      </c>
    </row>
    <row r="648" spans="1:6" x14ac:dyDescent="0.25">
      <c r="A648">
        <v>647</v>
      </c>
      <c r="B648" t="s">
        <v>5</v>
      </c>
      <c r="C648" t="s">
        <v>7</v>
      </c>
      <c r="D648">
        <v>46069.333333333336</v>
      </c>
      <c r="E648" t="s">
        <v>7</v>
      </c>
      <c r="F648">
        <v>46069.370833333334</v>
      </c>
    </row>
    <row r="649" spans="1:6" x14ac:dyDescent="0.25">
      <c r="A649">
        <v>648</v>
      </c>
      <c r="B649" t="s">
        <v>5</v>
      </c>
      <c r="C649" t="s">
        <v>7</v>
      </c>
      <c r="D649">
        <v>46069.340277777781</v>
      </c>
      <c r="E649" t="s">
        <v>7</v>
      </c>
      <c r="F649">
        <v>46069.465277777781</v>
      </c>
    </row>
    <row r="650" spans="1:6" x14ac:dyDescent="0.25">
      <c r="A650">
        <v>649</v>
      </c>
      <c r="B650" t="s">
        <v>5</v>
      </c>
      <c r="C650" t="s">
        <v>7</v>
      </c>
      <c r="D650">
        <v>46069.34375</v>
      </c>
      <c r="E650" t="s">
        <v>7</v>
      </c>
      <c r="F650">
        <v>46069.451388888891</v>
      </c>
    </row>
    <row r="651" spans="1:6" x14ac:dyDescent="0.25">
      <c r="A651">
        <v>650</v>
      </c>
      <c r="B651" t="s">
        <v>5</v>
      </c>
      <c r="C651" t="s">
        <v>8</v>
      </c>
      <c r="D651">
        <v>46069.361111111109</v>
      </c>
      <c r="E651" t="s">
        <v>10</v>
      </c>
      <c r="F651">
        <v>46069.465277777781</v>
      </c>
    </row>
    <row r="652" spans="1:6" x14ac:dyDescent="0.25">
      <c r="A652">
        <v>651</v>
      </c>
      <c r="B652" t="s">
        <v>5</v>
      </c>
      <c r="C652" t="s">
        <v>8</v>
      </c>
      <c r="D652">
        <v>46069.40625</v>
      </c>
      <c r="E652" t="s">
        <v>7</v>
      </c>
      <c r="F652">
        <v>46069.431250000001</v>
      </c>
    </row>
    <row r="653" spans="1:6" x14ac:dyDescent="0.25">
      <c r="A653">
        <v>652</v>
      </c>
      <c r="B653" t="s">
        <v>5</v>
      </c>
      <c r="C653" t="s">
        <v>7</v>
      </c>
      <c r="D653">
        <v>46069.447916666664</v>
      </c>
      <c r="E653" t="s">
        <v>8</v>
      </c>
      <c r="F653">
        <v>46069.522222222222</v>
      </c>
    </row>
    <row r="654" spans="1:6" x14ac:dyDescent="0.25">
      <c r="A654">
        <v>653</v>
      </c>
      <c r="B654" t="s">
        <v>5</v>
      </c>
      <c r="C654" t="s">
        <v>6</v>
      </c>
      <c r="D654">
        <v>46069.481956018521</v>
      </c>
      <c r="E654" t="s">
        <v>8</v>
      </c>
      <c r="F654">
        <v>46069.791006944448</v>
      </c>
    </row>
    <row r="655" spans="1:6" x14ac:dyDescent="0.25">
      <c r="A655">
        <v>654</v>
      </c>
      <c r="B655" t="s">
        <v>5</v>
      </c>
      <c r="C655" t="s">
        <v>10</v>
      </c>
      <c r="D655">
        <v>46069.519872685189</v>
      </c>
      <c r="E655" t="s">
        <v>9</v>
      </c>
      <c r="F655">
        <v>46070.546041666668</v>
      </c>
    </row>
    <row r="656" spans="1:6" x14ac:dyDescent="0.25">
      <c r="A656">
        <v>655</v>
      </c>
      <c r="B656" t="s">
        <v>5</v>
      </c>
      <c r="C656" t="s">
        <v>7</v>
      </c>
      <c r="D656">
        <v>46069.5625</v>
      </c>
      <c r="E656" t="s">
        <v>7</v>
      </c>
      <c r="F656">
        <v>46069.666666666664</v>
      </c>
    </row>
    <row r="657" spans="1:6" x14ac:dyDescent="0.25">
      <c r="A657">
        <v>656</v>
      </c>
      <c r="B657" t="s">
        <v>5</v>
      </c>
      <c r="C657" t="s">
        <v>6</v>
      </c>
      <c r="D657">
        <v>46069.591990740744</v>
      </c>
      <c r="E657" t="s">
        <v>7</v>
      </c>
      <c r="F657">
        <v>46069.861886574072</v>
      </c>
    </row>
    <row r="658" spans="1:6" x14ac:dyDescent="0.25">
      <c r="A658">
        <v>657</v>
      </c>
      <c r="B658" t="s">
        <v>5</v>
      </c>
      <c r="C658" t="s">
        <v>6</v>
      </c>
      <c r="D658">
        <v>46069.599189814813</v>
      </c>
      <c r="E658" t="s">
        <v>7</v>
      </c>
      <c r="F658">
        <v>46069.880810185183</v>
      </c>
    </row>
    <row r="659" spans="1:6" x14ac:dyDescent="0.25">
      <c r="A659">
        <v>658</v>
      </c>
      <c r="B659" t="s">
        <v>5</v>
      </c>
      <c r="C659" t="s">
        <v>8</v>
      </c>
      <c r="D659">
        <v>46069.75</v>
      </c>
      <c r="E659" t="s">
        <v>10</v>
      </c>
      <c r="F659">
        <v>46069.840277777781</v>
      </c>
    </row>
    <row r="660" spans="1:6" x14ac:dyDescent="0.25">
      <c r="A660">
        <v>659</v>
      </c>
      <c r="B660" t="s">
        <v>5</v>
      </c>
      <c r="C660" t="s">
        <v>6</v>
      </c>
      <c r="D660">
        <v>46069.896655092591</v>
      </c>
      <c r="E660" t="s">
        <v>7</v>
      </c>
      <c r="F660">
        <v>46070.03601851852</v>
      </c>
    </row>
    <row r="661" spans="1:6" x14ac:dyDescent="0.25">
      <c r="A661">
        <v>660</v>
      </c>
      <c r="B661" t="s">
        <v>5</v>
      </c>
      <c r="C661" t="s">
        <v>6</v>
      </c>
      <c r="D661">
        <v>46069.90697916667</v>
      </c>
      <c r="E661" t="s">
        <v>8</v>
      </c>
      <c r="F661">
        <v>46070.015763888892</v>
      </c>
    </row>
    <row r="662" spans="1:6" x14ac:dyDescent="0.25">
      <c r="A662">
        <v>661</v>
      </c>
      <c r="B662" t="s">
        <v>5</v>
      </c>
      <c r="C662" t="s">
        <v>7</v>
      </c>
      <c r="D662">
        <v>46070.340277777781</v>
      </c>
      <c r="E662" t="s">
        <v>7</v>
      </c>
      <c r="F662">
        <v>46070.413194444445</v>
      </c>
    </row>
    <row r="663" spans="1:6" x14ac:dyDescent="0.25">
      <c r="A663">
        <v>662</v>
      </c>
      <c r="B663" t="s">
        <v>5</v>
      </c>
      <c r="C663" t="s">
        <v>10</v>
      </c>
      <c r="D663">
        <v>46070.343518518515</v>
      </c>
      <c r="E663" t="s">
        <v>7</v>
      </c>
      <c r="F663">
        <v>46070.679467592592</v>
      </c>
    </row>
    <row r="664" spans="1:6" x14ac:dyDescent="0.25">
      <c r="A664">
        <v>663</v>
      </c>
      <c r="B664" t="s">
        <v>5</v>
      </c>
      <c r="C664" t="s">
        <v>7</v>
      </c>
      <c r="D664">
        <v>46070.364583333336</v>
      </c>
      <c r="E664" t="s">
        <v>7</v>
      </c>
      <c r="F664">
        <v>46070.454861111109</v>
      </c>
    </row>
    <row r="665" spans="1:6" x14ac:dyDescent="0.25">
      <c r="A665">
        <v>664</v>
      </c>
      <c r="B665" t="s">
        <v>5</v>
      </c>
      <c r="C665" t="s">
        <v>8</v>
      </c>
      <c r="D665">
        <v>46070.371527777781</v>
      </c>
      <c r="E665" t="s">
        <v>7</v>
      </c>
      <c r="F665">
        <v>46070.458333333336</v>
      </c>
    </row>
    <row r="666" spans="1:6" x14ac:dyDescent="0.25">
      <c r="A666">
        <v>665</v>
      </c>
      <c r="B666" t="s">
        <v>5</v>
      </c>
      <c r="C666" t="s">
        <v>7</v>
      </c>
      <c r="D666">
        <v>46070.375</v>
      </c>
      <c r="E666" t="s">
        <v>7</v>
      </c>
      <c r="F666">
        <v>46070.479166666664</v>
      </c>
    </row>
    <row r="667" spans="1:6" x14ac:dyDescent="0.25">
      <c r="A667">
        <v>666</v>
      </c>
      <c r="B667" t="s">
        <v>5</v>
      </c>
      <c r="C667" t="s">
        <v>10</v>
      </c>
      <c r="D667">
        <v>46070.451388888891</v>
      </c>
      <c r="E667" t="s">
        <v>10</v>
      </c>
      <c r="F667">
        <v>46070.541666666664</v>
      </c>
    </row>
    <row r="668" spans="1:6" x14ac:dyDescent="0.25">
      <c r="A668">
        <v>667</v>
      </c>
      <c r="B668" t="s">
        <v>5</v>
      </c>
      <c r="C668" t="s">
        <v>7</v>
      </c>
      <c r="D668">
        <v>46070.486111111109</v>
      </c>
      <c r="E668" t="s">
        <v>7</v>
      </c>
      <c r="F668">
        <v>46070.541666666664</v>
      </c>
    </row>
    <row r="669" spans="1:6" x14ac:dyDescent="0.25">
      <c r="A669">
        <v>668</v>
      </c>
      <c r="B669" t="s">
        <v>5</v>
      </c>
      <c r="C669" t="s">
        <v>6</v>
      </c>
      <c r="D669">
        <v>46070.486851851849</v>
      </c>
      <c r="E669" t="s">
        <v>7</v>
      </c>
      <c r="F669">
        <v>46071.031215277777</v>
      </c>
    </row>
    <row r="670" spans="1:6" x14ac:dyDescent="0.25">
      <c r="A670">
        <v>669</v>
      </c>
      <c r="B670" t="s">
        <v>5</v>
      </c>
      <c r="C670" t="s">
        <v>6</v>
      </c>
      <c r="D670">
        <v>46070.52039351852</v>
      </c>
      <c r="E670" t="s">
        <v>7</v>
      </c>
      <c r="F670">
        <v>46070.721493055556</v>
      </c>
    </row>
    <row r="671" spans="1:6" x14ac:dyDescent="0.25">
      <c r="A671">
        <v>670</v>
      </c>
      <c r="B671" t="s">
        <v>5</v>
      </c>
      <c r="C671" t="s">
        <v>7</v>
      </c>
      <c r="D671">
        <v>46070.618055555555</v>
      </c>
      <c r="E671" t="s">
        <v>7</v>
      </c>
      <c r="F671">
        <v>46070.708333333336</v>
      </c>
    </row>
    <row r="672" spans="1:6" x14ac:dyDescent="0.25">
      <c r="A672">
        <v>671</v>
      </c>
      <c r="B672" t="s">
        <v>5</v>
      </c>
      <c r="C672" t="s">
        <v>7</v>
      </c>
      <c r="D672">
        <v>46070.618055555555</v>
      </c>
      <c r="E672" t="s">
        <v>7</v>
      </c>
      <c r="F672">
        <v>46070.753472222219</v>
      </c>
    </row>
    <row r="673" spans="1:6" x14ac:dyDescent="0.25">
      <c r="A673">
        <v>672</v>
      </c>
      <c r="B673" t="s">
        <v>5</v>
      </c>
      <c r="C673" t="s">
        <v>6</v>
      </c>
      <c r="D673">
        <v>46070.627488425926</v>
      </c>
      <c r="E673" t="s">
        <v>8</v>
      </c>
      <c r="F673">
        <v>46070.777361111112</v>
      </c>
    </row>
    <row r="674" spans="1:6" x14ac:dyDescent="0.25">
      <c r="A674">
        <v>673</v>
      </c>
      <c r="B674" t="s">
        <v>5</v>
      </c>
      <c r="C674" t="s">
        <v>7</v>
      </c>
      <c r="D674">
        <v>46070.659722222219</v>
      </c>
      <c r="E674" t="s">
        <v>7</v>
      </c>
      <c r="F674">
        <v>46070.708333333336</v>
      </c>
    </row>
    <row r="675" spans="1:6" x14ac:dyDescent="0.25">
      <c r="A675">
        <v>674</v>
      </c>
      <c r="B675" t="s">
        <v>5</v>
      </c>
      <c r="C675" t="s">
        <v>10</v>
      </c>
      <c r="D675">
        <v>46070.722222222219</v>
      </c>
      <c r="E675" t="s">
        <v>10</v>
      </c>
      <c r="F675">
        <v>46070.857638888891</v>
      </c>
    </row>
    <row r="676" spans="1:6" x14ac:dyDescent="0.25">
      <c r="A676">
        <v>675</v>
      </c>
      <c r="B676" t="s">
        <v>5</v>
      </c>
      <c r="C676" t="s">
        <v>6</v>
      </c>
      <c r="D676">
        <v>46070.922754629632</v>
      </c>
      <c r="E676" t="s">
        <v>7</v>
      </c>
      <c r="F676">
        <v>46072.487245370372</v>
      </c>
    </row>
    <row r="677" spans="1:6" x14ac:dyDescent="0.25">
      <c r="A677">
        <v>676</v>
      </c>
      <c r="B677" t="s">
        <v>5</v>
      </c>
      <c r="C677" t="s">
        <v>6</v>
      </c>
      <c r="D677">
        <v>46070.923541666663</v>
      </c>
      <c r="E677" t="s">
        <v>7</v>
      </c>
      <c r="F677">
        <v>46071.261111111111</v>
      </c>
    </row>
    <row r="678" spans="1:6" x14ac:dyDescent="0.25">
      <c r="A678">
        <v>677</v>
      </c>
      <c r="B678" t="s">
        <v>5</v>
      </c>
      <c r="C678" t="s">
        <v>12</v>
      </c>
      <c r="D678">
        <v>46071.323854166665</v>
      </c>
      <c r="E678" t="s">
        <v>7</v>
      </c>
      <c r="F678">
        <v>46071.549201388887</v>
      </c>
    </row>
    <row r="679" spans="1:6" x14ac:dyDescent="0.25">
      <c r="A679">
        <v>678</v>
      </c>
      <c r="B679" t="s">
        <v>5</v>
      </c>
      <c r="C679" t="s">
        <v>6</v>
      </c>
      <c r="D679">
        <v>46071.32744212963</v>
      </c>
      <c r="E679" t="s">
        <v>8</v>
      </c>
      <c r="F679">
        <v>46071.606863425928</v>
      </c>
    </row>
    <row r="680" spans="1:6" x14ac:dyDescent="0.25">
      <c r="A680">
        <v>679</v>
      </c>
      <c r="B680" t="s">
        <v>5</v>
      </c>
      <c r="C680" t="s">
        <v>7</v>
      </c>
      <c r="D680">
        <v>46071.347222222219</v>
      </c>
      <c r="E680" t="s">
        <v>7</v>
      </c>
      <c r="F680">
        <v>46071.493055555555</v>
      </c>
    </row>
    <row r="681" spans="1:6" x14ac:dyDescent="0.25">
      <c r="A681">
        <v>680</v>
      </c>
      <c r="B681" t="s">
        <v>5</v>
      </c>
      <c r="C681" t="s">
        <v>7</v>
      </c>
      <c r="D681">
        <v>46071.347222222219</v>
      </c>
      <c r="E681" t="s">
        <v>7</v>
      </c>
      <c r="F681">
        <v>46071.378472222219</v>
      </c>
    </row>
    <row r="682" spans="1:6" x14ac:dyDescent="0.25">
      <c r="A682">
        <v>681</v>
      </c>
      <c r="B682" t="s">
        <v>5</v>
      </c>
      <c r="C682" t="s">
        <v>7</v>
      </c>
      <c r="D682">
        <v>46071.350694444445</v>
      </c>
      <c r="E682" t="s">
        <v>7</v>
      </c>
      <c r="F682">
        <v>46071.4375</v>
      </c>
    </row>
    <row r="683" spans="1:6" x14ac:dyDescent="0.25">
      <c r="A683">
        <v>682</v>
      </c>
      <c r="B683" t="s">
        <v>5</v>
      </c>
      <c r="C683" t="s">
        <v>7</v>
      </c>
      <c r="D683">
        <v>46071.423611111109</v>
      </c>
      <c r="E683" t="s">
        <v>7</v>
      </c>
      <c r="F683">
        <v>46071.4375</v>
      </c>
    </row>
    <row r="684" spans="1:6" x14ac:dyDescent="0.25">
      <c r="A684">
        <v>683</v>
      </c>
      <c r="B684" t="s">
        <v>5</v>
      </c>
      <c r="C684" t="s">
        <v>10</v>
      </c>
      <c r="D684">
        <v>46071.465729166666</v>
      </c>
      <c r="E684" t="s">
        <v>7</v>
      </c>
      <c r="F684">
        <v>46071.780474537038</v>
      </c>
    </row>
    <row r="685" spans="1:6" x14ac:dyDescent="0.25">
      <c r="A685">
        <v>684</v>
      </c>
      <c r="B685" t="s">
        <v>5</v>
      </c>
      <c r="C685" t="s">
        <v>7</v>
      </c>
      <c r="D685">
        <v>46071.53402777778</v>
      </c>
      <c r="E685" t="s">
        <v>7</v>
      </c>
      <c r="F685">
        <v>46071.673611111109</v>
      </c>
    </row>
    <row r="686" spans="1:6" x14ac:dyDescent="0.25">
      <c r="A686">
        <v>685</v>
      </c>
      <c r="B686" t="s">
        <v>5</v>
      </c>
      <c r="C686" t="s">
        <v>7</v>
      </c>
      <c r="D686">
        <v>46071.583333333336</v>
      </c>
      <c r="E686" t="s">
        <v>7</v>
      </c>
      <c r="F686">
        <v>46071.616666666669</v>
      </c>
    </row>
    <row r="687" spans="1:6" x14ac:dyDescent="0.25">
      <c r="A687">
        <v>686</v>
      </c>
      <c r="B687" t="s">
        <v>5</v>
      </c>
      <c r="C687" t="s">
        <v>6</v>
      </c>
      <c r="D687">
        <v>46071.620775462965</v>
      </c>
      <c r="E687" t="s">
        <v>7</v>
      </c>
      <c r="F687">
        <v>46072.639016203706</v>
      </c>
    </row>
    <row r="688" spans="1:6" x14ac:dyDescent="0.25">
      <c r="A688">
        <v>687</v>
      </c>
      <c r="B688" t="s">
        <v>5</v>
      </c>
      <c r="C688" t="s">
        <v>10</v>
      </c>
      <c r="D688">
        <v>46071.677083333336</v>
      </c>
      <c r="E688" t="s">
        <v>10</v>
      </c>
      <c r="F688">
        <v>46071.679166666669</v>
      </c>
    </row>
    <row r="689" spans="1:6" x14ac:dyDescent="0.25">
      <c r="A689">
        <v>688</v>
      </c>
      <c r="B689" t="s">
        <v>5</v>
      </c>
      <c r="C689" t="s">
        <v>10</v>
      </c>
      <c r="D689">
        <v>46071.736111111109</v>
      </c>
      <c r="E689" t="s">
        <v>10</v>
      </c>
      <c r="F689">
        <v>46071.777777777781</v>
      </c>
    </row>
    <row r="690" spans="1:6" x14ac:dyDescent="0.25">
      <c r="A690">
        <v>689</v>
      </c>
      <c r="B690" t="s">
        <v>5</v>
      </c>
      <c r="C690" t="s">
        <v>6</v>
      </c>
      <c r="D690">
        <v>46072.285127314812</v>
      </c>
      <c r="E690" t="s">
        <v>9</v>
      </c>
      <c r="F690">
        <v>46072.574791666666</v>
      </c>
    </row>
    <row r="691" spans="1:6" x14ac:dyDescent="0.25">
      <c r="A691">
        <v>690</v>
      </c>
      <c r="B691" t="s">
        <v>5</v>
      </c>
      <c r="C691" t="s">
        <v>6</v>
      </c>
      <c r="D691">
        <v>46072.288356481484</v>
      </c>
      <c r="E691" t="s">
        <v>7</v>
      </c>
      <c r="F691">
        <v>46072.471388888887</v>
      </c>
    </row>
    <row r="692" spans="1:6" x14ac:dyDescent="0.25">
      <c r="A692">
        <v>691</v>
      </c>
      <c r="B692" t="s">
        <v>5</v>
      </c>
      <c r="C692" t="s">
        <v>6</v>
      </c>
      <c r="D692">
        <v>46072.318692129629</v>
      </c>
      <c r="E692" t="s">
        <v>7</v>
      </c>
      <c r="F692">
        <v>46072.671168981484</v>
      </c>
    </row>
    <row r="693" spans="1:6" x14ac:dyDescent="0.25">
      <c r="A693">
        <v>692</v>
      </c>
      <c r="B693" t="s">
        <v>5</v>
      </c>
      <c r="C693" t="s">
        <v>7</v>
      </c>
      <c r="D693">
        <v>46072.347222222219</v>
      </c>
      <c r="E693" t="s">
        <v>7</v>
      </c>
      <c r="F693">
        <v>46072.40625</v>
      </c>
    </row>
    <row r="694" spans="1:6" x14ac:dyDescent="0.25">
      <c r="A694">
        <v>693</v>
      </c>
      <c r="B694" t="s">
        <v>5</v>
      </c>
      <c r="C694" t="s">
        <v>7</v>
      </c>
      <c r="D694">
        <v>46072.368055555555</v>
      </c>
      <c r="E694" t="s">
        <v>7</v>
      </c>
      <c r="F694">
        <v>46072.451388888891</v>
      </c>
    </row>
    <row r="695" spans="1:6" x14ac:dyDescent="0.25">
      <c r="A695">
        <v>694</v>
      </c>
      <c r="B695" t="s">
        <v>5</v>
      </c>
      <c r="C695" t="s">
        <v>7</v>
      </c>
      <c r="D695">
        <v>46072.371527777781</v>
      </c>
      <c r="E695" t="s">
        <v>7</v>
      </c>
      <c r="F695">
        <v>46072.486111111109</v>
      </c>
    </row>
    <row r="696" spans="1:6" x14ac:dyDescent="0.25">
      <c r="A696">
        <v>695</v>
      </c>
      <c r="B696" t="s">
        <v>5</v>
      </c>
      <c r="C696" t="s">
        <v>6</v>
      </c>
      <c r="D696">
        <v>46072.39230324074</v>
      </c>
      <c r="E696" t="s">
        <v>7</v>
      </c>
      <c r="F696">
        <v>46072.531898148147</v>
      </c>
    </row>
    <row r="697" spans="1:6" x14ac:dyDescent="0.25">
      <c r="A697">
        <v>696</v>
      </c>
      <c r="B697" t="s">
        <v>5</v>
      </c>
      <c r="C697" t="s">
        <v>7</v>
      </c>
      <c r="D697">
        <v>46072.475694444445</v>
      </c>
      <c r="E697" t="s">
        <v>7</v>
      </c>
      <c r="F697">
        <v>46072.534722222219</v>
      </c>
    </row>
    <row r="698" spans="1:6" x14ac:dyDescent="0.25">
      <c r="A698">
        <v>697</v>
      </c>
      <c r="B698" t="s">
        <v>5</v>
      </c>
      <c r="C698" t="s">
        <v>6</v>
      </c>
      <c r="D698">
        <v>46072.496655092589</v>
      </c>
      <c r="E698" t="s">
        <v>9</v>
      </c>
      <c r="F698">
        <v>46072.604594907411</v>
      </c>
    </row>
    <row r="699" spans="1:6" x14ac:dyDescent="0.25">
      <c r="A699">
        <v>698</v>
      </c>
      <c r="B699" t="s">
        <v>5</v>
      </c>
      <c r="C699" t="s">
        <v>6</v>
      </c>
      <c r="D699">
        <v>46072.538124999999</v>
      </c>
      <c r="E699" t="s">
        <v>7</v>
      </c>
      <c r="F699">
        <v>46072.752013888887</v>
      </c>
    </row>
    <row r="700" spans="1:6" x14ac:dyDescent="0.25">
      <c r="A700">
        <v>699</v>
      </c>
      <c r="B700" t="s">
        <v>5</v>
      </c>
      <c r="C700" t="s">
        <v>12</v>
      </c>
      <c r="D700">
        <v>46072.541666666664</v>
      </c>
      <c r="E700" t="s">
        <v>12</v>
      </c>
      <c r="F700">
        <v>46072.621527777781</v>
      </c>
    </row>
    <row r="701" spans="1:6" x14ac:dyDescent="0.25">
      <c r="A701">
        <v>700</v>
      </c>
      <c r="B701" t="s">
        <v>5</v>
      </c>
      <c r="C701" t="s">
        <v>10</v>
      </c>
      <c r="D701">
        <v>46072.578796296293</v>
      </c>
      <c r="E701" t="s">
        <v>10</v>
      </c>
      <c r="F701">
        <v>46072.672418981485</v>
      </c>
    </row>
    <row r="702" spans="1:6" x14ac:dyDescent="0.25">
      <c r="A702">
        <v>701</v>
      </c>
      <c r="B702" t="s">
        <v>5</v>
      </c>
      <c r="C702" t="s">
        <v>8</v>
      </c>
      <c r="D702">
        <v>46072.618055555555</v>
      </c>
      <c r="E702" t="s">
        <v>7</v>
      </c>
      <c r="F702">
        <v>46072.760416666664</v>
      </c>
    </row>
    <row r="703" spans="1:6" x14ac:dyDescent="0.25">
      <c r="A703">
        <v>702</v>
      </c>
      <c r="B703" t="s">
        <v>5</v>
      </c>
      <c r="C703" t="s">
        <v>6</v>
      </c>
      <c r="D703">
        <v>46072.625208333331</v>
      </c>
      <c r="E703" t="s">
        <v>7</v>
      </c>
      <c r="F703">
        <v>46072.770046296297</v>
      </c>
    </row>
    <row r="704" spans="1:6" x14ac:dyDescent="0.25">
      <c r="A704">
        <v>703</v>
      </c>
      <c r="B704" t="s">
        <v>5</v>
      </c>
      <c r="C704" t="s">
        <v>7</v>
      </c>
      <c r="D704">
        <v>46072.701388888891</v>
      </c>
      <c r="E704" t="s">
        <v>8</v>
      </c>
      <c r="F704">
        <v>46072.774305555555</v>
      </c>
    </row>
    <row r="705" spans="1:6" x14ac:dyDescent="0.25">
      <c r="A705">
        <v>704</v>
      </c>
      <c r="B705" t="s">
        <v>5</v>
      </c>
      <c r="C705" t="s">
        <v>6</v>
      </c>
      <c r="D705">
        <v>46073.289317129631</v>
      </c>
      <c r="E705" t="s">
        <v>7</v>
      </c>
      <c r="F705">
        <v>46073.662743055553</v>
      </c>
    </row>
    <row r="706" spans="1:6" x14ac:dyDescent="0.25">
      <c r="A706">
        <v>705</v>
      </c>
      <c r="B706" t="s">
        <v>5</v>
      </c>
      <c r="C706" t="s">
        <v>7</v>
      </c>
      <c r="D706">
        <v>46073.333333333336</v>
      </c>
      <c r="E706" t="s">
        <v>7</v>
      </c>
      <c r="F706">
        <v>46073.521527777775</v>
      </c>
    </row>
    <row r="707" spans="1:6" x14ac:dyDescent="0.25">
      <c r="A707">
        <v>706</v>
      </c>
      <c r="B707" t="s">
        <v>5</v>
      </c>
      <c r="C707" t="s">
        <v>10</v>
      </c>
      <c r="D707">
        <v>46073.340277777781</v>
      </c>
      <c r="E707" t="s">
        <v>8</v>
      </c>
      <c r="F707">
        <v>46073.375</v>
      </c>
    </row>
    <row r="708" spans="1:6" x14ac:dyDescent="0.25">
      <c r="A708">
        <v>707</v>
      </c>
      <c r="B708" t="s">
        <v>5</v>
      </c>
      <c r="C708" t="s">
        <v>7</v>
      </c>
      <c r="D708">
        <v>46073.388888888891</v>
      </c>
      <c r="E708" t="s">
        <v>8</v>
      </c>
      <c r="F708">
        <v>46073.487719907411</v>
      </c>
    </row>
    <row r="709" spans="1:6" x14ac:dyDescent="0.25">
      <c r="A709">
        <v>708</v>
      </c>
      <c r="B709" t="s">
        <v>5</v>
      </c>
      <c r="C709" t="s">
        <v>7</v>
      </c>
      <c r="D709">
        <v>46073.395833333336</v>
      </c>
      <c r="E709" t="s">
        <v>7</v>
      </c>
      <c r="F709">
        <v>46073.555555555555</v>
      </c>
    </row>
    <row r="710" spans="1:6" x14ac:dyDescent="0.25">
      <c r="A710">
        <v>709</v>
      </c>
      <c r="B710" t="s">
        <v>5</v>
      </c>
      <c r="C710" t="s">
        <v>10</v>
      </c>
      <c r="D710">
        <v>46073.417326388888</v>
      </c>
      <c r="E710" t="s">
        <v>7</v>
      </c>
      <c r="F710">
        <v>46073.575520833336</v>
      </c>
    </row>
    <row r="711" spans="1:6" x14ac:dyDescent="0.25">
      <c r="A711">
        <v>710</v>
      </c>
      <c r="B711" t="s">
        <v>5</v>
      </c>
      <c r="C711" t="s">
        <v>6</v>
      </c>
      <c r="D711">
        <v>46073.516250000001</v>
      </c>
      <c r="E711" t="s">
        <v>9</v>
      </c>
      <c r="F711">
        <v>46073.658090277779</v>
      </c>
    </row>
    <row r="712" spans="1:6" x14ac:dyDescent="0.25">
      <c r="A712">
        <v>711</v>
      </c>
      <c r="B712" t="s">
        <v>5</v>
      </c>
      <c r="C712" t="s">
        <v>7</v>
      </c>
      <c r="D712">
        <v>46073.572916666664</v>
      </c>
      <c r="E712" t="s">
        <v>8</v>
      </c>
      <c r="F712">
        <v>46073.659722222219</v>
      </c>
    </row>
    <row r="713" spans="1:6" x14ac:dyDescent="0.25">
      <c r="A713">
        <v>712</v>
      </c>
      <c r="B713" t="s">
        <v>5</v>
      </c>
      <c r="C713" t="s">
        <v>8</v>
      </c>
      <c r="D713">
        <v>46073.604166666664</v>
      </c>
      <c r="E713" t="s">
        <v>7</v>
      </c>
      <c r="F713">
        <v>46073.868055555555</v>
      </c>
    </row>
    <row r="714" spans="1:6" x14ac:dyDescent="0.25">
      <c r="A714">
        <v>713</v>
      </c>
      <c r="B714" t="s">
        <v>5</v>
      </c>
      <c r="C714" t="s">
        <v>8</v>
      </c>
      <c r="D714">
        <v>46073.618055555555</v>
      </c>
      <c r="E714" t="s">
        <v>10</v>
      </c>
      <c r="F714">
        <v>46073.649305555555</v>
      </c>
    </row>
    <row r="715" spans="1:6" x14ac:dyDescent="0.25">
      <c r="A715">
        <v>714</v>
      </c>
      <c r="B715" t="s">
        <v>5</v>
      </c>
      <c r="C715" t="s">
        <v>10</v>
      </c>
      <c r="D715">
        <v>46073.635416666664</v>
      </c>
      <c r="E715" t="s">
        <v>10</v>
      </c>
      <c r="F715">
        <v>46073.643750000003</v>
      </c>
    </row>
    <row r="716" spans="1:6" x14ac:dyDescent="0.25">
      <c r="A716">
        <v>715</v>
      </c>
      <c r="B716" t="s">
        <v>5</v>
      </c>
      <c r="C716" t="s">
        <v>8</v>
      </c>
      <c r="D716">
        <v>46073.645833333336</v>
      </c>
      <c r="E716" t="s">
        <v>10</v>
      </c>
      <c r="F716">
        <v>46073.708333333336</v>
      </c>
    </row>
    <row r="717" spans="1:6" x14ac:dyDescent="0.25">
      <c r="A717">
        <v>716</v>
      </c>
      <c r="B717" t="s">
        <v>5</v>
      </c>
      <c r="C717" t="s">
        <v>6</v>
      </c>
      <c r="D717">
        <v>46073.698275462964</v>
      </c>
      <c r="E717" t="s">
        <v>7</v>
      </c>
      <c r="F717">
        <v>46073.945694444446</v>
      </c>
    </row>
    <row r="718" spans="1:6" x14ac:dyDescent="0.25">
      <c r="A718">
        <v>717</v>
      </c>
      <c r="B718" t="s">
        <v>5</v>
      </c>
      <c r="C718" t="s">
        <v>7</v>
      </c>
      <c r="D718">
        <v>46073.722222222219</v>
      </c>
      <c r="E718" t="s">
        <v>7</v>
      </c>
      <c r="F718">
        <v>46073.77847222222</v>
      </c>
    </row>
    <row r="719" spans="1:6" x14ac:dyDescent="0.25">
      <c r="A719">
        <v>718</v>
      </c>
      <c r="B719" t="s">
        <v>5</v>
      </c>
      <c r="C719" t="s">
        <v>7</v>
      </c>
      <c r="D719">
        <v>46073.736111111109</v>
      </c>
      <c r="E719" t="s">
        <v>7</v>
      </c>
      <c r="F719">
        <v>46073.819444444445</v>
      </c>
    </row>
    <row r="720" spans="1:6" x14ac:dyDescent="0.25">
      <c r="A720">
        <v>719</v>
      </c>
      <c r="B720" t="s">
        <v>5</v>
      </c>
      <c r="C720" t="s">
        <v>6</v>
      </c>
      <c r="D720">
        <v>46073.844224537039</v>
      </c>
      <c r="E720" t="s">
        <v>7</v>
      </c>
      <c r="F720">
        <v>46074.454259259262</v>
      </c>
    </row>
    <row r="721" spans="1:6" x14ac:dyDescent="0.25">
      <c r="A721">
        <v>720</v>
      </c>
      <c r="B721" t="s">
        <v>5</v>
      </c>
      <c r="C721" t="s">
        <v>7</v>
      </c>
      <c r="D721">
        <v>46073.916666666664</v>
      </c>
      <c r="E721" t="s">
        <v>7</v>
      </c>
      <c r="F721">
        <v>46074.017361111109</v>
      </c>
    </row>
    <row r="722" spans="1:6" x14ac:dyDescent="0.25">
      <c r="A722">
        <v>721</v>
      </c>
      <c r="B722" t="s">
        <v>5</v>
      </c>
      <c r="C722" t="s">
        <v>6</v>
      </c>
      <c r="D722">
        <v>46073.960266203707</v>
      </c>
      <c r="E722" t="s">
        <v>7</v>
      </c>
      <c r="F722">
        <v>46074.375520833331</v>
      </c>
    </row>
    <row r="723" spans="1:6" x14ac:dyDescent="0.25">
      <c r="A723">
        <v>722</v>
      </c>
      <c r="B723" t="s">
        <v>5</v>
      </c>
      <c r="C723" t="s">
        <v>7</v>
      </c>
      <c r="D723">
        <v>46074.388888888891</v>
      </c>
      <c r="E723" t="s">
        <v>7</v>
      </c>
      <c r="F723">
        <v>46074.40347222222</v>
      </c>
    </row>
    <row r="724" spans="1:6" x14ac:dyDescent="0.25">
      <c r="A724">
        <v>723</v>
      </c>
      <c r="B724" t="s">
        <v>5</v>
      </c>
      <c r="C724" t="s">
        <v>7</v>
      </c>
      <c r="D724">
        <v>46074.395833333336</v>
      </c>
      <c r="E724" t="s">
        <v>6</v>
      </c>
      <c r="F724">
        <v>46074.4375</v>
      </c>
    </row>
    <row r="725" spans="1:6" x14ac:dyDescent="0.25">
      <c r="A725">
        <v>724</v>
      </c>
      <c r="B725" t="s">
        <v>5</v>
      </c>
      <c r="C725" t="s">
        <v>7</v>
      </c>
      <c r="D725">
        <v>46074.423611111109</v>
      </c>
      <c r="E725" t="s">
        <v>7</v>
      </c>
      <c r="F725">
        <v>46074.447916666664</v>
      </c>
    </row>
    <row r="726" spans="1:6" x14ac:dyDescent="0.25">
      <c r="A726">
        <v>725</v>
      </c>
      <c r="B726" t="s">
        <v>5</v>
      </c>
      <c r="C726" t="s">
        <v>7</v>
      </c>
      <c r="D726">
        <v>46074.452662037038</v>
      </c>
      <c r="E726" t="s">
        <v>7</v>
      </c>
      <c r="F726">
        <v>46078.662187499998</v>
      </c>
    </row>
    <row r="727" spans="1:6" x14ac:dyDescent="0.25">
      <c r="A727">
        <v>726</v>
      </c>
      <c r="B727" t="s">
        <v>5</v>
      </c>
      <c r="C727" t="s">
        <v>7</v>
      </c>
      <c r="D727">
        <v>46074.489583333336</v>
      </c>
      <c r="E727" t="s">
        <v>7</v>
      </c>
      <c r="F727">
        <v>46074.512499999997</v>
      </c>
    </row>
    <row r="728" spans="1:6" x14ac:dyDescent="0.25">
      <c r="A728">
        <v>727</v>
      </c>
      <c r="B728" t="s">
        <v>5</v>
      </c>
      <c r="C728" t="s">
        <v>6</v>
      </c>
      <c r="D728">
        <v>46074.527372685188</v>
      </c>
      <c r="E728" t="s">
        <v>7</v>
      </c>
      <c r="F728">
        <v>46074.737743055557</v>
      </c>
    </row>
    <row r="729" spans="1:6" x14ac:dyDescent="0.25">
      <c r="A729">
        <v>728</v>
      </c>
      <c r="B729" t="s">
        <v>5</v>
      </c>
      <c r="C729" t="s">
        <v>7</v>
      </c>
      <c r="D729">
        <v>46074.611111111109</v>
      </c>
      <c r="E729" t="s">
        <v>8</v>
      </c>
      <c r="F729">
        <v>46074.832083333335</v>
      </c>
    </row>
    <row r="730" spans="1:6" x14ac:dyDescent="0.25">
      <c r="A730">
        <v>729</v>
      </c>
      <c r="B730" t="s">
        <v>5</v>
      </c>
      <c r="C730" t="s">
        <v>6</v>
      </c>
      <c r="D730">
        <v>46074.667650462965</v>
      </c>
      <c r="E730" t="s">
        <v>8</v>
      </c>
      <c r="F730">
        <v>46075.568194444444</v>
      </c>
    </row>
    <row r="731" spans="1:6" x14ac:dyDescent="0.25">
      <c r="A731">
        <v>730</v>
      </c>
      <c r="B731" t="s">
        <v>5</v>
      </c>
      <c r="C731" t="s">
        <v>10</v>
      </c>
      <c r="D731">
        <v>46074.729166666664</v>
      </c>
      <c r="E731" t="s">
        <v>10</v>
      </c>
      <c r="F731">
        <v>46074.75</v>
      </c>
    </row>
    <row r="732" spans="1:6" x14ac:dyDescent="0.25">
      <c r="A732">
        <v>731</v>
      </c>
      <c r="B732" t="s">
        <v>5</v>
      </c>
      <c r="C732" t="s">
        <v>6</v>
      </c>
      <c r="D732">
        <v>46074.811238425929</v>
      </c>
      <c r="E732" t="s">
        <v>7</v>
      </c>
      <c r="F732">
        <v>46075.03429398148</v>
      </c>
    </row>
    <row r="733" spans="1:6" x14ac:dyDescent="0.25">
      <c r="A733">
        <v>732</v>
      </c>
      <c r="B733" t="s">
        <v>5</v>
      </c>
      <c r="C733" t="s">
        <v>6</v>
      </c>
      <c r="D733">
        <v>46074.898912037039</v>
      </c>
      <c r="E733" t="s">
        <v>7</v>
      </c>
      <c r="F733">
        <v>46075.053333333337</v>
      </c>
    </row>
    <row r="734" spans="1:6" x14ac:dyDescent="0.25">
      <c r="A734">
        <v>733</v>
      </c>
      <c r="B734" t="s">
        <v>5</v>
      </c>
      <c r="C734" t="s">
        <v>6</v>
      </c>
      <c r="D734">
        <v>46074.949837962966</v>
      </c>
      <c r="E734" t="s">
        <v>9</v>
      </c>
      <c r="F734">
        <v>46075.357025462959</v>
      </c>
    </row>
    <row r="735" spans="1:6" x14ac:dyDescent="0.25">
      <c r="A735">
        <v>734</v>
      </c>
      <c r="B735" t="s">
        <v>5</v>
      </c>
      <c r="C735" t="s">
        <v>7</v>
      </c>
      <c r="D735">
        <v>46075.395833333336</v>
      </c>
      <c r="E735" t="s">
        <v>8</v>
      </c>
      <c r="F735">
        <v>46075.440972222219</v>
      </c>
    </row>
    <row r="736" spans="1:6" x14ac:dyDescent="0.25">
      <c r="A736">
        <v>735</v>
      </c>
      <c r="B736" t="s">
        <v>5</v>
      </c>
      <c r="C736" t="s">
        <v>7</v>
      </c>
      <c r="D736">
        <v>46075.430555555555</v>
      </c>
      <c r="E736" t="s">
        <v>7</v>
      </c>
      <c r="F736">
        <v>46075.445138888892</v>
      </c>
    </row>
    <row r="737" spans="1:6" x14ac:dyDescent="0.25">
      <c r="A737">
        <v>736</v>
      </c>
      <c r="B737" t="s">
        <v>5</v>
      </c>
      <c r="C737" t="s">
        <v>7</v>
      </c>
      <c r="D737">
        <v>46075.5</v>
      </c>
      <c r="E737" t="s">
        <v>8</v>
      </c>
      <c r="F737">
        <v>46075.524305555555</v>
      </c>
    </row>
    <row r="738" spans="1:6" x14ac:dyDescent="0.25">
      <c r="A738">
        <v>737</v>
      </c>
      <c r="B738" t="s">
        <v>5</v>
      </c>
      <c r="C738" t="s">
        <v>6</v>
      </c>
      <c r="D738">
        <v>46075.893043981479</v>
      </c>
      <c r="E738" t="s">
        <v>7</v>
      </c>
      <c r="F738">
        <v>46076.662592592591</v>
      </c>
    </row>
    <row r="739" spans="1:6" x14ac:dyDescent="0.25">
      <c r="A739">
        <v>738</v>
      </c>
      <c r="B739" t="s">
        <v>5</v>
      </c>
      <c r="C739" t="s">
        <v>6</v>
      </c>
      <c r="D739">
        <v>46076.334618055553</v>
      </c>
      <c r="E739" t="s">
        <v>7</v>
      </c>
      <c r="F739">
        <v>46076.88622685185</v>
      </c>
    </row>
    <row r="740" spans="1:6" x14ac:dyDescent="0.25">
      <c r="A740">
        <v>739</v>
      </c>
      <c r="B740" t="s">
        <v>5</v>
      </c>
      <c r="C740" t="s">
        <v>6</v>
      </c>
      <c r="D740">
        <v>46076.337314814817</v>
      </c>
      <c r="E740" t="s">
        <v>7</v>
      </c>
      <c r="F740">
        <v>46076.626354166663</v>
      </c>
    </row>
    <row r="741" spans="1:6" x14ac:dyDescent="0.25">
      <c r="A741">
        <v>740</v>
      </c>
      <c r="B741" t="s">
        <v>5</v>
      </c>
      <c r="C741" t="s">
        <v>7</v>
      </c>
      <c r="D741">
        <v>46076.338587962964</v>
      </c>
      <c r="E741" t="s">
        <v>8</v>
      </c>
      <c r="F741">
        <v>46076.710636574076</v>
      </c>
    </row>
    <row r="742" spans="1:6" x14ac:dyDescent="0.25">
      <c r="A742">
        <v>741</v>
      </c>
      <c r="B742" t="s">
        <v>5</v>
      </c>
      <c r="C742" t="s">
        <v>7</v>
      </c>
      <c r="D742">
        <v>46076.354166666664</v>
      </c>
      <c r="E742" t="s">
        <v>7</v>
      </c>
      <c r="F742">
        <v>46076.458333333336</v>
      </c>
    </row>
    <row r="743" spans="1:6" x14ac:dyDescent="0.25">
      <c r="A743">
        <v>742</v>
      </c>
      <c r="B743" t="s">
        <v>5</v>
      </c>
      <c r="C743" t="s">
        <v>10</v>
      </c>
      <c r="D743">
        <v>46076.377604166664</v>
      </c>
      <c r="E743" t="s">
        <v>8</v>
      </c>
      <c r="F743">
        <v>46076.608148148145</v>
      </c>
    </row>
    <row r="744" spans="1:6" x14ac:dyDescent="0.25">
      <c r="A744">
        <v>743</v>
      </c>
      <c r="B744" t="s">
        <v>5</v>
      </c>
      <c r="C744" t="s">
        <v>6</v>
      </c>
      <c r="D744">
        <v>46076.505347222221</v>
      </c>
      <c r="E744" t="s">
        <v>7</v>
      </c>
      <c r="F744">
        <v>46077.669988425929</v>
      </c>
    </row>
    <row r="745" spans="1:6" x14ac:dyDescent="0.25">
      <c r="A745">
        <v>744</v>
      </c>
      <c r="B745" t="s">
        <v>5</v>
      </c>
      <c r="C745" t="s">
        <v>7</v>
      </c>
      <c r="D745">
        <v>46076.520833333336</v>
      </c>
      <c r="E745" t="s">
        <v>7</v>
      </c>
      <c r="F745">
        <v>46076.628472222219</v>
      </c>
    </row>
    <row r="746" spans="1:6" x14ac:dyDescent="0.25">
      <c r="A746">
        <v>745</v>
      </c>
      <c r="B746" t="s">
        <v>5</v>
      </c>
      <c r="C746" t="s">
        <v>6</v>
      </c>
      <c r="D746">
        <v>46076.608715277776</v>
      </c>
      <c r="E746" t="s">
        <v>7</v>
      </c>
      <c r="F746">
        <v>46077.657384259262</v>
      </c>
    </row>
    <row r="747" spans="1:6" x14ac:dyDescent="0.25">
      <c r="A747">
        <v>746</v>
      </c>
      <c r="B747" t="s">
        <v>5</v>
      </c>
      <c r="C747" t="s">
        <v>10</v>
      </c>
      <c r="D747">
        <v>46076.663194444445</v>
      </c>
      <c r="E747" t="s">
        <v>7</v>
      </c>
      <c r="F747">
        <v>46076.75</v>
      </c>
    </row>
    <row r="748" spans="1:6" x14ac:dyDescent="0.25">
      <c r="A748">
        <v>747</v>
      </c>
      <c r="B748" t="s">
        <v>5</v>
      </c>
      <c r="C748" t="s">
        <v>6</v>
      </c>
      <c r="D748">
        <v>46076.675196759257</v>
      </c>
      <c r="E748" t="s">
        <v>8</v>
      </c>
      <c r="F748">
        <v>46076.931643518517</v>
      </c>
    </row>
    <row r="749" spans="1:6" x14ac:dyDescent="0.25">
      <c r="A749">
        <v>748</v>
      </c>
      <c r="B749" t="s">
        <v>5</v>
      </c>
      <c r="C749" t="s">
        <v>8</v>
      </c>
      <c r="D749">
        <v>46076.732638888891</v>
      </c>
      <c r="E749" t="s">
        <v>7</v>
      </c>
      <c r="F749">
        <v>46076.948611111111</v>
      </c>
    </row>
    <row r="750" spans="1:6" x14ac:dyDescent="0.25">
      <c r="A750">
        <v>749</v>
      </c>
      <c r="B750" t="s">
        <v>5</v>
      </c>
      <c r="C750" t="s">
        <v>6</v>
      </c>
      <c r="D750">
        <v>46076.760405092595</v>
      </c>
      <c r="E750" t="s">
        <v>7</v>
      </c>
      <c r="F750">
        <v>46076.891342592593</v>
      </c>
    </row>
    <row r="751" spans="1:6" x14ac:dyDescent="0.25">
      <c r="A751">
        <v>750</v>
      </c>
      <c r="B751" t="s">
        <v>5</v>
      </c>
      <c r="C751" t="s">
        <v>6</v>
      </c>
      <c r="D751">
        <v>46076.850694444445</v>
      </c>
      <c r="E751" t="s">
        <v>7</v>
      </c>
      <c r="F751">
        <v>46077.013321759259</v>
      </c>
    </row>
    <row r="752" spans="1:6" x14ac:dyDescent="0.25">
      <c r="A752">
        <v>751</v>
      </c>
      <c r="B752" t="s">
        <v>5</v>
      </c>
      <c r="C752" t="s">
        <v>6</v>
      </c>
      <c r="D752">
        <v>46077.270127314812</v>
      </c>
      <c r="E752" t="s">
        <v>7</v>
      </c>
      <c r="F752">
        <v>46077.721608796295</v>
      </c>
    </row>
    <row r="753" spans="1:6" x14ac:dyDescent="0.25">
      <c r="A753">
        <v>752</v>
      </c>
      <c r="B753" t="s">
        <v>5</v>
      </c>
      <c r="C753" t="s">
        <v>6</v>
      </c>
      <c r="D753">
        <v>46077.28125</v>
      </c>
      <c r="E753" t="s">
        <v>7</v>
      </c>
      <c r="F753">
        <v>46077.711898148147</v>
      </c>
    </row>
    <row r="754" spans="1:6" x14ac:dyDescent="0.25">
      <c r="A754">
        <v>753</v>
      </c>
      <c r="B754" t="s">
        <v>5</v>
      </c>
      <c r="C754" t="s">
        <v>7</v>
      </c>
      <c r="D754">
        <v>46077.354166666664</v>
      </c>
      <c r="E754" t="s">
        <v>7</v>
      </c>
      <c r="F754">
        <v>46077.40625</v>
      </c>
    </row>
    <row r="755" spans="1:6" x14ac:dyDescent="0.25">
      <c r="A755">
        <v>754</v>
      </c>
      <c r="B755" t="s">
        <v>5</v>
      </c>
      <c r="C755" t="s">
        <v>7</v>
      </c>
      <c r="D755">
        <v>46077.357638888891</v>
      </c>
      <c r="E755" t="s">
        <v>7</v>
      </c>
      <c r="F755">
        <v>46077.506944444445</v>
      </c>
    </row>
    <row r="756" spans="1:6" x14ac:dyDescent="0.25">
      <c r="A756">
        <v>755</v>
      </c>
      <c r="B756" t="s">
        <v>5</v>
      </c>
      <c r="C756" t="s">
        <v>8</v>
      </c>
      <c r="D756">
        <v>46077.366666666669</v>
      </c>
      <c r="E756" t="s">
        <v>13</v>
      </c>
      <c r="F756">
        <v>46087.661412037036</v>
      </c>
    </row>
    <row r="757" spans="1:6" x14ac:dyDescent="0.25">
      <c r="A757">
        <v>756</v>
      </c>
      <c r="B757" t="s">
        <v>5</v>
      </c>
      <c r="C757" t="s">
        <v>10</v>
      </c>
      <c r="D757">
        <v>46077.395833333336</v>
      </c>
      <c r="E757" t="s">
        <v>10</v>
      </c>
      <c r="F757">
        <v>46077.424305555556</v>
      </c>
    </row>
    <row r="758" spans="1:6" x14ac:dyDescent="0.25">
      <c r="A758">
        <v>757</v>
      </c>
      <c r="B758" t="s">
        <v>5</v>
      </c>
      <c r="C758" t="s">
        <v>10</v>
      </c>
      <c r="D758">
        <v>46077.521087962959</v>
      </c>
      <c r="E758" t="s">
        <v>7</v>
      </c>
      <c r="F758">
        <v>46077.729861111111</v>
      </c>
    </row>
    <row r="759" spans="1:6" x14ac:dyDescent="0.25">
      <c r="A759">
        <v>758</v>
      </c>
      <c r="B759" t="s">
        <v>5</v>
      </c>
      <c r="C759" t="s">
        <v>6</v>
      </c>
      <c r="D759">
        <v>46077.545532407406</v>
      </c>
      <c r="E759" t="s">
        <v>7</v>
      </c>
      <c r="F759">
        <v>46077.957719907405</v>
      </c>
    </row>
    <row r="760" spans="1:6" x14ac:dyDescent="0.25">
      <c r="A760">
        <v>759</v>
      </c>
      <c r="B760" t="s">
        <v>5</v>
      </c>
      <c r="C760" t="s">
        <v>8</v>
      </c>
      <c r="D760">
        <v>46077.583333333336</v>
      </c>
      <c r="E760" t="s">
        <v>7</v>
      </c>
      <c r="F760">
        <v>46077.78125</v>
      </c>
    </row>
    <row r="761" spans="1:6" x14ac:dyDescent="0.25">
      <c r="A761">
        <v>760</v>
      </c>
      <c r="B761" t="s">
        <v>5</v>
      </c>
      <c r="C761" t="s">
        <v>6</v>
      </c>
      <c r="D761">
        <v>46077.599560185183</v>
      </c>
      <c r="E761" t="s">
        <v>7</v>
      </c>
      <c r="F761">
        <v>46078.072164351855</v>
      </c>
    </row>
    <row r="762" spans="1:6" x14ac:dyDescent="0.25">
      <c r="A762">
        <v>761</v>
      </c>
      <c r="B762" t="s">
        <v>5</v>
      </c>
      <c r="C762" t="s">
        <v>6</v>
      </c>
      <c r="D762">
        <v>46077.655555555553</v>
      </c>
      <c r="E762" t="s">
        <v>9</v>
      </c>
      <c r="F762">
        <v>46078.475752314815</v>
      </c>
    </row>
    <row r="763" spans="1:6" x14ac:dyDescent="0.25">
      <c r="A763">
        <v>762</v>
      </c>
      <c r="B763" t="s">
        <v>5</v>
      </c>
      <c r="C763" t="s">
        <v>7</v>
      </c>
      <c r="D763">
        <v>46077.736111111109</v>
      </c>
      <c r="E763" t="s">
        <v>7</v>
      </c>
      <c r="F763">
        <v>46077.871527777781</v>
      </c>
    </row>
    <row r="764" spans="1:6" x14ac:dyDescent="0.25">
      <c r="A764">
        <v>763</v>
      </c>
      <c r="B764" t="s">
        <v>5</v>
      </c>
      <c r="C764" t="s">
        <v>6</v>
      </c>
      <c r="D764">
        <v>46077.755636574075</v>
      </c>
      <c r="E764" t="s">
        <v>7</v>
      </c>
      <c r="F764">
        <v>46077.865428240744</v>
      </c>
    </row>
    <row r="765" spans="1:6" x14ac:dyDescent="0.25">
      <c r="A765">
        <v>764</v>
      </c>
      <c r="B765" t="s">
        <v>5</v>
      </c>
      <c r="C765" t="s">
        <v>6</v>
      </c>
      <c r="D765">
        <v>46077.872511574074</v>
      </c>
      <c r="E765" t="s">
        <v>7</v>
      </c>
      <c r="F765">
        <v>46079.625960648147</v>
      </c>
    </row>
    <row r="766" spans="1:6" x14ac:dyDescent="0.25">
      <c r="A766">
        <v>765</v>
      </c>
      <c r="B766" t="s">
        <v>5</v>
      </c>
      <c r="C766" t="s">
        <v>6</v>
      </c>
      <c r="D766">
        <v>46078.293935185182</v>
      </c>
      <c r="E766" t="s">
        <v>7</v>
      </c>
      <c r="F766">
        <v>46078.716550925928</v>
      </c>
    </row>
    <row r="767" spans="1:6" x14ac:dyDescent="0.25">
      <c r="A767">
        <v>766</v>
      </c>
      <c r="B767" t="s">
        <v>5</v>
      </c>
      <c r="C767" t="s">
        <v>6</v>
      </c>
      <c r="D767">
        <v>46078.296030092592</v>
      </c>
      <c r="E767" t="s">
        <v>7</v>
      </c>
      <c r="F767">
        <v>46078.697800925926</v>
      </c>
    </row>
    <row r="768" spans="1:6" x14ac:dyDescent="0.25">
      <c r="A768">
        <v>767</v>
      </c>
      <c r="B768" t="s">
        <v>5</v>
      </c>
      <c r="C768" t="s">
        <v>12</v>
      </c>
      <c r="D768">
        <v>46078.333182870374</v>
      </c>
      <c r="E768" t="s">
        <v>10</v>
      </c>
      <c r="F768">
        <v>46079.427743055552</v>
      </c>
    </row>
    <row r="769" spans="1:6" x14ac:dyDescent="0.25">
      <c r="A769">
        <v>768</v>
      </c>
      <c r="B769" t="s">
        <v>5</v>
      </c>
      <c r="C769" t="s">
        <v>7</v>
      </c>
      <c r="D769">
        <v>46078.345138888886</v>
      </c>
      <c r="E769" t="s">
        <v>10</v>
      </c>
      <c r="F769">
        <v>46078.380555555559</v>
      </c>
    </row>
    <row r="770" spans="1:6" x14ac:dyDescent="0.25">
      <c r="A770">
        <v>769</v>
      </c>
      <c r="B770" t="s">
        <v>5</v>
      </c>
      <c r="C770" t="s">
        <v>7</v>
      </c>
      <c r="D770">
        <v>46078.347222222219</v>
      </c>
      <c r="E770" t="s">
        <v>7</v>
      </c>
      <c r="F770">
        <v>46078.472222222219</v>
      </c>
    </row>
    <row r="771" spans="1:6" x14ac:dyDescent="0.25">
      <c r="A771">
        <v>770</v>
      </c>
      <c r="B771" t="s">
        <v>5</v>
      </c>
      <c r="C771" t="s">
        <v>7</v>
      </c>
      <c r="D771">
        <v>46078.440972222219</v>
      </c>
      <c r="E771" t="s">
        <v>7</v>
      </c>
      <c r="F771">
        <v>46078.559027777781</v>
      </c>
    </row>
    <row r="772" spans="1:6" x14ac:dyDescent="0.25">
      <c r="A772">
        <v>771</v>
      </c>
      <c r="B772" t="s">
        <v>5</v>
      </c>
      <c r="C772" t="s">
        <v>8</v>
      </c>
      <c r="D772">
        <v>46078.506944444445</v>
      </c>
      <c r="E772" t="s">
        <v>10</v>
      </c>
      <c r="F772">
        <v>46078.638888888891</v>
      </c>
    </row>
    <row r="773" spans="1:6" x14ac:dyDescent="0.25">
      <c r="A773">
        <v>772</v>
      </c>
      <c r="B773" t="s">
        <v>5</v>
      </c>
      <c r="C773" t="s">
        <v>6</v>
      </c>
      <c r="D773">
        <v>46078.509131944447</v>
      </c>
      <c r="E773" t="s">
        <v>7</v>
      </c>
      <c r="F773">
        <v>46078.922858796293</v>
      </c>
    </row>
    <row r="774" spans="1:6" x14ac:dyDescent="0.25">
      <c r="A774">
        <v>773</v>
      </c>
      <c r="B774" t="s">
        <v>5</v>
      </c>
      <c r="C774" t="s">
        <v>6</v>
      </c>
      <c r="D774">
        <v>46078.526400462964</v>
      </c>
      <c r="E774" t="s">
        <v>7</v>
      </c>
      <c r="F774">
        <v>46078.702523148146</v>
      </c>
    </row>
    <row r="775" spans="1:6" x14ac:dyDescent="0.25">
      <c r="A775">
        <v>774</v>
      </c>
      <c r="B775" t="s">
        <v>5</v>
      </c>
      <c r="C775" t="s">
        <v>7</v>
      </c>
      <c r="D775">
        <v>46078.555555555555</v>
      </c>
      <c r="E775" t="s">
        <v>7</v>
      </c>
      <c r="F775">
        <v>46078.607638888891</v>
      </c>
    </row>
    <row r="776" spans="1:6" x14ac:dyDescent="0.25">
      <c r="A776">
        <v>775</v>
      </c>
      <c r="B776" t="s">
        <v>5</v>
      </c>
      <c r="C776" t="s">
        <v>6</v>
      </c>
      <c r="D776">
        <v>46078.59716435185</v>
      </c>
      <c r="E776" t="s">
        <v>9</v>
      </c>
      <c r="F776">
        <v>46079.613495370373</v>
      </c>
    </row>
    <row r="777" spans="1:6" x14ac:dyDescent="0.25">
      <c r="A777">
        <v>776</v>
      </c>
      <c r="B777" t="s">
        <v>5</v>
      </c>
      <c r="C777" t="s">
        <v>6</v>
      </c>
      <c r="D777">
        <v>46078.66982638889</v>
      </c>
      <c r="E777" t="s">
        <v>8</v>
      </c>
      <c r="F777">
        <v>46078.761099537034</v>
      </c>
    </row>
    <row r="778" spans="1:6" x14ac:dyDescent="0.25">
      <c r="A778">
        <v>777</v>
      </c>
      <c r="B778" t="s">
        <v>5</v>
      </c>
      <c r="C778" t="s">
        <v>6</v>
      </c>
      <c r="D778">
        <v>46078.708761574075</v>
      </c>
      <c r="E778" t="s">
        <v>7</v>
      </c>
      <c r="F778">
        <v>46080.684386574074</v>
      </c>
    </row>
    <row r="779" spans="1:6" x14ac:dyDescent="0.25">
      <c r="A779">
        <v>778</v>
      </c>
      <c r="B779" t="s">
        <v>5</v>
      </c>
      <c r="C779" t="s">
        <v>6</v>
      </c>
      <c r="D779">
        <v>46078.724490740744</v>
      </c>
      <c r="E779" t="s">
        <v>9</v>
      </c>
      <c r="F779">
        <v>46078.813449074078</v>
      </c>
    </row>
    <row r="780" spans="1:6" x14ac:dyDescent="0.25">
      <c r="A780">
        <v>779</v>
      </c>
      <c r="B780" t="s">
        <v>5</v>
      </c>
      <c r="C780" t="s">
        <v>6</v>
      </c>
      <c r="D780">
        <v>46078.892083333332</v>
      </c>
      <c r="E780" t="s">
        <v>7</v>
      </c>
      <c r="F780">
        <v>46079.780011574076</v>
      </c>
    </row>
    <row r="781" spans="1:6" x14ac:dyDescent="0.25">
      <c r="A781">
        <v>780</v>
      </c>
      <c r="B781" t="s">
        <v>5</v>
      </c>
      <c r="C781" t="s">
        <v>6</v>
      </c>
      <c r="D781">
        <v>46079.290763888886</v>
      </c>
      <c r="E781" t="s">
        <v>9</v>
      </c>
      <c r="F781">
        <v>46080.402094907404</v>
      </c>
    </row>
    <row r="782" spans="1:6" x14ac:dyDescent="0.25">
      <c r="A782">
        <v>781</v>
      </c>
      <c r="B782" t="s">
        <v>5</v>
      </c>
      <c r="C782" t="s">
        <v>6</v>
      </c>
      <c r="D782">
        <v>46079.298715277779</v>
      </c>
      <c r="E782" t="s">
        <v>7</v>
      </c>
      <c r="F782">
        <v>46079.581076388888</v>
      </c>
    </row>
    <row r="783" spans="1:6" x14ac:dyDescent="0.25">
      <c r="A783">
        <v>782</v>
      </c>
      <c r="B783" t="s">
        <v>5</v>
      </c>
      <c r="C783" t="s">
        <v>7</v>
      </c>
      <c r="D783">
        <v>46079.333333333336</v>
      </c>
      <c r="E783" t="s">
        <v>7</v>
      </c>
      <c r="F783">
        <v>46079.510416666664</v>
      </c>
    </row>
    <row r="784" spans="1:6" x14ac:dyDescent="0.25">
      <c r="A784">
        <v>783</v>
      </c>
      <c r="B784" t="s">
        <v>5</v>
      </c>
      <c r="C784" t="s">
        <v>7</v>
      </c>
      <c r="D784">
        <v>46079.336805555555</v>
      </c>
      <c r="E784" t="s">
        <v>8</v>
      </c>
      <c r="F784">
        <v>46079.37222222222</v>
      </c>
    </row>
    <row r="785" spans="1:6" x14ac:dyDescent="0.25">
      <c r="A785">
        <v>784</v>
      </c>
      <c r="B785" t="s">
        <v>5</v>
      </c>
      <c r="C785" t="s">
        <v>7</v>
      </c>
      <c r="D785">
        <v>46079.354166666664</v>
      </c>
      <c r="E785" t="s">
        <v>7</v>
      </c>
      <c r="F785">
        <v>46079.409722222219</v>
      </c>
    </row>
    <row r="786" spans="1:6" x14ac:dyDescent="0.25">
      <c r="A786">
        <v>785</v>
      </c>
      <c r="B786" t="s">
        <v>5</v>
      </c>
      <c r="C786" t="s">
        <v>10</v>
      </c>
      <c r="D786">
        <v>46079.40625</v>
      </c>
      <c r="E786" t="s">
        <v>10</v>
      </c>
      <c r="F786">
        <v>46079.451388888891</v>
      </c>
    </row>
    <row r="787" spans="1:6" x14ac:dyDescent="0.25">
      <c r="A787">
        <v>786</v>
      </c>
      <c r="B787" t="s">
        <v>5</v>
      </c>
      <c r="C787" t="s">
        <v>7</v>
      </c>
      <c r="D787">
        <v>46079.451388888891</v>
      </c>
      <c r="E787" t="s">
        <v>7</v>
      </c>
      <c r="F787">
        <v>46079.570138888892</v>
      </c>
    </row>
    <row r="788" spans="1:6" x14ac:dyDescent="0.25">
      <c r="A788">
        <v>787</v>
      </c>
      <c r="B788" t="s">
        <v>5</v>
      </c>
      <c r="C788" t="s">
        <v>7</v>
      </c>
      <c r="D788">
        <v>46079.475694444445</v>
      </c>
      <c r="E788" t="s">
        <v>7</v>
      </c>
      <c r="F788">
        <v>46079.510416666664</v>
      </c>
    </row>
    <row r="789" spans="1:6" x14ac:dyDescent="0.25">
      <c r="A789">
        <v>788</v>
      </c>
      <c r="B789" t="s">
        <v>5</v>
      </c>
      <c r="C789" t="s">
        <v>7</v>
      </c>
      <c r="D789">
        <v>46079.495833333334</v>
      </c>
      <c r="E789" t="s">
        <v>7</v>
      </c>
      <c r="F789">
        <v>46079.559027777781</v>
      </c>
    </row>
    <row r="790" spans="1:6" x14ac:dyDescent="0.25">
      <c r="A790">
        <v>789</v>
      </c>
      <c r="B790" t="s">
        <v>5</v>
      </c>
      <c r="C790" t="s">
        <v>6</v>
      </c>
      <c r="D790">
        <v>46079.500439814816</v>
      </c>
      <c r="E790" t="s">
        <v>7</v>
      </c>
      <c r="F790">
        <v>46079.700208333335</v>
      </c>
    </row>
    <row r="791" spans="1:6" x14ac:dyDescent="0.25">
      <c r="A791">
        <v>790</v>
      </c>
      <c r="B791" t="s">
        <v>5</v>
      </c>
      <c r="C791" t="s">
        <v>7</v>
      </c>
      <c r="D791">
        <v>46079.590277777781</v>
      </c>
      <c r="E791" t="s">
        <v>7</v>
      </c>
      <c r="F791">
        <v>46079.694444444445</v>
      </c>
    </row>
    <row r="792" spans="1:6" x14ac:dyDescent="0.25">
      <c r="A792">
        <v>791</v>
      </c>
      <c r="B792" t="s">
        <v>5</v>
      </c>
      <c r="C792" t="s">
        <v>10</v>
      </c>
      <c r="D792">
        <v>46079.59752314815</v>
      </c>
      <c r="E792" t="s">
        <v>7</v>
      </c>
      <c r="F792">
        <v>46079.866678240738</v>
      </c>
    </row>
    <row r="793" spans="1:6" x14ac:dyDescent="0.25">
      <c r="A793">
        <v>792</v>
      </c>
      <c r="B793" t="s">
        <v>5</v>
      </c>
      <c r="C793" t="s">
        <v>6</v>
      </c>
      <c r="D793">
        <v>46079.631944444445</v>
      </c>
      <c r="E793" t="s">
        <v>7</v>
      </c>
      <c r="F793">
        <v>46080.7187962963</v>
      </c>
    </row>
    <row r="794" spans="1:6" x14ac:dyDescent="0.25">
      <c r="A794">
        <v>793</v>
      </c>
      <c r="B794" t="s">
        <v>5</v>
      </c>
      <c r="C794" t="s">
        <v>10</v>
      </c>
      <c r="D794">
        <v>46079.645833333336</v>
      </c>
      <c r="E794" t="s">
        <v>10</v>
      </c>
      <c r="F794">
        <v>46079.776388888888</v>
      </c>
    </row>
    <row r="795" spans="1:6" x14ac:dyDescent="0.25">
      <c r="A795">
        <v>794</v>
      </c>
      <c r="B795" t="s">
        <v>5</v>
      </c>
      <c r="C795" t="s">
        <v>7</v>
      </c>
      <c r="D795">
        <v>46079.701388888891</v>
      </c>
      <c r="E795" t="s">
        <v>7</v>
      </c>
      <c r="F795">
        <v>46079.703472222223</v>
      </c>
    </row>
    <row r="796" spans="1:6" x14ac:dyDescent="0.25">
      <c r="A796">
        <v>795</v>
      </c>
      <c r="B796" t="s">
        <v>5</v>
      </c>
      <c r="C796" t="s">
        <v>10</v>
      </c>
      <c r="D796">
        <v>46079.71875</v>
      </c>
      <c r="E796" t="s">
        <v>10</v>
      </c>
      <c r="F796">
        <v>46079.736111111109</v>
      </c>
    </row>
    <row r="797" spans="1:6" x14ac:dyDescent="0.25">
      <c r="A797">
        <v>796</v>
      </c>
      <c r="B797" t="s">
        <v>5</v>
      </c>
      <c r="C797" t="s">
        <v>6</v>
      </c>
      <c r="D797">
        <v>46079.772777777776</v>
      </c>
      <c r="E797" t="s">
        <v>7</v>
      </c>
      <c r="F797">
        <v>46080.62128472222</v>
      </c>
    </row>
    <row r="798" spans="1:6" x14ac:dyDescent="0.25">
      <c r="A798">
        <v>797</v>
      </c>
      <c r="B798" t="s">
        <v>5</v>
      </c>
      <c r="C798" t="s">
        <v>6</v>
      </c>
      <c r="D798">
        <v>46079.772777777776</v>
      </c>
      <c r="E798" t="s">
        <v>7</v>
      </c>
      <c r="F798">
        <v>46080.62128472222</v>
      </c>
    </row>
    <row r="799" spans="1:6" x14ac:dyDescent="0.25">
      <c r="A799">
        <v>798</v>
      </c>
      <c r="B799" t="s">
        <v>5</v>
      </c>
      <c r="C799" t="s">
        <v>6</v>
      </c>
      <c r="D799">
        <v>46079.939097222225</v>
      </c>
      <c r="E799" t="s">
        <v>10</v>
      </c>
      <c r="F799">
        <v>46080.051446759258</v>
      </c>
    </row>
    <row r="800" spans="1:6" x14ac:dyDescent="0.25">
      <c r="A800">
        <v>799</v>
      </c>
      <c r="B800" t="s">
        <v>5</v>
      </c>
      <c r="C800" t="s">
        <v>6</v>
      </c>
      <c r="D800">
        <v>46079.967418981483</v>
      </c>
      <c r="E800" t="s">
        <v>7</v>
      </c>
      <c r="F800">
        <v>46080.601469907408</v>
      </c>
    </row>
    <row r="801" spans="1:6" x14ac:dyDescent="0.25">
      <c r="A801">
        <v>800</v>
      </c>
      <c r="B801" t="s">
        <v>5</v>
      </c>
      <c r="C801" t="s">
        <v>6</v>
      </c>
      <c r="D801">
        <v>46080.287905092591</v>
      </c>
      <c r="E801" t="s">
        <v>7</v>
      </c>
      <c r="F801">
        <v>46080.591828703706</v>
      </c>
    </row>
    <row r="802" spans="1:6" x14ac:dyDescent="0.25">
      <c r="A802">
        <v>801</v>
      </c>
      <c r="B802" t="s">
        <v>5</v>
      </c>
      <c r="C802" t="s">
        <v>10</v>
      </c>
      <c r="D802">
        <v>46080.350694444445</v>
      </c>
      <c r="E802" t="s">
        <v>10</v>
      </c>
      <c r="F802">
        <v>46080.372916666667</v>
      </c>
    </row>
    <row r="803" spans="1:6" x14ac:dyDescent="0.25">
      <c r="A803">
        <v>802</v>
      </c>
      <c r="B803" t="s">
        <v>5</v>
      </c>
      <c r="C803" t="s">
        <v>6</v>
      </c>
      <c r="D803">
        <v>46080.361111111109</v>
      </c>
      <c r="E803" t="s">
        <v>7</v>
      </c>
      <c r="F803">
        <v>46080.667199074072</v>
      </c>
    </row>
    <row r="804" spans="1:6" x14ac:dyDescent="0.25">
      <c r="A804">
        <v>803</v>
      </c>
      <c r="B804" t="s">
        <v>5</v>
      </c>
      <c r="C804" t="s">
        <v>8</v>
      </c>
      <c r="D804">
        <v>46080.375</v>
      </c>
      <c r="E804" t="s">
        <v>7</v>
      </c>
      <c r="F804">
        <v>46080.701388888891</v>
      </c>
    </row>
    <row r="805" spans="1:6" x14ac:dyDescent="0.25">
      <c r="A805">
        <v>804</v>
      </c>
      <c r="B805" t="s">
        <v>5</v>
      </c>
      <c r="C805" t="s">
        <v>7</v>
      </c>
      <c r="D805">
        <v>46080.385416666664</v>
      </c>
      <c r="E805" t="s">
        <v>7</v>
      </c>
      <c r="F805">
        <v>46080.614583333336</v>
      </c>
    </row>
    <row r="806" spans="1:6" x14ac:dyDescent="0.25">
      <c r="A806">
        <v>805</v>
      </c>
      <c r="B806" t="s">
        <v>5</v>
      </c>
      <c r="C806" t="s">
        <v>6</v>
      </c>
      <c r="D806">
        <v>46080.409618055557</v>
      </c>
      <c r="E806" t="s">
        <v>8</v>
      </c>
      <c r="F806">
        <v>46080.730787037035</v>
      </c>
    </row>
    <row r="807" spans="1:6" x14ac:dyDescent="0.25">
      <c r="A807">
        <v>806</v>
      </c>
      <c r="B807" t="s">
        <v>5</v>
      </c>
      <c r="C807" t="s">
        <v>6</v>
      </c>
      <c r="D807">
        <v>46080.445405092592</v>
      </c>
      <c r="E807" t="s">
        <v>7</v>
      </c>
      <c r="F807">
        <v>46080.646504629629</v>
      </c>
    </row>
    <row r="808" spans="1:6" x14ac:dyDescent="0.25">
      <c r="A808">
        <v>807</v>
      </c>
      <c r="B808" t="s">
        <v>5</v>
      </c>
      <c r="C808" t="s">
        <v>10</v>
      </c>
      <c r="D808">
        <v>46080.525000000001</v>
      </c>
      <c r="E808" t="s">
        <v>8</v>
      </c>
      <c r="F808">
        <v>46080.548611111109</v>
      </c>
    </row>
    <row r="809" spans="1:6" x14ac:dyDescent="0.25">
      <c r="A809">
        <v>808</v>
      </c>
      <c r="B809" t="s">
        <v>5</v>
      </c>
      <c r="C809" t="s">
        <v>6</v>
      </c>
      <c r="D809">
        <v>46080.602210648147</v>
      </c>
      <c r="E809" t="s">
        <v>7</v>
      </c>
      <c r="F809">
        <v>46080.901203703703</v>
      </c>
    </row>
    <row r="810" spans="1:6" x14ac:dyDescent="0.25">
      <c r="A810">
        <v>809</v>
      </c>
      <c r="B810" t="s">
        <v>5</v>
      </c>
      <c r="C810" t="s">
        <v>6</v>
      </c>
      <c r="D810">
        <v>46080.680358796293</v>
      </c>
      <c r="E810" t="s">
        <v>7</v>
      </c>
      <c r="F810">
        <v>46081.469108796293</v>
      </c>
    </row>
    <row r="811" spans="1:6" x14ac:dyDescent="0.25">
      <c r="A811">
        <v>810</v>
      </c>
      <c r="B811" t="s">
        <v>5</v>
      </c>
      <c r="C811" t="s">
        <v>7</v>
      </c>
      <c r="D811">
        <v>46080.684027777781</v>
      </c>
      <c r="E811" t="s">
        <v>7</v>
      </c>
      <c r="F811">
        <v>46084.647534722222</v>
      </c>
    </row>
    <row r="812" spans="1:6" x14ac:dyDescent="0.25">
      <c r="A812">
        <v>811</v>
      </c>
      <c r="B812" t="s">
        <v>5</v>
      </c>
      <c r="C812" t="s">
        <v>8</v>
      </c>
      <c r="D812">
        <v>46080.71875</v>
      </c>
      <c r="E812" t="s">
        <v>10</v>
      </c>
      <c r="F812">
        <v>46080.940972222219</v>
      </c>
    </row>
    <row r="813" spans="1:6" x14ac:dyDescent="0.25">
      <c r="A813">
        <v>812</v>
      </c>
      <c r="B813" t="s">
        <v>5</v>
      </c>
      <c r="C813" t="s">
        <v>6</v>
      </c>
      <c r="D813">
        <v>46080.852407407408</v>
      </c>
      <c r="E813" t="s">
        <v>8</v>
      </c>
      <c r="F813">
        <v>46081.019456018519</v>
      </c>
    </row>
    <row r="814" spans="1:6" x14ac:dyDescent="0.25">
      <c r="A814">
        <v>813</v>
      </c>
      <c r="B814" t="s">
        <v>5</v>
      </c>
      <c r="C814" t="s">
        <v>6</v>
      </c>
      <c r="D814">
        <v>46080.943842592591</v>
      </c>
      <c r="E814" t="s">
        <v>7</v>
      </c>
      <c r="F814">
        <v>46081.671493055554</v>
      </c>
    </row>
    <row r="815" spans="1:6" x14ac:dyDescent="0.25">
      <c r="A815">
        <v>814</v>
      </c>
      <c r="B815" t="s">
        <v>5</v>
      </c>
      <c r="C815" t="s">
        <v>6</v>
      </c>
      <c r="D815">
        <v>46081.211562500001</v>
      </c>
      <c r="E815" t="s">
        <v>8</v>
      </c>
      <c r="F815">
        <v>46081.390983796293</v>
      </c>
    </row>
    <row r="816" spans="1:6" x14ac:dyDescent="0.25">
      <c r="A816">
        <v>815</v>
      </c>
      <c r="B816" t="s">
        <v>5</v>
      </c>
      <c r="C816" t="s">
        <v>7</v>
      </c>
      <c r="D816">
        <v>46081.35833333333</v>
      </c>
      <c r="E816" t="s">
        <v>7</v>
      </c>
      <c r="F816">
        <v>46081.427083333336</v>
      </c>
    </row>
    <row r="817" spans="1:6" x14ac:dyDescent="0.25">
      <c r="A817">
        <v>816</v>
      </c>
      <c r="B817" t="s">
        <v>5</v>
      </c>
      <c r="C817" t="s">
        <v>6</v>
      </c>
      <c r="D817">
        <v>46081.390069444446</v>
      </c>
      <c r="E817" t="s">
        <v>7</v>
      </c>
      <c r="F817">
        <v>46081.875231481485</v>
      </c>
    </row>
    <row r="818" spans="1:6" x14ac:dyDescent="0.25">
      <c r="A818">
        <v>817</v>
      </c>
      <c r="B818" t="s">
        <v>5</v>
      </c>
      <c r="C818" t="s">
        <v>6</v>
      </c>
      <c r="D818">
        <v>46081.411215277774</v>
      </c>
      <c r="E818" t="s">
        <v>7</v>
      </c>
      <c r="F818">
        <v>46083.697685185187</v>
      </c>
    </row>
    <row r="819" spans="1:6" x14ac:dyDescent="0.25">
      <c r="A819">
        <v>818</v>
      </c>
      <c r="B819" t="s">
        <v>5</v>
      </c>
      <c r="C819" t="s">
        <v>6</v>
      </c>
      <c r="D819">
        <v>46081.504571759258</v>
      </c>
      <c r="E819" t="s">
        <v>8</v>
      </c>
      <c r="F819">
        <v>46081.866284722222</v>
      </c>
    </row>
    <row r="820" spans="1:6" x14ac:dyDescent="0.25">
      <c r="A820">
        <v>819</v>
      </c>
      <c r="B820" t="s">
        <v>5</v>
      </c>
      <c r="C820" t="s">
        <v>6</v>
      </c>
      <c r="D820">
        <v>46081.541666666664</v>
      </c>
      <c r="E820" t="s">
        <v>7</v>
      </c>
      <c r="F820">
        <v>46081.604166666664</v>
      </c>
    </row>
    <row r="821" spans="1:6" x14ac:dyDescent="0.25">
      <c r="A821">
        <v>820</v>
      </c>
      <c r="B821" t="s">
        <v>5</v>
      </c>
      <c r="C821" t="s">
        <v>6</v>
      </c>
      <c r="D821">
        <v>46081.617465277777</v>
      </c>
      <c r="E821" t="s">
        <v>7</v>
      </c>
      <c r="F821">
        <v>46081.872291666667</v>
      </c>
    </row>
    <row r="822" spans="1:6" x14ac:dyDescent="0.25">
      <c r="A822">
        <v>821</v>
      </c>
      <c r="B822" t="s">
        <v>5</v>
      </c>
      <c r="C822" t="s">
        <v>6</v>
      </c>
      <c r="D822">
        <v>46081.636504629627</v>
      </c>
      <c r="E822" t="s">
        <v>7</v>
      </c>
      <c r="F822">
        <v>46082.601180555554</v>
      </c>
    </row>
    <row r="823" spans="1:6" x14ac:dyDescent="0.25">
      <c r="A823">
        <v>822</v>
      </c>
      <c r="B823" t="s">
        <v>5</v>
      </c>
      <c r="C823" t="s">
        <v>6</v>
      </c>
      <c r="D823">
        <v>46081.668645833335</v>
      </c>
      <c r="E823" t="s">
        <v>7</v>
      </c>
      <c r="F823">
        <v>46083.698240740741</v>
      </c>
    </row>
    <row r="824" spans="1:6" x14ac:dyDescent="0.25">
      <c r="A824">
        <v>823</v>
      </c>
      <c r="B824" t="s">
        <v>5</v>
      </c>
      <c r="C824" t="s">
        <v>6</v>
      </c>
      <c r="D824">
        <v>46081.720034722224</v>
      </c>
      <c r="E824" t="s">
        <v>10</v>
      </c>
      <c r="F824">
        <v>46081.765451388892</v>
      </c>
    </row>
    <row r="825" spans="1:6" x14ac:dyDescent="0.25">
      <c r="A825">
        <v>824</v>
      </c>
      <c r="B825" t="s">
        <v>5</v>
      </c>
      <c r="C825" t="s">
        <v>6</v>
      </c>
      <c r="D825">
        <v>46081.819444444445</v>
      </c>
      <c r="E825" t="s">
        <v>7</v>
      </c>
      <c r="F825">
        <v>46081.850694444445</v>
      </c>
    </row>
    <row r="826" spans="1:6" x14ac:dyDescent="0.25">
      <c r="A826">
        <v>825</v>
      </c>
      <c r="B826" t="s">
        <v>5</v>
      </c>
      <c r="C826" t="s">
        <v>6</v>
      </c>
      <c r="D826">
        <v>46081.980243055557</v>
      </c>
      <c r="E826" t="s">
        <v>7</v>
      </c>
      <c r="F826">
        <v>46082.541805555556</v>
      </c>
    </row>
    <row r="827" spans="1:6" x14ac:dyDescent="0.25">
      <c r="A827">
        <v>826</v>
      </c>
      <c r="B827" t="s">
        <v>5</v>
      </c>
      <c r="C827" t="s">
        <v>6</v>
      </c>
      <c r="D827">
        <v>46082.008171296293</v>
      </c>
      <c r="E827" t="s">
        <v>7</v>
      </c>
      <c r="F827">
        <v>46082.71361111111</v>
      </c>
    </row>
    <row r="828" spans="1:6" x14ac:dyDescent="0.25">
      <c r="A828">
        <v>827</v>
      </c>
      <c r="B828" t="s">
        <v>5</v>
      </c>
      <c r="C828" t="s">
        <v>7</v>
      </c>
      <c r="D828">
        <v>46082.371527777781</v>
      </c>
      <c r="E828" t="s">
        <v>7</v>
      </c>
      <c r="F828">
        <v>46082.386111111111</v>
      </c>
    </row>
    <row r="829" spans="1:6" x14ac:dyDescent="0.25">
      <c r="A829">
        <v>828</v>
      </c>
      <c r="B829" t="s">
        <v>5</v>
      </c>
      <c r="C829" t="s">
        <v>10</v>
      </c>
      <c r="D829">
        <v>46082.411770833336</v>
      </c>
      <c r="E829" t="s">
        <v>7</v>
      </c>
      <c r="F829">
        <v>46083.558888888889</v>
      </c>
    </row>
    <row r="830" spans="1:6" x14ac:dyDescent="0.25">
      <c r="A830">
        <v>829</v>
      </c>
      <c r="B830" t="s">
        <v>5</v>
      </c>
      <c r="C830" t="s">
        <v>6</v>
      </c>
      <c r="D830">
        <v>46082.523252314815</v>
      </c>
      <c r="E830" t="s">
        <v>7</v>
      </c>
      <c r="F830">
        <v>46083.718564814815</v>
      </c>
    </row>
    <row r="831" spans="1:6" x14ac:dyDescent="0.25">
      <c r="A831">
        <v>830</v>
      </c>
      <c r="B831" t="s">
        <v>5</v>
      </c>
      <c r="C831" t="s">
        <v>6</v>
      </c>
      <c r="D831">
        <v>46082.622013888889</v>
      </c>
      <c r="E831" t="s">
        <v>9</v>
      </c>
      <c r="F831">
        <v>46082.843229166669</v>
      </c>
    </row>
    <row r="832" spans="1:6" x14ac:dyDescent="0.25">
      <c r="A832">
        <v>831</v>
      </c>
      <c r="B832" t="s">
        <v>5</v>
      </c>
      <c r="C832" t="s">
        <v>6</v>
      </c>
      <c r="D832">
        <v>46082.691307870373</v>
      </c>
      <c r="E832" t="s">
        <v>7</v>
      </c>
      <c r="F832">
        <v>46083.874178240738</v>
      </c>
    </row>
    <row r="833" spans="1:6" x14ac:dyDescent="0.25">
      <c r="A833">
        <v>832</v>
      </c>
      <c r="B833" t="s">
        <v>5</v>
      </c>
      <c r="C833" t="s">
        <v>6</v>
      </c>
      <c r="D833">
        <v>46082.853842592594</v>
      </c>
      <c r="E833" t="s">
        <v>8</v>
      </c>
      <c r="F833">
        <v>46083.0937037037</v>
      </c>
    </row>
    <row r="834" spans="1:6" x14ac:dyDescent="0.25">
      <c r="A834">
        <v>833</v>
      </c>
      <c r="B834" t="s">
        <v>5</v>
      </c>
      <c r="C834" t="s">
        <v>6</v>
      </c>
      <c r="D834">
        <v>46082.861516203702</v>
      </c>
      <c r="E834" t="s">
        <v>7</v>
      </c>
      <c r="F834">
        <v>46083.649444444447</v>
      </c>
    </row>
    <row r="835" spans="1:6" x14ac:dyDescent="0.25">
      <c r="A835">
        <v>834</v>
      </c>
      <c r="B835" t="s">
        <v>5</v>
      </c>
      <c r="C835" t="s">
        <v>6</v>
      </c>
      <c r="D835">
        <v>46082.986377314817</v>
      </c>
      <c r="E835" t="s">
        <v>9</v>
      </c>
      <c r="F835">
        <v>46083.589641203704</v>
      </c>
    </row>
    <row r="836" spans="1:6" x14ac:dyDescent="0.25">
      <c r="A836">
        <v>835</v>
      </c>
      <c r="B836" t="s">
        <v>5</v>
      </c>
      <c r="C836" t="s">
        <v>6</v>
      </c>
      <c r="D836">
        <v>46083.063530092593</v>
      </c>
      <c r="E836" t="s">
        <v>7</v>
      </c>
      <c r="F836">
        <v>46086.762094907404</v>
      </c>
    </row>
    <row r="837" spans="1:6" x14ac:dyDescent="0.25">
      <c r="A837">
        <v>836</v>
      </c>
      <c r="B837" t="s">
        <v>5</v>
      </c>
      <c r="C837" t="s">
        <v>6</v>
      </c>
      <c r="D837">
        <v>46083.063530092593</v>
      </c>
      <c r="E837" t="s">
        <v>8</v>
      </c>
      <c r="F837">
        <v>46083.73541666667</v>
      </c>
    </row>
    <row r="838" spans="1:6" x14ac:dyDescent="0.25">
      <c r="A838">
        <v>837</v>
      </c>
      <c r="B838" t="s">
        <v>5</v>
      </c>
      <c r="C838" t="s">
        <v>7</v>
      </c>
      <c r="D838">
        <v>46083.3125</v>
      </c>
      <c r="E838" t="s">
        <v>7</v>
      </c>
      <c r="F838">
        <v>46083.385416666664</v>
      </c>
    </row>
    <row r="839" spans="1:6" x14ac:dyDescent="0.25">
      <c r="A839">
        <v>838</v>
      </c>
      <c r="B839" t="s">
        <v>5</v>
      </c>
      <c r="C839" t="s">
        <v>7</v>
      </c>
      <c r="D839">
        <v>46083.347222222219</v>
      </c>
      <c r="E839" t="s">
        <v>7</v>
      </c>
      <c r="F839">
        <v>46083.442361111112</v>
      </c>
    </row>
    <row r="840" spans="1:6" x14ac:dyDescent="0.25">
      <c r="A840">
        <v>839</v>
      </c>
      <c r="B840" t="s">
        <v>5</v>
      </c>
      <c r="C840" t="s">
        <v>7</v>
      </c>
      <c r="D840">
        <v>46083.357638888891</v>
      </c>
      <c r="E840" t="s">
        <v>7</v>
      </c>
      <c r="F840">
        <v>46083.479166666664</v>
      </c>
    </row>
    <row r="841" spans="1:6" x14ac:dyDescent="0.25">
      <c r="A841">
        <v>840</v>
      </c>
      <c r="B841" t="s">
        <v>5</v>
      </c>
      <c r="C841" t="s">
        <v>7</v>
      </c>
      <c r="D841">
        <v>46083.368055555555</v>
      </c>
      <c r="E841" t="s">
        <v>7</v>
      </c>
      <c r="F841">
        <v>46083.395833333336</v>
      </c>
    </row>
    <row r="842" spans="1:6" x14ac:dyDescent="0.25">
      <c r="A842">
        <v>841</v>
      </c>
      <c r="B842" t="s">
        <v>5</v>
      </c>
      <c r="C842" t="s">
        <v>7</v>
      </c>
      <c r="D842">
        <v>46083.409722222219</v>
      </c>
      <c r="E842" t="s">
        <v>8</v>
      </c>
      <c r="F842">
        <v>46083.608958333331</v>
      </c>
    </row>
    <row r="843" spans="1:6" x14ac:dyDescent="0.25">
      <c r="A843">
        <v>842</v>
      </c>
      <c r="B843" t="s">
        <v>5</v>
      </c>
      <c r="C843" t="s">
        <v>7</v>
      </c>
      <c r="D843">
        <v>46083.447916666664</v>
      </c>
      <c r="E843" t="s">
        <v>8</v>
      </c>
      <c r="F843">
        <v>46083.723171296297</v>
      </c>
    </row>
    <row r="844" spans="1:6" x14ac:dyDescent="0.25">
      <c r="A844">
        <v>843</v>
      </c>
      <c r="B844" t="s">
        <v>5</v>
      </c>
      <c r="C844" t="s">
        <v>7</v>
      </c>
      <c r="D844">
        <v>46083.46875</v>
      </c>
      <c r="E844" t="s">
        <v>7</v>
      </c>
      <c r="F844">
        <v>46083.517361111109</v>
      </c>
    </row>
    <row r="845" spans="1:6" x14ac:dyDescent="0.25">
      <c r="A845">
        <v>844</v>
      </c>
      <c r="B845" t="s">
        <v>5</v>
      </c>
      <c r="C845" t="s">
        <v>6</v>
      </c>
      <c r="D845">
        <v>46083.565613425926</v>
      </c>
      <c r="E845" t="s">
        <v>7</v>
      </c>
      <c r="F845">
        <v>46084.710879629631</v>
      </c>
    </row>
    <row r="846" spans="1:6" x14ac:dyDescent="0.25">
      <c r="A846">
        <v>845</v>
      </c>
      <c r="B846" t="s">
        <v>5</v>
      </c>
      <c r="C846" t="s">
        <v>7</v>
      </c>
      <c r="D846">
        <v>46083.583333333336</v>
      </c>
      <c r="E846" t="s">
        <v>7</v>
      </c>
      <c r="F846">
        <v>46083.666666666664</v>
      </c>
    </row>
    <row r="847" spans="1:6" x14ac:dyDescent="0.25">
      <c r="A847">
        <v>846</v>
      </c>
      <c r="B847" t="s">
        <v>5</v>
      </c>
      <c r="C847" t="s">
        <v>7</v>
      </c>
      <c r="D847">
        <v>46083.611111111109</v>
      </c>
      <c r="E847" t="s">
        <v>8</v>
      </c>
      <c r="F847">
        <v>46083.760937500003</v>
      </c>
    </row>
    <row r="848" spans="1:6" x14ac:dyDescent="0.25">
      <c r="A848">
        <v>847</v>
      </c>
      <c r="B848" t="s">
        <v>5</v>
      </c>
      <c r="C848" t="s">
        <v>6</v>
      </c>
      <c r="D848">
        <v>46083.700995370367</v>
      </c>
      <c r="E848" t="s">
        <v>7</v>
      </c>
      <c r="F848">
        <v>46083.94159722222</v>
      </c>
    </row>
    <row r="849" spans="1:6" x14ac:dyDescent="0.25">
      <c r="A849">
        <v>848</v>
      </c>
      <c r="B849" t="s">
        <v>5</v>
      </c>
      <c r="C849" t="s">
        <v>10</v>
      </c>
      <c r="D849">
        <v>46083.72452546296</v>
      </c>
      <c r="E849" t="s">
        <v>9</v>
      </c>
      <c r="F849">
        <v>46084.389849537038</v>
      </c>
    </row>
    <row r="850" spans="1:6" x14ac:dyDescent="0.25">
      <c r="A850">
        <v>849</v>
      </c>
      <c r="B850" t="s">
        <v>5</v>
      </c>
      <c r="C850" t="s">
        <v>6</v>
      </c>
      <c r="D850">
        <v>46083.754444444443</v>
      </c>
      <c r="E850" t="s">
        <v>7</v>
      </c>
      <c r="F850">
        <v>46083.88140046296</v>
      </c>
    </row>
    <row r="851" spans="1:6" x14ac:dyDescent="0.25">
      <c r="A851">
        <v>850</v>
      </c>
      <c r="B851" t="s">
        <v>5</v>
      </c>
      <c r="C851" t="s">
        <v>6</v>
      </c>
      <c r="D851">
        <v>46083.876122685186</v>
      </c>
      <c r="E851" t="s">
        <v>9</v>
      </c>
      <c r="F851">
        <v>46084.52621527778</v>
      </c>
    </row>
    <row r="852" spans="1:6" x14ac:dyDescent="0.25">
      <c r="A852">
        <v>851</v>
      </c>
      <c r="B852" t="s">
        <v>5</v>
      </c>
      <c r="C852" t="s">
        <v>6</v>
      </c>
      <c r="D852">
        <v>46083.894999999997</v>
      </c>
      <c r="E852" t="s">
        <v>7</v>
      </c>
      <c r="F852">
        <v>46084.019062500003</v>
      </c>
    </row>
    <row r="853" spans="1:6" x14ac:dyDescent="0.25">
      <c r="A853">
        <v>852</v>
      </c>
      <c r="B853" t="s">
        <v>5</v>
      </c>
      <c r="C853" t="s">
        <v>6</v>
      </c>
      <c r="D853">
        <v>46083.929166666669</v>
      </c>
      <c r="E853" t="s">
        <v>7</v>
      </c>
      <c r="F853">
        <v>46084.682858796295</v>
      </c>
    </row>
    <row r="854" spans="1:6" x14ac:dyDescent="0.25">
      <c r="A854">
        <v>853</v>
      </c>
      <c r="B854" t="s">
        <v>5</v>
      </c>
      <c r="C854" t="s">
        <v>6</v>
      </c>
      <c r="D854">
        <v>46083.968287037038</v>
      </c>
      <c r="E854" t="s">
        <v>7</v>
      </c>
      <c r="F854">
        <v>46084.740983796299</v>
      </c>
    </row>
    <row r="855" spans="1:6" x14ac:dyDescent="0.25">
      <c r="A855">
        <v>854</v>
      </c>
      <c r="B855" t="s">
        <v>5</v>
      </c>
      <c r="C855" t="s">
        <v>6</v>
      </c>
      <c r="D855">
        <v>46084.041574074072</v>
      </c>
      <c r="E855" t="s">
        <v>7</v>
      </c>
      <c r="F855">
        <v>46084.49927083333</v>
      </c>
    </row>
    <row r="856" spans="1:6" x14ac:dyDescent="0.25">
      <c r="A856">
        <v>855</v>
      </c>
      <c r="B856" t="s">
        <v>5</v>
      </c>
      <c r="C856" t="s">
        <v>6</v>
      </c>
      <c r="D856">
        <v>46084.278645833336</v>
      </c>
      <c r="E856" t="s">
        <v>9</v>
      </c>
      <c r="F856">
        <v>46084.727546296293</v>
      </c>
    </row>
    <row r="857" spans="1:6" x14ac:dyDescent="0.25">
      <c r="A857">
        <v>856</v>
      </c>
      <c r="B857" t="s">
        <v>5</v>
      </c>
      <c r="C857" t="s">
        <v>6</v>
      </c>
      <c r="D857">
        <v>46084.300844907404</v>
      </c>
      <c r="E857" t="s">
        <v>7</v>
      </c>
      <c r="F857">
        <v>46084.927534722221</v>
      </c>
    </row>
    <row r="858" spans="1:6" x14ac:dyDescent="0.25">
      <c r="A858">
        <v>857</v>
      </c>
      <c r="B858" t="s">
        <v>5</v>
      </c>
      <c r="C858" t="s">
        <v>7</v>
      </c>
      <c r="D858">
        <v>46084.35</v>
      </c>
      <c r="E858" t="s">
        <v>7</v>
      </c>
      <c r="F858">
        <v>46084.527777777781</v>
      </c>
    </row>
    <row r="859" spans="1:6" x14ac:dyDescent="0.25">
      <c r="A859">
        <v>858</v>
      </c>
      <c r="B859" t="s">
        <v>5</v>
      </c>
      <c r="C859" t="s">
        <v>10</v>
      </c>
      <c r="D859">
        <v>46084.361111111109</v>
      </c>
      <c r="E859" t="s">
        <v>8</v>
      </c>
      <c r="F859">
        <v>46084.40625</v>
      </c>
    </row>
    <row r="860" spans="1:6" x14ac:dyDescent="0.25">
      <c r="A860">
        <v>859</v>
      </c>
      <c r="B860" t="s">
        <v>5</v>
      </c>
      <c r="C860" t="s">
        <v>7</v>
      </c>
      <c r="D860">
        <v>46084.378472222219</v>
      </c>
      <c r="E860" t="s">
        <v>7</v>
      </c>
      <c r="F860">
        <v>46084.438888888886</v>
      </c>
    </row>
    <row r="861" spans="1:6" x14ac:dyDescent="0.25">
      <c r="A861">
        <v>860</v>
      </c>
      <c r="B861" t="s">
        <v>5</v>
      </c>
      <c r="C861" t="s">
        <v>7</v>
      </c>
      <c r="D861">
        <v>46084.451388888891</v>
      </c>
      <c r="E861" t="s">
        <v>8</v>
      </c>
      <c r="F861">
        <v>46084.510416666664</v>
      </c>
    </row>
    <row r="862" spans="1:6" x14ac:dyDescent="0.25">
      <c r="A862">
        <v>861</v>
      </c>
      <c r="B862" t="s">
        <v>5</v>
      </c>
      <c r="C862" t="s">
        <v>6</v>
      </c>
      <c r="D862">
        <v>46084.46166666667</v>
      </c>
      <c r="E862" t="s">
        <v>7</v>
      </c>
      <c r="F862">
        <v>46084.719236111108</v>
      </c>
    </row>
    <row r="863" spans="1:6" x14ac:dyDescent="0.25">
      <c r="A863">
        <v>862</v>
      </c>
      <c r="B863" t="s">
        <v>5</v>
      </c>
      <c r="C863" t="s">
        <v>6</v>
      </c>
      <c r="D863">
        <v>46084.477905092594</v>
      </c>
      <c r="E863" t="s">
        <v>6</v>
      </c>
      <c r="F863">
        <v>46084.539305555554</v>
      </c>
    </row>
    <row r="864" spans="1:6" x14ac:dyDescent="0.25">
      <c r="A864">
        <v>863</v>
      </c>
      <c r="B864" t="s">
        <v>5</v>
      </c>
      <c r="C864" t="s">
        <v>10</v>
      </c>
      <c r="D864">
        <v>46084.496527777781</v>
      </c>
      <c r="E864" t="s">
        <v>10</v>
      </c>
      <c r="F864">
        <v>46084.520833333336</v>
      </c>
    </row>
    <row r="865" spans="1:6" x14ac:dyDescent="0.25">
      <c r="A865">
        <v>864</v>
      </c>
      <c r="B865" t="s">
        <v>5</v>
      </c>
      <c r="C865" t="s">
        <v>7</v>
      </c>
      <c r="D865">
        <v>46084.569444444445</v>
      </c>
      <c r="E865" t="s">
        <v>7</v>
      </c>
      <c r="F865">
        <v>46084.611111111109</v>
      </c>
    </row>
    <row r="866" spans="1:6" x14ac:dyDescent="0.25">
      <c r="A866">
        <v>865</v>
      </c>
      <c r="B866" t="s">
        <v>5</v>
      </c>
      <c r="C866" t="s">
        <v>6</v>
      </c>
      <c r="D866">
        <v>46084.576886574076</v>
      </c>
      <c r="E866" t="s">
        <v>8</v>
      </c>
      <c r="F866">
        <v>46084.729594907411</v>
      </c>
    </row>
    <row r="867" spans="1:6" x14ac:dyDescent="0.25">
      <c r="A867">
        <v>866</v>
      </c>
      <c r="B867" t="s">
        <v>5</v>
      </c>
      <c r="C867" t="s">
        <v>6</v>
      </c>
      <c r="D867">
        <v>46084.625532407408</v>
      </c>
      <c r="E867" t="s">
        <v>7</v>
      </c>
      <c r="F867">
        <v>46084.943298611113</v>
      </c>
    </row>
    <row r="868" spans="1:6" x14ac:dyDescent="0.25">
      <c r="A868">
        <v>867</v>
      </c>
      <c r="B868" t="s">
        <v>5</v>
      </c>
      <c r="C868" t="s">
        <v>7</v>
      </c>
      <c r="D868">
        <v>46084.645833333336</v>
      </c>
      <c r="E868" t="s">
        <v>10</v>
      </c>
      <c r="F868">
        <v>46099.664525462962</v>
      </c>
    </row>
    <row r="869" spans="1:6" x14ac:dyDescent="0.25">
      <c r="A869">
        <v>868</v>
      </c>
      <c r="B869" t="s">
        <v>5</v>
      </c>
      <c r="C869" t="s">
        <v>7</v>
      </c>
      <c r="D869">
        <v>46084.666666666664</v>
      </c>
      <c r="E869" t="s">
        <v>7</v>
      </c>
      <c r="F869">
        <v>46084.6875</v>
      </c>
    </row>
    <row r="870" spans="1:6" x14ac:dyDescent="0.25">
      <c r="A870">
        <v>869</v>
      </c>
      <c r="B870" t="s">
        <v>5</v>
      </c>
      <c r="C870" t="s">
        <v>8</v>
      </c>
      <c r="D870">
        <v>46084.729166666664</v>
      </c>
      <c r="E870" t="s">
        <v>10</v>
      </c>
      <c r="F870">
        <v>46084.854166666664</v>
      </c>
    </row>
    <row r="871" spans="1:6" x14ac:dyDescent="0.25">
      <c r="A871">
        <v>870</v>
      </c>
      <c r="B871" t="s">
        <v>5</v>
      </c>
      <c r="C871" t="s">
        <v>6</v>
      </c>
      <c r="D871">
        <v>46084.743993055556</v>
      </c>
      <c r="E871" t="s">
        <v>7</v>
      </c>
      <c r="F871">
        <v>46085.000231481485</v>
      </c>
    </row>
    <row r="872" spans="1:6" x14ac:dyDescent="0.25">
      <c r="A872">
        <v>871</v>
      </c>
      <c r="B872" t="s">
        <v>5</v>
      </c>
      <c r="C872" t="s">
        <v>6</v>
      </c>
      <c r="D872">
        <v>46084.850891203707</v>
      </c>
      <c r="E872" t="s">
        <v>7</v>
      </c>
      <c r="F872">
        <v>46085.156481481485</v>
      </c>
    </row>
    <row r="873" spans="1:6" x14ac:dyDescent="0.25">
      <c r="A873">
        <v>872</v>
      </c>
      <c r="B873" t="s">
        <v>5</v>
      </c>
      <c r="C873" t="s">
        <v>8</v>
      </c>
      <c r="D873">
        <v>46084.895833333336</v>
      </c>
      <c r="E873" t="s">
        <v>7</v>
      </c>
      <c r="F873">
        <v>46084.947916666664</v>
      </c>
    </row>
    <row r="874" spans="1:6" x14ac:dyDescent="0.25">
      <c r="A874">
        <v>873</v>
      </c>
      <c r="B874" t="s">
        <v>5</v>
      </c>
      <c r="C874" t="s">
        <v>6</v>
      </c>
      <c r="D874">
        <v>46084.932986111111</v>
      </c>
      <c r="E874" t="s">
        <v>7</v>
      </c>
      <c r="F874">
        <v>46085.642384259256</v>
      </c>
    </row>
    <row r="875" spans="1:6" x14ac:dyDescent="0.25">
      <c r="A875">
        <v>874</v>
      </c>
      <c r="B875" t="s">
        <v>5</v>
      </c>
      <c r="C875" t="s">
        <v>6</v>
      </c>
      <c r="D875">
        <v>46084.959108796298</v>
      </c>
      <c r="E875" t="s">
        <v>7</v>
      </c>
      <c r="F875">
        <v>46085.486354166664</v>
      </c>
    </row>
    <row r="876" spans="1:6" x14ac:dyDescent="0.25">
      <c r="A876">
        <v>875</v>
      </c>
      <c r="B876" t="s">
        <v>5</v>
      </c>
      <c r="C876" t="s">
        <v>6</v>
      </c>
      <c r="D876">
        <v>46085.024525462963</v>
      </c>
      <c r="E876" t="s">
        <v>7</v>
      </c>
      <c r="F876">
        <v>46085.692939814813</v>
      </c>
    </row>
    <row r="877" spans="1:6" x14ac:dyDescent="0.25">
      <c r="A877">
        <v>876</v>
      </c>
      <c r="B877" t="s">
        <v>5</v>
      </c>
      <c r="C877" t="s">
        <v>6</v>
      </c>
      <c r="D877">
        <v>46085.039652777778</v>
      </c>
      <c r="E877" t="s">
        <v>7</v>
      </c>
      <c r="F877">
        <v>46085.356886574074</v>
      </c>
    </row>
    <row r="878" spans="1:6" x14ac:dyDescent="0.25">
      <c r="A878">
        <v>877</v>
      </c>
      <c r="B878" t="s">
        <v>5</v>
      </c>
      <c r="C878" t="s">
        <v>6</v>
      </c>
      <c r="D878">
        <v>46085.040173611109</v>
      </c>
      <c r="E878" t="s">
        <v>7</v>
      </c>
      <c r="F878">
        <v>46085.660740740743</v>
      </c>
    </row>
    <row r="879" spans="1:6" x14ac:dyDescent="0.25">
      <c r="A879">
        <v>878</v>
      </c>
      <c r="B879" t="s">
        <v>5</v>
      </c>
      <c r="C879" t="s">
        <v>6</v>
      </c>
      <c r="D879">
        <v>46085.135185185187</v>
      </c>
      <c r="E879" t="s">
        <v>8</v>
      </c>
      <c r="F879">
        <v>46085.374328703707</v>
      </c>
    </row>
    <row r="880" spans="1:6" x14ac:dyDescent="0.25">
      <c r="A880">
        <v>879</v>
      </c>
      <c r="B880" t="s">
        <v>5</v>
      </c>
      <c r="C880" t="s">
        <v>6</v>
      </c>
      <c r="D880">
        <v>46085.289652777778</v>
      </c>
      <c r="E880" t="s">
        <v>7</v>
      </c>
      <c r="F880">
        <v>46085.578935185185</v>
      </c>
    </row>
    <row r="881" spans="1:6" x14ac:dyDescent="0.25">
      <c r="A881">
        <v>880</v>
      </c>
      <c r="B881" t="s">
        <v>5</v>
      </c>
      <c r="C881" t="s">
        <v>10</v>
      </c>
      <c r="D881">
        <v>46085.290879629632</v>
      </c>
      <c r="E881" t="s">
        <v>7</v>
      </c>
      <c r="F881">
        <v>46085.516793981478</v>
      </c>
    </row>
    <row r="882" spans="1:6" x14ac:dyDescent="0.25">
      <c r="A882">
        <v>881</v>
      </c>
      <c r="B882" t="s">
        <v>5</v>
      </c>
      <c r="C882" t="s">
        <v>12</v>
      </c>
      <c r="D882">
        <v>46085.338923611111</v>
      </c>
      <c r="E882" t="s">
        <v>7</v>
      </c>
      <c r="F882">
        <v>46085.532557870371</v>
      </c>
    </row>
    <row r="883" spans="1:6" x14ac:dyDescent="0.25">
      <c r="A883">
        <v>882</v>
      </c>
      <c r="B883" t="s">
        <v>5</v>
      </c>
      <c r="C883" t="s">
        <v>7</v>
      </c>
      <c r="D883">
        <v>46085.354166666664</v>
      </c>
      <c r="E883" t="s">
        <v>7</v>
      </c>
      <c r="F883">
        <v>46085.465277777781</v>
      </c>
    </row>
    <row r="884" spans="1:6" x14ac:dyDescent="0.25">
      <c r="A884">
        <v>883</v>
      </c>
      <c r="B884" t="s">
        <v>5</v>
      </c>
      <c r="C884" t="s">
        <v>6</v>
      </c>
      <c r="D884">
        <v>46085.41646990741</v>
      </c>
      <c r="E884" t="s">
        <v>7</v>
      </c>
      <c r="F884">
        <v>46085.885347222225</v>
      </c>
    </row>
    <row r="885" spans="1:6" x14ac:dyDescent="0.25">
      <c r="A885">
        <v>884</v>
      </c>
      <c r="B885" t="s">
        <v>5</v>
      </c>
      <c r="C885" t="s">
        <v>6</v>
      </c>
      <c r="D885">
        <v>46085.493564814817</v>
      </c>
      <c r="E885" t="s">
        <v>7</v>
      </c>
      <c r="F885">
        <v>46085.77584490741</v>
      </c>
    </row>
    <row r="886" spans="1:6" x14ac:dyDescent="0.25">
      <c r="A886">
        <v>885</v>
      </c>
      <c r="B886" t="s">
        <v>5</v>
      </c>
      <c r="C886" t="s">
        <v>6</v>
      </c>
      <c r="D886">
        <v>46085.501030092593</v>
      </c>
      <c r="E886" t="s">
        <v>7</v>
      </c>
      <c r="F886">
        <v>46085.741944444446</v>
      </c>
    </row>
    <row r="887" spans="1:6" x14ac:dyDescent="0.25">
      <c r="A887">
        <v>886</v>
      </c>
      <c r="B887" t="s">
        <v>5</v>
      </c>
      <c r="C887" t="s">
        <v>7</v>
      </c>
      <c r="D887">
        <v>46085.532638888886</v>
      </c>
      <c r="E887" t="s">
        <v>7</v>
      </c>
      <c r="F887">
        <v>46085.579861111109</v>
      </c>
    </row>
    <row r="888" spans="1:6" x14ac:dyDescent="0.25">
      <c r="A888">
        <v>887</v>
      </c>
      <c r="B888" t="s">
        <v>5</v>
      </c>
      <c r="C888" t="s">
        <v>7</v>
      </c>
      <c r="D888">
        <v>46085.546527777777</v>
      </c>
      <c r="E888" t="s">
        <v>10</v>
      </c>
      <c r="F888">
        <v>46085.591666666667</v>
      </c>
    </row>
    <row r="889" spans="1:6" x14ac:dyDescent="0.25">
      <c r="A889">
        <v>888</v>
      </c>
      <c r="B889" t="s">
        <v>5</v>
      </c>
      <c r="C889" t="s">
        <v>6</v>
      </c>
      <c r="D889">
        <v>46085.64199074074</v>
      </c>
      <c r="E889" t="s">
        <v>7</v>
      </c>
      <c r="F889">
        <v>46085.774548611109</v>
      </c>
    </row>
    <row r="890" spans="1:6" x14ac:dyDescent="0.25">
      <c r="A890">
        <v>889</v>
      </c>
      <c r="B890" t="s">
        <v>5</v>
      </c>
      <c r="C890" t="s">
        <v>7</v>
      </c>
      <c r="D890">
        <v>46085.677083333336</v>
      </c>
      <c r="E890" t="s">
        <v>7</v>
      </c>
      <c r="F890">
        <v>46085.763888888891</v>
      </c>
    </row>
    <row r="891" spans="1:6" x14ac:dyDescent="0.25">
      <c r="A891">
        <v>890</v>
      </c>
      <c r="B891" t="s">
        <v>5</v>
      </c>
      <c r="C891" t="s">
        <v>6</v>
      </c>
      <c r="D891">
        <v>46085.864583333336</v>
      </c>
      <c r="E891" t="s">
        <v>9</v>
      </c>
      <c r="F891">
        <v>46086.582048611112</v>
      </c>
    </row>
    <row r="892" spans="1:6" x14ac:dyDescent="0.25">
      <c r="A892">
        <v>891</v>
      </c>
      <c r="B892" t="s">
        <v>5</v>
      </c>
      <c r="C892" t="s">
        <v>6</v>
      </c>
      <c r="D892">
        <v>46085.940891203703</v>
      </c>
      <c r="E892" t="s">
        <v>7</v>
      </c>
      <c r="F892">
        <v>46086.727858796294</v>
      </c>
    </row>
    <row r="893" spans="1:6" x14ac:dyDescent="0.25">
      <c r="A893">
        <v>892</v>
      </c>
      <c r="B893" t="s">
        <v>5</v>
      </c>
      <c r="C893" t="s">
        <v>6</v>
      </c>
      <c r="D893">
        <v>46085.997812499998</v>
      </c>
      <c r="E893" t="s">
        <v>7</v>
      </c>
      <c r="F893">
        <v>46086.541192129633</v>
      </c>
    </row>
    <row r="894" spans="1:6" x14ac:dyDescent="0.25">
      <c r="A894">
        <v>893</v>
      </c>
      <c r="B894" t="s">
        <v>5</v>
      </c>
      <c r="C894" t="s">
        <v>6</v>
      </c>
      <c r="D894">
        <v>46086.298981481479</v>
      </c>
      <c r="E894" t="s">
        <v>7</v>
      </c>
      <c r="F894">
        <v>46086.684872685182</v>
      </c>
    </row>
    <row r="895" spans="1:6" x14ac:dyDescent="0.25">
      <c r="A895">
        <v>894</v>
      </c>
      <c r="B895" t="s">
        <v>5</v>
      </c>
      <c r="C895" t="s">
        <v>7</v>
      </c>
      <c r="D895">
        <v>46086.305555555555</v>
      </c>
      <c r="E895" t="s">
        <v>10</v>
      </c>
      <c r="F895">
        <v>46086.3125</v>
      </c>
    </row>
    <row r="896" spans="1:6" x14ac:dyDescent="0.25">
      <c r="A896">
        <v>895</v>
      </c>
      <c r="B896" t="s">
        <v>5</v>
      </c>
      <c r="C896" t="s">
        <v>6</v>
      </c>
      <c r="D896">
        <v>46086.305567129632</v>
      </c>
      <c r="E896" t="s">
        <v>7</v>
      </c>
      <c r="F896">
        <v>46087.053796296299</v>
      </c>
    </row>
    <row r="897" spans="1:6" x14ac:dyDescent="0.25">
      <c r="A897">
        <v>896</v>
      </c>
      <c r="B897" t="s">
        <v>5</v>
      </c>
      <c r="C897" t="s">
        <v>6</v>
      </c>
      <c r="D897">
        <v>46086.313969907409</v>
      </c>
      <c r="E897" t="s">
        <v>7</v>
      </c>
      <c r="F897">
        <v>46086.703518518516</v>
      </c>
    </row>
    <row r="898" spans="1:6" x14ac:dyDescent="0.25">
      <c r="A898">
        <v>897</v>
      </c>
      <c r="B898" t="s">
        <v>5</v>
      </c>
      <c r="C898" t="s">
        <v>6</v>
      </c>
      <c r="D898">
        <v>46086.334155092591</v>
      </c>
      <c r="E898" t="s">
        <v>7</v>
      </c>
      <c r="F898">
        <v>46086.721967592595</v>
      </c>
    </row>
    <row r="899" spans="1:6" x14ac:dyDescent="0.25">
      <c r="A899">
        <v>898</v>
      </c>
      <c r="B899" t="s">
        <v>5</v>
      </c>
      <c r="C899" t="s">
        <v>7</v>
      </c>
      <c r="D899">
        <v>46086.340277777781</v>
      </c>
      <c r="E899" t="s">
        <v>7</v>
      </c>
      <c r="F899">
        <v>46086.401388888888</v>
      </c>
    </row>
    <row r="900" spans="1:6" x14ac:dyDescent="0.25">
      <c r="A900">
        <v>899</v>
      </c>
      <c r="B900" t="s">
        <v>5</v>
      </c>
      <c r="C900" t="s">
        <v>7</v>
      </c>
      <c r="D900">
        <v>46086.458333333336</v>
      </c>
      <c r="E900" t="s">
        <v>7</v>
      </c>
      <c r="F900">
        <v>46086.503472222219</v>
      </c>
    </row>
    <row r="901" spans="1:6" x14ac:dyDescent="0.25">
      <c r="A901">
        <v>900</v>
      </c>
      <c r="B901" t="s">
        <v>5</v>
      </c>
      <c r="C901" t="s">
        <v>8</v>
      </c>
      <c r="D901">
        <v>46086.459722222222</v>
      </c>
      <c r="E901" t="s">
        <v>7</v>
      </c>
      <c r="F901">
        <v>46086.513888888891</v>
      </c>
    </row>
    <row r="902" spans="1:6" x14ac:dyDescent="0.25">
      <c r="A902">
        <v>901</v>
      </c>
      <c r="B902" t="s">
        <v>5</v>
      </c>
      <c r="C902" t="s">
        <v>6</v>
      </c>
      <c r="D902">
        <v>46086.460497685184</v>
      </c>
      <c r="E902" t="s">
        <v>7</v>
      </c>
      <c r="F902">
        <v>46086.949791666666</v>
      </c>
    </row>
    <row r="903" spans="1:6" x14ac:dyDescent="0.25">
      <c r="A903">
        <v>902</v>
      </c>
      <c r="B903" t="s">
        <v>5</v>
      </c>
      <c r="C903" t="s">
        <v>7</v>
      </c>
      <c r="D903">
        <v>46086.472222222219</v>
      </c>
      <c r="E903" t="s">
        <v>7</v>
      </c>
      <c r="F903">
        <v>46086.572916666664</v>
      </c>
    </row>
    <row r="904" spans="1:6" x14ac:dyDescent="0.25">
      <c r="A904">
        <v>903</v>
      </c>
      <c r="B904" t="s">
        <v>5</v>
      </c>
      <c r="C904" t="s">
        <v>6</v>
      </c>
      <c r="D904">
        <v>46086.587754629632</v>
      </c>
      <c r="E904" t="s">
        <v>7</v>
      </c>
      <c r="F904">
        <v>46087.696828703702</v>
      </c>
    </row>
    <row r="905" spans="1:6" x14ac:dyDescent="0.25">
      <c r="A905">
        <v>904</v>
      </c>
      <c r="B905" t="s">
        <v>5</v>
      </c>
      <c r="C905" t="s">
        <v>7</v>
      </c>
      <c r="D905">
        <v>46086.588888888888</v>
      </c>
      <c r="E905" t="s">
        <v>7</v>
      </c>
      <c r="F905">
        <v>46086.634027777778</v>
      </c>
    </row>
    <row r="906" spans="1:6" x14ac:dyDescent="0.25">
      <c r="A906">
        <v>905</v>
      </c>
      <c r="B906" t="s">
        <v>5</v>
      </c>
      <c r="C906" t="s">
        <v>6</v>
      </c>
      <c r="D906">
        <v>46086.651678240742</v>
      </c>
      <c r="E906" t="s">
        <v>8</v>
      </c>
      <c r="F906">
        <v>46086.870648148149</v>
      </c>
    </row>
    <row r="907" spans="1:6" x14ac:dyDescent="0.25">
      <c r="A907">
        <v>906</v>
      </c>
      <c r="B907" t="s">
        <v>5</v>
      </c>
      <c r="C907" t="s">
        <v>8</v>
      </c>
      <c r="D907">
        <v>46086.652777777781</v>
      </c>
      <c r="E907" t="s">
        <v>7</v>
      </c>
      <c r="F907">
        <v>46086.708333333336</v>
      </c>
    </row>
    <row r="908" spans="1:6" x14ac:dyDescent="0.25">
      <c r="A908">
        <v>907</v>
      </c>
      <c r="B908" t="s">
        <v>5</v>
      </c>
      <c r="C908" t="s">
        <v>7</v>
      </c>
      <c r="D908">
        <v>46086.684027777781</v>
      </c>
      <c r="E908" t="s">
        <v>7</v>
      </c>
      <c r="F908">
        <v>46086.729166666664</v>
      </c>
    </row>
    <row r="909" spans="1:6" x14ac:dyDescent="0.25">
      <c r="A909">
        <v>908</v>
      </c>
      <c r="B909" t="s">
        <v>5</v>
      </c>
      <c r="C909" t="s">
        <v>6</v>
      </c>
      <c r="D909">
        <v>46086.697731481479</v>
      </c>
      <c r="E909" t="s">
        <v>7</v>
      </c>
      <c r="F909">
        <v>46087.696053240739</v>
      </c>
    </row>
    <row r="910" spans="1:6" x14ac:dyDescent="0.25">
      <c r="A910">
        <v>909</v>
      </c>
      <c r="B910" t="s">
        <v>5</v>
      </c>
      <c r="C910" t="s">
        <v>8</v>
      </c>
      <c r="D910">
        <v>46086.770833333336</v>
      </c>
      <c r="E910" t="s">
        <v>7</v>
      </c>
      <c r="F910">
        <v>46086.802083333336</v>
      </c>
    </row>
    <row r="911" spans="1:6" x14ac:dyDescent="0.25">
      <c r="A911">
        <v>910</v>
      </c>
      <c r="B911" t="s">
        <v>5</v>
      </c>
      <c r="C911" t="s">
        <v>6</v>
      </c>
      <c r="D911">
        <v>46086.873483796298</v>
      </c>
      <c r="E911" t="s">
        <v>7</v>
      </c>
      <c r="F911">
        <v>46087.089282407411</v>
      </c>
    </row>
    <row r="912" spans="1:6" x14ac:dyDescent="0.25">
      <c r="A912">
        <v>911</v>
      </c>
      <c r="B912" t="s">
        <v>5</v>
      </c>
      <c r="C912" t="s">
        <v>6</v>
      </c>
      <c r="D912">
        <v>46086.97314814815</v>
      </c>
      <c r="E912" t="s">
        <v>7</v>
      </c>
      <c r="F912">
        <v>46087.25104166667</v>
      </c>
    </row>
    <row r="913" spans="1:6" x14ac:dyDescent="0.25">
      <c r="A913">
        <v>912</v>
      </c>
      <c r="B913" t="s">
        <v>5</v>
      </c>
      <c r="C913" t="s">
        <v>6</v>
      </c>
      <c r="D913">
        <v>46087.008692129632</v>
      </c>
      <c r="E913" t="s">
        <v>8</v>
      </c>
      <c r="F913">
        <v>46087.524259259262</v>
      </c>
    </row>
    <row r="914" spans="1:6" x14ac:dyDescent="0.25">
      <c r="A914">
        <v>913</v>
      </c>
      <c r="B914" t="s">
        <v>5</v>
      </c>
      <c r="C914" t="s">
        <v>10</v>
      </c>
      <c r="D914">
        <v>46087.284884259258</v>
      </c>
      <c r="E914" t="s">
        <v>7</v>
      </c>
      <c r="F914">
        <v>46087.685428240744</v>
      </c>
    </row>
    <row r="915" spans="1:6" x14ac:dyDescent="0.25">
      <c r="A915">
        <v>914</v>
      </c>
      <c r="B915" t="s">
        <v>5</v>
      </c>
      <c r="C915" t="s">
        <v>7</v>
      </c>
      <c r="D915">
        <v>46087.34375</v>
      </c>
      <c r="E915" t="s">
        <v>7</v>
      </c>
      <c r="F915">
        <v>46087.548611111109</v>
      </c>
    </row>
    <row r="916" spans="1:6" x14ac:dyDescent="0.25">
      <c r="A916">
        <v>915</v>
      </c>
      <c r="B916" t="s">
        <v>5</v>
      </c>
      <c r="C916" t="s">
        <v>7</v>
      </c>
      <c r="D916">
        <v>46087.371527777781</v>
      </c>
      <c r="E916" t="s">
        <v>7</v>
      </c>
      <c r="F916">
        <v>46087.520833333336</v>
      </c>
    </row>
    <row r="917" spans="1:6" x14ac:dyDescent="0.25">
      <c r="A917">
        <v>916</v>
      </c>
      <c r="B917" t="s">
        <v>5</v>
      </c>
      <c r="C917" t="s">
        <v>8</v>
      </c>
      <c r="D917">
        <v>46087.383333333331</v>
      </c>
      <c r="E917" t="s">
        <v>8</v>
      </c>
      <c r="F917">
        <v>46087.430555555555</v>
      </c>
    </row>
    <row r="918" spans="1:6" x14ac:dyDescent="0.25">
      <c r="A918">
        <v>917</v>
      </c>
      <c r="B918" t="s">
        <v>5</v>
      </c>
      <c r="C918" t="s">
        <v>7</v>
      </c>
      <c r="D918">
        <v>46087.395833333336</v>
      </c>
      <c r="E918" t="s">
        <v>7</v>
      </c>
      <c r="F918">
        <v>46087.506944444445</v>
      </c>
    </row>
    <row r="919" spans="1:6" x14ac:dyDescent="0.25">
      <c r="A919">
        <v>918</v>
      </c>
      <c r="B919" t="s">
        <v>5</v>
      </c>
      <c r="C919" t="s">
        <v>6</v>
      </c>
      <c r="D919">
        <v>46087.491782407407</v>
      </c>
      <c r="E919" t="s">
        <v>7</v>
      </c>
      <c r="F919">
        <v>46087.670706018522</v>
      </c>
    </row>
    <row r="920" spans="1:6" x14ac:dyDescent="0.25">
      <c r="A920">
        <v>919</v>
      </c>
      <c r="B920" t="s">
        <v>5</v>
      </c>
      <c r="C920" t="s">
        <v>7</v>
      </c>
      <c r="D920">
        <v>46087.493055555555</v>
      </c>
      <c r="E920" t="s">
        <v>7</v>
      </c>
      <c r="F920">
        <v>46087.549305555556</v>
      </c>
    </row>
    <row r="921" spans="1:6" x14ac:dyDescent="0.25">
      <c r="A921">
        <v>920</v>
      </c>
      <c r="B921" t="s">
        <v>5</v>
      </c>
      <c r="C921" t="s">
        <v>6</v>
      </c>
      <c r="D921">
        <v>46087.601504629631</v>
      </c>
      <c r="E921" t="s">
        <v>7</v>
      </c>
      <c r="F921">
        <v>46087.819652777776</v>
      </c>
    </row>
    <row r="922" spans="1:6" x14ac:dyDescent="0.25">
      <c r="A922">
        <v>921</v>
      </c>
      <c r="B922" t="s">
        <v>5</v>
      </c>
      <c r="C922" t="s">
        <v>8</v>
      </c>
      <c r="D922">
        <v>46087.618055555555</v>
      </c>
      <c r="E922" t="s">
        <v>7</v>
      </c>
      <c r="F922">
        <v>46087.885416666664</v>
      </c>
    </row>
    <row r="923" spans="1:6" x14ac:dyDescent="0.25">
      <c r="A923">
        <v>922</v>
      </c>
      <c r="B923" t="s">
        <v>5</v>
      </c>
      <c r="C923" t="s">
        <v>8</v>
      </c>
      <c r="D923">
        <v>46087.645833333336</v>
      </c>
      <c r="E923" t="s">
        <v>7</v>
      </c>
      <c r="F923">
        <v>46087.729166666664</v>
      </c>
    </row>
    <row r="924" spans="1:6" x14ac:dyDescent="0.25">
      <c r="A924">
        <v>923</v>
      </c>
      <c r="B924" t="s">
        <v>5</v>
      </c>
      <c r="C924" t="s">
        <v>8</v>
      </c>
      <c r="D924">
        <v>46087.791666666664</v>
      </c>
      <c r="E924" t="s">
        <v>10</v>
      </c>
      <c r="F924">
        <v>46087.819444444445</v>
      </c>
    </row>
    <row r="925" spans="1:6" x14ac:dyDescent="0.25">
      <c r="A925">
        <v>924</v>
      </c>
      <c r="B925" t="s">
        <v>5</v>
      </c>
      <c r="C925" t="s">
        <v>6</v>
      </c>
      <c r="D925">
        <v>46088.427604166667</v>
      </c>
      <c r="E925" t="s">
        <v>7</v>
      </c>
      <c r="F925">
        <v>46088.743136574078</v>
      </c>
    </row>
    <row r="926" spans="1:6" x14ac:dyDescent="0.25">
      <c r="A926">
        <v>925</v>
      </c>
      <c r="B926" t="s">
        <v>5</v>
      </c>
      <c r="C926" t="s">
        <v>8</v>
      </c>
      <c r="D926">
        <v>46088.465277777781</v>
      </c>
      <c r="E926" t="s">
        <v>7</v>
      </c>
      <c r="F926">
        <v>46088.692361111112</v>
      </c>
    </row>
    <row r="927" spans="1:6" x14ac:dyDescent="0.25">
      <c r="A927">
        <v>926</v>
      </c>
      <c r="B927" t="s">
        <v>5</v>
      </c>
      <c r="C927" t="s">
        <v>8</v>
      </c>
      <c r="D927">
        <v>46088.482638888891</v>
      </c>
      <c r="E927" t="s">
        <v>7</v>
      </c>
      <c r="F927">
        <v>46088.611805555556</v>
      </c>
    </row>
    <row r="928" spans="1:6" x14ac:dyDescent="0.25">
      <c r="A928">
        <v>927</v>
      </c>
      <c r="B928" t="s">
        <v>5</v>
      </c>
      <c r="C928" t="s">
        <v>10</v>
      </c>
      <c r="D928">
        <v>46088.482638888891</v>
      </c>
      <c r="E928" t="s">
        <v>10</v>
      </c>
      <c r="F928">
        <v>46088.534722222219</v>
      </c>
    </row>
    <row r="929" spans="1:6" x14ac:dyDescent="0.25">
      <c r="A929">
        <v>928</v>
      </c>
      <c r="B929" t="s">
        <v>5</v>
      </c>
      <c r="C929" t="s">
        <v>10</v>
      </c>
      <c r="D929">
        <v>46088.614583333336</v>
      </c>
      <c r="E929" t="s">
        <v>10</v>
      </c>
      <c r="F929">
        <v>46088.638888888891</v>
      </c>
    </row>
    <row r="930" spans="1:6" x14ac:dyDescent="0.25">
      <c r="A930">
        <v>929</v>
      </c>
      <c r="B930" t="s">
        <v>5</v>
      </c>
      <c r="C930" t="s">
        <v>6</v>
      </c>
      <c r="D930">
        <v>46088.615995370368</v>
      </c>
      <c r="E930" t="s">
        <v>7</v>
      </c>
      <c r="F930">
        <v>46090.496354166666</v>
      </c>
    </row>
    <row r="931" spans="1:6" x14ac:dyDescent="0.25">
      <c r="A931">
        <v>930</v>
      </c>
      <c r="B931" t="s">
        <v>5</v>
      </c>
      <c r="C931" t="s">
        <v>6</v>
      </c>
      <c r="D931">
        <v>46088.684976851851</v>
      </c>
      <c r="E931" t="s">
        <v>7</v>
      </c>
      <c r="F931">
        <v>46090.589247685188</v>
      </c>
    </row>
    <row r="932" spans="1:6" x14ac:dyDescent="0.25">
      <c r="A932">
        <v>931</v>
      </c>
      <c r="B932" t="s">
        <v>5</v>
      </c>
      <c r="C932" t="s">
        <v>8</v>
      </c>
      <c r="D932">
        <v>46088.701388888891</v>
      </c>
      <c r="E932" t="s">
        <v>7</v>
      </c>
      <c r="F932">
        <v>46088.760416666664</v>
      </c>
    </row>
    <row r="933" spans="1:6" x14ac:dyDescent="0.25">
      <c r="A933">
        <v>932</v>
      </c>
      <c r="B933" t="s">
        <v>5</v>
      </c>
      <c r="C933" t="s">
        <v>7</v>
      </c>
      <c r="D933">
        <v>46088.739583333336</v>
      </c>
      <c r="E933" t="s">
        <v>7</v>
      </c>
      <c r="F933">
        <v>46088.791666666664</v>
      </c>
    </row>
    <row r="934" spans="1:6" x14ac:dyDescent="0.25">
      <c r="A934">
        <v>933</v>
      </c>
      <c r="B934" t="s">
        <v>5</v>
      </c>
      <c r="C934" t="s">
        <v>6</v>
      </c>
      <c r="D934">
        <v>46088.857638888891</v>
      </c>
      <c r="E934" t="s">
        <v>7</v>
      </c>
      <c r="F934">
        <v>46089.409687500003</v>
      </c>
    </row>
    <row r="935" spans="1:6" x14ac:dyDescent="0.25">
      <c r="A935">
        <v>934</v>
      </c>
      <c r="B935" t="s">
        <v>5</v>
      </c>
      <c r="C935" t="s">
        <v>6</v>
      </c>
      <c r="D935">
        <v>46088.861631944441</v>
      </c>
      <c r="E935" t="s">
        <v>7</v>
      </c>
      <c r="F935">
        <v>46089.417685185188</v>
      </c>
    </row>
    <row r="936" spans="1:6" x14ac:dyDescent="0.25">
      <c r="A936">
        <v>935</v>
      </c>
      <c r="B936" t="s">
        <v>5</v>
      </c>
      <c r="C936" t="s">
        <v>6</v>
      </c>
      <c r="D936">
        <v>46088.955659722225</v>
      </c>
      <c r="E936" t="s">
        <v>8</v>
      </c>
      <c r="F936">
        <v>46089.087893518517</v>
      </c>
    </row>
    <row r="937" spans="1:6" x14ac:dyDescent="0.25">
      <c r="A937">
        <v>936</v>
      </c>
      <c r="B937" t="s">
        <v>5</v>
      </c>
      <c r="C937" t="s">
        <v>7</v>
      </c>
      <c r="D937">
        <v>46089.375</v>
      </c>
      <c r="E937" t="s">
        <v>7</v>
      </c>
      <c r="F937">
        <v>46089.431944444441</v>
      </c>
    </row>
    <row r="938" spans="1:6" x14ac:dyDescent="0.25">
      <c r="A938">
        <v>937</v>
      </c>
      <c r="B938" t="s">
        <v>5</v>
      </c>
      <c r="C938" t="s">
        <v>7</v>
      </c>
      <c r="D938">
        <v>46089.375</v>
      </c>
      <c r="E938" t="s">
        <v>10</v>
      </c>
      <c r="F938">
        <v>46106.515972222223</v>
      </c>
    </row>
    <row r="939" spans="1:6" x14ac:dyDescent="0.25">
      <c r="A939">
        <v>938</v>
      </c>
      <c r="B939" t="s">
        <v>5</v>
      </c>
      <c r="C939" t="s">
        <v>6</v>
      </c>
      <c r="D939">
        <v>46089.689467592594</v>
      </c>
      <c r="E939" t="s">
        <v>8</v>
      </c>
      <c r="F939">
        <v>46089.931296296294</v>
      </c>
    </row>
    <row r="940" spans="1:6" x14ac:dyDescent="0.25">
      <c r="A940">
        <v>939</v>
      </c>
      <c r="B940" t="s">
        <v>5</v>
      </c>
      <c r="C940" t="s">
        <v>6</v>
      </c>
      <c r="D940">
        <v>46089.996770833335</v>
      </c>
      <c r="E940" t="s">
        <v>7</v>
      </c>
      <c r="F940">
        <v>46090.347986111112</v>
      </c>
    </row>
    <row r="941" spans="1:6" x14ac:dyDescent="0.25">
      <c r="A941">
        <v>940</v>
      </c>
      <c r="B941" t="s">
        <v>5</v>
      </c>
      <c r="C941" t="s">
        <v>6</v>
      </c>
      <c r="D941">
        <v>46090.047222222223</v>
      </c>
      <c r="E941" t="s">
        <v>7</v>
      </c>
      <c r="F941">
        <v>46090.665914351855</v>
      </c>
    </row>
    <row r="942" spans="1:6" x14ac:dyDescent="0.25">
      <c r="A942">
        <v>941</v>
      </c>
      <c r="B942" t="s">
        <v>5</v>
      </c>
      <c r="C942" t="s">
        <v>6</v>
      </c>
      <c r="D942">
        <v>46090.289120370369</v>
      </c>
      <c r="E942" t="s">
        <v>7</v>
      </c>
      <c r="F942">
        <v>46090.67696759259</v>
      </c>
    </row>
    <row r="943" spans="1:6" x14ac:dyDescent="0.25">
      <c r="A943">
        <v>942</v>
      </c>
      <c r="B943" t="s">
        <v>5</v>
      </c>
      <c r="C943" t="s">
        <v>8</v>
      </c>
      <c r="D943">
        <v>46090.34375</v>
      </c>
      <c r="E943" t="s">
        <v>7</v>
      </c>
      <c r="F943">
        <v>46090.416666666664</v>
      </c>
    </row>
    <row r="944" spans="1:6" x14ac:dyDescent="0.25">
      <c r="A944">
        <v>943</v>
      </c>
      <c r="B944" t="s">
        <v>5</v>
      </c>
      <c r="C944" t="s">
        <v>7</v>
      </c>
      <c r="D944">
        <v>46090.347222222219</v>
      </c>
      <c r="E944" t="s">
        <v>7</v>
      </c>
      <c r="F944">
        <v>46090.657384259262</v>
      </c>
    </row>
    <row r="945" spans="1:6" x14ac:dyDescent="0.25">
      <c r="A945">
        <v>944</v>
      </c>
      <c r="B945" t="s">
        <v>5</v>
      </c>
      <c r="C945" t="s">
        <v>8</v>
      </c>
      <c r="D945">
        <v>46090.357638888891</v>
      </c>
      <c r="E945" t="s">
        <v>10</v>
      </c>
      <c r="F945">
        <v>46090.493055555555</v>
      </c>
    </row>
    <row r="946" spans="1:6" x14ac:dyDescent="0.25">
      <c r="A946">
        <v>945</v>
      </c>
      <c r="B946" t="s">
        <v>5</v>
      </c>
      <c r="C946" t="s">
        <v>7</v>
      </c>
      <c r="D946">
        <v>46090.375</v>
      </c>
      <c r="E946" t="s">
        <v>7</v>
      </c>
      <c r="F946">
        <v>46090.444444444445</v>
      </c>
    </row>
    <row r="947" spans="1:6" x14ac:dyDescent="0.25">
      <c r="A947">
        <v>946</v>
      </c>
      <c r="B947" t="s">
        <v>5</v>
      </c>
      <c r="C947" t="s">
        <v>7</v>
      </c>
      <c r="D947">
        <v>46090.472222222219</v>
      </c>
      <c r="E947" t="s">
        <v>7</v>
      </c>
      <c r="F947">
        <v>46090.570138888892</v>
      </c>
    </row>
    <row r="948" spans="1:6" x14ac:dyDescent="0.25">
      <c r="A948">
        <v>947</v>
      </c>
      <c r="B948" t="s">
        <v>5</v>
      </c>
      <c r="C948" t="s">
        <v>7</v>
      </c>
      <c r="D948">
        <v>46090.520833333336</v>
      </c>
      <c r="E948" t="s">
        <v>7</v>
      </c>
      <c r="F948">
        <v>46090.565972222219</v>
      </c>
    </row>
    <row r="949" spans="1:6" x14ac:dyDescent="0.25">
      <c r="A949">
        <v>948</v>
      </c>
      <c r="B949" t="s">
        <v>5</v>
      </c>
      <c r="C949" t="s">
        <v>7</v>
      </c>
      <c r="D949">
        <v>46090.576388888891</v>
      </c>
      <c r="E949" t="s">
        <v>7</v>
      </c>
      <c r="F949">
        <v>46090.618055555555</v>
      </c>
    </row>
    <row r="950" spans="1:6" x14ac:dyDescent="0.25">
      <c r="A950">
        <v>949</v>
      </c>
      <c r="B950" t="s">
        <v>5</v>
      </c>
      <c r="C950" t="s">
        <v>7</v>
      </c>
      <c r="D950">
        <v>46090.597222222219</v>
      </c>
      <c r="E950" t="s">
        <v>7</v>
      </c>
      <c r="F950">
        <v>46090.701388888891</v>
      </c>
    </row>
    <row r="951" spans="1:6" x14ac:dyDescent="0.25">
      <c r="A951">
        <v>950</v>
      </c>
      <c r="B951" t="s">
        <v>5</v>
      </c>
      <c r="C951" t="s">
        <v>7</v>
      </c>
      <c r="D951">
        <v>46090.645833333336</v>
      </c>
      <c r="E951" t="s">
        <v>7</v>
      </c>
      <c r="F951">
        <v>46090.6875</v>
      </c>
    </row>
    <row r="952" spans="1:6" x14ac:dyDescent="0.25">
      <c r="A952">
        <v>951</v>
      </c>
      <c r="B952" t="s">
        <v>5</v>
      </c>
      <c r="C952" t="s">
        <v>7</v>
      </c>
      <c r="D952">
        <v>46090.652777777781</v>
      </c>
      <c r="E952" t="s">
        <v>7</v>
      </c>
      <c r="F952">
        <v>46090.729166666664</v>
      </c>
    </row>
    <row r="953" spans="1:6" x14ac:dyDescent="0.25">
      <c r="A953">
        <v>952</v>
      </c>
      <c r="B953" t="s">
        <v>5</v>
      </c>
      <c r="C953" t="s">
        <v>7</v>
      </c>
      <c r="D953">
        <v>46090.715277777781</v>
      </c>
      <c r="E953" t="s">
        <v>7</v>
      </c>
      <c r="F953">
        <v>46090.746527777781</v>
      </c>
    </row>
    <row r="954" spans="1:6" x14ac:dyDescent="0.25">
      <c r="A954">
        <v>953</v>
      </c>
      <c r="B954" t="s">
        <v>5</v>
      </c>
      <c r="C954" t="s">
        <v>7</v>
      </c>
      <c r="D954">
        <v>46090.71875</v>
      </c>
      <c r="E954" t="s">
        <v>7</v>
      </c>
      <c r="F954">
        <v>46090.84375</v>
      </c>
    </row>
    <row r="955" spans="1:6" x14ac:dyDescent="0.25">
      <c r="A955">
        <v>954</v>
      </c>
      <c r="B955" t="s">
        <v>5</v>
      </c>
      <c r="C955" t="s">
        <v>6</v>
      </c>
      <c r="D955">
        <v>46090.724050925928</v>
      </c>
      <c r="E955" t="s">
        <v>7</v>
      </c>
      <c r="F955">
        <v>46091.613796296297</v>
      </c>
    </row>
    <row r="956" spans="1:6" x14ac:dyDescent="0.25">
      <c r="A956">
        <v>955</v>
      </c>
      <c r="B956" t="s">
        <v>5</v>
      </c>
      <c r="C956" t="s">
        <v>6</v>
      </c>
      <c r="D956">
        <v>46090.838217592594</v>
      </c>
      <c r="E956" t="s">
        <v>7</v>
      </c>
      <c r="F956">
        <v>46091.560358796298</v>
      </c>
    </row>
    <row r="957" spans="1:6" x14ac:dyDescent="0.25">
      <c r="A957">
        <v>956</v>
      </c>
      <c r="B957" t="s">
        <v>5</v>
      </c>
      <c r="C957" t="s">
        <v>10</v>
      </c>
      <c r="D957">
        <v>46091.305555555555</v>
      </c>
      <c r="E957" t="s">
        <v>10</v>
      </c>
      <c r="F957">
        <v>46091.327777777777</v>
      </c>
    </row>
    <row r="958" spans="1:6" x14ac:dyDescent="0.25">
      <c r="A958">
        <v>957</v>
      </c>
      <c r="B958" t="s">
        <v>5</v>
      </c>
      <c r="C958" t="s">
        <v>10</v>
      </c>
      <c r="D958">
        <v>46091.315972222219</v>
      </c>
      <c r="E958" t="s">
        <v>8</v>
      </c>
      <c r="F958">
        <v>46091.350694444445</v>
      </c>
    </row>
    <row r="959" spans="1:6" x14ac:dyDescent="0.25">
      <c r="A959">
        <v>958</v>
      </c>
      <c r="B959" t="s">
        <v>5</v>
      </c>
      <c r="C959" t="s">
        <v>7</v>
      </c>
      <c r="D959">
        <v>46091.333333333336</v>
      </c>
      <c r="E959" t="s">
        <v>7</v>
      </c>
      <c r="F959">
        <v>46091.486111111109</v>
      </c>
    </row>
    <row r="960" spans="1:6" x14ac:dyDescent="0.25">
      <c r="A960">
        <v>959</v>
      </c>
      <c r="B960" t="s">
        <v>5</v>
      </c>
      <c r="C960" t="s">
        <v>7</v>
      </c>
      <c r="D960">
        <v>46091.347222222219</v>
      </c>
      <c r="E960" t="s">
        <v>7</v>
      </c>
      <c r="F960">
        <v>46094.756828703707</v>
      </c>
    </row>
    <row r="961" spans="1:6" x14ac:dyDescent="0.25">
      <c r="A961">
        <v>960</v>
      </c>
      <c r="B961" t="s">
        <v>5</v>
      </c>
      <c r="C961" t="s">
        <v>10</v>
      </c>
      <c r="D961">
        <v>46091.375</v>
      </c>
      <c r="E961" t="s">
        <v>10</v>
      </c>
      <c r="F961">
        <v>46091.415972222225</v>
      </c>
    </row>
    <row r="962" spans="1:6" x14ac:dyDescent="0.25">
      <c r="A962">
        <v>961</v>
      </c>
      <c r="B962" t="s">
        <v>5</v>
      </c>
      <c r="C962" t="s">
        <v>10</v>
      </c>
      <c r="D962">
        <v>46091.427083333336</v>
      </c>
      <c r="E962" t="s">
        <v>10</v>
      </c>
      <c r="F962">
        <v>46091.4375</v>
      </c>
    </row>
    <row r="963" spans="1:6" x14ac:dyDescent="0.25">
      <c r="A963">
        <v>962</v>
      </c>
      <c r="B963" t="s">
        <v>5</v>
      </c>
      <c r="C963" t="s">
        <v>6</v>
      </c>
      <c r="D963">
        <v>46091.559745370374</v>
      </c>
      <c r="E963" t="s">
        <v>7</v>
      </c>
      <c r="F963">
        <v>46091.726840277777</v>
      </c>
    </row>
    <row r="964" spans="1:6" x14ac:dyDescent="0.25">
      <c r="A964">
        <v>963</v>
      </c>
      <c r="B964" t="s">
        <v>5</v>
      </c>
      <c r="C964" t="s">
        <v>8</v>
      </c>
      <c r="D964">
        <v>46091.570138888892</v>
      </c>
      <c r="E964" t="s">
        <v>7</v>
      </c>
      <c r="F964">
        <v>46091.625</v>
      </c>
    </row>
    <row r="965" spans="1:6" x14ac:dyDescent="0.25">
      <c r="A965">
        <v>964</v>
      </c>
      <c r="B965" t="s">
        <v>5</v>
      </c>
      <c r="C965" t="s">
        <v>6</v>
      </c>
      <c r="D965">
        <v>46091.634143518517</v>
      </c>
      <c r="E965" t="s">
        <v>7</v>
      </c>
      <c r="F965">
        <v>46091.927870370368</v>
      </c>
    </row>
    <row r="966" spans="1:6" x14ac:dyDescent="0.25">
      <c r="A966">
        <v>965</v>
      </c>
      <c r="B966" t="s">
        <v>5</v>
      </c>
      <c r="C966" t="s">
        <v>7</v>
      </c>
      <c r="D966">
        <v>46091.708333333336</v>
      </c>
      <c r="E966" t="s">
        <v>7</v>
      </c>
      <c r="F966">
        <v>46091.753472222219</v>
      </c>
    </row>
    <row r="967" spans="1:6" x14ac:dyDescent="0.25">
      <c r="A967">
        <v>966</v>
      </c>
      <c r="B967" t="s">
        <v>5</v>
      </c>
      <c r="C967" t="s">
        <v>7</v>
      </c>
      <c r="D967">
        <v>46091.725694444445</v>
      </c>
      <c r="E967" t="s">
        <v>7</v>
      </c>
      <c r="F967">
        <v>46092.491666666669</v>
      </c>
    </row>
    <row r="968" spans="1:6" x14ac:dyDescent="0.25">
      <c r="A968">
        <v>967</v>
      </c>
      <c r="B968" t="s">
        <v>5</v>
      </c>
      <c r="C968" t="s">
        <v>6</v>
      </c>
      <c r="D968">
        <v>46091.857569444444</v>
      </c>
      <c r="E968" t="s">
        <v>7</v>
      </c>
      <c r="F968">
        <v>46091.976967592593</v>
      </c>
    </row>
    <row r="969" spans="1:6" x14ac:dyDescent="0.25">
      <c r="A969">
        <v>968</v>
      </c>
      <c r="B969" t="s">
        <v>5</v>
      </c>
      <c r="C969" t="s">
        <v>6</v>
      </c>
      <c r="D969">
        <v>46092.084999999999</v>
      </c>
      <c r="E969" t="s">
        <v>7</v>
      </c>
      <c r="F969">
        <v>46092.268206018518</v>
      </c>
    </row>
    <row r="970" spans="1:6" x14ac:dyDescent="0.25">
      <c r="A970">
        <v>969</v>
      </c>
      <c r="B970" t="s">
        <v>5</v>
      </c>
      <c r="C970" t="s">
        <v>12</v>
      </c>
      <c r="D970">
        <v>46092.296585648146</v>
      </c>
      <c r="E970" t="s">
        <v>7</v>
      </c>
      <c r="F970">
        <v>46092.653819444444</v>
      </c>
    </row>
    <row r="971" spans="1:6" x14ac:dyDescent="0.25">
      <c r="A971">
        <v>970</v>
      </c>
      <c r="B971" t="s">
        <v>5</v>
      </c>
      <c r="C971" t="s">
        <v>6</v>
      </c>
      <c r="D971">
        <v>46092.322071759256</v>
      </c>
      <c r="E971" t="s">
        <v>7</v>
      </c>
      <c r="F971">
        <v>46092.721354166664</v>
      </c>
    </row>
    <row r="972" spans="1:6" x14ac:dyDescent="0.25">
      <c r="A972">
        <v>971</v>
      </c>
      <c r="B972" t="s">
        <v>5</v>
      </c>
      <c r="C972" t="s">
        <v>7</v>
      </c>
      <c r="D972">
        <v>46092.333333333336</v>
      </c>
      <c r="E972" t="s">
        <v>7</v>
      </c>
      <c r="F972">
        <v>46092.444444444445</v>
      </c>
    </row>
    <row r="973" spans="1:6" x14ac:dyDescent="0.25">
      <c r="A973">
        <v>972</v>
      </c>
      <c r="B973" t="s">
        <v>5</v>
      </c>
      <c r="C973" t="s">
        <v>7</v>
      </c>
      <c r="D973">
        <v>46092.357638888891</v>
      </c>
      <c r="E973" t="s">
        <v>7</v>
      </c>
      <c r="F973">
        <v>46092.454861111109</v>
      </c>
    </row>
    <row r="974" spans="1:6" x14ac:dyDescent="0.25">
      <c r="A974">
        <v>973</v>
      </c>
      <c r="B974" t="s">
        <v>5</v>
      </c>
      <c r="C974" t="s">
        <v>8</v>
      </c>
      <c r="D974">
        <v>46092.361111111109</v>
      </c>
      <c r="E974" t="s">
        <v>10</v>
      </c>
      <c r="F974">
        <v>46092.541666666664</v>
      </c>
    </row>
    <row r="975" spans="1:6" x14ac:dyDescent="0.25">
      <c r="A975">
        <v>974</v>
      </c>
      <c r="B975" t="s">
        <v>5</v>
      </c>
      <c r="C975" t="s">
        <v>7</v>
      </c>
      <c r="D975">
        <v>46092.486111111109</v>
      </c>
      <c r="E975" t="s">
        <v>7</v>
      </c>
      <c r="F975">
        <v>46092.53125</v>
      </c>
    </row>
    <row r="976" spans="1:6" x14ac:dyDescent="0.25">
      <c r="A976">
        <v>975</v>
      </c>
      <c r="B976" t="s">
        <v>5</v>
      </c>
      <c r="C976" t="s">
        <v>7</v>
      </c>
      <c r="D976">
        <v>46092.520833333336</v>
      </c>
      <c r="E976" t="s">
        <v>7</v>
      </c>
      <c r="F976">
        <v>46093.731377314813</v>
      </c>
    </row>
    <row r="977" spans="1:6" x14ac:dyDescent="0.25">
      <c r="A977">
        <v>976</v>
      </c>
      <c r="B977" t="s">
        <v>5</v>
      </c>
      <c r="C977" t="s">
        <v>8</v>
      </c>
      <c r="D977">
        <v>46092.59375</v>
      </c>
      <c r="E977" t="s">
        <v>7</v>
      </c>
      <c r="F977">
        <v>46092.659722222219</v>
      </c>
    </row>
    <row r="978" spans="1:6" x14ac:dyDescent="0.25">
      <c r="A978">
        <v>977</v>
      </c>
      <c r="B978" t="s">
        <v>5</v>
      </c>
      <c r="C978" t="s">
        <v>10</v>
      </c>
      <c r="D978">
        <v>46092.614120370374</v>
      </c>
      <c r="E978" t="s">
        <v>7</v>
      </c>
      <c r="F978">
        <v>46092.983738425923</v>
      </c>
    </row>
    <row r="979" spans="1:6" x14ac:dyDescent="0.25">
      <c r="A979">
        <v>978</v>
      </c>
      <c r="B979" t="s">
        <v>5</v>
      </c>
      <c r="C979" t="s">
        <v>7</v>
      </c>
      <c r="D979">
        <v>46092.621527777781</v>
      </c>
      <c r="E979" t="s">
        <v>7</v>
      </c>
      <c r="F979">
        <v>46092.649305555555</v>
      </c>
    </row>
    <row r="980" spans="1:6" x14ac:dyDescent="0.25">
      <c r="A980">
        <v>979</v>
      </c>
      <c r="B980" t="s">
        <v>5</v>
      </c>
      <c r="C980" t="s">
        <v>7</v>
      </c>
      <c r="D980">
        <v>46092.631944444445</v>
      </c>
      <c r="E980" t="s">
        <v>7</v>
      </c>
      <c r="F980">
        <v>46092.760416666664</v>
      </c>
    </row>
    <row r="981" spans="1:6" x14ac:dyDescent="0.25">
      <c r="A981">
        <v>980</v>
      </c>
      <c r="B981" t="s">
        <v>5</v>
      </c>
      <c r="C981" t="s">
        <v>6</v>
      </c>
      <c r="D981">
        <v>46092.692731481482</v>
      </c>
      <c r="E981" t="s">
        <v>8</v>
      </c>
      <c r="F981">
        <v>46092.850173611114</v>
      </c>
    </row>
    <row r="982" spans="1:6" x14ac:dyDescent="0.25">
      <c r="A982">
        <v>981</v>
      </c>
      <c r="B982" t="s">
        <v>5</v>
      </c>
      <c r="C982" t="s">
        <v>7</v>
      </c>
      <c r="D982">
        <v>46092.701388888891</v>
      </c>
      <c r="E982" t="s">
        <v>7</v>
      </c>
      <c r="F982">
        <v>46092.777083333334</v>
      </c>
    </row>
    <row r="983" spans="1:6" x14ac:dyDescent="0.25">
      <c r="A983">
        <v>982</v>
      </c>
      <c r="B983" t="s">
        <v>5</v>
      </c>
      <c r="C983" t="s">
        <v>6</v>
      </c>
      <c r="D983">
        <v>46092.821701388886</v>
      </c>
      <c r="E983" t="s">
        <v>7</v>
      </c>
      <c r="F983">
        <v>46092.984780092593</v>
      </c>
    </row>
    <row r="984" spans="1:6" x14ac:dyDescent="0.25">
      <c r="A984">
        <v>983</v>
      </c>
      <c r="B984" t="s">
        <v>5</v>
      </c>
      <c r="C984" t="s">
        <v>6</v>
      </c>
      <c r="D984">
        <v>46092.875567129631</v>
      </c>
      <c r="E984" t="s">
        <v>7</v>
      </c>
      <c r="F984">
        <v>46092.960046296299</v>
      </c>
    </row>
    <row r="985" spans="1:6" x14ac:dyDescent="0.25">
      <c r="A985">
        <v>984</v>
      </c>
      <c r="B985" t="s">
        <v>5</v>
      </c>
      <c r="C985" t="s">
        <v>10</v>
      </c>
      <c r="D985">
        <v>46092.885416666664</v>
      </c>
      <c r="E985" t="s">
        <v>7</v>
      </c>
      <c r="F985">
        <v>46106.59306712963</v>
      </c>
    </row>
    <row r="986" spans="1:6" x14ac:dyDescent="0.25">
      <c r="A986">
        <v>985</v>
      </c>
      <c r="B986" t="s">
        <v>5</v>
      </c>
      <c r="C986" t="s">
        <v>6</v>
      </c>
      <c r="D986">
        <v>46092.936666666668</v>
      </c>
      <c r="E986" t="s">
        <v>7</v>
      </c>
      <c r="F986">
        <v>46095.565358796295</v>
      </c>
    </row>
    <row r="987" spans="1:6" x14ac:dyDescent="0.25">
      <c r="A987">
        <v>986</v>
      </c>
      <c r="B987" t="s">
        <v>5</v>
      </c>
      <c r="C987" t="s">
        <v>6</v>
      </c>
      <c r="D987">
        <v>46093.261192129627</v>
      </c>
      <c r="E987" t="s">
        <v>9</v>
      </c>
      <c r="F987">
        <v>46093.672719907408</v>
      </c>
    </row>
    <row r="988" spans="1:6" x14ac:dyDescent="0.25">
      <c r="A988">
        <v>987</v>
      </c>
      <c r="B988" t="s">
        <v>5</v>
      </c>
      <c r="C988" t="s">
        <v>6</v>
      </c>
      <c r="D988">
        <v>46093.287291666667</v>
      </c>
      <c r="E988" t="s">
        <v>7</v>
      </c>
      <c r="F988">
        <v>46093.664085648146</v>
      </c>
    </row>
    <row r="989" spans="1:6" x14ac:dyDescent="0.25">
      <c r="A989">
        <v>988</v>
      </c>
      <c r="B989" t="s">
        <v>5</v>
      </c>
      <c r="C989" t="s">
        <v>7</v>
      </c>
      <c r="D989">
        <v>46093.326388888891</v>
      </c>
      <c r="E989" t="s">
        <v>7</v>
      </c>
      <c r="F989">
        <v>46093.427083333336</v>
      </c>
    </row>
    <row r="990" spans="1:6" x14ac:dyDescent="0.25">
      <c r="A990">
        <v>989</v>
      </c>
      <c r="B990" t="s">
        <v>5</v>
      </c>
      <c r="C990" t="s">
        <v>7</v>
      </c>
      <c r="D990">
        <v>46093.333333333336</v>
      </c>
      <c r="E990" t="s">
        <v>7</v>
      </c>
      <c r="F990">
        <v>46093.399305555555</v>
      </c>
    </row>
    <row r="991" spans="1:6" x14ac:dyDescent="0.25">
      <c r="A991">
        <v>990</v>
      </c>
      <c r="B991" t="s">
        <v>5</v>
      </c>
      <c r="C991" t="s">
        <v>6</v>
      </c>
      <c r="D991">
        <v>46093.356122685182</v>
      </c>
      <c r="E991" t="s">
        <v>9</v>
      </c>
      <c r="F991">
        <v>46093.687430555554</v>
      </c>
    </row>
    <row r="992" spans="1:6" x14ac:dyDescent="0.25">
      <c r="A992">
        <v>991</v>
      </c>
      <c r="B992" t="s">
        <v>5</v>
      </c>
      <c r="C992" t="s">
        <v>7</v>
      </c>
      <c r="D992">
        <v>46093.447916666664</v>
      </c>
      <c r="E992" t="s">
        <v>7</v>
      </c>
      <c r="F992">
        <v>46093.482638888891</v>
      </c>
    </row>
    <row r="993" spans="1:6" x14ac:dyDescent="0.25">
      <c r="A993">
        <v>992</v>
      </c>
      <c r="B993" t="s">
        <v>5</v>
      </c>
      <c r="C993" t="s">
        <v>7</v>
      </c>
      <c r="D993">
        <v>46093.475694444445</v>
      </c>
      <c r="E993" t="s">
        <v>7</v>
      </c>
      <c r="F993">
        <v>46093.53125</v>
      </c>
    </row>
    <row r="994" spans="1:6" x14ac:dyDescent="0.25">
      <c r="A994">
        <v>993</v>
      </c>
      <c r="B994" t="s">
        <v>5</v>
      </c>
      <c r="C994" t="s">
        <v>6</v>
      </c>
      <c r="D994">
        <v>46093.482638888891</v>
      </c>
      <c r="E994" t="s">
        <v>7</v>
      </c>
      <c r="F994">
        <v>46093.541666666664</v>
      </c>
    </row>
    <row r="995" spans="1:6" x14ac:dyDescent="0.25">
      <c r="A995">
        <v>994</v>
      </c>
      <c r="B995" t="s">
        <v>5</v>
      </c>
      <c r="C995" t="s">
        <v>7</v>
      </c>
      <c r="D995">
        <v>46093.524305555555</v>
      </c>
      <c r="E995" t="s">
        <v>8</v>
      </c>
      <c r="F995">
        <v>46093.565972222219</v>
      </c>
    </row>
    <row r="996" spans="1:6" x14ac:dyDescent="0.25">
      <c r="A996">
        <v>995</v>
      </c>
      <c r="B996" t="s">
        <v>5</v>
      </c>
      <c r="C996" t="s">
        <v>7</v>
      </c>
      <c r="D996">
        <v>46093.552083333336</v>
      </c>
      <c r="E996" t="s">
        <v>7</v>
      </c>
      <c r="F996">
        <v>46093.649305555555</v>
      </c>
    </row>
    <row r="997" spans="1:6" x14ac:dyDescent="0.25">
      <c r="A997">
        <v>996</v>
      </c>
      <c r="B997" t="s">
        <v>5</v>
      </c>
      <c r="C997" t="s">
        <v>10</v>
      </c>
      <c r="D997">
        <v>46093.637708333335</v>
      </c>
      <c r="E997" t="s">
        <v>7</v>
      </c>
      <c r="F997">
        <v>46093.960578703707</v>
      </c>
    </row>
    <row r="998" spans="1:6" x14ac:dyDescent="0.25">
      <c r="A998">
        <v>997</v>
      </c>
      <c r="B998" t="s">
        <v>5</v>
      </c>
      <c r="C998" t="s">
        <v>7</v>
      </c>
      <c r="D998">
        <v>46093.652777777781</v>
      </c>
      <c r="E998" t="s">
        <v>8</v>
      </c>
      <c r="F998">
        <v>46093.835972222223</v>
      </c>
    </row>
    <row r="999" spans="1:6" x14ac:dyDescent="0.25">
      <c r="A999">
        <v>998</v>
      </c>
      <c r="B999" t="s">
        <v>5</v>
      </c>
      <c r="C999" t="s">
        <v>8</v>
      </c>
      <c r="D999">
        <v>46093.659722222219</v>
      </c>
      <c r="E999" t="s">
        <v>7</v>
      </c>
      <c r="F999">
        <v>46093.6875</v>
      </c>
    </row>
    <row r="1000" spans="1:6" x14ac:dyDescent="0.25">
      <c r="A1000">
        <v>999</v>
      </c>
      <c r="B1000" t="s">
        <v>5</v>
      </c>
      <c r="C1000" t="s">
        <v>6</v>
      </c>
      <c r="D1000">
        <v>46093.674050925925</v>
      </c>
      <c r="E1000" t="s">
        <v>7</v>
      </c>
      <c r="F1000">
        <v>46093.848530092589</v>
      </c>
    </row>
    <row r="1001" spans="1:6" x14ac:dyDescent="0.25">
      <c r="A1001">
        <v>1000</v>
      </c>
      <c r="B1001" t="s">
        <v>5</v>
      </c>
      <c r="C1001" t="s">
        <v>10</v>
      </c>
      <c r="D1001">
        <v>46093.777777777781</v>
      </c>
      <c r="E1001" t="s">
        <v>10</v>
      </c>
      <c r="F1001">
        <v>46093.805555555555</v>
      </c>
    </row>
    <row r="1002" spans="1:6" x14ac:dyDescent="0.25">
      <c r="A1002">
        <v>1001</v>
      </c>
      <c r="B1002" t="s">
        <v>5</v>
      </c>
      <c r="C1002" t="s">
        <v>7</v>
      </c>
      <c r="D1002">
        <v>46093.78125</v>
      </c>
      <c r="E1002" t="s">
        <v>7</v>
      </c>
      <c r="F1002">
        <v>46093.795138888891</v>
      </c>
    </row>
    <row r="1003" spans="1:6" x14ac:dyDescent="0.25">
      <c r="A1003">
        <v>1002</v>
      </c>
      <c r="B1003" t="s">
        <v>5</v>
      </c>
      <c r="C1003" t="s">
        <v>6</v>
      </c>
      <c r="D1003">
        <v>46094.001423611109</v>
      </c>
      <c r="E1003" t="s">
        <v>7</v>
      </c>
      <c r="F1003">
        <v>46094.762199074074</v>
      </c>
    </row>
    <row r="1004" spans="1:6" x14ac:dyDescent="0.25">
      <c r="A1004">
        <v>1003</v>
      </c>
      <c r="B1004" t="s">
        <v>5</v>
      </c>
      <c r="C1004" t="s">
        <v>6</v>
      </c>
      <c r="D1004">
        <v>46094.288506944446</v>
      </c>
      <c r="E1004" t="s">
        <v>7</v>
      </c>
      <c r="F1004">
        <v>46094.541319444441</v>
      </c>
    </row>
    <row r="1005" spans="1:6" x14ac:dyDescent="0.25">
      <c r="A1005">
        <v>1004</v>
      </c>
      <c r="B1005" t="s">
        <v>5</v>
      </c>
      <c r="C1005" t="s">
        <v>7</v>
      </c>
      <c r="D1005">
        <v>46094.340277777781</v>
      </c>
      <c r="E1005" t="s">
        <v>7</v>
      </c>
      <c r="F1005">
        <v>46094.5</v>
      </c>
    </row>
    <row r="1006" spans="1:6" x14ac:dyDescent="0.25">
      <c r="A1006">
        <v>1005</v>
      </c>
      <c r="B1006" t="s">
        <v>5</v>
      </c>
      <c r="C1006" t="s">
        <v>7</v>
      </c>
      <c r="D1006">
        <v>46094.357638888891</v>
      </c>
      <c r="E1006" t="s">
        <v>7</v>
      </c>
      <c r="F1006">
        <v>46094.429166666669</v>
      </c>
    </row>
    <row r="1007" spans="1:6" x14ac:dyDescent="0.25">
      <c r="A1007">
        <v>1006</v>
      </c>
      <c r="B1007" t="s">
        <v>5</v>
      </c>
      <c r="C1007" t="s">
        <v>8</v>
      </c>
      <c r="D1007">
        <v>46094.364583333336</v>
      </c>
      <c r="E1007" t="s">
        <v>8</v>
      </c>
      <c r="F1007">
        <v>46094.444444444445</v>
      </c>
    </row>
    <row r="1008" spans="1:6" x14ac:dyDescent="0.25">
      <c r="A1008">
        <v>1007</v>
      </c>
      <c r="B1008" t="s">
        <v>5</v>
      </c>
      <c r="C1008" t="s">
        <v>8</v>
      </c>
      <c r="D1008">
        <v>46094.368055555555</v>
      </c>
      <c r="E1008" t="s">
        <v>10</v>
      </c>
      <c r="F1008">
        <v>46094.454861111109</v>
      </c>
    </row>
    <row r="1009" spans="1:6" x14ac:dyDescent="0.25">
      <c r="A1009">
        <v>1008</v>
      </c>
      <c r="B1009" t="s">
        <v>5</v>
      </c>
      <c r="C1009" t="s">
        <v>7</v>
      </c>
      <c r="D1009">
        <v>46094.527777777781</v>
      </c>
      <c r="E1009" t="s">
        <v>7</v>
      </c>
      <c r="F1009">
        <v>46099.635682870372</v>
      </c>
    </row>
    <row r="1010" spans="1:6" x14ac:dyDescent="0.25">
      <c r="A1010">
        <v>1009</v>
      </c>
      <c r="B1010" t="s">
        <v>5</v>
      </c>
      <c r="C1010" t="s">
        <v>7</v>
      </c>
      <c r="D1010">
        <v>46094.585416666669</v>
      </c>
      <c r="E1010" t="s">
        <v>8</v>
      </c>
      <c r="F1010">
        <v>46094.89167824074</v>
      </c>
    </row>
    <row r="1011" spans="1:6" x14ac:dyDescent="0.25">
      <c r="A1011">
        <v>1010</v>
      </c>
      <c r="B1011" t="s">
        <v>5</v>
      </c>
      <c r="C1011" t="s">
        <v>7</v>
      </c>
      <c r="D1011">
        <v>46094.607638888891</v>
      </c>
      <c r="E1011" t="s">
        <v>10</v>
      </c>
      <c r="F1011">
        <v>46094.670138888891</v>
      </c>
    </row>
    <row r="1012" spans="1:6" x14ac:dyDescent="0.25">
      <c r="A1012">
        <v>1011</v>
      </c>
      <c r="B1012" t="s">
        <v>5</v>
      </c>
      <c r="C1012" t="s">
        <v>6</v>
      </c>
      <c r="D1012">
        <v>46094.608124999999</v>
      </c>
      <c r="E1012" t="s">
        <v>8</v>
      </c>
      <c r="F1012">
        <v>46094.692384259259</v>
      </c>
    </row>
    <row r="1013" spans="1:6" x14ac:dyDescent="0.25">
      <c r="A1013">
        <v>1012</v>
      </c>
      <c r="B1013" t="s">
        <v>5</v>
      </c>
      <c r="C1013" t="s">
        <v>6</v>
      </c>
      <c r="D1013">
        <v>46094.629907407405</v>
      </c>
      <c r="E1013" t="s">
        <v>8</v>
      </c>
      <c r="F1013">
        <v>46094.766585648147</v>
      </c>
    </row>
    <row r="1014" spans="1:6" x14ac:dyDescent="0.25">
      <c r="A1014">
        <v>1013</v>
      </c>
      <c r="B1014" t="s">
        <v>5</v>
      </c>
      <c r="C1014" t="s">
        <v>6</v>
      </c>
      <c r="D1014">
        <v>46094.709421296298</v>
      </c>
      <c r="E1014" t="s">
        <v>8</v>
      </c>
      <c r="F1014">
        <v>46094.993495370371</v>
      </c>
    </row>
    <row r="1015" spans="1:6" x14ac:dyDescent="0.25">
      <c r="A1015">
        <v>1014</v>
      </c>
      <c r="B1015" t="s">
        <v>5</v>
      </c>
      <c r="C1015" t="s">
        <v>8</v>
      </c>
      <c r="D1015">
        <v>46094.722222222219</v>
      </c>
      <c r="E1015" t="s">
        <v>8</v>
      </c>
      <c r="F1015">
        <v>46094.833333333336</v>
      </c>
    </row>
    <row r="1016" spans="1:6" x14ac:dyDescent="0.25">
      <c r="A1016">
        <v>1015</v>
      </c>
      <c r="B1016" t="s">
        <v>5</v>
      </c>
      <c r="C1016" t="s">
        <v>8</v>
      </c>
      <c r="D1016">
        <v>46094.909722222219</v>
      </c>
      <c r="E1016" t="s">
        <v>7</v>
      </c>
      <c r="F1016">
        <v>46094.947916666664</v>
      </c>
    </row>
    <row r="1017" spans="1:6" x14ac:dyDescent="0.25">
      <c r="A1017">
        <v>1016</v>
      </c>
      <c r="B1017" t="s">
        <v>5</v>
      </c>
      <c r="C1017" t="s">
        <v>6</v>
      </c>
      <c r="D1017">
        <v>46094.935833333337</v>
      </c>
      <c r="E1017" t="s">
        <v>7</v>
      </c>
      <c r="F1017">
        <v>46095.148564814815</v>
      </c>
    </row>
    <row r="1018" spans="1:6" x14ac:dyDescent="0.25">
      <c r="A1018">
        <v>1017</v>
      </c>
      <c r="B1018" t="s">
        <v>5</v>
      </c>
      <c r="C1018" t="s">
        <v>6</v>
      </c>
      <c r="D1018">
        <v>46094.999340277776</v>
      </c>
      <c r="E1018" t="s">
        <v>7</v>
      </c>
      <c r="F1018">
        <v>46095.649976851855</v>
      </c>
    </row>
    <row r="1019" spans="1:6" x14ac:dyDescent="0.25">
      <c r="A1019">
        <v>1018</v>
      </c>
      <c r="B1019" t="s">
        <v>5</v>
      </c>
      <c r="C1019" t="s">
        <v>6</v>
      </c>
      <c r="D1019">
        <v>46095.355844907404</v>
      </c>
      <c r="E1019" t="s">
        <v>7</v>
      </c>
      <c r="F1019">
        <v>46098.688842592594</v>
      </c>
    </row>
    <row r="1020" spans="1:6" x14ac:dyDescent="0.25">
      <c r="A1020">
        <v>1019</v>
      </c>
      <c r="B1020" t="s">
        <v>5</v>
      </c>
      <c r="C1020" t="s">
        <v>6</v>
      </c>
      <c r="D1020">
        <v>46095.357881944445</v>
      </c>
      <c r="E1020" t="s">
        <v>7</v>
      </c>
      <c r="F1020">
        <v>46095.61010416667</v>
      </c>
    </row>
    <row r="1021" spans="1:6" x14ac:dyDescent="0.25">
      <c r="A1021">
        <v>1020</v>
      </c>
      <c r="B1021" t="s">
        <v>5</v>
      </c>
      <c r="C1021" t="s">
        <v>6</v>
      </c>
      <c r="D1021">
        <v>46095.364525462966</v>
      </c>
      <c r="E1021" t="s">
        <v>7</v>
      </c>
      <c r="F1021">
        <v>46095.751087962963</v>
      </c>
    </row>
    <row r="1022" spans="1:6" x14ac:dyDescent="0.25">
      <c r="A1022">
        <v>1021</v>
      </c>
      <c r="B1022" t="s">
        <v>5</v>
      </c>
      <c r="C1022" t="s">
        <v>8</v>
      </c>
      <c r="D1022">
        <v>46095.5</v>
      </c>
      <c r="E1022" t="s">
        <v>8</v>
      </c>
      <c r="F1022">
        <v>46095.543055555558</v>
      </c>
    </row>
    <row r="1023" spans="1:6" x14ac:dyDescent="0.25">
      <c r="A1023">
        <v>1022</v>
      </c>
      <c r="B1023" t="s">
        <v>5</v>
      </c>
      <c r="C1023" t="s">
        <v>6</v>
      </c>
      <c r="D1023">
        <v>46095.574143518519</v>
      </c>
      <c r="E1023" t="s">
        <v>7</v>
      </c>
      <c r="F1023">
        <v>46095.726377314815</v>
      </c>
    </row>
    <row r="1024" spans="1:6" x14ac:dyDescent="0.25">
      <c r="A1024">
        <v>1023</v>
      </c>
      <c r="B1024" t="s">
        <v>5</v>
      </c>
      <c r="C1024" t="s">
        <v>10</v>
      </c>
      <c r="D1024">
        <v>46095.642361111109</v>
      </c>
      <c r="E1024" t="s">
        <v>10</v>
      </c>
      <c r="F1024">
        <v>46095.670138888891</v>
      </c>
    </row>
    <row r="1025" spans="1:6" x14ac:dyDescent="0.25">
      <c r="A1025">
        <v>1024</v>
      </c>
      <c r="B1025" t="s">
        <v>5</v>
      </c>
      <c r="C1025" t="s">
        <v>6</v>
      </c>
      <c r="D1025">
        <v>46095.653611111113</v>
      </c>
      <c r="E1025" t="s">
        <v>7</v>
      </c>
      <c r="F1025">
        <v>46095.879583333335</v>
      </c>
    </row>
    <row r="1026" spans="1:6" x14ac:dyDescent="0.25">
      <c r="A1026">
        <v>1025</v>
      </c>
      <c r="B1026" t="s">
        <v>5</v>
      </c>
      <c r="C1026" t="s">
        <v>6</v>
      </c>
      <c r="D1026">
        <v>46095.674027777779</v>
      </c>
      <c r="E1026" t="s">
        <v>7</v>
      </c>
      <c r="F1026">
        <v>46095.950324074074</v>
      </c>
    </row>
    <row r="1027" spans="1:6" x14ac:dyDescent="0.25">
      <c r="A1027">
        <v>1026</v>
      </c>
      <c r="B1027" t="s">
        <v>5</v>
      </c>
      <c r="C1027" t="s">
        <v>7</v>
      </c>
      <c r="D1027">
        <v>46095.746527777781</v>
      </c>
      <c r="E1027" t="s">
        <v>8</v>
      </c>
      <c r="F1027">
        <v>46095.815972222219</v>
      </c>
    </row>
    <row r="1028" spans="1:6" x14ac:dyDescent="0.25">
      <c r="A1028">
        <v>1027</v>
      </c>
      <c r="B1028" t="s">
        <v>5</v>
      </c>
      <c r="C1028" t="s">
        <v>6</v>
      </c>
      <c r="D1028">
        <v>46095.753472222219</v>
      </c>
      <c r="E1028" t="s">
        <v>7</v>
      </c>
      <c r="F1028">
        <v>46095.798611111109</v>
      </c>
    </row>
    <row r="1029" spans="1:6" x14ac:dyDescent="0.25">
      <c r="A1029">
        <v>1028</v>
      </c>
      <c r="B1029" t="s">
        <v>5</v>
      </c>
      <c r="C1029" t="s">
        <v>6</v>
      </c>
      <c r="D1029">
        <v>46095.852546296293</v>
      </c>
      <c r="E1029" t="s">
        <v>7</v>
      </c>
      <c r="F1029">
        <v>46096.52275462963</v>
      </c>
    </row>
    <row r="1030" spans="1:6" x14ac:dyDescent="0.25">
      <c r="A1030">
        <v>1029</v>
      </c>
      <c r="B1030" t="s">
        <v>5</v>
      </c>
      <c r="C1030" t="s">
        <v>6</v>
      </c>
      <c r="D1030">
        <v>46095.976770833331</v>
      </c>
      <c r="E1030" t="s">
        <v>7</v>
      </c>
      <c r="F1030">
        <v>46096.653252314813</v>
      </c>
    </row>
    <row r="1031" spans="1:6" x14ac:dyDescent="0.25">
      <c r="A1031">
        <v>1030</v>
      </c>
      <c r="B1031" t="s">
        <v>5</v>
      </c>
      <c r="C1031" t="s">
        <v>6</v>
      </c>
      <c r="D1031">
        <v>46096.191365740742</v>
      </c>
      <c r="E1031" t="s">
        <v>8</v>
      </c>
      <c r="F1031">
        <v>46096.463993055557</v>
      </c>
    </row>
    <row r="1032" spans="1:6" x14ac:dyDescent="0.25">
      <c r="A1032">
        <v>1031</v>
      </c>
      <c r="B1032" t="s">
        <v>5</v>
      </c>
      <c r="C1032" t="s">
        <v>7</v>
      </c>
      <c r="D1032">
        <v>46096.395833333336</v>
      </c>
      <c r="E1032" t="s">
        <v>7</v>
      </c>
      <c r="F1032">
        <v>46096.465277777781</v>
      </c>
    </row>
    <row r="1033" spans="1:6" x14ac:dyDescent="0.25">
      <c r="A1033">
        <v>1032</v>
      </c>
      <c r="B1033" t="s">
        <v>5</v>
      </c>
      <c r="C1033" t="s">
        <v>7</v>
      </c>
      <c r="D1033">
        <v>46096.46875</v>
      </c>
      <c r="E1033" t="s">
        <v>7</v>
      </c>
      <c r="F1033">
        <v>46096.496527777781</v>
      </c>
    </row>
    <row r="1034" spans="1:6" x14ac:dyDescent="0.25">
      <c r="A1034">
        <v>1033</v>
      </c>
      <c r="B1034" t="s">
        <v>5</v>
      </c>
      <c r="C1034" t="s">
        <v>7</v>
      </c>
      <c r="D1034">
        <v>46096.506944444445</v>
      </c>
      <c r="E1034" t="s">
        <v>7</v>
      </c>
      <c r="F1034">
        <v>46096.558333333334</v>
      </c>
    </row>
    <row r="1035" spans="1:6" x14ac:dyDescent="0.25">
      <c r="A1035">
        <v>1034</v>
      </c>
      <c r="B1035" t="s">
        <v>5</v>
      </c>
      <c r="C1035" t="s">
        <v>6</v>
      </c>
      <c r="D1035">
        <v>46096.552812499998</v>
      </c>
      <c r="E1035" t="s">
        <v>7</v>
      </c>
      <c r="F1035">
        <v>46096.93849537037</v>
      </c>
    </row>
    <row r="1036" spans="1:6" x14ac:dyDescent="0.25">
      <c r="A1036">
        <v>1035</v>
      </c>
      <c r="B1036" t="s">
        <v>5</v>
      </c>
      <c r="C1036" t="s">
        <v>6</v>
      </c>
      <c r="D1036">
        <v>46096.674791666665</v>
      </c>
      <c r="E1036" t="s">
        <v>7</v>
      </c>
      <c r="F1036">
        <v>46096.872719907406</v>
      </c>
    </row>
    <row r="1037" spans="1:6" x14ac:dyDescent="0.25">
      <c r="A1037">
        <v>1036</v>
      </c>
      <c r="B1037" t="s">
        <v>5</v>
      </c>
      <c r="C1037" t="s">
        <v>6</v>
      </c>
      <c r="D1037">
        <v>46096.936516203707</v>
      </c>
      <c r="E1037" t="s">
        <v>8</v>
      </c>
      <c r="F1037">
        <v>46105.490416666667</v>
      </c>
    </row>
    <row r="1038" spans="1:6" x14ac:dyDescent="0.25">
      <c r="A1038">
        <v>1037</v>
      </c>
      <c r="B1038" t="s">
        <v>5</v>
      </c>
      <c r="C1038" t="s">
        <v>6</v>
      </c>
      <c r="D1038">
        <v>46097.035370370373</v>
      </c>
      <c r="E1038" t="s">
        <v>7</v>
      </c>
      <c r="F1038">
        <v>46097.754837962966</v>
      </c>
    </row>
    <row r="1039" spans="1:6" x14ac:dyDescent="0.25">
      <c r="A1039">
        <v>1038</v>
      </c>
      <c r="B1039" t="s">
        <v>5</v>
      </c>
      <c r="C1039" t="s">
        <v>6</v>
      </c>
      <c r="D1039">
        <v>46097.302546296298</v>
      </c>
      <c r="E1039" t="s">
        <v>9</v>
      </c>
      <c r="F1039">
        <v>46097.735555555555</v>
      </c>
    </row>
    <row r="1040" spans="1:6" x14ac:dyDescent="0.25">
      <c r="A1040">
        <v>1039</v>
      </c>
      <c r="B1040" t="s">
        <v>5</v>
      </c>
      <c r="C1040" t="s">
        <v>6</v>
      </c>
      <c r="D1040">
        <v>46097.304664351854</v>
      </c>
      <c r="E1040" t="s">
        <v>9</v>
      </c>
      <c r="F1040">
        <v>46097.614652777775</v>
      </c>
    </row>
    <row r="1041" spans="1:6" x14ac:dyDescent="0.25">
      <c r="A1041">
        <v>1040</v>
      </c>
      <c r="B1041" t="s">
        <v>5</v>
      </c>
      <c r="C1041" t="s">
        <v>7</v>
      </c>
      <c r="D1041">
        <v>46097.333333333336</v>
      </c>
      <c r="E1041" t="s">
        <v>7</v>
      </c>
      <c r="F1041">
        <v>46097.413194444445</v>
      </c>
    </row>
    <row r="1042" spans="1:6" x14ac:dyDescent="0.25">
      <c r="A1042">
        <v>1041</v>
      </c>
      <c r="B1042" t="s">
        <v>5</v>
      </c>
      <c r="C1042" t="s">
        <v>7</v>
      </c>
      <c r="D1042">
        <v>46097.34375</v>
      </c>
      <c r="E1042" t="s">
        <v>7</v>
      </c>
      <c r="F1042">
        <v>46097.4375</v>
      </c>
    </row>
    <row r="1043" spans="1:6" x14ac:dyDescent="0.25">
      <c r="A1043">
        <v>1042</v>
      </c>
      <c r="B1043" t="s">
        <v>5</v>
      </c>
      <c r="C1043" t="s">
        <v>7</v>
      </c>
      <c r="D1043">
        <v>46097.350694444445</v>
      </c>
      <c r="E1043" t="s">
        <v>7</v>
      </c>
      <c r="F1043">
        <v>46097.423611111109</v>
      </c>
    </row>
    <row r="1044" spans="1:6" x14ac:dyDescent="0.25">
      <c r="A1044">
        <v>1043</v>
      </c>
      <c r="B1044" t="s">
        <v>5</v>
      </c>
      <c r="C1044" t="s">
        <v>7</v>
      </c>
      <c r="D1044">
        <v>46097.465277777781</v>
      </c>
      <c r="E1044" t="s">
        <v>7</v>
      </c>
      <c r="F1044">
        <v>46097.556250000001</v>
      </c>
    </row>
    <row r="1045" spans="1:6" x14ac:dyDescent="0.25">
      <c r="A1045">
        <v>1044</v>
      </c>
      <c r="B1045" t="s">
        <v>5</v>
      </c>
      <c r="C1045" t="s">
        <v>7</v>
      </c>
      <c r="D1045">
        <v>46097.475694444445</v>
      </c>
      <c r="E1045" t="s">
        <v>7</v>
      </c>
      <c r="F1045">
        <v>46097.548611111109</v>
      </c>
    </row>
    <row r="1046" spans="1:6" x14ac:dyDescent="0.25">
      <c r="A1046">
        <v>1045</v>
      </c>
      <c r="B1046" t="s">
        <v>5</v>
      </c>
      <c r="C1046" t="s">
        <v>7</v>
      </c>
      <c r="D1046">
        <v>46097.493055555555</v>
      </c>
      <c r="E1046" t="s">
        <v>7</v>
      </c>
      <c r="F1046">
        <v>46097.548611111109</v>
      </c>
    </row>
    <row r="1047" spans="1:6" x14ac:dyDescent="0.25">
      <c r="A1047">
        <v>1046</v>
      </c>
      <c r="B1047" t="s">
        <v>5</v>
      </c>
      <c r="C1047" t="s">
        <v>7</v>
      </c>
      <c r="D1047">
        <v>46097.513888888891</v>
      </c>
      <c r="E1047" t="s">
        <v>7</v>
      </c>
      <c r="F1047">
        <v>46097.552083333336</v>
      </c>
    </row>
    <row r="1048" spans="1:6" x14ac:dyDescent="0.25">
      <c r="A1048">
        <v>1047</v>
      </c>
      <c r="B1048" t="s">
        <v>5</v>
      </c>
      <c r="C1048" t="s">
        <v>7</v>
      </c>
      <c r="D1048">
        <v>46097.534722222219</v>
      </c>
      <c r="E1048" t="s">
        <v>7</v>
      </c>
      <c r="F1048">
        <v>46097.572916666664</v>
      </c>
    </row>
    <row r="1049" spans="1:6" x14ac:dyDescent="0.25">
      <c r="A1049">
        <v>1048</v>
      </c>
      <c r="B1049" t="s">
        <v>5</v>
      </c>
      <c r="C1049" t="s">
        <v>6</v>
      </c>
      <c r="D1049">
        <v>46097.578472222223</v>
      </c>
      <c r="E1049" t="s">
        <v>8</v>
      </c>
      <c r="F1049">
        <v>46097.889687499999</v>
      </c>
    </row>
    <row r="1050" spans="1:6" x14ac:dyDescent="0.25">
      <c r="A1050">
        <v>1049</v>
      </c>
      <c r="B1050" t="s">
        <v>5</v>
      </c>
      <c r="C1050" t="s">
        <v>6</v>
      </c>
      <c r="D1050">
        <v>46097.585324074076</v>
      </c>
      <c r="E1050" t="s">
        <v>7</v>
      </c>
      <c r="F1050">
        <v>46097.768020833333</v>
      </c>
    </row>
    <row r="1051" spans="1:6" x14ac:dyDescent="0.25">
      <c r="A1051">
        <v>1050</v>
      </c>
      <c r="B1051" t="s">
        <v>5</v>
      </c>
      <c r="C1051" t="s">
        <v>10</v>
      </c>
      <c r="D1051">
        <v>46097.635416666664</v>
      </c>
      <c r="E1051" t="s">
        <v>10</v>
      </c>
      <c r="F1051">
        <v>46097.722222222219</v>
      </c>
    </row>
    <row r="1052" spans="1:6" x14ac:dyDescent="0.25">
      <c r="A1052">
        <v>1051</v>
      </c>
      <c r="B1052" t="s">
        <v>5</v>
      </c>
      <c r="C1052" t="s">
        <v>7</v>
      </c>
      <c r="D1052">
        <v>46097.645833333336</v>
      </c>
      <c r="E1052" t="s">
        <v>7</v>
      </c>
      <c r="F1052">
        <v>46097.811805555553</v>
      </c>
    </row>
    <row r="1053" spans="1:6" x14ac:dyDescent="0.25">
      <c r="A1053">
        <v>1052</v>
      </c>
      <c r="B1053" t="s">
        <v>5</v>
      </c>
      <c r="C1053" t="s">
        <v>7</v>
      </c>
      <c r="D1053">
        <v>46097.659722222219</v>
      </c>
      <c r="E1053" t="s">
        <v>7</v>
      </c>
      <c r="F1053">
        <v>46097.711805555555</v>
      </c>
    </row>
    <row r="1054" spans="1:6" x14ac:dyDescent="0.25">
      <c r="A1054">
        <v>1053</v>
      </c>
      <c r="B1054" t="s">
        <v>5</v>
      </c>
      <c r="C1054" t="s">
        <v>7</v>
      </c>
      <c r="D1054">
        <v>46097.75</v>
      </c>
      <c r="E1054" t="s">
        <v>7</v>
      </c>
      <c r="F1054">
        <v>46097.79583333333</v>
      </c>
    </row>
    <row r="1055" spans="1:6" x14ac:dyDescent="0.25">
      <c r="A1055">
        <v>1054</v>
      </c>
      <c r="B1055" t="s">
        <v>5</v>
      </c>
      <c r="C1055" t="s">
        <v>10</v>
      </c>
      <c r="D1055">
        <v>46097.763888888891</v>
      </c>
      <c r="E1055" t="s">
        <v>10</v>
      </c>
      <c r="F1055">
        <v>46097.774305555555</v>
      </c>
    </row>
    <row r="1056" spans="1:6" x14ac:dyDescent="0.25">
      <c r="A1056">
        <v>1055</v>
      </c>
      <c r="B1056" t="s">
        <v>5</v>
      </c>
      <c r="C1056" t="s">
        <v>6</v>
      </c>
      <c r="D1056">
        <v>46097.849942129629</v>
      </c>
      <c r="E1056" t="s">
        <v>7</v>
      </c>
      <c r="F1056">
        <v>46098.238587962966</v>
      </c>
    </row>
    <row r="1057" spans="1:6" x14ac:dyDescent="0.25">
      <c r="A1057">
        <v>1056</v>
      </c>
      <c r="B1057" t="s">
        <v>5</v>
      </c>
      <c r="C1057" t="s">
        <v>6</v>
      </c>
      <c r="D1057">
        <v>46097.894097222219</v>
      </c>
      <c r="E1057" t="s">
        <v>7</v>
      </c>
      <c r="F1057">
        <v>46098.739201388889</v>
      </c>
    </row>
    <row r="1058" spans="1:6" x14ac:dyDescent="0.25">
      <c r="A1058">
        <v>1057</v>
      </c>
      <c r="B1058" t="s">
        <v>5</v>
      </c>
      <c r="C1058" t="s">
        <v>6</v>
      </c>
      <c r="D1058">
        <v>46098.313773148147</v>
      </c>
      <c r="E1058" t="s">
        <v>7</v>
      </c>
      <c r="F1058">
        <v>46098.66851851852</v>
      </c>
    </row>
    <row r="1059" spans="1:6" x14ac:dyDescent="0.25">
      <c r="A1059">
        <v>1058</v>
      </c>
      <c r="B1059" t="s">
        <v>5</v>
      </c>
      <c r="C1059" t="s">
        <v>7</v>
      </c>
      <c r="D1059">
        <v>46098.319444444445</v>
      </c>
      <c r="E1059" t="s">
        <v>7</v>
      </c>
      <c r="F1059">
        <v>46098.460416666669</v>
      </c>
    </row>
    <row r="1060" spans="1:6" x14ac:dyDescent="0.25">
      <c r="A1060">
        <v>1059</v>
      </c>
      <c r="B1060" t="s">
        <v>5</v>
      </c>
      <c r="C1060" t="s">
        <v>7</v>
      </c>
      <c r="D1060">
        <v>46098.333333333336</v>
      </c>
      <c r="E1060" t="s">
        <v>7</v>
      </c>
      <c r="F1060">
        <v>46098.357638888891</v>
      </c>
    </row>
    <row r="1061" spans="1:6" x14ac:dyDescent="0.25">
      <c r="A1061">
        <v>1060</v>
      </c>
      <c r="B1061" t="s">
        <v>5</v>
      </c>
      <c r="C1061" t="s">
        <v>8</v>
      </c>
      <c r="D1061">
        <v>46098.354166666664</v>
      </c>
      <c r="E1061" t="s">
        <v>7</v>
      </c>
      <c r="F1061">
        <v>46098.458333333336</v>
      </c>
    </row>
    <row r="1062" spans="1:6" x14ac:dyDescent="0.25">
      <c r="A1062">
        <v>1061</v>
      </c>
      <c r="B1062" t="s">
        <v>5</v>
      </c>
      <c r="C1062" t="s">
        <v>7</v>
      </c>
      <c r="D1062">
        <v>46098.416666666664</v>
      </c>
      <c r="E1062" t="s">
        <v>8</v>
      </c>
      <c r="F1062">
        <v>46109.478877314818</v>
      </c>
    </row>
    <row r="1063" spans="1:6" x14ac:dyDescent="0.25">
      <c r="A1063">
        <v>1062</v>
      </c>
      <c r="B1063" t="s">
        <v>5</v>
      </c>
      <c r="C1063" t="s">
        <v>10</v>
      </c>
      <c r="D1063">
        <v>46098.423611111109</v>
      </c>
      <c r="E1063" t="s">
        <v>10</v>
      </c>
      <c r="F1063">
        <v>46098.440972222219</v>
      </c>
    </row>
    <row r="1064" spans="1:6" x14ac:dyDescent="0.25">
      <c r="A1064">
        <v>1063</v>
      </c>
      <c r="B1064" t="s">
        <v>5</v>
      </c>
      <c r="C1064" t="s">
        <v>6</v>
      </c>
      <c r="D1064">
        <v>46098.483761574076</v>
      </c>
      <c r="E1064" t="s">
        <v>6</v>
      </c>
      <c r="F1064">
        <v>46098.542881944442</v>
      </c>
    </row>
    <row r="1065" spans="1:6" x14ac:dyDescent="0.25">
      <c r="A1065">
        <v>1064</v>
      </c>
      <c r="B1065" t="s">
        <v>5</v>
      </c>
      <c r="C1065" t="s">
        <v>6</v>
      </c>
      <c r="D1065">
        <v>46098.511921296296</v>
      </c>
      <c r="E1065" t="s">
        <v>7</v>
      </c>
      <c r="F1065">
        <v>46098.96365740741</v>
      </c>
    </row>
    <row r="1066" spans="1:6" x14ac:dyDescent="0.25">
      <c r="A1066">
        <v>1065</v>
      </c>
      <c r="B1066" t="s">
        <v>5</v>
      </c>
      <c r="C1066" t="s">
        <v>6</v>
      </c>
      <c r="D1066">
        <v>46098.512499999997</v>
      </c>
      <c r="E1066" t="s">
        <v>8</v>
      </c>
      <c r="F1066">
        <v>46098.758252314816</v>
      </c>
    </row>
    <row r="1067" spans="1:6" x14ac:dyDescent="0.25">
      <c r="A1067">
        <v>1066</v>
      </c>
      <c r="B1067" t="s">
        <v>5</v>
      </c>
      <c r="C1067" t="s">
        <v>6</v>
      </c>
      <c r="D1067">
        <v>46098.540833333333</v>
      </c>
      <c r="E1067" t="s">
        <v>8</v>
      </c>
      <c r="F1067">
        <v>46104.44121527778</v>
      </c>
    </row>
    <row r="1068" spans="1:6" x14ac:dyDescent="0.25">
      <c r="A1068">
        <v>1067</v>
      </c>
      <c r="B1068" t="s">
        <v>5</v>
      </c>
      <c r="C1068" t="s">
        <v>8</v>
      </c>
      <c r="D1068">
        <v>46098.652777777781</v>
      </c>
      <c r="E1068" t="s">
        <v>8</v>
      </c>
      <c r="F1068">
        <v>46098.770833333336</v>
      </c>
    </row>
    <row r="1069" spans="1:6" x14ac:dyDescent="0.25">
      <c r="A1069">
        <v>1068</v>
      </c>
      <c r="B1069" t="s">
        <v>5</v>
      </c>
      <c r="C1069" t="s">
        <v>8</v>
      </c>
      <c r="D1069">
        <v>46098.694444444445</v>
      </c>
      <c r="E1069" t="s">
        <v>10</v>
      </c>
      <c r="F1069">
        <v>46098.847222222219</v>
      </c>
    </row>
    <row r="1070" spans="1:6" x14ac:dyDescent="0.25">
      <c r="A1070">
        <v>1069</v>
      </c>
      <c r="B1070" t="s">
        <v>5</v>
      </c>
      <c r="C1070" t="s">
        <v>6</v>
      </c>
      <c r="D1070">
        <v>46098.762916666667</v>
      </c>
      <c r="E1070" t="s">
        <v>7</v>
      </c>
      <c r="F1070">
        <v>46098.993321759262</v>
      </c>
    </row>
    <row r="1071" spans="1:6" x14ac:dyDescent="0.25">
      <c r="A1071">
        <v>1070</v>
      </c>
      <c r="B1071" t="s">
        <v>5</v>
      </c>
      <c r="C1071" t="s">
        <v>6</v>
      </c>
      <c r="D1071">
        <v>46098.952928240738</v>
      </c>
      <c r="E1071" t="s">
        <v>7</v>
      </c>
      <c r="F1071">
        <v>46099.698217592595</v>
      </c>
    </row>
    <row r="1072" spans="1:6" x14ac:dyDescent="0.25">
      <c r="A1072">
        <v>1071</v>
      </c>
      <c r="B1072" t="s">
        <v>5</v>
      </c>
      <c r="C1072" t="s">
        <v>6</v>
      </c>
      <c r="D1072">
        <v>46098.956944444442</v>
      </c>
      <c r="E1072" t="s">
        <v>7</v>
      </c>
      <c r="F1072">
        <v>46099.680185185185</v>
      </c>
    </row>
    <row r="1073" spans="1:6" x14ac:dyDescent="0.25">
      <c r="A1073">
        <v>1072</v>
      </c>
      <c r="B1073" t="s">
        <v>5</v>
      </c>
      <c r="C1073" t="s">
        <v>6</v>
      </c>
      <c r="D1073">
        <v>46099.174583333333</v>
      </c>
      <c r="E1073" t="s">
        <v>7</v>
      </c>
      <c r="F1073">
        <v>46099.83834490741</v>
      </c>
    </row>
    <row r="1074" spans="1:6" x14ac:dyDescent="0.25">
      <c r="A1074">
        <v>1073</v>
      </c>
      <c r="B1074" t="s">
        <v>5</v>
      </c>
      <c r="C1074" t="s">
        <v>6</v>
      </c>
      <c r="D1074">
        <v>46099.287233796298</v>
      </c>
      <c r="E1074" t="s">
        <v>7</v>
      </c>
      <c r="F1074">
        <v>46099.925370370373</v>
      </c>
    </row>
    <row r="1075" spans="1:6" x14ac:dyDescent="0.25">
      <c r="A1075">
        <v>1074</v>
      </c>
      <c r="B1075" t="s">
        <v>5</v>
      </c>
      <c r="C1075" t="s">
        <v>6</v>
      </c>
      <c r="D1075">
        <v>46099.289710648147</v>
      </c>
      <c r="E1075" t="s">
        <v>10</v>
      </c>
      <c r="F1075">
        <v>46100.535370370373</v>
      </c>
    </row>
    <row r="1076" spans="1:6" x14ac:dyDescent="0.25">
      <c r="A1076">
        <v>1075</v>
      </c>
      <c r="B1076" t="s">
        <v>5</v>
      </c>
      <c r="C1076" t="s">
        <v>10</v>
      </c>
      <c r="D1076">
        <v>46099.326388888891</v>
      </c>
      <c r="E1076" t="s">
        <v>10</v>
      </c>
      <c r="F1076">
        <v>46099.434027777781</v>
      </c>
    </row>
    <row r="1077" spans="1:6" x14ac:dyDescent="0.25">
      <c r="A1077">
        <v>1076</v>
      </c>
      <c r="B1077" t="s">
        <v>5</v>
      </c>
      <c r="C1077" t="s">
        <v>12</v>
      </c>
      <c r="D1077">
        <v>46099.329861111109</v>
      </c>
      <c r="E1077" t="s">
        <v>7</v>
      </c>
      <c r="F1077">
        <v>46099.402777777781</v>
      </c>
    </row>
    <row r="1078" spans="1:6" x14ac:dyDescent="0.25">
      <c r="A1078">
        <v>1077</v>
      </c>
      <c r="B1078" t="s">
        <v>5</v>
      </c>
      <c r="C1078" t="s">
        <v>8</v>
      </c>
      <c r="D1078">
        <v>46099.34375</v>
      </c>
      <c r="E1078" t="s">
        <v>7</v>
      </c>
      <c r="F1078">
        <v>46099.40625</v>
      </c>
    </row>
    <row r="1079" spans="1:6" x14ac:dyDescent="0.25">
      <c r="A1079">
        <v>1078</v>
      </c>
      <c r="B1079" t="s">
        <v>5</v>
      </c>
      <c r="C1079" t="s">
        <v>6</v>
      </c>
      <c r="D1079">
        <v>46099.4143287037</v>
      </c>
      <c r="E1079" t="s">
        <v>10</v>
      </c>
      <c r="F1079">
        <v>46099.93072916667</v>
      </c>
    </row>
    <row r="1080" spans="1:6" x14ac:dyDescent="0.25">
      <c r="A1080">
        <v>1079</v>
      </c>
      <c r="B1080" t="s">
        <v>5</v>
      </c>
      <c r="C1080" t="s">
        <v>7</v>
      </c>
      <c r="D1080">
        <v>46099.461805555555</v>
      </c>
      <c r="E1080" t="s">
        <v>7</v>
      </c>
      <c r="F1080">
        <v>46099.486111111109</v>
      </c>
    </row>
    <row r="1081" spans="1:6" x14ac:dyDescent="0.25">
      <c r="A1081">
        <v>1080</v>
      </c>
      <c r="B1081" t="s">
        <v>5</v>
      </c>
      <c r="C1081" t="s">
        <v>6</v>
      </c>
      <c r="D1081">
        <v>46099.476180555554</v>
      </c>
      <c r="E1081" t="s">
        <v>8</v>
      </c>
      <c r="F1081">
        <v>46099.735451388886</v>
      </c>
    </row>
    <row r="1082" spans="1:6" x14ac:dyDescent="0.25">
      <c r="A1082">
        <v>1081</v>
      </c>
      <c r="B1082" t="s">
        <v>5</v>
      </c>
      <c r="C1082" t="s">
        <v>6</v>
      </c>
      <c r="D1082">
        <v>46099.498761574076</v>
      </c>
      <c r="E1082" t="s">
        <v>7</v>
      </c>
      <c r="F1082">
        <v>46101.499548611115</v>
      </c>
    </row>
    <row r="1083" spans="1:6" x14ac:dyDescent="0.25">
      <c r="A1083">
        <v>1082</v>
      </c>
      <c r="B1083" t="s">
        <v>5</v>
      </c>
      <c r="C1083" t="s">
        <v>6</v>
      </c>
      <c r="D1083">
        <v>46099.522141203706</v>
      </c>
      <c r="E1083" t="s">
        <v>7</v>
      </c>
      <c r="F1083">
        <v>46099.743194444447</v>
      </c>
    </row>
    <row r="1084" spans="1:6" x14ac:dyDescent="0.25">
      <c r="A1084">
        <v>1083</v>
      </c>
      <c r="B1084" t="s">
        <v>5</v>
      </c>
      <c r="C1084" t="s">
        <v>6</v>
      </c>
      <c r="D1084">
        <v>46099.591307870367</v>
      </c>
      <c r="E1084" t="s">
        <v>6</v>
      </c>
      <c r="F1084">
        <v>46100.197280092594</v>
      </c>
    </row>
    <row r="1085" spans="1:6" x14ac:dyDescent="0.25">
      <c r="A1085">
        <v>1084</v>
      </c>
      <c r="B1085" t="s">
        <v>5</v>
      </c>
      <c r="C1085" t="s">
        <v>7</v>
      </c>
      <c r="D1085">
        <v>46099.642361111109</v>
      </c>
      <c r="E1085" t="s">
        <v>7</v>
      </c>
      <c r="F1085">
        <v>46099.677083333336</v>
      </c>
    </row>
    <row r="1086" spans="1:6" x14ac:dyDescent="0.25">
      <c r="A1086">
        <v>1085</v>
      </c>
      <c r="B1086" t="s">
        <v>5</v>
      </c>
      <c r="C1086" t="s">
        <v>7</v>
      </c>
      <c r="D1086">
        <v>46099.6875</v>
      </c>
      <c r="E1086" t="s">
        <v>7</v>
      </c>
      <c r="F1086">
        <v>46099.857638888891</v>
      </c>
    </row>
    <row r="1087" spans="1:6" x14ac:dyDescent="0.25">
      <c r="A1087">
        <v>1086</v>
      </c>
      <c r="B1087" t="s">
        <v>5</v>
      </c>
      <c r="C1087" t="s">
        <v>7</v>
      </c>
      <c r="D1087">
        <v>46099.694444444445</v>
      </c>
      <c r="E1087" t="s">
        <v>8</v>
      </c>
      <c r="F1087">
        <v>46099.743055555555</v>
      </c>
    </row>
    <row r="1088" spans="1:6" x14ac:dyDescent="0.25">
      <c r="A1088">
        <v>1087</v>
      </c>
      <c r="B1088" t="s">
        <v>5</v>
      </c>
      <c r="C1088" t="s">
        <v>7</v>
      </c>
      <c r="D1088">
        <v>46099.729166666664</v>
      </c>
      <c r="E1088" t="s">
        <v>7</v>
      </c>
      <c r="F1088">
        <v>46099.8125</v>
      </c>
    </row>
    <row r="1089" spans="1:6" x14ac:dyDescent="0.25">
      <c r="A1089">
        <v>1088</v>
      </c>
      <c r="B1089" t="s">
        <v>5</v>
      </c>
      <c r="C1089" t="s">
        <v>8</v>
      </c>
      <c r="D1089">
        <v>46099.805555555555</v>
      </c>
      <c r="E1089" t="s">
        <v>7</v>
      </c>
      <c r="F1089">
        <v>46099.954861111109</v>
      </c>
    </row>
    <row r="1090" spans="1:6" x14ac:dyDescent="0.25">
      <c r="A1090">
        <v>1089</v>
      </c>
      <c r="B1090" t="s">
        <v>5</v>
      </c>
      <c r="C1090" t="s">
        <v>6</v>
      </c>
      <c r="D1090">
        <v>46099.812048611115</v>
      </c>
      <c r="E1090" t="s">
        <v>7</v>
      </c>
      <c r="F1090">
        <v>46101.648657407408</v>
      </c>
    </row>
    <row r="1091" spans="1:6" x14ac:dyDescent="0.25">
      <c r="A1091">
        <v>1090</v>
      </c>
      <c r="B1091" t="s">
        <v>5</v>
      </c>
      <c r="C1091" t="s">
        <v>6</v>
      </c>
      <c r="D1091">
        <v>46099.839872685188</v>
      </c>
      <c r="E1091" t="s">
        <v>7</v>
      </c>
      <c r="F1091">
        <v>46100.508530092593</v>
      </c>
    </row>
    <row r="1092" spans="1:6" x14ac:dyDescent="0.25">
      <c r="A1092">
        <v>1091</v>
      </c>
      <c r="B1092" t="s">
        <v>5</v>
      </c>
      <c r="C1092" t="s">
        <v>6</v>
      </c>
      <c r="D1092">
        <v>46100.305173611108</v>
      </c>
      <c r="E1092" t="s">
        <v>7</v>
      </c>
      <c r="F1092">
        <v>46100.670081018521</v>
      </c>
    </row>
    <row r="1093" spans="1:6" x14ac:dyDescent="0.25">
      <c r="A1093">
        <v>1092</v>
      </c>
      <c r="B1093" t="s">
        <v>5</v>
      </c>
      <c r="C1093" t="s">
        <v>7</v>
      </c>
      <c r="D1093">
        <v>46100.319444444445</v>
      </c>
      <c r="E1093" t="s">
        <v>7</v>
      </c>
      <c r="F1093">
        <v>46100.411111111112</v>
      </c>
    </row>
    <row r="1094" spans="1:6" x14ac:dyDescent="0.25">
      <c r="A1094">
        <v>1093</v>
      </c>
      <c r="B1094" t="s">
        <v>5</v>
      </c>
      <c r="C1094" t="s">
        <v>7</v>
      </c>
      <c r="D1094">
        <v>46100.333333333336</v>
      </c>
      <c r="E1094" t="s">
        <v>7</v>
      </c>
      <c r="F1094">
        <v>46100.401388888888</v>
      </c>
    </row>
    <row r="1095" spans="1:6" x14ac:dyDescent="0.25">
      <c r="A1095">
        <v>1094</v>
      </c>
      <c r="B1095" t="s">
        <v>5</v>
      </c>
      <c r="C1095" t="s">
        <v>7</v>
      </c>
      <c r="D1095">
        <v>46100.354166666664</v>
      </c>
      <c r="E1095" t="s">
        <v>7</v>
      </c>
      <c r="F1095">
        <v>46100.416666666664</v>
      </c>
    </row>
    <row r="1096" spans="1:6" x14ac:dyDescent="0.25">
      <c r="A1096">
        <v>1095</v>
      </c>
      <c r="B1096" t="s">
        <v>5</v>
      </c>
      <c r="C1096" t="s">
        <v>7</v>
      </c>
      <c r="D1096">
        <v>46100.354166666664</v>
      </c>
      <c r="E1096" t="s">
        <v>7</v>
      </c>
      <c r="F1096">
        <v>46100.479166666664</v>
      </c>
    </row>
    <row r="1097" spans="1:6" x14ac:dyDescent="0.25">
      <c r="A1097">
        <v>1096</v>
      </c>
      <c r="B1097" t="s">
        <v>5</v>
      </c>
      <c r="C1097" t="s">
        <v>6</v>
      </c>
      <c r="D1097">
        <v>46100.414444444446</v>
      </c>
      <c r="E1097" t="s">
        <v>7</v>
      </c>
      <c r="F1097">
        <v>46102.258240740739</v>
      </c>
    </row>
    <row r="1098" spans="1:6" x14ac:dyDescent="0.25">
      <c r="A1098">
        <v>1097</v>
      </c>
      <c r="B1098" t="s">
        <v>5</v>
      </c>
      <c r="C1098" t="s">
        <v>6</v>
      </c>
      <c r="D1098">
        <v>46100.41474537037</v>
      </c>
      <c r="E1098" t="s">
        <v>10</v>
      </c>
      <c r="F1098">
        <v>46101.475891203707</v>
      </c>
    </row>
    <row r="1099" spans="1:6" x14ac:dyDescent="0.25">
      <c r="A1099">
        <v>1098</v>
      </c>
      <c r="B1099" t="s">
        <v>5</v>
      </c>
      <c r="C1099" t="s">
        <v>6</v>
      </c>
      <c r="D1099">
        <v>46100.428831018522</v>
      </c>
      <c r="E1099" t="s">
        <v>7</v>
      </c>
      <c r="F1099">
        <v>46100.7500462963</v>
      </c>
    </row>
    <row r="1100" spans="1:6" x14ac:dyDescent="0.25">
      <c r="A1100">
        <v>1099</v>
      </c>
      <c r="B1100" t="s">
        <v>5</v>
      </c>
      <c r="C1100" t="s">
        <v>6</v>
      </c>
      <c r="D1100">
        <v>46100.46875</v>
      </c>
      <c r="E1100" t="s">
        <v>7</v>
      </c>
      <c r="F1100">
        <v>46100.510416666664</v>
      </c>
    </row>
    <row r="1101" spans="1:6" x14ac:dyDescent="0.25">
      <c r="A1101">
        <v>1100</v>
      </c>
      <c r="B1101" t="s">
        <v>5</v>
      </c>
      <c r="C1101" t="s">
        <v>7</v>
      </c>
      <c r="D1101">
        <v>46100.486111111109</v>
      </c>
      <c r="E1101" t="s">
        <v>7</v>
      </c>
      <c r="F1101">
        <v>46100.520833333336</v>
      </c>
    </row>
    <row r="1102" spans="1:6" x14ac:dyDescent="0.25">
      <c r="A1102">
        <v>1101</v>
      </c>
      <c r="B1102" t="s">
        <v>5</v>
      </c>
      <c r="C1102" t="s">
        <v>6</v>
      </c>
      <c r="D1102">
        <v>46100.55159722222</v>
      </c>
      <c r="E1102" t="s">
        <v>7</v>
      </c>
      <c r="F1102">
        <v>46102.668657407405</v>
      </c>
    </row>
    <row r="1103" spans="1:6" x14ac:dyDescent="0.25">
      <c r="A1103">
        <v>1102</v>
      </c>
      <c r="B1103" t="s">
        <v>5</v>
      </c>
      <c r="C1103" t="s">
        <v>7</v>
      </c>
      <c r="D1103">
        <v>46100.583333333336</v>
      </c>
      <c r="E1103" t="s">
        <v>7</v>
      </c>
      <c r="F1103">
        <v>46100.697916666664</v>
      </c>
    </row>
    <row r="1104" spans="1:6" x14ac:dyDescent="0.25">
      <c r="A1104">
        <v>1103</v>
      </c>
      <c r="B1104" t="s">
        <v>5</v>
      </c>
      <c r="C1104" t="s">
        <v>6</v>
      </c>
      <c r="D1104">
        <v>46100.58625</v>
      </c>
      <c r="E1104" t="s">
        <v>8</v>
      </c>
      <c r="F1104">
        <v>46100.852141203701</v>
      </c>
    </row>
    <row r="1105" spans="1:6" x14ac:dyDescent="0.25">
      <c r="A1105">
        <v>1104</v>
      </c>
      <c r="B1105" t="s">
        <v>5</v>
      </c>
      <c r="C1105" t="s">
        <v>6</v>
      </c>
      <c r="D1105">
        <v>46100.677083333336</v>
      </c>
      <c r="E1105" t="s">
        <v>8</v>
      </c>
      <c r="F1105">
        <v>46100.772569444445</v>
      </c>
    </row>
    <row r="1106" spans="1:6" x14ac:dyDescent="0.25">
      <c r="A1106">
        <v>1105</v>
      </c>
      <c r="B1106" t="s">
        <v>5</v>
      </c>
      <c r="C1106" t="s">
        <v>7</v>
      </c>
      <c r="D1106">
        <v>46100.73541666667</v>
      </c>
      <c r="E1106" t="s">
        <v>7</v>
      </c>
      <c r="F1106">
        <v>46100.767361111109</v>
      </c>
    </row>
    <row r="1107" spans="1:6" x14ac:dyDescent="0.25">
      <c r="A1107">
        <v>1106</v>
      </c>
      <c r="B1107" t="s">
        <v>5</v>
      </c>
      <c r="C1107" t="s">
        <v>6</v>
      </c>
      <c r="D1107">
        <v>46101.306817129633</v>
      </c>
      <c r="E1107" t="s">
        <v>9</v>
      </c>
      <c r="F1107">
        <v>46101.690636574072</v>
      </c>
    </row>
    <row r="1108" spans="1:6" x14ac:dyDescent="0.25">
      <c r="A1108">
        <v>1107</v>
      </c>
      <c r="B1108" t="s">
        <v>5</v>
      </c>
      <c r="C1108" t="s">
        <v>8</v>
      </c>
      <c r="D1108">
        <v>46101.347222222219</v>
      </c>
      <c r="E1108" t="s">
        <v>7</v>
      </c>
      <c r="F1108">
        <v>46101.465277777781</v>
      </c>
    </row>
    <row r="1109" spans="1:6" x14ac:dyDescent="0.25">
      <c r="A1109">
        <v>1108</v>
      </c>
      <c r="B1109" t="s">
        <v>5</v>
      </c>
      <c r="C1109" t="s">
        <v>7</v>
      </c>
      <c r="D1109">
        <v>46101.354166666664</v>
      </c>
      <c r="E1109" t="s">
        <v>7</v>
      </c>
      <c r="F1109">
        <v>46101.489583333336</v>
      </c>
    </row>
    <row r="1110" spans="1:6" x14ac:dyDescent="0.25">
      <c r="A1110">
        <v>1109</v>
      </c>
      <c r="B1110" t="s">
        <v>5</v>
      </c>
      <c r="C1110" t="s">
        <v>7</v>
      </c>
      <c r="D1110">
        <v>46101.388888888891</v>
      </c>
      <c r="E1110" t="s">
        <v>7</v>
      </c>
      <c r="F1110">
        <v>46101.645833333336</v>
      </c>
    </row>
    <row r="1111" spans="1:6" x14ac:dyDescent="0.25">
      <c r="A1111">
        <v>1110</v>
      </c>
      <c r="B1111" t="s">
        <v>5</v>
      </c>
      <c r="C1111" t="s">
        <v>6</v>
      </c>
      <c r="D1111">
        <v>46101.427743055552</v>
      </c>
      <c r="E1111" t="s">
        <v>7</v>
      </c>
      <c r="F1111">
        <v>46101.841504629629</v>
      </c>
    </row>
    <row r="1112" spans="1:6" x14ac:dyDescent="0.25">
      <c r="A1112">
        <v>1111</v>
      </c>
      <c r="B1112" t="s">
        <v>5</v>
      </c>
      <c r="C1112" t="s">
        <v>7</v>
      </c>
      <c r="D1112">
        <v>46101.506944444445</v>
      </c>
      <c r="E1112" t="s">
        <v>7</v>
      </c>
      <c r="F1112">
        <v>46101.612500000003</v>
      </c>
    </row>
    <row r="1113" spans="1:6" x14ac:dyDescent="0.25">
      <c r="A1113">
        <v>1112</v>
      </c>
      <c r="B1113" t="s">
        <v>5</v>
      </c>
      <c r="C1113" t="s">
        <v>7</v>
      </c>
      <c r="D1113">
        <v>46101.597222222219</v>
      </c>
      <c r="E1113" t="s">
        <v>7</v>
      </c>
      <c r="F1113">
        <v>46101.65625</v>
      </c>
    </row>
    <row r="1114" spans="1:6" x14ac:dyDescent="0.25">
      <c r="A1114">
        <v>1113</v>
      </c>
      <c r="B1114" t="s">
        <v>5</v>
      </c>
      <c r="C1114" t="s">
        <v>7</v>
      </c>
      <c r="D1114">
        <v>46101.604166666664</v>
      </c>
      <c r="E1114" t="s">
        <v>7</v>
      </c>
      <c r="F1114">
        <v>46101.756944444445</v>
      </c>
    </row>
    <row r="1115" spans="1:6" x14ac:dyDescent="0.25">
      <c r="A1115">
        <v>1114</v>
      </c>
      <c r="B1115" t="s">
        <v>5</v>
      </c>
      <c r="C1115" t="s">
        <v>6</v>
      </c>
      <c r="D1115">
        <v>46101.650081018517</v>
      </c>
      <c r="E1115" t="s">
        <v>7</v>
      </c>
      <c r="F1115">
        <v>46101.943842592591</v>
      </c>
    </row>
    <row r="1116" spans="1:6" x14ac:dyDescent="0.25">
      <c r="A1116">
        <v>1115</v>
      </c>
      <c r="B1116" t="s">
        <v>5</v>
      </c>
      <c r="C1116" t="s">
        <v>7</v>
      </c>
      <c r="D1116">
        <v>46101.729166666664</v>
      </c>
      <c r="E1116" t="s">
        <v>8</v>
      </c>
      <c r="F1116">
        <v>46101.861111111109</v>
      </c>
    </row>
    <row r="1117" spans="1:6" x14ac:dyDescent="0.25">
      <c r="A1117">
        <v>1116</v>
      </c>
      <c r="B1117" t="s">
        <v>5</v>
      </c>
      <c r="C1117" t="s">
        <v>8</v>
      </c>
      <c r="D1117">
        <v>46101.75</v>
      </c>
      <c r="E1117" t="s">
        <v>8</v>
      </c>
      <c r="F1117">
        <v>46101.885416666664</v>
      </c>
    </row>
    <row r="1118" spans="1:6" x14ac:dyDescent="0.25">
      <c r="A1118">
        <v>1117</v>
      </c>
      <c r="B1118" t="s">
        <v>5</v>
      </c>
      <c r="C1118" t="s">
        <v>6</v>
      </c>
      <c r="D1118">
        <v>46101.901932870373</v>
      </c>
      <c r="E1118" t="s">
        <v>8</v>
      </c>
      <c r="F1118">
        <v>46102.272303240738</v>
      </c>
    </row>
    <row r="1119" spans="1:6" x14ac:dyDescent="0.25">
      <c r="A1119">
        <v>1118</v>
      </c>
      <c r="B1119" t="s">
        <v>5</v>
      </c>
      <c r="C1119" t="s">
        <v>7</v>
      </c>
      <c r="D1119">
        <v>46102.363194444442</v>
      </c>
      <c r="E1119" t="s">
        <v>7</v>
      </c>
      <c r="F1119">
        <v>46102.402777777781</v>
      </c>
    </row>
    <row r="1120" spans="1:6" x14ac:dyDescent="0.25">
      <c r="A1120">
        <v>1119</v>
      </c>
      <c r="B1120" t="s">
        <v>5</v>
      </c>
      <c r="C1120" t="s">
        <v>10</v>
      </c>
      <c r="D1120">
        <v>46102.368055555555</v>
      </c>
      <c r="E1120" t="s">
        <v>10</v>
      </c>
      <c r="F1120">
        <v>46105.528009259258</v>
      </c>
    </row>
    <row r="1121" spans="1:6" x14ac:dyDescent="0.25">
      <c r="A1121">
        <v>1120</v>
      </c>
      <c r="B1121" t="s">
        <v>5</v>
      </c>
      <c r="C1121" t="s">
        <v>7</v>
      </c>
      <c r="D1121">
        <v>46102.472222222219</v>
      </c>
      <c r="E1121" t="s">
        <v>8</v>
      </c>
      <c r="F1121">
        <v>46102.510416666664</v>
      </c>
    </row>
    <row r="1122" spans="1:6" x14ac:dyDescent="0.25">
      <c r="A1122">
        <v>1121</v>
      </c>
      <c r="B1122" t="s">
        <v>5</v>
      </c>
      <c r="C1122" t="s">
        <v>6</v>
      </c>
      <c r="D1122">
        <v>46102.474050925928</v>
      </c>
      <c r="E1122" t="s">
        <v>7</v>
      </c>
      <c r="F1122">
        <v>46102.750150462962</v>
      </c>
    </row>
    <row r="1123" spans="1:6" x14ac:dyDescent="0.25">
      <c r="A1123">
        <v>1122</v>
      </c>
      <c r="B1123" t="s">
        <v>5</v>
      </c>
      <c r="C1123" t="s">
        <v>7</v>
      </c>
      <c r="D1123">
        <v>46102.524305555555</v>
      </c>
      <c r="E1123" t="s">
        <v>7</v>
      </c>
      <c r="F1123">
        <v>46102.565972222219</v>
      </c>
    </row>
    <row r="1124" spans="1:6" x14ac:dyDescent="0.25">
      <c r="A1124">
        <v>1123</v>
      </c>
      <c r="B1124" t="s">
        <v>5</v>
      </c>
      <c r="C1124" t="s">
        <v>6</v>
      </c>
      <c r="D1124">
        <v>46102.617893518516</v>
      </c>
      <c r="E1124" t="s">
        <v>7</v>
      </c>
      <c r="F1124">
        <v>46103.302800925929</v>
      </c>
    </row>
    <row r="1125" spans="1:6" x14ac:dyDescent="0.25">
      <c r="A1125">
        <v>1124</v>
      </c>
      <c r="B1125" t="s">
        <v>5</v>
      </c>
      <c r="C1125" t="s">
        <v>6</v>
      </c>
      <c r="D1125">
        <v>46102.631944444445</v>
      </c>
      <c r="E1125" t="s">
        <v>7</v>
      </c>
      <c r="F1125">
        <v>46102.680555555555</v>
      </c>
    </row>
    <row r="1126" spans="1:6" x14ac:dyDescent="0.25">
      <c r="A1126">
        <v>1125</v>
      </c>
      <c r="B1126" t="s">
        <v>5</v>
      </c>
      <c r="C1126" t="s">
        <v>6</v>
      </c>
      <c r="D1126">
        <v>46102.71912037037</v>
      </c>
      <c r="E1126" t="s">
        <v>9</v>
      </c>
      <c r="F1126">
        <v>46103.490324074075</v>
      </c>
    </row>
    <row r="1127" spans="1:6" x14ac:dyDescent="0.25">
      <c r="A1127">
        <v>1126</v>
      </c>
      <c r="B1127" t="s">
        <v>5</v>
      </c>
      <c r="C1127" t="s">
        <v>8</v>
      </c>
      <c r="D1127">
        <v>46102.722222222219</v>
      </c>
      <c r="E1127" t="s">
        <v>10</v>
      </c>
      <c r="F1127">
        <v>46102.763888888891</v>
      </c>
    </row>
    <row r="1128" spans="1:6" x14ac:dyDescent="0.25">
      <c r="A1128">
        <v>1127</v>
      </c>
      <c r="B1128" t="s">
        <v>5</v>
      </c>
      <c r="C1128" t="s">
        <v>6</v>
      </c>
      <c r="D1128">
        <v>46102.86818287037</v>
      </c>
      <c r="E1128" t="s">
        <v>7</v>
      </c>
      <c r="F1128">
        <v>46103.398009259261</v>
      </c>
    </row>
    <row r="1129" spans="1:6" x14ac:dyDescent="0.25">
      <c r="A1129">
        <v>1128</v>
      </c>
      <c r="B1129" t="s">
        <v>5</v>
      </c>
      <c r="C1129" t="s">
        <v>6</v>
      </c>
      <c r="D1129">
        <v>46102.983078703706</v>
      </c>
      <c r="E1129" t="s">
        <v>7</v>
      </c>
      <c r="F1129">
        <v>46104.587025462963</v>
      </c>
    </row>
    <row r="1130" spans="1:6" x14ac:dyDescent="0.25">
      <c r="A1130">
        <v>1129</v>
      </c>
      <c r="B1130" t="s">
        <v>5</v>
      </c>
      <c r="C1130" t="s">
        <v>6</v>
      </c>
      <c r="D1130">
        <v>46103.022164351853</v>
      </c>
      <c r="E1130" t="s">
        <v>7</v>
      </c>
      <c r="F1130">
        <v>46103.742685185185</v>
      </c>
    </row>
    <row r="1131" spans="1:6" x14ac:dyDescent="0.25">
      <c r="A1131">
        <v>1130</v>
      </c>
      <c r="B1131" t="s">
        <v>5</v>
      </c>
      <c r="C1131" t="s">
        <v>6</v>
      </c>
      <c r="D1131">
        <v>46103.045439814814</v>
      </c>
      <c r="E1131" t="s">
        <v>7</v>
      </c>
      <c r="F1131">
        <v>46104.622303240743</v>
      </c>
    </row>
    <row r="1132" spans="1:6" x14ac:dyDescent="0.25">
      <c r="A1132">
        <v>1131</v>
      </c>
      <c r="B1132" t="s">
        <v>5</v>
      </c>
      <c r="C1132" t="s">
        <v>7</v>
      </c>
      <c r="D1132">
        <v>46103.252013888887</v>
      </c>
      <c r="E1132" t="s">
        <v>7</v>
      </c>
      <c r="F1132">
        <v>46104.895983796298</v>
      </c>
    </row>
    <row r="1133" spans="1:6" x14ac:dyDescent="0.25">
      <c r="A1133">
        <v>1132</v>
      </c>
      <c r="B1133" t="s">
        <v>5</v>
      </c>
      <c r="C1133" t="s">
        <v>7</v>
      </c>
      <c r="D1133">
        <v>46103.427083333336</v>
      </c>
      <c r="E1133" t="s">
        <v>7</v>
      </c>
      <c r="F1133">
        <v>46103.458333333336</v>
      </c>
    </row>
    <row r="1134" spans="1:6" x14ac:dyDescent="0.25">
      <c r="A1134">
        <v>1133</v>
      </c>
      <c r="B1134" t="s">
        <v>5</v>
      </c>
      <c r="C1134" t="s">
        <v>7</v>
      </c>
      <c r="D1134">
        <v>46103.447916666664</v>
      </c>
      <c r="E1134" t="s">
        <v>7</v>
      </c>
      <c r="F1134">
        <v>46103.493055555555</v>
      </c>
    </row>
    <row r="1135" spans="1:6" x14ac:dyDescent="0.25">
      <c r="A1135">
        <v>1134</v>
      </c>
      <c r="B1135" t="s">
        <v>5</v>
      </c>
      <c r="C1135" t="s">
        <v>7</v>
      </c>
      <c r="D1135">
        <v>46103.479166666664</v>
      </c>
      <c r="E1135" t="s">
        <v>7</v>
      </c>
      <c r="F1135">
        <v>46103.507638888892</v>
      </c>
    </row>
    <row r="1136" spans="1:6" x14ac:dyDescent="0.25">
      <c r="A1136">
        <v>1135</v>
      </c>
      <c r="B1136" t="s">
        <v>5</v>
      </c>
      <c r="C1136" t="s">
        <v>6</v>
      </c>
      <c r="D1136">
        <v>46103.595960648148</v>
      </c>
      <c r="E1136" t="s">
        <v>7</v>
      </c>
      <c r="F1136">
        <v>46103.74695601852</v>
      </c>
    </row>
    <row r="1137" spans="1:6" x14ac:dyDescent="0.25">
      <c r="A1137">
        <v>1136</v>
      </c>
      <c r="B1137" t="s">
        <v>5</v>
      </c>
      <c r="C1137" t="s">
        <v>6</v>
      </c>
      <c r="D1137">
        <v>46103.651875000003</v>
      </c>
      <c r="E1137" t="s">
        <v>7</v>
      </c>
      <c r="F1137">
        <v>46105.745486111111</v>
      </c>
    </row>
    <row r="1138" spans="1:6" x14ac:dyDescent="0.25">
      <c r="A1138">
        <v>1137</v>
      </c>
      <c r="B1138" t="s">
        <v>5</v>
      </c>
      <c r="C1138" t="s">
        <v>6</v>
      </c>
      <c r="D1138">
        <v>46103.665486111109</v>
      </c>
      <c r="E1138" t="s">
        <v>7</v>
      </c>
      <c r="F1138">
        <v>46105.672303240739</v>
      </c>
    </row>
    <row r="1139" spans="1:6" x14ac:dyDescent="0.25">
      <c r="A1139">
        <v>1138</v>
      </c>
      <c r="B1139" t="s">
        <v>5</v>
      </c>
      <c r="C1139" t="s">
        <v>6</v>
      </c>
      <c r="D1139">
        <v>46103.73159722222</v>
      </c>
      <c r="E1139" t="s">
        <v>7</v>
      </c>
      <c r="F1139">
        <v>46105.680752314816</v>
      </c>
    </row>
    <row r="1140" spans="1:6" x14ac:dyDescent="0.25">
      <c r="A1140">
        <v>1139</v>
      </c>
      <c r="B1140" t="s">
        <v>5</v>
      </c>
      <c r="C1140" t="s">
        <v>8</v>
      </c>
      <c r="D1140">
        <v>46103.833333333336</v>
      </c>
      <c r="E1140" t="s">
        <v>8</v>
      </c>
      <c r="F1140">
        <v>46103.895833333336</v>
      </c>
    </row>
    <row r="1141" spans="1:6" x14ac:dyDescent="0.25">
      <c r="A1141">
        <v>1140</v>
      </c>
      <c r="B1141" t="s">
        <v>5</v>
      </c>
      <c r="C1141" t="s">
        <v>10</v>
      </c>
      <c r="D1141">
        <v>46103.970034722224</v>
      </c>
      <c r="E1141" t="s">
        <v>10</v>
      </c>
      <c r="F1141">
        <v>46105.690127314818</v>
      </c>
    </row>
    <row r="1142" spans="1:6" x14ac:dyDescent="0.25">
      <c r="A1142">
        <v>1141</v>
      </c>
      <c r="B1142" t="s">
        <v>5</v>
      </c>
      <c r="C1142" t="s">
        <v>6</v>
      </c>
      <c r="D1142">
        <v>46104.032511574071</v>
      </c>
      <c r="E1142" t="s">
        <v>7</v>
      </c>
      <c r="F1142">
        <v>46104.635925925926</v>
      </c>
    </row>
    <row r="1143" spans="1:6" x14ac:dyDescent="0.25">
      <c r="A1143">
        <v>1142</v>
      </c>
      <c r="B1143" t="s">
        <v>5</v>
      </c>
      <c r="C1143" t="s">
        <v>6</v>
      </c>
      <c r="D1143">
        <v>46104.329861111109</v>
      </c>
      <c r="E1143" t="s">
        <v>7</v>
      </c>
      <c r="F1143">
        <v>46104.4375</v>
      </c>
    </row>
    <row r="1144" spans="1:6" x14ac:dyDescent="0.25">
      <c r="A1144">
        <v>1143</v>
      </c>
      <c r="B1144" t="s">
        <v>5</v>
      </c>
      <c r="C1144" t="s">
        <v>7</v>
      </c>
      <c r="D1144">
        <v>46104.347222222219</v>
      </c>
      <c r="E1144" t="s">
        <v>7</v>
      </c>
      <c r="F1144">
        <v>46104.447916666664</v>
      </c>
    </row>
    <row r="1145" spans="1:6" x14ac:dyDescent="0.25">
      <c r="A1145">
        <v>1144</v>
      </c>
      <c r="B1145" t="s">
        <v>5</v>
      </c>
      <c r="C1145" t="s">
        <v>7</v>
      </c>
      <c r="D1145">
        <v>46104.408356481479</v>
      </c>
      <c r="E1145" t="s">
        <v>8</v>
      </c>
      <c r="F1145">
        <v>46107.727361111109</v>
      </c>
    </row>
    <row r="1146" spans="1:6" x14ac:dyDescent="0.25">
      <c r="A1146">
        <v>1145</v>
      </c>
      <c r="B1146" t="s">
        <v>5</v>
      </c>
      <c r="C1146" t="s">
        <v>12</v>
      </c>
      <c r="D1146">
        <v>46104.438888888886</v>
      </c>
      <c r="E1146" t="s">
        <v>12</v>
      </c>
      <c r="F1146">
        <v>46104.513888888891</v>
      </c>
    </row>
    <row r="1147" spans="1:6" x14ac:dyDescent="0.25">
      <c r="A1147">
        <v>1146</v>
      </c>
      <c r="B1147" t="s">
        <v>5</v>
      </c>
      <c r="C1147" t="s">
        <v>6</v>
      </c>
      <c r="D1147">
        <v>46104.451388888891</v>
      </c>
      <c r="E1147" t="s">
        <v>7</v>
      </c>
      <c r="F1147">
        <v>46104.583333333336</v>
      </c>
    </row>
    <row r="1148" spans="1:6" x14ac:dyDescent="0.25">
      <c r="A1148">
        <v>1147</v>
      </c>
      <c r="B1148" t="s">
        <v>5</v>
      </c>
      <c r="C1148" t="s">
        <v>7</v>
      </c>
      <c r="D1148">
        <v>46104.513888888891</v>
      </c>
      <c r="E1148" t="s">
        <v>8</v>
      </c>
      <c r="F1148">
        <v>46104.552083333336</v>
      </c>
    </row>
    <row r="1149" spans="1:6" x14ac:dyDescent="0.25">
      <c r="A1149">
        <v>1148</v>
      </c>
      <c r="B1149" t="s">
        <v>5</v>
      </c>
      <c r="C1149" t="s">
        <v>7</v>
      </c>
      <c r="D1149">
        <v>46104.534722222219</v>
      </c>
      <c r="E1149" t="s">
        <v>7</v>
      </c>
      <c r="F1149">
        <v>46104.5625</v>
      </c>
    </row>
    <row r="1150" spans="1:6" x14ac:dyDescent="0.25">
      <c r="A1150">
        <v>1149</v>
      </c>
      <c r="B1150" t="s">
        <v>5</v>
      </c>
      <c r="C1150" t="s">
        <v>8</v>
      </c>
      <c r="D1150">
        <v>46104.583333333336</v>
      </c>
      <c r="E1150" t="s">
        <v>10</v>
      </c>
      <c r="F1150">
        <v>46104.704861111109</v>
      </c>
    </row>
    <row r="1151" spans="1:6" x14ac:dyDescent="0.25">
      <c r="A1151">
        <v>1150</v>
      </c>
      <c r="B1151" t="s">
        <v>5</v>
      </c>
      <c r="C1151" t="s">
        <v>7</v>
      </c>
      <c r="D1151">
        <v>46104.659722222219</v>
      </c>
      <c r="E1151" t="s">
        <v>7</v>
      </c>
      <c r="F1151">
        <v>46104.774305555555</v>
      </c>
    </row>
    <row r="1152" spans="1:6" x14ac:dyDescent="0.25">
      <c r="A1152">
        <v>1151</v>
      </c>
      <c r="B1152" t="s">
        <v>5</v>
      </c>
      <c r="C1152" t="s">
        <v>7</v>
      </c>
      <c r="D1152">
        <v>46104.680555555555</v>
      </c>
      <c r="E1152" t="s">
        <v>7</v>
      </c>
      <c r="F1152">
        <v>46104.732638888891</v>
      </c>
    </row>
    <row r="1153" spans="1:6" x14ac:dyDescent="0.25">
      <c r="A1153">
        <v>1152</v>
      </c>
      <c r="B1153" t="s">
        <v>5</v>
      </c>
      <c r="C1153" t="s">
        <v>10</v>
      </c>
      <c r="D1153">
        <v>46104.701388888891</v>
      </c>
      <c r="E1153" t="s">
        <v>10</v>
      </c>
      <c r="F1153">
        <v>46104.739583333336</v>
      </c>
    </row>
    <row r="1154" spans="1:6" x14ac:dyDescent="0.25">
      <c r="A1154">
        <v>1153</v>
      </c>
      <c r="B1154" t="s">
        <v>5</v>
      </c>
      <c r="C1154" t="s">
        <v>8</v>
      </c>
      <c r="D1154">
        <v>46104.71875</v>
      </c>
      <c r="E1154" t="s">
        <v>8</v>
      </c>
      <c r="F1154">
        <v>46104.791666666664</v>
      </c>
    </row>
    <row r="1155" spans="1:6" x14ac:dyDescent="0.25">
      <c r="A1155">
        <v>1154</v>
      </c>
      <c r="B1155" t="s">
        <v>5</v>
      </c>
      <c r="C1155" t="s">
        <v>6</v>
      </c>
      <c r="D1155">
        <v>46104.770833333336</v>
      </c>
      <c r="E1155" t="s">
        <v>7</v>
      </c>
      <c r="F1155">
        <v>46104.779166666667</v>
      </c>
    </row>
    <row r="1156" spans="1:6" x14ac:dyDescent="0.25">
      <c r="A1156">
        <v>1155</v>
      </c>
      <c r="B1156" t="s">
        <v>5</v>
      </c>
      <c r="C1156" t="s">
        <v>6</v>
      </c>
      <c r="D1156">
        <v>46104.78125</v>
      </c>
      <c r="E1156" t="s">
        <v>7</v>
      </c>
      <c r="F1156">
        <v>46107.733981481484</v>
      </c>
    </row>
    <row r="1157" spans="1:6" x14ac:dyDescent="0.25">
      <c r="A1157">
        <v>1156</v>
      </c>
      <c r="B1157" t="s">
        <v>5</v>
      </c>
      <c r="C1157" t="s">
        <v>6</v>
      </c>
      <c r="D1157">
        <v>46104.906921296293</v>
      </c>
      <c r="E1157" t="s">
        <v>9</v>
      </c>
      <c r="F1157">
        <v>46105.538101851853</v>
      </c>
    </row>
    <row r="1158" spans="1:6" x14ac:dyDescent="0.25">
      <c r="A1158">
        <v>1157</v>
      </c>
      <c r="B1158" t="s">
        <v>5</v>
      </c>
      <c r="C1158" t="s">
        <v>6</v>
      </c>
      <c r="D1158">
        <v>46105.285000000003</v>
      </c>
      <c r="E1158" t="s">
        <v>7</v>
      </c>
      <c r="F1158">
        <v>46105.669861111113</v>
      </c>
    </row>
    <row r="1159" spans="1:6" x14ac:dyDescent="0.25">
      <c r="A1159">
        <v>1158</v>
      </c>
      <c r="B1159" t="s">
        <v>5</v>
      </c>
      <c r="C1159" t="s">
        <v>10</v>
      </c>
      <c r="D1159">
        <v>46105.302083333336</v>
      </c>
      <c r="E1159" t="s">
        <v>10</v>
      </c>
      <c r="F1159">
        <v>46105.3125</v>
      </c>
    </row>
    <row r="1160" spans="1:6" x14ac:dyDescent="0.25">
      <c r="A1160">
        <v>1159</v>
      </c>
      <c r="B1160" t="s">
        <v>5</v>
      </c>
      <c r="C1160" t="s">
        <v>6</v>
      </c>
      <c r="D1160">
        <v>46105.306157407409</v>
      </c>
      <c r="E1160" t="s">
        <v>7</v>
      </c>
      <c r="F1160">
        <v>46105.637488425928</v>
      </c>
    </row>
    <row r="1161" spans="1:6" x14ac:dyDescent="0.25">
      <c r="A1161">
        <v>1160</v>
      </c>
      <c r="B1161" t="s">
        <v>5</v>
      </c>
      <c r="C1161" t="s">
        <v>6</v>
      </c>
      <c r="D1161">
        <v>46105.308935185189</v>
      </c>
      <c r="E1161" t="s">
        <v>7</v>
      </c>
      <c r="F1161">
        <v>46106.761203703703</v>
      </c>
    </row>
    <row r="1162" spans="1:6" x14ac:dyDescent="0.25">
      <c r="A1162">
        <v>1161</v>
      </c>
      <c r="B1162" t="s">
        <v>5</v>
      </c>
      <c r="C1162" t="s">
        <v>7</v>
      </c>
      <c r="D1162">
        <v>46105.315972222219</v>
      </c>
      <c r="E1162" t="s">
        <v>10</v>
      </c>
      <c r="F1162">
        <v>46105.388888888891</v>
      </c>
    </row>
    <row r="1163" spans="1:6" x14ac:dyDescent="0.25">
      <c r="A1163">
        <v>1162</v>
      </c>
      <c r="B1163" t="s">
        <v>5</v>
      </c>
      <c r="C1163" t="s">
        <v>7</v>
      </c>
      <c r="D1163">
        <v>46105.395833333336</v>
      </c>
      <c r="E1163" t="s">
        <v>7</v>
      </c>
      <c r="F1163">
        <v>46105.416666666664</v>
      </c>
    </row>
    <row r="1164" spans="1:6" x14ac:dyDescent="0.25">
      <c r="A1164">
        <v>1163</v>
      </c>
      <c r="B1164" t="s">
        <v>5</v>
      </c>
      <c r="C1164" t="s">
        <v>10</v>
      </c>
      <c r="D1164">
        <v>46105.450509259259</v>
      </c>
      <c r="E1164" t="s">
        <v>10</v>
      </c>
      <c r="F1164">
        <v>46106.42931712963</v>
      </c>
    </row>
    <row r="1165" spans="1:6" x14ac:dyDescent="0.25">
      <c r="A1165">
        <v>1164</v>
      </c>
      <c r="B1165" t="s">
        <v>5</v>
      </c>
      <c r="C1165" t="s">
        <v>7</v>
      </c>
      <c r="D1165">
        <v>46105.541666666664</v>
      </c>
      <c r="E1165" t="s">
        <v>7</v>
      </c>
      <c r="F1165">
        <v>46105.670138888891</v>
      </c>
    </row>
    <row r="1166" spans="1:6" x14ac:dyDescent="0.25">
      <c r="A1166">
        <v>1165</v>
      </c>
      <c r="B1166" t="s">
        <v>5</v>
      </c>
      <c r="C1166" t="s">
        <v>7</v>
      </c>
      <c r="D1166">
        <v>46105.565972222219</v>
      </c>
      <c r="E1166" t="s">
        <v>7</v>
      </c>
      <c r="F1166">
        <v>46105.614583333336</v>
      </c>
    </row>
    <row r="1167" spans="1:6" x14ac:dyDescent="0.25">
      <c r="A1167">
        <v>1166</v>
      </c>
      <c r="B1167" t="s">
        <v>5</v>
      </c>
      <c r="C1167" t="s">
        <v>6</v>
      </c>
      <c r="D1167">
        <v>46105.59375</v>
      </c>
      <c r="E1167" t="s">
        <v>10</v>
      </c>
      <c r="F1167">
        <v>46105.638888888891</v>
      </c>
    </row>
    <row r="1168" spans="1:6" x14ac:dyDescent="0.25">
      <c r="A1168">
        <v>1167</v>
      </c>
      <c r="B1168" t="s">
        <v>5</v>
      </c>
      <c r="C1168" t="s">
        <v>8</v>
      </c>
      <c r="D1168">
        <v>46105.625</v>
      </c>
      <c r="E1168" t="s">
        <v>7</v>
      </c>
      <c r="F1168">
        <v>46105.739583333336</v>
      </c>
    </row>
    <row r="1169" spans="1:6" x14ac:dyDescent="0.25">
      <c r="A1169">
        <v>1168</v>
      </c>
      <c r="B1169" t="s">
        <v>5</v>
      </c>
      <c r="C1169" t="s">
        <v>7</v>
      </c>
      <c r="D1169">
        <v>46105.670138888891</v>
      </c>
      <c r="E1169" t="s">
        <v>7</v>
      </c>
      <c r="F1169">
        <v>46105.711805555555</v>
      </c>
    </row>
    <row r="1170" spans="1:6" x14ac:dyDescent="0.25">
      <c r="A1170">
        <v>1169</v>
      </c>
      <c r="B1170" t="s">
        <v>5</v>
      </c>
      <c r="C1170" t="s">
        <v>7</v>
      </c>
      <c r="D1170">
        <v>46105.680555555555</v>
      </c>
      <c r="E1170" t="s">
        <v>7</v>
      </c>
      <c r="F1170">
        <v>46105.777777777781</v>
      </c>
    </row>
    <row r="1171" spans="1:6" x14ac:dyDescent="0.25">
      <c r="A1171">
        <v>1170</v>
      </c>
      <c r="B1171" t="s">
        <v>5</v>
      </c>
      <c r="C1171" t="s">
        <v>6</v>
      </c>
      <c r="D1171">
        <v>46105.701296296298</v>
      </c>
      <c r="E1171" t="s">
        <v>7</v>
      </c>
      <c r="F1171">
        <v>46106.708865740744</v>
      </c>
    </row>
    <row r="1172" spans="1:6" x14ac:dyDescent="0.25">
      <c r="A1172">
        <v>1171</v>
      </c>
      <c r="B1172" t="s">
        <v>5</v>
      </c>
      <c r="C1172" t="s">
        <v>10</v>
      </c>
      <c r="D1172">
        <v>46105.758333333331</v>
      </c>
      <c r="E1172" t="s">
        <v>6</v>
      </c>
      <c r="F1172">
        <v>46105.785416666666</v>
      </c>
    </row>
    <row r="1173" spans="1:6" x14ac:dyDescent="0.25">
      <c r="A1173">
        <v>1172</v>
      </c>
      <c r="B1173" t="s">
        <v>5</v>
      </c>
      <c r="C1173" t="s">
        <v>6</v>
      </c>
      <c r="D1173">
        <v>46105.770486111112</v>
      </c>
      <c r="E1173" t="s">
        <v>7</v>
      </c>
      <c r="F1173">
        <v>46107.565185185187</v>
      </c>
    </row>
    <row r="1174" spans="1:6" x14ac:dyDescent="0.25">
      <c r="A1174">
        <v>1173</v>
      </c>
      <c r="B1174" t="s">
        <v>5</v>
      </c>
      <c r="C1174" t="s">
        <v>6</v>
      </c>
      <c r="D1174">
        <v>46106.153333333335</v>
      </c>
      <c r="E1174" t="s">
        <v>7</v>
      </c>
      <c r="F1174">
        <v>46107.690428240741</v>
      </c>
    </row>
    <row r="1175" spans="1:6" x14ac:dyDescent="0.25">
      <c r="A1175">
        <v>1174</v>
      </c>
      <c r="B1175" t="s">
        <v>5</v>
      </c>
      <c r="C1175" t="s">
        <v>6</v>
      </c>
      <c r="D1175">
        <v>46106.306168981479</v>
      </c>
      <c r="E1175" t="s">
        <v>7</v>
      </c>
      <c r="F1175">
        <v>46106.615856481483</v>
      </c>
    </row>
    <row r="1176" spans="1:6" x14ac:dyDescent="0.25">
      <c r="A1176">
        <v>1175</v>
      </c>
      <c r="B1176" t="s">
        <v>5</v>
      </c>
      <c r="C1176" t="s">
        <v>6</v>
      </c>
      <c r="D1176">
        <v>46106.307303240741</v>
      </c>
      <c r="E1176" t="s">
        <v>7</v>
      </c>
      <c r="F1176">
        <v>46106.953958333332</v>
      </c>
    </row>
    <row r="1177" spans="1:6" x14ac:dyDescent="0.25">
      <c r="A1177">
        <v>1176</v>
      </c>
      <c r="B1177" t="s">
        <v>5</v>
      </c>
      <c r="C1177" t="s">
        <v>7</v>
      </c>
      <c r="D1177">
        <v>46106.350694444445</v>
      </c>
      <c r="E1177" t="s">
        <v>10</v>
      </c>
      <c r="F1177">
        <v>46106.423611111109</v>
      </c>
    </row>
    <row r="1178" spans="1:6" x14ac:dyDescent="0.25">
      <c r="A1178">
        <v>1177</v>
      </c>
      <c r="B1178" t="s">
        <v>5</v>
      </c>
      <c r="C1178" t="s">
        <v>12</v>
      </c>
      <c r="D1178">
        <v>46106.354166666664</v>
      </c>
      <c r="E1178" t="s">
        <v>7</v>
      </c>
      <c r="F1178">
        <v>46106.443055555559</v>
      </c>
    </row>
    <row r="1179" spans="1:6" x14ac:dyDescent="0.25">
      <c r="A1179">
        <v>1178</v>
      </c>
      <c r="B1179" t="s">
        <v>5</v>
      </c>
      <c r="C1179" t="s">
        <v>7</v>
      </c>
      <c r="D1179">
        <v>46106.361111111109</v>
      </c>
      <c r="E1179" t="s">
        <v>8</v>
      </c>
      <c r="F1179">
        <v>46106.6875</v>
      </c>
    </row>
    <row r="1180" spans="1:6" x14ac:dyDescent="0.25">
      <c r="A1180">
        <v>1179</v>
      </c>
      <c r="B1180" t="s">
        <v>5</v>
      </c>
      <c r="C1180" t="s">
        <v>6</v>
      </c>
      <c r="D1180">
        <v>46106.463634259257</v>
      </c>
      <c r="E1180" t="s">
        <v>7</v>
      </c>
      <c r="F1180">
        <v>46106.708495370367</v>
      </c>
    </row>
    <row r="1181" spans="1:6" x14ac:dyDescent="0.25">
      <c r="A1181">
        <v>1180</v>
      </c>
      <c r="B1181" t="s">
        <v>5</v>
      </c>
      <c r="C1181" t="s">
        <v>6</v>
      </c>
      <c r="D1181">
        <v>46106.531215277777</v>
      </c>
      <c r="E1181" t="s">
        <v>7</v>
      </c>
      <c r="F1181">
        <v>46107.914351851854</v>
      </c>
    </row>
    <row r="1182" spans="1:6" x14ac:dyDescent="0.25">
      <c r="A1182">
        <v>1181</v>
      </c>
      <c r="B1182" t="s">
        <v>5</v>
      </c>
      <c r="C1182" t="s">
        <v>7</v>
      </c>
      <c r="D1182">
        <v>46106.555555555555</v>
      </c>
      <c r="E1182" t="s">
        <v>8</v>
      </c>
      <c r="F1182">
        <v>46106.753472222219</v>
      </c>
    </row>
    <row r="1183" spans="1:6" x14ac:dyDescent="0.25">
      <c r="A1183">
        <v>1182</v>
      </c>
      <c r="B1183" t="s">
        <v>5</v>
      </c>
      <c r="C1183" t="s">
        <v>6</v>
      </c>
      <c r="D1183">
        <v>46106.614745370367</v>
      </c>
      <c r="E1183" t="s">
        <v>7</v>
      </c>
      <c r="F1183">
        <v>46106.939421296294</v>
      </c>
    </row>
    <row r="1184" spans="1:6" x14ac:dyDescent="0.25">
      <c r="A1184">
        <v>1183</v>
      </c>
      <c r="B1184" t="s">
        <v>5</v>
      </c>
      <c r="C1184" t="s">
        <v>6</v>
      </c>
      <c r="D1184">
        <v>46106.629965277774</v>
      </c>
      <c r="E1184" t="s">
        <v>7</v>
      </c>
      <c r="F1184">
        <v>46106.869375000002</v>
      </c>
    </row>
    <row r="1185" spans="1:6" x14ac:dyDescent="0.25">
      <c r="A1185">
        <v>1184</v>
      </c>
      <c r="B1185" t="s">
        <v>5</v>
      </c>
      <c r="C1185" t="s">
        <v>7</v>
      </c>
      <c r="D1185">
        <v>46106.645833333336</v>
      </c>
      <c r="E1185" t="s">
        <v>8</v>
      </c>
      <c r="F1185">
        <v>46106.722222222219</v>
      </c>
    </row>
    <row r="1186" spans="1:6" x14ac:dyDescent="0.25">
      <c r="A1186">
        <v>1185</v>
      </c>
      <c r="B1186" t="s">
        <v>5</v>
      </c>
      <c r="C1186" t="s">
        <v>7</v>
      </c>
      <c r="D1186">
        <v>46106.75</v>
      </c>
      <c r="E1186" t="s">
        <v>7</v>
      </c>
      <c r="F1186">
        <v>46106.784722222219</v>
      </c>
    </row>
    <row r="1187" spans="1:6" x14ac:dyDescent="0.25">
      <c r="A1187">
        <v>1186</v>
      </c>
      <c r="B1187" t="s">
        <v>5</v>
      </c>
      <c r="C1187" t="s">
        <v>6</v>
      </c>
      <c r="D1187">
        <v>46106.763888888891</v>
      </c>
      <c r="E1187" t="s">
        <v>7</v>
      </c>
      <c r="F1187">
        <v>46106.791666666664</v>
      </c>
    </row>
    <row r="1188" spans="1:6" x14ac:dyDescent="0.25">
      <c r="A1188">
        <v>1187</v>
      </c>
      <c r="B1188" t="s">
        <v>5</v>
      </c>
      <c r="C1188" t="s">
        <v>6</v>
      </c>
      <c r="D1188">
        <v>46106.888495370367</v>
      </c>
      <c r="E1188" t="s">
        <v>7</v>
      </c>
      <c r="F1188">
        <v>46107.031331018516</v>
      </c>
    </row>
    <row r="1189" spans="1:6" x14ac:dyDescent="0.25">
      <c r="A1189">
        <v>1188</v>
      </c>
      <c r="B1189" t="s">
        <v>5</v>
      </c>
      <c r="C1189" t="s">
        <v>6</v>
      </c>
      <c r="D1189">
        <v>46106.889236111114</v>
      </c>
      <c r="E1189" t="s">
        <v>7</v>
      </c>
      <c r="F1189">
        <v>46108.569097222222</v>
      </c>
    </row>
    <row r="1190" spans="1:6" x14ac:dyDescent="0.25">
      <c r="A1190">
        <v>1189</v>
      </c>
      <c r="B1190" t="s">
        <v>5</v>
      </c>
      <c r="C1190" t="s">
        <v>6</v>
      </c>
      <c r="D1190">
        <v>46106.978761574072</v>
      </c>
      <c r="E1190" t="s">
        <v>7</v>
      </c>
      <c r="F1190">
        <v>46107.583425925928</v>
      </c>
    </row>
    <row r="1191" spans="1:6" x14ac:dyDescent="0.25">
      <c r="A1191">
        <v>1190</v>
      </c>
      <c r="B1191" t="s">
        <v>5</v>
      </c>
      <c r="C1191" t="s">
        <v>6</v>
      </c>
      <c r="D1191">
        <v>46107.276724537034</v>
      </c>
      <c r="E1191" t="s">
        <v>9</v>
      </c>
      <c r="F1191">
        <v>46107.365717592591</v>
      </c>
    </row>
    <row r="1192" spans="1:6" x14ac:dyDescent="0.25">
      <c r="A1192">
        <v>1191</v>
      </c>
      <c r="B1192" t="s">
        <v>5</v>
      </c>
      <c r="C1192" t="s">
        <v>6</v>
      </c>
      <c r="D1192">
        <v>46107.280162037037</v>
      </c>
      <c r="E1192" t="s">
        <v>9</v>
      </c>
      <c r="F1192">
        <v>46108.4533912037</v>
      </c>
    </row>
    <row r="1193" spans="1:6" x14ac:dyDescent="0.25">
      <c r="A1193">
        <v>1192</v>
      </c>
      <c r="B1193" t="s">
        <v>5</v>
      </c>
      <c r="C1193" t="s">
        <v>10</v>
      </c>
      <c r="D1193">
        <v>46107.298611111109</v>
      </c>
      <c r="E1193" t="s">
        <v>10</v>
      </c>
      <c r="F1193">
        <v>46107.3125</v>
      </c>
    </row>
    <row r="1194" spans="1:6" x14ac:dyDescent="0.25">
      <c r="A1194">
        <v>1193</v>
      </c>
      <c r="B1194" t="s">
        <v>5</v>
      </c>
      <c r="C1194" t="s">
        <v>7</v>
      </c>
      <c r="D1194">
        <v>46107.333333333336</v>
      </c>
      <c r="E1194" t="s">
        <v>7</v>
      </c>
      <c r="F1194">
        <v>46107.364583333336</v>
      </c>
    </row>
    <row r="1195" spans="1:6" x14ac:dyDescent="0.25">
      <c r="A1195">
        <v>1194</v>
      </c>
      <c r="B1195" t="s">
        <v>5</v>
      </c>
      <c r="C1195" t="s">
        <v>7</v>
      </c>
      <c r="D1195">
        <v>46107.347222222219</v>
      </c>
      <c r="E1195" t="s">
        <v>7</v>
      </c>
      <c r="F1195">
        <v>46107.576388888891</v>
      </c>
    </row>
    <row r="1196" spans="1:6" x14ac:dyDescent="0.25">
      <c r="A1196">
        <v>1195</v>
      </c>
      <c r="B1196" t="s">
        <v>5</v>
      </c>
      <c r="C1196" t="s">
        <v>7</v>
      </c>
      <c r="D1196">
        <v>46107.375</v>
      </c>
      <c r="E1196" t="s">
        <v>7</v>
      </c>
      <c r="F1196">
        <v>46107.415277777778</v>
      </c>
    </row>
    <row r="1197" spans="1:6" x14ac:dyDescent="0.25">
      <c r="A1197">
        <v>1196</v>
      </c>
      <c r="B1197" t="s">
        <v>5</v>
      </c>
      <c r="C1197" t="s">
        <v>10</v>
      </c>
      <c r="D1197">
        <v>46107.375</v>
      </c>
      <c r="E1197" t="s">
        <v>10</v>
      </c>
      <c r="F1197">
        <v>46107.413252314815</v>
      </c>
    </row>
    <row r="1198" spans="1:6" x14ac:dyDescent="0.25">
      <c r="A1198">
        <v>1197</v>
      </c>
      <c r="B1198" t="s">
        <v>5</v>
      </c>
      <c r="C1198" t="s">
        <v>6</v>
      </c>
      <c r="D1198">
        <v>46107.375428240739</v>
      </c>
      <c r="E1198" t="s">
        <v>7</v>
      </c>
      <c r="F1198">
        <v>46107.700613425928</v>
      </c>
    </row>
    <row r="1199" spans="1:6" x14ac:dyDescent="0.25">
      <c r="A1199">
        <v>1198</v>
      </c>
      <c r="B1199" t="s">
        <v>5</v>
      </c>
      <c r="C1199" t="s">
        <v>7</v>
      </c>
      <c r="D1199">
        <v>46107.447916666664</v>
      </c>
      <c r="E1199" t="s">
        <v>7</v>
      </c>
      <c r="F1199">
        <v>46107.614583333336</v>
      </c>
    </row>
    <row r="1200" spans="1:6" x14ac:dyDescent="0.25">
      <c r="A1200">
        <v>1199</v>
      </c>
      <c r="B1200" t="s">
        <v>5</v>
      </c>
      <c r="C1200" t="s">
        <v>6</v>
      </c>
      <c r="D1200">
        <v>46107.454432870371</v>
      </c>
      <c r="E1200" t="s">
        <v>7</v>
      </c>
      <c r="F1200">
        <v>46108.448738425926</v>
      </c>
    </row>
    <row r="1201" spans="1:6" x14ac:dyDescent="0.25">
      <c r="A1201">
        <v>1200</v>
      </c>
      <c r="B1201" t="s">
        <v>5</v>
      </c>
      <c r="C1201" t="s">
        <v>8</v>
      </c>
      <c r="D1201">
        <v>46107.475694444445</v>
      </c>
      <c r="E1201" t="s">
        <v>7</v>
      </c>
      <c r="F1201">
        <v>46107.668055555558</v>
      </c>
    </row>
    <row r="1202" spans="1:6" x14ac:dyDescent="0.25">
      <c r="A1202">
        <v>1201</v>
      </c>
      <c r="B1202" t="s">
        <v>5</v>
      </c>
      <c r="C1202" t="s">
        <v>8</v>
      </c>
      <c r="D1202">
        <v>46107.583333333336</v>
      </c>
      <c r="E1202" t="s">
        <v>8</v>
      </c>
      <c r="F1202">
        <v>46107.635416666664</v>
      </c>
    </row>
    <row r="1203" spans="1:6" x14ac:dyDescent="0.25">
      <c r="A1203">
        <v>1202</v>
      </c>
      <c r="B1203" t="s">
        <v>5</v>
      </c>
      <c r="C1203" t="s">
        <v>6</v>
      </c>
      <c r="D1203">
        <v>46107.618796296294</v>
      </c>
      <c r="E1203" t="s">
        <v>7</v>
      </c>
      <c r="F1203">
        <v>46108.654374999998</v>
      </c>
    </row>
    <row r="1204" spans="1:6" x14ac:dyDescent="0.25">
      <c r="A1204">
        <v>1203</v>
      </c>
      <c r="B1204" t="s">
        <v>5</v>
      </c>
      <c r="C1204" t="s">
        <v>6</v>
      </c>
      <c r="D1204">
        <v>46107.620023148149</v>
      </c>
      <c r="E1204" t="s">
        <v>8</v>
      </c>
      <c r="F1204">
        <v>46110.56453703704</v>
      </c>
    </row>
    <row r="1205" spans="1:6" x14ac:dyDescent="0.25">
      <c r="A1205">
        <v>1204</v>
      </c>
      <c r="B1205" t="s">
        <v>5</v>
      </c>
      <c r="C1205" t="s">
        <v>8</v>
      </c>
      <c r="D1205">
        <v>46107.642361111109</v>
      </c>
      <c r="E1205" t="s">
        <v>10</v>
      </c>
      <c r="F1205">
        <v>46107.684027777781</v>
      </c>
    </row>
    <row r="1206" spans="1:6" x14ac:dyDescent="0.25">
      <c r="A1206">
        <v>1205</v>
      </c>
      <c r="B1206" t="s">
        <v>5</v>
      </c>
      <c r="C1206" t="s">
        <v>6</v>
      </c>
      <c r="D1206">
        <v>46107.653622685182</v>
      </c>
      <c r="E1206" t="s">
        <v>7</v>
      </c>
      <c r="F1206">
        <v>46108.233611111114</v>
      </c>
    </row>
    <row r="1207" spans="1:6" x14ac:dyDescent="0.25">
      <c r="A1207">
        <v>1206</v>
      </c>
      <c r="B1207" t="s">
        <v>5</v>
      </c>
      <c r="C1207" t="s">
        <v>7</v>
      </c>
      <c r="D1207">
        <v>46107.736111111109</v>
      </c>
      <c r="E1207" t="s">
        <v>7</v>
      </c>
      <c r="F1207">
        <v>46107.78125</v>
      </c>
    </row>
    <row r="1208" spans="1:6" x14ac:dyDescent="0.25">
      <c r="A1208">
        <v>1207</v>
      </c>
      <c r="B1208" t="s">
        <v>5</v>
      </c>
      <c r="C1208" t="s">
        <v>7</v>
      </c>
      <c r="D1208">
        <v>46107.756944444445</v>
      </c>
      <c r="E1208" t="s">
        <v>7</v>
      </c>
      <c r="F1208">
        <v>46107.806250000001</v>
      </c>
    </row>
    <row r="1209" spans="1:6" x14ac:dyDescent="0.25">
      <c r="A1209">
        <v>1208</v>
      </c>
      <c r="B1209" t="s">
        <v>5</v>
      </c>
      <c r="C1209" t="s">
        <v>6</v>
      </c>
      <c r="D1209">
        <v>46107.807523148149</v>
      </c>
      <c r="E1209" t="s">
        <v>7</v>
      </c>
      <c r="F1209">
        <v>46108.654560185183</v>
      </c>
    </row>
    <row r="1210" spans="1:6" x14ac:dyDescent="0.25">
      <c r="A1210">
        <v>1209</v>
      </c>
      <c r="B1210" t="s">
        <v>5</v>
      </c>
      <c r="C1210" t="s">
        <v>10</v>
      </c>
      <c r="D1210">
        <v>46107.874884259261</v>
      </c>
      <c r="E1210" t="s">
        <v>8</v>
      </c>
      <c r="F1210">
        <v>46108.106134259258</v>
      </c>
    </row>
    <row r="1211" spans="1:6" x14ac:dyDescent="0.25">
      <c r="A1211">
        <v>1210</v>
      </c>
      <c r="B1211" t="s">
        <v>5</v>
      </c>
      <c r="C1211" t="s">
        <v>6</v>
      </c>
      <c r="D1211">
        <v>46107.897141203706</v>
      </c>
      <c r="E1211" t="s">
        <v>7</v>
      </c>
      <c r="F1211">
        <v>46108.235266203701</v>
      </c>
    </row>
    <row r="1212" spans="1:6" x14ac:dyDescent="0.25">
      <c r="A1212">
        <v>1211</v>
      </c>
      <c r="B1212" t="s">
        <v>5</v>
      </c>
      <c r="C1212" t="s">
        <v>6</v>
      </c>
      <c r="D1212">
        <v>46107.909236111111</v>
      </c>
      <c r="E1212" t="s">
        <v>7</v>
      </c>
      <c r="F1212">
        <v>46108.72519675926</v>
      </c>
    </row>
    <row r="1213" spans="1:6" x14ac:dyDescent="0.25">
      <c r="A1213">
        <v>1212</v>
      </c>
      <c r="B1213" t="s">
        <v>5</v>
      </c>
      <c r="C1213" t="s">
        <v>6</v>
      </c>
      <c r="D1213">
        <v>46108.302210648151</v>
      </c>
      <c r="E1213" t="s">
        <v>7</v>
      </c>
      <c r="F1213">
        <v>46108.665671296294</v>
      </c>
    </row>
    <row r="1214" spans="1:6" x14ac:dyDescent="0.25">
      <c r="A1214">
        <v>1213</v>
      </c>
      <c r="B1214" t="s">
        <v>5</v>
      </c>
      <c r="C1214" t="s">
        <v>6</v>
      </c>
      <c r="D1214">
        <v>46108.302719907406</v>
      </c>
      <c r="E1214" t="s">
        <v>7</v>
      </c>
      <c r="F1214">
        <v>46108.729375000003</v>
      </c>
    </row>
    <row r="1215" spans="1:6" x14ac:dyDescent="0.25">
      <c r="A1215">
        <v>1214</v>
      </c>
      <c r="B1215" t="s">
        <v>5</v>
      </c>
      <c r="C1215" t="s">
        <v>7</v>
      </c>
      <c r="D1215">
        <v>46108.354166666664</v>
      </c>
      <c r="E1215" t="s">
        <v>7</v>
      </c>
      <c r="F1215">
        <v>46108.426388888889</v>
      </c>
    </row>
    <row r="1216" spans="1:6" x14ac:dyDescent="0.25">
      <c r="A1216">
        <v>1215</v>
      </c>
      <c r="B1216" t="s">
        <v>5</v>
      </c>
      <c r="C1216" t="s">
        <v>7</v>
      </c>
      <c r="D1216">
        <v>46108.354166666664</v>
      </c>
      <c r="E1216" t="s">
        <v>8</v>
      </c>
      <c r="F1216">
        <v>46108.586388888885</v>
      </c>
    </row>
    <row r="1217" spans="1:6" x14ac:dyDescent="0.25">
      <c r="A1217">
        <v>1216</v>
      </c>
      <c r="B1217" t="s">
        <v>5</v>
      </c>
      <c r="C1217" t="s">
        <v>6</v>
      </c>
      <c r="D1217">
        <v>46108.488680555558</v>
      </c>
      <c r="E1217" t="s">
        <v>9</v>
      </c>
      <c r="F1217">
        <v>46108.698738425926</v>
      </c>
    </row>
    <row r="1218" spans="1:6" x14ac:dyDescent="0.25">
      <c r="A1218">
        <v>1217</v>
      </c>
      <c r="B1218" t="s">
        <v>5</v>
      </c>
      <c r="C1218" t="s">
        <v>6</v>
      </c>
      <c r="D1218">
        <v>46108.488680555558</v>
      </c>
      <c r="E1218" t="s">
        <v>9</v>
      </c>
      <c r="F1218">
        <v>46108.698738425926</v>
      </c>
    </row>
    <row r="1219" spans="1:6" x14ac:dyDescent="0.25">
      <c r="A1219">
        <v>1218</v>
      </c>
      <c r="B1219" t="s">
        <v>5</v>
      </c>
      <c r="C1219" t="s">
        <v>7</v>
      </c>
      <c r="D1219">
        <v>46108.510416666664</v>
      </c>
      <c r="E1219" t="s">
        <v>7</v>
      </c>
      <c r="F1219">
        <v>46108.645833333336</v>
      </c>
    </row>
    <row r="1220" spans="1:6" x14ac:dyDescent="0.25">
      <c r="A1220">
        <v>1219</v>
      </c>
      <c r="B1220" t="s">
        <v>5</v>
      </c>
      <c r="C1220" t="s">
        <v>10</v>
      </c>
      <c r="D1220">
        <v>46108.597222222219</v>
      </c>
      <c r="E1220" t="s">
        <v>10</v>
      </c>
      <c r="F1220">
        <v>46108.666666666664</v>
      </c>
    </row>
    <row r="1221" spans="1:6" x14ac:dyDescent="0.25">
      <c r="A1221">
        <v>1220</v>
      </c>
      <c r="B1221" t="s">
        <v>5</v>
      </c>
      <c r="C1221" t="s">
        <v>10</v>
      </c>
      <c r="D1221">
        <v>46108.659722222219</v>
      </c>
      <c r="E1221" t="s">
        <v>10</v>
      </c>
      <c r="F1221">
        <v>46108.701388888891</v>
      </c>
    </row>
    <row r="1222" spans="1:6" x14ac:dyDescent="0.25">
      <c r="A1222">
        <v>1221</v>
      </c>
      <c r="B1222" t="s">
        <v>5</v>
      </c>
      <c r="C1222" t="s">
        <v>6</v>
      </c>
      <c r="D1222">
        <v>46108.66547453704</v>
      </c>
      <c r="E1222" t="s">
        <v>7</v>
      </c>
      <c r="F1222">
        <v>46109.661412037036</v>
      </c>
    </row>
    <row r="1223" spans="1:6" x14ac:dyDescent="0.25">
      <c r="A1223">
        <v>1222</v>
      </c>
      <c r="B1223" t="s">
        <v>5</v>
      </c>
      <c r="C1223" t="s">
        <v>7</v>
      </c>
      <c r="D1223">
        <v>46108.670138888891</v>
      </c>
      <c r="E1223" t="s">
        <v>7</v>
      </c>
      <c r="F1223">
        <v>46108.708333333336</v>
      </c>
    </row>
    <row r="1224" spans="1:6" x14ac:dyDescent="0.25">
      <c r="A1224">
        <v>1223</v>
      </c>
      <c r="B1224" t="s">
        <v>5</v>
      </c>
      <c r="C1224" t="s">
        <v>6</v>
      </c>
      <c r="D1224">
        <v>46108.692141203705</v>
      </c>
      <c r="E1224" t="s">
        <v>11</v>
      </c>
      <c r="F1224">
        <v>46108.898009259261</v>
      </c>
    </row>
    <row r="1225" spans="1:6" x14ac:dyDescent="0.25">
      <c r="A1225">
        <v>1224</v>
      </c>
      <c r="B1225" t="s">
        <v>5</v>
      </c>
      <c r="C1225" t="s">
        <v>7</v>
      </c>
      <c r="D1225">
        <v>46108.711805555555</v>
      </c>
      <c r="E1225" t="s">
        <v>7</v>
      </c>
      <c r="F1225">
        <v>46108.736805555556</v>
      </c>
    </row>
    <row r="1226" spans="1:6" x14ac:dyDescent="0.25">
      <c r="A1226">
        <v>1225</v>
      </c>
      <c r="B1226" t="s">
        <v>5</v>
      </c>
      <c r="C1226" t="s">
        <v>6</v>
      </c>
      <c r="D1226">
        <v>46108.72320601852</v>
      </c>
      <c r="E1226" t="s">
        <v>7</v>
      </c>
      <c r="F1226">
        <v>46108.956087962964</v>
      </c>
    </row>
    <row r="1227" spans="1:6" x14ac:dyDescent="0.25">
      <c r="A1227">
        <v>1226</v>
      </c>
      <c r="B1227" t="s">
        <v>5</v>
      </c>
      <c r="C1227" t="s">
        <v>6</v>
      </c>
      <c r="D1227">
        <v>46108.763888888891</v>
      </c>
      <c r="E1227" t="s">
        <v>9</v>
      </c>
      <c r="F1227">
        <v>46110.621215277781</v>
      </c>
    </row>
    <row r="1228" spans="1:6" x14ac:dyDescent="0.25">
      <c r="A1228">
        <v>1227</v>
      </c>
      <c r="B1228" t="s">
        <v>5</v>
      </c>
      <c r="C1228" t="s">
        <v>6</v>
      </c>
      <c r="D1228">
        <v>46108.870706018519</v>
      </c>
      <c r="E1228" t="s">
        <v>7</v>
      </c>
      <c r="F1228">
        <v>46108.997696759259</v>
      </c>
    </row>
    <row r="1229" spans="1:6" x14ac:dyDescent="0.25">
      <c r="A1229">
        <v>1228</v>
      </c>
      <c r="B1229" t="s">
        <v>5</v>
      </c>
      <c r="C1229" t="s">
        <v>6</v>
      </c>
      <c r="D1229">
        <v>46108.891215277778</v>
      </c>
      <c r="E1229" t="s">
        <v>7</v>
      </c>
      <c r="F1229">
        <v>46109.275601851848</v>
      </c>
    </row>
    <row r="1230" spans="1:6" x14ac:dyDescent="0.25">
      <c r="A1230">
        <v>1229</v>
      </c>
      <c r="B1230" t="s">
        <v>5</v>
      </c>
      <c r="C1230" t="s">
        <v>6</v>
      </c>
      <c r="D1230">
        <v>46108.96875</v>
      </c>
      <c r="E1230" t="s">
        <v>7</v>
      </c>
      <c r="F1230">
        <v>46109.841377314813</v>
      </c>
    </row>
    <row r="1231" spans="1:6" x14ac:dyDescent="0.25">
      <c r="A1231">
        <v>1230</v>
      </c>
      <c r="B1231" t="s">
        <v>5</v>
      </c>
      <c r="C1231" t="s">
        <v>6</v>
      </c>
      <c r="D1231">
        <v>46108.979166666664</v>
      </c>
      <c r="E1231" t="s">
        <v>7</v>
      </c>
      <c r="F1231">
        <v>46109.186481481483</v>
      </c>
    </row>
    <row r="1232" spans="1:6" x14ac:dyDescent="0.25">
      <c r="A1232">
        <v>1231</v>
      </c>
      <c r="B1232" t="s">
        <v>5</v>
      </c>
      <c r="C1232" t="s">
        <v>6</v>
      </c>
      <c r="D1232">
        <v>46109.060567129629</v>
      </c>
      <c r="E1232" t="s">
        <v>7</v>
      </c>
      <c r="F1232">
        <v>46109.650497685187</v>
      </c>
    </row>
    <row r="1233" spans="1:6" x14ac:dyDescent="0.25">
      <c r="A1233">
        <v>1232</v>
      </c>
      <c r="B1233" t="s">
        <v>5</v>
      </c>
      <c r="C1233" t="s">
        <v>6</v>
      </c>
      <c r="D1233">
        <v>46109.068796296298</v>
      </c>
      <c r="E1233" t="s">
        <v>7</v>
      </c>
      <c r="F1233">
        <v>46109.169328703705</v>
      </c>
    </row>
    <row r="1234" spans="1:6" x14ac:dyDescent="0.25">
      <c r="A1234">
        <v>1233</v>
      </c>
      <c r="B1234" t="s">
        <v>5</v>
      </c>
      <c r="C1234" t="s">
        <v>10</v>
      </c>
      <c r="D1234">
        <v>46109.352743055555</v>
      </c>
      <c r="E1234" t="s">
        <v>7</v>
      </c>
      <c r="F1234">
        <v>46110.645844907405</v>
      </c>
    </row>
    <row r="1235" spans="1:6" x14ac:dyDescent="0.25">
      <c r="A1235">
        <v>1234</v>
      </c>
      <c r="B1235" t="s">
        <v>5</v>
      </c>
      <c r="C1235" t="s">
        <v>6</v>
      </c>
      <c r="D1235">
        <v>46109.387349537035</v>
      </c>
      <c r="E1235" t="s">
        <v>8</v>
      </c>
      <c r="F1235">
        <v>46110.744062500002</v>
      </c>
    </row>
    <row r="1236" spans="1:6" x14ac:dyDescent="0.25">
      <c r="A1236">
        <v>1235</v>
      </c>
      <c r="B1236" t="s">
        <v>5</v>
      </c>
      <c r="C1236" t="s">
        <v>7</v>
      </c>
      <c r="D1236">
        <v>46109.454861111109</v>
      </c>
      <c r="E1236" t="s">
        <v>7</v>
      </c>
      <c r="F1236">
        <v>46109.59375</v>
      </c>
    </row>
    <row r="1237" spans="1:6" x14ac:dyDescent="0.25">
      <c r="A1237">
        <v>1236</v>
      </c>
      <c r="B1237" t="s">
        <v>5</v>
      </c>
      <c r="C1237" t="s">
        <v>8</v>
      </c>
      <c r="D1237">
        <v>46109.663194444445</v>
      </c>
      <c r="E1237" t="s">
        <v>8</v>
      </c>
      <c r="F1237">
        <v>46109.740277777775</v>
      </c>
    </row>
    <row r="1238" spans="1:6" x14ac:dyDescent="0.25">
      <c r="A1238">
        <v>1237</v>
      </c>
      <c r="B1238" t="s">
        <v>5</v>
      </c>
      <c r="C1238" t="s">
        <v>6</v>
      </c>
      <c r="D1238">
        <v>46109.679629629631</v>
      </c>
      <c r="E1238" t="s">
        <v>7</v>
      </c>
      <c r="F1238">
        <v>46110.675474537034</v>
      </c>
    </row>
    <row r="1239" spans="1:6" x14ac:dyDescent="0.25">
      <c r="A1239">
        <v>1238</v>
      </c>
      <c r="B1239" t="s">
        <v>5</v>
      </c>
      <c r="C1239" t="s">
        <v>6</v>
      </c>
      <c r="D1239">
        <v>46109.893738425926</v>
      </c>
      <c r="E1239" t="s">
        <v>7</v>
      </c>
      <c r="F1239">
        <v>46110.064027777778</v>
      </c>
    </row>
    <row r="1240" spans="1:6" x14ac:dyDescent="0.25">
      <c r="A1240">
        <v>1239</v>
      </c>
      <c r="B1240" t="s">
        <v>5</v>
      </c>
      <c r="C1240" t="s">
        <v>6</v>
      </c>
      <c r="D1240">
        <v>46110.086400462962</v>
      </c>
      <c r="E1240" t="s">
        <v>7</v>
      </c>
      <c r="F1240">
        <v>46111.649537037039</v>
      </c>
    </row>
    <row r="1241" spans="1:6" x14ac:dyDescent="0.25">
      <c r="A1241">
        <v>1240</v>
      </c>
      <c r="B1241" t="s">
        <v>5</v>
      </c>
      <c r="C1241" t="s">
        <v>10</v>
      </c>
      <c r="D1241">
        <v>46110.375694444447</v>
      </c>
      <c r="E1241" t="s">
        <v>10</v>
      </c>
      <c r="F1241">
        <v>46111.76939814815</v>
      </c>
    </row>
    <row r="1242" spans="1:6" x14ac:dyDescent="0.25">
      <c r="A1242">
        <v>1241</v>
      </c>
      <c r="B1242" t="s">
        <v>5</v>
      </c>
      <c r="C1242" t="s">
        <v>6</v>
      </c>
      <c r="D1242">
        <v>46110.94</v>
      </c>
      <c r="E1242" t="s">
        <v>7</v>
      </c>
      <c r="F1242">
        <v>46111.643217592595</v>
      </c>
    </row>
    <row r="1243" spans="1:6" x14ac:dyDescent="0.25">
      <c r="A1243">
        <v>1242</v>
      </c>
      <c r="B1243" t="s">
        <v>5</v>
      </c>
      <c r="C1243" t="s">
        <v>6</v>
      </c>
      <c r="D1243">
        <v>46111.04409722222</v>
      </c>
      <c r="E1243" t="s">
        <v>9</v>
      </c>
      <c r="F1243">
        <v>46111.520821759259</v>
      </c>
    </row>
    <row r="1244" spans="1:6" x14ac:dyDescent="0.25">
      <c r="A1244">
        <v>1243</v>
      </c>
      <c r="B1244" t="s">
        <v>5</v>
      </c>
      <c r="C1244" t="s">
        <v>6</v>
      </c>
      <c r="D1244">
        <v>46111.044490740744</v>
      </c>
      <c r="E1244" t="s">
        <v>7</v>
      </c>
      <c r="F1244">
        <v>46111.67454861111</v>
      </c>
    </row>
    <row r="1245" spans="1:6" x14ac:dyDescent="0.25">
      <c r="A1245">
        <v>1244</v>
      </c>
      <c r="B1245" t="s">
        <v>5</v>
      </c>
      <c r="C1245" t="s">
        <v>6</v>
      </c>
      <c r="D1245">
        <v>46111.051550925928</v>
      </c>
      <c r="E1245" t="s">
        <v>8</v>
      </c>
      <c r="F1245">
        <v>46111.93377314815</v>
      </c>
    </row>
    <row r="1246" spans="1:6" x14ac:dyDescent="0.25">
      <c r="A1246">
        <v>1245</v>
      </c>
      <c r="B1246" t="s">
        <v>5</v>
      </c>
      <c r="C1246" t="s">
        <v>6</v>
      </c>
      <c r="D1246">
        <v>46111.28328703704</v>
      </c>
      <c r="E1246" t="s">
        <v>7</v>
      </c>
      <c r="F1246">
        <v>46111.675069444442</v>
      </c>
    </row>
    <row r="1247" spans="1:6" x14ac:dyDescent="0.25">
      <c r="A1247">
        <v>1246</v>
      </c>
      <c r="B1247" t="s">
        <v>5</v>
      </c>
      <c r="C1247" t="s">
        <v>7</v>
      </c>
      <c r="D1247">
        <v>46111.336805555555</v>
      </c>
      <c r="E1247" t="s">
        <v>7</v>
      </c>
      <c r="F1247">
        <v>46111.357638888891</v>
      </c>
    </row>
    <row r="1248" spans="1:6" x14ac:dyDescent="0.25">
      <c r="A1248">
        <v>1247</v>
      </c>
      <c r="B1248" t="s">
        <v>5</v>
      </c>
      <c r="C1248" t="s">
        <v>7</v>
      </c>
      <c r="D1248">
        <v>46111.395833333336</v>
      </c>
      <c r="E1248" t="s">
        <v>8</v>
      </c>
      <c r="F1248">
        <v>46111.5</v>
      </c>
    </row>
    <row r="1249" spans="1:6" x14ac:dyDescent="0.25">
      <c r="A1249">
        <v>1248</v>
      </c>
      <c r="B1249" t="s">
        <v>5</v>
      </c>
      <c r="C1249" t="s">
        <v>7</v>
      </c>
      <c r="D1249">
        <v>46111.451388888891</v>
      </c>
      <c r="E1249" t="s">
        <v>8</v>
      </c>
      <c r="F1249">
        <v>46111.902511574073</v>
      </c>
    </row>
    <row r="1250" spans="1:6" x14ac:dyDescent="0.25">
      <c r="A1250">
        <v>1249</v>
      </c>
      <c r="B1250" t="s">
        <v>5</v>
      </c>
      <c r="C1250" t="s">
        <v>6</v>
      </c>
      <c r="D1250">
        <v>46111.638888888891</v>
      </c>
      <c r="E1250" t="s">
        <v>7</v>
      </c>
      <c r="F1250">
        <v>46111.776712962965</v>
      </c>
    </row>
    <row r="1251" spans="1:6" x14ac:dyDescent="0.25">
      <c r="A1251">
        <v>1250</v>
      </c>
      <c r="B1251" t="s">
        <v>5</v>
      </c>
      <c r="C1251" t="s">
        <v>10</v>
      </c>
      <c r="D1251">
        <v>46111.777777777781</v>
      </c>
      <c r="E1251" t="s">
        <v>10</v>
      </c>
      <c r="F1251">
        <v>46111.788194444445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2BC0-C491-4DA6-8ACA-35C412D150C6}">
  <dimension ref="A2:AF1294"/>
  <sheetViews>
    <sheetView zoomScaleNormal="100" workbookViewId="0">
      <selection activeCell="A2" sqref="A2:L1294"/>
    </sheetView>
  </sheetViews>
  <sheetFormatPr defaultRowHeight="15" x14ac:dyDescent="0.25"/>
  <cols>
    <col min="1" max="1" width="7.140625" bestFit="1" customWidth="1"/>
    <col min="2" max="2" width="9" bestFit="1" customWidth="1"/>
    <col min="3" max="3" width="9.28515625" customWidth="1"/>
    <col min="4" max="4" width="17.7109375" bestFit="1" customWidth="1"/>
    <col min="5" max="5" width="17.140625" style="6" bestFit="1" customWidth="1"/>
    <col min="6" max="6" width="22.5703125" style="6" bestFit="1" customWidth="1"/>
    <col min="7" max="7" width="21.5703125" style="6" bestFit="1" customWidth="1"/>
    <col min="8" max="8" width="18.85546875" style="6" bestFit="1" customWidth="1"/>
    <col min="9" max="9" width="20" style="6" bestFit="1" customWidth="1"/>
    <col min="10" max="10" width="19.28515625" style="6" bestFit="1" customWidth="1"/>
    <col min="11" max="11" width="5" customWidth="1"/>
    <col min="12" max="12" width="18.140625" style="6" customWidth="1"/>
    <col min="13" max="15" width="5.140625" customWidth="1"/>
    <col min="16" max="16" width="6.85546875" customWidth="1"/>
    <col min="18" max="19" width="4.7109375" customWidth="1"/>
    <col min="20" max="20" width="5.28515625" customWidth="1"/>
    <col min="21" max="21" width="4.85546875" customWidth="1"/>
    <col min="22" max="22" width="6.140625" customWidth="1"/>
    <col min="23" max="23" width="5.7109375" customWidth="1"/>
    <col min="24" max="24" width="6.85546875" customWidth="1"/>
    <col min="26" max="26" width="5" customWidth="1"/>
    <col min="27" max="27" width="4.28515625" customWidth="1"/>
  </cols>
  <sheetData>
    <row r="2" spans="1:32" x14ac:dyDescent="0.25">
      <c r="A2" t="s">
        <v>14</v>
      </c>
      <c r="B2" t="s">
        <v>18</v>
      </c>
      <c r="C2" t="s">
        <v>19</v>
      </c>
      <c r="D2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t="s">
        <v>27</v>
      </c>
      <c r="L2" s="6" t="s">
        <v>28</v>
      </c>
      <c r="M2" s="8" t="s">
        <v>46</v>
      </c>
      <c r="N2" s="8" t="s">
        <v>39</v>
      </c>
      <c r="O2" s="8" t="s">
        <v>38</v>
      </c>
      <c r="P2" s="12" t="s">
        <v>45</v>
      </c>
      <c r="Q2" s="8" t="s">
        <v>47</v>
      </c>
      <c r="R2" s="8" t="s">
        <v>39</v>
      </c>
      <c r="S2" s="8" t="s">
        <v>38</v>
      </c>
      <c r="T2" s="12" t="s">
        <v>48</v>
      </c>
      <c r="U2" s="8" t="s">
        <v>49</v>
      </c>
      <c r="V2" s="8" t="s">
        <v>39</v>
      </c>
      <c r="W2" s="8" t="s">
        <v>38</v>
      </c>
      <c r="X2" s="12" t="s">
        <v>50</v>
      </c>
      <c r="Y2" s="8" t="s">
        <v>51</v>
      </c>
      <c r="Z2" s="8" t="s">
        <v>39</v>
      </c>
      <c r="AA2" s="8" t="s">
        <v>38</v>
      </c>
      <c r="AB2" s="12" t="s">
        <v>52</v>
      </c>
      <c r="AC2" s="8" t="s">
        <v>53</v>
      </c>
      <c r="AD2" s="8" t="s">
        <v>39</v>
      </c>
      <c r="AE2" s="8" t="s">
        <v>38</v>
      </c>
      <c r="AF2" s="12" t="s">
        <v>54</v>
      </c>
    </row>
    <row r="3" spans="1:32" x14ac:dyDescent="0.25">
      <c r="A3">
        <v>1</v>
      </c>
      <c r="B3" t="s">
        <v>29</v>
      </c>
      <c r="C3">
        <v>1</v>
      </c>
      <c r="D3" t="s">
        <v>30</v>
      </c>
      <c r="E3" s="6">
        <v>46024.256944444445</v>
      </c>
      <c r="F3" s="6">
        <v>46024.270833333336</v>
      </c>
      <c r="G3" s="6">
        <v>46024.274305555555</v>
      </c>
      <c r="H3" s="6">
        <v>46024.282638888886</v>
      </c>
      <c r="I3" s="6">
        <v>46024.284722222219</v>
      </c>
      <c r="J3" s="6">
        <v>46024.291666666664</v>
      </c>
      <c r="K3">
        <v>0.83</v>
      </c>
      <c r="L3" s="6">
        <v>46024.298611111109</v>
      </c>
      <c r="M3" s="7">
        <f>F3-E3</f>
        <v>1.3888888890505768E-2</v>
      </c>
      <c r="N3">
        <f>HOUR(M3)</f>
        <v>0</v>
      </c>
      <c r="O3">
        <f>MINUTE(M3)</f>
        <v>20</v>
      </c>
      <c r="P3">
        <f>N3*60+O3</f>
        <v>20</v>
      </c>
      <c r="Q3" s="7">
        <f>G3-F3</f>
        <v>3.4722222189884633E-3</v>
      </c>
      <c r="R3">
        <f>HOUR(Q3)</f>
        <v>0</v>
      </c>
      <c r="S3">
        <f>MINUTE(Q3)</f>
        <v>5</v>
      </c>
      <c r="T3">
        <f>R3*60+S3</f>
        <v>5</v>
      </c>
      <c r="U3" s="7">
        <f>H3-G3</f>
        <v>8.333333331393078E-3</v>
      </c>
      <c r="V3">
        <f>HOUR(U3)</f>
        <v>0</v>
      </c>
      <c r="W3">
        <f>MINUTE(U3)</f>
        <v>12</v>
      </c>
      <c r="X3">
        <f>V3*60+W3</f>
        <v>12</v>
      </c>
      <c r="Y3" s="7">
        <f>I3-H3</f>
        <v>2.0833333328482695E-3</v>
      </c>
      <c r="Z3">
        <f>HOUR(Y3)</f>
        <v>0</v>
      </c>
      <c r="AA3">
        <f>MINUTE(Y3)</f>
        <v>3</v>
      </c>
      <c r="AB3">
        <f>Z3*60+AA3</f>
        <v>3</v>
      </c>
      <c r="AC3" s="7">
        <f>M3-L3</f>
        <v>-46024.284722222219</v>
      </c>
      <c r="AD3" t="e">
        <f>HOUR(AC3)</f>
        <v>#NUM!</v>
      </c>
      <c r="AE3" t="e">
        <f>MINUTE(AC3)</f>
        <v>#NUM!</v>
      </c>
      <c r="AF3" t="e">
        <f>AD3*60+AE3</f>
        <v>#NUM!</v>
      </c>
    </row>
    <row r="4" spans="1:32" x14ac:dyDescent="0.25">
      <c r="A4">
        <v>2</v>
      </c>
      <c r="B4" t="s">
        <v>31</v>
      </c>
      <c r="C4">
        <v>1</v>
      </c>
      <c r="D4" t="s">
        <v>32</v>
      </c>
      <c r="E4" s="6">
        <v>46027.364583333336</v>
      </c>
      <c r="F4" s="6">
        <v>46027.371527777781</v>
      </c>
      <c r="G4" s="6">
        <v>46027.399305555555</v>
      </c>
      <c r="H4" s="6">
        <v>46027.503472222219</v>
      </c>
      <c r="I4" s="6">
        <v>46027.510416666664</v>
      </c>
      <c r="J4" s="6">
        <v>46027.513888888891</v>
      </c>
      <c r="K4">
        <v>3.58</v>
      </c>
      <c r="L4" s="6">
        <v>46027.520833333336</v>
      </c>
      <c r="M4" s="7">
        <f>F4-E4</f>
        <v>6.9444444452528842E-3</v>
      </c>
      <c r="N4">
        <f>HOUR(M4)</f>
        <v>0</v>
      </c>
      <c r="O4">
        <f>MINUTE(M4)</f>
        <v>10</v>
      </c>
      <c r="P4">
        <f>N4*60+O4</f>
        <v>10</v>
      </c>
      <c r="Q4" s="7">
        <f>G4-F4</f>
        <v>2.7777777773735579E-2</v>
      </c>
      <c r="R4">
        <f>HOUR(Q4)</f>
        <v>0</v>
      </c>
      <c r="S4">
        <f>MINUTE(Q4)</f>
        <v>40</v>
      </c>
      <c r="T4">
        <f>R4*60+S4</f>
        <v>40</v>
      </c>
      <c r="U4" s="7">
        <f>H4-G4</f>
        <v>0.10416666666424135</v>
      </c>
      <c r="V4">
        <f>HOUR(U4)</f>
        <v>2</v>
      </c>
      <c r="W4">
        <f>MINUTE(U4)</f>
        <v>30</v>
      </c>
      <c r="X4">
        <f>V4*60+W4</f>
        <v>150</v>
      </c>
      <c r="Y4" s="7">
        <f>I4-H4</f>
        <v>6.9444444452528842E-3</v>
      </c>
      <c r="Z4">
        <f>HOUR(Y4)</f>
        <v>0</v>
      </c>
      <c r="AA4">
        <f>MINUTE(Y4)</f>
        <v>10</v>
      </c>
      <c r="AB4">
        <f>Z4*60+AA4</f>
        <v>10</v>
      </c>
    </row>
    <row r="5" spans="1:32" x14ac:dyDescent="0.25">
      <c r="A5">
        <v>3</v>
      </c>
      <c r="B5" t="s">
        <v>31</v>
      </c>
      <c r="C5">
        <v>1</v>
      </c>
      <c r="D5" t="s">
        <v>30</v>
      </c>
      <c r="E5" s="6">
        <v>46035.375</v>
      </c>
      <c r="F5" s="6">
        <v>46035.381944444445</v>
      </c>
      <c r="G5" s="6">
        <v>46035.458333333336</v>
      </c>
      <c r="H5" s="6">
        <v>46035.509722222225</v>
      </c>
      <c r="I5" s="6">
        <v>46035.51666666667</v>
      </c>
      <c r="J5" s="6">
        <v>46035.541666666664</v>
      </c>
      <c r="K5">
        <v>4</v>
      </c>
      <c r="L5" s="6">
        <v>46035.548611111109</v>
      </c>
      <c r="M5" s="7">
        <f>F5-E5</f>
        <v>6.9444444452528842E-3</v>
      </c>
      <c r="N5">
        <f>HOUR(M5)</f>
        <v>0</v>
      </c>
      <c r="O5">
        <f>MINUTE(M5)</f>
        <v>10</v>
      </c>
      <c r="P5">
        <f>N5*60+O5</f>
        <v>10</v>
      </c>
      <c r="Q5" s="7">
        <f>G5-F5</f>
        <v>7.6388888890505768E-2</v>
      </c>
      <c r="R5">
        <f>HOUR(Q5)</f>
        <v>1</v>
      </c>
      <c r="S5">
        <f>MINUTE(Q5)</f>
        <v>50</v>
      </c>
      <c r="T5">
        <f>R5*60+S5</f>
        <v>110</v>
      </c>
      <c r="U5" s="7">
        <f>H5-G5</f>
        <v>5.1388888889050577E-2</v>
      </c>
      <c r="V5">
        <f>HOUR(U5)</f>
        <v>1</v>
      </c>
      <c r="W5">
        <f>MINUTE(U5)</f>
        <v>14</v>
      </c>
      <c r="X5">
        <f>V5*60+W5</f>
        <v>74</v>
      </c>
      <c r="Y5" s="7">
        <f>I5-H5</f>
        <v>6.9444444452528842E-3</v>
      </c>
      <c r="Z5">
        <f>HOUR(Y5)</f>
        <v>0</v>
      </c>
      <c r="AA5">
        <f>MINUTE(Y5)</f>
        <v>10</v>
      </c>
      <c r="AB5">
        <f>Z5*60+AA5</f>
        <v>10</v>
      </c>
    </row>
    <row r="6" spans="1:32" x14ac:dyDescent="0.25">
      <c r="A6">
        <v>4</v>
      </c>
      <c r="B6" t="s">
        <v>33</v>
      </c>
      <c r="C6">
        <v>1</v>
      </c>
      <c r="D6" t="s">
        <v>34</v>
      </c>
      <c r="E6" s="6">
        <v>46024.607638888891</v>
      </c>
      <c r="F6" s="6">
        <v>46024.618055555555</v>
      </c>
      <c r="G6" s="6">
        <v>46024.645833333336</v>
      </c>
      <c r="H6" s="6">
        <v>46024.776388888888</v>
      </c>
      <c r="I6" s="6">
        <v>46024.815972222219</v>
      </c>
      <c r="J6" s="6">
        <v>46024.819444444445</v>
      </c>
      <c r="K6">
        <v>5.08</v>
      </c>
      <c r="L6" s="6">
        <v>46024.820833333331</v>
      </c>
      <c r="M6" s="7">
        <f>F6-E6</f>
        <v>1.0416666664241347E-2</v>
      </c>
      <c r="N6">
        <f>HOUR(M6)</f>
        <v>0</v>
      </c>
      <c r="O6">
        <f>MINUTE(M6)</f>
        <v>15</v>
      </c>
      <c r="P6">
        <f>N6*60+O6</f>
        <v>15</v>
      </c>
      <c r="Q6" s="7">
        <f>G6-F6</f>
        <v>2.7777777781011537E-2</v>
      </c>
      <c r="R6">
        <f>HOUR(Q6)</f>
        <v>0</v>
      </c>
      <c r="S6">
        <f>MINUTE(Q6)</f>
        <v>40</v>
      </c>
      <c r="T6">
        <f>R6*60+S6</f>
        <v>40</v>
      </c>
      <c r="U6" s="7">
        <f>H6-G6</f>
        <v>0.13055555555183673</v>
      </c>
      <c r="V6">
        <f>HOUR(U6)</f>
        <v>3</v>
      </c>
      <c r="W6">
        <f>MINUTE(U6)</f>
        <v>8</v>
      </c>
      <c r="X6">
        <f>V6*60+W6</f>
        <v>188</v>
      </c>
      <c r="Y6" s="7">
        <f>I6-H6</f>
        <v>3.9583333331393078E-2</v>
      </c>
      <c r="Z6">
        <f>HOUR(Y6)</f>
        <v>0</v>
      </c>
      <c r="AA6">
        <f>MINUTE(Y6)</f>
        <v>57</v>
      </c>
      <c r="AB6">
        <f>Z6*60+AA6</f>
        <v>57</v>
      </c>
    </row>
    <row r="7" spans="1:32" x14ac:dyDescent="0.25">
      <c r="A7">
        <v>5</v>
      </c>
      <c r="B7" t="s">
        <v>33</v>
      </c>
      <c r="C7">
        <v>1</v>
      </c>
      <c r="D7" t="s">
        <v>35</v>
      </c>
      <c r="E7" s="6">
        <v>46028.324999999997</v>
      </c>
      <c r="F7" s="6">
        <v>46028.331944444442</v>
      </c>
      <c r="G7" s="6">
        <v>46028.333333333336</v>
      </c>
      <c r="H7" s="6">
        <v>46028.338194444441</v>
      </c>
      <c r="I7" s="6">
        <v>46028.339583333334</v>
      </c>
      <c r="J7" s="6">
        <v>46028.340277777781</v>
      </c>
      <c r="K7">
        <v>0.37</v>
      </c>
      <c r="L7" s="6">
        <v>46028.341666666667</v>
      </c>
      <c r="M7" s="7">
        <f>F7-E7</f>
        <v>6.9444444452528842E-3</v>
      </c>
      <c r="N7">
        <f>HOUR(M7)</f>
        <v>0</v>
      </c>
      <c r="O7">
        <f>MINUTE(M7)</f>
        <v>10</v>
      </c>
      <c r="P7">
        <f>N7*60+O7</f>
        <v>10</v>
      </c>
      <c r="Q7" s="7">
        <f>G7-F7</f>
        <v>1.3888888934161514E-3</v>
      </c>
      <c r="R7">
        <f>HOUR(Q7)</f>
        <v>0</v>
      </c>
      <c r="S7">
        <f>MINUTE(Q7)</f>
        <v>2</v>
      </c>
      <c r="T7">
        <f>R7*60+S7</f>
        <v>2</v>
      </c>
      <c r="U7" s="7">
        <f>H7-G7</f>
        <v>4.8611111051286571E-3</v>
      </c>
      <c r="V7">
        <f>HOUR(U7)</f>
        <v>0</v>
      </c>
      <c r="W7">
        <f>MINUTE(U7)</f>
        <v>7</v>
      </c>
      <c r="X7">
        <f>V7*60+W7</f>
        <v>7</v>
      </c>
      <c r="Y7" s="7">
        <f>I7-H7</f>
        <v>1.3888888934161514E-3</v>
      </c>
      <c r="Z7">
        <f>HOUR(Y7)</f>
        <v>0</v>
      </c>
      <c r="AA7">
        <f>MINUTE(Y7)</f>
        <v>2</v>
      </c>
      <c r="AB7">
        <f>Z7*60+AA7</f>
        <v>2</v>
      </c>
    </row>
    <row r="8" spans="1:32" x14ac:dyDescent="0.25">
      <c r="A8">
        <v>6</v>
      </c>
      <c r="B8" t="s">
        <v>31</v>
      </c>
      <c r="C8">
        <v>1</v>
      </c>
      <c r="D8" t="s">
        <v>36</v>
      </c>
      <c r="E8" s="6">
        <v>46028.361111111109</v>
      </c>
      <c r="F8" s="6">
        <v>46028.364583333336</v>
      </c>
      <c r="G8" s="6">
        <v>46028.368055555555</v>
      </c>
      <c r="H8" s="6">
        <v>46028.375</v>
      </c>
      <c r="I8" s="6">
        <v>46028.378472222219</v>
      </c>
      <c r="J8" s="6">
        <v>46028.392361111109</v>
      </c>
      <c r="K8">
        <v>0.75</v>
      </c>
      <c r="L8" s="6">
        <v>46028.395833333336</v>
      </c>
      <c r="M8" s="7">
        <f>F8-E8</f>
        <v>3.4722222262644209E-3</v>
      </c>
      <c r="N8">
        <f>HOUR(M8)</f>
        <v>0</v>
      </c>
      <c r="O8">
        <f>MINUTE(M8)</f>
        <v>5</v>
      </c>
      <c r="P8">
        <f>N8*60+O8</f>
        <v>5</v>
      </c>
      <c r="Q8" s="7">
        <f>G8-F8</f>
        <v>3.4722222189884633E-3</v>
      </c>
      <c r="R8">
        <f>HOUR(Q8)</f>
        <v>0</v>
      </c>
      <c r="S8">
        <f>MINUTE(Q8)</f>
        <v>5</v>
      </c>
      <c r="T8">
        <f>R8*60+S8</f>
        <v>5</v>
      </c>
      <c r="U8" s="7">
        <f>H8-G8</f>
        <v>6.9444444452528842E-3</v>
      </c>
      <c r="V8">
        <f>HOUR(U8)</f>
        <v>0</v>
      </c>
      <c r="W8">
        <f>MINUTE(U8)</f>
        <v>10</v>
      </c>
      <c r="X8">
        <f>V8*60+W8</f>
        <v>10</v>
      </c>
      <c r="Y8" s="7">
        <f>I8-H8</f>
        <v>3.4722222189884633E-3</v>
      </c>
      <c r="Z8">
        <f>HOUR(Y8)</f>
        <v>0</v>
      </c>
      <c r="AA8">
        <f>MINUTE(Y8)</f>
        <v>5</v>
      </c>
      <c r="AB8">
        <f>Z8*60+AA8</f>
        <v>5</v>
      </c>
    </row>
    <row r="9" spans="1:32" x14ac:dyDescent="0.25">
      <c r="A9">
        <v>7</v>
      </c>
      <c r="B9" t="s">
        <v>33</v>
      </c>
      <c r="C9">
        <v>1</v>
      </c>
      <c r="D9" t="s">
        <v>35</v>
      </c>
      <c r="E9" s="6">
        <v>46023.635416666664</v>
      </c>
      <c r="F9" s="6">
        <v>46023.645833333336</v>
      </c>
      <c r="G9" s="6">
        <v>46023.666666666664</v>
      </c>
      <c r="H9" s="6">
        <v>46023.710416666669</v>
      </c>
      <c r="I9" s="6">
        <v>46023.717361111114</v>
      </c>
      <c r="J9" s="6">
        <v>46023.722222222219</v>
      </c>
      <c r="K9">
        <v>2.08</v>
      </c>
      <c r="L9" s="6">
        <v>46023.729166666664</v>
      </c>
      <c r="M9" s="7">
        <f>F9-E9</f>
        <v>1.0416666671517305E-2</v>
      </c>
      <c r="N9">
        <f>HOUR(M9)</f>
        <v>0</v>
      </c>
      <c r="O9">
        <f>MINUTE(M9)</f>
        <v>15</v>
      </c>
      <c r="P9">
        <f>N9*60+O9</f>
        <v>15</v>
      </c>
      <c r="Q9" s="7">
        <f>G9-F9</f>
        <v>2.0833333328482695E-2</v>
      </c>
      <c r="R9">
        <f>HOUR(Q9)</f>
        <v>0</v>
      </c>
      <c r="S9">
        <f>MINUTE(Q9)</f>
        <v>30</v>
      </c>
      <c r="T9">
        <f>R9*60+S9</f>
        <v>30</v>
      </c>
      <c r="U9" s="7">
        <f>H9-G9</f>
        <v>4.3750000004365575E-2</v>
      </c>
      <c r="V9">
        <f>HOUR(U9)</f>
        <v>1</v>
      </c>
      <c r="W9">
        <f>MINUTE(U9)</f>
        <v>3</v>
      </c>
      <c r="X9">
        <f>V9*60+W9</f>
        <v>63</v>
      </c>
      <c r="Y9" s="7">
        <f>I9-H9</f>
        <v>6.9444444452528842E-3</v>
      </c>
      <c r="Z9">
        <f>HOUR(Y9)</f>
        <v>0</v>
      </c>
      <c r="AA9">
        <f>MINUTE(Y9)</f>
        <v>10</v>
      </c>
      <c r="AB9">
        <f>Z9*60+AA9</f>
        <v>10</v>
      </c>
    </row>
    <row r="10" spans="1:32" x14ac:dyDescent="0.25">
      <c r="A10">
        <v>8</v>
      </c>
      <c r="B10" t="s">
        <v>33</v>
      </c>
      <c r="C10">
        <v>1</v>
      </c>
      <c r="D10" t="s">
        <v>34</v>
      </c>
      <c r="E10" s="6">
        <v>46023.291666666664</v>
      </c>
      <c r="F10" s="6">
        <v>46023.333333333336</v>
      </c>
      <c r="G10" s="6">
        <v>46023.375</v>
      </c>
      <c r="H10" s="6">
        <v>46023.513888888891</v>
      </c>
      <c r="I10" s="6">
        <v>46023.520833333336</v>
      </c>
      <c r="J10" s="6">
        <v>46023.541666666664</v>
      </c>
      <c r="K10">
        <v>6</v>
      </c>
      <c r="L10" s="6">
        <v>46023.548611111109</v>
      </c>
      <c r="M10" s="7">
        <f>F10-E10</f>
        <v>4.1666666671517305E-2</v>
      </c>
      <c r="N10">
        <f>HOUR(M10)</f>
        <v>1</v>
      </c>
      <c r="O10">
        <f>MINUTE(M10)</f>
        <v>0</v>
      </c>
      <c r="P10">
        <f>N10*60+O10</f>
        <v>60</v>
      </c>
      <c r="Q10" s="7">
        <f>G10-F10</f>
        <v>4.1666666664241347E-2</v>
      </c>
      <c r="R10">
        <f>HOUR(Q10)</f>
        <v>1</v>
      </c>
      <c r="S10">
        <f>MINUTE(Q10)</f>
        <v>0</v>
      </c>
      <c r="T10">
        <f>R10*60+S10</f>
        <v>60</v>
      </c>
      <c r="U10" s="7">
        <f>H10-G10</f>
        <v>0.13888888889050577</v>
      </c>
      <c r="V10">
        <f>HOUR(U10)</f>
        <v>3</v>
      </c>
      <c r="W10">
        <f>MINUTE(U10)</f>
        <v>20</v>
      </c>
      <c r="X10">
        <f>V10*60+W10</f>
        <v>200</v>
      </c>
      <c r="Y10" s="7">
        <f>I10-H10</f>
        <v>6.9444444452528842E-3</v>
      </c>
      <c r="Z10">
        <f>HOUR(Y10)</f>
        <v>0</v>
      </c>
      <c r="AA10">
        <f>MINUTE(Y10)</f>
        <v>10</v>
      </c>
      <c r="AB10">
        <f>Z10*60+AA10</f>
        <v>10</v>
      </c>
    </row>
    <row r="11" spans="1:32" x14ac:dyDescent="0.25">
      <c r="A11">
        <v>9</v>
      </c>
      <c r="B11" t="s">
        <v>33</v>
      </c>
      <c r="C11">
        <v>1</v>
      </c>
      <c r="D11" t="s">
        <v>30</v>
      </c>
      <c r="E11" s="6">
        <v>46023.352083333331</v>
      </c>
      <c r="F11" s="6">
        <v>46023.361111111109</v>
      </c>
      <c r="G11" s="6">
        <v>46023.368055555555</v>
      </c>
      <c r="H11" s="6">
        <v>46023.375</v>
      </c>
      <c r="I11" s="6">
        <v>46023.381944444445</v>
      </c>
      <c r="J11" s="6">
        <v>46023.385416666664</v>
      </c>
      <c r="K11">
        <v>0.8</v>
      </c>
      <c r="L11" s="6">
        <v>46023.395833333336</v>
      </c>
      <c r="M11" s="7">
        <f>F11-E11</f>
        <v>9.0277777781011537E-3</v>
      </c>
      <c r="N11">
        <f>HOUR(M11)</f>
        <v>0</v>
      </c>
      <c r="O11">
        <f>MINUTE(M11)</f>
        <v>13</v>
      </c>
      <c r="P11">
        <f>N11*60+O11</f>
        <v>13</v>
      </c>
      <c r="Q11" s="7">
        <f>G11-F11</f>
        <v>6.9444444452528842E-3</v>
      </c>
      <c r="R11">
        <f>HOUR(Q11)</f>
        <v>0</v>
      </c>
      <c r="S11">
        <f>MINUTE(Q11)</f>
        <v>10</v>
      </c>
      <c r="T11">
        <f>R11*60+S11</f>
        <v>10</v>
      </c>
      <c r="U11" s="7">
        <f>H11-G11</f>
        <v>6.9444444452528842E-3</v>
      </c>
      <c r="V11">
        <f>HOUR(U11)</f>
        <v>0</v>
      </c>
      <c r="W11">
        <f>MINUTE(U11)</f>
        <v>10</v>
      </c>
      <c r="X11">
        <f>V11*60+W11</f>
        <v>10</v>
      </c>
      <c r="Y11" s="7">
        <f>I11-H11</f>
        <v>6.9444444452528842E-3</v>
      </c>
      <c r="Z11">
        <f>HOUR(Y11)</f>
        <v>0</v>
      </c>
      <c r="AA11">
        <f>MINUTE(Y11)</f>
        <v>10</v>
      </c>
      <c r="AB11">
        <f>Z11*60+AA11</f>
        <v>10</v>
      </c>
    </row>
    <row r="12" spans="1:32" x14ac:dyDescent="0.25">
      <c r="A12">
        <v>10</v>
      </c>
      <c r="B12" t="s">
        <v>33</v>
      </c>
      <c r="C12">
        <v>1</v>
      </c>
      <c r="D12" t="s">
        <v>34</v>
      </c>
      <c r="E12" s="6">
        <v>46023.361111111109</v>
      </c>
      <c r="F12" s="6">
        <v>46023.375</v>
      </c>
      <c r="G12" s="6">
        <v>46023.416666666664</v>
      </c>
      <c r="H12" s="6">
        <v>46023.461805555555</v>
      </c>
      <c r="I12" s="6">
        <v>46023.46875</v>
      </c>
      <c r="J12" s="6">
        <v>46023.5</v>
      </c>
      <c r="K12">
        <v>3.33</v>
      </c>
      <c r="L12" s="6">
        <v>46023.506944444445</v>
      </c>
      <c r="M12" s="7">
        <f>F12-E12</f>
        <v>1.3888888890505768E-2</v>
      </c>
      <c r="N12">
        <f>HOUR(M12)</f>
        <v>0</v>
      </c>
      <c r="O12">
        <f>MINUTE(M12)</f>
        <v>20</v>
      </c>
      <c r="P12">
        <f>N12*60+O12</f>
        <v>20</v>
      </c>
      <c r="Q12" s="7">
        <f>G12-F12</f>
        <v>4.1666666664241347E-2</v>
      </c>
      <c r="R12">
        <f>HOUR(Q12)</f>
        <v>1</v>
      </c>
      <c r="S12">
        <f>MINUTE(Q12)</f>
        <v>0</v>
      </c>
      <c r="T12">
        <f>R12*60+S12</f>
        <v>60</v>
      </c>
      <c r="U12" s="7">
        <f>H12-G12</f>
        <v>4.5138888890505768E-2</v>
      </c>
      <c r="V12">
        <f>HOUR(U12)</f>
        <v>1</v>
      </c>
      <c r="W12">
        <f>MINUTE(U12)</f>
        <v>5</v>
      </c>
      <c r="X12">
        <f>V12*60+W12</f>
        <v>65</v>
      </c>
      <c r="Y12" s="7">
        <f>I12-H12</f>
        <v>6.9444444452528842E-3</v>
      </c>
      <c r="Z12">
        <f>HOUR(Y12)</f>
        <v>0</v>
      </c>
      <c r="AA12">
        <f>MINUTE(Y12)</f>
        <v>10</v>
      </c>
      <c r="AB12">
        <f>Z12*60+AA12</f>
        <v>10</v>
      </c>
    </row>
    <row r="13" spans="1:32" x14ac:dyDescent="0.25">
      <c r="A13">
        <v>11</v>
      </c>
      <c r="B13" t="s">
        <v>31</v>
      </c>
      <c r="C13">
        <v>1</v>
      </c>
      <c r="D13" t="s">
        <v>30</v>
      </c>
      <c r="E13" s="6">
        <v>46023</v>
      </c>
      <c r="F13" s="6">
        <v>46023.006944444445</v>
      </c>
      <c r="G13" s="6">
        <v>46023.020833333336</v>
      </c>
      <c r="H13" s="6">
        <v>46023.055555555555</v>
      </c>
      <c r="I13" s="6">
        <v>46023.059027777781</v>
      </c>
      <c r="J13" s="6">
        <v>46023.065972222219</v>
      </c>
      <c r="K13">
        <v>1.58</v>
      </c>
      <c r="L13" s="6">
        <v>46023.066666666666</v>
      </c>
      <c r="M13" s="7">
        <f>F13-E13</f>
        <v>6.9444444452528842E-3</v>
      </c>
      <c r="N13">
        <f>HOUR(M13)</f>
        <v>0</v>
      </c>
      <c r="O13">
        <f>MINUTE(M13)</f>
        <v>10</v>
      </c>
      <c r="P13">
        <f>N13*60+O13</f>
        <v>10</v>
      </c>
      <c r="Q13" s="7">
        <f>G13-F13</f>
        <v>1.3888888890505768E-2</v>
      </c>
      <c r="R13">
        <f>HOUR(Q13)</f>
        <v>0</v>
      </c>
      <c r="S13">
        <f>MINUTE(Q13)</f>
        <v>20</v>
      </c>
      <c r="T13">
        <f>R13*60+S13</f>
        <v>20</v>
      </c>
      <c r="U13" s="7">
        <f>H13-G13</f>
        <v>3.4722222218988463E-2</v>
      </c>
      <c r="V13">
        <f>HOUR(U13)</f>
        <v>0</v>
      </c>
      <c r="W13">
        <f>MINUTE(U13)</f>
        <v>50</v>
      </c>
      <c r="X13">
        <f>V13*60+W13</f>
        <v>50</v>
      </c>
      <c r="Y13" s="7">
        <f>I13-H13</f>
        <v>3.4722222262644209E-3</v>
      </c>
      <c r="Z13">
        <f>HOUR(Y13)</f>
        <v>0</v>
      </c>
      <c r="AA13">
        <f>MINUTE(Y13)</f>
        <v>5</v>
      </c>
      <c r="AB13">
        <f>Z13*60+AA13</f>
        <v>5</v>
      </c>
    </row>
    <row r="14" spans="1:32" x14ac:dyDescent="0.25">
      <c r="A14">
        <v>12</v>
      </c>
      <c r="B14" t="s">
        <v>33</v>
      </c>
      <c r="C14">
        <v>1</v>
      </c>
      <c r="D14" t="s">
        <v>30</v>
      </c>
      <c r="E14" s="6">
        <v>46023.121527777781</v>
      </c>
      <c r="F14" s="6">
        <v>46023.125</v>
      </c>
      <c r="G14" s="6">
        <v>46023.131944444445</v>
      </c>
      <c r="H14" s="6">
        <v>46023.145833333336</v>
      </c>
      <c r="I14" s="6">
        <v>46023.149305555555</v>
      </c>
      <c r="J14" s="6">
        <v>46023.152777777781</v>
      </c>
      <c r="K14">
        <v>0.75</v>
      </c>
      <c r="L14" s="6">
        <v>46023.159722222219</v>
      </c>
      <c r="M14" s="7">
        <f>F14-E14</f>
        <v>3.4722222189884633E-3</v>
      </c>
      <c r="N14">
        <f>HOUR(M14)</f>
        <v>0</v>
      </c>
      <c r="O14">
        <f>MINUTE(M14)</f>
        <v>5</v>
      </c>
      <c r="P14">
        <f>N14*60+O14</f>
        <v>5</v>
      </c>
      <c r="Q14" s="7">
        <f>G14-F14</f>
        <v>6.9444444452528842E-3</v>
      </c>
      <c r="R14">
        <f>HOUR(Q14)</f>
        <v>0</v>
      </c>
      <c r="S14">
        <f>MINUTE(Q14)</f>
        <v>10</v>
      </c>
      <c r="T14">
        <f>R14*60+S14</f>
        <v>10</v>
      </c>
      <c r="U14" s="7">
        <f>H14-G14</f>
        <v>1.3888888890505768E-2</v>
      </c>
      <c r="V14">
        <f>HOUR(U14)</f>
        <v>0</v>
      </c>
      <c r="W14">
        <f>MINUTE(U14)</f>
        <v>20</v>
      </c>
      <c r="X14">
        <f>V14*60+W14</f>
        <v>20</v>
      </c>
      <c r="Y14" s="7">
        <f>I14-H14</f>
        <v>3.4722222189884633E-3</v>
      </c>
      <c r="Z14">
        <f>HOUR(Y14)</f>
        <v>0</v>
      </c>
      <c r="AA14">
        <f>MINUTE(Y14)</f>
        <v>5</v>
      </c>
      <c r="AB14">
        <f>Z14*60+AA14</f>
        <v>5</v>
      </c>
    </row>
    <row r="15" spans="1:32" x14ac:dyDescent="0.25">
      <c r="A15">
        <v>13</v>
      </c>
      <c r="B15" t="s">
        <v>29</v>
      </c>
      <c r="C15">
        <v>1</v>
      </c>
      <c r="D15" t="s">
        <v>30</v>
      </c>
      <c r="E15" s="6">
        <v>46024.5</v>
      </c>
      <c r="F15" s="6">
        <v>46024.506944444445</v>
      </c>
      <c r="G15" s="6">
        <v>46024.520833333336</v>
      </c>
      <c r="H15" s="6">
        <v>46024.5625</v>
      </c>
      <c r="I15" s="6">
        <v>46024.569444444445</v>
      </c>
      <c r="J15" s="6">
        <v>46024.576388888891</v>
      </c>
      <c r="K15">
        <v>1.83</v>
      </c>
      <c r="L15" s="6">
        <v>46024.583333333336</v>
      </c>
      <c r="M15" s="7">
        <f>F15-E15</f>
        <v>6.9444444452528842E-3</v>
      </c>
      <c r="N15">
        <f>HOUR(M15)</f>
        <v>0</v>
      </c>
      <c r="O15">
        <f>MINUTE(M15)</f>
        <v>10</v>
      </c>
      <c r="P15">
        <f>N15*60+O15</f>
        <v>10</v>
      </c>
      <c r="Q15" s="7">
        <f>G15-F15</f>
        <v>1.3888888890505768E-2</v>
      </c>
      <c r="R15">
        <f>HOUR(Q15)</f>
        <v>0</v>
      </c>
      <c r="S15">
        <f>MINUTE(Q15)</f>
        <v>20</v>
      </c>
      <c r="T15">
        <f>R15*60+S15</f>
        <v>20</v>
      </c>
      <c r="U15" s="7">
        <f>H15-G15</f>
        <v>4.1666666664241347E-2</v>
      </c>
      <c r="V15">
        <f>HOUR(U15)</f>
        <v>1</v>
      </c>
      <c r="W15">
        <f>MINUTE(U15)</f>
        <v>0</v>
      </c>
      <c r="X15">
        <f>V15*60+W15</f>
        <v>60</v>
      </c>
      <c r="Y15" s="7">
        <f>I15-H15</f>
        <v>6.9444444452528842E-3</v>
      </c>
      <c r="Z15">
        <f>HOUR(Y15)</f>
        <v>0</v>
      </c>
      <c r="AA15">
        <f>MINUTE(Y15)</f>
        <v>10</v>
      </c>
      <c r="AB15">
        <f>Z15*60+AA15</f>
        <v>10</v>
      </c>
    </row>
    <row r="16" spans="1:32" x14ac:dyDescent="0.25">
      <c r="A16">
        <v>14</v>
      </c>
      <c r="B16" t="s">
        <v>33</v>
      </c>
      <c r="C16">
        <v>1</v>
      </c>
      <c r="D16" t="s">
        <v>36</v>
      </c>
      <c r="E16" s="6">
        <v>46023.416666666664</v>
      </c>
      <c r="F16" s="6">
        <v>46023.430555555555</v>
      </c>
      <c r="G16" s="6">
        <v>46023.451388888891</v>
      </c>
      <c r="H16" s="6">
        <v>46023.472222222219</v>
      </c>
      <c r="I16" s="6">
        <v>46023.479166666664</v>
      </c>
      <c r="J16" s="6">
        <v>46023.611111111109</v>
      </c>
      <c r="K16">
        <v>4.67</v>
      </c>
      <c r="L16" s="6">
        <v>46023.618055555555</v>
      </c>
      <c r="M16" s="7">
        <f>F16-E16</f>
        <v>1.3888888890505768E-2</v>
      </c>
      <c r="N16">
        <f>HOUR(M16)</f>
        <v>0</v>
      </c>
      <c r="O16">
        <f>MINUTE(M16)</f>
        <v>20</v>
      </c>
      <c r="P16">
        <f>N16*60+O16</f>
        <v>20</v>
      </c>
      <c r="Q16" s="7">
        <f>G16-F16</f>
        <v>2.0833333335758653E-2</v>
      </c>
      <c r="R16">
        <f>HOUR(Q16)</f>
        <v>0</v>
      </c>
      <c r="S16">
        <f>MINUTE(Q16)</f>
        <v>30</v>
      </c>
      <c r="T16">
        <f>R16*60+S16</f>
        <v>30</v>
      </c>
      <c r="U16" s="7">
        <f>H16-G16</f>
        <v>2.0833333328482695E-2</v>
      </c>
      <c r="V16">
        <f>HOUR(U16)</f>
        <v>0</v>
      </c>
      <c r="W16">
        <f>MINUTE(U16)</f>
        <v>30</v>
      </c>
      <c r="X16">
        <f>V16*60+W16</f>
        <v>30</v>
      </c>
      <c r="Y16" s="7">
        <f>I16-H16</f>
        <v>6.9444444452528842E-3</v>
      </c>
      <c r="Z16">
        <f>HOUR(Y16)</f>
        <v>0</v>
      </c>
      <c r="AA16">
        <f>MINUTE(Y16)</f>
        <v>10</v>
      </c>
      <c r="AB16">
        <f>Z16*60+AA16</f>
        <v>10</v>
      </c>
    </row>
    <row r="17" spans="1:28" x14ac:dyDescent="0.25">
      <c r="A17">
        <v>15</v>
      </c>
      <c r="B17" t="s">
        <v>31</v>
      </c>
      <c r="C17">
        <v>1</v>
      </c>
      <c r="D17" t="s">
        <v>32</v>
      </c>
      <c r="E17" s="6">
        <v>46023.440972222219</v>
      </c>
      <c r="F17" s="6">
        <v>46023.458333333336</v>
      </c>
      <c r="G17" s="6">
        <v>46023.46875</v>
      </c>
      <c r="H17" s="6">
        <v>46023.527777777781</v>
      </c>
      <c r="I17" s="6">
        <v>46023.53125</v>
      </c>
      <c r="J17" s="6">
        <v>46023.534722222219</v>
      </c>
      <c r="K17">
        <v>2.25</v>
      </c>
      <c r="L17" s="6">
        <v>46023.541666666664</v>
      </c>
      <c r="M17" s="7">
        <f>F17-E17</f>
        <v>1.7361111116770189E-2</v>
      </c>
      <c r="N17">
        <f>HOUR(M17)</f>
        <v>0</v>
      </c>
      <c r="O17">
        <f>MINUTE(M17)</f>
        <v>25</v>
      </c>
      <c r="P17">
        <f>N17*60+O17</f>
        <v>25</v>
      </c>
      <c r="Q17" s="7">
        <f>G17-F17</f>
        <v>1.0416666664241347E-2</v>
      </c>
      <c r="R17">
        <f>HOUR(Q17)</f>
        <v>0</v>
      </c>
      <c r="S17">
        <f>MINUTE(Q17)</f>
        <v>15</v>
      </c>
      <c r="T17">
        <f>R17*60+S17</f>
        <v>15</v>
      </c>
      <c r="U17" s="7">
        <f>H17-G17</f>
        <v>5.9027777781011537E-2</v>
      </c>
      <c r="V17">
        <f>HOUR(U17)</f>
        <v>1</v>
      </c>
      <c r="W17">
        <f>MINUTE(U17)</f>
        <v>25</v>
      </c>
      <c r="X17">
        <f>V17*60+W17</f>
        <v>85</v>
      </c>
      <c r="Y17" s="7">
        <f>I17-H17</f>
        <v>3.4722222189884633E-3</v>
      </c>
      <c r="Z17">
        <f>HOUR(Y17)</f>
        <v>0</v>
      </c>
      <c r="AA17">
        <f>MINUTE(Y17)</f>
        <v>5</v>
      </c>
      <c r="AB17">
        <f>Z17*60+AA17</f>
        <v>5</v>
      </c>
    </row>
    <row r="18" spans="1:28" x14ac:dyDescent="0.25">
      <c r="A18">
        <v>16</v>
      </c>
      <c r="B18" t="s">
        <v>33</v>
      </c>
      <c r="C18">
        <v>1</v>
      </c>
      <c r="D18" t="s">
        <v>30</v>
      </c>
      <c r="E18" s="6">
        <v>46023.454861111109</v>
      </c>
      <c r="F18" s="6">
        <v>46023.461805555555</v>
      </c>
      <c r="G18" s="6">
        <v>46023.482638888891</v>
      </c>
      <c r="H18" s="6">
        <v>46023.534722222219</v>
      </c>
      <c r="I18" s="6">
        <v>46023.541666666664</v>
      </c>
      <c r="J18" s="6">
        <v>46023.548611111109</v>
      </c>
      <c r="K18">
        <v>2.25</v>
      </c>
      <c r="L18" s="6">
        <v>46023.555555555555</v>
      </c>
      <c r="M18" s="7">
        <f>F18-E18</f>
        <v>6.9444444452528842E-3</v>
      </c>
      <c r="N18">
        <f>HOUR(M18)</f>
        <v>0</v>
      </c>
      <c r="O18">
        <f>MINUTE(M18)</f>
        <v>10</v>
      </c>
      <c r="P18">
        <f>N18*60+O18</f>
        <v>10</v>
      </c>
      <c r="Q18" s="7">
        <f>G18-F18</f>
        <v>2.0833333335758653E-2</v>
      </c>
      <c r="R18">
        <f>HOUR(Q18)</f>
        <v>0</v>
      </c>
      <c r="S18">
        <f>MINUTE(Q18)</f>
        <v>30</v>
      </c>
      <c r="T18">
        <f>R18*60+S18</f>
        <v>30</v>
      </c>
      <c r="U18" s="7">
        <f>H18-G18</f>
        <v>5.2083333328482695E-2</v>
      </c>
      <c r="V18">
        <f>HOUR(U18)</f>
        <v>1</v>
      </c>
      <c r="W18">
        <f>MINUTE(U18)</f>
        <v>15</v>
      </c>
      <c r="X18">
        <f>V18*60+W18</f>
        <v>75</v>
      </c>
      <c r="Y18" s="7">
        <f>I18-H18</f>
        <v>6.9444444452528842E-3</v>
      </c>
      <c r="Z18">
        <f>HOUR(Y18)</f>
        <v>0</v>
      </c>
      <c r="AA18">
        <f>MINUTE(Y18)</f>
        <v>10</v>
      </c>
      <c r="AB18">
        <f>Z18*60+AA18</f>
        <v>10</v>
      </c>
    </row>
    <row r="19" spans="1:28" x14ac:dyDescent="0.25">
      <c r="A19">
        <v>17</v>
      </c>
      <c r="B19" t="s">
        <v>29</v>
      </c>
      <c r="C19">
        <v>1</v>
      </c>
      <c r="D19" t="s">
        <v>34</v>
      </c>
      <c r="E19" s="6">
        <v>46023.590277777781</v>
      </c>
      <c r="F19" s="6">
        <v>46023.611111111109</v>
      </c>
      <c r="G19" s="6">
        <v>46023.625</v>
      </c>
      <c r="H19" s="6">
        <v>46023.694444444445</v>
      </c>
      <c r="I19" s="6">
        <v>46023.701388888891</v>
      </c>
      <c r="J19" s="6">
        <v>46023.729166666664</v>
      </c>
      <c r="K19">
        <v>3.33</v>
      </c>
      <c r="L19" s="6">
        <v>46023.736111111109</v>
      </c>
      <c r="M19" s="7">
        <f>F19-E19</f>
        <v>2.0833333328482695E-2</v>
      </c>
      <c r="N19">
        <f>HOUR(M19)</f>
        <v>0</v>
      </c>
      <c r="O19">
        <f>MINUTE(M19)</f>
        <v>30</v>
      </c>
      <c r="P19">
        <f>N19*60+O19</f>
        <v>30</v>
      </c>
      <c r="Q19" s="7">
        <f>G19-F19</f>
        <v>1.3888888890505768E-2</v>
      </c>
      <c r="R19">
        <f>HOUR(Q19)</f>
        <v>0</v>
      </c>
      <c r="S19">
        <f>MINUTE(Q19)</f>
        <v>20</v>
      </c>
      <c r="T19">
        <f>R19*60+S19</f>
        <v>20</v>
      </c>
      <c r="U19" s="7">
        <f>H19-G19</f>
        <v>6.9444444445252884E-2</v>
      </c>
      <c r="V19">
        <f>HOUR(U19)</f>
        <v>1</v>
      </c>
      <c r="W19">
        <f>MINUTE(U19)</f>
        <v>40</v>
      </c>
      <c r="X19">
        <f>V19*60+W19</f>
        <v>100</v>
      </c>
      <c r="Y19" s="7">
        <f>I19-H19</f>
        <v>6.9444444452528842E-3</v>
      </c>
      <c r="Z19">
        <f>HOUR(Y19)</f>
        <v>0</v>
      </c>
      <c r="AA19">
        <f>MINUTE(Y19)</f>
        <v>10</v>
      </c>
      <c r="AB19">
        <f>Z19*60+AA19</f>
        <v>10</v>
      </c>
    </row>
    <row r="20" spans="1:28" x14ac:dyDescent="0.25">
      <c r="A20">
        <v>18</v>
      </c>
      <c r="B20" t="s">
        <v>29</v>
      </c>
      <c r="C20">
        <v>1</v>
      </c>
      <c r="D20" t="s">
        <v>34</v>
      </c>
      <c r="E20" s="6">
        <v>46024.465277777781</v>
      </c>
      <c r="F20" s="6">
        <v>46024.479166666664</v>
      </c>
      <c r="G20" s="6">
        <v>46024.486111111109</v>
      </c>
      <c r="H20" s="6">
        <v>46024.503472222219</v>
      </c>
      <c r="I20" s="6">
        <v>46024.505555555559</v>
      </c>
      <c r="J20" s="6">
        <v>46024.513888888891</v>
      </c>
      <c r="K20">
        <v>1.17</v>
      </c>
      <c r="L20" s="6">
        <v>46024.51458333333</v>
      </c>
      <c r="M20" s="7">
        <f>F20-E20</f>
        <v>1.3888888883229811E-2</v>
      </c>
      <c r="N20">
        <f>HOUR(M20)</f>
        <v>0</v>
      </c>
      <c r="O20">
        <f>MINUTE(M20)</f>
        <v>20</v>
      </c>
      <c r="P20">
        <f>N20*60+O20</f>
        <v>20</v>
      </c>
      <c r="Q20" s="7">
        <f>G20-F20</f>
        <v>6.9444444452528842E-3</v>
      </c>
      <c r="R20">
        <f>HOUR(Q20)</f>
        <v>0</v>
      </c>
      <c r="S20">
        <f>MINUTE(Q20)</f>
        <v>10</v>
      </c>
      <c r="T20">
        <f>R20*60+S20</f>
        <v>10</v>
      </c>
      <c r="U20" s="7">
        <f>H20-G20</f>
        <v>1.7361111109494232E-2</v>
      </c>
      <c r="V20">
        <f>HOUR(U20)</f>
        <v>0</v>
      </c>
      <c r="W20">
        <f>MINUTE(U20)</f>
        <v>25</v>
      </c>
      <c r="X20">
        <f>V20*60+W20</f>
        <v>25</v>
      </c>
      <c r="Y20" s="7">
        <f>I20-H20</f>
        <v>2.0833333401242271E-3</v>
      </c>
      <c r="Z20">
        <f>HOUR(Y20)</f>
        <v>0</v>
      </c>
      <c r="AA20">
        <f>MINUTE(Y20)</f>
        <v>3</v>
      </c>
      <c r="AB20">
        <f>Z20*60+AA20</f>
        <v>3</v>
      </c>
    </row>
    <row r="21" spans="1:28" x14ac:dyDescent="0.25">
      <c r="A21">
        <v>19</v>
      </c>
      <c r="B21" t="s">
        <v>33</v>
      </c>
      <c r="C21">
        <v>1</v>
      </c>
      <c r="D21" t="s">
        <v>36</v>
      </c>
      <c r="E21" s="6">
        <v>46024.586805555555</v>
      </c>
      <c r="F21" s="6">
        <v>46024.59375</v>
      </c>
      <c r="G21" s="6">
        <v>46024.607638888891</v>
      </c>
      <c r="H21" s="6">
        <v>46024.65</v>
      </c>
      <c r="I21" s="6">
        <v>46024.656944444447</v>
      </c>
      <c r="J21" s="6">
        <v>46024.666666666664</v>
      </c>
      <c r="K21">
        <v>1.92</v>
      </c>
      <c r="L21" s="6">
        <v>46024.673611111109</v>
      </c>
      <c r="M21" s="7">
        <f>F21-E21</f>
        <v>6.9444444452528842E-3</v>
      </c>
      <c r="N21">
        <f>HOUR(M21)</f>
        <v>0</v>
      </c>
      <c r="O21">
        <f>MINUTE(M21)</f>
        <v>10</v>
      </c>
      <c r="P21">
        <f>N21*60+O21</f>
        <v>10</v>
      </c>
      <c r="Q21" s="7">
        <f>G21-F21</f>
        <v>1.3888888890505768E-2</v>
      </c>
      <c r="R21">
        <f>HOUR(Q21)</f>
        <v>0</v>
      </c>
      <c r="S21">
        <f>MINUTE(Q21)</f>
        <v>20</v>
      </c>
      <c r="T21">
        <f>R21*60+S21</f>
        <v>20</v>
      </c>
      <c r="U21" s="7">
        <f>H21-G21</f>
        <v>4.2361111110949423E-2</v>
      </c>
      <c r="V21">
        <f>HOUR(U21)</f>
        <v>1</v>
      </c>
      <c r="W21">
        <f>MINUTE(U21)</f>
        <v>1</v>
      </c>
      <c r="X21">
        <f>V21*60+W21</f>
        <v>61</v>
      </c>
      <c r="Y21" s="7">
        <f>I21-H21</f>
        <v>6.9444444452528842E-3</v>
      </c>
      <c r="Z21">
        <f>HOUR(Y21)</f>
        <v>0</v>
      </c>
      <c r="AA21">
        <f>MINUTE(Y21)</f>
        <v>10</v>
      </c>
      <c r="AB21">
        <f>Z21*60+AA21</f>
        <v>10</v>
      </c>
    </row>
    <row r="22" spans="1:28" x14ac:dyDescent="0.25">
      <c r="A22">
        <v>20</v>
      </c>
      <c r="B22" t="s">
        <v>31</v>
      </c>
      <c r="C22">
        <v>1</v>
      </c>
      <c r="D22" t="s">
        <v>34</v>
      </c>
      <c r="E22" s="6">
        <v>46024.295138888891</v>
      </c>
      <c r="F22" s="6">
        <v>46024.361111111109</v>
      </c>
      <c r="G22" s="6">
        <v>46024.444444444445</v>
      </c>
      <c r="H22" s="6">
        <v>46024.552083333336</v>
      </c>
      <c r="I22" s="6">
        <v>46024.559027777781</v>
      </c>
      <c r="J22" s="6">
        <v>46024.576388888891</v>
      </c>
      <c r="K22">
        <v>6.75</v>
      </c>
      <c r="L22" s="6">
        <v>46024.579861111109</v>
      </c>
      <c r="M22" s="7">
        <f>F22-E22</f>
        <v>6.5972222218988463E-2</v>
      </c>
      <c r="N22">
        <f>HOUR(M22)</f>
        <v>1</v>
      </c>
      <c r="O22">
        <f>MINUTE(M22)</f>
        <v>35</v>
      </c>
      <c r="P22">
        <f>N22*60+O22</f>
        <v>95</v>
      </c>
      <c r="Q22" s="7">
        <f>G22-F22</f>
        <v>8.3333333335758653E-2</v>
      </c>
      <c r="R22">
        <f>HOUR(Q22)</f>
        <v>2</v>
      </c>
      <c r="S22">
        <f>MINUTE(Q22)</f>
        <v>0</v>
      </c>
      <c r="T22">
        <f>R22*60+S22</f>
        <v>120</v>
      </c>
      <c r="U22" s="7">
        <f>H22-G22</f>
        <v>0.10763888889050577</v>
      </c>
      <c r="V22">
        <f>HOUR(U22)</f>
        <v>2</v>
      </c>
      <c r="W22">
        <f>MINUTE(U22)</f>
        <v>35</v>
      </c>
      <c r="X22">
        <f>V22*60+W22</f>
        <v>155</v>
      </c>
      <c r="Y22" s="7">
        <f>I22-H22</f>
        <v>6.9444444452528842E-3</v>
      </c>
      <c r="Z22">
        <f>HOUR(Y22)</f>
        <v>0</v>
      </c>
      <c r="AA22">
        <f>MINUTE(Y22)</f>
        <v>10</v>
      </c>
      <c r="AB22">
        <f>Z22*60+AA22</f>
        <v>10</v>
      </c>
    </row>
    <row r="23" spans="1:28" x14ac:dyDescent="0.25">
      <c r="A23">
        <v>21</v>
      </c>
      <c r="B23" t="s">
        <v>33</v>
      </c>
      <c r="C23">
        <v>1</v>
      </c>
      <c r="D23" t="s">
        <v>35</v>
      </c>
      <c r="E23" s="6">
        <v>46024.336805555555</v>
      </c>
      <c r="F23" s="6">
        <v>46024.347222222219</v>
      </c>
      <c r="G23" s="6">
        <v>46024.349305555559</v>
      </c>
      <c r="H23" s="6">
        <v>46024.355555555558</v>
      </c>
      <c r="I23" s="6">
        <v>46024.361111111109</v>
      </c>
      <c r="J23" s="6">
        <v>46024.377083333333</v>
      </c>
      <c r="K23">
        <v>0.97</v>
      </c>
      <c r="L23" s="6">
        <v>46024.378472222219</v>
      </c>
      <c r="M23" s="7">
        <f>F23-E23</f>
        <v>1.0416666664241347E-2</v>
      </c>
      <c r="N23">
        <f>HOUR(M23)</f>
        <v>0</v>
      </c>
      <c r="O23">
        <f>MINUTE(M23)</f>
        <v>15</v>
      </c>
      <c r="P23">
        <f>N23*60+O23</f>
        <v>15</v>
      </c>
      <c r="Q23" s="7">
        <f>G23-F23</f>
        <v>2.0833333401242271E-3</v>
      </c>
      <c r="R23">
        <f>HOUR(Q23)</f>
        <v>0</v>
      </c>
      <c r="S23">
        <f>MINUTE(Q23)</f>
        <v>3</v>
      </c>
      <c r="T23">
        <f>R23*60+S23</f>
        <v>3</v>
      </c>
      <c r="U23" s="7">
        <f>H23-G23</f>
        <v>6.2499999985448085E-3</v>
      </c>
      <c r="V23">
        <f>HOUR(U23)</f>
        <v>0</v>
      </c>
      <c r="W23">
        <f>MINUTE(U23)</f>
        <v>9</v>
      </c>
      <c r="X23">
        <f>V23*60+W23</f>
        <v>9</v>
      </c>
      <c r="Y23" s="7">
        <f>I23-H23</f>
        <v>5.5555555518367328E-3</v>
      </c>
      <c r="Z23">
        <f>HOUR(Y23)</f>
        <v>0</v>
      </c>
      <c r="AA23">
        <f>MINUTE(Y23)</f>
        <v>8</v>
      </c>
      <c r="AB23">
        <f>Z23*60+AA23</f>
        <v>8</v>
      </c>
    </row>
    <row r="24" spans="1:28" x14ac:dyDescent="0.25">
      <c r="A24">
        <v>22</v>
      </c>
      <c r="B24" t="s">
        <v>33</v>
      </c>
      <c r="C24">
        <v>1</v>
      </c>
      <c r="D24" t="s">
        <v>32</v>
      </c>
      <c r="E24" s="6">
        <v>46023.6875</v>
      </c>
      <c r="F24" s="6">
        <v>46023.697916666664</v>
      </c>
      <c r="G24" s="6">
        <v>46023.708333333336</v>
      </c>
      <c r="H24" s="6">
        <v>46023.729166666664</v>
      </c>
      <c r="I24" s="6">
        <v>46023.736111111109</v>
      </c>
      <c r="J24" s="6">
        <v>46023.739583333336</v>
      </c>
      <c r="K24">
        <v>1.25</v>
      </c>
      <c r="L24" s="6">
        <v>46023.746527777781</v>
      </c>
      <c r="M24" s="7">
        <f>F24-E24</f>
        <v>1.0416666664241347E-2</v>
      </c>
      <c r="N24">
        <f>HOUR(M24)</f>
        <v>0</v>
      </c>
      <c r="O24">
        <f>MINUTE(M24)</f>
        <v>15</v>
      </c>
      <c r="P24">
        <f>N24*60+O24</f>
        <v>15</v>
      </c>
      <c r="Q24" s="7">
        <f>G24-F24</f>
        <v>1.0416666671517305E-2</v>
      </c>
      <c r="R24">
        <f>HOUR(Q24)</f>
        <v>0</v>
      </c>
      <c r="S24">
        <f>MINUTE(Q24)</f>
        <v>15</v>
      </c>
      <c r="T24">
        <f>R24*60+S24</f>
        <v>15</v>
      </c>
      <c r="U24" s="7">
        <f>H24-G24</f>
        <v>2.0833333328482695E-2</v>
      </c>
      <c r="V24">
        <f>HOUR(U24)</f>
        <v>0</v>
      </c>
      <c r="W24">
        <f>MINUTE(U24)</f>
        <v>30</v>
      </c>
      <c r="X24">
        <f>V24*60+W24</f>
        <v>30</v>
      </c>
      <c r="Y24" s="7">
        <f>I24-H24</f>
        <v>6.9444444452528842E-3</v>
      </c>
      <c r="Z24">
        <f>HOUR(Y24)</f>
        <v>0</v>
      </c>
      <c r="AA24">
        <f>MINUTE(Y24)</f>
        <v>10</v>
      </c>
      <c r="AB24">
        <f>Z24*60+AA24</f>
        <v>10</v>
      </c>
    </row>
    <row r="25" spans="1:28" x14ac:dyDescent="0.25">
      <c r="A25">
        <v>23</v>
      </c>
      <c r="B25" t="s">
        <v>31</v>
      </c>
      <c r="C25">
        <v>1</v>
      </c>
      <c r="D25" t="s">
        <v>30</v>
      </c>
      <c r="E25" s="6">
        <v>46024.291666666664</v>
      </c>
      <c r="F25" s="6">
        <v>46024.326388888891</v>
      </c>
      <c r="G25" s="6">
        <v>46024.34375</v>
      </c>
      <c r="H25" s="6">
        <v>46024.44027777778</v>
      </c>
      <c r="I25" s="6">
        <v>46024.447222222225</v>
      </c>
      <c r="J25" s="6">
        <v>46024.458333333336</v>
      </c>
      <c r="K25">
        <v>4</v>
      </c>
      <c r="L25" s="6">
        <v>46024.465277777781</v>
      </c>
      <c r="M25" s="7">
        <f>F25-E25</f>
        <v>3.4722222226264421E-2</v>
      </c>
      <c r="N25">
        <f>HOUR(M25)</f>
        <v>0</v>
      </c>
      <c r="O25">
        <f>MINUTE(M25)</f>
        <v>50</v>
      </c>
      <c r="P25">
        <f>N25*60+O25</f>
        <v>50</v>
      </c>
      <c r="Q25" s="7">
        <f>G25-F25</f>
        <v>1.7361111109494232E-2</v>
      </c>
      <c r="R25">
        <f>HOUR(Q25)</f>
        <v>0</v>
      </c>
      <c r="S25">
        <f>MINUTE(Q25)</f>
        <v>25</v>
      </c>
      <c r="T25">
        <f>R25*60+S25</f>
        <v>25</v>
      </c>
      <c r="U25" s="7">
        <f>H25-G25</f>
        <v>9.6527777779556345E-2</v>
      </c>
      <c r="V25">
        <f>HOUR(U25)</f>
        <v>2</v>
      </c>
      <c r="W25">
        <f>MINUTE(U25)</f>
        <v>19</v>
      </c>
      <c r="X25">
        <f>V25*60+W25</f>
        <v>139</v>
      </c>
      <c r="Y25" s="7">
        <f>I25-H25</f>
        <v>6.9444444452528842E-3</v>
      </c>
      <c r="Z25">
        <f>HOUR(Y25)</f>
        <v>0</v>
      </c>
      <c r="AA25">
        <f>MINUTE(Y25)</f>
        <v>10</v>
      </c>
      <c r="AB25">
        <f>Z25*60+AA25</f>
        <v>10</v>
      </c>
    </row>
    <row r="26" spans="1:28" x14ac:dyDescent="0.25">
      <c r="A26">
        <v>24</v>
      </c>
      <c r="B26" t="s">
        <v>31</v>
      </c>
      <c r="C26">
        <v>1</v>
      </c>
      <c r="D26" t="s">
        <v>34</v>
      </c>
      <c r="E26" s="6">
        <v>46024.322916666664</v>
      </c>
      <c r="F26" s="6">
        <v>46024.354166666664</v>
      </c>
      <c r="G26" s="6">
        <v>46024.375</v>
      </c>
      <c r="H26" s="6">
        <v>46024.452777777777</v>
      </c>
      <c r="I26" s="6">
        <v>46024.458333333336</v>
      </c>
      <c r="J26" s="6">
        <v>46024.489583333336</v>
      </c>
      <c r="K26">
        <v>4</v>
      </c>
      <c r="L26" s="6">
        <v>46024.496527777781</v>
      </c>
      <c r="M26" s="7">
        <f>F26-E26</f>
        <v>3.125E-2</v>
      </c>
      <c r="N26">
        <f>HOUR(M26)</f>
        <v>0</v>
      </c>
      <c r="O26">
        <f>MINUTE(M26)</f>
        <v>45</v>
      </c>
      <c r="P26">
        <f>N26*60+O26</f>
        <v>45</v>
      </c>
      <c r="Q26" s="7">
        <f>G26-F26</f>
        <v>2.0833333335758653E-2</v>
      </c>
      <c r="R26">
        <f>HOUR(Q26)</f>
        <v>0</v>
      </c>
      <c r="S26">
        <f>MINUTE(Q26)</f>
        <v>30</v>
      </c>
      <c r="T26">
        <f>R26*60+S26</f>
        <v>30</v>
      </c>
      <c r="U26" s="7">
        <f>H26-G26</f>
        <v>7.7777777776645962E-2</v>
      </c>
      <c r="V26">
        <f>HOUR(U26)</f>
        <v>1</v>
      </c>
      <c r="W26">
        <f>MINUTE(U26)</f>
        <v>52</v>
      </c>
      <c r="X26">
        <f>V26*60+W26</f>
        <v>112</v>
      </c>
      <c r="Y26" s="7">
        <f>I26-H26</f>
        <v>5.5555555591126904E-3</v>
      </c>
      <c r="Z26">
        <f>HOUR(Y26)</f>
        <v>0</v>
      </c>
      <c r="AA26">
        <f>MINUTE(Y26)</f>
        <v>8</v>
      </c>
      <c r="AB26">
        <f>Z26*60+AA26</f>
        <v>8</v>
      </c>
    </row>
    <row r="27" spans="1:28" x14ac:dyDescent="0.25">
      <c r="A27">
        <v>25</v>
      </c>
      <c r="B27" t="s">
        <v>33</v>
      </c>
      <c r="C27">
        <v>1</v>
      </c>
      <c r="D27" t="s">
        <v>34</v>
      </c>
      <c r="E27" s="6">
        <v>46024.024305555555</v>
      </c>
      <c r="F27" s="6">
        <v>46024.034722222219</v>
      </c>
      <c r="G27" s="6">
        <v>46024.041666666664</v>
      </c>
      <c r="H27" s="6">
        <v>46024.070833333331</v>
      </c>
      <c r="I27" s="6">
        <v>46024.072916666664</v>
      </c>
      <c r="J27" s="6">
        <v>46024.073611111111</v>
      </c>
      <c r="K27">
        <v>1.18</v>
      </c>
      <c r="L27" s="6">
        <v>46024.080555555556</v>
      </c>
      <c r="M27" s="7">
        <f>F27-E27</f>
        <v>1.0416666664241347E-2</v>
      </c>
      <c r="N27">
        <f>HOUR(M27)</f>
        <v>0</v>
      </c>
      <c r="O27">
        <f>MINUTE(M27)</f>
        <v>15</v>
      </c>
      <c r="P27">
        <f>N27*60+O27</f>
        <v>15</v>
      </c>
      <c r="Q27" s="7">
        <f>G27-F27</f>
        <v>6.9444444452528842E-3</v>
      </c>
      <c r="R27">
        <f>HOUR(Q27)</f>
        <v>0</v>
      </c>
      <c r="S27">
        <f>MINUTE(Q27)</f>
        <v>10</v>
      </c>
      <c r="T27">
        <f>R27*60+S27</f>
        <v>10</v>
      </c>
      <c r="U27" s="7">
        <f>H27-G27</f>
        <v>2.9166666667151731E-2</v>
      </c>
      <c r="V27">
        <f>HOUR(U27)</f>
        <v>0</v>
      </c>
      <c r="W27">
        <f>MINUTE(U27)</f>
        <v>42</v>
      </c>
      <c r="X27">
        <f>V27*60+W27</f>
        <v>42</v>
      </c>
      <c r="Y27" s="7">
        <f>I27-H27</f>
        <v>2.0833333328482695E-3</v>
      </c>
      <c r="Z27">
        <f>HOUR(Y27)</f>
        <v>0</v>
      </c>
      <c r="AA27">
        <f>MINUTE(Y27)</f>
        <v>3</v>
      </c>
      <c r="AB27">
        <f>Z27*60+AA27</f>
        <v>3</v>
      </c>
    </row>
    <row r="28" spans="1:28" x14ac:dyDescent="0.25">
      <c r="A28">
        <v>26</v>
      </c>
      <c r="B28" t="s">
        <v>29</v>
      </c>
      <c r="C28">
        <v>1</v>
      </c>
      <c r="D28" t="s">
        <v>34</v>
      </c>
      <c r="E28" s="6">
        <v>46024.416666666664</v>
      </c>
      <c r="F28" s="6">
        <v>46024.427083333336</v>
      </c>
      <c r="G28" s="6">
        <v>46024.448611111111</v>
      </c>
      <c r="H28" s="6">
        <v>46024.484722222223</v>
      </c>
      <c r="I28" s="6">
        <v>46024.493055555555</v>
      </c>
      <c r="J28" s="6">
        <v>46024.493750000001</v>
      </c>
      <c r="K28">
        <v>1.85</v>
      </c>
      <c r="L28" s="6">
        <v>46024.495138888888</v>
      </c>
      <c r="M28" s="7">
        <f>F28-E28</f>
        <v>1.0416666671517305E-2</v>
      </c>
      <c r="N28">
        <f>HOUR(M28)</f>
        <v>0</v>
      </c>
      <c r="O28">
        <f>MINUTE(M28)</f>
        <v>15</v>
      </c>
      <c r="P28">
        <f>N28*60+O28</f>
        <v>15</v>
      </c>
      <c r="Q28" s="7">
        <f>G28-F28</f>
        <v>2.1527777775190771E-2</v>
      </c>
      <c r="R28">
        <f>HOUR(Q28)</f>
        <v>0</v>
      </c>
      <c r="S28">
        <f>MINUTE(Q28)</f>
        <v>31</v>
      </c>
      <c r="T28">
        <f>R28*60+S28</f>
        <v>31</v>
      </c>
      <c r="U28" s="7">
        <f>H28-G28</f>
        <v>3.6111111112404615E-2</v>
      </c>
      <c r="V28">
        <f>HOUR(U28)</f>
        <v>0</v>
      </c>
      <c r="W28">
        <f>MINUTE(U28)</f>
        <v>52</v>
      </c>
      <c r="X28">
        <f>V28*60+W28</f>
        <v>52</v>
      </c>
      <c r="Y28" s="7">
        <f>I28-H28</f>
        <v>8.333333331393078E-3</v>
      </c>
      <c r="Z28">
        <f>HOUR(Y28)</f>
        <v>0</v>
      </c>
      <c r="AA28">
        <f>MINUTE(Y28)</f>
        <v>12</v>
      </c>
      <c r="AB28">
        <f>Z28*60+AA28</f>
        <v>12</v>
      </c>
    </row>
    <row r="29" spans="1:28" x14ac:dyDescent="0.25">
      <c r="A29">
        <v>27</v>
      </c>
      <c r="B29" t="s">
        <v>31</v>
      </c>
      <c r="C29">
        <v>1</v>
      </c>
      <c r="D29" t="s">
        <v>35</v>
      </c>
      <c r="E29" s="6">
        <v>46024.5625</v>
      </c>
      <c r="F29" s="6">
        <v>46024.569444444445</v>
      </c>
      <c r="G29" s="6">
        <v>46024.638888888891</v>
      </c>
      <c r="H29" s="6">
        <v>46024.756944444445</v>
      </c>
      <c r="I29" s="6">
        <v>46024.763888888891</v>
      </c>
      <c r="J29" s="6">
        <v>46024.802777777775</v>
      </c>
      <c r="K29">
        <v>5.77</v>
      </c>
      <c r="L29" s="6">
        <v>46024.805555555555</v>
      </c>
      <c r="M29" s="7">
        <f>F29-E29</f>
        <v>6.9444444452528842E-3</v>
      </c>
      <c r="N29">
        <f>HOUR(M29)</f>
        <v>0</v>
      </c>
      <c r="O29">
        <f>MINUTE(M29)</f>
        <v>10</v>
      </c>
      <c r="P29">
        <f>N29*60+O29</f>
        <v>10</v>
      </c>
      <c r="Q29" s="7">
        <f>G29-F29</f>
        <v>6.9444444445252884E-2</v>
      </c>
      <c r="R29">
        <f>HOUR(Q29)</f>
        <v>1</v>
      </c>
      <c r="S29">
        <f>MINUTE(Q29)</f>
        <v>40</v>
      </c>
      <c r="T29">
        <f>R29*60+S29</f>
        <v>100</v>
      </c>
      <c r="U29" s="7">
        <f>H29-G29</f>
        <v>0.11805555555474712</v>
      </c>
      <c r="V29">
        <f>HOUR(U29)</f>
        <v>2</v>
      </c>
      <c r="W29">
        <f>MINUTE(U29)</f>
        <v>50</v>
      </c>
      <c r="X29">
        <f>V29*60+W29</f>
        <v>170</v>
      </c>
      <c r="Y29" s="7">
        <f>I29-H29</f>
        <v>6.9444444452528842E-3</v>
      </c>
      <c r="Z29">
        <f>HOUR(Y29)</f>
        <v>0</v>
      </c>
      <c r="AA29">
        <f>MINUTE(Y29)</f>
        <v>10</v>
      </c>
      <c r="AB29">
        <f>Z29*60+AA29</f>
        <v>10</v>
      </c>
    </row>
    <row r="30" spans="1:28" x14ac:dyDescent="0.25">
      <c r="A30">
        <v>28</v>
      </c>
      <c r="B30" t="s">
        <v>33</v>
      </c>
      <c r="C30">
        <v>1</v>
      </c>
      <c r="D30" t="s">
        <v>30</v>
      </c>
      <c r="E30" s="6">
        <v>46024.65625</v>
      </c>
      <c r="F30" s="6">
        <v>46024.666666666664</v>
      </c>
      <c r="G30" s="6">
        <v>46024.694444444445</v>
      </c>
      <c r="H30" s="6">
        <v>46024.732638888891</v>
      </c>
      <c r="I30" s="6">
        <v>46024.736111111109</v>
      </c>
      <c r="J30" s="6">
        <v>46024.753472222219</v>
      </c>
      <c r="K30">
        <v>2.33</v>
      </c>
      <c r="L30" s="6">
        <v>46024.760416666664</v>
      </c>
      <c r="M30" s="7">
        <f>F30-E30</f>
        <v>1.0416666664241347E-2</v>
      </c>
      <c r="N30">
        <f>HOUR(M30)</f>
        <v>0</v>
      </c>
      <c r="O30">
        <f>MINUTE(M30)</f>
        <v>15</v>
      </c>
      <c r="P30">
        <f>N30*60+O30</f>
        <v>15</v>
      </c>
      <c r="Q30" s="7">
        <f>G30-F30</f>
        <v>2.7777777781011537E-2</v>
      </c>
      <c r="R30">
        <f>HOUR(Q30)</f>
        <v>0</v>
      </c>
      <c r="S30">
        <f>MINUTE(Q30)</f>
        <v>40</v>
      </c>
      <c r="T30">
        <f>R30*60+S30</f>
        <v>40</v>
      </c>
      <c r="U30" s="7">
        <f>H30-G30</f>
        <v>3.8194444445252884E-2</v>
      </c>
      <c r="V30">
        <f>HOUR(U30)</f>
        <v>0</v>
      </c>
      <c r="W30">
        <f>MINUTE(U30)</f>
        <v>55</v>
      </c>
      <c r="X30">
        <f>V30*60+W30</f>
        <v>55</v>
      </c>
      <c r="Y30" s="7">
        <f>I30-H30</f>
        <v>3.4722222189884633E-3</v>
      </c>
      <c r="Z30">
        <f>HOUR(Y30)</f>
        <v>0</v>
      </c>
      <c r="AA30">
        <f>MINUTE(Y30)</f>
        <v>5</v>
      </c>
      <c r="AB30">
        <f>Z30*60+AA30</f>
        <v>5</v>
      </c>
    </row>
    <row r="31" spans="1:28" x14ac:dyDescent="0.25">
      <c r="A31">
        <v>29</v>
      </c>
      <c r="B31" t="s">
        <v>29</v>
      </c>
      <c r="C31">
        <v>1</v>
      </c>
      <c r="D31" t="s">
        <v>32</v>
      </c>
      <c r="E31" s="6">
        <v>46027.555555555555</v>
      </c>
      <c r="F31" s="6">
        <v>46027.572916666664</v>
      </c>
      <c r="G31" s="6">
        <v>46027.597222222219</v>
      </c>
      <c r="H31" s="6">
        <v>46027.694444444445</v>
      </c>
      <c r="I31" s="6">
        <v>46027.701388888891</v>
      </c>
      <c r="J31" s="6">
        <v>46027.708333333336</v>
      </c>
      <c r="K31">
        <v>3.67</v>
      </c>
      <c r="L31" s="6">
        <v>46027.715277777781</v>
      </c>
      <c r="M31" s="7">
        <f>F31-E31</f>
        <v>1.7361111109494232E-2</v>
      </c>
      <c r="N31">
        <f>HOUR(M31)</f>
        <v>0</v>
      </c>
      <c r="O31">
        <f>MINUTE(M31)</f>
        <v>25</v>
      </c>
      <c r="P31">
        <f>N31*60+O31</f>
        <v>25</v>
      </c>
      <c r="Q31" s="7">
        <f>G31-F31</f>
        <v>2.4305555554747116E-2</v>
      </c>
      <c r="R31">
        <f>HOUR(Q31)</f>
        <v>0</v>
      </c>
      <c r="S31">
        <f>MINUTE(Q31)</f>
        <v>35</v>
      </c>
      <c r="T31">
        <f>R31*60+S31</f>
        <v>35</v>
      </c>
      <c r="U31" s="7">
        <f>H31-G31</f>
        <v>9.7222222226264421E-2</v>
      </c>
      <c r="V31">
        <f>HOUR(U31)</f>
        <v>2</v>
      </c>
      <c r="W31">
        <f>MINUTE(U31)</f>
        <v>20</v>
      </c>
      <c r="X31">
        <f>V31*60+W31</f>
        <v>140</v>
      </c>
      <c r="Y31" s="7">
        <f>I31-H31</f>
        <v>6.9444444452528842E-3</v>
      </c>
      <c r="Z31">
        <f>HOUR(Y31)</f>
        <v>0</v>
      </c>
      <c r="AA31">
        <f>MINUTE(Y31)</f>
        <v>10</v>
      </c>
      <c r="AB31">
        <f>Z31*60+AA31</f>
        <v>10</v>
      </c>
    </row>
    <row r="32" spans="1:28" x14ac:dyDescent="0.25">
      <c r="A32">
        <v>30</v>
      </c>
      <c r="B32" t="s">
        <v>33</v>
      </c>
      <c r="C32">
        <v>1</v>
      </c>
      <c r="D32" t="s">
        <v>34</v>
      </c>
      <c r="E32" s="6">
        <v>46025.760416666664</v>
      </c>
      <c r="F32" s="6">
        <v>46025.763888888891</v>
      </c>
      <c r="G32" s="6">
        <v>46025.76666666667</v>
      </c>
      <c r="H32" s="6">
        <v>46025.802083333336</v>
      </c>
      <c r="I32" s="6">
        <v>46025.809027777781</v>
      </c>
      <c r="J32" s="6">
        <v>46025.815972222219</v>
      </c>
      <c r="K32">
        <v>1.33</v>
      </c>
      <c r="L32" s="6">
        <v>46025.822916666664</v>
      </c>
      <c r="M32" s="7">
        <f>F32-E32</f>
        <v>3.4722222262644209E-3</v>
      </c>
      <c r="N32">
        <f>HOUR(M32)</f>
        <v>0</v>
      </c>
      <c r="O32">
        <f>MINUTE(M32)</f>
        <v>5</v>
      </c>
      <c r="P32">
        <f>N32*60+O32</f>
        <v>5</v>
      </c>
      <c r="Q32" s="7">
        <f>G32-F32</f>
        <v>2.7777777795563452E-3</v>
      </c>
      <c r="R32">
        <f>HOUR(Q32)</f>
        <v>0</v>
      </c>
      <c r="S32">
        <f>MINUTE(Q32)</f>
        <v>4</v>
      </c>
      <c r="T32">
        <f>R32*60+S32</f>
        <v>4</v>
      </c>
      <c r="U32" s="7">
        <f>H32-G32</f>
        <v>3.5416666665696539E-2</v>
      </c>
      <c r="V32">
        <f>HOUR(U32)</f>
        <v>0</v>
      </c>
      <c r="W32">
        <f>MINUTE(U32)</f>
        <v>51</v>
      </c>
      <c r="X32">
        <f>V32*60+W32</f>
        <v>51</v>
      </c>
      <c r="Y32" s="7">
        <f>I32-H32</f>
        <v>6.9444444452528842E-3</v>
      </c>
      <c r="Z32">
        <f>HOUR(Y32)</f>
        <v>0</v>
      </c>
      <c r="AA32">
        <f>MINUTE(Y32)</f>
        <v>10</v>
      </c>
      <c r="AB32">
        <f>Z32*60+AA32</f>
        <v>10</v>
      </c>
    </row>
    <row r="33" spans="1:28" x14ac:dyDescent="0.25">
      <c r="A33">
        <v>31</v>
      </c>
      <c r="B33" t="s">
        <v>29</v>
      </c>
      <c r="C33">
        <v>1</v>
      </c>
      <c r="D33" t="s">
        <v>32</v>
      </c>
      <c r="E33" s="6">
        <v>46027.256944444445</v>
      </c>
      <c r="F33" s="6">
        <v>46027.263888888891</v>
      </c>
      <c r="G33" s="6">
        <v>46027.28125</v>
      </c>
      <c r="H33" s="6">
        <v>46027.288194444445</v>
      </c>
      <c r="I33" s="6">
        <v>46027.295138888891</v>
      </c>
      <c r="J33" s="6">
        <v>46027.319444444445</v>
      </c>
      <c r="K33">
        <v>1.5</v>
      </c>
      <c r="L33" s="6">
        <v>46027.326388888891</v>
      </c>
      <c r="M33" s="7">
        <f>F33-E33</f>
        <v>6.9444444452528842E-3</v>
      </c>
      <c r="N33">
        <f>HOUR(M33)</f>
        <v>0</v>
      </c>
      <c r="O33">
        <f>MINUTE(M33)</f>
        <v>10</v>
      </c>
      <c r="P33">
        <f>N33*60+O33</f>
        <v>10</v>
      </c>
      <c r="Q33" s="7">
        <f>G33-F33</f>
        <v>1.7361111109494232E-2</v>
      </c>
      <c r="R33">
        <f>HOUR(Q33)</f>
        <v>0</v>
      </c>
      <c r="S33">
        <f>MINUTE(Q33)</f>
        <v>25</v>
      </c>
      <c r="T33">
        <f>R33*60+S33</f>
        <v>25</v>
      </c>
      <c r="U33" s="7">
        <f>H33-G33</f>
        <v>6.9444444452528842E-3</v>
      </c>
      <c r="V33">
        <f>HOUR(U33)</f>
        <v>0</v>
      </c>
      <c r="W33">
        <f>MINUTE(U33)</f>
        <v>10</v>
      </c>
      <c r="X33">
        <f>V33*60+W33</f>
        <v>10</v>
      </c>
      <c r="Y33" s="7">
        <f>I33-H33</f>
        <v>6.9444444452528842E-3</v>
      </c>
      <c r="Z33">
        <f>HOUR(Y33)</f>
        <v>0</v>
      </c>
      <c r="AA33">
        <f>MINUTE(Y33)</f>
        <v>10</v>
      </c>
      <c r="AB33">
        <f>Z33*60+AA33</f>
        <v>10</v>
      </c>
    </row>
    <row r="34" spans="1:28" x14ac:dyDescent="0.25">
      <c r="A34">
        <v>32</v>
      </c>
      <c r="B34" t="s">
        <v>33</v>
      </c>
      <c r="C34">
        <v>1</v>
      </c>
      <c r="D34" t="s">
        <v>30</v>
      </c>
      <c r="E34" s="6">
        <v>46024.745138888888</v>
      </c>
      <c r="F34" s="6">
        <v>46024.746527777781</v>
      </c>
      <c r="G34" s="6">
        <v>46024.776388888888</v>
      </c>
      <c r="H34" s="6">
        <v>46024.880555555559</v>
      </c>
      <c r="I34" s="6">
        <v>46024.887499999997</v>
      </c>
      <c r="J34" s="6">
        <v>46025.020833333336</v>
      </c>
      <c r="K34">
        <v>6.62</v>
      </c>
      <c r="L34" s="6">
        <v>46025.027777777781</v>
      </c>
      <c r="M34" s="7">
        <f>F34-E34</f>
        <v>1.3888888934161514E-3</v>
      </c>
      <c r="N34">
        <f>HOUR(M34)</f>
        <v>0</v>
      </c>
      <c r="O34">
        <f>MINUTE(M34)</f>
        <v>2</v>
      </c>
      <c r="P34">
        <f>N34*60+O34</f>
        <v>2</v>
      </c>
      <c r="Q34" s="7">
        <f>G34-F34</f>
        <v>2.9861111106583849E-2</v>
      </c>
      <c r="R34">
        <f>HOUR(Q34)</f>
        <v>0</v>
      </c>
      <c r="S34">
        <f>MINUTE(Q34)</f>
        <v>43</v>
      </c>
      <c r="T34">
        <f>R34*60+S34</f>
        <v>43</v>
      </c>
      <c r="U34" s="7">
        <f>H34-G34</f>
        <v>0.10416666667151731</v>
      </c>
      <c r="V34">
        <f>HOUR(U34)</f>
        <v>2</v>
      </c>
      <c r="W34">
        <f>MINUTE(U34)</f>
        <v>30</v>
      </c>
      <c r="X34">
        <f>V34*60+W34</f>
        <v>150</v>
      </c>
      <c r="Y34" s="7">
        <f>I34-H34</f>
        <v>6.9444444379769266E-3</v>
      </c>
      <c r="Z34">
        <f>HOUR(Y34)</f>
        <v>0</v>
      </c>
      <c r="AA34">
        <f>MINUTE(Y34)</f>
        <v>10</v>
      </c>
      <c r="AB34">
        <f>Z34*60+AA34</f>
        <v>10</v>
      </c>
    </row>
    <row r="35" spans="1:28" x14ac:dyDescent="0.25">
      <c r="A35">
        <v>33</v>
      </c>
      <c r="B35" t="s">
        <v>33</v>
      </c>
      <c r="C35">
        <v>1</v>
      </c>
      <c r="D35" t="s">
        <v>30</v>
      </c>
      <c r="E35" s="6">
        <v>46024.826388888891</v>
      </c>
      <c r="F35" s="6">
        <v>46024.833333333336</v>
      </c>
      <c r="G35" s="6">
        <v>46024.850694444445</v>
      </c>
      <c r="H35" s="6">
        <v>46024.88958333333</v>
      </c>
      <c r="I35" s="6">
        <v>46024.896527777775</v>
      </c>
      <c r="J35" s="6">
        <v>46024.905555555553</v>
      </c>
      <c r="K35">
        <v>1.9</v>
      </c>
      <c r="L35" s="6">
        <v>46024.912499999999</v>
      </c>
      <c r="M35" s="7">
        <f>F35-E35</f>
        <v>6.9444444452528842E-3</v>
      </c>
      <c r="N35">
        <f>HOUR(M35)</f>
        <v>0</v>
      </c>
      <c r="O35">
        <f>MINUTE(M35)</f>
        <v>10</v>
      </c>
      <c r="P35">
        <f>N35*60+O35</f>
        <v>10</v>
      </c>
      <c r="Q35" s="7">
        <f>G35-F35</f>
        <v>1.7361111109494232E-2</v>
      </c>
      <c r="R35">
        <f>HOUR(Q35)</f>
        <v>0</v>
      </c>
      <c r="S35">
        <f>MINUTE(Q35)</f>
        <v>25</v>
      </c>
      <c r="T35">
        <f>R35*60+S35</f>
        <v>25</v>
      </c>
      <c r="U35" s="7">
        <f>H35-G35</f>
        <v>3.8888888884685002E-2</v>
      </c>
      <c r="V35">
        <f>HOUR(U35)</f>
        <v>0</v>
      </c>
      <c r="W35">
        <f>MINUTE(U35)</f>
        <v>56</v>
      </c>
      <c r="X35">
        <f>V35*60+W35</f>
        <v>56</v>
      </c>
      <c r="Y35" s="7">
        <f>I35-H35</f>
        <v>6.9444444452528842E-3</v>
      </c>
      <c r="Z35">
        <f>HOUR(Y35)</f>
        <v>0</v>
      </c>
      <c r="AA35">
        <f>MINUTE(Y35)</f>
        <v>10</v>
      </c>
      <c r="AB35">
        <f>Z35*60+AA35</f>
        <v>10</v>
      </c>
    </row>
    <row r="36" spans="1:28" x14ac:dyDescent="0.25">
      <c r="A36">
        <v>34</v>
      </c>
      <c r="B36" t="s">
        <v>33</v>
      </c>
      <c r="C36">
        <v>1</v>
      </c>
      <c r="D36" t="s">
        <v>30</v>
      </c>
      <c r="E36" s="6">
        <v>46024.864583333336</v>
      </c>
      <c r="F36" s="6">
        <v>46024.875</v>
      </c>
      <c r="G36" s="6">
        <v>46024.888888888891</v>
      </c>
      <c r="H36" s="6">
        <v>46024.930555555555</v>
      </c>
      <c r="I36" s="6">
        <v>46024.931944444441</v>
      </c>
      <c r="J36" s="6">
        <v>46024.933333333334</v>
      </c>
      <c r="K36">
        <v>1.65</v>
      </c>
      <c r="L36" s="6">
        <v>46024.9375</v>
      </c>
      <c r="M36" s="7">
        <f>F36-E36</f>
        <v>1.0416666664241347E-2</v>
      </c>
      <c r="N36">
        <f>HOUR(M36)</f>
        <v>0</v>
      </c>
      <c r="O36">
        <f>MINUTE(M36)</f>
        <v>15</v>
      </c>
      <c r="P36">
        <f>N36*60+O36</f>
        <v>15</v>
      </c>
      <c r="Q36" s="7">
        <f>G36-F36</f>
        <v>1.3888888890505768E-2</v>
      </c>
      <c r="R36">
        <f>HOUR(Q36)</f>
        <v>0</v>
      </c>
      <c r="S36">
        <f>MINUTE(Q36)</f>
        <v>20</v>
      </c>
      <c r="T36">
        <f>R36*60+S36</f>
        <v>20</v>
      </c>
      <c r="U36" s="7">
        <f>H36-G36</f>
        <v>4.1666666664241347E-2</v>
      </c>
      <c r="V36">
        <f>HOUR(U36)</f>
        <v>1</v>
      </c>
      <c r="W36">
        <f>MINUTE(U36)</f>
        <v>0</v>
      </c>
      <c r="X36">
        <f>V36*60+W36</f>
        <v>60</v>
      </c>
      <c r="Y36" s="7">
        <f>I36-H36</f>
        <v>1.3888888861401938E-3</v>
      </c>
      <c r="Z36">
        <f>HOUR(Y36)</f>
        <v>0</v>
      </c>
      <c r="AA36">
        <f>MINUTE(Y36)</f>
        <v>2</v>
      </c>
      <c r="AB36">
        <f>Z36*60+AA36</f>
        <v>2</v>
      </c>
    </row>
    <row r="37" spans="1:28" x14ac:dyDescent="0.25">
      <c r="A37">
        <v>35</v>
      </c>
      <c r="B37" t="s">
        <v>33</v>
      </c>
      <c r="C37">
        <v>1</v>
      </c>
      <c r="D37" t="s">
        <v>30</v>
      </c>
      <c r="E37" s="6">
        <v>46025.013888888891</v>
      </c>
      <c r="F37" s="6">
        <v>46025.020833333336</v>
      </c>
      <c r="G37" s="6">
        <v>46025.027777777781</v>
      </c>
      <c r="H37" s="6">
        <v>46025.076388888891</v>
      </c>
      <c r="I37" s="6">
        <v>46025.078472222223</v>
      </c>
      <c r="J37" s="6">
        <v>46025.079861111109</v>
      </c>
      <c r="K37">
        <v>1.58</v>
      </c>
      <c r="L37" s="6">
        <v>46025.086805555555</v>
      </c>
      <c r="M37" s="7">
        <f>F37-E37</f>
        <v>6.9444444452528842E-3</v>
      </c>
      <c r="N37">
        <f>HOUR(M37)</f>
        <v>0</v>
      </c>
      <c r="O37">
        <f>MINUTE(M37)</f>
        <v>10</v>
      </c>
      <c r="P37">
        <f>N37*60+O37</f>
        <v>10</v>
      </c>
      <c r="Q37" s="7">
        <f>G37-F37</f>
        <v>6.9444444452528842E-3</v>
      </c>
      <c r="R37">
        <f>HOUR(Q37)</f>
        <v>0</v>
      </c>
      <c r="S37">
        <f>MINUTE(Q37)</f>
        <v>10</v>
      </c>
      <c r="T37">
        <f>R37*60+S37</f>
        <v>10</v>
      </c>
      <c r="U37" s="7">
        <f>H37-G37</f>
        <v>4.8611111109494232E-2</v>
      </c>
      <c r="V37">
        <f>HOUR(U37)</f>
        <v>1</v>
      </c>
      <c r="W37">
        <f>MINUTE(U37)</f>
        <v>10</v>
      </c>
      <c r="X37">
        <f>V37*60+W37</f>
        <v>70</v>
      </c>
      <c r="Y37" s="7">
        <f>I37-H37</f>
        <v>2.0833333328482695E-3</v>
      </c>
      <c r="Z37">
        <f>HOUR(Y37)</f>
        <v>0</v>
      </c>
      <c r="AA37">
        <f>MINUTE(Y37)</f>
        <v>3</v>
      </c>
      <c r="AB37">
        <f>Z37*60+AA37</f>
        <v>3</v>
      </c>
    </row>
    <row r="38" spans="1:28" x14ac:dyDescent="0.25">
      <c r="A38">
        <v>36</v>
      </c>
      <c r="B38" t="s">
        <v>31</v>
      </c>
      <c r="C38">
        <v>1</v>
      </c>
      <c r="D38" t="s">
        <v>30</v>
      </c>
      <c r="E38" s="6">
        <v>46025.368055555555</v>
      </c>
      <c r="F38" s="6">
        <v>46025.371527777781</v>
      </c>
      <c r="G38" s="6">
        <v>46025.392361111109</v>
      </c>
      <c r="H38" s="6">
        <v>46025.472222222219</v>
      </c>
      <c r="I38" s="6">
        <v>46025.479166666664</v>
      </c>
      <c r="J38" s="6">
        <v>46025.486111111109</v>
      </c>
      <c r="K38">
        <v>2.83</v>
      </c>
      <c r="L38" s="6">
        <v>46025.493055555555</v>
      </c>
      <c r="M38" s="7">
        <f>F38-E38</f>
        <v>3.4722222262644209E-3</v>
      </c>
      <c r="N38">
        <f>HOUR(M38)</f>
        <v>0</v>
      </c>
      <c r="O38">
        <f>MINUTE(M38)</f>
        <v>5</v>
      </c>
      <c r="P38">
        <f>N38*60+O38</f>
        <v>5</v>
      </c>
      <c r="Q38" s="7">
        <f>G38-F38</f>
        <v>2.0833333328482695E-2</v>
      </c>
      <c r="R38">
        <f>HOUR(Q38)</f>
        <v>0</v>
      </c>
      <c r="S38">
        <f>MINUTE(Q38)</f>
        <v>30</v>
      </c>
      <c r="T38">
        <f>R38*60+S38</f>
        <v>30</v>
      </c>
      <c r="U38" s="7">
        <f>H38-G38</f>
        <v>7.9861111109494232E-2</v>
      </c>
      <c r="V38">
        <f>HOUR(U38)</f>
        <v>1</v>
      </c>
      <c r="W38">
        <f>MINUTE(U38)</f>
        <v>55</v>
      </c>
      <c r="X38">
        <f>V38*60+W38</f>
        <v>115</v>
      </c>
      <c r="Y38" s="7">
        <f>I38-H38</f>
        <v>6.9444444452528842E-3</v>
      </c>
      <c r="Z38">
        <f>HOUR(Y38)</f>
        <v>0</v>
      </c>
      <c r="AA38">
        <f>MINUTE(Y38)</f>
        <v>10</v>
      </c>
      <c r="AB38">
        <f>Z38*60+AA38</f>
        <v>10</v>
      </c>
    </row>
    <row r="39" spans="1:28" x14ac:dyDescent="0.25">
      <c r="A39">
        <v>37</v>
      </c>
      <c r="B39" t="s">
        <v>33</v>
      </c>
      <c r="C39">
        <v>1</v>
      </c>
      <c r="D39" t="s">
        <v>35</v>
      </c>
      <c r="E39" s="6">
        <v>46025.368750000001</v>
      </c>
      <c r="F39" s="6">
        <v>46025.375694444447</v>
      </c>
      <c r="G39" s="6">
        <v>46025.402777777781</v>
      </c>
      <c r="H39" s="6">
        <v>46025.694444444445</v>
      </c>
      <c r="I39" s="6">
        <v>46025.701388888891</v>
      </c>
      <c r="J39" s="6">
        <v>46025.729166666664</v>
      </c>
      <c r="K39">
        <v>8.65</v>
      </c>
      <c r="L39" s="6">
        <v>46025.736111111109</v>
      </c>
      <c r="M39" s="7">
        <f>F39-E39</f>
        <v>6.9444444452528842E-3</v>
      </c>
      <c r="N39">
        <f>HOUR(M39)</f>
        <v>0</v>
      </c>
      <c r="O39">
        <f>MINUTE(M39)</f>
        <v>10</v>
      </c>
      <c r="P39">
        <f>N39*60+O39</f>
        <v>10</v>
      </c>
      <c r="Q39" s="7">
        <f>G39-F39</f>
        <v>2.7083333334303461E-2</v>
      </c>
      <c r="R39">
        <f>HOUR(Q39)</f>
        <v>0</v>
      </c>
      <c r="S39">
        <f>MINUTE(Q39)</f>
        <v>39</v>
      </c>
      <c r="T39">
        <f>R39*60+S39</f>
        <v>39</v>
      </c>
      <c r="U39" s="7">
        <f>H39-G39</f>
        <v>0.29166666666424135</v>
      </c>
      <c r="V39">
        <f>HOUR(U39)</f>
        <v>7</v>
      </c>
      <c r="W39">
        <f>MINUTE(U39)</f>
        <v>0</v>
      </c>
      <c r="X39">
        <f>V39*60+W39</f>
        <v>420</v>
      </c>
      <c r="Y39" s="7">
        <f>I39-H39</f>
        <v>6.9444444452528842E-3</v>
      </c>
      <c r="Z39">
        <f>HOUR(Y39)</f>
        <v>0</v>
      </c>
      <c r="AA39">
        <f>MINUTE(Y39)</f>
        <v>10</v>
      </c>
      <c r="AB39">
        <f>Z39*60+AA39</f>
        <v>10</v>
      </c>
    </row>
    <row r="40" spans="1:28" x14ac:dyDescent="0.25">
      <c r="A40">
        <v>38</v>
      </c>
      <c r="B40" t="s">
        <v>33</v>
      </c>
      <c r="C40">
        <v>1</v>
      </c>
      <c r="D40" t="s">
        <v>32</v>
      </c>
      <c r="E40" s="6">
        <v>46027.295138888891</v>
      </c>
      <c r="F40" s="6">
        <v>46027.322916666664</v>
      </c>
      <c r="G40" s="6">
        <v>46027.354166666664</v>
      </c>
      <c r="H40" s="6">
        <v>46027.458333333336</v>
      </c>
      <c r="I40" s="6">
        <v>46027.465277777781</v>
      </c>
      <c r="J40" s="6">
        <v>46027.472222222219</v>
      </c>
      <c r="K40">
        <v>4.25</v>
      </c>
      <c r="L40" s="6">
        <v>46027.479166666664</v>
      </c>
      <c r="M40" s="7">
        <f>F40-E40</f>
        <v>2.7777777773735579E-2</v>
      </c>
      <c r="N40">
        <f>HOUR(M40)</f>
        <v>0</v>
      </c>
      <c r="O40">
        <f>MINUTE(M40)</f>
        <v>40</v>
      </c>
      <c r="P40">
        <f>N40*60+O40</f>
        <v>40</v>
      </c>
      <c r="Q40" s="7">
        <f>G40-F40</f>
        <v>3.125E-2</v>
      </c>
      <c r="R40">
        <f>HOUR(Q40)</f>
        <v>0</v>
      </c>
      <c r="S40">
        <f>MINUTE(Q40)</f>
        <v>45</v>
      </c>
      <c r="T40">
        <f>R40*60+S40</f>
        <v>45</v>
      </c>
      <c r="U40" s="7">
        <f>H40-G40</f>
        <v>0.10416666667151731</v>
      </c>
      <c r="V40">
        <f>HOUR(U40)</f>
        <v>2</v>
      </c>
      <c r="W40">
        <f>MINUTE(U40)</f>
        <v>30</v>
      </c>
      <c r="X40">
        <f>V40*60+W40</f>
        <v>150</v>
      </c>
      <c r="Y40" s="7">
        <f>I40-H40</f>
        <v>6.9444444452528842E-3</v>
      </c>
      <c r="Z40">
        <f>HOUR(Y40)</f>
        <v>0</v>
      </c>
      <c r="AA40">
        <f>MINUTE(Y40)</f>
        <v>10</v>
      </c>
      <c r="AB40">
        <f>Z40*60+AA40</f>
        <v>10</v>
      </c>
    </row>
    <row r="41" spans="1:28" x14ac:dyDescent="0.25">
      <c r="A41">
        <v>39</v>
      </c>
      <c r="B41" t="s">
        <v>29</v>
      </c>
      <c r="C41">
        <v>1</v>
      </c>
      <c r="D41" t="s">
        <v>34</v>
      </c>
      <c r="E41" s="6">
        <v>46025.515972222223</v>
      </c>
      <c r="F41" s="6">
        <v>46025.522916666669</v>
      </c>
      <c r="G41" s="6">
        <v>46025.527083333334</v>
      </c>
      <c r="H41" s="6">
        <v>46025.53402777778</v>
      </c>
      <c r="I41" s="6">
        <v>46025.540972222225</v>
      </c>
      <c r="J41" s="6">
        <v>46025.545138888891</v>
      </c>
      <c r="K41">
        <v>0.68</v>
      </c>
      <c r="L41" s="6">
        <v>46025.552083333336</v>
      </c>
      <c r="M41" s="7">
        <f>F41-E41</f>
        <v>6.9444444452528842E-3</v>
      </c>
      <c r="N41">
        <f>HOUR(M41)</f>
        <v>0</v>
      </c>
      <c r="O41">
        <f>MINUTE(M41)</f>
        <v>10</v>
      </c>
      <c r="P41">
        <f>N41*60+O41</f>
        <v>10</v>
      </c>
      <c r="Q41" s="7">
        <f>G41-F41</f>
        <v>4.166666665696539E-3</v>
      </c>
      <c r="R41">
        <f>HOUR(Q41)</f>
        <v>0</v>
      </c>
      <c r="S41">
        <f>MINUTE(Q41)</f>
        <v>6</v>
      </c>
      <c r="T41">
        <f>R41*60+S41</f>
        <v>6</v>
      </c>
      <c r="U41" s="7">
        <f>H41-G41</f>
        <v>6.9444444452528842E-3</v>
      </c>
      <c r="V41">
        <f>HOUR(U41)</f>
        <v>0</v>
      </c>
      <c r="W41">
        <f>MINUTE(U41)</f>
        <v>10</v>
      </c>
      <c r="X41">
        <f>V41*60+W41</f>
        <v>10</v>
      </c>
      <c r="Y41" s="7">
        <f>I41-H41</f>
        <v>6.9444444452528842E-3</v>
      </c>
      <c r="Z41">
        <f>HOUR(Y41)</f>
        <v>0</v>
      </c>
      <c r="AA41">
        <f>MINUTE(Y41)</f>
        <v>10</v>
      </c>
      <c r="AB41">
        <f>Z41*60+AA41</f>
        <v>10</v>
      </c>
    </row>
    <row r="42" spans="1:28" x14ac:dyDescent="0.25">
      <c r="A42">
        <v>40</v>
      </c>
      <c r="B42" t="s">
        <v>29</v>
      </c>
      <c r="C42">
        <v>1</v>
      </c>
      <c r="D42" t="s">
        <v>30</v>
      </c>
      <c r="E42" s="6">
        <v>46025.680555555555</v>
      </c>
      <c r="F42" s="6">
        <v>46025.6875</v>
      </c>
      <c r="G42" s="6">
        <v>46025.694444444445</v>
      </c>
      <c r="H42" s="6">
        <v>46025.705555555556</v>
      </c>
      <c r="I42" s="6">
        <v>46025.708333333336</v>
      </c>
      <c r="J42" s="6">
        <v>46025.715277777781</v>
      </c>
      <c r="K42">
        <v>0.83</v>
      </c>
      <c r="L42" s="6">
        <v>46025.722222222219</v>
      </c>
      <c r="M42" s="7">
        <f>F42-E42</f>
        <v>6.9444444452528842E-3</v>
      </c>
      <c r="N42">
        <f>HOUR(M42)</f>
        <v>0</v>
      </c>
      <c r="O42">
        <f>MINUTE(M42)</f>
        <v>10</v>
      </c>
      <c r="P42">
        <f>N42*60+O42</f>
        <v>10</v>
      </c>
      <c r="Q42" s="7">
        <f>G42-F42</f>
        <v>6.9444444452528842E-3</v>
      </c>
      <c r="R42">
        <f>HOUR(Q42)</f>
        <v>0</v>
      </c>
      <c r="S42">
        <f>MINUTE(Q42)</f>
        <v>10</v>
      </c>
      <c r="T42">
        <f>R42*60+S42</f>
        <v>10</v>
      </c>
      <c r="U42" s="7">
        <f>H42-G42</f>
        <v>1.1111111110949423E-2</v>
      </c>
      <c r="V42">
        <f>HOUR(U42)</f>
        <v>0</v>
      </c>
      <c r="W42">
        <f>MINUTE(U42)</f>
        <v>16</v>
      </c>
      <c r="X42">
        <f>V42*60+W42</f>
        <v>16</v>
      </c>
      <c r="Y42" s="7">
        <f>I42-H42</f>
        <v>2.7777777795563452E-3</v>
      </c>
      <c r="Z42">
        <f>HOUR(Y42)</f>
        <v>0</v>
      </c>
      <c r="AA42">
        <f>MINUTE(Y42)</f>
        <v>4</v>
      </c>
      <c r="AB42">
        <f>Z42*60+AA42</f>
        <v>4</v>
      </c>
    </row>
    <row r="43" spans="1:28" x14ac:dyDescent="0.25">
      <c r="A43">
        <v>41</v>
      </c>
      <c r="B43" t="s">
        <v>29</v>
      </c>
      <c r="C43">
        <v>1</v>
      </c>
      <c r="D43" t="s">
        <v>34</v>
      </c>
      <c r="E43" s="6">
        <v>46025.652777777781</v>
      </c>
      <c r="F43" s="6">
        <v>46025.659722222219</v>
      </c>
      <c r="G43" s="6">
        <v>46025.673611111109</v>
      </c>
      <c r="H43" s="6">
        <v>46025.708333333336</v>
      </c>
      <c r="I43" s="6">
        <v>46025.715277777781</v>
      </c>
      <c r="J43" s="6">
        <v>46025.729166666664</v>
      </c>
      <c r="K43">
        <v>1.83</v>
      </c>
      <c r="L43" s="6">
        <v>46025.736805555556</v>
      </c>
      <c r="M43" s="7">
        <f>F43-E43</f>
        <v>6.9444444379769266E-3</v>
      </c>
      <c r="N43">
        <f>HOUR(M43)</f>
        <v>0</v>
      </c>
      <c r="O43">
        <f>MINUTE(M43)</f>
        <v>10</v>
      </c>
      <c r="P43">
        <f>N43*60+O43</f>
        <v>10</v>
      </c>
      <c r="Q43" s="7">
        <f>G43-F43</f>
        <v>1.3888888890505768E-2</v>
      </c>
      <c r="R43">
        <f>HOUR(Q43)</f>
        <v>0</v>
      </c>
      <c r="S43">
        <f>MINUTE(Q43)</f>
        <v>20</v>
      </c>
      <c r="T43">
        <f>R43*60+S43</f>
        <v>20</v>
      </c>
      <c r="U43" s="7">
        <f>H43-G43</f>
        <v>3.4722222226264421E-2</v>
      </c>
      <c r="V43">
        <f>HOUR(U43)</f>
        <v>0</v>
      </c>
      <c r="W43">
        <f>MINUTE(U43)</f>
        <v>50</v>
      </c>
      <c r="X43">
        <f>V43*60+W43</f>
        <v>50</v>
      </c>
      <c r="Y43" s="7">
        <f>I43-H43</f>
        <v>6.9444444452528842E-3</v>
      </c>
      <c r="Z43">
        <f>HOUR(Y43)</f>
        <v>0</v>
      </c>
      <c r="AA43">
        <f>MINUTE(Y43)</f>
        <v>10</v>
      </c>
      <c r="AB43">
        <f>Z43*60+AA43</f>
        <v>10</v>
      </c>
    </row>
    <row r="44" spans="1:28" x14ac:dyDescent="0.25">
      <c r="A44">
        <v>42</v>
      </c>
      <c r="B44" t="s">
        <v>29</v>
      </c>
      <c r="C44">
        <v>1</v>
      </c>
      <c r="D44" t="s">
        <v>36</v>
      </c>
      <c r="E44" s="6">
        <v>46025.711805555555</v>
      </c>
      <c r="F44" s="6">
        <v>46025.722222222219</v>
      </c>
      <c r="G44" s="6">
        <v>46025.756944444445</v>
      </c>
      <c r="H44" s="6">
        <v>46025.841666666667</v>
      </c>
      <c r="I44" s="6">
        <v>46025.848611111112</v>
      </c>
      <c r="J44" s="6">
        <v>46025.849305555559</v>
      </c>
      <c r="K44">
        <v>3.3</v>
      </c>
      <c r="L44" s="6">
        <v>46025.856249999997</v>
      </c>
      <c r="M44" s="7">
        <f>F44-E44</f>
        <v>1.0416666664241347E-2</v>
      </c>
      <c r="N44">
        <f>HOUR(M44)</f>
        <v>0</v>
      </c>
      <c r="O44">
        <f>MINUTE(M44)</f>
        <v>15</v>
      </c>
      <c r="P44">
        <f>N44*60+O44</f>
        <v>15</v>
      </c>
      <c r="Q44" s="7">
        <f>G44-F44</f>
        <v>3.4722222226264421E-2</v>
      </c>
      <c r="R44">
        <f>HOUR(Q44)</f>
        <v>0</v>
      </c>
      <c r="S44">
        <f>MINUTE(Q44)</f>
        <v>50</v>
      </c>
      <c r="T44">
        <f>R44*60+S44</f>
        <v>50</v>
      </c>
      <c r="U44" s="7">
        <f>H44-G44</f>
        <v>8.4722222221898846E-2</v>
      </c>
      <c r="V44">
        <f>HOUR(U44)</f>
        <v>2</v>
      </c>
      <c r="W44">
        <f>MINUTE(U44)</f>
        <v>2</v>
      </c>
      <c r="X44">
        <f>V44*60+W44</f>
        <v>122</v>
      </c>
      <c r="Y44" s="7">
        <f>I44-H44</f>
        <v>6.9444444452528842E-3</v>
      </c>
      <c r="Z44">
        <f>HOUR(Y44)</f>
        <v>0</v>
      </c>
      <c r="AA44">
        <f>MINUTE(Y44)</f>
        <v>10</v>
      </c>
      <c r="AB44">
        <f>Z44*60+AA44</f>
        <v>10</v>
      </c>
    </row>
    <row r="45" spans="1:28" x14ac:dyDescent="0.25">
      <c r="A45">
        <v>43</v>
      </c>
      <c r="B45" t="s">
        <v>33</v>
      </c>
      <c r="C45">
        <v>1</v>
      </c>
      <c r="D45" t="s">
        <v>30</v>
      </c>
      <c r="E45" s="6">
        <v>46025.774305555555</v>
      </c>
      <c r="F45" s="6">
        <v>46025.78125</v>
      </c>
      <c r="G45" s="6">
        <v>46025.791666666664</v>
      </c>
      <c r="H45" s="6">
        <v>46025.826388888891</v>
      </c>
      <c r="I45" s="6">
        <v>46025.833333333336</v>
      </c>
      <c r="J45" s="6">
        <v>46025.850694444445</v>
      </c>
      <c r="K45">
        <v>1.83</v>
      </c>
      <c r="L45" s="6">
        <v>46025.857638888891</v>
      </c>
      <c r="M45" s="7">
        <f>F45-E45</f>
        <v>6.9444444452528842E-3</v>
      </c>
      <c r="N45">
        <f>HOUR(M45)</f>
        <v>0</v>
      </c>
      <c r="O45">
        <f>MINUTE(M45)</f>
        <v>10</v>
      </c>
      <c r="P45">
        <f>N45*60+O45</f>
        <v>10</v>
      </c>
      <c r="Q45" s="7">
        <f>G45-F45</f>
        <v>1.0416666664241347E-2</v>
      </c>
      <c r="R45">
        <f>HOUR(Q45)</f>
        <v>0</v>
      </c>
      <c r="S45">
        <f>MINUTE(Q45)</f>
        <v>15</v>
      </c>
      <c r="T45">
        <f>R45*60+S45</f>
        <v>15</v>
      </c>
      <c r="U45" s="7">
        <f>H45-G45</f>
        <v>3.4722222226264421E-2</v>
      </c>
      <c r="V45">
        <f>HOUR(U45)</f>
        <v>0</v>
      </c>
      <c r="W45">
        <f>MINUTE(U45)</f>
        <v>50</v>
      </c>
      <c r="X45">
        <f>V45*60+W45</f>
        <v>50</v>
      </c>
      <c r="Y45" s="7">
        <f>I45-H45</f>
        <v>6.9444444452528842E-3</v>
      </c>
      <c r="Z45">
        <f>HOUR(Y45)</f>
        <v>0</v>
      </c>
      <c r="AA45">
        <f>MINUTE(Y45)</f>
        <v>10</v>
      </c>
      <c r="AB45">
        <f>Z45*60+AA45</f>
        <v>10</v>
      </c>
    </row>
    <row r="46" spans="1:28" x14ac:dyDescent="0.25">
      <c r="A46">
        <v>44</v>
      </c>
      <c r="B46" t="s">
        <v>31</v>
      </c>
      <c r="C46">
        <v>1</v>
      </c>
      <c r="D46" t="s">
        <v>34</v>
      </c>
      <c r="E46" s="6">
        <v>46025.961805555555</v>
      </c>
      <c r="F46" s="6">
        <v>46025.972222222219</v>
      </c>
      <c r="G46" s="6">
        <v>46025.979166666664</v>
      </c>
      <c r="H46" s="6">
        <v>46026.038194444445</v>
      </c>
      <c r="I46" s="6">
        <v>46026.045138888891</v>
      </c>
      <c r="J46" s="6">
        <v>46026.048611111109</v>
      </c>
      <c r="K46">
        <v>2.08</v>
      </c>
      <c r="L46" s="6">
        <v>46026.055555555555</v>
      </c>
      <c r="M46" s="7">
        <f>F46-E46</f>
        <v>1.0416666664241347E-2</v>
      </c>
      <c r="N46">
        <f>HOUR(M46)</f>
        <v>0</v>
      </c>
      <c r="O46">
        <f>MINUTE(M46)</f>
        <v>15</v>
      </c>
      <c r="P46">
        <f>N46*60+O46</f>
        <v>15</v>
      </c>
      <c r="Q46" s="7">
        <f>G46-F46</f>
        <v>6.9444444452528842E-3</v>
      </c>
      <c r="R46">
        <f>HOUR(Q46)</f>
        <v>0</v>
      </c>
      <c r="S46">
        <f>MINUTE(Q46)</f>
        <v>10</v>
      </c>
      <c r="T46">
        <f>R46*60+S46</f>
        <v>10</v>
      </c>
      <c r="U46" s="7">
        <f>H46-G46</f>
        <v>5.9027777781011537E-2</v>
      </c>
      <c r="V46">
        <f>HOUR(U46)</f>
        <v>1</v>
      </c>
      <c r="W46">
        <f>MINUTE(U46)</f>
        <v>25</v>
      </c>
      <c r="X46">
        <f>V46*60+W46</f>
        <v>85</v>
      </c>
      <c r="Y46" s="7">
        <f>I46-H46</f>
        <v>6.9444444452528842E-3</v>
      </c>
      <c r="Z46">
        <f>HOUR(Y46)</f>
        <v>0</v>
      </c>
      <c r="AA46">
        <f>MINUTE(Y46)</f>
        <v>10</v>
      </c>
      <c r="AB46">
        <f>Z46*60+AA46</f>
        <v>10</v>
      </c>
    </row>
    <row r="47" spans="1:28" x14ac:dyDescent="0.25">
      <c r="A47">
        <v>45</v>
      </c>
      <c r="B47" t="s">
        <v>29</v>
      </c>
      <c r="C47">
        <v>1</v>
      </c>
      <c r="D47" t="s">
        <v>30</v>
      </c>
      <c r="E47" s="6">
        <v>46025.986111111109</v>
      </c>
      <c r="F47" s="6">
        <v>46025.993055555555</v>
      </c>
      <c r="G47" s="6">
        <v>46026.006944444445</v>
      </c>
      <c r="H47" s="6">
        <v>46026.045138888891</v>
      </c>
      <c r="I47" s="6">
        <v>46026.052083333336</v>
      </c>
      <c r="J47" s="6">
        <v>46026.054166666669</v>
      </c>
      <c r="K47">
        <v>1.63</v>
      </c>
      <c r="L47" s="6">
        <v>46026.059027777781</v>
      </c>
      <c r="M47" s="7">
        <f>F47-E47</f>
        <v>6.9444444452528842E-3</v>
      </c>
      <c r="N47">
        <f>HOUR(M47)</f>
        <v>0</v>
      </c>
      <c r="O47">
        <f>MINUTE(M47)</f>
        <v>10</v>
      </c>
      <c r="P47">
        <f>N47*60+O47</f>
        <v>10</v>
      </c>
      <c r="Q47" s="7">
        <f>G47-F47</f>
        <v>1.3888888890505768E-2</v>
      </c>
      <c r="R47">
        <f>HOUR(Q47)</f>
        <v>0</v>
      </c>
      <c r="S47">
        <f>MINUTE(Q47)</f>
        <v>20</v>
      </c>
      <c r="T47">
        <f>R47*60+S47</f>
        <v>20</v>
      </c>
      <c r="U47" s="7">
        <f>H47-G47</f>
        <v>3.8194444445252884E-2</v>
      </c>
      <c r="V47">
        <f>HOUR(U47)</f>
        <v>0</v>
      </c>
      <c r="W47">
        <f>MINUTE(U47)</f>
        <v>55</v>
      </c>
      <c r="X47">
        <f>V47*60+W47</f>
        <v>55</v>
      </c>
      <c r="Y47" s="7">
        <f>I47-H47</f>
        <v>6.9444444452528842E-3</v>
      </c>
      <c r="Z47">
        <f>HOUR(Y47)</f>
        <v>0</v>
      </c>
      <c r="AA47">
        <f>MINUTE(Y47)</f>
        <v>10</v>
      </c>
      <c r="AB47">
        <f>Z47*60+AA47</f>
        <v>10</v>
      </c>
    </row>
    <row r="48" spans="1:28" x14ac:dyDescent="0.25">
      <c r="A48">
        <v>46</v>
      </c>
      <c r="B48" t="s">
        <v>31</v>
      </c>
      <c r="C48">
        <v>1</v>
      </c>
      <c r="D48" t="s">
        <v>35</v>
      </c>
      <c r="E48" s="6">
        <v>46026.344444444447</v>
      </c>
      <c r="F48" s="6">
        <v>46026.354166666664</v>
      </c>
      <c r="G48" s="6">
        <v>46026.364583333336</v>
      </c>
      <c r="H48" s="6">
        <v>46026.402777777781</v>
      </c>
      <c r="I48" s="6">
        <v>46026.416666666664</v>
      </c>
      <c r="J48" s="6">
        <v>46026.427083333336</v>
      </c>
      <c r="K48">
        <v>1.98</v>
      </c>
      <c r="L48" s="6">
        <v>46026.434027777781</v>
      </c>
      <c r="M48" s="7">
        <f>F48-E48</f>
        <v>9.7222222175332718E-3</v>
      </c>
      <c r="N48">
        <f>HOUR(M48)</f>
        <v>0</v>
      </c>
      <c r="O48">
        <f>MINUTE(M48)</f>
        <v>14</v>
      </c>
      <c r="P48">
        <f>N48*60+O48</f>
        <v>14</v>
      </c>
      <c r="Q48" s="7">
        <f>G48-F48</f>
        <v>1.0416666671517305E-2</v>
      </c>
      <c r="R48">
        <f>HOUR(Q48)</f>
        <v>0</v>
      </c>
      <c r="S48">
        <f>MINUTE(Q48)</f>
        <v>15</v>
      </c>
      <c r="T48">
        <f>R48*60+S48</f>
        <v>15</v>
      </c>
      <c r="U48" s="7">
        <f>H48-G48</f>
        <v>3.8194444445252884E-2</v>
      </c>
      <c r="V48">
        <f>HOUR(U48)</f>
        <v>0</v>
      </c>
      <c r="W48">
        <f>MINUTE(U48)</f>
        <v>55</v>
      </c>
      <c r="X48">
        <f>V48*60+W48</f>
        <v>55</v>
      </c>
      <c r="Y48" s="7">
        <f>I48-H48</f>
        <v>1.3888888883229811E-2</v>
      </c>
      <c r="Z48">
        <f>HOUR(Y48)</f>
        <v>0</v>
      </c>
      <c r="AA48">
        <f>MINUTE(Y48)</f>
        <v>20</v>
      </c>
      <c r="AB48">
        <f>Z48*60+AA48</f>
        <v>20</v>
      </c>
    </row>
    <row r="49" spans="1:28" x14ac:dyDescent="0.25">
      <c r="A49">
        <v>47</v>
      </c>
      <c r="B49" t="s">
        <v>33</v>
      </c>
      <c r="C49">
        <v>1</v>
      </c>
      <c r="D49" t="s">
        <v>30</v>
      </c>
      <c r="E49" s="6">
        <v>46026.385416666664</v>
      </c>
      <c r="F49" s="6">
        <v>46026.388888888891</v>
      </c>
      <c r="G49" s="6">
        <v>46026.409722222219</v>
      </c>
      <c r="H49" s="6">
        <v>46026.618055555555</v>
      </c>
      <c r="I49" s="6">
        <v>46026.645833333336</v>
      </c>
      <c r="J49" s="6">
        <v>46026.6875</v>
      </c>
      <c r="K49">
        <v>7.25</v>
      </c>
      <c r="L49" s="6">
        <v>46026.694444444445</v>
      </c>
      <c r="M49" s="7">
        <f>F49-E49</f>
        <v>3.4722222262644209E-3</v>
      </c>
      <c r="N49">
        <f>HOUR(M49)</f>
        <v>0</v>
      </c>
      <c r="O49">
        <f>MINUTE(M49)</f>
        <v>5</v>
      </c>
      <c r="P49">
        <f>N49*60+O49</f>
        <v>5</v>
      </c>
      <c r="Q49" s="7">
        <f>G49-F49</f>
        <v>2.0833333328482695E-2</v>
      </c>
      <c r="R49">
        <f>HOUR(Q49)</f>
        <v>0</v>
      </c>
      <c r="S49">
        <f>MINUTE(Q49)</f>
        <v>30</v>
      </c>
      <c r="T49">
        <f>R49*60+S49</f>
        <v>30</v>
      </c>
      <c r="U49" s="7">
        <f>H49-G49</f>
        <v>0.20833333333575865</v>
      </c>
      <c r="V49">
        <f>HOUR(U49)</f>
        <v>5</v>
      </c>
      <c r="W49">
        <f>MINUTE(U49)</f>
        <v>0</v>
      </c>
      <c r="X49">
        <f>V49*60+W49</f>
        <v>300</v>
      </c>
      <c r="Y49" s="7">
        <f>I49-H49</f>
        <v>2.7777777781011537E-2</v>
      </c>
      <c r="Z49">
        <f>HOUR(Y49)</f>
        <v>0</v>
      </c>
      <c r="AA49">
        <f>MINUTE(Y49)</f>
        <v>40</v>
      </c>
      <c r="AB49">
        <f>Z49*60+AA49</f>
        <v>40</v>
      </c>
    </row>
    <row r="50" spans="1:28" x14ac:dyDescent="0.25">
      <c r="A50">
        <v>48</v>
      </c>
      <c r="B50" t="s">
        <v>33</v>
      </c>
      <c r="C50">
        <v>1</v>
      </c>
      <c r="D50" t="s">
        <v>34</v>
      </c>
      <c r="E50" s="6">
        <v>46026.361111111109</v>
      </c>
      <c r="F50" s="6">
        <v>46026.381944444445</v>
      </c>
      <c r="G50" s="6">
        <v>46026.399305555555</v>
      </c>
      <c r="H50" s="6">
        <v>46026.473611111112</v>
      </c>
      <c r="I50" s="6">
        <v>46026.480555555558</v>
      </c>
      <c r="J50" s="6">
        <v>46026.489583333336</v>
      </c>
      <c r="K50">
        <v>3.08</v>
      </c>
      <c r="L50" s="6">
        <v>46026.496527777781</v>
      </c>
      <c r="M50" s="7">
        <f>F50-E50</f>
        <v>2.0833333335758653E-2</v>
      </c>
      <c r="N50">
        <f>HOUR(M50)</f>
        <v>0</v>
      </c>
      <c r="O50">
        <f>MINUTE(M50)</f>
        <v>30</v>
      </c>
      <c r="P50">
        <f>N50*60+O50</f>
        <v>30</v>
      </c>
      <c r="Q50" s="7">
        <f>G50-F50</f>
        <v>1.7361111109494232E-2</v>
      </c>
      <c r="R50">
        <f>HOUR(Q50)</f>
        <v>0</v>
      </c>
      <c r="S50">
        <f>MINUTE(Q50)</f>
        <v>25</v>
      </c>
      <c r="T50">
        <f>R50*60+S50</f>
        <v>25</v>
      </c>
      <c r="U50" s="7">
        <f>H50-G50</f>
        <v>7.4305555557657499E-2</v>
      </c>
      <c r="V50">
        <f>HOUR(U50)</f>
        <v>1</v>
      </c>
      <c r="W50">
        <f>MINUTE(U50)</f>
        <v>47</v>
      </c>
      <c r="X50">
        <f>V50*60+W50</f>
        <v>107</v>
      </c>
      <c r="Y50" s="7">
        <f>I50-H50</f>
        <v>6.9444444452528842E-3</v>
      </c>
      <c r="Z50">
        <f>HOUR(Y50)</f>
        <v>0</v>
      </c>
      <c r="AA50">
        <f>MINUTE(Y50)</f>
        <v>10</v>
      </c>
      <c r="AB50">
        <f>Z50*60+AA50</f>
        <v>10</v>
      </c>
    </row>
    <row r="51" spans="1:28" x14ac:dyDescent="0.25">
      <c r="A51">
        <v>49</v>
      </c>
      <c r="B51" t="s">
        <v>33</v>
      </c>
      <c r="C51">
        <v>1</v>
      </c>
      <c r="D51" t="s">
        <v>34</v>
      </c>
      <c r="E51" s="6">
        <v>46026.684027777781</v>
      </c>
      <c r="F51" s="6">
        <v>46026.711805555555</v>
      </c>
      <c r="G51" s="6">
        <v>46026.729166666664</v>
      </c>
      <c r="H51" s="6">
        <v>46026.777777777781</v>
      </c>
      <c r="I51" s="6">
        <v>46026.784722222219</v>
      </c>
      <c r="J51" s="6">
        <v>46026.788194444445</v>
      </c>
      <c r="K51">
        <v>2.5</v>
      </c>
      <c r="L51" s="6">
        <v>46026.791666666664</v>
      </c>
      <c r="M51" s="7">
        <f>F51-E51</f>
        <v>2.7777777773735579E-2</v>
      </c>
      <c r="N51">
        <f>HOUR(M51)</f>
        <v>0</v>
      </c>
      <c r="O51">
        <f>MINUTE(M51)</f>
        <v>40</v>
      </c>
      <c r="P51">
        <f>N51*60+O51</f>
        <v>40</v>
      </c>
      <c r="Q51" s="7">
        <f>G51-F51</f>
        <v>1.7361111109494232E-2</v>
      </c>
      <c r="R51">
        <f>HOUR(Q51)</f>
        <v>0</v>
      </c>
      <c r="S51">
        <f>MINUTE(Q51)</f>
        <v>25</v>
      </c>
      <c r="T51">
        <f>R51*60+S51</f>
        <v>25</v>
      </c>
      <c r="U51" s="7">
        <f>H51-G51</f>
        <v>4.8611111116770189E-2</v>
      </c>
      <c r="V51">
        <f>HOUR(U51)</f>
        <v>1</v>
      </c>
      <c r="W51">
        <f>MINUTE(U51)</f>
        <v>10</v>
      </c>
      <c r="X51">
        <f>V51*60+W51</f>
        <v>70</v>
      </c>
      <c r="Y51" s="7">
        <f>I51-H51</f>
        <v>6.9444444379769266E-3</v>
      </c>
      <c r="Z51">
        <f>HOUR(Y51)</f>
        <v>0</v>
      </c>
      <c r="AA51">
        <f>MINUTE(Y51)</f>
        <v>10</v>
      </c>
      <c r="AB51">
        <f>Z51*60+AA51</f>
        <v>10</v>
      </c>
    </row>
    <row r="52" spans="1:28" x14ac:dyDescent="0.25">
      <c r="A52">
        <v>50</v>
      </c>
      <c r="B52" t="s">
        <v>29</v>
      </c>
      <c r="C52">
        <v>1</v>
      </c>
      <c r="D52" t="s">
        <v>30</v>
      </c>
      <c r="E52" s="6">
        <v>46026.504861111112</v>
      </c>
      <c r="F52" s="6">
        <v>46026.520833333336</v>
      </c>
      <c r="G52" s="6">
        <v>46026.524305555555</v>
      </c>
      <c r="H52" s="6">
        <v>46026.534722222219</v>
      </c>
      <c r="I52" s="6">
        <v>46026.541666666664</v>
      </c>
      <c r="J52" s="6">
        <v>46026.545138888891</v>
      </c>
      <c r="K52">
        <v>0.97</v>
      </c>
      <c r="L52" s="6">
        <v>46026.548611111109</v>
      </c>
      <c r="M52" s="7">
        <f>F52-E52</f>
        <v>1.5972222223354038E-2</v>
      </c>
      <c r="N52">
        <f>HOUR(M52)</f>
        <v>0</v>
      </c>
      <c r="O52">
        <f>MINUTE(M52)</f>
        <v>23</v>
      </c>
      <c r="P52">
        <f>N52*60+O52</f>
        <v>23</v>
      </c>
      <c r="Q52" s="7">
        <f>G52-F52</f>
        <v>3.4722222189884633E-3</v>
      </c>
      <c r="R52">
        <f>HOUR(Q52)</f>
        <v>0</v>
      </c>
      <c r="S52">
        <f>MINUTE(Q52)</f>
        <v>5</v>
      </c>
      <c r="T52">
        <f>R52*60+S52</f>
        <v>5</v>
      </c>
      <c r="U52" s="7">
        <f>H52-G52</f>
        <v>1.0416666664241347E-2</v>
      </c>
      <c r="V52">
        <f>HOUR(U52)</f>
        <v>0</v>
      </c>
      <c r="W52">
        <f>MINUTE(U52)</f>
        <v>15</v>
      </c>
      <c r="X52">
        <f>V52*60+W52</f>
        <v>15</v>
      </c>
      <c r="Y52" s="7">
        <f>I52-H52</f>
        <v>6.9444444452528842E-3</v>
      </c>
      <c r="Z52">
        <f>HOUR(Y52)</f>
        <v>0</v>
      </c>
      <c r="AA52">
        <f>MINUTE(Y52)</f>
        <v>10</v>
      </c>
      <c r="AB52">
        <f>Z52*60+AA52</f>
        <v>10</v>
      </c>
    </row>
    <row r="53" spans="1:28" x14ac:dyDescent="0.25">
      <c r="A53">
        <v>51</v>
      </c>
      <c r="B53" t="s">
        <v>31</v>
      </c>
      <c r="C53">
        <v>1</v>
      </c>
      <c r="D53" t="s">
        <v>30</v>
      </c>
      <c r="E53" s="6">
        <v>46026.605555555558</v>
      </c>
      <c r="F53" s="6">
        <v>46026.611111111109</v>
      </c>
      <c r="G53" s="6">
        <v>46026.638888888891</v>
      </c>
      <c r="H53" s="6">
        <v>46026.673611111109</v>
      </c>
      <c r="I53" s="6">
        <v>46026.715277777781</v>
      </c>
      <c r="J53" s="6">
        <v>46026.718055555553</v>
      </c>
      <c r="K53">
        <v>2.7</v>
      </c>
      <c r="L53" s="6">
        <v>46026.71875</v>
      </c>
      <c r="M53" s="7">
        <f>F53-E53</f>
        <v>5.5555555518367328E-3</v>
      </c>
      <c r="N53">
        <f>HOUR(M53)</f>
        <v>0</v>
      </c>
      <c r="O53">
        <f>MINUTE(M53)</f>
        <v>8</v>
      </c>
      <c r="P53">
        <f>N53*60+O53</f>
        <v>8</v>
      </c>
      <c r="Q53" s="7">
        <f>G53-F53</f>
        <v>2.7777777781011537E-2</v>
      </c>
      <c r="R53">
        <f>HOUR(Q53)</f>
        <v>0</v>
      </c>
      <c r="S53">
        <f>MINUTE(Q53)</f>
        <v>40</v>
      </c>
      <c r="T53">
        <f>R53*60+S53</f>
        <v>40</v>
      </c>
      <c r="U53" s="7">
        <f>H53-G53</f>
        <v>3.4722222218988463E-2</v>
      </c>
      <c r="V53">
        <f>HOUR(U53)</f>
        <v>0</v>
      </c>
      <c r="W53">
        <f>MINUTE(U53)</f>
        <v>50</v>
      </c>
      <c r="X53">
        <f>V53*60+W53</f>
        <v>50</v>
      </c>
      <c r="Y53" s="7">
        <f>I53-H53</f>
        <v>4.1666666671517305E-2</v>
      </c>
      <c r="Z53">
        <f>HOUR(Y53)</f>
        <v>1</v>
      </c>
      <c r="AA53">
        <f>MINUTE(Y53)</f>
        <v>0</v>
      </c>
      <c r="AB53">
        <f>Z53*60+AA53</f>
        <v>60</v>
      </c>
    </row>
    <row r="54" spans="1:28" x14ac:dyDescent="0.25">
      <c r="A54">
        <v>52</v>
      </c>
      <c r="B54" t="s">
        <v>33</v>
      </c>
      <c r="C54">
        <v>1</v>
      </c>
      <c r="D54" t="s">
        <v>32</v>
      </c>
      <c r="E54" s="6">
        <v>46027.291666666664</v>
      </c>
      <c r="F54" s="6">
        <v>46027.326388888891</v>
      </c>
      <c r="G54" s="6">
        <v>46027.354166666664</v>
      </c>
      <c r="H54" s="6">
        <v>46027.38958333333</v>
      </c>
      <c r="I54" s="6">
        <v>46027.395833333336</v>
      </c>
      <c r="J54" s="6">
        <v>46027.402777777781</v>
      </c>
      <c r="K54">
        <v>2.67</v>
      </c>
      <c r="L54" s="6">
        <v>46027.409722222219</v>
      </c>
      <c r="M54" s="7">
        <f>F54-E54</f>
        <v>3.4722222226264421E-2</v>
      </c>
      <c r="N54">
        <f>HOUR(M54)</f>
        <v>0</v>
      </c>
      <c r="O54">
        <f>MINUTE(M54)</f>
        <v>50</v>
      </c>
      <c r="P54">
        <f>N54*60+O54</f>
        <v>50</v>
      </c>
      <c r="Q54" s="7">
        <f>G54-F54</f>
        <v>2.7777777773735579E-2</v>
      </c>
      <c r="R54">
        <f>HOUR(Q54)</f>
        <v>0</v>
      </c>
      <c r="S54">
        <f>MINUTE(Q54)</f>
        <v>40</v>
      </c>
      <c r="T54">
        <f>R54*60+S54</f>
        <v>40</v>
      </c>
      <c r="U54" s="7">
        <f>H54-G54</f>
        <v>3.5416666665696539E-2</v>
      </c>
      <c r="V54">
        <f>HOUR(U54)</f>
        <v>0</v>
      </c>
      <c r="W54">
        <f>MINUTE(U54)</f>
        <v>51</v>
      </c>
      <c r="X54">
        <f>V54*60+W54</f>
        <v>51</v>
      </c>
      <c r="Y54" s="7">
        <f>I54-H54</f>
        <v>6.2500000058207661E-3</v>
      </c>
      <c r="Z54">
        <f>HOUR(Y54)</f>
        <v>0</v>
      </c>
      <c r="AA54">
        <f>MINUTE(Y54)</f>
        <v>9</v>
      </c>
      <c r="AB54">
        <f>Z54*60+AA54</f>
        <v>9</v>
      </c>
    </row>
    <row r="55" spans="1:28" x14ac:dyDescent="0.25">
      <c r="A55">
        <v>53</v>
      </c>
      <c r="B55" t="s">
        <v>33</v>
      </c>
      <c r="C55">
        <v>1</v>
      </c>
      <c r="D55" t="s">
        <v>34</v>
      </c>
      <c r="E55" s="6">
        <v>46027.361111111109</v>
      </c>
      <c r="F55" s="6">
        <v>46027.368055555555</v>
      </c>
      <c r="G55" s="6">
        <v>46027.375</v>
      </c>
      <c r="H55" s="6">
        <v>46027.427083333336</v>
      </c>
      <c r="I55" s="6">
        <v>46027.434027777781</v>
      </c>
      <c r="J55" s="6">
        <v>46027.4375</v>
      </c>
      <c r="K55">
        <v>1.83</v>
      </c>
      <c r="L55" s="6">
        <v>46027.444444444445</v>
      </c>
      <c r="M55" s="7">
        <f>F55-E55</f>
        <v>6.9444444452528842E-3</v>
      </c>
      <c r="N55">
        <f>HOUR(M55)</f>
        <v>0</v>
      </c>
      <c r="O55">
        <f>MINUTE(M55)</f>
        <v>10</v>
      </c>
      <c r="P55">
        <f>N55*60+O55</f>
        <v>10</v>
      </c>
      <c r="Q55" s="7">
        <f>G55-F55</f>
        <v>6.9444444452528842E-3</v>
      </c>
      <c r="R55">
        <f>HOUR(Q55)</f>
        <v>0</v>
      </c>
      <c r="S55">
        <f>MINUTE(Q55)</f>
        <v>10</v>
      </c>
      <c r="T55">
        <f>R55*60+S55</f>
        <v>10</v>
      </c>
      <c r="U55" s="7">
        <f>H55-G55</f>
        <v>5.2083333335758653E-2</v>
      </c>
      <c r="V55">
        <f>HOUR(U55)</f>
        <v>1</v>
      </c>
      <c r="W55">
        <f>MINUTE(U55)</f>
        <v>15</v>
      </c>
      <c r="X55">
        <f>V55*60+W55</f>
        <v>75</v>
      </c>
      <c r="Y55" s="7">
        <f>I55-H55</f>
        <v>6.9444444452528842E-3</v>
      </c>
      <c r="Z55">
        <f>HOUR(Y55)</f>
        <v>0</v>
      </c>
      <c r="AA55">
        <f>MINUTE(Y55)</f>
        <v>10</v>
      </c>
      <c r="AB55">
        <f>Z55*60+AA55</f>
        <v>10</v>
      </c>
    </row>
    <row r="56" spans="1:28" x14ac:dyDescent="0.25">
      <c r="A56">
        <v>54</v>
      </c>
      <c r="B56" t="s">
        <v>33</v>
      </c>
      <c r="C56">
        <v>1</v>
      </c>
      <c r="D56" t="s">
        <v>30</v>
      </c>
      <c r="E56" s="6">
        <v>46026.850694444445</v>
      </c>
      <c r="F56" s="6">
        <v>46026.859722222223</v>
      </c>
      <c r="G56" s="6">
        <v>46026.864583333336</v>
      </c>
      <c r="H56" s="6">
        <v>46026.923611111109</v>
      </c>
      <c r="I56" s="6">
        <v>46026.930555555555</v>
      </c>
      <c r="J56" s="6">
        <v>46026.931944444441</v>
      </c>
      <c r="K56">
        <v>1.95</v>
      </c>
      <c r="L56" s="6">
        <v>46026.938888888886</v>
      </c>
      <c r="M56" s="7">
        <f>F56-E56</f>
        <v>9.0277777781011537E-3</v>
      </c>
      <c r="N56">
        <f>HOUR(M56)</f>
        <v>0</v>
      </c>
      <c r="O56">
        <f>MINUTE(M56)</f>
        <v>13</v>
      </c>
      <c r="P56">
        <f>N56*60+O56</f>
        <v>13</v>
      </c>
      <c r="Q56" s="7">
        <f>G56-F56</f>
        <v>4.8611111124046147E-3</v>
      </c>
      <c r="R56">
        <f>HOUR(Q56)</f>
        <v>0</v>
      </c>
      <c r="S56">
        <f>MINUTE(Q56)</f>
        <v>7</v>
      </c>
      <c r="T56">
        <f>R56*60+S56</f>
        <v>7</v>
      </c>
      <c r="U56" s="7">
        <f>H56-G56</f>
        <v>5.9027777773735579E-2</v>
      </c>
      <c r="V56">
        <f>HOUR(U56)</f>
        <v>1</v>
      </c>
      <c r="W56">
        <f>MINUTE(U56)</f>
        <v>25</v>
      </c>
      <c r="X56">
        <f>V56*60+W56</f>
        <v>85</v>
      </c>
      <c r="Y56" s="7">
        <f>I56-H56</f>
        <v>6.9444444452528842E-3</v>
      </c>
      <c r="Z56">
        <f>HOUR(Y56)</f>
        <v>0</v>
      </c>
      <c r="AA56">
        <f>MINUTE(Y56)</f>
        <v>10</v>
      </c>
      <c r="AB56">
        <f>Z56*60+AA56</f>
        <v>10</v>
      </c>
    </row>
    <row r="57" spans="1:28" x14ac:dyDescent="0.25">
      <c r="A57">
        <v>55</v>
      </c>
      <c r="B57" t="s">
        <v>29</v>
      </c>
      <c r="C57">
        <v>1</v>
      </c>
      <c r="D57" t="s">
        <v>30</v>
      </c>
      <c r="E57" s="6">
        <v>46026.747916666667</v>
      </c>
      <c r="F57" s="6">
        <v>46026.749305555553</v>
      </c>
      <c r="G57" s="6">
        <v>46026.75</v>
      </c>
      <c r="H57" s="6">
        <v>46026.805555555555</v>
      </c>
      <c r="I57" s="6">
        <v>46026.8125</v>
      </c>
      <c r="J57" s="6">
        <v>46026.815972222219</v>
      </c>
      <c r="K57">
        <v>1.63</v>
      </c>
      <c r="L57" s="6">
        <v>46026.822916666664</v>
      </c>
      <c r="M57" s="7">
        <f>F57-E57</f>
        <v>1.3888888861401938E-3</v>
      </c>
      <c r="N57">
        <f>HOUR(M57)</f>
        <v>0</v>
      </c>
      <c r="O57">
        <f>MINUTE(M57)</f>
        <v>2</v>
      </c>
      <c r="P57">
        <f>N57*60+O57</f>
        <v>2</v>
      </c>
      <c r="Q57" s="7">
        <f>G57-F57</f>
        <v>6.944444467080757E-4</v>
      </c>
      <c r="R57">
        <f>HOUR(Q57)</f>
        <v>0</v>
      </c>
      <c r="S57">
        <f>MINUTE(Q57)</f>
        <v>1</v>
      </c>
      <c r="T57">
        <f>R57*60+S57</f>
        <v>1</v>
      </c>
      <c r="U57" s="7">
        <f>H57-G57</f>
        <v>5.5555555554747116E-2</v>
      </c>
      <c r="V57">
        <f>HOUR(U57)</f>
        <v>1</v>
      </c>
      <c r="W57">
        <f>MINUTE(U57)</f>
        <v>20</v>
      </c>
      <c r="X57">
        <f>V57*60+W57</f>
        <v>80</v>
      </c>
      <c r="Y57" s="7">
        <f>I57-H57</f>
        <v>6.9444444452528842E-3</v>
      </c>
      <c r="Z57">
        <f>HOUR(Y57)</f>
        <v>0</v>
      </c>
      <c r="AA57">
        <f>MINUTE(Y57)</f>
        <v>10</v>
      </c>
      <c r="AB57">
        <f>Z57*60+AA57</f>
        <v>10</v>
      </c>
    </row>
    <row r="58" spans="1:28" x14ac:dyDescent="0.25">
      <c r="A58">
        <v>56</v>
      </c>
      <c r="B58" t="s">
        <v>33</v>
      </c>
      <c r="C58">
        <v>1</v>
      </c>
      <c r="D58" t="s">
        <v>30</v>
      </c>
      <c r="E58" s="6">
        <v>46026.982638888891</v>
      </c>
      <c r="F58" s="6">
        <v>46026.986111111109</v>
      </c>
      <c r="G58" s="6">
        <v>46026.993055555555</v>
      </c>
      <c r="H58" s="6">
        <v>46027.020833333336</v>
      </c>
      <c r="I58" s="6">
        <v>46027.024305555555</v>
      </c>
      <c r="J58" s="6">
        <v>46027.025000000001</v>
      </c>
      <c r="K58">
        <v>1.02</v>
      </c>
      <c r="L58" s="6">
        <v>46027.027777777781</v>
      </c>
      <c r="M58" s="7">
        <f>F58-E58</f>
        <v>3.4722222189884633E-3</v>
      </c>
      <c r="N58">
        <f>HOUR(M58)</f>
        <v>0</v>
      </c>
      <c r="O58">
        <f>MINUTE(M58)</f>
        <v>5</v>
      </c>
      <c r="P58">
        <f>N58*60+O58</f>
        <v>5</v>
      </c>
      <c r="Q58" s="7">
        <f>G58-F58</f>
        <v>6.9444444452528842E-3</v>
      </c>
      <c r="R58">
        <f>HOUR(Q58)</f>
        <v>0</v>
      </c>
      <c r="S58">
        <f>MINUTE(Q58)</f>
        <v>10</v>
      </c>
      <c r="T58">
        <f>R58*60+S58</f>
        <v>10</v>
      </c>
      <c r="U58" s="7">
        <f>H58-G58</f>
        <v>2.7777777781011537E-2</v>
      </c>
      <c r="V58">
        <f>HOUR(U58)</f>
        <v>0</v>
      </c>
      <c r="W58">
        <f>MINUTE(U58)</f>
        <v>40</v>
      </c>
      <c r="X58">
        <f>V58*60+W58</f>
        <v>40</v>
      </c>
      <c r="Y58" s="7">
        <f>I58-H58</f>
        <v>3.4722222189884633E-3</v>
      </c>
      <c r="Z58">
        <f>HOUR(Y58)</f>
        <v>0</v>
      </c>
      <c r="AA58">
        <f>MINUTE(Y58)</f>
        <v>5</v>
      </c>
      <c r="AB58">
        <f>Z58*60+AA58</f>
        <v>5</v>
      </c>
    </row>
    <row r="59" spans="1:28" x14ac:dyDescent="0.25">
      <c r="A59">
        <v>57</v>
      </c>
      <c r="B59" t="s">
        <v>31</v>
      </c>
      <c r="C59">
        <v>1</v>
      </c>
      <c r="D59" t="s">
        <v>30</v>
      </c>
      <c r="E59" s="6">
        <v>46027.0625</v>
      </c>
      <c r="F59" s="6">
        <v>46027.069444444445</v>
      </c>
      <c r="G59" s="6">
        <v>46027.079861111109</v>
      </c>
      <c r="H59" s="6">
        <v>46027.145138888889</v>
      </c>
      <c r="I59" s="6">
        <v>46027.1875</v>
      </c>
      <c r="J59" s="6">
        <v>46027.618055555555</v>
      </c>
      <c r="K59">
        <v>13.33</v>
      </c>
      <c r="L59" s="6">
        <v>46027.625</v>
      </c>
      <c r="M59" s="7">
        <f>F59-E59</f>
        <v>6.9444444452528842E-3</v>
      </c>
      <c r="N59">
        <f>HOUR(M59)</f>
        <v>0</v>
      </c>
      <c r="O59">
        <f>MINUTE(M59)</f>
        <v>10</v>
      </c>
      <c r="P59">
        <f>N59*60+O59</f>
        <v>10</v>
      </c>
      <c r="Q59" s="7">
        <f>G59-F59</f>
        <v>1.0416666664241347E-2</v>
      </c>
      <c r="R59">
        <f>HOUR(Q59)</f>
        <v>0</v>
      </c>
      <c r="S59">
        <f>MINUTE(Q59)</f>
        <v>15</v>
      </c>
      <c r="T59">
        <f>R59*60+S59</f>
        <v>15</v>
      </c>
      <c r="U59" s="7">
        <f>H59-G59</f>
        <v>6.5277777779556345E-2</v>
      </c>
      <c r="V59">
        <f>HOUR(U59)</f>
        <v>1</v>
      </c>
      <c r="W59">
        <f>MINUTE(U59)</f>
        <v>34</v>
      </c>
      <c r="X59">
        <f>V59*60+W59</f>
        <v>94</v>
      </c>
      <c r="Y59" s="7">
        <f>I59-H59</f>
        <v>4.2361111110949423E-2</v>
      </c>
      <c r="Z59">
        <f>HOUR(Y59)</f>
        <v>1</v>
      </c>
      <c r="AA59">
        <f>MINUTE(Y59)</f>
        <v>1</v>
      </c>
      <c r="AB59">
        <f>Z59*60+AA59</f>
        <v>61</v>
      </c>
    </row>
    <row r="60" spans="1:28" x14ac:dyDescent="0.25">
      <c r="A60">
        <v>58</v>
      </c>
      <c r="B60" t="s">
        <v>31</v>
      </c>
      <c r="C60">
        <v>1</v>
      </c>
      <c r="D60" t="s">
        <v>30</v>
      </c>
      <c r="E60" s="6">
        <v>46027.459722222222</v>
      </c>
      <c r="F60" s="6">
        <v>46027.461805555555</v>
      </c>
      <c r="G60" s="6">
        <v>46027.479166666664</v>
      </c>
      <c r="H60" s="6">
        <v>46027.539583333331</v>
      </c>
      <c r="I60" s="6">
        <v>46027.638888888891</v>
      </c>
      <c r="J60" s="6">
        <v>46027.642361111109</v>
      </c>
      <c r="K60">
        <v>4.38</v>
      </c>
      <c r="L60" s="6">
        <v>46027.645833333336</v>
      </c>
      <c r="M60" s="7">
        <f>F60-E60</f>
        <v>2.0833333328482695E-3</v>
      </c>
      <c r="N60">
        <f>HOUR(M60)</f>
        <v>0</v>
      </c>
      <c r="O60">
        <f>MINUTE(M60)</f>
        <v>3</v>
      </c>
      <c r="P60">
        <f>N60*60+O60</f>
        <v>3</v>
      </c>
      <c r="Q60" s="7">
        <f>G60-F60</f>
        <v>1.7361111109494232E-2</v>
      </c>
      <c r="R60">
        <f>HOUR(Q60)</f>
        <v>0</v>
      </c>
      <c r="S60">
        <f>MINUTE(Q60)</f>
        <v>25</v>
      </c>
      <c r="T60">
        <f>R60*60+S60</f>
        <v>25</v>
      </c>
      <c r="U60" s="7">
        <f>H60-G60</f>
        <v>6.0416666667151731E-2</v>
      </c>
      <c r="V60">
        <f>HOUR(U60)</f>
        <v>1</v>
      </c>
      <c r="W60">
        <f>MINUTE(U60)</f>
        <v>27</v>
      </c>
      <c r="X60">
        <f>V60*60+W60</f>
        <v>87</v>
      </c>
      <c r="Y60" s="7">
        <f>I60-H60</f>
        <v>9.930555555911269E-2</v>
      </c>
      <c r="Z60">
        <f>HOUR(Y60)</f>
        <v>2</v>
      </c>
      <c r="AA60">
        <f>MINUTE(Y60)</f>
        <v>23</v>
      </c>
      <c r="AB60">
        <f>Z60*60+AA60</f>
        <v>143</v>
      </c>
    </row>
    <row r="61" spans="1:28" x14ac:dyDescent="0.25">
      <c r="A61">
        <v>59</v>
      </c>
      <c r="B61" t="s">
        <v>31</v>
      </c>
      <c r="C61">
        <v>1</v>
      </c>
      <c r="D61" t="s">
        <v>34</v>
      </c>
      <c r="E61" s="6">
        <v>46027.493055555555</v>
      </c>
      <c r="F61" s="6">
        <v>46027.5</v>
      </c>
      <c r="G61" s="6">
        <v>46027.527777777781</v>
      </c>
      <c r="H61" s="6">
        <v>46027.791666666664</v>
      </c>
      <c r="I61" s="6">
        <v>46027.798611111109</v>
      </c>
      <c r="J61" s="6">
        <v>46027.840277777781</v>
      </c>
      <c r="K61">
        <v>8.33</v>
      </c>
      <c r="L61" s="6">
        <v>46027.847222222219</v>
      </c>
      <c r="M61" s="7">
        <f>F61-E61</f>
        <v>6.9444444452528842E-3</v>
      </c>
      <c r="N61">
        <f>HOUR(M61)</f>
        <v>0</v>
      </c>
      <c r="O61">
        <f>MINUTE(M61)</f>
        <v>10</v>
      </c>
      <c r="P61">
        <f>N61*60+O61</f>
        <v>10</v>
      </c>
      <c r="Q61" s="7">
        <f>G61-F61</f>
        <v>2.7777777781011537E-2</v>
      </c>
      <c r="R61">
        <f>HOUR(Q61)</f>
        <v>0</v>
      </c>
      <c r="S61">
        <f>MINUTE(Q61)</f>
        <v>40</v>
      </c>
      <c r="T61">
        <f>R61*60+S61</f>
        <v>40</v>
      </c>
      <c r="U61" s="7">
        <f>H61-G61</f>
        <v>0.26388888888322981</v>
      </c>
      <c r="V61">
        <f>HOUR(U61)</f>
        <v>6</v>
      </c>
      <c r="W61">
        <f>MINUTE(U61)</f>
        <v>20</v>
      </c>
      <c r="X61">
        <f>V61*60+W61</f>
        <v>380</v>
      </c>
      <c r="Y61" s="7">
        <f>I61-H61</f>
        <v>6.9444444452528842E-3</v>
      </c>
      <c r="Z61">
        <f>HOUR(Y61)</f>
        <v>0</v>
      </c>
      <c r="AA61">
        <f>MINUTE(Y61)</f>
        <v>10</v>
      </c>
      <c r="AB61">
        <f>Z61*60+AA61</f>
        <v>10</v>
      </c>
    </row>
    <row r="62" spans="1:28" x14ac:dyDescent="0.25">
      <c r="A62">
        <v>60</v>
      </c>
      <c r="B62" t="s">
        <v>29</v>
      </c>
      <c r="C62">
        <v>1</v>
      </c>
      <c r="D62" t="s">
        <v>35</v>
      </c>
      <c r="E62" s="6">
        <v>46027.645833333336</v>
      </c>
      <c r="F62" s="6">
        <v>46027.652777777781</v>
      </c>
      <c r="G62" s="6">
        <v>46027.659722222219</v>
      </c>
      <c r="H62" s="6">
        <v>46027.673611111109</v>
      </c>
      <c r="I62" s="6">
        <v>46027.677083333336</v>
      </c>
      <c r="J62" s="6">
        <v>46027.694444444445</v>
      </c>
      <c r="K62">
        <v>1.17</v>
      </c>
      <c r="L62" s="6">
        <v>46027.695833333331</v>
      </c>
      <c r="M62" s="7">
        <f>F62-E62</f>
        <v>6.9444444452528842E-3</v>
      </c>
      <c r="N62">
        <f>HOUR(M62)</f>
        <v>0</v>
      </c>
      <c r="O62">
        <f>MINUTE(M62)</f>
        <v>10</v>
      </c>
      <c r="P62">
        <f>N62*60+O62</f>
        <v>10</v>
      </c>
      <c r="Q62" s="7">
        <f>G62-F62</f>
        <v>6.9444444379769266E-3</v>
      </c>
      <c r="R62">
        <f>HOUR(Q62)</f>
        <v>0</v>
      </c>
      <c r="S62">
        <f>MINUTE(Q62)</f>
        <v>10</v>
      </c>
      <c r="T62">
        <f>R62*60+S62</f>
        <v>10</v>
      </c>
      <c r="U62" s="7">
        <f>H62-G62</f>
        <v>1.3888888890505768E-2</v>
      </c>
      <c r="V62">
        <f>HOUR(U62)</f>
        <v>0</v>
      </c>
      <c r="W62">
        <f>MINUTE(U62)</f>
        <v>20</v>
      </c>
      <c r="X62">
        <f>V62*60+W62</f>
        <v>20</v>
      </c>
      <c r="Y62" s="7">
        <f>I62-H62</f>
        <v>3.4722222262644209E-3</v>
      </c>
      <c r="Z62">
        <f>HOUR(Y62)</f>
        <v>0</v>
      </c>
      <c r="AA62">
        <f>MINUTE(Y62)</f>
        <v>5</v>
      </c>
      <c r="AB62">
        <f>Z62*60+AA62</f>
        <v>5</v>
      </c>
    </row>
    <row r="63" spans="1:28" x14ac:dyDescent="0.25">
      <c r="A63">
        <v>61</v>
      </c>
      <c r="B63" t="s">
        <v>29</v>
      </c>
      <c r="C63">
        <v>1</v>
      </c>
      <c r="D63" t="s">
        <v>36</v>
      </c>
      <c r="E63" s="6">
        <v>46027.520833333336</v>
      </c>
      <c r="F63" s="6">
        <v>46027.534722222219</v>
      </c>
      <c r="G63" s="6">
        <v>46027.548611111109</v>
      </c>
      <c r="H63" s="6">
        <v>46027.677777777775</v>
      </c>
      <c r="I63" s="6">
        <v>46027.680555555555</v>
      </c>
      <c r="J63" s="6">
        <v>46027.684027777781</v>
      </c>
      <c r="K63">
        <v>3.92</v>
      </c>
      <c r="L63" s="6">
        <v>46027.686111111114</v>
      </c>
      <c r="M63" s="7">
        <f>F63-E63</f>
        <v>1.3888888883229811E-2</v>
      </c>
      <c r="N63">
        <f>HOUR(M63)</f>
        <v>0</v>
      </c>
      <c r="O63">
        <f>MINUTE(M63)</f>
        <v>20</v>
      </c>
      <c r="P63">
        <f>N63*60+O63</f>
        <v>20</v>
      </c>
      <c r="Q63" s="7">
        <f>G63-F63</f>
        <v>1.3888888890505768E-2</v>
      </c>
      <c r="R63">
        <f>HOUR(Q63)</f>
        <v>0</v>
      </c>
      <c r="S63">
        <f>MINUTE(Q63)</f>
        <v>20</v>
      </c>
      <c r="T63">
        <f>R63*60+S63</f>
        <v>20</v>
      </c>
      <c r="U63" s="7">
        <f>H63-G63</f>
        <v>0.12916666666569654</v>
      </c>
      <c r="V63">
        <f>HOUR(U63)</f>
        <v>3</v>
      </c>
      <c r="W63">
        <f>MINUTE(U63)</f>
        <v>6</v>
      </c>
      <c r="X63">
        <f>V63*60+W63</f>
        <v>186</v>
      </c>
      <c r="Y63" s="7">
        <f>I63-H63</f>
        <v>2.7777777795563452E-3</v>
      </c>
      <c r="Z63">
        <f>HOUR(Y63)</f>
        <v>0</v>
      </c>
      <c r="AA63">
        <f>MINUTE(Y63)</f>
        <v>4</v>
      </c>
      <c r="AB63">
        <f>Z63*60+AA63</f>
        <v>4</v>
      </c>
    </row>
    <row r="64" spans="1:28" x14ac:dyDescent="0.25">
      <c r="A64">
        <v>62</v>
      </c>
      <c r="B64" t="s">
        <v>31</v>
      </c>
      <c r="C64">
        <v>1</v>
      </c>
      <c r="D64" t="s">
        <v>30</v>
      </c>
      <c r="E64" s="6">
        <v>46027.680555555555</v>
      </c>
      <c r="F64" s="6">
        <v>46027.690972222219</v>
      </c>
      <c r="G64" s="6">
        <v>46027.715277777781</v>
      </c>
      <c r="H64" s="6">
        <v>46027.797222222223</v>
      </c>
      <c r="I64" s="6">
        <v>46027.804166666669</v>
      </c>
      <c r="J64" s="6">
        <v>46027.875</v>
      </c>
      <c r="K64">
        <v>4.67</v>
      </c>
      <c r="L64" s="6">
        <v>46027.881944444445</v>
      </c>
      <c r="M64" s="7">
        <f>F64-E64</f>
        <v>1.0416666664241347E-2</v>
      </c>
      <c r="N64">
        <f>HOUR(M64)</f>
        <v>0</v>
      </c>
      <c r="O64">
        <f>MINUTE(M64)</f>
        <v>15</v>
      </c>
      <c r="P64">
        <f>N64*60+O64</f>
        <v>15</v>
      </c>
      <c r="Q64" s="7">
        <f>G64-F64</f>
        <v>2.4305555562023073E-2</v>
      </c>
      <c r="R64">
        <f>HOUR(Q64)</f>
        <v>0</v>
      </c>
      <c r="S64">
        <f>MINUTE(Q64)</f>
        <v>35</v>
      </c>
      <c r="T64">
        <f>R64*60+S64</f>
        <v>35</v>
      </c>
      <c r="U64" s="7">
        <f>H64-G64</f>
        <v>8.1944444442342501E-2</v>
      </c>
      <c r="V64">
        <f>HOUR(U64)</f>
        <v>1</v>
      </c>
      <c r="W64">
        <f>MINUTE(U64)</f>
        <v>58</v>
      </c>
      <c r="X64">
        <f>V64*60+W64</f>
        <v>118</v>
      </c>
      <c r="Y64" s="7">
        <f>I64-H64</f>
        <v>6.9444444452528842E-3</v>
      </c>
      <c r="Z64">
        <f>HOUR(Y64)</f>
        <v>0</v>
      </c>
      <c r="AA64">
        <f>MINUTE(Y64)</f>
        <v>10</v>
      </c>
      <c r="AB64">
        <f>Z64*60+AA64</f>
        <v>10</v>
      </c>
    </row>
    <row r="65" spans="1:28" x14ac:dyDescent="0.25">
      <c r="A65">
        <v>63</v>
      </c>
      <c r="B65" t="s">
        <v>33</v>
      </c>
      <c r="C65">
        <v>1</v>
      </c>
      <c r="D65" t="s">
        <v>30</v>
      </c>
      <c r="E65" s="6">
        <v>46031.291666666664</v>
      </c>
      <c r="F65" s="6">
        <v>46031.333333333336</v>
      </c>
      <c r="G65" s="6">
        <v>46031.392361111109</v>
      </c>
      <c r="H65" s="6">
        <v>46031.644444444442</v>
      </c>
      <c r="I65" s="6">
        <v>46031.651388888888</v>
      </c>
      <c r="J65" s="6">
        <v>46031.666666666664</v>
      </c>
      <c r="K65">
        <v>9</v>
      </c>
      <c r="L65" s="6">
        <v>46031.673611111109</v>
      </c>
      <c r="M65" s="7">
        <f>F65-E65</f>
        <v>4.1666666671517305E-2</v>
      </c>
      <c r="N65">
        <f>HOUR(M65)</f>
        <v>1</v>
      </c>
      <c r="O65">
        <f>MINUTE(M65)</f>
        <v>0</v>
      </c>
      <c r="P65">
        <f>N65*60+O65</f>
        <v>60</v>
      </c>
      <c r="Q65" s="7">
        <f>G65-F65</f>
        <v>5.9027777773735579E-2</v>
      </c>
      <c r="R65">
        <f>HOUR(Q65)</f>
        <v>1</v>
      </c>
      <c r="S65">
        <f>MINUTE(Q65)</f>
        <v>25</v>
      </c>
      <c r="T65">
        <f>R65*60+S65</f>
        <v>85</v>
      </c>
      <c r="U65" s="7">
        <f>H65-G65</f>
        <v>0.25208333333284827</v>
      </c>
      <c r="V65">
        <f>HOUR(U65)</f>
        <v>6</v>
      </c>
      <c r="W65">
        <f>MINUTE(U65)</f>
        <v>3</v>
      </c>
      <c r="X65">
        <f>V65*60+W65</f>
        <v>363</v>
      </c>
      <c r="Y65" s="7">
        <f>I65-H65</f>
        <v>6.9444444452528842E-3</v>
      </c>
      <c r="Z65">
        <f>HOUR(Y65)</f>
        <v>0</v>
      </c>
      <c r="AA65">
        <f>MINUTE(Y65)</f>
        <v>10</v>
      </c>
      <c r="AB65">
        <f>Z65*60+AA65</f>
        <v>10</v>
      </c>
    </row>
    <row r="66" spans="1:28" x14ac:dyDescent="0.25">
      <c r="A66">
        <v>64</v>
      </c>
      <c r="B66" t="s">
        <v>33</v>
      </c>
      <c r="C66">
        <v>1</v>
      </c>
      <c r="D66" t="s">
        <v>35</v>
      </c>
      <c r="E66" s="6">
        <v>46029.472222222219</v>
      </c>
      <c r="F66" s="6">
        <v>46029.493055555555</v>
      </c>
      <c r="G66" s="6">
        <v>46029.548611111109</v>
      </c>
      <c r="H66" s="6">
        <v>46029.708333333336</v>
      </c>
      <c r="I66" s="6">
        <v>46029.722222222219</v>
      </c>
      <c r="J66" s="6">
        <v>46029.743055555555</v>
      </c>
      <c r="K66">
        <v>6.5</v>
      </c>
      <c r="L66" s="6">
        <v>46029.75</v>
      </c>
      <c r="M66" s="7">
        <f>F66-E66</f>
        <v>2.0833333335758653E-2</v>
      </c>
      <c r="N66">
        <f>HOUR(M66)</f>
        <v>0</v>
      </c>
      <c r="O66">
        <f>MINUTE(M66)</f>
        <v>30</v>
      </c>
      <c r="P66">
        <f>N66*60+O66</f>
        <v>30</v>
      </c>
      <c r="Q66" s="7">
        <f>G66-F66</f>
        <v>5.5555555554747116E-2</v>
      </c>
      <c r="R66">
        <f>HOUR(Q66)</f>
        <v>1</v>
      </c>
      <c r="S66">
        <f>MINUTE(Q66)</f>
        <v>20</v>
      </c>
      <c r="T66">
        <f>R66*60+S66</f>
        <v>80</v>
      </c>
      <c r="U66" s="7">
        <f>H66-G66</f>
        <v>0.15972222222626442</v>
      </c>
      <c r="V66">
        <f>HOUR(U66)</f>
        <v>3</v>
      </c>
      <c r="W66">
        <f>MINUTE(U66)</f>
        <v>50</v>
      </c>
      <c r="X66">
        <f>V66*60+W66</f>
        <v>230</v>
      </c>
      <c r="Y66" s="7">
        <f>I66-H66</f>
        <v>1.3888888883229811E-2</v>
      </c>
      <c r="Z66">
        <f>HOUR(Y66)</f>
        <v>0</v>
      </c>
      <c r="AA66">
        <f>MINUTE(Y66)</f>
        <v>20</v>
      </c>
      <c r="AB66">
        <f>Z66*60+AA66</f>
        <v>20</v>
      </c>
    </row>
    <row r="67" spans="1:28" x14ac:dyDescent="0.25">
      <c r="A67">
        <v>65</v>
      </c>
      <c r="B67" t="s">
        <v>31</v>
      </c>
      <c r="C67">
        <v>1</v>
      </c>
      <c r="D67" t="s">
        <v>35</v>
      </c>
      <c r="E67" s="6">
        <v>46028.482638888891</v>
      </c>
      <c r="F67" s="6">
        <v>46028.486111111109</v>
      </c>
      <c r="G67" s="6">
        <v>46028.53125</v>
      </c>
      <c r="H67" s="6">
        <v>46028.659722222219</v>
      </c>
      <c r="I67" s="6">
        <v>46028.666666666664</v>
      </c>
      <c r="J67" s="6">
        <v>46028.670138888891</v>
      </c>
      <c r="K67">
        <v>4.5</v>
      </c>
      <c r="L67" s="6">
        <v>46028.677083333336</v>
      </c>
      <c r="M67" s="7">
        <f>F67-E67</f>
        <v>3.4722222189884633E-3</v>
      </c>
      <c r="N67">
        <f>HOUR(M67)</f>
        <v>0</v>
      </c>
      <c r="O67">
        <f>MINUTE(M67)</f>
        <v>5</v>
      </c>
      <c r="P67">
        <f>N67*60+O67</f>
        <v>5</v>
      </c>
      <c r="Q67" s="7">
        <f>G67-F67</f>
        <v>4.5138888890505768E-2</v>
      </c>
      <c r="R67">
        <f>HOUR(Q67)</f>
        <v>1</v>
      </c>
      <c r="S67">
        <f>MINUTE(Q67)</f>
        <v>5</v>
      </c>
      <c r="T67">
        <f>R67*60+S67</f>
        <v>65</v>
      </c>
      <c r="U67" s="7">
        <f>H67-G67</f>
        <v>0.12847222221898846</v>
      </c>
      <c r="V67">
        <f>HOUR(U67)</f>
        <v>3</v>
      </c>
      <c r="W67">
        <f>MINUTE(U67)</f>
        <v>5</v>
      </c>
      <c r="X67">
        <f>V67*60+W67</f>
        <v>185</v>
      </c>
      <c r="Y67" s="7">
        <f>I67-H67</f>
        <v>6.9444444452528842E-3</v>
      </c>
      <c r="Z67">
        <f>HOUR(Y67)</f>
        <v>0</v>
      </c>
      <c r="AA67">
        <f>MINUTE(Y67)</f>
        <v>10</v>
      </c>
      <c r="AB67">
        <f>Z67*60+AA67</f>
        <v>10</v>
      </c>
    </row>
    <row r="68" spans="1:28" x14ac:dyDescent="0.25">
      <c r="A68">
        <v>66</v>
      </c>
      <c r="B68" t="s">
        <v>33</v>
      </c>
      <c r="C68">
        <v>1</v>
      </c>
      <c r="D68" t="s">
        <v>37</v>
      </c>
      <c r="E68" s="6">
        <v>46028.708333333336</v>
      </c>
      <c r="F68" s="6">
        <v>46028.71875</v>
      </c>
      <c r="G68" s="6">
        <v>46028.725694444445</v>
      </c>
      <c r="H68" s="6">
        <v>46028.788888888892</v>
      </c>
      <c r="I68" s="6">
        <v>46028.791666666664</v>
      </c>
      <c r="J68" s="6">
        <v>46028.805555555555</v>
      </c>
      <c r="K68">
        <v>2.33</v>
      </c>
      <c r="L68" s="6">
        <v>46028.8125</v>
      </c>
      <c r="M68" s="7">
        <f>F68-E68</f>
        <v>1.0416666664241347E-2</v>
      </c>
      <c r="N68">
        <f>HOUR(M68)</f>
        <v>0</v>
      </c>
      <c r="O68">
        <f>MINUTE(M68)</f>
        <v>15</v>
      </c>
      <c r="P68">
        <f>N68*60+O68</f>
        <v>15</v>
      </c>
      <c r="Q68" s="7">
        <f>G68-F68</f>
        <v>6.9444444452528842E-3</v>
      </c>
      <c r="R68">
        <f>HOUR(Q68)</f>
        <v>0</v>
      </c>
      <c r="S68">
        <f>MINUTE(Q68)</f>
        <v>10</v>
      </c>
      <c r="T68">
        <f>R68*60+S68</f>
        <v>10</v>
      </c>
      <c r="U68" s="7">
        <f>H68-G68</f>
        <v>6.3194444446708076E-2</v>
      </c>
      <c r="V68">
        <f>HOUR(U68)</f>
        <v>1</v>
      </c>
      <c r="W68">
        <f>MINUTE(U68)</f>
        <v>31</v>
      </c>
      <c r="X68">
        <f>V68*60+W68</f>
        <v>91</v>
      </c>
      <c r="Y68" s="7">
        <f>I68-H68</f>
        <v>2.7777777722803876E-3</v>
      </c>
      <c r="Z68">
        <f>HOUR(Y68)</f>
        <v>0</v>
      </c>
      <c r="AA68">
        <f>MINUTE(Y68)</f>
        <v>4</v>
      </c>
      <c r="AB68">
        <f>Z68*60+AA68</f>
        <v>4</v>
      </c>
    </row>
    <row r="69" spans="1:28" x14ac:dyDescent="0.25">
      <c r="A69">
        <v>67</v>
      </c>
      <c r="B69" t="s">
        <v>33</v>
      </c>
      <c r="C69">
        <v>1</v>
      </c>
      <c r="D69" t="s">
        <v>32</v>
      </c>
      <c r="E69" s="6">
        <v>46028.472222222219</v>
      </c>
      <c r="F69" s="6">
        <v>46028.479166666664</v>
      </c>
      <c r="G69" s="6">
        <v>46028.480555555558</v>
      </c>
      <c r="H69" s="6">
        <v>46028.506944444445</v>
      </c>
      <c r="I69" s="6">
        <v>46028.520833333336</v>
      </c>
      <c r="J69" s="6">
        <v>46028.541666666664</v>
      </c>
      <c r="K69">
        <v>1.67</v>
      </c>
      <c r="L69" s="6">
        <v>46028.548611111109</v>
      </c>
      <c r="M69" s="7">
        <f>F69-E69</f>
        <v>6.9444444452528842E-3</v>
      </c>
      <c r="N69">
        <f>HOUR(M69)</f>
        <v>0</v>
      </c>
      <c r="O69">
        <f>MINUTE(M69)</f>
        <v>10</v>
      </c>
      <c r="P69">
        <f>N69*60+O69</f>
        <v>10</v>
      </c>
      <c r="Q69" s="7">
        <f>G69-F69</f>
        <v>1.3888888934161514E-3</v>
      </c>
      <c r="R69">
        <f>HOUR(Q69)</f>
        <v>0</v>
      </c>
      <c r="S69">
        <f>MINUTE(Q69)</f>
        <v>2</v>
      </c>
      <c r="T69">
        <f>R69*60+S69</f>
        <v>2</v>
      </c>
      <c r="U69" s="7">
        <f>H69-G69</f>
        <v>2.6388888887595385E-2</v>
      </c>
      <c r="V69">
        <f>HOUR(U69)</f>
        <v>0</v>
      </c>
      <c r="W69">
        <f>MINUTE(U69)</f>
        <v>38</v>
      </c>
      <c r="X69">
        <f>V69*60+W69</f>
        <v>38</v>
      </c>
      <c r="Y69" s="7">
        <f>I69-H69</f>
        <v>1.3888888890505768E-2</v>
      </c>
      <c r="Z69">
        <f>HOUR(Y69)</f>
        <v>0</v>
      </c>
      <c r="AA69">
        <f>MINUTE(Y69)</f>
        <v>20</v>
      </c>
      <c r="AB69">
        <f>Z69*60+AA69</f>
        <v>20</v>
      </c>
    </row>
    <row r="70" spans="1:28" x14ac:dyDescent="0.25">
      <c r="A70">
        <v>68</v>
      </c>
      <c r="B70" t="s">
        <v>31</v>
      </c>
      <c r="C70">
        <v>1</v>
      </c>
      <c r="D70" t="s">
        <v>30</v>
      </c>
      <c r="E70" s="6">
        <v>46028.340277777781</v>
      </c>
      <c r="F70" s="6">
        <v>46028.347222222219</v>
      </c>
      <c r="G70" s="6">
        <v>46028.368055555555</v>
      </c>
      <c r="H70" s="6">
        <v>46028.423611111109</v>
      </c>
      <c r="I70" s="6">
        <v>46028.430555555555</v>
      </c>
      <c r="J70" s="6">
        <v>46028.458333333336</v>
      </c>
      <c r="K70">
        <v>2.83</v>
      </c>
      <c r="L70" s="6">
        <v>46028.465277777781</v>
      </c>
      <c r="M70" s="7">
        <f>F70-E70</f>
        <v>6.9444444379769266E-3</v>
      </c>
      <c r="N70">
        <f>HOUR(M70)</f>
        <v>0</v>
      </c>
      <c r="O70">
        <f>MINUTE(M70)</f>
        <v>10</v>
      </c>
      <c r="P70">
        <f>N70*60+O70</f>
        <v>10</v>
      </c>
      <c r="Q70" s="7">
        <f>G70-F70</f>
        <v>2.0833333335758653E-2</v>
      </c>
      <c r="R70">
        <f>HOUR(Q70)</f>
        <v>0</v>
      </c>
      <c r="S70">
        <f>MINUTE(Q70)</f>
        <v>30</v>
      </c>
      <c r="T70">
        <f>R70*60+S70</f>
        <v>30</v>
      </c>
      <c r="U70" s="7">
        <f>H70-G70</f>
        <v>5.5555555554747116E-2</v>
      </c>
      <c r="V70">
        <f>HOUR(U70)</f>
        <v>1</v>
      </c>
      <c r="W70">
        <f>MINUTE(U70)</f>
        <v>20</v>
      </c>
      <c r="X70">
        <f>V70*60+W70</f>
        <v>80</v>
      </c>
      <c r="Y70" s="7">
        <f>I70-H70</f>
        <v>6.9444444452528842E-3</v>
      </c>
      <c r="Z70">
        <f>HOUR(Y70)</f>
        <v>0</v>
      </c>
      <c r="AA70">
        <f>MINUTE(Y70)</f>
        <v>10</v>
      </c>
      <c r="AB70">
        <f>Z70*60+AA70</f>
        <v>10</v>
      </c>
    </row>
    <row r="71" spans="1:28" x14ac:dyDescent="0.25">
      <c r="A71">
        <v>69</v>
      </c>
      <c r="B71" t="s">
        <v>31</v>
      </c>
      <c r="C71">
        <v>1</v>
      </c>
      <c r="D71" t="s">
        <v>35</v>
      </c>
      <c r="E71" s="6">
        <v>46027.722222222219</v>
      </c>
      <c r="F71" s="6">
        <v>46027.729166666664</v>
      </c>
      <c r="G71" s="6">
        <v>46027.736111111109</v>
      </c>
      <c r="H71" s="6">
        <v>46027.776388888888</v>
      </c>
      <c r="I71" s="6">
        <v>46027.777777777781</v>
      </c>
      <c r="J71" s="6">
        <v>46027.78125</v>
      </c>
      <c r="K71">
        <v>1.42</v>
      </c>
      <c r="L71" s="6">
        <v>46027.781944444447</v>
      </c>
      <c r="M71" s="7">
        <f>F71-E71</f>
        <v>6.9444444452528842E-3</v>
      </c>
      <c r="N71">
        <f>HOUR(M71)</f>
        <v>0</v>
      </c>
      <c r="O71">
        <f>MINUTE(M71)</f>
        <v>10</v>
      </c>
      <c r="P71">
        <f>N71*60+O71</f>
        <v>10</v>
      </c>
      <c r="Q71" s="7">
        <f>G71-F71</f>
        <v>6.9444444452528842E-3</v>
      </c>
      <c r="R71">
        <f>HOUR(Q71)</f>
        <v>0</v>
      </c>
      <c r="S71">
        <f>MINUTE(Q71)</f>
        <v>10</v>
      </c>
      <c r="T71">
        <f>R71*60+S71</f>
        <v>10</v>
      </c>
      <c r="U71" s="7">
        <f>H71-G71</f>
        <v>4.0277777778101154E-2</v>
      </c>
      <c r="V71">
        <f>HOUR(U71)</f>
        <v>0</v>
      </c>
      <c r="W71">
        <f>MINUTE(U71)</f>
        <v>58</v>
      </c>
      <c r="X71">
        <f>V71*60+W71</f>
        <v>58</v>
      </c>
      <c r="Y71" s="7">
        <f>I71-H71</f>
        <v>1.3888888934161514E-3</v>
      </c>
      <c r="Z71">
        <f>HOUR(Y71)</f>
        <v>0</v>
      </c>
      <c r="AA71">
        <f>MINUTE(Y71)</f>
        <v>2</v>
      </c>
      <c r="AB71">
        <f>Z71*60+AA71</f>
        <v>2</v>
      </c>
    </row>
    <row r="72" spans="1:28" x14ac:dyDescent="0.25">
      <c r="A72">
        <v>70</v>
      </c>
      <c r="B72" t="s">
        <v>29</v>
      </c>
      <c r="C72">
        <v>1</v>
      </c>
      <c r="D72" t="s">
        <v>34</v>
      </c>
      <c r="E72" s="6">
        <v>46028.319444444445</v>
      </c>
      <c r="F72" s="6">
        <v>46028.340277777781</v>
      </c>
      <c r="G72" s="6">
        <v>46028.361111111109</v>
      </c>
      <c r="H72" s="6">
        <v>46028.371527777781</v>
      </c>
      <c r="I72" s="6">
        <v>46028.385416666664</v>
      </c>
      <c r="J72" s="6">
        <v>46028.425694444442</v>
      </c>
      <c r="K72">
        <v>2.5499999999999998</v>
      </c>
      <c r="L72" s="6">
        <v>46028.426388888889</v>
      </c>
      <c r="M72" s="7">
        <f>F72-E72</f>
        <v>2.0833333335758653E-2</v>
      </c>
      <c r="N72">
        <f>HOUR(M72)</f>
        <v>0</v>
      </c>
      <c r="O72">
        <f>MINUTE(M72)</f>
        <v>30</v>
      </c>
      <c r="P72">
        <f>N72*60+O72</f>
        <v>30</v>
      </c>
      <c r="Q72" s="7">
        <f>G72-F72</f>
        <v>2.0833333328482695E-2</v>
      </c>
      <c r="R72">
        <f>HOUR(Q72)</f>
        <v>0</v>
      </c>
      <c r="S72">
        <f>MINUTE(Q72)</f>
        <v>30</v>
      </c>
      <c r="T72">
        <f>R72*60+S72</f>
        <v>30</v>
      </c>
      <c r="U72" s="7">
        <f>H72-G72</f>
        <v>1.0416666671517305E-2</v>
      </c>
      <c r="V72">
        <f>HOUR(U72)</f>
        <v>0</v>
      </c>
      <c r="W72">
        <f>MINUTE(U72)</f>
        <v>15</v>
      </c>
      <c r="X72">
        <f>V72*60+W72</f>
        <v>15</v>
      </c>
      <c r="Y72" s="7">
        <f>I72-H72</f>
        <v>1.3888888883229811E-2</v>
      </c>
      <c r="Z72">
        <f>HOUR(Y72)</f>
        <v>0</v>
      </c>
      <c r="AA72">
        <f>MINUTE(Y72)</f>
        <v>20</v>
      </c>
      <c r="AB72">
        <f>Z72*60+AA72</f>
        <v>20</v>
      </c>
    </row>
    <row r="73" spans="1:28" x14ac:dyDescent="0.25">
      <c r="A73">
        <v>71</v>
      </c>
      <c r="B73" t="s">
        <v>29</v>
      </c>
      <c r="C73">
        <v>1</v>
      </c>
      <c r="D73" t="s">
        <v>35</v>
      </c>
      <c r="E73" s="6">
        <v>46027.892361111109</v>
      </c>
      <c r="F73" s="6">
        <v>46027.902777777781</v>
      </c>
      <c r="G73" s="6">
        <v>46027.909722222219</v>
      </c>
      <c r="H73" s="6">
        <v>46027.930555555555</v>
      </c>
      <c r="I73" s="6">
        <v>46027.934027777781</v>
      </c>
      <c r="J73" s="6">
        <v>46027.9375</v>
      </c>
      <c r="K73">
        <v>1.08</v>
      </c>
      <c r="L73" s="6">
        <v>46027.939583333333</v>
      </c>
      <c r="M73" s="7">
        <f>F73-E73</f>
        <v>1.0416666671517305E-2</v>
      </c>
      <c r="N73">
        <f>HOUR(M73)</f>
        <v>0</v>
      </c>
      <c r="O73">
        <f>MINUTE(M73)</f>
        <v>15</v>
      </c>
      <c r="P73">
        <f>N73*60+O73</f>
        <v>15</v>
      </c>
      <c r="Q73" s="7">
        <f>G73-F73</f>
        <v>6.9444444379769266E-3</v>
      </c>
      <c r="R73">
        <f>HOUR(Q73)</f>
        <v>0</v>
      </c>
      <c r="S73">
        <f>MINUTE(Q73)</f>
        <v>10</v>
      </c>
      <c r="T73">
        <f>R73*60+S73</f>
        <v>10</v>
      </c>
      <c r="U73" s="7">
        <f>H73-G73</f>
        <v>2.0833333335758653E-2</v>
      </c>
      <c r="V73">
        <f>HOUR(U73)</f>
        <v>0</v>
      </c>
      <c r="W73">
        <f>MINUTE(U73)</f>
        <v>30</v>
      </c>
      <c r="X73">
        <f>V73*60+W73</f>
        <v>30</v>
      </c>
      <c r="Y73" s="7">
        <f>I73-H73</f>
        <v>3.4722222262644209E-3</v>
      </c>
      <c r="Z73">
        <f>HOUR(Y73)</f>
        <v>0</v>
      </c>
      <c r="AA73">
        <f>MINUTE(Y73)</f>
        <v>5</v>
      </c>
      <c r="AB73">
        <f>Z73*60+AA73</f>
        <v>5</v>
      </c>
    </row>
    <row r="74" spans="1:28" x14ac:dyDescent="0.25">
      <c r="A74">
        <v>72</v>
      </c>
      <c r="B74" t="s">
        <v>33</v>
      </c>
      <c r="C74">
        <v>1</v>
      </c>
      <c r="D74" t="s">
        <v>34</v>
      </c>
      <c r="E74" s="6">
        <v>46027.958333333336</v>
      </c>
      <c r="F74" s="6">
        <v>46027.965277777781</v>
      </c>
      <c r="G74" s="6">
        <v>46027.972222222219</v>
      </c>
      <c r="H74" s="6">
        <v>46027.982638888891</v>
      </c>
      <c r="I74" s="6">
        <v>46027.989583333336</v>
      </c>
      <c r="J74" s="6">
        <v>46027.990277777775</v>
      </c>
      <c r="K74">
        <v>0.77</v>
      </c>
      <c r="L74" s="6">
        <v>46027.990972222222</v>
      </c>
      <c r="M74" s="7">
        <f>F74-E74</f>
        <v>6.9444444452528842E-3</v>
      </c>
      <c r="N74">
        <f>HOUR(M74)</f>
        <v>0</v>
      </c>
      <c r="O74">
        <f>MINUTE(M74)</f>
        <v>10</v>
      </c>
      <c r="P74">
        <f>N74*60+O74</f>
        <v>10</v>
      </c>
      <c r="Q74" s="7">
        <f>G74-F74</f>
        <v>6.9444444379769266E-3</v>
      </c>
      <c r="R74">
        <f>HOUR(Q74)</f>
        <v>0</v>
      </c>
      <c r="S74">
        <f>MINUTE(Q74)</f>
        <v>10</v>
      </c>
      <c r="T74">
        <f>R74*60+S74</f>
        <v>10</v>
      </c>
      <c r="U74" s="7">
        <f>H74-G74</f>
        <v>1.0416666671517305E-2</v>
      </c>
      <c r="V74">
        <f>HOUR(U74)</f>
        <v>0</v>
      </c>
      <c r="W74">
        <f>MINUTE(U74)</f>
        <v>15</v>
      </c>
      <c r="X74">
        <f>V74*60+W74</f>
        <v>15</v>
      </c>
      <c r="Y74" s="7">
        <f>I74-H74</f>
        <v>6.9444444452528842E-3</v>
      </c>
      <c r="Z74">
        <f>HOUR(Y74)</f>
        <v>0</v>
      </c>
      <c r="AA74">
        <f>MINUTE(Y74)</f>
        <v>10</v>
      </c>
      <c r="AB74">
        <f>Z74*60+AA74</f>
        <v>10</v>
      </c>
    </row>
    <row r="75" spans="1:28" x14ac:dyDescent="0.25">
      <c r="A75">
        <v>73</v>
      </c>
      <c r="B75" t="s">
        <v>31</v>
      </c>
      <c r="C75">
        <v>1</v>
      </c>
      <c r="D75" t="s">
        <v>34</v>
      </c>
      <c r="E75" s="6">
        <v>46028.011805555558</v>
      </c>
      <c r="F75" s="6">
        <v>46028.017361111109</v>
      </c>
      <c r="G75" s="6">
        <v>46028.020833333336</v>
      </c>
      <c r="H75" s="6">
        <v>46028.104166666664</v>
      </c>
      <c r="I75" s="6">
        <v>46028.166666666664</v>
      </c>
      <c r="J75" s="6">
        <v>46028.5625</v>
      </c>
      <c r="K75">
        <v>13.22</v>
      </c>
      <c r="L75" s="6">
        <v>46028.569444444445</v>
      </c>
      <c r="M75" s="7">
        <f>F75-E75</f>
        <v>5.5555555518367328E-3</v>
      </c>
      <c r="N75">
        <f>HOUR(M75)</f>
        <v>0</v>
      </c>
      <c r="O75">
        <f>MINUTE(M75)</f>
        <v>8</v>
      </c>
      <c r="P75">
        <f>N75*60+O75</f>
        <v>8</v>
      </c>
      <c r="Q75" s="7">
        <f>G75-F75</f>
        <v>3.4722222262644209E-3</v>
      </c>
      <c r="R75">
        <f>HOUR(Q75)</f>
        <v>0</v>
      </c>
      <c r="S75">
        <f>MINUTE(Q75)</f>
        <v>5</v>
      </c>
      <c r="T75">
        <f>R75*60+S75</f>
        <v>5</v>
      </c>
      <c r="U75" s="7">
        <f>H75-G75</f>
        <v>8.3333333328482695E-2</v>
      </c>
      <c r="V75">
        <f>HOUR(U75)</f>
        <v>2</v>
      </c>
      <c r="W75">
        <f>MINUTE(U75)</f>
        <v>0</v>
      </c>
      <c r="X75">
        <f>V75*60+W75</f>
        <v>120</v>
      </c>
      <c r="Y75" s="7">
        <f>I75-H75</f>
        <v>6.25E-2</v>
      </c>
      <c r="Z75">
        <f>HOUR(Y75)</f>
        <v>1</v>
      </c>
      <c r="AA75">
        <f>MINUTE(Y75)</f>
        <v>30</v>
      </c>
      <c r="AB75">
        <f>Z75*60+AA75</f>
        <v>90</v>
      </c>
    </row>
    <row r="76" spans="1:28" x14ac:dyDescent="0.25">
      <c r="A76">
        <v>74</v>
      </c>
      <c r="B76" t="s">
        <v>31</v>
      </c>
      <c r="C76">
        <v>1</v>
      </c>
      <c r="D76" t="s">
        <v>32</v>
      </c>
      <c r="E76" s="6">
        <v>46028.572916666664</v>
      </c>
      <c r="F76" s="6">
        <v>46028.576388888891</v>
      </c>
      <c r="G76" s="6">
        <v>46028.590277777781</v>
      </c>
      <c r="H76" s="6">
        <v>46028.663194444445</v>
      </c>
      <c r="I76" s="6">
        <v>46028.731944444444</v>
      </c>
      <c r="J76" s="6">
        <v>46028.732638888891</v>
      </c>
      <c r="K76">
        <v>3.83</v>
      </c>
      <c r="L76" s="6">
        <v>46028.73333333333</v>
      </c>
      <c r="M76" s="7">
        <f>F76-E76</f>
        <v>3.4722222262644209E-3</v>
      </c>
      <c r="N76">
        <f>HOUR(M76)</f>
        <v>0</v>
      </c>
      <c r="O76">
        <f>MINUTE(M76)</f>
        <v>5</v>
      </c>
      <c r="P76">
        <f>N76*60+O76</f>
        <v>5</v>
      </c>
      <c r="Q76" s="7">
        <f>G76-F76</f>
        <v>1.3888888890505768E-2</v>
      </c>
      <c r="R76">
        <f>HOUR(Q76)</f>
        <v>0</v>
      </c>
      <c r="S76">
        <f>MINUTE(Q76)</f>
        <v>20</v>
      </c>
      <c r="T76">
        <f>R76*60+S76</f>
        <v>20</v>
      </c>
      <c r="U76" s="7">
        <f>H76-G76</f>
        <v>7.2916666664241347E-2</v>
      </c>
      <c r="V76">
        <f>HOUR(U76)</f>
        <v>1</v>
      </c>
      <c r="W76">
        <f>MINUTE(U76)</f>
        <v>45</v>
      </c>
      <c r="X76">
        <f>V76*60+W76</f>
        <v>105</v>
      </c>
      <c r="Y76" s="7">
        <f>I76-H76</f>
        <v>6.8749999998544808E-2</v>
      </c>
      <c r="Z76">
        <f>HOUR(Y76)</f>
        <v>1</v>
      </c>
      <c r="AA76">
        <f>MINUTE(Y76)</f>
        <v>39</v>
      </c>
      <c r="AB76">
        <f>Z76*60+AA76</f>
        <v>99</v>
      </c>
    </row>
    <row r="77" spans="1:28" x14ac:dyDescent="0.25">
      <c r="A77">
        <v>75</v>
      </c>
      <c r="B77" t="s">
        <v>29</v>
      </c>
      <c r="C77">
        <v>1</v>
      </c>
      <c r="D77" t="s">
        <v>35</v>
      </c>
      <c r="E77" s="6">
        <v>46028.347222222219</v>
      </c>
      <c r="F77" s="6">
        <v>46028.354166666664</v>
      </c>
      <c r="G77" s="6">
        <v>46028.378472222219</v>
      </c>
      <c r="H77" s="6">
        <v>46028.416666666664</v>
      </c>
      <c r="I77" s="6">
        <v>46028.430555555555</v>
      </c>
      <c r="J77" s="6">
        <v>46028.431250000001</v>
      </c>
      <c r="K77">
        <v>2.02</v>
      </c>
      <c r="L77" s="6">
        <v>46028.431944444441</v>
      </c>
      <c r="M77" s="7">
        <f>F77-E77</f>
        <v>6.9444444452528842E-3</v>
      </c>
      <c r="N77">
        <f>HOUR(M77)</f>
        <v>0</v>
      </c>
      <c r="O77">
        <f>MINUTE(M77)</f>
        <v>10</v>
      </c>
      <c r="P77">
        <f>N77*60+O77</f>
        <v>10</v>
      </c>
      <c r="Q77" s="7">
        <f>G77-F77</f>
        <v>2.4305555554747116E-2</v>
      </c>
      <c r="R77">
        <f>HOUR(Q77)</f>
        <v>0</v>
      </c>
      <c r="S77">
        <f>MINUTE(Q77)</f>
        <v>35</v>
      </c>
      <c r="T77">
        <f>R77*60+S77</f>
        <v>35</v>
      </c>
      <c r="U77" s="7">
        <f>H77-G77</f>
        <v>3.8194444445252884E-2</v>
      </c>
      <c r="V77">
        <f>HOUR(U77)</f>
        <v>0</v>
      </c>
      <c r="W77">
        <f>MINUTE(U77)</f>
        <v>55</v>
      </c>
      <c r="X77">
        <f>V77*60+W77</f>
        <v>55</v>
      </c>
      <c r="Y77" s="7">
        <f>I77-H77</f>
        <v>1.3888888890505768E-2</v>
      </c>
      <c r="Z77">
        <f>HOUR(Y77)</f>
        <v>0</v>
      </c>
      <c r="AA77">
        <f>MINUTE(Y77)</f>
        <v>20</v>
      </c>
      <c r="AB77">
        <f>Z77*60+AA77</f>
        <v>20</v>
      </c>
    </row>
    <row r="78" spans="1:28" x14ac:dyDescent="0.25">
      <c r="A78">
        <v>76</v>
      </c>
      <c r="B78" t="s">
        <v>29</v>
      </c>
      <c r="C78">
        <v>1</v>
      </c>
      <c r="D78" t="s">
        <v>34</v>
      </c>
      <c r="E78" s="6">
        <v>46028.60833333333</v>
      </c>
      <c r="F78" s="6">
        <v>46028.611111111109</v>
      </c>
      <c r="G78" s="6">
        <v>46028.642361111109</v>
      </c>
      <c r="H78" s="6">
        <v>46028.652777777781</v>
      </c>
      <c r="I78" s="6">
        <v>46028.659722222219</v>
      </c>
      <c r="J78" s="6">
        <v>46028.666666666664</v>
      </c>
      <c r="K78">
        <v>1.4</v>
      </c>
      <c r="L78" s="6">
        <v>46028.673611111109</v>
      </c>
      <c r="M78" s="7">
        <f>F78-E78</f>
        <v>2.7777777795563452E-3</v>
      </c>
      <c r="N78">
        <f>HOUR(M78)</f>
        <v>0</v>
      </c>
      <c r="O78">
        <f>MINUTE(M78)</f>
        <v>4</v>
      </c>
      <c r="P78">
        <f>N78*60+O78</f>
        <v>4</v>
      </c>
      <c r="Q78" s="7">
        <f>G78-F78</f>
        <v>3.125E-2</v>
      </c>
      <c r="R78">
        <f>HOUR(Q78)</f>
        <v>0</v>
      </c>
      <c r="S78">
        <f>MINUTE(Q78)</f>
        <v>45</v>
      </c>
      <c r="T78">
        <f>R78*60+S78</f>
        <v>45</v>
      </c>
      <c r="U78" s="7">
        <f>H78-G78</f>
        <v>1.0416666671517305E-2</v>
      </c>
      <c r="V78">
        <f>HOUR(U78)</f>
        <v>0</v>
      </c>
      <c r="W78">
        <f>MINUTE(U78)</f>
        <v>15</v>
      </c>
      <c r="X78">
        <f>V78*60+W78</f>
        <v>15</v>
      </c>
      <c r="Y78" s="7">
        <f>I78-H78</f>
        <v>6.9444444379769266E-3</v>
      </c>
      <c r="Z78">
        <f>HOUR(Y78)</f>
        <v>0</v>
      </c>
      <c r="AA78">
        <f>MINUTE(Y78)</f>
        <v>10</v>
      </c>
      <c r="AB78">
        <f>Z78*60+AA78</f>
        <v>10</v>
      </c>
    </row>
    <row r="79" spans="1:28" x14ac:dyDescent="0.25">
      <c r="A79">
        <v>77</v>
      </c>
      <c r="B79" t="s">
        <v>31</v>
      </c>
      <c r="C79">
        <v>1</v>
      </c>
      <c r="D79" t="s">
        <v>35</v>
      </c>
      <c r="E79" s="6">
        <v>46028.458333333336</v>
      </c>
      <c r="F79" s="6">
        <v>46028.46875</v>
      </c>
      <c r="G79" s="6">
        <v>46028.489583333336</v>
      </c>
      <c r="H79" s="6">
        <v>46028.513888888891</v>
      </c>
      <c r="I79" s="6">
        <v>46028.517361111109</v>
      </c>
      <c r="J79" s="6">
        <v>46028.520833333336</v>
      </c>
      <c r="K79">
        <v>1.5</v>
      </c>
      <c r="L79" s="6">
        <v>46028.521527777775</v>
      </c>
      <c r="M79" s="7">
        <f>F79-E79</f>
        <v>1.0416666664241347E-2</v>
      </c>
      <c r="N79">
        <f>HOUR(M79)</f>
        <v>0</v>
      </c>
      <c r="O79">
        <f>MINUTE(M79)</f>
        <v>15</v>
      </c>
      <c r="P79">
        <f>N79*60+O79</f>
        <v>15</v>
      </c>
      <c r="Q79" s="7">
        <f>G79-F79</f>
        <v>2.0833333335758653E-2</v>
      </c>
      <c r="R79">
        <f>HOUR(Q79)</f>
        <v>0</v>
      </c>
      <c r="S79">
        <f>MINUTE(Q79)</f>
        <v>30</v>
      </c>
      <c r="T79">
        <f>R79*60+S79</f>
        <v>30</v>
      </c>
      <c r="U79" s="7">
        <f>H79-G79</f>
        <v>2.4305555554747116E-2</v>
      </c>
      <c r="V79">
        <f>HOUR(U79)</f>
        <v>0</v>
      </c>
      <c r="W79">
        <f>MINUTE(U79)</f>
        <v>35</v>
      </c>
      <c r="X79">
        <f>V79*60+W79</f>
        <v>35</v>
      </c>
      <c r="Y79" s="7">
        <f>I79-H79</f>
        <v>3.4722222189884633E-3</v>
      </c>
      <c r="Z79">
        <f>HOUR(Y79)</f>
        <v>0</v>
      </c>
      <c r="AA79">
        <f>MINUTE(Y79)</f>
        <v>5</v>
      </c>
      <c r="AB79">
        <f>Z79*60+AA79</f>
        <v>5</v>
      </c>
    </row>
    <row r="80" spans="1:28" x14ac:dyDescent="0.25">
      <c r="A80">
        <v>78</v>
      </c>
      <c r="B80" t="s">
        <v>29</v>
      </c>
      <c r="C80">
        <v>1</v>
      </c>
      <c r="D80" t="s">
        <v>35</v>
      </c>
      <c r="E80" s="6">
        <v>46028.572916666664</v>
      </c>
      <c r="F80" s="6">
        <v>46028.583333333336</v>
      </c>
      <c r="G80" s="6">
        <v>46028.614583333336</v>
      </c>
      <c r="H80" s="6">
        <v>46028.75</v>
      </c>
      <c r="I80" s="6">
        <v>46028.756944444445</v>
      </c>
      <c r="J80" s="6">
        <v>46028.763888888891</v>
      </c>
      <c r="K80">
        <v>4.58</v>
      </c>
      <c r="L80" s="6">
        <v>46028.770833333336</v>
      </c>
      <c r="M80" s="7">
        <f>F80-E80</f>
        <v>1.0416666671517305E-2</v>
      </c>
      <c r="N80">
        <f>HOUR(M80)</f>
        <v>0</v>
      </c>
      <c r="O80">
        <f>MINUTE(M80)</f>
        <v>15</v>
      </c>
      <c r="P80">
        <f>N80*60+O80</f>
        <v>15</v>
      </c>
      <c r="Q80" s="7">
        <f>G80-F80</f>
        <v>3.125E-2</v>
      </c>
      <c r="R80">
        <f>HOUR(Q80)</f>
        <v>0</v>
      </c>
      <c r="S80">
        <f>MINUTE(Q80)</f>
        <v>45</v>
      </c>
      <c r="T80">
        <f>R80*60+S80</f>
        <v>45</v>
      </c>
      <c r="U80" s="7">
        <f>H80-G80</f>
        <v>0.13541666666424135</v>
      </c>
      <c r="V80">
        <f>HOUR(U80)</f>
        <v>3</v>
      </c>
      <c r="W80">
        <f>MINUTE(U80)</f>
        <v>15</v>
      </c>
      <c r="X80">
        <f>V80*60+W80</f>
        <v>195</v>
      </c>
      <c r="Y80" s="7">
        <f>I80-H80</f>
        <v>6.9444444452528842E-3</v>
      </c>
      <c r="Z80">
        <f>HOUR(Y80)</f>
        <v>0</v>
      </c>
      <c r="AA80">
        <f>MINUTE(Y80)</f>
        <v>10</v>
      </c>
      <c r="AB80">
        <f>Z80*60+AA80</f>
        <v>10</v>
      </c>
    </row>
    <row r="81" spans="1:28" x14ac:dyDescent="0.25">
      <c r="A81">
        <v>79</v>
      </c>
      <c r="B81" t="s">
        <v>29</v>
      </c>
      <c r="C81">
        <v>1</v>
      </c>
      <c r="D81" t="s">
        <v>36</v>
      </c>
      <c r="E81" s="6">
        <v>46028.684027777781</v>
      </c>
      <c r="F81" s="6">
        <v>46028.690972222219</v>
      </c>
      <c r="G81" s="6">
        <v>46028.701388888891</v>
      </c>
      <c r="H81" s="6">
        <v>46028.711805555555</v>
      </c>
      <c r="I81" s="6">
        <v>46028.715277777781</v>
      </c>
      <c r="J81" s="6">
        <v>46028.725694444445</v>
      </c>
      <c r="K81">
        <v>1</v>
      </c>
      <c r="L81" s="6">
        <v>46028.729166666664</v>
      </c>
      <c r="M81" s="7">
        <f>F81-E81</f>
        <v>6.9444444379769266E-3</v>
      </c>
      <c r="N81">
        <f>HOUR(M81)</f>
        <v>0</v>
      </c>
      <c r="O81">
        <f>MINUTE(M81)</f>
        <v>10</v>
      </c>
      <c r="P81">
        <f>N81*60+O81</f>
        <v>10</v>
      </c>
      <c r="Q81" s="7">
        <f>G81-F81</f>
        <v>1.0416666671517305E-2</v>
      </c>
      <c r="R81">
        <f>HOUR(Q81)</f>
        <v>0</v>
      </c>
      <c r="S81">
        <f>MINUTE(Q81)</f>
        <v>15</v>
      </c>
      <c r="T81">
        <f>R81*60+S81</f>
        <v>15</v>
      </c>
      <c r="U81" s="7">
        <f>H81-G81</f>
        <v>1.0416666664241347E-2</v>
      </c>
      <c r="V81">
        <f>HOUR(U81)</f>
        <v>0</v>
      </c>
      <c r="W81">
        <f>MINUTE(U81)</f>
        <v>15</v>
      </c>
      <c r="X81">
        <f>V81*60+W81</f>
        <v>15</v>
      </c>
      <c r="Y81" s="7">
        <f>I81-H81</f>
        <v>3.4722222262644209E-3</v>
      </c>
      <c r="Z81">
        <f>HOUR(Y81)</f>
        <v>0</v>
      </c>
      <c r="AA81">
        <f>MINUTE(Y81)</f>
        <v>5</v>
      </c>
      <c r="AB81">
        <f>Z81*60+AA81</f>
        <v>5</v>
      </c>
    </row>
    <row r="82" spans="1:28" x14ac:dyDescent="0.25">
      <c r="A82">
        <v>80</v>
      </c>
      <c r="B82" t="s">
        <v>33</v>
      </c>
      <c r="C82">
        <v>1</v>
      </c>
      <c r="D82" t="s">
        <v>34</v>
      </c>
      <c r="E82" s="6">
        <v>46029.291666666664</v>
      </c>
      <c r="F82" s="6">
        <v>46029.326388888891</v>
      </c>
      <c r="G82" s="6">
        <v>46029.354166666664</v>
      </c>
      <c r="H82" s="6">
        <v>46029.451388888891</v>
      </c>
      <c r="I82" s="6">
        <v>46029.458333333336</v>
      </c>
      <c r="J82" s="6">
        <v>46029.461805555555</v>
      </c>
      <c r="K82">
        <v>4.08</v>
      </c>
      <c r="L82" s="6">
        <v>46029.465277777781</v>
      </c>
      <c r="M82" s="7">
        <f>F82-E82</f>
        <v>3.4722222226264421E-2</v>
      </c>
      <c r="N82">
        <f>HOUR(M82)</f>
        <v>0</v>
      </c>
      <c r="O82">
        <f>MINUTE(M82)</f>
        <v>50</v>
      </c>
      <c r="P82">
        <f>N82*60+O82</f>
        <v>50</v>
      </c>
      <c r="Q82" s="7">
        <f>G82-F82</f>
        <v>2.7777777773735579E-2</v>
      </c>
      <c r="R82">
        <f>HOUR(Q82)</f>
        <v>0</v>
      </c>
      <c r="S82">
        <f>MINUTE(Q82)</f>
        <v>40</v>
      </c>
      <c r="T82">
        <f>R82*60+S82</f>
        <v>40</v>
      </c>
      <c r="U82" s="7">
        <f>H82-G82</f>
        <v>9.7222222226264421E-2</v>
      </c>
      <c r="V82">
        <f>HOUR(U82)</f>
        <v>2</v>
      </c>
      <c r="W82">
        <f>MINUTE(U82)</f>
        <v>20</v>
      </c>
      <c r="X82">
        <f>V82*60+W82</f>
        <v>140</v>
      </c>
      <c r="Y82" s="7">
        <f>I82-H82</f>
        <v>6.9444444452528842E-3</v>
      </c>
      <c r="Z82">
        <f>HOUR(Y82)</f>
        <v>0</v>
      </c>
      <c r="AA82">
        <f>MINUTE(Y82)</f>
        <v>10</v>
      </c>
      <c r="AB82">
        <f>Z82*60+AA82</f>
        <v>10</v>
      </c>
    </row>
    <row r="83" spans="1:28" x14ac:dyDescent="0.25">
      <c r="A83">
        <v>81</v>
      </c>
      <c r="B83" t="s">
        <v>29</v>
      </c>
      <c r="C83">
        <v>1</v>
      </c>
      <c r="D83" t="s">
        <v>35</v>
      </c>
      <c r="E83" s="6">
        <v>46029.291666666664</v>
      </c>
      <c r="F83" s="6">
        <v>46029.322916666664</v>
      </c>
      <c r="G83" s="6">
        <v>46029.347222222219</v>
      </c>
      <c r="H83" s="6">
        <v>46029.414583333331</v>
      </c>
      <c r="I83" s="6">
        <v>46029.421527777777</v>
      </c>
      <c r="J83" s="6">
        <v>46029.423611111109</v>
      </c>
      <c r="K83">
        <v>3.17</v>
      </c>
      <c r="L83" s="6">
        <v>46029.430555555555</v>
      </c>
      <c r="M83" s="7">
        <f>F83-E83</f>
        <v>3.125E-2</v>
      </c>
      <c r="N83">
        <f>HOUR(M83)</f>
        <v>0</v>
      </c>
      <c r="O83">
        <f>MINUTE(M83)</f>
        <v>45</v>
      </c>
      <c r="P83">
        <f>N83*60+O83</f>
        <v>45</v>
      </c>
      <c r="Q83" s="7">
        <f>G83-F83</f>
        <v>2.4305555554747116E-2</v>
      </c>
      <c r="R83">
        <f>HOUR(Q83)</f>
        <v>0</v>
      </c>
      <c r="S83">
        <f>MINUTE(Q83)</f>
        <v>35</v>
      </c>
      <c r="T83">
        <f>R83*60+S83</f>
        <v>35</v>
      </c>
      <c r="U83" s="7">
        <f>H83-G83</f>
        <v>6.7361111112404615E-2</v>
      </c>
      <c r="V83">
        <f>HOUR(U83)</f>
        <v>1</v>
      </c>
      <c r="W83">
        <f>MINUTE(U83)</f>
        <v>37</v>
      </c>
      <c r="X83">
        <f>V83*60+W83</f>
        <v>97</v>
      </c>
      <c r="Y83" s="7">
        <f>I83-H83</f>
        <v>6.9444444452528842E-3</v>
      </c>
      <c r="Z83">
        <f>HOUR(Y83)</f>
        <v>0</v>
      </c>
      <c r="AA83">
        <f>MINUTE(Y83)</f>
        <v>10</v>
      </c>
      <c r="AB83">
        <f>Z83*60+AA83</f>
        <v>10</v>
      </c>
    </row>
    <row r="84" spans="1:28" x14ac:dyDescent="0.25">
      <c r="A84">
        <v>82</v>
      </c>
      <c r="B84" t="s">
        <v>29</v>
      </c>
      <c r="C84">
        <v>1</v>
      </c>
      <c r="D84" t="s">
        <v>34</v>
      </c>
      <c r="E84" s="6">
        <v>46029.684027777781</v>
      </c>
      <c r="F84" s="6">
        <v>46029.694444444445</v>
      </c>
      <c r="G84" s="6">
        <v>46029.722222222219</v>
      </c>
      <c r="H84" s="6">
        <v>46029.788194444445</v>
      </c>
      <c r="I84" s="6">
        <v>46029.805555555555</v>
      </c>
      <c r="J84" s="6">
        <v>46029.819444444445</v>
      </c>
      <c r="K84">
        <v>3.25</v>
      </c>
      <c r="L84" s="6">
        <v>46029.826388888891</v>
      </c>
      <c r="M84" s="7">
        <f>F84-E84</f>
        <v>1.0416666664241347E-2</v>
      </c>
      <c r="N84">
        <f>HOUR(M84)</f>
        <v>0</v>
      </c>
      <c r="O84">
        <f>MINUTE(M84)</f>
        <v>15</v>
      </c>
      <c r="P84">
        <f>N84*60+O84</f>
        <v>15</v>
      </c>
      <c r="Q84" s="7">
        <f>G84-F84</f>
        <v>2.7777777773735579E-2</v>
      </c>
      <c r="R84">
        <f>HOUR(Q84)</f>
        <v>0</v>
      </c>
      <c r="S84">
        <f>MINUTE(Q84)</f>
        <v>40</v>
      </c>
      <c r="T84">
        <f>R84*60+S84</f>
        <v>40</v>
      </c>
      <c r="U84" s="7">
        <f>H84-G84</f>
        <v>6.5972222226264421E-2</v>
      </c>
      <c r="V84">
        <f>HOUR(U84)</f>
        <v>1</v>
      </c>
      <c r="W84">
        <f>MINUTE(U84)</f>
        <v>35</v>
      </c>
      <c r="X84">
        <f>V84*60+W84</f>
        <v>95</v>
      </c>
      <c r="Y84" s="7">
        <f>I84-H84</f>
        <v>1.7361111109494232E-2</v>
      </c>
      <c r="Z84">
        <f>HOUR(Y84)</f>
        <v>0</v>
      </c>
      <c r="AA84">
        <f>MINUTE(Y84)</f>
        <v>25</v>
      </c>
      <c r="AB84">
        <f>Z84*60+AA84</f>
        <v>25</v>
      </c>
    </row>
    <row r="85" spans="1:28" x14ac:dyDescent="0.25">
      <c r="A85">
        <v>83</v>
      </c>
      <c r="B85" t="s">
        <v>31</v>
      </c>
      <c r="C85">
        <v>1</v>
      </c>
      <c r="D85" t="s">
        <v>36</v>
      </c>
      <c r="E85" s="6">
        <v>46029.291666666664</v>
      </c>
      <c r="F85" s="6">
        <v>46029.329861111109</v>
      </c>
      <c r="G85" s="6">
        <v>46029.354166666664</v>
      </c>
      <c r="H85" s="6">
        <v>46029.402777777781</v>
      </c>
      <c r="I85" s="6">
        <v>46029.409722222219</v>
      </c>
      <c r="J85" s="6">
        <v>46029.416666666664</v>
      </c>
      <c r="K85">
        <v>3</v>
      </c>
      <c r="L85" s="6">
        <v>46029.423611111109</v>
      </c>
      <c r="M85" s="7">
        <f>F85-E85</f>
        <v>3.8194444445252884E-2</v>
      </c>
      <c r="N85">
        <f>HOUR(M85)</f>
        <v>0</v>
      </c>
      <c r="O85">
        <f>MINUTE(M85)</f>
        <v>55</v>
      </c>
      <c r="P85">
        <f>N85*60+O85</f>
        <v>55</v>
      </c>
      <c r="Q85" s="7">
        <f>G85-F85</f>
        <v>2.4305555554747116E-2</v>
      </c>
      <c r="R85">
        <f>HOUR(Q85)</f>
        <v>0</v>
      </c>
      <c r="S85">
        <f>MINUTE(Q85)</f>
        <v>35</v>
      </c>
      <c r="T85">
        <f>R85*60+S85</f>
        <v>35</v>
      </c>
      <c r="U85" s="7">
        <f>H85-G85</f>
        <v>4.8611111116770189E-2</v>
      </c>
      <c r="V85">
        <f>HOUR(U85)</f>
        <v>1</v>
      </c>
      <c r="W85">
        <f>MINUTE(U85)</f>
        <v>10</v>
      </c>
      <c r="X85">
        <f>V85*60+W85</f>
        <v>70</v>
      </c>
      <c r="Y85" s="7">
        <f>I85-H85</f>
        <v>6.9444444379769266E-3</v>
      </c>
      <c r="Z85">
        <f>HOUR(Y85)</f>
        <v>0</v>
      </c>
      <c r="AA85">
        <f>MINUTE(Y85)</f>
        <v>10</v>
      </c>
      <c r="AB85">
        <f>Z85*60+AA85</f>
        <v>10</v>
      </c>
    </row>
    <row r="86" spans="1:28" x14ac:dyDescent="0.25">
      <c r="A86">
        <v>84</v>
      </c>
      <c r="B86" t="s">
        <v>29</v>
      </c>
      <c r="C86">
        <v>1</v>
      </c>
      <c r="D86" t="s">
        <v>35</v>
      </c>
      <c r="E86" s="6">
        <v>46030.319444444445</v>
      </c>
      <c r="F86" s="6">
        <v>46030.322916666664</v>
      </c>
      <c r="G86" s="6">
        <v>46030.323611111111</v>
      </c>
      <c r="H86" s="6">
        <v>46030.34375</v>
      </c>
      <c r="I86" s="6">
        <v>46030.350694444445</v>
      </c>
      <c r="J86" s="6">
        <v>46030.354166666664</v>
      </c>
      <c r="K86">
        <v>0.83</v>
      </c>
      <c r="L86" s="6">
        <v>46030.355555555558</v>
      </c>
      <c r="M86" s="7">
        <f>F86-E86</f>
        <v>3.4722222189884633E-3</v>
      </c>
      <c r="N86">
        <f>HOUR(M86)</f>
        <v>0</v>
      </c>
      <c r="O86">
        <f>MINUTE(M86)</f>
        <v>5</v>
      </c>
      <c r="P86">
        <f>N86*60+O86</f>
        <v>5</v>
      </c>
      <c r="Q86" s="7">
        <f>G86-F86</f>
        <v>6.944444467080757E-4</v>
      </c>
      <c r="R86">
        <f>HOUR(Q86)</f>
        <v>0</v>
      </c>
      <c r="S86">
        <f>MINUTE(Q86)</f>
        <v>1</v>
      </c>
      <c r="T86">
        <f>R86*60+S86</f>
        <v>1</v>
      </c>
      <c r="U86" s="7">
        <f>H86-G86</f>
        <v>2.0138888889050577E-2</v>
      </c>
      <c r="V86">
        <f>HOUR(U86)</f>
        <v>0</v>
      </c>
      <c r="W86">
        <f>MINUTE(U86)</f>
        <v>29</v>
      </c>
      <c r="X86">
        <f>V86*60+W86</f>
        <v>29</v>
      </c>
      <c r="Y86" s="7">
        <f>I86-H86</f>
        <v>6.9444444452528842E-3</v>
      </c>
      <c r="Z86">
        <f>HOUR(Y86)</f>
        <v>0</v>
      </c>
      <c r="AA86">
        <f>MINUTE(Y86)</f>
        <v>10</v>
      </c>
      <c r="AB86">
        <f>Z86*60+AA86</f>
        <v>10</v>
      </c>
    </row>
    <row r="87" spans="1:28" x14ac:dyDescent="0.25">
      <c r="A87">
        <v>85</v>
      </c>
      <c r="B87" t="s">
        <v>29</v>
      </c>
      <c r="C87">
        <v>1</v>
      </c>
      <c r="D87" t="s">
        <v>32</v>
      </c>
      <c r="E87" s="6">
        <v>46035.371527777781</v>
      </c>
      <c r="F87" s="6">
        <v>46035.378472222219</v>
      </c>
      <c r="G87" s="6">
        <v>46035.381944444445</v>
      </c>
      <c r="H87" s="6">
        <v>46035.388888888891</v>
      </c>
      <c r="I87" s="6">
        <v>46035.392361111109</v>
      </c>
      <c r="J87" s="6">
        <v>46035.395833333336</v>
      </c>
      <c r="K87">
        <v>0.57999999999999996</v>
      </c>
      <c r="L87" s="6">
        <v>46035.396527777775</v>
      </c>
      <c r="M87" s="7">
        <f>F87-E87</f>
        <v>6.9444444379769266E-3</v>
      </c>
      <c r="N87">
        <f>HOUR(M87)</f>
        <v>0</v>
      </c>
      <c r="O87">
        <f>MINUTE(M87)</f>
        <v>10</v>
      </c>
      <c r="P87">
        <f>N87*60+O87</f>
        <v>10</v>
      </c>
      <c r="Q87" s="7">
        <f>G87-F87</f>
        <v>3.4722222262644209E-3</v>
      </c>
      <c r="R87">
        <f>HOUR(Q87)</f>
        <v>0</v>
      </c>
      <c r="S87">
        <f>MINUTE(Q87)</f>
        <v>5</v>
      </c>
      <c r="T87">
        <f>R87*60+S87</f>
        <v>5</v>
      </c>
      <c r="U87" s="7">
        <f>H87-G87</f>
        <v>6.9444444452528842E-3</v>
      </c>
      <c r="V87">
        <f>HOUR(U87)</f>
        <v>0</v>
      </c>
      <c r="W87">
        <f>MINUTE(U87)</f>
        <v>10</v>
      </c>
      <c r="X87">
        <f>V87*60+W87</f>
        <v>10</v>
      </c>
      <c r="Y87" s="7">
        <f>I87-H87</f>
        <v>3.4722222189884633E-3</v>
      </c>
      <c r="Z87">
        <f>HOUR(Y87)</f>
        <v>0</v>
      </c>
      <c r="AA87">
        <f>MINUTE(Y87)</f>
        <v>5</v>
      </c>
      <c r="AB87">
        <f>Z87*60+AA87</f>
        <v>5</v>
      </c>
    </row>
    <row r="88" spans="1:28" x14ac:dyDescent="0.25">
      <c r="A88">
        <v>86</v>
      </c>
      <c r="B88" t="s">
        <v>29</v>
      </c>
      <c r="C88">
        <v>1</v>
      </c>
      <c r="D88" t="s">
        <v>32</v>
      </c>
      <c r="E88" s="6">
        <v>46029.25</v>
      </c>
      <c r="F88" s="6">
        <v>46029.277083333334</v>
      </c>
      <c r="G88" s="6">
        <v>46029.277777777781</v>
      </c>
      <c r="H88" s="6">
        <v>46029.319444444445</v>
      </c>
      <c r="I88" s="6">
        <v>46029.322916666664</v>
      </c>
      <c r="J88" s="6">
        <v>46029.326388888891</v>
      </c>
      <c r="K88">
        <v>1.83</v>
      </c>
      <c r="L88" s="6">
        <v>46029.333333333336</v>
      </c>
      <c r="M88" s="7">
        <f>F88-E88</f>
        <v>2.7083333334303461E-2</v>
      </c>
      <c r="N88">
        <f>HOUR(M88)</f>
        <v>0</v>
      </c>
      <c r="O88">
        <f>MINUTE(M88)</f>
        <v>39</v>
      </c>
      <c r="P88">
        <f>N88*60+O88</f>
        <v>39</v>
      </c>
      <c r="Q88" s="7">
        <f>G88-F88</f>
        <v>6.944444467080757E-4</v>
      </c>
      <c r="R88">
        <f>HOUR(Q88)</f>
        <v>0</v>
      </c>
      <c r="S88">
        <f>MINUTE(Q88)</f>
        <v>1</v>
      </c>
      <c r="T88">
        <f>R88*60+S88</f>
        <v>1</v>
      </c>
      <c r="U88" s="7">
        <f>H88-G88</f>
        <v>4.1666666664241347E-2</v>
      </c>
      <c r="V88">
        <f>HOUR(U88)</f>
        <v>1</v>
      </c>
      <c r="W88">
        <f>MINUTE(U88)</f>
        <v>0</v>
      </c>
      <c r="X88">
        <f>V88*60+W88</f>
        <v>60</v>
      </c>
      <c r="Y88" s="7">
        <f>I88-H88</f>
        <v>3.4722222189884633E-3</v>
      </c>
      <c r="Z88">
        <f>HOUR(Y88)</f>
        <v>0</v>
      </c>
      <c r="AA88">
        <f>MINUTE(Y88)</f>
        <v>5</v>
      </c>
      <c r="AB88">
        <f>Z88*60+AA88</f>
        <v>5</v>
      </c>
    </row>
    <row r="89" spans="1:28" x14ac:dyDescent="0.25">
      <c r="A89">
        <v>87</v>
      </c>
      <c r="B89" t="s">
        <v>29</v>
      </c>
      <c r="C89">
        <v>1</v>
      </c>
      <c r="D89" t="s">
        <v>30</v>
      </c>
      <c r="E89" s="6">
        <v>46029.458333333336</v>
      </c>
      <c r="F89" s="6">
        <v>46029.482638888891</v>
      </c>
      <c r="G89" s="6">
        <v>46029.486111111109</v>
      </c>
      <c r="H89" s="6">
        <v>46029.489583333336</v>
      </c>
      <c r="I89" s="6">
        <v>46029.496527777781</v>
      </c>
      <c r="J89" s="6">
        <v>46029.510416666664</v>
      </c>
      <c r="K89">
        <v>1.25</v>
      </c>
      <c r="L89" s="6">
        <v>46029.513888888891</v>
      </c>
      <c r="M89" s="7">
        <f>F89-E89</f>
        <v>2.4305555554747116E-2</v>
      </c>
      <c r="N89">
        <f>HOUR(M89)</f>
        <v>0</v>
      </c>
      <c r="O89">
        <f>MINUTE(M89)</f>
        <v>35</v>
      </c>
      <c r="P89">
        <f>N89*60+O89</f>
        <v>35</v>
      </c>
      <c r="Q89" s="7">
        <f>G89-F89</f>
        <v>3.4722222189884633E-3</v>
      </c>
      <c r="R89">
        <f>HOUR(Q89)</f>
        <v>0</v>
      </c>
      <c r="S89">
        <f>MINUTE(Q89)</f>
        <v>5</v>
      </c>
      <c r="T89">
        <f>R89*60+S89</f>
        <v>5</v>
      </c>
      <c r="U89" s="7">
        <f>H89-G89</f>
        <v>3.4722222262644209E-3</v>
      </c>
      <c r="V89">
        <f>HOUR(U89)</f>
        <v>0</v>
      </c>
      <c r="W89">
        <f>MINUTE(U89)</f>
        <v>5</v>
      </c>
      <c r="X89">
        <f>V89*60+W89</f>
        <v>5</v>
      </c>
      <c r="Y89" s="7">
        <f>I89-H89</f>
        <v>6.9444444452528842E-3</v>
      </c>
      <c r="Z89">
        <f>HOUR(Y89)</f>
        <v>0</v>
      </c>
      <c r="AA89">
        <f>MINUTE(Y89)</f>
        <v>10</v>
      </c>
      <c r="AB89">
        <f>Z89*60+AA89</f>
        <v>10</v>
      </c>
    </row>
    <row r="90" spans="1:28" x14ac:dyDescent="0.25">
      <c r="A90">
        <v>88</v>
      </c>
      <c r="B90" t="s">
        <v>33</v>
      </c>
      <c r="C90">
        <v>1</v>
      </c>
      <c r="D90" t="s">
        <v>32</v>
      </c>
      <c r="E90" s="6">
        <v>46029.663194444445</v>
      </c>
      <c r="F90" s="6">
        <v>46029.670138888891</v>
      </c>
      <c r="G90" s="6">
        <v>46029.680555555555</v>
      </c>
      <c r="H90" s="6">
        <v>46029.715277777781</v>
      </c>
      <c r="I90" s="6">
        <v>46029.722222222219</v>
      </c>
      <c r="J90" s="6">
        <v>46029.729166666664</v>
      </c>
      <c r="K90">
        <v>1.58</v>
      </c>
      <c r="L90" s="6">
        <v>46029.736111111109</v>
      </c>
      <c r="M90" s="7">
        <f>F90-E90</f>
        <v>6.9444444452528842E-3</v>
      </c>
      <c r="N90">
        <f>HOUR(M90)</f>
        <v>0</v>
      </c>
      <c r="O90">
        <f>MINUTE(M90)</f>
        <v>10</v>
      </c>
      <c r="P90">
        <f>N90*60+O90</f>
        <v>10</v>
      </c>
      <c r="Q90" s="7">
        <f>G90-F90</f>
        <v>1.0416666664241347E-2</v>
      </c>
      <c r="R90">
        <f>HOUR(Q90)</f>
        <v>0</v>
      </c>
      <c r="S90">
        <f>MINUTE(Q90)</f>
        <v>15</v>
      </c>
      <c r="T90">
        <f>R90*60+S90</f>
        <v>15</v>
      </c>
      <c r="U90" s="7">
        <f>H90-G90</f>
        <v>3.4722222226264421E-2</v>
      </c>
      <c r="V90">
        <f>HOUR(U90)</f>
        <v>0</v>
      </c>
      <c r="W90">
        <f>MINUTE(U90)</f>
        <v>50</v>
      </c>
      <c r="X90">
        <f>V90*60+W90</f>
        <v>50</v>
      </c>
      <c r="Y90" s="7">
        <f>I90-H90</f>
        <v>6.9444444379769266E-3</v>
      </c>
      <c r="Z90">
        <f>HOUR(Y90)</f>
        <v>0</v>
      </c>
      <c r="AA90">
        <f>MINUTE(Y90)</f>
        <v>10</v>
      </c>
      <c r="AB90">
        <f>Z90*60+AA90</f>
        <v>10</v>
      </c>
    </row>
    <row r="91" spans="1:28" x14ac:dyDescent="0.25">
      <c r="A91">
        <v>89</v>
      </c>
      <c r="B91" t="s">
        <v>33</v>
      </c>
      <c r="C91">
        <v>1</v>
      </c>
      <c r="D91" t="s">
        <v>36</v>
      </c>
      <c r="E91" s="6">
        <v>46029.75</v>
      </c>
      <c r="F91" s="6">
        <v>46029.763888888891</v>
      </c>
      <c r="G91" s="6">
        <v>46029.767361111109</v>
      </c>
      <c r="H91" s="6">
        <v>46029.78125</v>
      </c>
      <c r="I91" s="6">
        <v>46029.784722222219</v>
      </c>
      <c r="J91" s="6">
        <v>46029.791666666664</v>
      </c>
      <c r="K91">
        <v>1</v>
      </c>
      <c r="L91" s="6">
        <v>46029.795138888891</v>
      </c>
      <c r="M91" s="7">
        <f>F91-E91</f>
        <v>1.3888888890505768E-2</v>
      </c>
      <c r="N91">
        <f>HOUR(M91)</f>
        <v>0</v>
      </c>
      <c r="O91">
        <f>MINUTE(M91)</f>
        <v>20</v>
      </c>
      <c r="P91">
        <f>N91*60+O91</f>
        <v>20</v>
      </c>
      <c r="Q91" s="7">
        <f>G91-F91</f>
        <v>3.4722222189884633E-3</v>
      </c>
      <c r="R91">
        <f>HOUR(Q91)</f>
        <v>0</v>
      </c>
      <c r="S91">
        <f>MINUTE(Q91)</f>
        <v>5</v>
      </c>
      <c r="T91">
        <f>R91*60+S91</f>
        <v>5</v>
      </c>
      <c r="U91" s="7">
        <f>H91-G91</f>
        <v>1.3888888890505768E-2</v>
      </c>
      <c r="V91">
        <f>HOUR(U91)</f>
        <v>0</v>
      </c>
      <c r="W91">
        <f>MINUTE(U91)</f>
        <v>20</v>
      </c>
      <c r="X91">
        <f>V91*60+W91</f>
        <v>20</v>
      </c>
      <c r="Y91" s="7">
        <f>I91-H91</f>
        <v>3.4722222189884633E-3</v>
      </c>
      <c r="Z91">
        <f>HOUR(Y91)</f>
        <v>0</v>
      </c>
      <c r="AA91">
        <f>MINUTE(Y91)</f>
        <v>5</v>
      </c>
      <c r="AB91">
        <f>Z91*60+AA91</f>
        <v>5</v>
      </c>
    </row>
    <row r="92" spans="1:28" x14ac:dyDescent="0.25">
      <c r="A92">
        <v>90</v>
      </c>
      <c r="B92" t="s">
        <v>31</v>
      </c>
      <c r="C92">
        <v>1</v>
      </c>
      <c r="D92" t="s">
        <v>34</v>
      </c>
      <c r="E92" s="6">
        <v>46029.284722222219</v>
      </c>
      <c r="F92" s="6">
        <v>46029.315972222219</v>
      </c>
      <c r="G92" s="6">
        <v>46029.336805555555</v>
      </c>
      <c r="H92" s="6">
        <v>46029.430555555555</v>
      </c>
      <c r="I92" s="6">
        <v>46029.4375</v>
      </c>
      <c r="J92" s="6">
        <v>46029.444444444445</v>
      </c>
      <c r="K92">
        <v>3.83</v>
      </c>
      <c r="L92" s="6">
        <v>46029.451388888891</v>
      </c>
      <c r="M92" s="7">
        <f>F92-E92</f>
        <v>3.125E-2</v>
      </c>
      <c r="N92">
        <f>HOUR(M92)</f>
        <v>0</v>
      </c>
      <c r="O92">
        <f>MINUTE(M92)</f>
        <v>45</v>
      </c>
      <c r="P92">
        <f>N92*60+O92</f>
        <v>45</v>
      </c>
      <c r="Q92" s="7">
        <f>G92-F92</f>
        <v>2.0833333335758653E-2</v>
      </c>
      <c r="R92">
        <f>HOUR(Q92)</f>
        <v>0</v>
      </c>
      <c r="S92">
        <f>MINUTE(Q92)</f>
        <v>30</v>
      </c>
      <c r="T92">
        <f>R92*60+S92</f>
        <v>30</v>
      </c>
      <c r="U92" s="7">
        <f>H92-G92</f>
        <v>9.375E-2</v>
      </c>
      <c r="V92">
        <f>HOUR(U92)</f>
        <v>2</v>
      </c>
      <c r="W92">
        <f>MINUTE(U92)</f>
        <v>15</v>
      </c>
      <c r="X92">
        <f>V92*60+W92</f>
        <v>135</v>
      </c>
      <c r="Y92" s="7">
        <f>I92-H92</f>
        <v>6.9444444452528842E-3</v>
      </c>
      <c r="Z92">
        <f>HOUR(Y92)</f>
        <v>0</v>
      </c>
      <c r="AA92">
        <f>MINUTE(Y92)</f>
        <v>10</v>
      </c>
      <c r="AB92">
        <f>Z92*60+AA92</f>
        <v>10</v>
      </c>
    </row>
    <row r="93" spans="1:28" x14ac:dyDescent="0.25">
      <c r="A93">
        <v>91</v>
      </c>
      <c r="B93" t="s">
        <v>31</v>
      </c>
      <c r="C93">
        <v>1</v>
      </c>
      <c r="D93" t="s">
        <v>30</v>
      </c>
      <c r="E93" s="6">
        <v>46029.617361111108</v>
      </c>
      <c r="F93" s="6">
        <v>46029.631944444445</v>
      </c>
      <c r="G93" s="6">
        <v>46029.649305555555</v>
      </c>
      <c r="H93" s="6">
        <v>46029.65625</v>
      </c>
      <c r="I93" s="6">
        <v>46029.708333333336</v>
      </c>
      <c r="J93" s="6">
        <v>46029.715277777781</v>
      </c>
      <c r="K93">
        <v>2.35</v>
      </c>
      <c r="L93" s="6">
        <v>46029.722222222219</v>
      </c>
      <c r="M93" s="7">
        <f>F93-E93</f>
        <v>1.4583333337213844E-2</v>
      </c>
      <c r="N93">
        <f>HOUR(M93)</f>
        <v>0</v>
      </c>
      <c r="O93">
        <f>MINUTE(M93)</f>
        <v>21</v>
      </c>
      <c r="P93">
        <f>N93*60+O93</f>
        <v>21</v>
      </c>
      <c r="Q93" s="7">
        <f>G93-F93</f>
        <v>1.7361111109494232E-2</v>
      </c>
      <c r="R93">
        <f>HOUR(Q93)</f>
        <v>0</v>
      </c>
      <c r="S93">
        <f>MINUTE(Q93)</f>
        <v>25</v>
      </c>
      <c r="T93">
        <f>R93*60+S93</f>
        <v>25</v>
      </c>
      <c r="U93" s="7">
        <f>H93-G93</f>
        <v>6.9444444452528842E-3</v>
      </c>
      <c r="V93">
        <f>HOUR(U93)</f>
        <v>0</v>
      </c>
      <c r="W93">
        <f>MINUTE(U93)</f>
        <v>10</v>
      </c>
      <c r="X93">
        <f>V93*60+W93</f>
        <v>10</v>
      </c>
      <c r="Y93" s="7">
        <f>I93-H93</f>
        <v>5.2083333335758653E-2</v>
      </c>
      <c r="Z93">
        <f>HOUR(Y93)</f>
        <v>1</v>
      </c>
      <c r="AA93">
        <f>MINUTE(Y93)</f>
        <v>15</v>
      </c>
      <c r="AB93">
        <f>Z93*60+AA93</f>
        <v>75</v>
      </c>
    </row>
    <row r="94" spans="1:28" x14ac:dyDescent="0.25">
      <c r="A94">
        <v>92</v>
      </c>
      <c r="B94" t="s">
        <v>29</v>
      </c>
      <c r="C94">
        <v>1</v>
      </c>
      <c r="D94" t="s">
        <v>30</v>
      </c>
      <c r="E94" s="6">
        <v>46029.024305555555</v>
      </c>
      <c r="F94" s="6">
        <v>46029.027777777781</v>
      </c>
      <c r="G94" s="6">
        <v>46029.041666666664</v>
      </c>
      <c r="H94" s="6">
        <v>46029.121527777781</v>
      </c>
      <c r="I94" s="6">
        <v>46029.128472222219</v>
      </c>
      <c r="J94" s="6">
        <v>46029.131944444445</v>
      </c>
      <c r="K94">
        <v>2.58</v>
      </c>
      <c r="L94" s="6">
        <v>46029.138888888891</v>
      </c>
      <c r="M94" s="7">
        <f>F94-E94</f>
        <v>3.4722222262644209E-3</v>
      </c>
      <c r="N94">
        <f>HOUR(M94)</f>
        <v>0</v>
      </c>
      <c r="O94">
        <f>MINUTE(M94)</f>
        <v>5</v>
      </c>
      <c r="P94">
        <f>N94*60+O94</f>
        <v>5</v>
      </c>
      <c r="Q94" s="7">
        <f>G94-F94</f>
        <v>1.3888888883229811E-2</v>
      </c>
      <c r="R94">
        <f>HOUR(Q94)</f>
        <v>0</v>
      </c>
      <c r="S94">
        <f>MINUTE(Q94)</f>
        <v>20</v>
      </c>
      <c r="T94">
        <f>R94*60+S94</f>
        <v>20</v>
      </c>
      <c r="U94" s="7">
        <f>H94-G94</f>
        <v>7.9861111116770189E-2</v>
      </c>
      <c r="V94">
        <f>HOUR(U94)</f>
        <v>1</v>
      </c>
      <c r="W94">
        <f>MINUTE(U94)</f>
        <v>55</v>
      </c>
      <c r="X94">
        <f>V94*60+W94</f>
        <v>115</v>
      </c>
      <c r="Y94" s="7">
        <f>I94-H94</f>
        <v>6.9444444379769266E-3</v>
      </c>
      <c r="Z94">
        <f>HOUR(Y94)</f>
        <v>0</v>
      </c>
      <c r="AA94">
        <f>MINUTE(Y94)</f>
        <v>10</v>
      </c>
      <c r="AB94">
        <f>Z94*60+AA94</f>
        <v>10</v>
      </c>
    </row>
    <row r="95" spans="1:28" x14ac:dyDescent="0.25">
      <c r="A95">
        <v>93</v>
      </c>
      <c r="B95" t="s">
        <v>33</v>
      </c>
      <c r="C95">
        <v>1</v>
      </c>
      <c r="D95" t="s">
        <v>30</v>
      </c>
      <c r="E95" s="6">
        <v>46029.055555555555</v>
      </c>
      <c r="F95" s="6">
        <v>46029.059027777781</v>
      </c>
      <c r="G95" s="6">
        <v>46029.0625</v>
      </c>
      <c r="H95" s="6">
        <v>46029.086805555555</v>
      </c>
      <c r="I95" s="6">
        <v>46029.088194444441</v>
      </c>
      <c r="J95" s="6">
        <v>46029.088888888888</v>
      </c>
      <c r="K95">
        <v>0.8</v>
      </c>
      <c r="L95" s="6">
        <v>46029.090277777781</v>
      </c>
      <c r="M95" s="7">
        <f>F95-E95</f>
        <v>3.4722222262644209E-3</v>
      </c>
      <c r="N95">
        <f>HOUR(M95)</f>
        <v>0</v>
      </c>
      <c r="O95">
        <f>MINUTE(M95)</f>
        <v>5</v>
      </c>
      <c r="P95">
        <f>N95*60+O95</f>
        <v>5</v>
      </c>
      <c r="Q95" s="7">
        <f>G95-F95</f>
        <v>3.4722222189884633E-3</v>
      </c>
      <c r="R95">
        <f>HOUR(Q95)</f>
        <v>0</v>
      </c>
      <c r="S95">
        <f>MINUTE(Q95)</f>
        <v>5</v>
      </c>
      <c r="T95">
        <f>R95*60+S95</f>
        <v>5</v>
      </c>
      <c r="U95" s="7">
        <f>H95-G95</f>
        <v>2.4305555554747116E-2</v>
      </c>
      <c r="V95">
        <f>HOUR(U95)</f>
        <v>0</v>
      </c>
      <c r="W95">
        <f>MINUTE(U95)</f>
        <v>35</v>
      </c>
      <c r="X95">
        <f>V95*60+W95</f>
        <v>35</v>
      </c>
      <c r="Y95" s="7">
        <f>I95-H95</f>
        <v>1.3888888861401938E-3</v>
      </c>
      <c r="Z95">
        <f>HOUR(Y95)</f>
        <v>0</v>
      </c>
      <c r="AA95">
        <f>MINUTE(Y95)</f>
        <v>2</v>
      </c>
      <c r="AB95">
        <f>Z95*60+AA95</f>
        <v>2</v>
      </c>
    </row>
    <row r="96" spans="1:28" x14ac:dyDescent="0.25">
      <c r="A96">
        <v>94</v>
      </c>
      <c r="B96" t="s">
        <v>29</v>
      </c>
      <c r="C96">
        <v>1</v>
      </c>
      <c r="D96" t="s">
        <v>30</v>
      </c>
      <c r="E96" s="6">
        <v>46029.069444444445</v>
      </c>
      <c r="F96" s="6">
        <v>46029.079861111109</v>
      </c>
      <c r="G96" s="6">
        <v>46029.097222222219</v>
      </c>
      <c r="H96" s="6">
        <v>46029.132638888892</v>
      </c>
      <c r="I96" s="6">
        <v>46029.134722222225</v>
      </c>
      <c r="J96" s="6">
        <v>46029.136111111111</v>
      </c>
      <c r="K96">
        <v>1.6</v>
      </c>
      <c r="L96" s="6">
        <v>46029.143055555556</v>
      </c>
      <c r="M96" s="7">
        <f>F96-E96</f>
        <v>1.0416666664241347E-2</v>
      </c>
      <c r="N96">
        <f>HOUR(M96)</f>
        <v>0</v>
      </c>
      <c r="O96">
        <f>MINUTE(M96)</f>
        <v>15</v>
      </c>
      <c r="P96">
        <f>N96*60+O96</f>
        <v>15</v>
      </c>
      <c r="Q96" s="7">
        <f>G96-F96</f>
        <v>1.7361111109494232E-2</v>
      </c>
      <c r="R96">
        <f>HOUR(Q96)</f>
        <v>0</v>
      </c>
      <c r="S96">
        <f>MINUTE(Q96)</f>
        <v>25</v>
      </c>
      <c r="T96">
        <f>R96*60+S96</f>
        <v>25</v>
      </c>
      <c r="U96" s="7">
        <f>H96-G96</f>
        <v>3.5416666672972497E-2</v>
      </c>
      <c r="V96">
        <f>HOUR(U96)</f>
        <v>0</v>
      </c>
      <c r="W96">
        <f>MINUTE(U96)</f>
        <v>51</v>
      </c>
      <c r="X96">
        <f>V96*60+W96</f>
        <v>51</v>
      </c>
      <c r="Y96" s="7">
        <f>I96-H96</f>
        <v>2.0833333328482695E-3</v>
      </c>
      <c r="Z96">
        <f>HOUR(Y96)</f>
        <v>0</v>
      </c>
      <c r="AA96">
        <f>MINUTE(Y96)</f>
        <v>3</v>
      </c>
      <c r="AB96">
        <f>Z96*60+AA96</f>
        <v>3</v>
      </c>
    </row>
    <row r="97" spans="1:28" x14ac:dyDescent="0.25">
      <c r="A97">
        <v>95</v>
      </c>
      <c r="B97" t="s">
        <v>33</v>
      </c>
      <c r="C97">
        <v>1</v>
      </c>
      <c r="D97" t="s">
        <v>30</v>
      </c>
      <c r="E97" s="6">
        <v>46029.434027777781</v>
      </c>
      <c r="F97" s="6">
        <v>46029.444444444445</v>
      </c>
      <c r="G97" s="6">
        <v>46029.458333333336</v>
      </c>
      <c r="H97" s="6">
        <v>46029.511805555558</v>
      </c>
      <c r="I97" s="6">
        <v>46029.611111111109</v>
      </c>
      <c r="J97" s="6">
        <v>46029.613194444442</v>
      </c>
      <c r="K97">
        <v>4.3</v>
      </c>
      <c r="L97" s="6">
        <v>46029.620138888888</v>
      </c>
      <c r="M97" s="7">
        <f>F97-E97</f>
        <v>1.0416666664241347E-2</v>
      </c>
      <c r="N97">
        <f>HOUR(M97)</f>
        <v>0</v>
      </c>
      <c r="O97">
        <f>MINUTE(M97)</f>
        <v>15</v>
      </c>
      <c r="P97">
        <f>N97*60+O97</f>
        <v>15</v>
      </c>
      <c r="Q97" s="7">
        <f>G97-F97</f>
        <v>1.3888888890505768E-2</v>
      </c>
      <c r="R97">
        <f>HOUR(Q97)</f>
        <v>0</v>
      </c>
      <c r="S97">
        <f>MINUTE(Q97)</f>
        <v>20</v>
      </c>
      <c r="T97">
        <f>R97*60+S97</f>
        <v>20</v>
      </c>
      <c r="U97" s="7">
        <f>H97-G97</f>
        <v>5.3472222221898846E-2</v>
      </c>
      <c r="V97">
        <f>HOUR(U97)</f>
        <v>1</v>
      </c>
      <c r="W97">
        <f>MINUTE(U97)</f>
        <v>17</v>
      </c>
      <c r="X97">
        <f>V97*60+W97</f>
        <v>77</v>
      </c>
      <c r="Y97" s="7">
        <f>I97-H97</f>
        <v>9.9305555551836733E-2</v>
      </c>
      <c r="Z97">
        <f>HOUR(Y97)</f>
        <v>2</v>
      </c>
      <c r="AA97">
        <f>MINUTE(Y97)</f>
        <v>23</v>
      </c>
      <c r="AB97">
        <f>Z97*60+AA97</f>
        <v>143</v>
      </c>
    </row>
    <row r="98" spans="1:28" x14ac:dyDescent="0.25">
      <c r="A98">
        <v>96</v>
      </c>
      <c r="B98" t="s">
        <v>31</v>
      </c>
      <c r="C98">
        <v>1</v>
      </c>
      <c r="D98" t="s">
        <v>30</v>
      </c>
      <c r="E98" s="6">
        <v>46029.477777777778</v>
      </c>
      <c r="F98" s="6">
        <v>46029.489583333336</v>
      </c>
      <c r="G98" s="6">
        <v>46029.5</v>
      </c>
      <c r="H98" s="6">
        <v>46029.548611111109</v>
      </c>
      <c r="I98" s="6">
        <v>46029.555555555555</v>
      </c>
      <c r="J98" s="6">
        <v>46029.569444444445</v>
      </c>
      <c r="K98">
        <v>2.2000000000000002</v>
      </c>
      <c r="L98" s="6">
        <v>46029.576388888891</v>
      </c>
      <c r="M98" s="7">
        <f>F98-E98</f>
        <v>1.1805555557657499E-2</v>
      </c>
      <c r="N98">
        <f>HOUR(M98)</f>
        <v>0</v>
      </c>
      <c r="O98">
        <f>MINUTE(M98)</f>
        <v>17</v>
      </c>
      <c r="P98">
        <f>N98*60+O98</f>
        <v>17</v>
      </c>
      <c r="Q98" s="7">
        <f>G98-F98</f>
        <v>1.0416666664241347E-2</v>
      </c>
      <c r="R98">
        <f>HOUR(Q98)</f>
        <v>0</v>
      </c>
      <c r="S98">
        <f>MINUTE(Q98)</f>
        <v>15</v>
      </c>
      <c r="T98">
        <f>R98*60+S98</f>
        <v>15</v>
      </c>
      <c r="U98" s="7">
        <f>H98-G98</f>
        <v>4.8611111109494232E-2</v>
      </c>
      <c r="V98">
        <f>HOUR(U98)</f>
        <v>1</v>
      </c>
      <c r="W98">
        <f>MINUTE(U98)</f>
        <v>10</v>
      </c>
      <c r="X98">
        <f>V98*60+W98</f>
        <v>70</v>
      </c>
      <c r="Y98" s="7">
        <f>I98-H98</f>
        <v>6.9444444452528842E-3</v>
      </c>
      <c r="Z98">
        <f>HOUR(Y98)</f>
        <v>0</v>
      </c>
      <c r="AA98">
        <f>MINUTE(Y98)</f>
        <v>10</v>
      </c>
      <c r="AB98">
        <f>Z98*60+AA98</f>
        <v>10</v>
      </c>
    </row>
    <row r="99" spans="1:28" x14ac:dyDescent="0.25">
      <c r="A99">
        <v>97</v>
      </c>
      <c r="B99" t="s">
        <v>29</v>
      </c>
      <c r="C99">
        <v>1</v>
      </c>
      <c r="D99" t="s">
        <v>30</v>
      </c>
      <c r="E99" s="6">
        <v>46029.506944444445</v>
      </c>
      <c r="F99" s="6">
        <v>46029.524305555555</v>
      </c>
      <c r="G99" s="6">
        <v>46029.559027777781</v>
      </c>
      <c r="H99" s="6">
        <v>46029.607638888891</v>
      </c>
      <c r="I99" s="6">
        <v>46029.614583333336</v>
      </c>
      <c r="J99" s="6">
        <v>46029.625</v>
      </c>
      <c r="K99">
        <v>2.83</v>
      </c>
      <c r="L99" s="6">
        <v>46029.631944444445</v>
      </c>
      <c r="M99" s="7">
        <f>F99-E99</f>
        <v>1.7361111109494232E-2</v>
      </c>
      <c r="N99">
        <f>HOUR(M99)</f>
        <v>0</v>
      </c>
      <c r="O99">
        <f>MINUTE(M99)</f>
        <v>25</v>
      </c>
      <c r="P99">
        <f>N99*60+O99</f>
        <v>25</v>
      </c>
      <c r="Q99" s="7">
        <f>G99-F99</f>
        <v>3.4722222226264421E-2</v>
      </c>
      <c r="R99">
        <f>HOUR(Q99)</f>
        <v>0</v>
      </c>
      <c r="S99">
        <f>MINUTE(Q99)</f>
        <v>50</v>
      </c>
      <c r="T99">
        <f>R99*60+S99</f>
        <v>50</v>
      </c>
      <c r="U99" s="7">
        <f>H99-G99</f>
        <v>4.8611111109494232E-2</v>
      </c>
      <c r="V99">
        <f>HOUR(U99)</f>
        <v>1</v>
      </c>
      <c r="W99">
        <f>MINUTE(U99)</f>
        <v>10</v>
      </c>
      <c r="X99">
        <f>V99*60+W99</f>
        <v>70</v>
      </c>
      <c r="Y99" s="7">
        <f>I99-H99</f>
        <v>6.9444444452528842E-3</v>
      </c>
      <c r="Z99">
        <f>HOUR(Y99)</f>
        <v>0</v>
      </c>
      <c r="AA99">
        <f>MINUTE(Y99)</f>
        <v>10</v>
      </c>
      <c r="AB99">
        <f>Z99*60+AA99</f>
        <v>10</v>
      </c>
    </row>
    <row r="100" spans="1:28" x14ac:dyDescent="0.25">
      <c r="A100">
        <v>98</v>
      </c>
      <c r="B100" t="s">
        <v>29</v>
      </c>
      <c r="C100">
        <v>1</v>
      </c>
      <c r="D100" t="s">
        <v>36</v>
      </c>
      <c r="E100" s="6">
        <v>46029.576388888891</v>
      </c>
      <c r="F100" s="6">
        <v>46029.583333333336</v>
      </c>
      <c r="G100" s="6">
        <v>46029.586805555555</v>
      </c>
      <c r="H100" s="6">
        <v>46029.611111111109</v>
      </c>
      <c r="I100" s="6">
        <v>46029.618055555555</v>
      </c>
      <c r="J100" s="6">
        <v>46029.621527777781</v>
      </c>
      <c r="K100">
        <v>1.08</v>
      </c>
      <c r="L100" s="6">
        <v>46029.625</v>
      </c>
      <c r="M100" s="7">
        <f>F100-E100</f>
        <v>6.9444444452528842E-3</v>
      </c>
      <c r="N100">
        <f>HOUR(M100)</f>
        <v>0</v>
      </c>
      <c r="O100">
        <f>MINUTE(M100)</f>
        <v>10</v>
      </c>
      <c r="P100">
        <f>N100*60+O100</f>
        <v>10</v>
      </c>
      <c r="Q100" s="7">
        <f>G100-F100</f>
        <v>3.4722222189884633E-3</v>
      </c>
      <c r="R100">
        <f>HOUR(Q100)</f>
        <v>0</v>
      </c>
      <c r="S100">
        <f>MINUTE(Q100)</f>
        <v>5</v>
      </c>
      <c r="T100">
        <f>R100*60+S100</f>
        <v>5</v>
      </c>
      <c r="U100" s="7">
        <f>H100-G100</f>
        <v>2.4305555554747116E-2</v>
      </c>
      <c r="V100">
        <f>HOUR(U100)</f>
        <v>0</v>
      </c>
      <c r="W100">
        <f>MINUTE(U100)</f>
        <v>35</v>
      </c>
      <c r="X100">
        <f>V100*60+W100</f>
        <v>35</v>
      </c>
      <c r="Y100" s="7">
        <f>I100-H100</f>
        <v>6.9444444452528842E-3</v>
      </c>
      <c r="Z100">
        <f>HOUR(Y100)</f>
        <v>0</v>
      </c>
      <c r="AA100">
        <f>MINUTE(Y100)</f>
        <v>10</v>
      </c>
      <c r="AB100">
        <f>Z100*60+AA100</f>
        <v>10</v>
      </c>
    </row>
    <row r="101" spans="1:28" x14ac:dyDescent="0.25">
      <c r="A101">
        <v>99</v>
      </c>
      <c r="B101" t="s">
        <v>31</v>
      </c>
      <c r="C101">
        <v>1</v>
      </c>
      <c r="D101" t="s">
        <v>35</v>
      </c>
      <c r="E101" s="6">
        <v>46030.291666666664</v>
      </c>
      <c r="F101" s="6">
        <v>46030.322916666664</v>
      </c>
      <c r="G101" s="6">
        <v>46030.350694444445</v>
      </c>
      <c r="H101" s="6">
        <v>46030.413194444445</v>
      </c>
      <c r="I101" s="6">
        <v>46030.420138888891</v>
      </c>
      <c r="J101" s="6">
        <v>46030.4375</v>
      </c>
      <c r="K101">
        <v>3.5</v>
      </c>
      <c r="L101" s="6">
        <v>46030.438194444447</v>
      </c>
      <c r="M101" s="7">
        <f>F101-E101</f>
        <v>3.125E-2</v>
      </c>
      <c r="N101">
        <f>HOUR(M101)</f>
        <v>0</v>
      </c>
      <c r="O101">
        <f>MINUTE(M101)</f>
        <v>45</v>
      </c>
      <c r="P101">
        <f>N101*60+O101</f>
        <v>45</v>
      </c>
      <c r="Q101" s="7">
        <f>G101-F101</f>
        <v>2.7777777781011537E-2</v>
      </c>
      <c r="R101">
        <f>HOUR(Q101)</f>
        <v>0</v>
      </c>
      <c r="S101">
        <f>MINUTE(Q101)</f>
        <v>40</v>
      </c>
      <c r="T101">
        <f>R101*60+S101</f>
        <v>40</v>
      </c>
      <c r="U101" s="7">
        <f>H101-G101</f>
        <v>6.25E-2</v>
      </c>
      <c r="V101">
        <f>HOUR(U101)</f>
        <v>1</v>
      </c>
      <c r="W101">
        <f>MINUTE(U101)</f>
        <v>30</v>
      </c>
      <c r="X101">
        <f>V101*60+W101</f>
        <v>90</v>
      </c>
      <c r="Y101" s="7">
        <f>I101-H101</f>
        <v>6.9444444452528842E-3</v>
      </c>
      <c r="Z101">
        <f>HOUR(Y101)</f>
        <v>0</v>
      </c>
      <c r="AA101">
        <f>MINUTE(Y101)</f>
        <v>10</v>
      </c>
      <c r="AB101">
        <f>Z101*60+AA101</f>
        <v>10</v>
      </c>
    </row>
    <row r="102" spans="1:28" x14ac:dyDescent="0.25">
      <c r="A102">
        <v>100</v>
      </c>
      <c r="B102" t="s">
        <v>31</v>
      </c>
      <c r="C102">
        <v>1</v>
      </c>
      <c r="D102" t="s">
        <v>37</v>
      </c>
      <c r="E102" s="6">
        <v>46030.472222222219</v>
      </c>
      <c r="F102" s="6">
        <v>46030.479166666664</v>
      </c>
      <c r="G102" s="6">
        <v>46030.5</v>
      </c>
      <c r="H102" s="6">
        <v>46030.541666666664</v>
      </c>
      <c r="I102" s="6">
        <v>46030.548611111109</v>
      </c>
      <c r="J102" s="6">
        <v>46030.555555555555</v>
      </c>
      <c r="K102">
        <v>2</v>
      </c>
      <c r="L102" s="6">
        <v>46030.5625</v>
      </c>
      <c r="M102" s="7">
        <f>F102-E102</f>
        <v>6.9444444452528842E-3</v>
      </c>
      <c r="N102">
        <f>HOUR(M102)</f>
        <v>0</v>
      </c>
      <c r="O102">
        <f>MINUTE(M102)</f>
        <v>10</v>
      </c>
      <c r="P102">
        <f>N102*60+O102</f>
        <v>10</v>
      </c>
      <c r="Q102" s="7">
        <f>G102-F102</f>
        <v>2.0833333335758653E-2</v>
      </c>
      <c r="R102">
        <f>HOUR(Q102)</f>
        <v>0</v>
      </c>
      <c r="S102">
        <f>MINUTE(Q102)</f>
        <v>30</v>
      </c>
      <c r="T102">
        <f>R102*60+S102</f>
        <v>30</v>
      </c>
      <c r="U102" s="7">
        <f>H102-G102</f>
        <v>4.1666666664241347E-2</v>
      </c>
      <c r="V102">
        <f>HOUR(U102)</f>
        <v>1</v>
      </c>
      <c r="W102">
        <f>MINUTE(U102)</f>
        <v>0</v>
      </c>
      <c r="X102">
        <f>V102*60+W102</f>
        <v>60</v>
      </c>
      <c r="Y102" s="7">
        <f>I102-H102</f>
        <v>6.9444444452528842E-3</v>
      </c>
      <c r="Z102">
        <f>HOUR(Y102)</f>
        <v>0</v>
      </c>
      <c r="AA102">
        <f>MINUTE(Y102)</f>
        <v>10</v>
      </c>
      <c r="AB102">
        <f>Z102*60+AA102</f>
        <v>10</v>
      </c>
    </row>
    <row r="103" spans="1:28" x14ac:dyDescent="0.25">
      <c r="A103">
        <v>101</v>
      </c>
      <c r="B103" t="s">
        <v>31</v>
      </c>
      <c r="C103">
        <v>1</v>
      </c>
      <c r="D103" t="s">
        <v>32</v>
      </c>
      <c r="E103" s="6">
        <v>46030.611111111109</v>
      </c>
      <c r="F103" s="6">
        <v>46030.635416666664</v>
      </c>
      <c r="G103" s="6">
        <v>46030.663194444445</v>
      </c>
      <c r="H103" s="6">
        <v>46030.704861111109</v>
      </c>
      <c r="I103" s="6">
        <v>46030.711805555555</v>
      </c>
      <c r="J103" s="6">
        <v>46030.725694444445</v>
      </c>
      <c r="K103">
        <v>2.75</v>
      </c>
      <c r="L103" s="6">
        <v>46030.732638888891</v>
      </c>
      <c r="M103" s="7">
        <f>F103-E103</f>
        <v>2.4305555554747116E-2</v>
      </c>
      <c r="N103">
        <f>HOUR(M103)</f>
        <v>0</v>
      </c>
      <c r="O103">
        <f>MINUTE(M103)</f>
        <v>35</v>
      </c>
      <c r="P103">
        <f>N103*60+O103</f>
        <v>35</v>
      </c>
      <c r="Q103" s="7">
        <f>G103-F103</f>
        <v>2.7777777781011537E-2</v>
      </c>
      <c r="R103">
        <f>HOUR(Q103)</f>
        <v>0</v>
      </c>
      <c r="S103">
        <f>MINUTE(Q103)</f>
        <v>40</v>
      </c>
      <c r="T103">
        <f>R103*60+S103</f>
        <v>40</v>
      </c>
      <c r="U103" s="7">
        <f>H103-G103</f>
        <v>4.1666666664241347E-2</v>
      </c>
      <c r="V103">
        <f>HOUR(U103)</f>
        <v>1</v>
      </c>
      <c r="W103">
        <f>MINUTE(U103)</f>
        <v>0</v>
      </c>
      <c r="X103">
        <f>V103*60+W103</f>
        <v>60</v>
      </c>
      <c r="Y103" s="7">
        <f>I103-H103</f>
        <v>6.9444444452528842E-3</v>
      </c>
      <c r="Z103">
        <f>HOUR(Y103)</f>
        <v>0</v>
      </c>
      <c r="AA103">
        <f>MINUTE(Y103)</f>
        <v>10</v>
      </c>
      <c r="AB103">
        <f>Z103*60+AA103</f>
        <v>10</v>
      </c>
    </row>
    <row r="104" spans="1:28" x14ac:dyDescent="0.25">
      <c r="A104">
        <v>102</v>
      </c>
      <c r="B104" t="s">
        <v>33</v>
      </c>
      <c r="C104">
        <v>1</v>
      </c>
      <c r="D104" t="s">
        <v>34</v>
      </c>
      <c r="E104" s="6">
        <v>46030.291666666664</v>
      </c>
      <c r="F104" s="6">
        <v>46030.322916666664</v>
      </c>
      <c r="G104" s="6">
        <v>46030.368055555555</v>
      </c>
      <c r="H104" s="6">
        <v>46030.470138888886</v>
      </c>
      <c r="I104" s="6">
        <v>46030.479166666664</v>
      </c>
      <c r="J104" s="6">
        <v>46030.482638888891</v>
      </c>
      <c r="K104">
        <v>4.58</v>
      </c>
      <c r="L104" s="6">
        <v>46030.489583333336</v>
      </c>
      <c r="M104" s="7">
        <f>F104-E104</f>
        <v>3.125E-2</v>
      </c>
      <c r="N104">
        <f>HOUR(M104)</f>
        <v>0</v>
      </c>
      <c r="O104">
        <f>MINUTE(M104)</f>
        <v>45</v>
      </c>
      <c r="P104">
        <f>N104*60+O104</f>
        <v>45</v>
      </c>
      <c r="Q104" s="7">
        <f>G104-F104</f>
        <v>4.5138888890505768E-2</v>
      </c>
      <c r="R104">
        <f>HOUR(Q104)</f>
        <v>1</v>
      </c>
      <c r="S104">
        <f>MINUTE(Q104)</f>
        <v>5</v>
      </c>
      <c r="T104">
        <f>R104*60+S104</f>
        <v>65</v>
      </c>
      <c r="U104" s="7">
        <f>H104-G104</f>
        <v>0.10208333333139308</v>
      </c>
      <c r="V104">
        <f>HOUR(U104)</f>
        <v>2</v>
      </c>
      <c r="W104">
        <f>MINUTE(U104)</f>
        <v>27</v>
      </c>
      <c r="X104">
        <f>V104*60+W104</f>
        <v>147</v>
      </c>
      <c r="Y104" s="7">
        <f>I104-H104</f>
        <v>9.0277777781011537E-3</v>
      </c>
      <c r="Z104">
        <f>HOUR(Y104)</f>
        <v>0</v>
      </c>
      <c r="AA104">
        <f>MINUTE(Y104)</f>
        <v>13</v>
      </c>
      <c r="AB104">
        <f>Z104*60+AA104</f>
        <v>13</v>
      </c>
    </row>
    <row r="105" spans="1:28" x14ac:dyDescent="0.25">
      <c r="A105">
        <v>103</v>
      </c>
      <c r="B105" t="s">
        <v>29</v>
      </c>
      <c r="C105">
        <v>1</v>
      </c>
      <c r="D105" t="s">
        <v>30</v>
      </c>
      <c r="E105" s="6">
        <v>46030.635416666664</v>
      </c>
      <c r="F105" s="6">
        <v>46030.645833333336</v>
      </c>
      <c r="G105" s="6">
        <v>46030.684027777781</v>
      </c>
      <c r="H105" s="6">
        <v>46030.791666666664</v>
      </c>
      <c r="I105" s="6">
        <v>46030.798611111109</v>
      </c>
      <c r="J105" s="6">
        <v>46030.8</v>
      </c>
      <c r="K105">
        <v>3.95</v>
      </c>
      <c r="L105" s="6">
        <v>46030.806944444441</v>
      </c>
      <c r="M105" s="7">
        <f>F105-E105</f>
        <v>1.0416666671517305E-2</v>
      </c>
      <c r="N105">
        <f>HOUR(M105)</f>
        <v>0</v>
      </c>
      <c r="O105">
        <f>MINUTE(M105)</f>
        <v>15</v>
      </c>
      <c r="P105">
        <f>N105*60+O105</f>
        <v>15</v>
      </c>
      <c r="Q105" s="7">
        <f>G105-F105</f>
        <v>3.8194444445252884E-2</v>
      </c>
      <c r="R105">
        <f>HOUR(Q105)</f>
        <v>0</v>
      </c>
      <c r="S105">
        <f>MINUTE(Q105)</f>
        <v>55</v>
      </c>
      <c r="T105">
        <f>R105*60+S105</f>
        <v>55</v>
      </c>
      <c r="U105" s="7">
        <f>H105-G105</f>
        <v>0.10763888888322981</v>
      </c>
      <c r="V105">
        <f>HOUR(U105)</f>
        <v>2</v>
      </c>
      <c r="W105">
        <f>MINUTE(U105)</f>
        <v>35</v>
      </c>
      <c r="X105">
        <f>V105*60+W105</f>
        <v>155</v>
      </c>
      <c r="Y105" s="7">
        <f>I105-H105</f>
        <v>6.9444444452528842E-3</v>
      </c>
      <c r="Z105">
        <f>HOUR(Y105)</f>
        <v>0</v>
      </c>
      <c r="AA105">
        <f>MINUTE(Y105)</f>
        <v>10</v>
      </c>
      <c r="AB105">
        <f>Z105*60+AA105</f>
        <v>10</v>
      </c>
    </row>
    <row r="106" spans="1:28" x14ac:dyDescent="0.25">
      <c r="A106">
        <v>104</v>
      </c>
      <c r="B106" t="s">
        <v>31</v>
      </c>
      <c r="C106">
        <v>1</v>
      </c>
      <c r="D106" t="s">
        <v>37</v>
      </c>
      <c r="E106" s="6">
        <v>46030.340277777781</v>
      </c>
      <c r="F106" s="6">
        <v>46030.361111111109</v>
      </c>
      <c r="G106" s="6">
        <v>46030.375</v>
      </c>
      <c r="H106" s="6">
        <v>46030.447916666664</v>
      </c>
      <c r="I106" s="6">
        <v>46030.451388888891</v>
      </c>
      <c r="J106" s="6">
        <v>46030.465277777781</v>
      </c>
      <c r="K106">
        <v>3</v>
      </c>
      <c r="L106" s="6">
        <v>46030.472222222219</v>
      </c>
      <c r="M106" s="7">
        <f>F106-E106</f>
        <v>2.0833333328482695E-2</v>
      </c>
      <c r="N106">
        <f>HOUR(M106)</f>
        <v>0</v>
      </c>
      <c r="O106">
        <f>MINUTE(M106)</f>
        <v>30</v>
      </c>
      <c r="P106">
        <f>N106*60+O106</f>
        <v>30</v>
      </c>
      <c r="Q106" s="7">
        <f>G106-F106</f>
        <v>1.3888888890505768E-2</v>
      </c>
      <c r="R106">
        <f>HOUR(Q106)</f>
        <v>0</v>
      </c>
      <c r="S106">
        <f>MINUTE(Q106)</f>
        <v>20</v>
      </c>
      <c r="T106">
        <f>R106*60+S106</f>
        <v>20</v>
      </c>
      <c r="U106" s="7">
        <f>H106-G106</f>
        <v>7.2916666664241347E-2</v>
      </c>
      <c r="V106">
        <f>HOUR(U106)</f>
        <v>1</v>
      </c>
      <c r="W106">
        <f>MINUTE(U106)</f>
        <v>45</v>
      </c>
      <c r="X106">
        <f>V106*60+W106</f>
        <v>105</v>
      </c>
      <c r="Y106" s="7">
        <f>I106-H106</f>
        <v>3.4722222262644209E-3</v>
      </c>
      <c r="Z106">
        <f>HOUR(Y106)</f>
        <v>0</v>
      </c>
      <c r="AA106">
        <f>MINUTE(Y106)</f>
        <v>5</v>
      </c>
      <c r="AB106">
        <f>Z106*60+AA106</f>
        <v>5</v>
      </c>
    </row>
    <row r="107" spans="1:28" x14ac:dyDescent="0.25">
      <c r="A107">
        <v>105</v>
      </c>
      <c r="B107" t="s">
        <v>29</v>
      </c>
      <c r="C107">
        <v>1</v>
      </c>
      <c r="D107" t="s">
        <v>36</v>
      </c>
      <c r="E107" s="6">
        <v>46030.416666666664</v>
      </c>
      <c r="F107" s="6">
        <v>46030.430555555555</v>
      </c>
      <c r="G107" s="6">
        <v>46030.4375</v>
      </c>
      <c r="H107" s="6">
        <v>46030.458333333336</v>
      </c>
      <c r="I107" s="6">
        <v>46030.465277777781</v>
      </c>
      <c r="J107" s="6">
        <v>46030.5</v>
      </c>
      <c r="K107">
        <v>2</v>
      </c>
      <c r="L107" s="6">
        <v>46030.501388888886</v>
      </c>
      <c r="M107" s="7">
        <f>F107-E107</f>
        <v>1.3888888890505768E-2</v>
      </c>
      <c r="N107">
        <f>HOUR(M107)</f>
        <v>0</v>
      </c>
      <c r="O107">
        <f>MINUTE(M107)</f>
        <v>20</v>
      </c>
      <c r="P107">
        <f>N107*60+O107</f>
        <v>20</v>
      </c>
      <c r="Q107" s="7">
        <f>G107-F107</f>
        <v>6.9444444452528842E-3</v>
      </c>
      <c r="R107">
        <f>HOUR(Q107)</f>
        <v>0</v>
      </c>
      <c r="S107">
        <f>MINUTE(Q107)</f>
        <v>10</v>
      </c>
      <c r="T107">
        <f>R107*60+S107</f>
        <v>10</v>
      </c>
      <c r="U107" s="7">
        <f>H107-G107</f>
        <v>2.0833333335758653E-2</v>
      </c>
      <c r="V107">
        <f>HOUR(U107)</f>
        <v>0</v>
      </c>
      <c r="W107">
        <f>MINUTE(U107)</f>
        <v>30</v>
      </c>
      <c r="X107">
        <f>V107*60+W107</f>
        <v>30</v>
      </c>
      <c r="Y107" s="7">
        <f>I107-H107</f>
        <v>6.9444444452528842E-3</v>
      </c>
      <c r="Z107">
        <f>HOUR(Y107)</f>
        <v>0</v>
      </c>
      <c r="AA107">
        <f>MINUTE(Y107)</f>
        <v>10</v>
      </c>
      <c r="AB107">
        <f>Z107*60+AA107</f>
        <v>10</v>
      </c>
    </row>
    <row r="108" spans="1:28" x14ac:dyDescent="0.25">
      <c r="A108">
        <v>106</v>
      </c>
      <c r="B108" t="s">
        <v>33</v>
      </c>
      <c r="C108">
        <v>1</v>
      </c>
      <c r="D108" t="s">
        <v>32</v>
      </c>
      <c r="E108" s="6">
        <v>46030.295138888891</v>
      </c>
      <c r="F108" s="6">
        <v>46030.326388888891</v>
      </c>
      <c r="G108" s="6">
        <v>46030.340277777781</v>
      </c>
      <c r="H108" s="6">
        <v>46030.378472222219</v>
      </c>
      <c r="I108" s="6">
        <v>46030.385416666664</v>
      </c>
      <c r="J108" s="6">
        <v>46030.388888888891</v>
      </c>
      <c r="K108">
        <v>2.25</v>
      </c>
      <c r="L108" s="6">
        <v>46030.395833333336</v>
      </c>
      <c r="M108" s="7">
        <f>F108-E108</f>
        <v>3.125E-2</v>
      </c>
      <c r="N108">
        <f>HOUR(M108)</f>
        <v>0</v>
      </c>
      <c r="O108">
        <f>MINUTE(M108)</f>
        <v>45</v>
      </c>
      <c r="P108">
        <f>N108*60+O108</f>
        <v>45</v>
      </c>
      <c r="Q108" s="7">
        <f>G108-F108</f>
        <v>1.3888888890505768E-2</v>
      </c>
      <c r="R108">
        <f>HOUR(Q108)</f>
        <v>0</v>
      </c>
      <c r="S108">
        <f>MINUTE(Q108)</f>
        <v>20</v>
      </c>
      <c r="T108">
        <f>R108*60+S108</f>
        <v>20</v>
      </c>
      <c r="U108" s="7">
        <f>H108-G108</f>
        <v>3.8194444437976927E-2</v>
      </c>
      <c r="V108">
        <f>HOUR(U108)</f>
        <v>0</v>
      </c>
      <c r="W108">
        <f>MINUTE(U108)</f>
        <v>55</v>
      </c>
      <c r="X108">
        <f>V108*60+W108</f>
        <v>55</v>
      </c>
      <c r="Y108" s="7">
        <f>I108-H108</f>
        <v>6.9444444452528842E-3</v>
      </c>
      <c r="Z108">
        <f>HOUR(Y108)</f>
        <v>0</v>
      </c>
      <c r="AA108">
        <f>MINUTE(Y108)</f>
        <v>10</v>
      </c>
      <c r="AB108">
        <f>Z108*60+AA108</f>
        <v>10</v>
      </c>
    </row>
    <row r="109" spans="1:28" x14ac:dyDescent="0.25">
      <c r="A109">
        <v>107</v>
      </c>
      <c r="B109" t="s">
        <v>29</v>
      </c>
      <c r="C109">
        <v>1</v>
      </c>
      <c r="D109" t="s">
        <v>35</v>
      </c>
      <c r="E109" s="6">
        <v>46030.260416666664</v>
      </c>
      <c r="F109" s="6">
        <v>46030.267361111109</v>
      </c>
      <c r="G109" s="6">
        <v>46030.277777777781</v>
      </c>
      <c r="H109" s="6">
        <v>46030.284722222219</v>
      </c>
      <c r="I109" s="6">
        <v>46030.291666666664</v>
      </c>
      <c r="J109" s="6">
        <v>46030.298611111109</v>
      </c>
      <c r="K109">
        <v>0.92</v>
      </c>
      <c r="L109" s="6">
        <v>46030.305555555555</v>
      </c>
      <c r="M109" s="7">
        <f>F109-E109</f>
        <v>6.9444444452528842E-3</v>
      </c>
      <c r="N109">
        <f>HOUR(M109)</f>
        <v>0</v>
      </c>
      <c r="O109">
        <f>MINUTE(M109)</f>
        <v>10</v>
      </c>
      <c r="P109">
        <f>N109*60+O109</f>
        <v>10</v>
      </c>
      <c r="Q109" s="7">
        <f>G109-F109</f>
        <v>1.0416666671517305E-2</v>
      </c>
      <c r="R109">
        <f>HOUR(Q109)</f>
        <v>0</v>
      </c>
      <c r="S109">
        <f>MINUTE(Q109)</f>
        <v>15</v>
      </c>
      <c r="T109">
        <f>R109*60+S109</f>
        <v>15</v>
      </c>
      <c r="U109" s="7">
        <f>H109-G109</f>
        <v>6.9444444379769266E-3</v>
      </c>
      <c r="V109">
        <f>HOUR(U109)</f>
        <v>0</v>
      </c>
      <c r="W109">
        <f>MINUTE(U109)</f>
        <v>10</v>
      </c>
      <c r="X109">
        <f>V109*60+W109</f>
        <v>10</v>
      </c>
      <c r="Y109" s="7">
        <f>I109-H109</f>
        <v>6.9444444452528842E-3</v>
      </c>
      <c r="Z109">
        <f>HOUR(Y109)</f>
        <v>0</v>
      </c>
      <c r="AA109">
        <f>MINUTE(Y109)</f>
        <v>10</v>
      </c>
      <c r="AB109">
        <f>Z109*60+AA109</f>
        <v>10</v>
      </c>
    </row>
    <row r="110" spans="1:28" x14ac:dyDescent="0.25">
      <c r="A110">
        <v>108</v>
      </c>
      <c r="B110" t="s">
        <v>33</v>
      </c>
      <c r="C110">
        <v>1</v>
      </c>
      <c r="D110" t="s">
        <v>30</v>
      </c>
      <c r="E110" s="6">
        <v>46029.847222222219</v>
      </c>
      <c r="F110" s="6">
        <v>46029.854166666664</v>
      </c>
      <c r="G110" s="6">
        <v>46029.864583333336</v>
      </c>
      <c r="H110" s="6">
        <v>46029.885416666664</v>
      </c>
      <c r="I110" s="6">
        <v>46029.892361111109</v>
      </c>
      <c r="J110" s="6">
        <v>46029.895833333336</v>
      </c>
      <c r="K110">
        <v>1.17</v>
      </c>
      <c r="L110" s="6">
        <v>46029.899305555555</v>
      </c>
      <c r="M110" s="7">
        <f>F110-E110</f>
        <v>6.9444444452528842E-3</v>
      </c>
      <c r="N110">
        <f>HOUR(M110)</f>
        <v>0</v>
      </c>
      <c r="O110">
        <f>MINUTE(M110)</f>
        <v>10</v>
      </c>
      <c r="P110">
        <f>N110*60+O110</f>
        <v>10</v>
      </c>
      <c r="Q110" s="7">
        <f>G110-F110</f>
        <v>1.0416666671517305E-2</v>
      </c>
      <c r="R110">
        <f>HOUR(Q110)</f>
        <v>0</v>
      </c>
      <c r="S110">
        <f>MINUTE(Q110)</f>
        <v>15</v>
      </c>
      <c r="T110">
        <f>R110*60+S110</f>
        <v>15</v>
      </c>
      <c r="U110" s="7">
        <f>H110-G110</f>
        <v>2.0833333328482695E-2</v>
      </c>
      <c r="V110">
        <f>HOUR(U110)</f>
        <v>0</v>
      </c>
      <c r="W110">
        <f>MINUTE(U110)</f>
        <v>30</v>
      </c>
      <c r="X110">
        <f>V110*60+W110</f>
        <v>30</v>
      </c>
      <c r="Y110" s="7">
        <f>I110-H110</f>
        <v>6.9444444452528842E-3</v>
      </c>
      <c r="Z110">
        <f>HOUR(Y110)</f>
        <v>0</v>
      </c>
      <c r="AA110">
        <f>MINUTE(Y110)</f>
        <v>10</v>
      </c>
      <c r="AB110">
        <f>Z110*60+AA110</f>
        <v>10</v>
      </c>
    </row>
    <row r="111" spans="1:28" x14ac:dyDescent="0.25">
      <c r="A111">
        <v>109</v>
      </c>
      <c r="B111" t="s">
        <v>33</v>
      </c>
      <c r="C111">
        <v>1</v>
      </c>
      <c r="D111" t="s">
        <v>30</v>
      </c>
      <c r="E111" s="6">
        <v>46030.423611111109</v>
      </c>
      <c r="F111" s="6">
        <v>46030.430555555555</v>
      </c>
      <c r="G111" s="6">
        <v>46030.461805555555</v>
      </c>
      <c r="H111" s="6">
        <v>46030.510416666664</v>
      </c>
      <c r="I111" s="6">
        <v>46030.520833333336</v>
      </c>
      <c r="J111" s="6">
        <v>46030.559027777781</v>
      </c>
      <c r="K111">
        <v>3.25</v>
      </c>
      <c r="L111" s="6">
        <v>46030.5625</v>
      </c>
      <c r="M111" s="7">
        <f>F111-E111</f>
        <v>6.9444444452528842E-3</v>
      </c>
      <c r="N111">
        <f>HOUR(M111)</f>
        <v>0</v>
      </c>
      <c r="O111">
        <f>MINUTE(M111)</f>
        <v>10</v>
      </c>
      <c r="P111">
        <f>N111*60+O111</f>
        <v>10</v>
      </c>
      <c r="Q111" s="7">
        <f>G111-F111</f>
        <v>3.125E-2</v>
      </c>
      <c r="R111">
        <f>HOUR(Q111)</f>
        <v>0</v>
      </c>
      <c r="S111">
        <f>MINUTE(Q111)</f>
        <v>45</v>
      </c>
      <c r="T111">
        <f>R111*60+S111</f>
        <v>45</v>
      </c>
      <c r="U111" s="7">
        <f>H111-G111</f>
        <v>4.8611111109494232E-2</v>
      </c>
      <c r="V111">
        <f>HOUR(U111)</f>
        <v>1</v>
      </c>
      <c r="W111">
        <f>MINUTE(U111)</f>
        <v>10</v>
      </c>
      <c r="X111">
        <f>V111*60+W111</f>
        <v>70</v>
      </c>
      <c r="Y111" s="7">
        <f>I111-H111</f>
        <v>1.0416666671517305E-2</v>
      </c>
      <c r="Z111">
        <f>HOUR(Y111)</f>
        <v>0</v>
      </c>
      <c r="AA111">
        <f>MINUTE(Y111)</f>
        <v>15</v>
      </c>
      <c r="AB111">
        <f>Z111*60+AA111</f>
        <v>15</v>
      </c>
    </row>
    <row r="112" spans="1:28" x14ac:dyDescent="0.25">
      <c r="A112">
        <v>110</v>
      </c>
      <c r="B112" t="s">
        <v>33</v>
      </c>
      <c r="C112">
        <v>1</v>
      </c>
      <c r="D112" t="s">
        <v>30</v>
      </c>
      <c r="E112" s="6">
        <v>46030.520833333336</v>
      </c>
      <c r="F112" s="6">
        <v>46030.53125</v>
      </c>
      <c r="G112" s="6">
        <v>46030.541666666664</v>
      </c>
      <c r="H112" s="6">
        <v>46030.595138888886</v>
      </c>
      <c r="I112" s="6">
        <v>46030.600694444445</v>
      </c>
      <c r="J112" s="6">
        <v>46030.614583333336</v>
      </c>
      <c r="K112">
        <v>2.25</v>
      </c>
      <c r="L112" s="6">
        <v>46030.615972222222</v>
      </c>
      <c r="M112" s="7">
        <f>F112-E112</f>
        <v>1.0416666664241347E-2</v>
      </c>
      <c r="N112">
        <f>HOUR(M112)</f>
        <v>0</v>
      </c>
      <c r="O112">
        <f>MINUTE(M112)</f>
        <v>15</v>
      </c>
      <c r="P112">
        <f>N112*60+O112</f>
        <v>15</v>
      </c>
      <c r="Q112" s="7">
        <f>G112-F112</f>
        <v>1.0416666664241347E-2</v>
      </c>
      <c r="R112">
        <f>HOUR(Q112)</f>
        <v>0</v>
      </c>
      <c r="S112">
        <f>MINUTE(Q112)</f>
        <v>15</v>
      </c>
      <c r="T112">
        <f>R112*60+S112</f>
        <v>15</v>
      </c>
      <c r="U112" s="7">
        <f>H112-G112</f>
        <v>5.3472222221898846E-2</v>
      </c>
      <c r="V112">
        <f>HOUR(U112)</f>
        <v>1</v>
      </c>
      <c r="W112">
        <f>MINUTE(U112)</f>
        <v>17</v>
      </c>
      <c r="X112">
        <f>V112*60+W112</f>
        <v>77</v>
      </c>
      <c r="Y112" s="7">
        <f>I112-H112</f>
        <v>5.5555555591126904E-3</v>
      </c>
      <c r="Z112">
        <f>HOUR(Y112)</f>
        <v>0</v>
      </c>
      <c r="AA112">
        <f>MINUTE(Y112)</f>
        <v>8</v>
      </c>
      <c r="AB112">
        <f>Z112*60+AA112</f>
        <v>8</v>
      </c>
    </row>
    <row r="113" spans="1:28" x14ac:dyDescent="0.25">
      <c r="A113">
        <v>111</v>
      </c>
      <c r="B113" t="s">
        <v>29</v>
      </c>
      <c r="C113">
        <v>1</v>
      </c>
      <c r="D113" t="s">
        <v>30</v>
      </c>
      <c r="E113" s="6">
        <v>46030.724999999999</v>
      </c>
      <c r="F113" s="6">
        <v>46030.729166666664</v>
      </c>
      <c r="G113" s="6">
        <v>46030.738194444442</v>
      </c>
      <c r="H113" s="6">
        <v>46030.751388888886</v>
      </c>
      <c r="I113" s="6">
        <v>46030.752083333333</v>
      </c>
      <c r="J113" s="6">
        <v>46030.763888888891</v>
      </c>
      <c r="K113">
        <v>0.93</v>
      </c>
      <c r="L113" s="6">
        <v>46030.770833333336</v>
      </c>
      <c r="M113" s="7">
        <f>F113-E113</f>
        <v>4.166666665696539E-3</v>
      </c>
      <c r="N113">
        <f>HOUR(M113)</f>
        <v>0</v>
      </c>
      <c r="O113">
        <f>MINUTE(M113)</f>
        <v>6</v>
      </c>
      <c r="P113">
        <f>N113*60+O113</f>
        <v>6</v>
      </c>
      <c r="Q113" s="7">
        <f>G113-F113</f>
        <v>9.0277777781011537E-3</v>
      </c>
      <c r="R113">
        <f>HOUR(Q113)</f>
        <v>0</v>
      </c>
      <c r="S113">
        <f>MINUTE(Q113)</f>
        <v>13</v>
      </c>
      <c r="T113">
        <f>R113*60+S113</f>
        <v>13</v>
      </c>
      <c r="U113" s="7">
        <f>H113-G113</f>
        <v>1.3194444443797693E-2</v>
      </c>
      <c r="V113">
        <f>HOUR(U113)</f>
        <v>0</v>
      </c>
      <c r="W113">
        <f>MINUTE(U113)</f>
        <v>19</v>
      </c>
      <c r="X113">
        <f>V113*60+W113</f>
        <v>19</v>
      </c>
      <c r="Y113" s="7">
        <f>I113-H113</f>
        <v>6.944444467080757E-4</v>
      </c>
      <c r="Z113">
        <f>HOUR(Y113)</f>
        <v>0</v>
      </c>
      <c r="AA113">
        <f>MINUTE(Y113)</f>
        <v>1</v>
      </c>
      <c r="AB113">
        <f>Z113*60+AA113</f>
        <v>1</v>
      </c>
    </row>
    <row r="114" spans="1:28" x14ac:dyDescent="0.25">
      <c r="A114">
        <v>112</v>
      </c>
      <c r="B114" t="s">
        <v>31</v>
      </c>
      <c r="C114">
        <v>1</v>
      </c>
      <c r="D114" t="s">
        <v>34</v>
      </c>
      <c r="E114" s="6">
        <v>46031.291666666664</v>
      </c>
      <c r="F114" s="6">
        <v>46031.333333333336</v>
      </c>
      <c r="G114" s="6">
        <v>46031.354166666664</v>
      </c>
      <c r="H114" s="6">
        <v>46031.444444444445</v>
      </c>
      <c r="I114" s="6">
        <v>46031.451388888891</v>
      </c>
      <c r="J114" s="6">
        <v>46031.458333333336</v>
      </c>
      <c r="K114">
        <v>4</v>
      </c>
      <c r="L114" s="6">
        <v>46031.465277777781</v>
      </c>
      <c r="M114" s="7">
        <f>F114-E114</f>
        <v>4.1666666671517305E-2</v>
      </c>
      <c r="N114">
        <f>HOUR(M114)</f>
        <v>1</v>
      </c>
      <c r="O114">
        <f>MINUTE(M114)</f>
        <v>0</v>
      </c>
      <c r="P114">
        <f>N114*60+O114</f>
        <v>60</v>
      </c>
      <c r="Q114" s="7">
        <f>G114-F114</f>
        <v>2.0833333328482695E-2</v>
      </c>
      <c r="R114">
        <f>HOUR(Q114)</f>
        <v>0</v>
      </c>
      <c r="S114">
        <f>MINUTE(Q114)</f>
        <v>30</v>
      </c>
      <c r="T114">
        <f>R114*60+S114</f>
        <v>30</v>
      </c>
      <c r="U114" s="7">
        <f>H114-G114</f>
        <v>9.0277777781011537E-2</v>
      </c>
      <c r="V114">
        <f>HOUR(U114)</f>
        <v>2</v>
      </c>
      <c r="W114">
        <f>MINUTE(U114)</f>
        <v>10</v>
      </c>
      <c r="X114">
        <f>V114*60+W114</f>
        <v>130</v>
      </c>
      <c r="Y114" s="7">
        <f>I114-H114</f>
        <v>6.9444444452528842E-3</v>
      </c>
      <c r="Z114">
        <f>HOUR(Y114)</f>
        <v>0</v>
      </c>
      <c r="AA114">
        <f>MINUTE(Y114)</f>
        <v>10</v>
      </c>
      <c r="AB114">
        <f>Z114*60+AA114</f>
        <v>10</v>
      </c>
    </row>
    <row r="115" spans="1:28" x14ac:dyDescent="0.25">
      <c r="A115">
        <v>113</v>
      </c>
      <c r="B115" t="s">
        <v>31</v>
      </c>
      <c r="C115">
        <v>1</v>
      </c>
      <c r="D115" t="s">
        <v>36</v>
      </c>
      <c r="E115" s="6">
        <v>46031.34375</v>
      </c>
      <c r="F115" s="6">
        <v>46031.357638888891</v>
      </c>
      <c r="G115" s="6">
        <v>46031.399305555555</v>
      </c>
      <c r="H115" s="6">
        <v>46031.461805555555</v>
      </c>
      <c r="I115" s="6">
        <v>46031.479166666664</v>
      </c>
      <c r="J115" s="6">
        <v>46031.486111111109</v>
      </c>
      <c r="K115">
        <v>3.42</v>
      </c>
      <c r="L115" s="6">
        <v>46031.493055555555</v>
      </c>
      <c r="M115" s="7">
        <f>F115-E115</f>
        <v>1.3888888890505768E-2</v>
      </c>
      <c r="N115">
        <f>HOUR(M115)</f>
        <v>0</v>
      </c>
      <c r="O115">
        <f>MINUTE(M115)</f>
        <v>20</v>
      </c>
      <c r="P115">
        <f>N115*60+O115</f>
        <v>20</v>
      </c>
      <c r="Q115" s="7">
        <f>G115-F115</f>
        <v>4.1666666664241347E-2</v>
      </c>
      <c r="R115">
        <f>HOUR(Q115)</f>
        <v>1</v>
      </c>
      <c r="S115">
        <f>MINUTE(Q115)</f>
        <v>0</v>
      </c>
      <c r="T115">
        <f>R115*60+S115</f>
        <v>60</v>
      </c>
      <c r="U115" s="7">
        <f>H115-G115</f>
        <v>6.25E-2</v>
      </c>
      <c r="V115">
        <f>HOUR(U115)</f>
        <v>1</v>
      </c>
      <c r="W115">
        <f>MINUTE(U115)</f>
        <v>30</v>
      </c>
      <c r="X115">
        <f>V115*60+W115</f>
        <v>90</v>
      </c>
      <c r="Y115" s="7">
        <f>I115-H115</f>
        <v>1.7361111109494232E-2</v>
      </c>
      <c r="Z115">
        <f>HOUR(Y115)</f>
        <v>0</v>
      </c>
      <c r="AA115">
        <f>MINUTE(Y115)</f>
        <v>25</v>
      </c>
      <c r="AB115">
        <f>Z115*60+AA115</f>
        <v>25</v>
      </c>
    </row>
    <row r="116" spans="1:28" x14ac:dyDescent="0.25">
      <c r="A116">
        <v>114</v>
      </c>
      <c r="B116" t="s">
        <v>33</v>
      </c>
      <c r="C116">
        <v>1</v>
      </c>
      <c r="D116" t="s">
        <v>32</v>
      </c>
      <c r="E116" s="6">
        <v>46031.347222222219</v>
      </c>
      <c r="F116" s="6">
        <v>46031.368055555555</v>
      </c>
      <c r="G116" s="6">
        <v>46031.402777777781</v>
      </c>
      <c r="H116" s="6">
        <v>46031.495138888888</v>
      </c>
      <c r="I116" s="6">
        <v>46031.502083333333</v>
      </c>
      <c r="J116" s="6">
        <v>46031.513888888891</v>
      </c>
      <c r="K116">
        <v>4</v>
      </c>
      <c r="L116" s="6">
        <v>46031.520833333336</v>
      </c>
      <c r="M116" s="7">
        <f>F116-E116</f>
        <v>2.0833333335758653E-2</v>
      </c>
      <c r="N116">
        <f>HOUR(M116)</f>
        <v>0</v>
      </c>
      <c r="O116">
        <f>MINUTE(M116)</f>
        <v>30</v>
      </c>
      <c r="P116">
        <f>N116*60+O116</f>
        <v>30</v>
      </c>
      <c r="Q116" s="7">
        <f>G116-F116</f>
        <v>3.4722222226264421E-2</v>
      </c>
      <c r="R116">
        <f>HOUR(Q116)</f>
        <v>0</v>
      </c>
      <c r="S116">
        <f>MINUTE(Q116)</f>
        <v>50</v>
      </c>
      <c r="T116">
        <f>R116*60+S116</f>
        <v>50</v>
      </c>
      <c r="U116" s="7">
        <f>H116-G116</f>
        <v>9.2361111106583849E-2</v>
      </c>
      <c r="V116">
        <f>HOUR(U116)</f>
        <v>2</v>
      </c>
      <c r="W116">
        <f>MINUTE(U116)</f>
        <v>13</v>
      </c>
      <c r="X116">
        <f>V116*60+W116</f>
        <v>133</v>
      </c>
      <c r="Y116" s="7">
        <f>I116-H116</f>
        <v>6.9444444452528842E-3</v>
      </c>
      <c r="Z116">
        <f>HOUR(Y116)</f>
        <v>0</v>
      </c>
      <c r="AA116">
        <f>MINUTE(Y116)</f>
        <v>10</v>
      </c>
      <c r="AB116">
        <f>Z116*60+AA116</f>
        <v>10</v>
      </c>
    </row>
    <row r="117" spans="1:28" x14ac:dyDescent="0.25">
      <c r="A117">
        <v>115</v>
      </c>
      <c r="B117" t="s">
        <v>31</v>
      </c>
      <c r="C117">
        <v>1</v>
      </c>
      <c r="D117" t="s">
        <v>37</v>
      </c>
      <c r="E117" s="6">
        <v>46031.5</v>
      </c>
      <c r="F117" s="6">
        <v>46031.513888888891</v>
      </c>
      <c r="G117" s="6">
        <v>46031.530555555553</v>
      </c>
      <c r="H117" s="6">
        <v>46031.613888888889</v>
      </c>
      <c r="I117" s="6">
        <v>46031.621527777781</v>
      </c>
      <c r="J117" s="6">
        <v>46031.62222222222</v>
      </c>
      <c r="K117">
        <v>2.93</v>
      </c>
      <c r="L117" s="6">
        <v>46031.629166666666</v>
      </c>
      <c r="M117" s="7">
        <f>F117-E117</f>
        <v>1.3888888890505768E-2</v>
      </c>
      <c r="N117">
        <f>HOUR(M117)</f>
        <v>0</v>
      </c>
      <c r="O117">
        <f>MINUTE(M117)</f>
        <v>20</v>
      </c>
      <c r="P117">
        <f>N117*60+O117</f>
        <v>20</v>
      </c>
      <c r="Q117" s="7">
        <f>G117-F117</f>
        <v>1.6666666662786156E-2</v>
      </c>
      <c r="R117">
        <f>HOUR(Q117)</f>
        <v>0</v>
      </c>
      <c r="S117">
        <f>MINUTE(Q117)</f>
        <v>24</v>
      </c>
      <c r="T117">
        <f>R117*60+S117</f>
        <v>24</v>
      </c>
      <c r="U117" s="7">
        <f>H117-G117</f>
        <v>8.3333333335758653E-2</v>
      </c>
      <c r="V117">
        <f>HOUR(U117)</f>
        <v>2</v>
      </c>
      <c r="W117">
        <f>MINUTE(U117)</f>
        <v>0</v>
      </c>
      <c r="X117">
        <f>V117*60+W117</f>
        <v>120</v>
      </c>
      <c r="Y117" s="7">
        <f>I117-H117</f>
        <v>7.6388888919609599E-3</v>
      </c>
      <c r="Z117">
        <f>HOUR(Y117)</f>
        <v>0</v>
      </c>
      <c r="AA117">
        <f>MINUTE(Y117)</f>
        <v>11</v>
      </c>
      <c r="AB117">
        <f>Z117*60+AA117</f>
        <v>11</v>
      </c>
    </row>
    <row r="118" spans="1:28" x14ac:dyDescent="0.25">
      <c r="A118">
        <v>116</v>
      </c>
      <c r="B118" t="s">
        <v>33</v>
      </c>
      <c r="C118">
        <v>1</v>
      </c>
      <c r="D118" t="s">
        <v>35</v>
      </c>
      <c r="E118" s="6">
        <v>46031.6875</v>
      </c>
      <c r="F118" s="6">
        <v>46031.694444444445</v>
      </c>
      <c r="G118" s="6">
        <v>46031.711805555555</v>
      </c>
      <c r="H118" s="6">
        <v>46031.729166666664</v>
      </c>
      <c r="I118" s="6">
        <v>46031.739583333336</v>
      </c>
      <c r="J118" s="6">
        <v>46031.743055555555</v>
      </c>
      <c r="K118">
        <v>1.33</v>
      </c>
      <c r="L118" s="6">
        <v>46031.746527777781</v>
      </c>
      <c r="M118" s="7">
        <f>F118-E118</f>
        <v>6.9444444452528842E-3</v>
      </c>
      <c r="N118">
        <f>HOUR(M118)</f>
        <v>0</v>
      </c>
      <c r="O118">
        <f>MINUTE(M118)</f>
        <v>10</v>
      </c>
      <c r="P118">
        <f>N118*60+O118</f>
        <v>10</v>
      </c>
      <c r="Q118" s="7">
        <f>G118-F118</f>
        <v>1.7361111109494232E-2</v>
      </c>
      <c r="R118">
        <f>HOUR(Q118)</f>
        <v>0</v>
      </c>
      <c r="S118">
        <f>MINUTE(Q118)</f>
        <v>25</v>
      </c>
      <c r="T118">
        <f>R118*60+S118</f>
        <v>25</v>
      </c>
      <c r="U118" s="7">
        <f>H118-G118</f>
        <v>1.7361111109494232E-2</v>
      </c>
      <c r="V118">
        <f>HOUR(U118)</f>
        <v>0</v>
      </c>
      <c r="W118">
        <f>MINUTE(U118)</f>
        <v>25</v>
      </c>
      <c r="X118">
        <f>V118*60+W118</f>
        <v>25</v>
      </c>
      <c r="Y118" s="7">
        <f>I118-H118</f>
        <v>1.0416666671517305E-2</v>
      </c>
      <c r="Z118">
        <f>HOUR(Y118)</f>
        <v>0</v>
      </c>
      <c r="AA118">
        <f>MINUTE(Y118)</f>
        <v>15</v>
      </c>
      <c r="AB118">
        <f>Z118*60+AA118</f>
        <v>15</v>
      </c>
    </row>
    <row r="119" spans="1:28" x14ac:dyDescent="0.25">
      <c r="A119">
        <v>117</v>
      </c>
      <c r="B119" t="s">
        <v>33</v>
      </c>
      <c r="C119">
        <v>1</v>
      </c>
      <c r="D119" t="s">
        <v>30</v>
      </c>
      <c r="E119" s="6">
        <v>46030.618055555555</v>
      </c>
      <c r="F119" s="6">
        <v>46030.625</v>
      </c>
      <c r="G119" s="6">
        <v>46030.649305555555</v>
      </c>
      <c r="H119" s="6">
        <v>46030.722222222219</v>
      </c>
      <c r="I119" s="6">
        <v>46030.729166666664</v>
      </c>
      <c r="J119" s="6">
        <v>46030.732638888891</v>
      </c>
      <c r="K119">
        <v>2.75</v>
      </c>
      <c r="L119" s="6">
        <v>46030.739583333336</v>
      </c>
      <c r="M119" s="7">
        <f>F119-E119</f>
        <v>6.9444444452528842E-3</v>
      </c>
      <c r="N119">
        <f>HOUR(M119)</f>
        <v>0</v>
      </c>
      <c r="O119">
        <f>MINUTE(M119)</f>
        <v>10</v>
      </c>
      <c r="P119">
        <f>N119*60+O119</f>
        <v>10</v>
      </c>
      <c r="Q119" s="7">
        <f>G119-F119</f>
        <v>2.4305555554747116E-2</v>
      </c>
      <c r="R119">
        <f>HOUR(Q119)</f>
        <v>0</v>
      </c>
      <c r="S119">
        <f>MINUTE(Q119)</f>
        <v>35</v>
      </c>
      <c r="T119">
        <f>R119*60+S119</f>
        <v>35</v>
      </c>
      <c r="U119" s="7">
        <f>H119-G119</f>
        <v>7.2916666664241347E-2</v>
      </c>
      <c r="V119">
        <f>HOUR(U119)</f>
        <v>1</v>
      </c>
      <c r="W119">
        <f>MINUTE(U119)</f>
        <v>45</v>
      </c>
      <c r="X119">
        <f>V119*60+W119</f>
        <v>105</v>
      </c>
      <c r="Y119" s="7">
        <f>I119-H119</f>
        <v>6.9444444452528842E-3</v>
      </c>
      <c r="Z119">
        <f>HOUR(Y119)</f>
        <v>0</v>
      </c>
      <c r="AA119">
        <f>MINUTE(Y119)</f>
        <v>10</v>
      </c>
      <c r="AB119">
        <f>Z119*60+AA119</f>
        <v>10</v>
      </c>
    </row>
    <row r="120" spans="1:28" x14ac:dyDescent="0.25">
      <c r="A120">
        <v>118</v>
      </c>
      <c r="B120" t="s">
        <v>33</v>
      </c>
      <c r="C120">
        <v>1</v>
      </c>
      <c r="D120" t="s">
        <v>35</v>
      </c>
      <c r="E120" s="6">
        <v>46031.375</v>
      </c>
      <c r="F120" s="6">
        <v>46031.381944444445</v>
      </c>
      <c r="G120" s="6">
        <v>46031.395138888889</v>
      </c>
      <c r="H120" s="6">
        <v>46031.436805555553</v>
      </c>
      <c r="I120" s="6">
        <v>46031.458333333336</v>
      </c>
      <c r="J120" s="6">
        <v>46031.472222222219</v>
      </c>
      <c r="K120">
        <v>2.33</v>
      </c>
      <c r="L120" s="6">
        <v>46031.479166666664</v>
      </c>
      <c r="M120" s="7">
        <f>F120-E120</f>
        <v>6.9444444452528842E-3</v>
      </c>
      <c r="N120">
        <f>HOUR(M120)</f>
        <v>0</v>
      </c>
      <c r="O120">
        <f>MINUTE(M120)</f>
        <v>10</v>
      </c>
      <c r="P120">
        <f>N120*60+O120</f>
        <v>10</v>
      </c>
      <c r="Q120" s="7">
        <f>G120-F120</f>
        <v>1.3194444443797693E-2</v>
      </c>
      <c r="R120">
        <f>HOUR(Q120)</f>
        <v>0</v>
      </c>
      <c r="S120">
        <f>MINUTE(Q120)</f>
        <v>19</v>
      </c>
      <c r="T120">
        <f>R120*60+S120</f>
        <v>19</v>
      </c>
      <c r="U120" s="7">
        <f>H120-G120</f>
        <v>4.1666666664241347E-2</v>
      </c>
      <c r="V120">
        <f>HOUR(U120)</f>
        <v>1</v>
      </c>
      <c r="W120">
        <f>MINUTE(U120)</f>
        <v>0</v>
      </c>
      <c r="X120">
        <f>V120*60+W120</f>
        <v>60</v>
      </c>
      <c r="Y120" s="7">
        <f>I120-H120</f>
        <v>2.1527777782466728E-2</v>
      </c>
      <c r="Z120">
        <f>HOUR(Y120)</f>
        <v>0</v>
      </c>
      <c r="AA120">
        <f>MINUTE(Y120)</f>
        <v>31</v>
      </c>
      <c r="AB120">
        <f>Z120*60+AA120</f>
        <v>31</v>
      </c>
    </row>
    <row r="121" spans="1:28" x14ac:dyDescent="0.25">
      <c r="A121">
        <v>119</v>
      </c>
      <c r="B121" t="s">
        <v>33</v>
      </c>
      <c r="C121">
        <v>1</v>
      </c>
      <c r="D121" t="s">
        <v>30</v>
      </c>
      <c r="E121" s="6">
        <v>46030.864583333336</v>
      </c>
      <c r="F121" s="6">
        <v>46030.875</v>
      </c>
      <c r="G121" s="6">
        <v>46030.895833333336</v>
      </c>
      <c r="H121" s="6">
        <v>46030.930555555555</v>
      </c>
      <c r="I121" s="6">
        <v>46030.934027777781</v>
      </c>
      <c r="J121" s="6">
        <v>46030.9375</v>
      </c>
      <c r="K121">
        <v>1.75</v>
      </c>
      <c r="L121" s="6">
        <v>46030.940972222219</v>
      </c>
      <c r="M121" s="7">
        <f>F121-E121</f>
        <v>1.0416666664241347E-2</v>
      </c>
      <c r="N121">
        <f>HOUR(M121)</f>
        <v>0</v>
      </c>
      <c r="O121">
        <f>MINUTE(M121)</f>
        <v>15</v>
      </c>
      <c r="P121">
        <f>N121*60+O121</f>
        <v>15</v>
      </c>
      <c r="Q121" s="7">
        <f>G121-F121</f>
        <v>2.0833333335758653E-2</v>
      </c>
      <c r="R121">
        <f>HOUR(Q121)</f>
        <v>0</v>
      </c>
      <c r="S121">
        <f>MINUTE(Q121)</f>
        <v>30</v>
      </c>
      <c r="T121">
        <f>R121*60+S121</f>
        <v>30</v>
      </c>
      <c r="U121" s="7">
        <f>H121-G121</f>
        <v>3.4722222218988463E-2</v>
      </c>
      <c r="V121">
        <f>HOUR(U121)</f>
        <v>0</v>
      </c>
      <c r="W121">
        <f>MINUTE(U121)</f>
        <v>50</v>
      </c>
      <c r="X121">
        <f>V121*60+W121</f>
        <v>50</v>
      </c>
      <c r="Y121" s="7">
        <f>I121-H121</f>
        <v>3.4722222262644209E-3</v>
      </c>
      <c r="Z121">
        <f>HOUR(Y121)</f>
        <v>0</v>
      </c>
      <c r="AA121">
        <f>MINUTE(Y121)</f>
        <v>5</v>
      </c>
      <c r="AB121">
        <f>Z121*60+AA121</f>
        <v>5</v>
      </c>
    </row>
    <row r="122" spans="1:28" x14ac:dyDescent="0.25">
      <c r="A122">
        <v>120</v>
      </c>
      <c r="B122" t="s">
        <v>33</v>
      </c>
      <c r="C122">
        <v>1</v>
      </c>
      <c r="D122" t="s">
        <v>32</v>
      </c>
      <c r="E122" s="6">
        <v>46031.638888888891</v>
      </c>
      <c r="F122" s="6">
        <v>46031.645833333336</v>
      </c>
      <c r="G122" s="6">
        <v>46031.690972222219</v>
      </c>
      <c r="H122" s="6">
        <v>46031.84375</v>
      </c>
      <c r="I122" s="6">
        <v>46031.888888888891</v>
      </c>
      <c r="J122" s="6">
        <v>46031.898611111108</v>
      </c>
      <c r="K122">
        <v>6.23</v>
      </c>
      <c r="L122" s="6">
        <v>46031.905555555553</v>
      </c>
      <c r="M122" s="7">
        <f>F122-E122</f>
        <v>6.9444444452528842E-3</v>
      </c>
      <c r="N122">
        <f>HOUR(M122)</f>
        <v>0</v>
      </c>
      <c r="O122">
        <f>MINUTE(M122)</f>
        <v>10</v>
      </c>
      <c r="P122">
        <f>N122*60+O122</f>
        <v>10</v>
      </c>
      <c r="Q122" s="7">
        <f>G122-F122</f>
        <v>4.5138888883229811E-2</v>
      </c>
      <c r="R122">
        <f>HOUR(Q122)</f>
        <v>1</v>
      </c>
      <c r="S122">
        <f>MINUTE(Q122)</f>
        <v>5</v>
      </c>
      <c r="T122">
        <f>R122*60+S122</f>
        <v>65</v>
      </c>
      <c r="U122" s="7">
        <f>H122-G122</f>
        <v>0.15277777778101154</v>
      </c>
      <c r="V122">
        <f>HOUR(U122)</f>
        <v>3</v>
      </c>
      <c r="W122">
        <f>MINUTE(U122)</f>
        <v>40</v>
      </c>
      <c r="X122">
        <f>V122*60+W122</f>
        <v>220</v>
      </c>
      <c r="Y122" s="7">
        <f>I122-H122</f>
        <v>4.5138888890505768E-2</v>
      </c>
      <c r="Z122">
        <f>HOUR(Y122)</f>
        <v>1</v>
      </c>
      <c r="AA122">
        <f>MINUTE(Y122)</f>
        <v>5</v>
      </c>
      <c r="AB122">
        <f>Z122*60+AA122</f>
        <v>65</v>
      </c>
    </row>
    <row r="123" spans="1:28" x14ac:dyDescent="0.25">
      <c r="A123">
        <v>121</v>
      </c>
      <c r="B123" t="s">
        <v>29</v>
      </c>
      <c r="C123">
        <v>1</v>
      </c>
      <c r="D123" t="s">
        <v>34</v>
      </c>
      <c r="E123" s="6">
        <v>46031.628472222219</v>
      </c>
      <c r="F123" s="6">
        <v>46031.635416666664</v>
      </c>
      <c r="G123" s="6">
        <v>46031.636805555558</v>
      </c>
      <c r="H123" s="6">
        <v>46031.659722222219</v>
      </c>
      <c r="I123" s="6">
        <v>46031.666666666664</v>
      </c>
      <c r="J123" s="6">
        <v>46031.677083333336</v>
      </c>
      <c r="K123">
        <v>1.17</v>
      </c>
      <c r="L123" s="6">
        <v>46031.680555555555</v>
      </c>
      <c r="M123" s="7">
        <f>F123-E123</f>
        <v>6.9444444452528842E-3</v>
      </c>
      <c r="N123">
        <f>HOUR(M123)</f>
        <v>0</v>
      </c>
      <c r="O123">
        <f>MINUTE(M123)</f>
        <v>10</v>
      </c>
      <c r="P123">
        <f>N123*60+O123</f>
        <v>10</v>
      </c>
      <c r="Q123" s="7">
        <f>G123-F123</f>
        <v>1.3888888934161514E-3</v>
      </c>
      <c r="R123">
        <f>HOUR(Q123)</f>
        <v>0</v>
      </c>
      <c r="S123">
        <f>MINUTE(Q123)</f>
        <v>2</v>
      </c>
      <c r="T123">
        <f>R123*60+S123</f>
        <v>2</v>
      </c>
      <c r="U123" s="7">
        <f>H123-G123</f>
        <v>2.2916666661330964E-2</v>
      </c>
      <c r="V123">
        <f>HOUR(U123)</f>
        <v>0</v>
      </c>
      <c r="W123">
        <f>MINUTE(U123)</f>
        <v>33</v>
      </c>
      <c r="X123">
        <f>V123*60+W123</f>
        <v>33</v>
      </c>
      <c r="Y123" s="7">
        <f>I123-H123</f>
        <v>6.9444444452528842E-3</v>
      </c>
      <c r="Z123">
        <f>HOUR(Y123)</f>
        <v>0</v>
      </c>
      <c r="AA123">
        <f>MINUTE(Y123)</f>
        <v>10</v>
      </c>
      <c r="AB123">
        <f>Z123*60+AA123</f>
        <v>10</v>
      </c>
    </row>
    <row r="124" spans="1:28" x14ac:dyDescent="0.25">
      <c r="A124">
        <v>122</v>
      </c>
      <c r="B124" t="s">
        <v>31</v>
      </c>
      <c r="C124">
        <v>1</v>
      </c>
      <c r="D124" t="s">
        <v>36</v>
      </c>
      <c r="E124" s="6">
        <v>46031.538194444445</v>
      </c>
      <c r="F124" s="6">
        <v>46031.545138888891</v>
      </c>
      <c r="G124" s="6">
        <v>46031.552083333336</v>
      </c>
      <c r="H124" s="6">
        <v>46031.569444444445</v>
      </c>
      <c r="I124" s="6">
        <v>46031.572916666664</v>
      </c>
      <c r="J124" s="6">
        <v>46031.576388888891</v>
      </c>
      <c r="K124">
        <v>0.92</v>
      </c>
      <c r="L124" s="6">
        <v>46031.583333333336</v>
      </c>
      <c r="M124" s="7">
        <f>F124-E124</f>
        <v>6.9444444452528842E-3</v>
      </c>
      <c r="N124">
        <f>HOUR(M124)</f>
        <v>0</v>
      </c>
      <c r="O124">
        <f>MINUTE(M124)</f>
        <v>10</v>
      </c>
      <c r="P124">
        <f>N124*60+O124</f>
        <v>10</v>
      </c>
      <c r="Q124" s="7">
        <f>G124-F124</f>
        <v>6.9444444452528842E-3</v>
      </c>
      <c r="R124">
        <f>HOUR(Q124)</f>
        <v>0</v>
      </c>
      <c r="S124">
        <f>MINUTE(Q124)</f>
        <v>10</v>
      </c>
      <c r="T124">
        <f>R124*60+S124</f>
        <v>10</v>
      </c>
      <c r="U124" s="7">
        <f>H124-G124</f>
        <v>1.7361111109494232E-2</v>
      </c>
      <c r="V124">
        <f>HOUR(U124)</f>
        <v>0</v>
      </c>
      <c r="W124">
        <f>MINUTE(U124)</f>
        <v>25</v>
      </c>
      <c r="X124">
        <f>V124*60+W124</f>
        <v>25</v>
      </c>
      <c r="Y124" s="7">
        <f>I124-H124</f>
        <v>3.4722222189884633E-3</v>
      </c>
      <c r="Z124">
        <f>HOUR(Y124)</f>
        <v>0</v>
      </c>
      <c r="AA124">
        <f>MINUTE(Y124)</f>
        <v>5</v>
      </c>
      <c r="AB124">
        <f>Z124*60+AA124</f>
        <v>5</v>
      </c>
    </row>
    <row r="125" spans="1:28" x14ac:dyDescent="0.25">
      <c r="A125">
        <v>123</v>
      </c>
      <c r="B125" t="s">
        <v>31</v>
      </c>
      <c r="C125">
        <v>1</v>
      </c>
      <c r="D125" t="s">
        <v>34</v>
      </c>
      <c r="E125" s="6">
        <v>46031.503472222219</v>
      </c>
      <c r="F125" s="6">
        <v>46031.517361111109</v>
      </c>
      <c r="G125" s="6">
        <v>46031.541666666664</v>
      </c>
      <c r="H125" s="6">
        <v>46031.586111111108</v>
      </c>
      <c r="I125" s="6">
        <v>46031.590277777781</v>
      </c>
      <c r="J125" s="6">
        <v>46031.59375</v>
      </c>
      <c r="K125">
        <v>2.17</v>
      </c>
      <c r="L125" s="6">
        <v>46031.600694444445</v>
      </c>
      <c r="M125" s="7">
        <f>F125-E125</f>
        <v>1.3888888890505768E-2</v>
      </c>
      <c r="N125">
        <f>HOUR(M125)</f>
        <v>0</v>
      </c>
      <c r="O125">
        <f>MINUTE(M125)</f>
        <v>20</v>
      </c>
      <c r="P125">
        <f>N125*60+O125</f>
        <v>20</v>
      </c>
      <c r="Q125" s="7">
        <f>G125-F125</f>
        <v>2.4305555554747116E-2</v>
      </c>
      <c r="R125">
        <f>HOUR(Q125)</f>
        <v>0</v>
      </c>
      <c r="S125">
        <f>MINUTE(Q125)</f>
        <v>35</v>
      </c>
      <c r="T125">
        <f>R125*60+S125</f>
        <v>35</v>
      </c>
      <c r="U125" s="7">
        <f>H125-G125</f>
        <v>4.4444444443797693E-2</v>
      </c>
      <c r="V125">
        <f>HOUR(U125)</f>
        <v>1</v>
      </c>
      <c r="W125">
        <f>MINUTE(U125)</f>
        <v>4</v>
      </c>
      <c r="X125">
        <f>V125*60+W125</f>
        <v>64</v>
      </c>
      <c r="Y125" s="7">
        <f>I125-H125</f>
        <v>4.1666666729724966E-3</v>
      </c>
      <c r="Z125">
        <f>HOUR(Y125)</f>
        <v>0</v>
      </c>
      <c r="AA125">
        <f>MINUTE(Y125)</f>
        <v>6</v>
      </c>
      <c r="AB125">
        <f>Z125*60+AA125</f>
        <v>6</v>
      </c>
    </row>
    <row r="126" spans="1:28" x14ac:dyDescent="0.25">
      <c r="A126">
        <v>124</v>
      </c>
      <c r="B126" t="s">
        <v>31</v>
      </c>
      <c r="C126">
        <v>1</v>
      </c>
      <c r="D126" t="s">
        <v>36</v>
      </c>
      <c r="E126" s="6">
        <v>46031.638888888891</v>
      </c>
      <c r="F126" s="6">
        <v>46031.645833333336</v>
      </c>
      <c r="G126" s="6">
        <v>46031.666666666664</v>
      </c>
      <c r="H126" s="6">
        <v>46031.75</v>
      </c>
      <c r="I126" s="6">
        <v>46031.756944444445</v>
      </c>
      <c r="J126" s="6">
        <v>46031.763888888891</v>
      </c>
      <c r="K126">
        <v>3</v>
      </c>
      <c r="L126" s="6">
        <v>46031.770833333336</v>
      </c>
      <c r="M126" s="7">
        <f>F126-E126</f>
        <v>6.9444444452528842E-3</v>
      </c>
      <c r="N126">
        <f>HOUR(M126)</f>
        <v>0</v>
      </c>
      <c r="O126">
        <f>MINUTE(M126)</f>
        <v>10</v>
      </c>
      <c r="P126">
        <f>N126*60+O126</f>
        <v>10</v>
      </c>
      <c r="Q126" s="7">
        <f>G126-F126</f>
        <v>2.0833333328482695E-2</v>
      </c>
      <c r="R126">
        <f>HOUR(Q126)</f>
        <v>0</v>
      </c>
      <c r="S126">
        <f>MINUTE(Q126)</f>
        <v>30</v>
      </c>
      <c r="T126">
        <f>R126*60+S126</f>
        <v>30</v>
      </c>
      <c r="U126" s="7">
        <f>H126-G126</f>
        <v>8.3333333335758653E-2</v>
      </c>
      <c r="V126">
        <f>HOUR(U126)</f>
        <v>2</v>
      </c>
      <c r="W126">
        <f>MINUTE(U126)</f>
        <v>0</v>
      </c>
      <c r="X126">
        <f>V126*60+W126</f>
        <v>120</v>
      </c>
      <c r="Y126" s="7">
        <f>I126-H126</f>
        <v>6.9444444452528842E-3</v>
      </c>
      <c r="Z126">
        <f>HOUR(Y126)</f>
        <v>0</v>
      </c>
      <c r="AA126">
        <f>MINUTE(Y126)</f>
        <v>10</v>
      </c>
      <c r="AB126">
        <f>Z126*60+AA126</f>
        <v>10</v>
      </c>
    </row>
    <row r="127" spans="1:28" x14ac:dyDescent="0.25">
      <c r="A127">
        <v>125</v>
      </c>
      <c r="B127" t="s">
        <v>33</v>
      </c>
      <c r="C127">
        <v>1</v>
      </c>
      <c r="D127" t="s">
        <v>35</v>
      </c>
      <c r="E127" s="6">
        <v>46032.576388888891</v>
      </c>
      <c r="F127" s="6">
        <v>46032.583333333336</v>
      </c>
      <c r="G127" s="6">
        <v>46032.590277777781</v>
      </c>
      <c r="H127" s="6">
        <v>46032.600694444445</v>
      </c>
      <c r="I127" s="6">
        <v>46032.607638888891</v>
      </c>
      <c r="J127" s="6">
        <v>46032.621527777781</v>
      </c>
      <c r="K127">
        <v>1.08</v>
      </c>
      <c r="L127" s="6">
        <v>46032.628472222219</v>
      </c>
      <c r="M127" s="7">
        <f>F127-E127</f>
        <v>6.9444444452528842E-3</v>
      </c>
      <c r="N127">
        <f>HOUR(M127)</f>
        <v>0</v>
      </c>
      <c r="O127">
        <f>MINUTE(M127)</f>
        <v>10</v>
      </c>
      <c r="P127">
        <f>N127*60+O127</f>
        <v>10</v>
      </c>
      <c r="Q127" s="7">
        <f>G127-F127</f>
        <v>6.9444444452528842E-3</v>
      </c>
      <c r="R127">
        <f>HOUR(Q127)</f>
        <v>0</v>
      </c>
      <c r="S127">
        <f>MINUTE(Q127)</f>
        <v>10</v>
      </c>
      <c r="T127">
        <f>R127*60+S127</f>
        <v>10</v>
      </c>
      <c r="U127" s="7">
        <f>H127-G127</f>
        <v>1.0416666664241347E-2</v>
      </c>
      <c r="V127">
        <f>HOUR(U127)</f>
        <v>0</v>
      </c>
      <c r="W127">
        <f>MINUTE(U127)</f>
        <v>15</v>
      </c>
      <c r="X127">
        <f>V127*60+W127</f>
        <v>15</v>
      </c>
      <c r="Y127" s="7">
        <f>I127-H127</f>
        <v>6.9444444452528842E-3</v>
      </c>
      <c r="Z127">
        <f>HOUR(Y127)</f>
        <v>0</v>
      </c>
      <c r="AA127">
        <f>MINUTE(Y127)</f>
        <v>10</v>
      </c>
      <c r="AB127">
        <f>Z127*60+AA127</f>
        <v>10</v>
      </c>
    </row>
    <row r="128" spans="1:28" x14ac:dyDescent="0.25">
      <c r="A128">
        <v>126</v>
      </c>
      <c r="B128" t="s">
        <v>29</v>
      </c>
      <c r="C128">
        <v>1</v>
      </c>
      <c r="D128" t="s">
        <v>35</v>
      </c>
      <c r="E128" s="6">
        <v>46032.697916666664</v>
      </c>
      <c r="F128" s="6">
        <v>46032.711805555555</v>
      </c>
      <c r="G128" s="6">
        <v>46032.722222222219</v>
      </c>
      <c r="H128" s="6">
        <v>46032.75</v>
      </c>
      <c r="I128" s="6">
        <v>46032.756944444445</v>
      </c>
      <c r="J128" s="6">
        <v>46032.763888888891</v>
      </c>
      <c r="K128">
        <v>1.58</v>
      </c>
      <c r="L128" s="6">
        <v>46032.770833333336</v>
      </c>
      <c r="M128" s="7">
        <f>F128-E128</f>
        <v>1.3888888890505768E-2</v>
      </c>
      <c r="N128">
        <f>HOUR(M128)</f>
        <v>0</v>
      </c>
      <c r="O128">
        <f>MINUTE(M128)</f>
        <v>20</v>
      </c>
      <c r="P128">
        <f>N128*60+O128</f>
        <v>20</v>
      </c>
      <c r="Q128" s="7">
        <f>G128-F128</f>
        <v>1.0416666664241347E-2</v>
      </c>
      <c r="R128">
        <f>HOUR(Q128)</f>
        <v>0</v>
      </c>
      <c r="S128">
        <f>MINUTE(Q128)</f>
        <v>15</v>
      </c>
      <c r="T128">
        <f>R128*60+S128</f>
        <v>15</v>
      </c>
      <c r="U128" s="7">
        <f>H128-G128</f>
        <v>2.7777777781011537E-2</v>
      </c>
      <c r="V128">
        <f>HOUR(U128)</f>
        <v>0</v>
      </c>
      <c r="W128">
        <f>MINUTE(U128)</f>
        <v>40</v>
      </c>
      <c r="X128">
        <f>V128*60+W128</f>
        <v>40</v>
      </c>
      <c r="Y128" s="7">
        <f>I128-H128</f>
        <v>6.9444444452528842E-3</v>
      </c>
      <c r="Z128">
        <f>HOUR(Y128)</f>
        <v>0</v>
      </c>
      <c r="AA128">
        <f>MINUTE(Y128)</f>
        <v>10</v>
      </c>
      <c r="AB128">
        <f>Z128*60+AA128</f>
        <v>10</v>
      </c>
    </row>
    <row r="129" spans="1:28" x14ac:dyDescent="0.25">
      <c r="A129">
        <v>127</v>
      </c>
      <c r="B129" t="s">
        <v>33</v>
      </c>
      <c r="C129">
        <v>1</v>
      </c>
      <c r="D129" t="s">
        <v>34</v>
      </c>
      <c r="E129" s="6">
        <v>46032.454861111109</v>
      </c>
      <c r="F129" s="6">
        <v>46032.465277777781</v>
      </c>
      <c r="G129" s="6">
        <v>46032.479166666664</v>
      </c>
      <c r="H129" s="6">
        <v>46032.5</v>
      </c>
      <c r="I129" s="6">
        <v>46032.510416666664</v>
      </c>
      <c r="J129" s="6">
        <v>46032.517361111109</v>
      </c>
      <c r="K129">
        <v>1.5</v>
      </c>
      <c r="L129" s="6">
        <v>46032.518750000003</v>
      </c>
      <c r="M129" s="7">
        <f>F129-E129</f>
        <v>1.0416666671517305E-2</v>
      </c>
      <c r="N129">
        <f>HOUR(M129)</f>
        <v>0</v>
      </c>
      <c r="O129">
        <f>MINUTE(M129)</f>
        <v>15</v>
      </c>
      <c r="P129">
        <f>N129*60+O129</f>
        <v>15</v>
      </c>
      <c r="Q129" s="7">
        <f>G129-F129</f>
        <v>1.3888888883229811E-2</v>
      </c>
      <c r="R129">
        <f>HOUR(Q129)</f>
        <v>0</v>
      </c>
      <c r="S129">
        <f>MINUTE(Q129)</f>
        <v>20</v>
      </c>
      <c r="T129">
        <f>R129*60+S129</f>
        <v>20</v>
      </c>
      <c r="U129" s="7">
        <f>H129-G129</f>
        <v>2.0833333335758653E-2</v>
      </c>
      <c r="V129">
        <f>HOUR(U129)</f>
        <v>0</v>
      </c>
      <c r="W129">
        <f>MINUTE(U129)</f>
        <v>30</v>
      </c>
      <c r="X129">
        <f>V129*60+W129</f>
        <v>30</v>
      </c>
      <c r="Y129" s="7">
        <f>I129-H129</f>
        <v>1.0416666664241347E-2</v>
      </c>
      <c r="Z129">
        <f>HOUR(Y129)</f>
        <v>0</v>
      </c>
      <c r="AA129">
        <f>MINUTE(Y129)</f>
        <v>15</v>
      </c>
      <c r="AB129">
        <f>Z129*60+AA129</f>
        <v>15</v>
      </c>
    </row>
    <row r="130" spans="1:28" x14ac:dyDescent="0.25">
      <c r="A130">
        <v>128</v>
      </c>
      <c r="B130" t="s">
        <v>29</v>
      </c>
      <c r="C130">
        <v>1</v>
      </c>
      <c r="D130" t="s">
        <v>35</v>
      </c>
      <c r="E130" s="6">
        <v>46034.482638888891</v>
      </c>
      <c r="F130" s="6">
        <v>46034.493055555555</v>
      </c>
      <c r="G130" s="6">
        <v>46034.527777777781</v>
      </c>
      <c r="H130" s="6">
        <v>46034.631944444445</v>
      </c>
      <c r="I130" s="6">
        <v>46034.638888888891</v>
      </c>
      <c r="J130" s="6">
        <v>46034.649305555555</v>
      </c>
      <c r="K130">
        <v>4</v>
      </c>
      <c r="L130" s="6">
        <v>46034.652083333334</v>
      </c>
      <c r="M130" s="7">
        <f>F130-E130</f>
        <v>1.0416666664241347E-2</v>
      </c>
      <c r="N130">
        <f>HOUR(M130)</f>
        <v>0</v>
      </c>
      <c r="O130">
        <f>MINUTE(M130)</f>
        <v>15</v>
      </c>
      <c r="P130">
        <f>N130*60+O130</f>
        <v>15</v>
      </c>
      <c r="Q130" s="7">
        <f>G130-F130</f>
        <v>3.4722222226264421E-2</v>
      </c>
      <c r="R130">
        <f>HOUR(Q130)</f>
        <v>0</v>
      </c>
      <c r="S130">
        <f>MINUTE(Q130)</f>
        <v>50</v>
      </c>
      <c r="T130">
        <f>R130*60+S130</f>
        <v>50</v>
      </c>
      <c r="U130" s="7">
        <f>H130-G130</f>
        <v>0.10416666666424135</v>
      </c>
      <c r="V130">
        <f>HOUR(U130)</f>
        <v>2</v>
      </c>
      <c r="W130">
        <f>MINUTE(U130)</f>
        <v>30</v>
      </c>
      <c r="X130">
        <f>V130*60+W130</f>
        <v>150</v>
      </c>
      <c r="Y130" s="7">
        <f>I130-H130</f>
        <v>6.9444444452528842E-3</v>
      </c>
      <c r="Z130">
        <f>HOUR(Y130)</f>
        <v>0</v>
      </c>
      <c r="AA130">
        <f>MINUTE(Y130)</f>
        <v>10</v>
      </c>
      <c r="AB130">
        <f>Z130*60+AA130</f>
        <v>10</v>
      </c>
    </row>
    <row r="131" spans="1:28" x14ac:dyDescent="0.25">
      <c r="A131">
        <v>129</v>
      </c>
      <c r="B131" t="s">
        <v>29</v>
      </c>
      <c r="C131">
        <v>1</v>
      </c>
      <c r="D131" t="s">
        <v>35</v>
      </c>
      <c r="E131" s="6">
        <v>46034.291666666664</v>
      </c>
      <c r="F131" s="6">
        <v>46034.329861111109</v>
      </c>
      <c r="G131" s="6">
        <v>46034.357638888891</v>
      </c>
      <c r="H131" s="6">
        <v>46034.397916666669</v>
      </c>
      <c r="I131" s="6">
        <v>46034.402777777781</v>
      </c>
      <c r="J131" s="6">
        <v>46034.430555555555</v>
      </c>
      <c r="K131">
        <v>3.33</v>
      </c>
      <c r="L131" s="6">
        <v>46034.4375</v>
      </c>
      <c r="M131" s="7">
        <f>F131-E131</f>
        <v>3.8194444445252884E-2</v>
      </c>
      <c r="N131">
        <f>HOUR(M131)</f>
        <v>0</v>
      </c>
      <c r="O131">
        <f>MINUTE(M131)</f>
        <v>55</v>
      </c>
      <c r="P131">
        <f>N131*60+O131</f>
        <v>55</v>
      </c>
      <c r="Q131" s="7">
        <f>G131-F131</f>
        <v>2.7777777781011537E-2</v>
      </c>
      <c r="R131">
        <f>HOUR(Q131)</f>
        <v>0</v>
      </c>
      <c r="S131">
        <f>MINUTE(Q131)</f>
        <v>40</v>
      </c>
      <c r="T131">
        <f>R131*60+S131</f>
        <v>40</v>
      </c>
      <c r="U131" s="7">
        <f>H131-G131</f>
        <v>4.0277777778101154E-2</v>
      </c>
      <c r="V131">
        <f>HOUR(U131)</f>
        <v>0</v>
      </c>
      <c r="W131">
        <f>MINUTE(U131)</f>
        <v>58</v>
      </c>
      <c r="X131">
        <f>V131*60+W131</f>
        <v>58</v>
      </c>
      <c r="Y131" s="7">
        <f>I131-H131</f>
        <v>4.8611111124046147E-3</v>
      </c>
      <c r="Z131">
        <f>HOUR(Y131)</f>
        <v>0</v>
      </c>
      <c r="AA131">
        <f>MINUTE(Y131)</f>
        <v>7</v>
      </c>
      <c r="AB131">
        <f>Z131*60+AA131</f>
        <v>7</v>
      </c>
    </row>
    <row r="132" spans="1:28" x14ac:dyDescent="0.25">
      <c r="A132">
        <v>130</v>
      </c>
      <c r="B132" t="s">
        <v>33</v>
      </c>
      <c r="C132">
        <v>1</v>
      </c>
      <c r="D132" t="s">
        <v>32</v>
      </c>
      <c r="E132" s="6">
        <v>46035.322916666664</v>
      </c>
      <c r="F132" s="6">
        <v>46035.326388888891</v>
      </c>
      <c r="G132" s="6">
        <v>46035.333333333336</v>
      </c>
      <c r="H132" s="6">
        <v>46035.336805555555</v>
      </c>
      <c r="I132" s="6">
        <v>46035.340277777781</v>
      </c>
      <c r="J132" s="6">
        <v>46035.34375</v>
      </c>
      <c r="K132">
        <v>0.5</v>
      </c>
      <c r="L132" s="6">
        <v>46035.350694444445</v>
      </c>
      <c r="M132" s="7">
        <f>F132-E132</f>
        <v>3.4722222262644209E-3</v>
      </c>
      <c r="N132">
        <f>HOUR(M132)</f>
        <v>0</v>
      </c>
      <c r="O132">
        <f>MINUTE(M132)</f>
        <v>5</v>
      </c>
      <c r="P132">
        <f>N132*60+O132</f>
        <v>5</v>
      </c>
      <c r="Q132" s="7">
        <f>G132-F132</f>
        <v>6.9444444452528842E-3</v>
      </c>
      <c r="R132">
        <f>HOUR(Q132)</f>
        <v>0</v>
      </c>
      <c r="S132">
        <f>MINUTE(Q132)</f>
        <v>10</v>
      </c>
      <c r="T132">
        <f>R132*60+S132</f>
        <v>10</v>
      </c>
      <c r="U132" s="7">
        <f>H132-G132</f>
        <v>3.4722222189884633E-3</v>
      </c>
      <c r="V132">
        <f>HOUR(U132)</f>
        <v>0</v>
      </c>
      <c r="W132">
        <f>MINUTE(U132)</f>
        <v>5</v>
      </c>
      <c r="X132">
        <f>V132*60+W132</f>
        <v>5</v>
      </c>
      <c r="Y132" s="7">
        <f>I132-H132</f>
        <v>3.4722222262644209E-3</v>
      </c>
      <c r="Z132">
        <f>HOUR(Y132)</f>
        <v>0</v>
      </c>
      <c r="AA132">
        <f>MINUTE(Y132)</f>
        <v>5</v>
      </c>
      <c r="AB132">
        <f>Z132*60+AA132</f>
        <v>5</v>
      </c>
    </row>
    <row r="133" spans="1:28" x14ac:dyDescent="0.25">
      <c r="A133">
        <v>131</v>
      </c>
      <c r="B133" t="s">
        <v>33</v>
      </c>
      <c r="C133">
        <v>1</v>
      </c>
      <c r="D133" t="s">
        <v>34</v>
      </c>
      <c r="E133" s="6">
        <v>46031.743055555555</v>
      </c>
      <c r="F133" s="6">
        <v>46031.75</v>
      </c>
      <c r="G133" s="6">
        <v>46031.763888888891</v>
      </c>
      <c r="H133" s="6">
        <v>46031.800694444442</v>
      </c>
      <c r="I133" s="6">
        <v>46031.807638888888</v>
      </c>
      <c r="J133" s="6">
        <v>46031.822916666664</v>
      </c>
      <c r="K133">
        <v>1.92</v>
      </c>
      <c r="L133" s="6">
        <v>46031.829861111109</v>
      </c>
      <c r="M133" s="7">
        <f>F133-E133</f>
        <v>6.9444444452528842E-3</v>
      </c>
      <c r="N133">
        <f>HOUR(M133)</f>
        <v>0</v>
      </c>
      <c r="O133">
        <f>MINUTE(M133)</f>
        <v>10</v>
      </c>
      <c r="P133">
        <f>N133*60+O133</f>
        <v>10</v>
      </c>
      <c r="Q133" s="7">
        <f>G133-F133</f>
        <v>1.3888888890505768E-2</v>
      </c>
      <c r="R133">
        <f>HOUR(Q133)</f>
        <v>0</v>
      </c>
      <c r="S133">
        <f>MINUTE(Q133)</f>
        <v>20</v>
      </c>
      <c r="T133">
        <f>R133*60+S133</f>
        <v>20</v>
      </c>
      <c r="U133" s="7">
        <f>H133-G133</f>
        <v>3.6805555551836733E-2</v>
      </c>
      <c r="V133">
        <f>HOUR(U133)</f>
        <v>0</v>
      </c>
      <c r="W133">
        <f>MINUTE(U133)</f>
        <v>53</v>
      </c>
      <c r="X133">
        <f>V133*60+W133</f>
        <v>53</v>
      </c>
      <c r="Y133" s="7">
        <f>I133-H133</f>
        <v>6.9444444452528842E-3</v>
      </c>
      <c r="Z133">
        <f>HOUR(Y133)</f>
        <v>0</v>
      </c>
      <c r="AA133">
        <f>MINUTE(Y133)</f>
        <v>10</v>
      </c>
      <c r="AB133">
        <f>Z133*60+AA133</f>
        <v>10</v>
      </c>
    </row>
    <row r="134" spans="1:28" x14ac:dyDescent="0.25">
      <c r="A134">
        <v>132</v>
      </c>
      <c r="B134" t="s">
        <v>33</v>
      </c>
      <c r="C134">
        <v>1</v>
      </c>
      <c r="D134" t="s">
        <v>30</v>
      </c>
      <c r="E134" s="6">
        <v>46034.591666666667</v>
      </c>
      <c r="F134" s="6">
        <v>46034.625</v>
      </c>
      <c r="G134" s="6">
        <v>46034.677083333336</v>
      </c>
      <c r="H134" s="6">
        <v>46034.770833333336</v>
      </c>
      <c r="I134" s="6">
        <v>46034.777777777781</v>
      </c>
      <c r="J134" s="6">
        <v>46034.833333333336</v>
      </c>
      <c r="K134">
        <v>5.8</v>
      </c>
      <c r="L134" s="6">
        <v>46034.840277777781</v>
      </c>
      <c r="M134" s="7">
        <f>F134-E134</f>
        <v>3.3333333332848269E-2</v>
      </c>
      <c r="N134">
        <f>HOUR(M134)</f>
        <v>0</v>
      </c>
      <c r="O134">
        <f>MINUTE(M134)</f>
        <v>48</v>
      </c>
      <c r="P134">
        <f>N134*60+O134</f>
        <v>48</v>
      </c>
      <c r="Q134" s="7">
        <f>G134-F134</f>
        <v>5.2083333335758653E-2</v>
      </c>
      <c r="R134">
        <f>HOUR(Q134)</f>
        <v>1</v>
      </c>
      <c r="S134">
        <f>MINUTE(Q134)</f>
        <v>15</v>
      </c>
      <c r="T134">
        <f>R134*60+S134</f>
        <v>75</v>
      </c>
      <c r="U134" s="7">
        <f>H134-G134</f>
        <v>9.375E-2</v>
      </c>
      <c r="V134">
        <f>HOUR(U134)</f>
        <v>2</v>
      </c>
      <c r="W134">
        <f>MINUTE(U134)</f>
        <v>15</v>
      </c>
      <c r="X134">
        <f>V134*60+W134</f>
        <v>135</v>
      </c>
      <c r="Y134" s="7">
        <f>I134-H134</f>
        <v>6.9444444452528842E-3</v>
      </c>
      <c r="Z134">
        <f>HOUR(Y134)</f>
        <v>0</v>
      </c>
      <c r="AA134">
        <f>MINUTE(Y134)</f>
        <v>10</v>
      </c>
      <c r="AB134">
        <f>Z134*60+AA134</f>
        <v>10</v>
      </c>
    </row>
    <row r="135" spans="1:28" x14ac:dyDescent="0.25">
      <c r="A135">
        <v>133</v>
      </c>
      <c r="B135" t="s">
        <v>31</v>
      </c>
      <c r="C135">
        <v>1</v>
      </c>
      <c r="D135" t="s">
        <v>30</v>
      </c>
      <c r="E135" s="6">
        <v>46031.767361111109</v>
      </c>
      <c r="F135" s="6">
        <v>46031.774305555555</v>
      </c>
      <c r="G135" s="6">
        <v>46031.777777777781</v>
      </c>
      <c r="H135" s="6">
        <v>46031.8125</v>
      </c>
      <c r="I135" s="6">
        <v>46031.819444444445</v>
      </c>
      <c r="J135" s="6">
        <v>46031.875</v>
      </c>
      <c r="K135">
        <v>2.58</v>
      </c>
      <c r="L135" s="6">
        <v>46031.881944444445</v>
      </c>
      <c r="M135" s="7">
        <f>F135-E135</f>
        <v>6.9444444452528842E-3</v>
      </c>
      <c r="N135">
        <f>HOUR(M135)</f>
        <v>0</v>
      </c>
      <c r="O135">
        <f>MINUTE(M135)</f>
        <v>10</v>
      </c>
      <c r="P135">
        <f>N135*60+O135</f>
        <v>10</v>
      </c>
      <c r="Q135" s="7">
        <f>G135-F135</f>
        <v>3.4722222262644209E-3</v>
      </c>
      <c r="R135">
        <f>HOUR(Q135)</f>
        <v>0</v>
      </c>
      <c r="S135">
        <f>MINUTE(Q135)</f>
        <v>5</v>
      </c>
      <c r="T135">
        <f>R135*60+S135</f>
        <v>5</v>
      </c>
      <c r="U135" s="7">
        <f>H135-G135</f>
        <v>3.4722222218988463E-2</v>
      </c>
      <c r="V135">
        <f>HOUR(U135)</f>
        <v>0</v>
      </c>
      <c r="W135">
        <f>MINUTE(U135)</f>
        <v>50</v>
      </c>
      <c r="X135">
        <f>V135*60+W135</f>
        <v>50</v>
      </c>
      <c r="Y135" s="7">
        <f>I135-H135</f>
        <v>6.9444444452528842E-3</v>
      </c>
      <c r="Z135">
        <f>HOUR(Y135)</f>
        <v>0</v>
      </c>
      <c r="AA135">
        <f>MINUTE(Y135)</f>
        <v>10</v>
      </c>
      <c r="AB135">
        <f>Z135*60+AA135</f>
        <v>10</v>
      </c>
    </row>
    <row r="136" spans="1:28" x14ac:dyDescent="0.25">
      <c r="A136">
        <v>134</v>
      </c>
      <c r="B136" t="s">
        <v>33</v>
      </c>
      <c r="C136">
        <v>1</v>
      </c>
      <c r="D136" t="s">
        <v>36</v>
      </c>
      <c r="E136" s="6">
        <v>46031.888888888891</v>
      </c>
      <c r="F136" s="6">
        <v>46031.909722222219</v>
      </c>
      <c r="G136" s="6">
        <v>46031.923611111109</v>
      </c>
      <c r="H136" s="6">
        <v>46031.982638888891</v>
      </c>
      <c r="I136" s="6">
        <v>46031.984722222223</v>
      </c>
      <c r="J136" s="6">
        <v>46031.989583333336</v>
      </c>
      <c r="K136">
        <v>2.42</v>
      </c>
      <c r="L136" s="6">
        <v>46031.990972222222</v>
      </c>
      <c r="M136" s="7">
        <f>F136-E136</f>
        <v>2.0833333328482695E-2</v>
      </c>
      <c r="N136">
        <f>HOUR(M136)</f>
        <v>0</v>
      </c>
      <c r="O136">
        <f>MINUTE(M136)</f>
        <v>30</v>
      </c>
      <c r="P136">
        <f>N136*60+O136</f>
        <v>30</v>
      </c>
      <c r="Q136" s="7">
        <f>G136-F136</f>
        <v>1.3888888890505768E-2</v>
      </c>
      <c r="R136">
        <f>HOUR(Q136)</f>
        <v>0</v>
      </c>
      <c r="S136">
        <f>MINUTE(Q136)</f>
        <v>20</v>
      </c>
      <c r="T136">
        <f>R136*60+S136</f>
        <v>20</v>
      </c>
      <c r="U136" s="7">
        <f>H136-G136</f>
        <v>5.9027777781011537E-2</v>
      </c>
      <c r="V136">
        <f>HOUR(U136)</f>
        <v>1</v>
      </c>
      <c r="W136">
        <f>MINUTE(U136)</f>
        <v>25</v>
      </c>
      <c r="X136">
        <f>V136*60+W136</f>
        <v>85</v>
      </c>
      <c r="Y136" s="7">
        <f>I136-H136</f>
        <v>2.0833333328482695E-3</v>
      </c>
      <c r="Z136">
        <f>HOUR(Y136)</f>
        <v>0</v>
      </c>
      <c r="AA136">
        <f>MINUTE(Y136)</f>
        <v>3</v>
      </c>
      <c r="AB136">
        <f>Z136*60+AA136</f>
        <v>3</v>
      </c>
    </row>
    <row r="137" spans="1:28" x14ac:dyDescent="0.25">
      <c r="A137">
        <v>135</v>
      </c>
      <c r="B137" t="s">
        <v>31</v>
      </c>
      <c r="C137">
        <v>1</v>
      </c>
      <c r="D137" t="s">
        <v>34</v>
      </c>
      <c r="E137" s="6">
        <v>46031.993055555555</v>
      </c>
      <c r="F137" s="6">
        <v>46031.996527777781</v>
      </c>
      <c r="G137" s="6">
        <v>46032.013888888891</v>
      </c>
      <c r="H137" s="6">
        <v>46032.074305555558</v>
      </c>
      <c r="I137" s="6">
        <v>46032.076388888891</v>
      </c>
      <c r="J137" s="6">
        <v>46032.07708333333</v>
      </c>
      <c r="K137">
        <v>2.02</v>
      </c>
      <c r="L137" s="6">
        <v>46032.077777777777</v>
      </c>
      <c r="M137" s="7">
        <f>F137-E137</f>
        <v>3.4722222262644209E-3</v>
      </c>
      <c r="N137">
        <f>HOUR(M137)</f>
        <v>0</v>
      </c>
      <c r="O137">
        <f>MINUTE(M137)</f>
        <v>5</v>
      </c>
      <c r="P137">
        <f>N137*60+O137</f>
        <v>5</v>
      </c>
      <c r="Q137" s="7">
        <f>G137-F137</f>
        <v>1.7361111109494232E-2</v>
      </c>
      <c r="R137">
        <f>HOUR(Q137)</f>
        <v>0</v>
      </c>
      <c r="S137">
        <f>MINUTE(Q137)</f>
        <v>25</v>
      </c>
      <c r="T137">
        <f>R137*60+S137</f>
        <v>25</v>
      </c>
      <c r="U137" s="7">
        <f>H137-G137</f>
        <v>6.0416666667151731E-2</v>
      </c>
      <c r="V137">
        <f>HOUR(U137)</f>
        <v>1</v>
      </c>
      <c r="W137">
        <f>MINUTE(U137)</f>
        <v>27</v>
      </c>
      <c r="X137">
        <f>V137*60+W137</f>
        <v>87</v>
      </c>
      <c r="Y137" s="7">
        <f>I137-H137</f>
        <v>2.0833333328482695E-3</v>
      </c>
      <c r="Z137">
        <f>HOUR(Y137)</f>
        <v>0</v>
      </c>
      <c r="AA137">
        <f>MINUTE(Y137)</f>
        <v>3</v>
      </c>
      <c r="AB137">
        <f>Z137*60+AA137</f>
        <v>3</v>
      </c>
    </row>
    <row r="138" spans="1:28" x14ac:dyDescent="0.25">
      <c r="A138">
        <v>136</v>
      </c>
      <c r="B138" t="s">
        <v>31</v>
      </c>
      <c r="C138">
        <v>1</v>
      </c>
      <c r="D138" t="s">
        <v>30</v>
      </c>
      <c r="E138" s="6">
        <v>46032.416666666664</v>
      </c>
      <c r="F138" s="6">
        <v>46032.434027777781</v>
      </c>
      <c r="G138" s="6">
        <v>46032.454861111109</v>
      </c>
      <c r="H138" s="6">
        <v>46032.552083333336</v>
      </c>
      <c r="I138" s="6">
        <v>46032.559027777781</v>
      </c>
      <c r="J138" s="6">
        <v>46032.583333333336</v>
      </c>
      <c r="K138">
        <v>4</v>
      </c>
      <c r="L138" s="6">
        <v>46032.590277777781</v>
      </c>
      <c r="M138" s="7">
        <f>F138-E138</f>
        <v>1.7361111116770189E-2</v>
      </c>
      <c r="N138">
        <f>HOUR(M138)</f>
        <v>0</v>
      </c>
      <c r="O138">
        <f>MINUTE(M138)</f>
        <v>25</v>
      </c>
      <c r="P138">
        <f>N138*60+O138</f>
        <v>25</v>
      </c>
      <c r="Q138" s="7">
        <f>G138-F138</f>
        <v>2.0833333328482695E-2</v>
      </c>
      <c r="R138">
        <f>HOUR(Q138)</f>
        <v>0</v>
      </c>
      <c r="S138">
        <f>MINUTE(Q138)</f>
        <v>30</v>
      </c>
      <c r="T138">
        <f>R138*60+S138</f>
        <v>30</v>
      </c>
      <c r="U138" s="7">
        <f>H138-G138</f>
        <v>9.7222222226264421E-2</v>
      </c>
      <c r="V138">
        <f>HOUR(U138)</f>
        <v>2</v>
      </c>
      <c r="W138">
        <f>MINUTE(U138)</f>
        <v>20</v>
      </c>
      <c r="X138">
        <f>V138*60+W138</f>
        <v>140</v>
      </c>
      <c r="Y138" s="7">
        <f>I138-H138</f>
        <v>6.9444444452528842E-3</v>
      </c>
      <c r="Z138">
        <f>HOUR(Y138)</f>
        <v>0</v>
      </c>
      <c r="AA138">
        <f>MINUTE(Y138)</f>
        <v>10</v>
      </c>
      <c r="AB138">
        <f>Z138*60+AA138</f>
        <v>10</v>
      </c>
    </row>
    <row r="139" spans="1:28" x14ac:dyDescent="0.25">
      <c r="A139">
        <v>137</v>
      </c>
      <c r="B139" t="s">
        <v>31</v>
      </c>
      <c r="C139">
        <v>1</v>
      </c>
      <c r="D139" t="s">
        <v>35</v>
      </c>
      <c r="E139" s="6">
        <v>46032.445138888892</v>
      </c>
      <c r="F139" s="6">
        <v>46032.458333333336</v>
      </c>
      <c r="G139" s="6">
        <v>46032.475694444445</v>
      </c>
      <c r="H139" s="6">
        <v>46032.486111111109</v>
      </c>
      <c r="I139" s="6">
        <v>46032.493055555555</v>
      </c>
      <c r="J139" s="6">
        <v>46032.503472222219</v>
      </c>
      <c r="K139">
        <v>1.4</v>
      </c>
      <c r="L139" s="6">
        <v>46032.510416666664</v>
      </c>
      <c r="M139" s="7">
        <f>F139-E139</f>
        <v>1.3194444443797693E-2</v>
      </c>
      <c r="N139">
        <f>HOUR(M139)</f>
        <v>0</v>
      </c>
      <c r="O139">
        <f>MINUTE(M139)</f>
        <v>19</v>
      </c>
      <c r="P139">
        <f>N139*60+O139</f>
        <v>19</v>
      </c>
      <c r="Q139" s="7">
        <f>G139-F139</f>
        <v>1.7361111109494232E-2</v>
      </c>
      <c r="R139">
        <f>HOUR(Q139)</f>
        <v>0</v>
      </c>
      <c r="S139">
        <f>MINUTE(Q139)</f>
        <v>25</v>
      </c>
      <c r="T139">
        <f>R139*60+S139</f>
        <v>25</v>
      </c>
      <c r="U139" s="7">
        <f>H139-G139</f>
        <v>1.0416666664241347E-2</v>
      </c>
      <c r="V139">
        <f>HOUR(U139)</f>
        <v>0</v>
      </c>
      <c r="W139">
        <f>MINUTE(U139)</f>
        <v>15</v>
      </c>
      <c r="X139">
        <f>V139*60+W139</f>
        <v>15</v>
      </c>
      <c r="Y139" s="7">
        <f>I139-H139</f>
        <v>6.9444444452528842E-3</v>
      </c>
      <c r="Z139">
        <f>HOUR(Y139)</f>
        <v>0</v>
      </c>
      <c r="AA139">
        <f>MINUTE(Y139)</f>
        <v>10</v>
      </c>
      <c r="AB139">
        <f>Z139*60+AA139</f>
        <v>10</v>
      </c>
    </row>
    <row r="140" spans="1:28" x14ac:dyDescent="0.25">
      <c r="A140">
        <v>138</v>
      </c>
      <c r="B140" t="s">
        <v>33</v>
      </c>
      <c r="C140">
        <v>1</v>
      </c>
      <c r="D140" t="s">
        <v>30</v>
      </c>
      <c r="E140" s="6">
        <v>46032.520833333336</v>
      </c>
      <c r="F140" s="6">
        <v>46032.526388888888</v>
      </c>
      <c r="G140" s="6">
        <v>46032.527083333334</v>
      </c>
      <c r="H140" s="6">
        <v>46032.61041666667</v>
      </c>
      <c r="I140" s="6">
        <v>46032.617361111108</v>
      </c>
      <c r="J140" s="6">
        <v>46032.625</v>
      </c>
      <c r="K140">
        <v>2.5</v>
      </c>
      <c r="L140" s="6">
        <v>46032.631944444445</v>
      </c>
      <c r="M140" s="7">
        <f>F140-E140</f>
        <v>5.5555555518367328E-3</v>
      </c>
      <c r="N140">
        <f>HOUR(M140)</f>
        <v>0</v>
      </c>
      <c r="O140">
        <f>MINUTE(M140)</f>
        <v>8</v>
      </c>
      <c r="P140">
        <f>N140*60+O140</f>
        <v>8</v>
      </c>
      <c r="Q140" s="7">
        <f>G140-F140</f>
        <v>6.944444467080757E-4</v>
      </c>
      <c r="R140">
        <f>HOUR(Q140)</f>
        <v>0</v>
      </c>
      <c r="S140">
        <f>MINUTE(Q140)</f>
        <v>1</v>
      </c>
      <c r="T140">
        <f>R140*60+S140</f>
        <v>1</v>
      </c>
      <c r="U140" s="7">
        <f>H140-G140</f>
        <v>8.3333333335758653E-2</v>
      </c>
      <c r="V140">
        <f>HOUR(U140)</f>
        <v>2</v>
      </c>
      <c r="W140">
        <f>MINUTE(U140)</f>
        <v>0</v>
      </c>
      <c r="X140">
        <f>V140*60+W140</f>
        <v>120</v>
      </c>
      <c r="Y140" s="7">
        <f>I140-H140</f>
        <v>6.9444444379769266E-3</v>
      </c>
      <c r="Z140">
        <f>HOUR(Y140)</f>
        <v>0</v>
      </c>
      <c r="AA140">
        <f>MINUTE(Y140)</f>
        <v>10</v>
      </c>
      <c r="AB140">
        <f>Z140*60+AA140</f>
        <v>10</v>
      </c>
    </row>
    <row r="141" spans="1:28" x14ac:dyDescent="0.25">
      <c r="A141">
        <v>139</v>
      </c>
      <c r="B141" t="s">
        <v>29</v>
      </c>
      <c r="C141">
        <v>1</v>
      </c>
      <c r="D141" t="s">
        <v>30</v>
      </c>
      <c r="E141" s="6">
        <v>46032.770833333336</v>
      </c>
      <c r="F141" s="6">
        <v>46032.784722222219</v>
      </c>
      <c r="G141" s="6">
        <v>46032.786805555559</v>
      </c>
      <c r="H141" s="6">
        <v>46032.792361111111</v>
      </c>
      <c r="I141" s="6">
        <v>46032.794444444444</v>
      </c>
      <c r="J141" s="6">
        <v>46032.795138888891</v>
      </c>
      <c r="K141">
        <v>0.57999999999999996</v>
      </c>
      <c r="L141" s="6">
        <v>46032.79583333333</v>
      </c>
      <c r="M141" s="7">
        <f>F141-E141</f>
        <v>1.3888888883229811E-2</v>
      </c>
      <c r="N141">
        <f>HOUR(M141)</f>
        <v>0</v>
      </c>
      <c r="O141">
        <f>MINUTE(M141)</f>
        <v>20</v>
      </c>
      <c r="P141">
        <f>N141*60+O141</f>
        <v>20</v>
      </c>
      <c r="Q141" s="7">
        <f>G141-F141</f>
        <v>2.0833333401242271E-3</v>
      </c>
      <c r="R141">
        <f>HOUR(Q141)</f>
        <v>0</v>
      </c>
      <c r="S141">
        <f>MINUTE(Q141)</f>
        <v>3</v>
      </c>
      <c r="T141">
        <f>R141*60+S141</f>
        <v>3</v>
      </c>
      <c r="U141" s="7">
        <f>H141-G141</f>
        <v>5.5555555518367328E-3</v>
      </c>
      <c r="V141">
        <f>HOUR(U141)</f>
        <v>0</v>
      </c>
      <c r="W141">
        <f>MINUTE(U141)</f>
        <v>8</v>
      </c>
      <c r="X141">
        <f>V141*60+W141</f>
        <v>8</v>
      </c>
      <c r="Y141" s="7">
        <f>I141-H141</f>
        <v>2.0833333328482695E-3</v>
      </c>
      <c r="Z141">
        <f>HOUR(Y141)</f>
        <v>0</v>
      </c>
      <c r="AA141">
        <f>MINUTE(Y141)</f>
        <v>3</v>
      </c>
      <c r="AB141">
        <f>Z141*60+AA141</f>
        <v>3</v>
      </c>
    </row>
    <row r="142" spans="1:28" x14ac:dyDescent="0.25">
      <c r="A142">
        <v>140</v>
      </c>
      <c r="B142" t="s">
        <v>31</v>
      </c>
      <c r="C142">
        <v>1</v>
      </c>
      <c r="D142" t="s">
        <v>30</v>
      </c>
      <c r="E142" s="6">
        <v>46032.850694444445</v>
      </c>
      <c r="F142" s="6">
        <v>46032.857638888891</v>
      </c>
      <c r="G142" s="6">
        <v>46032.868055555555</v>
      </c>
      <c r="H142" s="6">
        <v>46032.893750000003</v>
      </c>
      <c r="I142" s="6">
        <v>46032.894444444442</v>
      </c>
      <c r="J142" s="6">
        <v>46032.895833333336</v>
      </c>
      <c r="K142">
        <v>1.08</v>
      </c>
      <c r="L142" s="6">
        <v>46032.897916666669</v>
      </c>
      <c r="M142" s="7">
        <f>F142-E142</f>
        <v>6.9444444452528842E-3</v>
      </c>
      <c r="N142">
        <f>HOUR(M142)</f>
        <v>0</v>
      </c>
      <c r="O142">
        <f>MINUTE(M142)</f>
        <v>10</v>
      </c>
      <c r="P142">
        <f>N142*60+O142</f>
        <v>10</v>
      </c>
      <c r="Q142" s="7">
        <f>G142-F142</f>
        <v>1.0416666664241347E-2</v>
      </c>
      <c r="R142">
        <f>HOUR(Q142)</f>
        <v>0</v>
      </c>
      <c r="S142">
        <f>MINUTE(Q142)</f>
        <v>15</v>
      </c>
      <c r="T142">
        <f>R142*60+S142</f>
        <v>15</v>
      </c>
      <c r="U142" s="7">
        <f>H142-G142</f>
        <v>2.5694444448163267E-2</v>
      </c>
      <c r="V142">
        <f>HOUR(U142)</f>
        <v>0</v>
      </c>
      <c r="W142">
        <f>MINUTE(U142)</f>
        <v>37</v>
      </c>
      <c r="X142">
        <f>V142*60+W142</f>
        <v>37</v>
      </c>
      <c r="Y142" s="7">
        <f>I142-H142</f>
        <v>6.9444443943211809E-4</v>
      </c>
      <c r="Z142">
        <f>HOUR(Y142)</f>
        <v>0</v>
      </c>
      <c r="AA142">
        <f>MINUTE(Y142)</f>
        <v>1</v>
      </c>
      <c r="AB142">
        <f>Z142*60+AA142</f>
        <v>1</v>
      </c>
    </row>
    <row r="143" spans="1:28" x14ac:dyDescent="0.25">
      <c r="A143">
        <v>141</v>
      </c>
      <c r="B143" t="s">
        <v>31</v>
      </c>
      <c r="C143">
        <v>1</v>
      </c>
      <c r="D143" t="s">
        <v>30</v>
      </c>
      <c r="E143" s="6">
        <v>46033.409722222219</v>
      </c>
      <c r="F143" s="6">
        <v>46033.413194444445</v>
      </c>
      <c r="G143" s="6">
        <v>46033.434027777781</v>
      </c>
      <c r="H143" s="6">
        <v>46033.456944444442</v>
      </c>
      <c r="I143" s="6">
        <v>46033.463888888888</v>
      </c>
      <c r="J143" s="6">
        <v>46033.472222222219</v>
      </c>
      <c r="K143">
        <v>1.5</v>
      </c>
      <c r="L143" s="6">
        <v>46033.479166666664</v>
      </c>
      <c r="M143" s="7">
        <f>F143-E143</f>
        <v>3.4722222262644209E-3</v>
      </c>
      <c r="N143">
        <f>HOUR(M143)</f>
        <v>0</v>
      </c>
      <c r="O143">
        <f>MINUTE(M143)</f>
        <v>5</v>
      </c>
      <c r="P143">
        <f>N143*60+O143</f>
        <v>5</v>
      </c>
      <c r="Q143" s="7">
        <f>G143-F143</f>
        <v>2.0833333335758653E-2</v>
      </c>
      <c r="R143">
        <f>HOUR(Q143)</f>
        <v>0</v>
      </c>
      <c r="S143">
        <f>MINUTE(Q143)</f>
        <v>30</v>
      </c>
      <c r="T143">
        <f>R143*60+S143</f>
        <v>30</v>
      </c>
      <c r="U143" s="7">
        <f>H143-G143</f>
        <v>2.2916666661330964E-2</v>
      </c>
      <c r="V143">
        <f>HOUR(U143)</f>
        <v>0</v>
      </c>
      <c r="W143">
        <f>MINUTE(U143)</f>
        <v>33</v>
      </c>
      <c r="X143">
        <f>V143*60+W143</f>
        <v>33</v>
      </c>
      <c r="Y143" s="7">
        <f>I143-H143</f>
        <v>6.9444444452528842E-3</v>
      </c>
      <c r="Z143">
        <f>HOUR(Y143)</f>
        <v>0</v>
      </c>
      <c r="AA143">
        <f>MINUTE(Y143)</f>
        <v>10</v>
      </c>
      <c r="AB143">
        <f>Z143*60+AA143</f>
        <v>10</v>
      </c>
    </row>
    <row r="144" spans="1:28" x14ac:dyDescent="0.25">
      <c r="A144">
        <v>142</v>
      </c>
      <c r="B144" t="s">
        <v>33</v>
      </c>
      <c r="C144">
        <v>1</v>
      </c>
      <c r="D144" t="s">
        <v>30</v>
      </c>
      <c r="E144" s="6">
        <v>46033.452777777777</v>
      </c>
      <c r="F144" s="6">
        <v>46033.461805555555</v>
      </c>
      <c r="G144" s="6">
        <v>46033.479166666664</v>
      </c>
      <c r="H144" s="6">
        <v>46033.538194444445</v>
      </c>
      <c r="I144" s="6">
        <v>46033.545138888891</v>
      </c>
      <c r="J144" s="6">
        <v>46033.552083333336</v>
      </c>
      <c r="K144">
        <v>2.38</v>
      </c>
      <c r="L144" s="6">
        <v>46033.559027777781</v>
      </c>
      <c r="M144" s="7">
        <f>F144-E144</f>
        <v>9.0277777781011537E-3</v>
      </c>
      <c r="N144">
        <f>HOUR(M144)</f>
        <v>0</v>
      </c>
      <c r="O144">
        <f>MINUTE(M144)</f>
        <v>13</v>
      </c>
      <c r="P144">
        <f>N144*60+O144</f>
        <v>13</v>
      </c>
      <c r="Q144" s="7">
        <f>G144-F144</f>
        <v>1.7361111109494232E-2</v>
      </c>
      <c r="R144">
        <f>HOUR(Q144)</f>
        <v>0</v>
      </c>
      <c r="S144">
        <f>MINUTE(Q144)</f>
        <v>25</v>
      </c>
      <c r="T144">
        <f>R144*60+S144</f>
        <v>25</v>
      </c>
      <c r="U144" s="7">
        <f>H144-G144</f>
        <v>5.9027777781011537E-2</v>
      </c>
      <c r="V144">
        <f>HOUR(U144)</f>
        <v>1</v>
      </c>
      <c r="W144">
        <f>MINUTE(U144)</f>
        <v>25</v>
      </c>
      <c r="X144">
        <f>V144*60+W144</f>
        <v>85</v>
      </c>
      <c r="Y144" s="7">
        <f>I144-H144</f>
        <v>6.9444444452528842E-3</v>
      </c>
      <c r="Z144">
        <f>HOUR(Y144)</f>
        <v>0</v>
      </c>
      <c r="AA144">
        <f>MINUTE(Y144)</f>
        <v>10</v>
      </c>
      <c r="AB144">
        <f>Z144*60+AA144</f>
        <v>10</v>
      </c>
    </row>
    <row r="145" spans="1:28" x14ac:dyDescent="0.25">
      <c r="A145">
        <v>143</v>
      </c>
      <c r="B145" t="s">
        <v>33</v>
      </c>
      <c r="C145">
        <v>1</v>
      </c>
      <c r="D145" t="s">
        <v>36</v>
      </c>
      <c r="E145" s="6">
        <v>46033.454861111109</v>
      </c>
      <c r="F145" s="6">
        <v>46033.465277777781</v>
      </c>
      <c r="G145" s="6">
        <v>46033.479166666664</v>
      </c>
      <c r="H145" s="6">
        <v>46033.527777777781</v>
      </c>
      <c r="I145" s="6">
        <v>46033.534722222219</v>
      </c>
      <c r="J145" s="6">
        <v>46033.548611111109</v>
      </c>
      <c r="K145">
        <v>2.25</v>
      </c>
      <c r="L145" s="6">
        <v>46033.555555555555</v>
      </c>
      <c r="M145" s="7">
        <f>F145-E145</f>
        <v>1.0416666671517305E-2</v>
      </c>
      <c r="N145">
        <f>HOUR(M145)</f>
        <v>0</v>
      </c>
      <c r="O145">
        <f>MINUTE(M145)</f>
        <v>15</v>
      </c>
      <c r="P145">
        <f>N145*60+O145</f>
        <v>15</v>
      </c>
      <c r="Q145" s="7">
        <f>G145-F145</f>
        <v>1.3888888883229811E-2</v>
      </c>
      <c r="R145">
        <f>HOUR(Q145)</f>
        <v>0</v>
      </c>
      <c r="S145">
        <f>MINUTE(Q145)</f>
        <v>20</v>
      </c>
      <c r="T145">
        <f>R145*60+S145</f>
        <v>20</v>
      </c>
      <c r="U145" s="7">
        <f>H145-G145</f>
        <v>4.8611111116770189E-2</v>
      </c>
      <c r="V145">
        <f>HOUR(U145)</f>
        <v>1</v>
      </c>
      <c r="W145">
        <f>MINUTE(U145)</f>
        <v>10</v>
      </c>
      <c r="X145">
        <f>V145*60+W145</f>
        <v>70</v>
      </c>
      <c r="Y145" s="7">
        <f>I145-H145</f>
        <v>6.9444444379769266E-3</v>
      </c>
      <c r="Z145">
        <f>HOUR(Y145)</f>
        <v>0</v>
      </c>
      <c r="AA145">
        <f>MINUTE(Y145)</f>
        <v>10</v>
      </c>
      <c r="AB145">
        <f>Z145*60+AA145</f>
        <v>10</v>
      </c>
    </row>
    <row r="146" spans="1:28" x14ac:dyDescent="0.25">
      <c r="A146">
        <v>144</v>
      </c>
      <c r="B146" t="s">
        <v>31</v>
      </c>
      <c r="C146">
        <v>1</v>
      </c>
      <c r="D146" t="s">
        <v>30</v>
      </c>
      <c r="E146" s="6">
        <v>46034.340277777781</v>
      </c>
      <c r="F146" s="6">
        <v>46034.357638888891</v>
      </c>
      <c r="G146" s="6">
        <v>46034.381944444445</v>
      </c>
      <c r="H146" s="6">
        <v>46034.46875</v>
      </c>
      <c r="I146" s="6">
        <v>46034.472222222219</v>
      </c>
      <c r="J146" s="6">
        <v>46034.475694444445</v>
      </c>
      <c r="K146">
        <v>3.25</v>
      </c>
      <c r="L146" s="6">
        <v>46034.482638888891</v>
      </c>
      <c r="M146" s="7">
        <f>F146-E146</f>
        <v>1.7361111109494232E-2</v>
      </c>
      <c r="N146">
        <f>HOUR(M146)</f>
        <v>0</v>
      </c>
      <c r="O146">
        <f>MINUTE(M146)</f>
        <v>25</v>
      </c>
      <c r="P146">
        <f>N146*60+O146</f>
        <v>25</v>
      </c>
      <c r="Q146" s="7">
        <f>G146-F146</f>
        <v>2.4305555554747116E-2</v>
      </c>
      <c r="R146">
        <f>HOUR(Q146)</f>
        <v>0</v>
      </c>
      <c r="S146">
        <f>MINUTE(Q146)</f>
        <v>35</v>
      </c>
      <c r="T146">
        <f>R146*60+S146</f>
        <v>35</v>
      </c>
      <c r="U146" s="7">
        <f>H146-G146</f>
        <v>8.6805555554747116E-2</v>
      </c>
      <c r="V146">
        <f>HOUR(U146)</f>
        <v>2</v>
      </c>
      <c r="W146">
        <f>MINUTE(U146)</f>
        <v>5</v>
      </c>
      <c r="X146">
        <f>V146*60+W146</f>
        <v>125</v>
      </c>
      <c r="Y146" s="7">
        <f>I146-H146</f>
        <v>3.4722222189884633E-3</v>
      </c>
      <c r="Z146">
        <f>HOUR(Y146)</f>
        <v>0</v>
      </c>
      <c r="AA146">
        <f>MINUTE(Y146)</f>
        <v>5</v>
      </c>
      <c r="AB146">
        <f>Z146*60+AA146</f>
        <v>5</v>
      </c>
    </row>
    <row r="147" spans="1:28" x14ac:dyDescent="0.25">
      <c r="A147">
        <v>145</v>
      </c>
      <c r="B147" t="s">
        <v>29</v>
      </c>
      <c r="C147">
        <v>1</v>
      </c>
      <c r="D147" t="s">
        <v>34</v>
      </c>
      <c r="E147" s="6">
        <v>46034.291666666664</v>
      </c>
      <c r="F147" s="6">
        <v>46034.333333333336</v>
      </c>
      <c r="G147" s="6">
        <v>46034.34375</v>
      </c>
      <c r="H147" s="6">
        <v>46034.368055555555</v>
      </c>
      <c r="I147" s="6">
        <v>46034.375</v>
      </c>
      <c r="J147" s="6">
        <v>46034.378472222219</v>
      </c>
      <c r="K147">
        <v>2.08</v>
      </c>
      <c r="L147" s="6">
        <v>46034.379166666666</v>
      </c>
      <c r="M147" s="7">
        <f>F147-E147</f>
        <v>4.1666666671517305E-2</v>
      </c>
      <c r="N147">
        <f>HOUR(M147)</f>
        <v>1</v>
      </c>
      <c r="O147">
        <f>MINUTE(M147)</f>
        <v>0</v>
      </c>
      <c r="P147">
        <f>N147*60+O147</f>
        <v>60</v>
      </c>
      <c r="Q147" s="7">
        <f>G147-F147</f>
        <v>1.0416666664241347E-2</v>
      </c>
      <c r="R147">
        <f>HOUR(Q147)</f>
        <v>0</v>
      </c>
      <c r="S147">
        <f>MINUTE(Q147)</f>
        <v>15</v>
      </c>
      <c r="T147">
        <f>R147*60+S147</f>
        <v>15</v>
      </c>
      <c r="U147" s="7">
        <f>H147-G147</f>
        <v>2.4305555554747116E-2</v>
      </c>
      <c r="V147">
        <f>HOUR(U147)</f>
        <v>0</v>
      </c>
      <c r="W147">
        <f>MINUTE(U147)</f>
        <v>35</v>
      </c>
      <c r="X147">
        <f>V147*60+W147</f>
        <v>35</v>
      </c>
      <c r="Y147" s="7">
        <f>I147-H147</f>
        <v>6.9444444452528842E-3</v>
      </c>
      <c r="Z147">
        <f>HOUR(Y147)</f>
        <v>0</v>
      </c>
      <c r="AA147">
        <f>MINUTE(Y147)</f>
        <v>10</v>
      </c>
      <c r="AB147">
        <f>Z147*60+AA147</f>
        <v>10</v>
      </c>
    </row>
    <row r="148" spans="1:28" x14ac:dyDescent="0.25">
      <c r="A148">
        <v>146</v>
      </c>
      <c r="B148" t="s">
        <v>31</v>
      </c>
      <c r="C148">
        <v>1</v>
      </c>
      <c r="D148" t="s">
        <v>34</v>
      </c>
      <c r="E148" s="6">
        <v>46034.409722222219</v>
      </c>
      <c r="F148" s="6">
        <v>46034.416666666664</v>
      </c>
      <c r="G148" s="6">
        <v>46034.434027777781</v>
      </c>
      <c r="H148" s="6">
        <v>46034.479166666664</v>
      </c>
      <c r="I148" s="6">
        <v>46034.486111111109</v>
      </c>
      <c r="J148" s="6">
        <v>46034.493055555555</v>
      </c>
      <c r="K148">
        <v>2</v>
      </c>
      <c r="L148" s="6">
        <v>46034.5</v>
      </c>
      <c r="M148" s="7">
        <f>F148-E148</f>
        <v>6.9444444452528842E-3</v>
      </c>
      <c r="N148">
        <f>HOUR(M148)</f>
        <v>0</v>
      </c>
      <c r="O148">
        <f>MINUTE(M148)</f>
        <v>10</v>
      </c>
      <c r="P148">
        <f>N148*60+O148</f>
        <v>10</v>
      </c>
      <c r="Q148" s="7">
        <f>G148-F148</f>
        <v>1.7361111116770189E-2</v>
      </c>
      <c r="R148">
        <f>HOUR(Q148)</f>
        <v>0</v>
      </c>
      <c r="S148">
        <f>MINUTE(Q148)</f>
        <v>25</v>
      </c>
      <c r="T148">
        <f>R148*60+S148</f>
        <v>25</v>
      </c>
      <c r="U148" s="7">
        <f>H148-G148</f>
        <v>4.5138888883229811E-2</v>
      </c>
      <c r="V148">
        <f>HOUR(U148)</f>
        <v>1</v>
      </c>
      <c r="W148">
        <f>MINUTE(U148)</f>
        <v>5</v>
      </c>
      <c r="X148">
        <f>V148*60+W148</f>
        <v>65</v>
      </c>
      <c r="Y148" s="7">
        <f>I148-H148</f>
        <v>6.9444444452528842E-3</v>
      </c>
      <c r="Z148">
        <f>HOUR(Y148)</f>
        <v>0</v>
      </c>
      <c r="AA148">
        <f>MINUTE(Y148)</f>
        <v>10</v>
      </c>
      <c r="AB148">
        <f>Z148*60+AA148</f>
        <v>10</v>
      </c>
    </row>
    <row r="149" spans="1:28" x14ac:dyDescent="0.25">
      <c r="A149">
        <v>147</v>
      </c>
      <c r="B149" t="s">
        <v>33</v>
      </c>
      <c r="C149">
        <v>1</v>
      </c>
      <c r="D149" t="s">
        <v>30</v>
      </c>
      <c r="E149" s="6">
        <v>46033.611111111109</v>
      </c>
      <c r="F149" s="6">
        <v>46033.621527777781</v>
      </c>
      <c r="G149" s="6">
        <v>46033.638888888891</v>
      </c>
      <c r="H149" s="6">
        <v>46033.756944444445</v>
      </c>
      <c r="I149" s="6">
        <v>46033.763888888891</v>
      </c>
      <c r="J149" s="6">
        <v>46033.888888888891</v>
      </c>
      <c r="K149">
        <v>6.67</v>
      </c>
      <c r="L149" s="6">
        <v>46033.895833333336</v>
      </c>
      <c r="M149" s="7">
        <f>F149-E149</f>
        <v>1.0416666671517305E-2</v>
      </c>
      <c r="N149">
        <f>HOUR(M149)</f>
        <v>0</v>
      </c>
      <c r="O149">
        <f>MINUTE(M149)</f>
        <v>15</v>
      </c>
      <c r="P149">
        <f>N149*60+O149</f>
        <v>15</v>
      </c>
      <c r="Q149" s="7">
        <f>G149-F149</f>
        <v>1.7361111109494232E-2</v>
      </c>
      <c r="R149">
        <f>HOUR(Q149)</f>
        <v>0</v>
      </c>
      <c r="S149">
        <f>MINUTE(Q149)</f>
        <v>25</v>
      </c>
      <c r="T149">
        <f>R149*60+S149</f>
        <v>25</v>
      </c>
      <c r="U149" s="7">
        <f>H149-G149</f>
        <v>0.11805555555474712</v>
      </c>
      <c r="V149">
        <f>HOUR(U149)</f>
        <v>2</v>
      </c>
      <c r="W149">
        <f>MINUTE(U149)</f>
        <v>50</v>
      </c>
      <c r="X149">
        <f>V149*60+W149</f>
        <v>170</v>
      </c>
      <c r="Y149" s="7">
        <f>I149-H149</f>
        <v>6.9444444452528842E-3</v>
      </c>
      <c r="Z149">
        <f>HOUR(Y149)</f>
        <v>0</v>
      </c>
      <c r="AA149">
        <f>MINUTE(Y149)</f>
        <v>10</v>
      </c>
      <c r="AB149">
        <f>Z149*60+AA149</f>
        <v>10</v>
      </c>
    </row>
    <row r="150" spans="1:28" x14ac:dyDescent="0.25">
      <c r="A150">
        <v>148</v>
      </c>
      <c r="B150" t="s">
        <v>33</v>
      </c>
      <c r="C150">
        <v>1</v>
      </c>
      <c r="D150" t="s">
        <v>30</v>
      </c>
      <c r="E150" s="6">
        <v>46034.375</v>
      </c>
      <c r="F150" s="6">
        <v>46034.395138888889</v>
      </c>
      <c r="G150" s="6">
        <v>46034.395833333336</v>
      </c>
      <c r="H150" s="6">
        <v>46034.398611111108</v>
      </c>
      <c r="I150" s="6">
        <v>46034.402083333334</v>
      </c>
      <c r="J150" s="6">
        <v>46034.419444444444</v>
      </c>
      <c r="K150">
        <v>1.07</v>
      </c>
      <c r="L150" s="6">
        <v>46034.423611111109</v>
      </c>
      <c r="M150" s="7">
        <f>F150-E150</f>
        <v>2.0138888889050577E-2</v>
      </c>
      <c r="N150">
        <f>HOUR(M150)</f>
        <v>0</v>
      </c>
      <c r="O150">
        <f>MINUTE(M150)</f>
        <v>29</v>
      </c>
      <c r="P150">
        <f>N150*60+O150</f>
        <v>29</v>
      </c>
      <c r="Q150" s="7">
        <f>G150-F150</f>
        <v>6.944444467080757E-4</v>
      </c>
      <c r="R150">
        <f>HOUR(Q150)</f>
        <v>0</v>
      </c>
      <c r="S150">
        <f>MINUTE(Q150)</f>
        <v>1</v>
      </c>
      <c r="T150">
        <f>R150*60+S150</f>
        <v>1</v>
      </c>
      <c r="U150" s="7">
        <f>H150-G150</f>
        <v>2.7777777722803876E-3</v>
      </c>
      <c r="V150">
        <f>HOUR(U150)</f>
        <v>0</v>
      </c>
      <c r="W150">
        <f>MINUTE(U150)</f>
        <v>4</v>
      </c>
      <c r="X150">
        <f>V150*60+W150</f>
        <v>4</v>
      </c>
      <c r="Y150" s="7">
        <f>I150-H150</f>
        <v>3.4722222262644209E-3</v>
      </c>
      <c r="Z150">
        <f>HOUR(Y150)</f>
        <v>0</v>
      </c>
      <c r="AA150">
        <f>MINUTE(Y150)</f>
        <v>5</v>
      </c>
      <c r="AB150">
        <f>Z150*60+AA150</f>
        <v>5</v>
      </c>
    </row>
    <row r="151" spans="1:28" x14ac:dyDescent="0.25">
      <c r="A151">
        <v>149</v>
      </c>
      <c r="B151" t="s">
        <v>29</v>
      </c>
      <c r="C151">
        <v>1</v>
      </c>
      <c r="D151" t="s">
        <v>30</v>
      </c>
      <c r="E151" s="6">
        <v>46034.506944444445</v>
      </c>
      <c r="F151" s="6">
        <v>46034.513888888891</v>
      </c>
      <c r="G151" s="6">
        <v>46034.517361111109</v>
      </c>
      <c r="H151" s="6">
        <v>46034.524305555555</v>
      </c>
      <c r="I151" s="6">
        <v>46034.527777777781</v>
      </c>
      <c r="J151" s="6">
        <v>46034.53125</v>
      </c>
      <c r="K151">
        <v>0.57999999999999996</v>
      </c>
      <c r="L151" s="6">
        <v>46034.538194444445</v>
      </c>
      <c r="M151" s="7">
        <f>F151-E151</f>
        <v>6.9444444452528842E-3</v>
      </c>
      <c r="N151">
        <f>HOUR(M151)</f>
        <v>0</v>
      </c>
      <c r="O151">
        <f>MINUTE(M151)</f>
        <v>10</v>
      </c>
      <c r="P151">
        <f>N151*60+O151</f>
        <v>10</v>
      </c>
      <c r="Q151" s="7">
        <f>G151-F151</f>
        <v>3.4722222189884633E-3</v>
      </c>
      <c r="R151">
        <f>HOUR(Q151)</f>
        <v>0</v>
      </c>
      <c r="S151">
        <f>MINUTE(Q151)</f>
        <v>5</v>
      </c>
      <c r="T151">
        <f>R151*60+S151</f>
        <v>5</v>
      </c>
      <c r="U151" s="7">
        <f>H151-G151</f>
        <v>6.9444444452528842E-3</v>
      </c>
      <c r="V151">
        <f>HOUR(U151)</f>
        <v>0</v>
      </c>
      <c r="W151">
        <f>MINUTE(U151)</f>
        <v>10</v>
      </c>
      <c r="X151">
        <f>V151*60+W151</f>
        <v>10</v>
      </c>
      <c r="Y151" s="7">
        <f>I151-H151</f>
        <v>3.4722222262644209E-3</v>
      </c>
      <c r="Z151">
        <f>HOUR(Y151)</f>
        <v>0</v>
      </c>
      <c r="AA151">
        <f>MINUTE(Y151)</f>
        <v>5</v>
      </c>
      <c r="AB151">
        <f>Z151*60+AA151</f>
        <v>5</v>
      </c>
    </row>
    <row r="152" spans="1:28" x14ac:dyDescent="0.25">
      <c r="A152">
        <v>150</v>
      </c>
      <c r="B152" t="s">
        <v>33</v>
      </c>
      <c r="C152">
        <v>1</v>
      </c>
      <c r="D152" t="s">
        <v>32</v>
      </c>
      <c r="E152" s="6">
        <v>46034.472222222219</v>
      </c>
      <c r="F152" s="6">
        <v>46034.482638888891</v>
      </c>
      <c r="G152" s="6">
        <v>46034.486111111109</v>
      </c>
      <c r="H152" s="6">
        <v>46034.5</v>
      </c>
      <c r="I152" s="6">
        <v>46034.506944444445</v>
      </c>
      <c r="J152" s="6">
        <v>46034.508333333331</v>
      </c>
      <c r="K152">
        <v>0.87</v>
      </c>
      <c r="L152" s="6">
        <v>46034.509027777778</v>
      </c>
      <c r="M152" s="7">
        <f>F152-E152</f>
        <v>1.0416666671517305E-2</v>
      </c>
      <c r="N152">
        <f>HOUR(M152)</f>
        <v>0</v>
      </c>
      <c r="O152">
        <f>MINUTE(M152)</f>
        <v>15</v>
      </c>
      <c r="P152">
        <f>N152*60+O152</f>
        <v>15</v>
      </c>
      <c r="Q152" s="7">
        <f>G152-F152</f>
        <v>3.4722222189884633E-3</v>
      </c>
      <c r="R152">
        <f>HOUR(Q152)</f>
        <v>0</v>
      </c>
      <c r="S152">
        <f>MINUTE(Q152)</f>
        <v>5</v>
      </c>
      <c r="T152">
        <f>R152*60+S152</f>
        <v>5</v>
      </c>
      <c r="U152" s="7">
        <f>H152-G152</f>
        <v>1.3888888890505768E-2</v>
      </c>
      <c r="V152">
        <f>HOUR(U152)</f>
        <v>0</v>
      </c>
      <c r="W152">
        <f>MINUTE(U152)</f>
        <v>20</v>
      </c>
      <c r="X152">
        <f>V152*60+W152</f>
        <v>20</v>
      </c>
      <c r="Y152" s="7">
        <f>I152-H152</f>
        <v>6.9444444452528842E-3</v>
      </c>
      <c r="Z152">
        <f>HOUR(Y152)</f>
        <v>0</v>
      </c>
      <c r="AA152">
        <f>MINUTE(Y152)</f>
        <v>10</v>
      </c>
      <c r="AB152">
        <f>Z152*60+AA152</f>
        <v>10</v>
      </c>
    </row>
    <row r="153" spans="1:28" x14ac:dyDescent="0.25">
      <c r="A153">
        <v>151</v>
      </c>
      <c r="B153" t="s">
        <v>33</v>
      </c>
      <c r="C153">
        <v>1</v>
      </c>
      <c r="D153" t="s">
        <v>30</v>
      </c>
      <c r="E153" s="6">
        <v>46033.708333333336</v>
      </c>
      <c r="F153" s="6">
        <v>46033.722222222219</v>
      </c>
      <c r="G153" s="6">
        <v>46033.729166666664</v>
      </c>
      <c r="H153" s="6">
        <v>46033.791666666664</v>
      </c>
      <c r="I153" s="6">
        <v>46033.798611111109</v>
      </c>
      <c r="J153" s="6">
        <v>46033.802083333336</v>
      </c>
      <c r="K153">
        <v>2.25</v>
      </c>
      <c r="L153" s="6">
        <v>46033.805555555555</v>
      </c>
      <c r="M153" s="7">
        <f>F153-E153</f>
        <v>1.3888888883229811E-2</v>
      </c>
      <c r="N153">
        <f>HOUR(M153)</f>
        <v>0</v>
      </c>
      <c r="O153">
        <f>MINUTE(M153)</f>
        <v>20</v>
      </c>
      <c r="P153">
        <f>N153*60+O153</f>
        <v>20</v>
      </c>
      <c r="Q153" s="7">
        <f>G153-F153</f>
        <v>6.9444444452528842E-3</v>
      </c>
      <c r="R153">
        <f>HOUR(Q153)</f>
        <v>0</v>
      </c>
      <c r="S153">
        <f>MINUTE(Q153)</f>
        <v>10</v>
      </c>
      <c r="T153">
        <f>R153*60+S153</f>
        <v>10</v>
      </c>
      <c r="U153" s="7">
        <f>H153-G153</f>
        <v>6.25E-2</v>
      </c>
      <c r="V153">
        <f>HOUR(U153)</f>
        <v>1</v>
      </c>
      <c r="W153">
        <f>MINUTE(U153)</f>
        <v>30</v>
      </c>
      <c r="X153">
        <f>V153*60+W153</f>
        <v>90</v>
      </c>
      <c r="Y153" s="7">
        <f>I153-H153</f>
        <v>6.9444444452528842E-3</v>
      </c>
      <c r="Z153">
        <f>HOUR(Y153)</f>
        <v>0</v>
      </c>
      <c r="AA153">
        <f>MINUTE(Y153)</f>
        <v>10</v>
      </c>
      <c r="AB153">
        <f>Z153*60+AA153</f>
        <v>10</v>
      </c>
    </row>
    <row r="154" spans="1:28" x14ac:dyDescent="0.25">
      <c r="A154">
        <v>152</v>
      </c>
      <c r="B154" t="s">
        <v>33</v>
      </c>
      <c r="C154">
        <v>1</v>
      </c>
      <c r="D154" t="s">
        <v>34</v>
      </c>
      <c r="E154" s="6">
        <v>46033.892361111109</v>
      </c>
      <c r="F154" s="6">
        <v>46033.895833333336</v>
      </c>
      <c r="G154" s="6">
        <v>46033.923611111109</v>
      </c>
      <c r="H154" s="6">
        <v>46033.961805555555</v>
      </c>
      <c r="I154" s="6">
        <v>46033.96875</v>
      </c>
      <c r="J154" s="6">
        <v>46033.969444444447</v>
      </c>
      <c r="K154">
        <v>1.85</v>
      </c>
      <c r="L154" s="6">
        <v>46033.976388888892</v>
      </c>
      <c r="M154" s="7">
        <f>F154-E154</f>
        <v>3.4722222262644209E-3</v>
      </c>
      <c r="N154">
        <f>HOUR(M154)</f>
        <v>0</v>
      </c>
      <c r="O154">
        <f>MINUTE(M154)</f>
        <v>5</v>
      </c>
      <c r="P154">
        <f>N154*60+O154</f>
        <v>5</v>
      </c>
      <c r="Q154" s="7">
        <f>G154-F154</f>
        <v>2.7777777773735579E-2</v>
      </c>
      <c r="R154">
        <f>HOUR(Q154)</f>
        <v>0</v>
      </c>
      <c r="S154">
        <f>MINUTE(Q154)</f>
        <v>40</v>
      </c>
      <c r="T154">
        <f>R154*60+S154</f>
        <v>40</v>
      </c>
      <c r="U154" s="7">
        <f>H154-G154</f>
        <v>3.8194444445252884E-2</v>
      </c>
      <c r="V154">
        <f>HOUR(U154)</f>
        <v>0</v>
      </c>
      <c r="W154">
        <f>MINUTE(U154)</f>
        <v>55</v>
      </c>
      <c r="X154">
        <f>V154*60+W154</f>
        <v>55</v>
      </c>
      <c r="Y154" s="7">
        <f>I154-H154</f>
        <v>6.9444444452528842E-3</v>
      </c>
      <c r="Z154">
        <f>HOUR(Y154)</f>
        <v>0</v>
      </c>
      <c r="AA154">
        <f>MINUTE(Y154)</f>
        <v>10</v>
      </c>
      <c r="AB154">
        <f>Z154*60+AA154</f>
        <v>10</v>
      </c>
    </row>
    <row r="155" spans="1:28" x14ac:dyDescent="0.25">
      <c r="A155">
        <v>153</v>
      </c>
      <c r="B155" t="s">
        <v>29</v>
      </c>
      <c r="C155">
        <v>1</v>
      </c>
      <c r="D155" t="s">
        <v>30</v>
      </c>
      <c r="E155" s="6">
        <v>46033.878472222219</v>
      </c>
      <c r="F155" s="6">
        <v>46033.888888888891</v>
      </c>
      <c r="G155" s="6">
        <v>46033.895833333336</v>
      </c>
      <c r="H155" s="6">
        <v>46033.916666666664</v>
      </c>
      <c r="I155" s="6">
        <v>46033.920138888891</v>
      </c>
      <c r="J155" s="6">
        <v>46033.923611111109</v>
      </c>
      <c r="K155">
        <v>1.08</v>
      </c>
      <c r="L155" s="6">
        <v>46033.927083333336</v>
      </c>
      <c r="M155" s="7">
        <f>F155-E155</f>
        <v>1.0416666671517305E-2</v>
      </c>
      <c r="N155">
        <f>HOUR(M155)</f>
        <v>0</v>
      </c>
      <c r="O155">
        <f>MINUTE(M155)</f>
        <v>15</v>
      </c>
      <c r="P155">
        <f>N155*60+O155</f>
        <v>15</v>
      </c>
      <c r="Q155" s="7">
        <f>G155-F155</f>
        <v>6.9444444452528842E-3</v>
      </c>
      <c r="R155">
        <f>HOUR(Q155)</f>
        <v>0</v>
      </c>
      <c r="S155">
        <f>MINUTE(Q155)</f>
        <v>10</v>
      </c>
      <c r="T155">
        <f>R155*60+S155</f>
        <v>10</v>
      </c>
      <c r="U155" s="7">
        <f>H155-G155</f>
        <v>2.0833333328482695E-2</v>
      </c>
      <c r="V155">
        <f>HOUR(U155)</f>
        <v>0</v>
      </c>
      <c r="W155">
        <f>MINUTE(U155)</f>
        <v>30</v>
      </c>
      <c r="X155">
        <f>V155*60+W155</f>
        <v>30</v>
      </c>
      <c r="Y155" s="7">
        <f>I155-H155</f>
        <v>3.4722222262644209E-3</v>
      </c>
      <c r="Z155">
        <f>HOUR(Y155)</f>
        <v>0</v>
      </c>
      <c r="AA155">
        <f>MINUTE(Y155)</f>
        <v>5</v>
      </c>
      <c r="AB155">
        <f>Z155*60+AA155</f>
        <v>5</v>
      </c>
    </row>
    <row r="156" spans="1:28" x14ac:dyDescent="0.25">
      <c r="A156">
        <v>154</v>
      </c>
      <c r="B156" t="s">
        <v>29</v>
      </c>
      <c r="C156">
        <v>1</v>
      </c>
      <c r="D156" t="s">
        <v>35</v>
      </c>
      <c r="E156" s="6">
        <v>46033.9375</v>
      </c>
      <c r="F156" s="6">
        <v>46033.944444444445</v>
      </c>
      <c r="G156" s="6">
        <v>46033.951388888891</v>
      </c>
      <c r="H156" s="6">
        <v>46033.979166666664</v>
      </c>
      <c r="I156" s="6">
        <v>46033.982638888891</v>
      </c>
      <c r="J156" s="6">
        <v>46033.986111111109</v>
      </c>
      <c r="K156">
        <v>1.17</v>
      </c>
      <c r="L156" s="6">
        <v>46033.989583333336</v>
      </c>
      <c r="M156" s="7">
        <f>F156-E156</f>
        <v>6.9444444452528842E-3</v>
      </c>
      <c r="N156">
        <f>HOUR(M156)</f>
        <v>0</v>
      </c>
      <c r="O156">
        <f>MINUTE(M156)</f>
        <v>10</v>
      </c>
      <c r="P156">
        <f>N156*60+O156</f>
        <v>10</v>
      </c>
      <c r="Q156" s="7">
        <f>G156-F156</f>
        <v>6.9444444452528842E-3</v>
      </c>
      <c r="R156">
        <f>HOUR(Q156)</f>
        <v>0</v>
      </c>
      <c r="S156">
        <f>MINUTE(Q156)</f>
        <v>10</v>
      </c>
      <c r="T156">
        <f>R156*60+S156</f>
        <v>10</v>
      </c>
      <c r="U156" s="7">
        <f>H156-G156</f>
        <v>2.7777777773735579E-2</v>
      </c>
      <c r="V156">
        <f>HOUR(U156)</f>
        <v>0</v>
      </c>
      <c r="W156">
        <f>MINUTE(U156)</f>
        <v>40</v>
      </c>
      <c r="X156">
        <f>V156*60+W156</f>
        <v>40</v>
      </c>
      <c r="Y156" s="7">
        <f>I156-H156</f>
        <v>3.4722222262644209E-3</v>
      </c>
      <c r="Z156">
        <f>HOUR(Y156)</f>
        <v>0</v>
      </c>
      <c r="AA156">
        <f>MINUTE(Y156)</f>
        <v>5</v>
      </c>
      <c r="AB156">
        <f>Z156*60+AA156</f>
        <v>5</v>
      </c>
    </row>
    <row r="157" spans="1:28" x14ac:dyDescent="0.25">
      <c r="A157">
        <v>155</v>
      </c>
      <c r="B157" t="s">
        <v>33</v>
      </c>
      <c r="C157">
        <v>1</v>
      </c>
      <c r="D157" t="s">
        <v>32</v>
      </c>
      <c r="E157" s="6">
        <v>46034.357638888891</v>
      </c>
      <c r="F157" s="6">
        <v>46034.364583333336</v>
      </c>
      <c r="G157" s="6">
        <v>46034.388888888891</v>
      </c>
      <c r="H157" s="6">
        <v>46034.423611111109</v>
      </c>
      <c r="I157" s="6">
        <v>46034.4375</v>
      </c>
      <c r="J157" s="6">
        <v>46034.444444444445</v>
      </c>
      <c r="K157">
        <v>2.08</v>
      </c>
      <c r="L157" s="6">
        <v>46034.451388888891</v>
      </c>
      <c r="M157" s="7">
        <f>F157-E157</f>
        <v>6.9444444452528842E-3</v>
      </c>
      <c r="N157">
        <f>HOUR(M157)</f>
        <v>0</v>
      </c>
      <c r="O157">
        <f>MINUTE(M157)</f>
        <v>10</v>
      </c>
      <c r="P157">
        <f>N157*60+O157</f>
        <v>10</v>
      </c>
      <c r="Q157" s="7">
        <f>G157-F157</f>
        <v>2.4305555554747116E-2</v>
      </c>
      <c r="R157">
        <f>HOUR(Q157)</f>
        <v>0</v>
      </c>
      <c r="S157">
        <f>MINUTE(Q157)</f>
        <v>35</v>
      </c>
      <c r="T157">
        <f>R157*60+S157</f>
        <v>35</v>
      </c>
      <c r="U157" s="7">
        <f>H157-G157</f>
        <v>3.4722222218988463E-2</v>
      </c>
      <c r="V157">
        <f>HOUR(U157)</f>
        <v>0</v>
      </c>
      <c r="W157">
        <f>MINUTE(U157)</f>
        <v>50</v>
      </c>
      <c r="X157">
        <f>V157*60+W157</f>
        <v>50</v>
      </c>
      <c r="Y157" s="7">
        <f>I157-H157</f>
        <v>1.3888888890505768E-2</v>
      </c>
      <c r="Z157">
        <f>HOUR(Y157)</f>
        <v>0</v>
      </c>
      <c r="AA157">
        <f>MINUTE(Y157)</f>
        <v>20</v>
      </c>
      <c r="AB157">
        <f>Z157*60+AA157</f>
        <v>20</v>
      </c>
    </row>
    <row r="158" spans="1:28" x14ac:dyDescent="0.25">
      <c r="A158">
        <v>156</v>
      </c>
      <c r="B158" t="s">
        <v>33</v>
      </c>
      <c r="C158">
        <v>1</v>
      </c>
      <c r="D158" t="s">
        <v>36</v>
      </c>
      <c r="E158" s="6">
        <v>46034.46875</v>
      </c>
      <c r="F158" s="6">
        <v>46034.482638888891</v>
      </c>
      <c r="G158" s="6">
        <v>46034.5</v>
      </c>
      <c r="H158" s="6">
        <v>46034.534722222219</v>
      </c>
      <c r="I158" s="6">
        <v>46034.541666666664</v>
      </c>
      <c r="J158" s="6">
        <v>46034.545138888891</v>
      </c>
      <c r="K158">
        <v>1.83</v>
      </c>
      <c r="L158" s="6">
        <v>46034.552083333336</v>
      </c>
      <c r="M158" s="7">
        <f>F158-E158</f>
        <v>1.3888888890505768E-2</v>
      </c>
      <c r="N158">
        <f>HOUR(M158)</f>
        <v>0</v>
      </c>
      <c r="O158">
        <f>MINUTE(M158)</f>
        <v>20</v>
      </c>
      <c r="P158">
        <f>N158*60+O158</f>
        <v>20</v>
      </c>
      <c r="Q158" s="7">
        <f>G158-F158</f>
        <v>1.7361111109494232E-2</v>
      </c>
      <c r="R158">
        <f>HOUR(Q158)</f>
        <v>0</v>
      </c>
      <c r="S158">
        <f>MINUTE(Q158)</f>
        <v>25</v>
      </c>
      <c r="T158">
        <f>R158*60+S158</f>
        <v>25</v>
      </c>
      <c r="U158" s="7">
        <f>H158-G158</f>
        <v>3.4722222218988463E-2</v>
      </c>
      <c r="V158">
        <f>HOUR(U158)</f>
        <v>0</v>
      </c>
      <c r="W158">
        <f>MINUTE(U158)</f>
        <v>50</v>
      </c>
      <c r="X158">
        <f>V158*60+W158</f>
        <v>50</v>
      </c>
      <c r="Y158" s="7">
        <f>I158-H158</f>
        <v>6.9444444452528842E-3</v>
      </c>
      <c r="Z158">
        <f>HOUR(Y158)</f>
        <v>0</v>
      </c>
      <c r="AA158">
        <f>MINUTE(Y158)</f>
        <v>10</v>
      </c>
      <c r="AB158">
        <f>Z158*60+AA158</f>
        <v>10</v>
      </c>
    </row>
    <row r="159" spans="1:28" x14ac:dyDescent="0.25">
      <c r="A159">
        <v>157</v>
      </c>
      <c r="B159" t="s">
        <v>29</v>
      </c>
      <c r="C159">
        <v>1</v>
      </c>
      <c r="D159" t="s">
        <v>36</v>
      </c>
      <c r="E159" s="6">
        <v>46033.965277777781</v>
      </c>
      <c r="F159" s="6">
        <v>46033.96875</v>
      </c>
      <c r="G159" s="6">
        <v>46033.972222222219</v>
      </c>
      <c r="H159" s="6">
        <v>46033.979166666664</v>
      </c>
      <c r="I159" s="6">
        <v>46033.986111111109</v>
      </c>
      <c r="J159" s="6">
        <v>46033.993055555555</v>
      </c>
      <c r="K159">
        <v>0.67</v>
      </c>
      <c r="L159" s="6">
        <v>46034</v>
      </c>
      <c r="M159" s="7">
        <f>F159-E159</f>
        <v>3.4722222189884633E-3</v>
      </c>
      <c r="N159">
        <f>HOUR(M159)</f>
        <v>0</v>
      </c>
      <c r="O159">
        <f>MINUTE(M159)</f>
        <v>5</v>
      </c>
      <c r="P159">
        <f>N159*60+O159</f>
        <v>5</v>
      </c>
      <c r="Q159" s="7">
        <f>G159-F159</f>
        <v>3.4722222189884633E-3</v>
      </c>
      <c r="R159">
        <f>HOUR(Q159)</f>
        <v>0</v>
      </c>
      <c r="S159">
        <f>MINUTE(Q159)</f>
        <v>5</v>
      </c>
      <c r="T159">
        <f>R159*60+S159</f>
        <v>5</v>
      </c>
      <c r="U159" s="7">
        <f>H159-G159</f>
        <v>6.9444444452528842E-3</v>
      </c>
      <c r="V159">
        <f>HOUR(U159)</f>
        <v>0</v>
      </c>
      <c r="W159">
        <f>MINUTE(U159)</f>
        <v>10</v>
      </c>
      <c r="X159">
        <f>V159*60+W159</f>
        <v>10</v>
      </c>
      <c r="Y159" s="7">
        <f>I159-H159</f>
        <v>6.9444444452528842E-3</v>
      </c>
      <c r="Z159">
        <f>HOUR(Y159)</f>
        <v>0</v>
      </c>
      <c r="AA159">
        <f>MINUTE(Y159)</f>
        <v>10</v>
      </c>
      <c r="AB159">
        <f>Z159*60+AA159</f>
        <v>10</v>
      </c>
    </row>
    <row r="160" spans="1:28" x14ac:dyDescent="0.25">
      <c r="A160">
        <v>158</v>
      </c>
      <c r="B160" t="s">
        <v>33</v>
      </c>
      <c r="C160">
        <v>1</v>
      </c>
      <c r="D160" t="s">
        <v>34</v>
      </c>
      <c r="E160" s="6">
        <v>46034.027777777781</v>
      </c>
      <c r="F160" s="6">
        <v>46034.041666666664</v>
      </c>
      <c r="G160" s="6">
        <v>46034.069444444445</v>
      </c>
      <c r="H160" s="6">
        <v>46034.128472222219</v>
      </c>
      <c r="I160" s="6">
        <v>46034.163194444445</v>
      </c>
      <c r="J160" s="6">
        <v>46034.166666666664</v>
      </c>
      <c r="K160">
        <v>3.33</v>
      </c>
      <c r="L160" s="6">
        <v>46034.173611111109</v>
      </c>
      <c r="M160" s="7">
        <f>F160-E160</f>
        <v>1.3888888883229811E-2</v>
      </c>
      <c r="N160">
        <f>HOUR(M160)</f>
        <v>0</v>
      </c>
      <c r="O160">
        <f>MINUTE(M160)</f>
        <v>20</v>
      </c>
      <c r="P160">
        <f>N160*60+O160</f>
        <v>20</v>
      </c>
      <c r="Q160" s="7">
        <f>G160-F160</f>
        <v>2.7777777781011537E-2</v>
      </c>
      <c r="R160">
        <f>HOUR(Q160)</f>
        <v>0</v>
      </c>
      <c r="S160">
        <f>MINUTE(Q160)</f>
        <v>40</v>
      </c>
      <c r="T160">
        <f>R160*60+S160</f>
        <v>40</v>
      </c>
      <c r="U160" s="7">
        <f>H160-G160</f>
        <v>5.9027777773735579E-2</v>
      </c>
      <c r="V160">
        <f>HOUR(U160)</f>
        <v>1</v>
      </c>
      <c r="W160">
        <f>MINUTE(U160)</f>
        <v>25</v>
      </c>
      <c r="X160">
        <f>V160*60+W160</f>
        <v>85</v>
      </c>
      <c r="Y160" s="7">
        <f>I160-H160</f>
        <v>3.4722222226264421E-2</v>
      </c>
      <c r="Z160">
        <f>HOUR(Y160)</f>
        <v>0</v>
      </c>
      <c r="AA160">
        <f>MINUTE(Y160)</f>
        <v>50</v>
      </c>
      <c r="AB160">
        <f>Z160*60+AA160</f>
        <v>50</v>
      </c>
    </row>
    <row r="161" spans="1:28" x14ac:dyDescent="0.25">
      <c r="A161">
        <v>159</v>
      </c>
      <c r="B161" t="s">
        <v>31</v>
      </c>
      <c r="C161">
        <v>1</v>
      </c>
      <c r="D161" t="s">
        <v>37</v>
      </c>
      <c r="E161" s="6">
        <v>46034.097916666666</v>
      </c>
      <c r="F161" s="6">
        <v>46034.104861111111</v>
      </c>
      <c r="G161" s="6">
        <v>46034.107638888891</v>
      </c>
      <c r="H161" s="6">
        <v>46034.180555555555</v>
      </c>
      <c r="I161" s="6">
        <v>46034.197916666664</v>
      </c>
      <c r="J161" s="6">
        <v>46034.201388888891</v>
      </c>
      <c r="K161">
        <v>2.48</v>
      </c>
      <c r="L161" s="6">
        <v>46034.208333333336</v>
      </c>
      <c r="M161" s="7">
        <f>F161-E161</f>
        <v>6.9444444452528842E-3</v>
      </c>
      <c r="N161">
        <f>HOUR(M161)</f>
        <v>0</v>
      </c>
      <c r="O161">
        <f>MINUTE(M161)</f>
        <v>10</v>
      </c>
      <c r="P161">
        <f>N161*60+O161</f>
        <v>10</v>
      </c>
      <c r="Q161" s="7">
        <f>G161-F161</f>
        <v>2.7777777795563452E-3</v>
      </c>
      <c r="R161">
        <f>HOUR(Q161)</f>
        <v>0</v>
      </c>
      <c r="S161">
        <f>MINUTE(Q161)</f>
        <v>4</v>
      </c>
      <c r="T161">
        <f>R161*60+S161</f>
        <v>4</v>
      </c>
      <c r="U161" s="7">
        <f>H161-G161</f>
        <v>7.2916666664241347E-2</v>
      </c>
      <c r="V161">
        <f>HOUR(U161)</f>
        <v>1</v>
      </c>
      <c r="W161">
        <f>MINUTE(U161)</f>
        <v>45</v>
      </c>
      <c r="X161">
        <f>V161*60+W161</f>
        <v>105</v>
      </c>
      <c r="Y161" s="7">
        <f>I161-H161</f>
        <v>1.7361111109494232E-2</v>
      </c>
      <c r="Z161">
        <f>HOUR(Y161)</f>
        <v>0</v>
      </c>
      <c r="AA161">
        <f>MINUTE(Y161)</f>
        <v>25</v>
      </c>
      <c r="AB161">
        <f>Z161*60+AA161</f>
        <v>25</v>
      </c>
    </row>
    <row r="162" spans="1:28" x14ac:dyDescent="0.25">
      <c r="A162">
        <v>160</v>
      </c>
      <c r="B162" t="s">
        <v>29</v>
      </c>
      <c r="C162">
        <v>1</v>
      </c>
      <c r="D162" t="s">
        <v>36</v>
      </c>
      <c r="E162" s="6">
        <v>46034.694444444445</v>
      </c>
      <c r="F162" s="6">
        <v>46034.711805555555</v>
      </c>
      <c r="G162" s="6">
        <v>46034.715277777781</v>
      </c>
      <c r="H162" s="6">
        <v>46034.722222222219</v>
      </c>
      <c r="I162" s="6">
        <v>46034.725694444445</v>
      </c>
      <c r="J162" s="6">
        <v>46034.732638888891</v>
      </c>
      <c r="K162">
        <v>0.92</v>
      </c>
      <c r="L162" s="6">
        <v>46034.734027777777</v>
      </c>
      <c r="M162" s="7">
        <f>F162-E162</f>
        <v>1.7361111109494232E-2</v>
      </c>
      <c r="N162">
        <f>HOUR(M162)</f>
        <v>0</v>
      </c>
      <c r="O162">
        <f>MINUTE(M162)</f>
        <v>25</v>
      </c>
      <c r="P162">
        <f>N162*60+O162</f>
        <v>25</v>
      </c>
      <c r="Q162" s="7">
        <f>G162-F162</f>
        <v>3.4722222262644209E-3</v>
      </c>
      <c r="R162">
        <f>HOUR(Q162)</f>
        <v>0</v>
      </c>
      <c r="S162">
        <f>MINUTE(Q162)</f>
        <v>5</v>
      </c>
      <c r="T162">
        <f>R162*60+S162</f>
        <v>5</v>
      </c>
      <c r="U162" s="7">
        <f>H162-G162</f>
        <v>6.9444444379769266E-3</v>
      </c>
      <c r="V162">
        <f>HOUR(U162)</f>
        <v>0</v>
      </c>
      <c r="W162">
        <f>MINUTE(U162)</f>
        <v>10</v>
      </c>
      <c r="X162">
        <f>V162*60+W162</f>
        <v>10</v>
      </c>
      <c r="Y162" s="7">
        <f>I162-H162</f>
        <v>3.4722222262644209E-3</v>
      </c>
      <c r="Z162">
        <f>HOUR(Y162)</f>
        <v>0</v>
      </c>
      <c r="AA162">
        <f>MINUTE(Y162)</f>
        <v>5</v>
      </c>
      <c r="AB162">
        <f>Z162*60+AA162</f>
        <v>5</v>
      </c>
    </row>
    <row r="163" spans="1:28" x14ac:dyDescent="0.25">
      <c r="A163">
        <v>161</v>
      </c>
      <c r="B163" t="s">
        <v>29</v>
      </c>
      <c r="C163">
        <v>1</v>
      </c>
      <c r="D163" t="s">
        <v>32</v>
      </c>
      <c r="E163" s="6">
        <v>46035.666666666664</v>
      </c>
      <c r="F163" s="6">
        <v>46035.6875</v>
      </c>
      <c r="G163" s="6">
        <v>46035.708333333336</v>
      </c>
      <c r="H163" s="6">
        <v>46035.791666666664</v>
      </c>
      <c r="I163" s="6">
        <v>46035.798611111109</v>
      </c>
      <c r="J163" s="6">
        <v>46035.8125</v>
      </c>
      <c r="K163">
        <v>3.5</v>
      </c>
      <c r="L163" s="6">
        <v>46035.813194444447</v>
      </c>
      <c r="M163" s="7">
        <f>F163-E163</f>
        <v>2.0833333335758653E-2</v>
      </c>
      <c r="N163">
        <f>HOUR(M163)</f>
        <v>0</v>
      </c>
      <c r="O163">
        <f>MINUTE(M163)</f>
        <v>30</v>
      </c>
      <c r="P163">
        <f>N163*60+O163</f>
        <v>30</v>
      </c>
      <c r="Q163" s="7">
        <f>G163-F163</f>
        <v>2.0833333335758653E-2</v>
      </c>
      <c r="R163">
        <f>HOUR(Q163)</f>
        <v>0</v>
      </c>
      <c r="S163">
        <f>MINUTE(Q163)</f>
        <v>30</v>
      </c>
      <c r="T163">
        <f>R163*60+S163</f>
        <v>30</v>
      </c>
      <c r="U163" s="7">
        <f>H163-G163</f>
        <v>8.3333333328482695E-2</v>
      </c>
      <c r="V163">
        <f>HOUR(U163)</f>
        <v>2</v>
      </c>
      <c r="W163">
        <f>MINUTE(U163)</f>
        <v>0</v>
      </c>
      <c r="X163">
        <f>V163*60+W163</f>
        <v>120</v>
      </c>
      <c r="Y163" s="7">
        <f>I163-H163</f>
        <v>6.9444444452528842E-3</v>
      </c>
      <c r="Z163">
        <f>HOUR(Y163)</f>
        <v>0</v>
      </c>
      <c r="AA163">
        <f>MINUTE(Y163)</f>
        <v>10</v>
      </c>
      <c r="AB163">
        <f>Z163*60+AA163</f>
        <v>10</v>
      </c>
    </row>
    <row r="164" spans="1:28" x14ac:dyDescent="0.25">
      <c r="A164">
        <v>162</v>
      </c>
      <c r="B164" t="s">
        <v>33</v>
      </c>
      <c r="C164">
        <v>1</v>
      </c>
      <c r="D164" t="s">
        <v>32</v>
      </c>
      <c r="E164" s="6">
        <v>46035.572916666664</v>
      </c>
      <c r="F164" s="6">
        <v>46035.576388888891</v>
      </c>
      <c r="G164" s="6">
        <v>46035.604166666664</v>
      </c>
      <c r="H164" s="6">
        <v>46035.754861111112</v>
      </c>
      <c r="I164" s="6">
        <v>46035.802083333336</v>
      </c>
      <c r="J164" s="6">
        <v>46035.875</v>
      </c>
      <c r="K164">
        <v>7.25</v>
      </c>
      <c r="L164" s="6">
        <v>46035.881944444445</v>
      </c>
      <c r="M164" s="7">
        <f>F164-E164</f>
        <v>3.4722222262644209E-3</v>
      </c>
      <c r="N164">
        <f>HOUR(M164)</f>
        <v>0</v>
      </c>
      <c r="O164">
        <f>MINUTE(M164)</f>
        <v>5</v>
      </c>
      <c r="P164">
        <f>N164*60+O164</f>
        <v>5</v>
      </c>
      <c r="Q164" s="7">
        <f>G164-F164</f>
        <v>2.7777777773735579E-2</v>
      </c>
      <c r="R164">
        <f>HOUR(Q164)</f>
        <v>0</v>
      </c>
      <c r="S164">
        <f>MINUTE(Q164)</f>
        <v>40</v>
      </c>
      <c r="T164">
        <f>R164*60+S164</f>
        <v>40</v>
      </c>
      <c r="U164" s="7">
        <f>H164-G164</f>
        <v>0.15069444444816327</v>
      </c>
      <c r="V164">
        <f>HOUR(U164)</f>
        <v>3</v>
      </c>
      <c r="W164">
        <f>MINUTE(U164)</f>
        <v>37</v>
      </c>
      <c r="X164">
        <f>V164*60+W164</f>
        <v>217</v>
      </c>
      <c r="Y164" s="7">
        <f>I164-H164</f>
        <v>4.7222222223354038E-2</v>
      </c>
      <c r="Z164">
        <f>HOUR(Y164)</f>
        <v>1</v>
      </c>
      <c r="AA164">
        <f>MINUTE(Y164)</f>
        <v>8</v>
      </c>
      <c r="AB164">
        <f>Z164*60+AA164</f>
        <v>68</v>
      </c>
    </row>
    <row r="165" spans="1:28" x14ac:dyDescent="0.25">
      <c r="A165">
        <v>163</v>
      </c>
      <c r="B165" t="s">
        <v>33</v>
      </c>
      <c r="C165">
        <v>1</v>
      </c>
      <c r="D165" t="s">
        <v>36</v>
      </c>
      <c r="E165" s="6">
        <v>46035.317361111112</v>
      </c>
      <c r="F165" s="6">
        <v>46035.324305555558</v>
      </c>
      <c r="G165" s="6">
        <v>46035.333333333336</v>
      </c>
      <c r="H165" s="6">
        <v>46035.354166666664</v>
      </c>
      <c r="I165" s="6">
        <v>46035.357638888891</v>
      </c>
      <c r="J165" s="6">
        <v>46035.35833333333</v>
      </c>
      <c r="K165">
        <v>0.98</v>
      </c>
      <c r="L165" s="6">
        <v>46035.365277777775</v>
      </c>
      <c r="M165" s="7">
        <f>F165-E165</f>
        <v>6.9444444452528842E-3</v>
      </c>
      <c r="N165">
        <f>HOUR(M165)</f>
        <v>0</v>
      </c>
      <c r="O165">
        <f>MINUTE(M165)</f>
        <v>10</v>
      </c>
      <c r="P165">
        <f>N165*60+O165</f>
        <v>10</v>
      </c>
      <c r="Q165" s="7">
        <f>G165-F165</f>
        <v>9.0277777781011537E-3</v>
      </c>
      <c r="R165">
        <f>HOUR(Q165)</f>
        <v>0</v>
      </c>
      <c r="S165">
        <f>MINUTE(Q165)</f>
        <v>13</v>
      </c>
      <c r="T165">
        <f>R165*60+S165</f>
        <v>13</v>
      </c>
      <c r="U165" s="7">
        <f>H165-G165</f>
        <v>2.0833333328482695E-2</v>
      </c>
      <c r="V165">
        <f>HOUR(U165)</f>
        <v>0</v>
      </c>
      <c r="W165">
        <f>MINUTE(U165)</f>
        <v>30</v>
      </c>
      <c r="X165">
        <f>V165*60+W165</f>
        <v>30</v>
      </c>
      <c r="Y165" s="7">
        <f>I165-H165</f>
        <v>3.4722222262644209E-3</v>
      </c>
      <c r="Z165">
        <f>HOUR(Y165)</f>
        <v>0</v>
      </c>
      <c r="AA165">
        <f>MINUTE(Y165)</f>
        <v>5</v>
      </c>
      <c r="AB165">
        <f>Z165*60+AA165</f>
        <v>5</v>
      </c>
    </row>
    <row r="166" spans="1:28" x14ac:dyDescent="0.25">
      <c r="A166">
        <v>164</v>
      </c>
      <c r="B166" t="s">
        <v>29</v>
      </c>
      <c r="C166">
        <v>1</v>
      </c>
      <c r="D166" t="s">
        <v>35</v>
      </c>
      <c r="E166" s="6">
        <v>46035.427083333336</v>
      </c>
      <c r="F166" s="6">
        <v>46035.440972222219</v>
      </c>
      <c r="G166" s="6">
        <v>46035.444444444445</v>
      </c>
      <c r="H166" s="6">
        <v>46035.454861111109</v>
      </c>
      <c r="I166" s="6">
        <v>46035.458333333336</v>
      </c>
      <c r="J166" s="6">
        <v>46035.465277777781</v>
      </c>
      <c r="K166">
        <v>0.92</v>
      </c>
      <c r="L166" s="6">
        <v>46035.472222222219</v>
      </c>
      <c r="M166" s="7">
        <f>F166-E166</f>
        <v>1.3888888883229811E-2</v>
      </c>
      <c r="N166">
        <f>HOUR(M166)</f>
        <v>0</v>
      </c>
      <c r="O166">
        <f>MINUTE(M166)</f>
        <v>20</v>
      </c>
      <c r="P166">
        <f>N166*60+O166</f>
        <v>20</v>
      </c>
      <c r="Q166" s="7">
        <f>G166-F166</f>
        <v>3.4722222262644209E-3</v>
      </c>
      <c r="R166">
        <f>HOUR(Q166)</f>
        <v>0</v>
      </c>
      <c r="S166">
        <f>MINUTE(Q166)</f>
        <v>5</v>
      </c>
      <c r="T166">
        <f>R166*60+S166</f>
        <v>5</v>
      </c>
      <c r="U166" s="7">
        <f>H166-G166</f>
        <v>1.0416666664241347E-2</v>
      </c>
      <c r="V166">
        <f>HOUR(U166)</f>
        <v>0</v>
      </c>
      <c r="W166">
        <f>MINUTE(U166)</f>
        <v>15</v>
      </c>
      <c r="X166">
        <f>V166*60+W166</f>
        <v>15</v>
      </c>
      <c r="Y166" s="7">
        <f>I166-H166</f>
        <v>3.4722222262644209E-3</v>
      </c>
      <c r="Z166">
        <f>HOUR(Y166)</f>
        <v>0</v>
      </c>
      <c r="AA166">
        <f>MINUTE(Y166)</f>
        <v>5</v>
      </c>
      <c r="AB166">
        <f>Z166*60+AA166</f>
        <v>5</v>
      </c>
    </row>
    <row r="167" spans="1:28" x14ac:dyDescent="0.25">
      <c r="A167">
        <v>165</v>
      </c>
      <c r="B167" t="s">
        <v>29</v>
      </c>
      <c r="C167">
        <v>1</v>
      </c>
      <c r="D167" t="s">
        <v>30</v>
      </c>
      <c r="E167" s="6">
        <v>46035.288194444445</v>
      </c>
      <c r="F167" s="6">
        <v>46035.354166666664</v>
      </c>
      <c r="G167" s="6">
        <v>46035.357638888891</v>
      </c>
      <c r="H167" s="6">
        <v>46035.375</v>
      </c>
      <c r="I167" s="6">
        <v>46035.381944444445</v>
      </c>
      <c r="J167" s="6">
        <v>46035.385416666664</v>
      </c>
      <c r="K167">
        <v>2.33</v>
      </c>
      <c r="L167" s="6">
        <v>46035.392361111109</v>
      </c>
      <c r="M167" s="7">
        <f>F167-E167</f>
        <v>6.5972222218988463E-2</v>
      </c>
      <c r="N167">
        <f>HOUR(M167)</f>
        <v>1</v>
      </c>
      <c r="O167">
        <f>MINUTE(M167)</f>
        <v>35</v>
      </c>
      <c r="P167">
        <f>N167*60+O167</f>
        <v>95</v>
      </c>
      <c r="Q167" s="7">
        <f>G167-F167</f>
        <v>3.4722222262644209E-3</v>
      </c>
      <c r="R167">
        <f>HOUR(Q167)</f>
        <v>0</v>
      </c>
      <c r="S167">
        <f>MINUTE(Q167)</f>
        <v>5</v>
      </c>
      <c r="T167">
        <f>R167*60+S167</f>
        <v>5</v>
      </c>
      <c r="U167" s="7">
        <f>H167-G167</f>
        <v>1.7361111109494232E-2</v>
      </c>
      <c r="V167">
        <f>HOUR(U167)</f>
        <v>0</v>
      </c>
      <c r="W167">
        <f>MINUTE(U167)</f>
        <v>25</v>
      </c>
      <c r="X167">
        <f>V167*60+W167</f>
        <v>25</v>
      </c>
      <c r="Y167" s="7">
        <f>I167-H167</f>
        <v>6.9444444452528842E-3</v>
      </c>
      <c r="Z167">
        <f>HOUR(Y167)</f>
        <v>0</v>
      </c>
      <c r="AA167">
        <f>MINUTE(Y167)</f>
        <v>10</v>
      </c>
      <c r="AB167">
        <f>Z167*60+AA167</f>
        <v>10</v>
      </c>
    </row>
    <row r="168" spans="1:28" x14ac:dyDescent="0.25">
      <c r="A168">
        <v>166</v>
      </c>
      <c r="B168" t="s">
        <v>29</v>
      </c>
      <c r="C168">
        <v>1</v>
      </c>
      <c r="D168" t="s">
        <v>35</v>
      </c>
      <c r="E168" s="6">
        <v>46035.527777777781</v>
      </c>
      <c r="F168" s="6">
        <v>46035.534722222219</v>
      </c>
      <c r="G168" s="6">
        <v>46035.538194444445</v>
      </c>
      <c r="H168" s="6">
        <v>46035.541666666664</v>
      </c>
      <c r="I168" s="6">
        <v>46035.548611111109</v>
      </c>
      <c r="J168" s="6">
        <v>46035.625</v>
      </c>
      <c r="K168">
        <v>2.33</v>
      </c>
      <c r="L168" s="6">
        <v>46035.631944444445</v>
      </c>
      <c r="M168" s="7">
        <f>F168-E168</f>
        <v>6.9444444379769266E-3</v>
      </c>
      <c r="N168">
        <f>HOUR(M168)</f>
        <v>0</v>
      </c>
      <c r="O168">
        <f>MINUTE(M168)</f>
        <v>10</v>
      </c>
      <c r="P168">
        <f>N168*60+O168</f>
        <v>10</v>
      </c>
      <c r="Q168" s="7">
        <f>G168-F168</f>
        <v>3.4722222262644209E-3</v>
      </c>
      <c r="R168">
        <f>HOUR(Q168)</f>
        <v>0</v>
      </c>
      <c r="S168">
        <f>MINUTE(Q168)</f>
        <v>5</v>
      </c>
      <c r="T168">
        <f>R168*60+S168</f>
        <v>5</v>
      </c>
      <c r="U168" s="7">
        <f>H168-G168</f>
        <v>3.4722222189884633E-3</v>
      </c>
      <c r="V168">
        <f>HOUR(U168)</f>
        <v>0</v>
      </c>
      <c r="W168">
        <f>MINUTE(U168)</f>
        <v>5</v>
      </c>
      <c r="X168">
        <f>V168*60+W168</f>
        <v>5</v>
      </c>
      <c r="Y168" s="7">
        <f>I168-H168</f>
        <v>6.9444444452528842E-3</v>
      </c>
      <c r="Z168">
        <f>HOUR(Y168)</f>
        <v>0</v>
      </c>
      <c r="AA168">
        <f>MINUTE(Y168)</f>
        <v>10</v>
      </c>
      <c r="AB168">
        <f>Z168*60+AA168</f>
        <v>10</v>
      </c>
    </row>
    <row r="169" spans="1:28" x14ac:dyDescent="0.25">
      <c r="A169">
        <v>167</v>
      </c>
      <c r="B169" t="s">
        <v>33</v>
      </c>
      <c r="C169">
        <v>1</v>
      </c>
      <c r="D169" t="s">
        <v>36</v>
      </c>
      <c r="E169" s="6">
        <v>46035.402777777781</v>
      </c>
      <c r="F169" s="6">
        <v>46035.423611111109</v>
      </c>
      <c r="G169" s="6">
        <v>46035.430555555555</v>
      </c>
      <c r="H169" s="6">
        <v>46035.475694444445</v>
      </c>
      <c r="I169" s="6">
        <v>46035.482638888891</v>
      </c>
      <c r="J169" s="6">
        <v>46035.493055555555</v>
      </c>
      <c r="K169">
        <v>2.17</v>
      </c>
      <c r="L169" s="6">
        <v>46035.5</v>
      </c>
      <c r="M169" s="7">
        <f>F169-E169</f>
        <v>2.0833333328482695E-2</v>
      </c>
      <c r="N169">
        <f>HOUR(M169)</f>
        <v>0</v>
      </c>
      <c r="O169">
        <f>MINUTE(M169)</f>
        <v>30</v>
      </c>
      <c r="P169">
        <f>N169*60+O169</f>
        <v>30</v>
      </c>
      <c r="Q169" s="7">
        <f>G169-F169</f>
        <v>6.9444444452528842E-3</v>
      </c>
      <c r="R169">
        <f>HOUR(Q169)</f>
        <v>0</v>
      </c>
      <c r="S169">
        <f>MINUTE(Q169)</f>
        <v>10</v>
      </c>
      <c r="T169">
        <f>R169*60+S169</f>
        <v>10</v>
      </c>
      <c r="U169" s="7">
        <f>H169-G169</f>
        <v>4.5138888890505768E-2</v>
      </c>
      <c r="V169">
        <f>HOUR(U169)</f>
        <v>1</v>
      </c>
      <c r="W169">
        <f>MINUTE(U169)</f>
        <v>5</v>
      </c>
      <c r="X169">
        <f>V169*60+W169</f>
        <v>65</v>
      </c>
      <c r="Y169" s="7">
        <f>I169-H169</f>
        <v>6.9444444452528842E-3</v>
      </c>
      <c r="Z169">
        <f>HOUR(Y169)</f>
        <v>0</v>
      </c>
      <c r="AA169">
        <f>MINUTE(Y169)</f>
        <v>10</v>
      </c>
      <c r="AB169">
        <f>Z169*60+AA169</f>
        <v>10</v>
      </c>
    </row>
    <row r="170" spans="1:28" x14ac:dyDescent="0.25">
      <c r="A170">
        <v>168</v>
      </c>
      <c r="B170" t="s">
        <v>33</v>
      </c>
      <c r="C170">
        <v>1</v>
      </c>
      <c r="D170" t="s">
        <v>36</v>
      </c>
      <c r="E170" s="6">
        <v>46035.270833333336</v>
      </c>
      <c r="F170" s="6">
        <v>46035.305555555555</v>
      </c>
      <c r="G170" s="6">
        <v>46035.319444444445</v>
      </c>
      <c r="H170" s="6">
        <v>46035.34375</v>
      </c>
      <c r="I170" s="6">
        <v>46035.347222222219</v>
      </c>
      <c r="J170" s="6">
        <v>46035.364583333336</v>
      </c>
      <c r="K170">
        <v>2.25</v>
      </c>
      <c r="L170" s="6">
        <v>46035.371527777781</v>
      </c>
      <c r="M170" s="7">
        <f>F170-E170</f>
        <v>3.4722222218988463E-2</v>
      </c>
      <c r="N170">
        <f>HOUR(M170)</f>
        <v>0</v>
      </c>
      <c r="O170">
        <f>MINUTE(M170)</f>
        <v>50</v>
      </c>
      <c r="P170">
        <f>N170*60+O170</f>
        <v>50</v>
      </c>
      <c r="Q170" s="7">
        <f>G170-F170</f>
        <v>1.3888888890505768E-2</v>
      </c>
      <c r="R170">
        <f>HOUR(Q170)</f>
        <v>0</v>
      </c>
      <c r="S170">
        <f>MINUTE(Q170)</f>
        <v>20</v>
      </c>
      <c r="T170">
        <f>R170*60+S170</f>
        <v>20</v>
      </c>
      <c r="U170" s="7">
        <f>H170-G170</f>
        <v>2.4305555554747116E-2</v>
      </c>
      <c r="V170">
        <f>HOUR(U170)</f>
        <v>0</v>
      </c>
      <c r="W170">
        <f>MINUTE(U170)</f>
        <v>35</v>
      </c>
      <c r="X170">
        <f>V170*60+W170</f>
        <v>35</v>
      </c>
      <c r="Y170" s="7">
        <f>I170-H170</f>
        <v>3.4722222189884633E-3</v>
      </c>
      <c r="Z170">
        <f>HOUR(Y170)</f>
        <v>0</v>
      </c>
      <c r="AA170">
        <f>MINUTE(Y170)</f>
        <v>5</v>
      </c>
      <c r="AB170">
        <f>Z170*60+AA170</f>
        <v>5</v>
      </c>
    </row>
    <row r="171" spans="1:28" x14ac:dyDescent="0.25">
      <c r="A171">
        <v>169</v>
      </c>
      <c r="B171" t="s">
        <v>31</v>
      </c>
      <c r="C171">
        <v>1</v>
      </c>
      <c r="D171" t="s">
        <v>30</v>
      </c>
      <c r="E171" s="6">
        <v>46035.28125</v>
      </c>
      <c r="F171" s="6">
        <v>46035.347222222219</v>
      </c>
      <c r="G171" s="6">
        <v>46035.361111111109</v>
      </c>
      <c r="H171" s="6">
        <v>46035.451388888891</v>
      </c>
      <c r="I171" s="6">
        <v>46035.458333333336</v>
      </c>
      <c r="J171" s="6">
        <v>46035.46875</v>
      </c>
      <c r="K171">
        <v>4.5</v>
      </c>
      <c r="L171" s="6">
        <v>46035.475694444445</v>
      </c>
      <c r="M171" s="7">
        <f>F171-E171</f>
        <v>6.5972222218988463E-2</v>
      </c>
      <c r="N171">
        <f>HOUR(M171)</f>
        <v>1</v>
      </c>
      <c r="O171">
        <f>MINUTE(M171)</f>
        <v>35</v>
      </c>
      <c r="P171">
        <f>N171*60+O171</f>
        <v>95</v>
      </c>
      <c r="Q171" s="7">
        <f>G171-F171</f>
        <v>1.3888888890505768E-2</v>
      </c>
      <c r="R171">
        <f>HOUR(Q171)</f>
        <v>0</v>
      </c>
      <c r="S171">
        <f>MINUTE(Q171)</f>
        <v>20</v>
      </c>
      <c r="T171">
        <f>R171*60+S171</f>
        <v>20</v>
      </c>
      <c r="U171" s="7">
        <f>H171-G171</f>
        <v>9.0277777781011537E-2</v>
      </c>
      <c r="V171">
        <f>HOUR(U171)</f>
        <v>2</v>
      </c>
      <c r="W171">
        <f>MINUTE(U171)</f>
        <v>10</v>
      </c>
      <c r="X171">
        <f>V171*60+W171</f>
        <v>130</v>
      </c>
      <c r="Y171" s="7">
        <f>I171-H171</f>
        <v>6.9444444452528842E-3</v>
      </c>
      <c r="Z171">
        <f>HOUR(Y171)</f>
        <v>0</v>
      </c>
      <c r="AA171">
        <f>MINUTE(Y171)</f>
        <v>10</v>
      </c>
      <c r="AB171">
        <f>Z171*60+AA171</f>
        <v>10</v>
      </c>
    </row>
    <row r="172" spans="1:28" x14ac:dyDescent="0.25">
      <c r="A172">
        <v>170</v>
      </c>
      <c r="B172" t="s">
        <v>29</v>
      </c>
      <c r="C172">
        <v>1</v>
      </c>
      <c r="D172" t="s">
        <v>34</v>
      </c>
      <c r="E172" s="6">
        <v>46035.25</v>
      </c>
      <c r="F172" s="6">
        <v>46035.267361111109</v>
      </c>
      <c r="G172" s="6">
        <v>46035.270833333336</v>
      </c>
      <c r="H172" s="6">
        <v>46035.277777777781</v>
      </c>
      <c r="I172" s="6">
        <v>46035.284722222219</v>
      </c>
      <c r="J172" s="6">
        <v>46035.288194444445</v>
      </c>
      <c r="K172">
        <v>0.92</v>
      </c>
      <c r="L172" s="6">
        <v>46035.295138888891</v>
      </c>
      <c r="M172" s="7">
        <f>F172-E172</f>
        <v>1.7361111109494232E-2</v>
      </c>
      <c r="N172">
        <f>HOUR(M172)</f>
        <v>0</v>
      </c>
      <c r="O172">
        <f>MINUTE(M172)</f>
        <v>25</v>
      </c>
      <c r="P172">
        <f>N172*60+O172</f>
        <v>25</v>
      </c>
      <c r="Q172" s="7">
        <f>G172-F172</f>
        <v>3.4722222262644209E-3</v>
      </c>
      <c r="R172">
        <f>HOUR(Q172)</f>
        <v>0</v>
      </c>
      <c r="S172">
        <f>MINUTE(Q172)</f>
        <v>5</v>
      </c>
      <c r="T172">
        <f>R172*60+S172</f>
        <v>5</v>
      </c>
      <c r="U172" s="7">
        <f>H172-G172</f>
        <v>6.9444444452528842E-3</v>
      </c>
      <c r="V172">
        <f>HOUR(U172)</f>
        <v>0</v>
      </c>
      <c r="W172">
        <f>MINUTE(U172)</f>
        <v>10</v>
      </c>
      <c r="X172">
        <f>V172*60+W172</f>
        <v>10</v>
      </c>
      <c r="Y172" s="7">
        <f>I172-H172</f>
        <v>6.9444444379769266E-3</v>
      </c>
      <c r="Z172">
        <f>HOUR(Y172)</f>
        <v>0</v>
      </c>
      <c r="AA172">
        <f>MINUTE(Y172)</f>
        <v>10</v>
      </c>
      <c r="AB172">
        <f>Z172*60+AA172</f>
        <v>10</v>
      </c>
    </row>
    <row r="173" spans="1:28" x14ac:dyDescent="0.25">
      <c r="A173">
        <v>171</v>
      </c>
      <c r="B173" t="s">
        <v>29</v>
      </c>
      <c r="C173">
        <v>1</v>
      </c>
      <c r="D173" t="s">
        <v>32</v>
      </c>
      <c r="E173" s="6">
        <v>46035.444444444445</v>
      </c>
      <c r="F173" s="6">
        <v>46035.451388888891</v>
      </c>
      <c r="G173" s="6">
        <v>46035.458333333336</v>
      </c>
      <c r="H173" s="6">
        <v>46035.465277777781</v>
      </c>
      <c r="I173" s="6">
        <v>46035.472222222219</v>
      </c>
      <c r="J173" s="6">
        <v>46035.486111111109</v>
      </c>
      <c r="K173">
        <v>1</v>
      </c>
      <c r="L173" s="6">
        <v>46035.493055555555</v>
      </c>
      <c r="M173" s="7">
        <f>F173-E173</f>
        <v>6.9444444452528842E-3</v>
      </c>
      <c r="N173">
        <f>HOUR(M173)</f>
        <v>0</v>
      </c>
      <c r="O173">
        <f>MINUTE(M173)</f>
        <v>10</v>
      </c>
      <c r="P173">
        <f>N173*60+O173</f>
        <v>10</v>
      </c>
      <c r="Q173" s="7">
        <f>G173-F173</f>
        <v>6.9444444452528842E-3</v>
      </c>
      <c r="R173">
        <f>HOUR(Q173)</f>
        <v>0</v>
      </c>
      <c r="S173">
        <f>MINUTE(Q173)</f>
        <v>10</v>
      </c>
      <c r="T173">
        <f>R173*60+S173</f>
        <v>10</v>
      </c>
      <c r="U173" s="7">
        <f>H173-G173</f>
        <v>6.9444444452528842E-3</v>
      </c>
      <c r="V173">
        <f>HOUR(U173)</f>
        <v>0</v>
      </c>
      <c r="W173">
        <f>MINUTE(U173)</f>
        <v>10</v>
      </c>
      <c r="X173">
        <f>V173*60+W173</f>
        <v>10</v>
      </c>
      <c r="Y173" s="7">
        <f>I173-H173</f>
        <v>6.9444444379769266E-3</v>
      </c>
      <c r="Z173">
        <f>HOUR(Y173)</f>
        <v>0</v>
      </c>
      <c r="AA173">
        <f>MINUTE(Y173)</f>
        <v>10</v>
      </c>
      <c r="AB173">
        <f>Z173*60+AA173</f>
        <v>10</v>
      </c>
    </row>
    <row r="174" spans="1:28" x14ac:dyDescent="0.25">
      <c r="A174">
        <v>172</v>
      </c>
      <c r="B174" t="s">
        <v>29</v>
      </c>
      <c r="C174">
        <v>1</v>
      </c>
      <c r="D174" t="s">
        <v>36</v>
      </c>
      <c r="E174" s="6">
        <v>46035.548611111109</v>
      </c>
      <c r="F174" s="6">
        <v>46035.5625</v>
      </c>
      <c r="G174" s="6">
        <v>46035.576388888891</v>
      </c>
      <c r="H174" s="6">
        <v>46035.590277777781</v>
      </c>
      <c r="I174" s="6">
        <v>46035.59097222222</v>
      </c>
      <c r="J174" s="6">
        <v>46035.604166666664</v>
      </c>
      <c r="K174">
        <v>1.33</v>
      </c>
      <c r="L174" s="6">
        <v>46035.605555555558</v>
      </c>
      <c r="M174" s="7">
        <f>F174-E174</f>
        <v>1.3888888890505768E-2</v>
      </c>
      <c r="N174">
        <f>HOUR(M174)</f>
        <v>0</v>
      </c>
      <c r="O174">
        <f>MINUTE(M174)</f>
        <v>20</v>
      </c>
      <c r="P174">
        <f>N174*60+O174</f>
        <v>20</v>
      </c>
      <c r="Q174" s="7">
        <f>G174-F174</f>
        <v>1.3888888890505768E-2</v>
      </c>
      <c r="R174">
        <f>HOUR(Q174)</f>
        <v>0</v>
      </c>
      <c r="S174">
        <f>MINUTE(Q174)</f>
        <v>20</v>
      </c>
      <c r="T174">
        <f>R174*60+S174</f>
        <v>20</v>
      </c>
      <c r="U174" s="7">
        <f>H174-G174</f>
        <v>1.3888888890505768E-2</v>
      </c>
      <c r="V174">
        <f>HOUR(U174)</f>
        <v>0</v>
      </c>
      <c r="W174">
        <f>MINUTE(U174)</f>
        <v>20</v>
      </c>
      <c r="X174">
        <f>V174*60+W174</f>
        <v>20</v>
      </c>
      <c r="Y174" s="7">
        <f>I174-H174</f>
        <v>6.9444443943211809E-4</v>
      </c>
      <c r="Z174">
        <f>HOUR(Y174)</f>
        <v>0</v>
      </c>
      <c r="AA174">
        <f>MINUTE(Y174)</f>
        <v>1</v>
      </c>
      <c r="AB174">
        <f>Z174*60+AA174</f>
        <v>1</v>
      </c>
    </row>
    <row r="175" spans="1:28" x14ac:dyDescent="0.25">
      <c r="A175">
        <v>173</v>
      </c>
      <c r="B175" t="s">
        <v>29</v>
      </c>
      <c r="C175">
        <v>1</v>
      </c>
      <c r="D175" t="s">
        <v>36</v>
      </c>
      <c r="E175" s="6">
        <v>46035.652777777781</v>
      </c>
      <c r="F175" s="6">
        <v>46035.659722222219</v>
      </c>
      <c r="G175" s="6">
        <v>46035.680555555555</v>
      </c>
      <c r="H175" s="6">
        <v>46035.6875</v>
      </c>
      <c r="I175" s="6">
        <v>46035.694444444445</v>
      </c>
      <c r="J175" s="6">
        <v>46035.695833333331</v>
      </c>
      <c r="K175">
        <v>1.03</v>
      </c>
      <c r="L175" s="6">
        <v>46035.697916666664</v>
      </c>
      <c r="M175" s="7">
        <f>F175-E175</f>
        <v>6.9444444379769266E-3</v>
      </c>
      <c r="N175">
        <f>HOUR(M175)</f>
        <v>0</v>
      </c>
      <c r="O175">
        <f>MINUTE(M175)</f>
        <v>10</v>
      </c>
      <c r="P175">
        <f>N175*60+O175</f>
        <v>10</v>
      </c>
      <c r="Q175" s="7">
        <f>G175-F175</f>
        <v>2.0833333335758653E-2</v>
      </c>
      <c r="R175">
        <f>HOUR(Q175)</f>
        <v>0</v>
      </c>
      <c r="S175">
        <f>MINUTE(Q175)</f>
        <v>30</v>
      </c>
      <c r="T175">
        <f>R175*60+S175</f>
        <v>30</v>
      </c>
      <c r="U175" s="7">
        <f>H175-G175</f>
        <v>6.9444444452528842E-3</v>
      </c>
      <c r="V175">
        <f>HOUR(U175)</f>
        <v>0</v>
      </c>
      <c r="W175">
        <f>MINUTE(U175)</f>
        <v>10</v>
      </c>
      <c r="X175">
        <f>V175*60+W175</f>
        <v>10</v>
      </c>
      <c r="Y175" s="7">
        <f>I175-H175</f>
        <v>6.9444444452528842E-3</v>
      </c>
      <c r="Z175">
        <f>HOUR(Y175)</f>
        <v>0</v>
      </c>
      <c r="AA175">
        <f>MINUTE(Y175)</f>
        <v>10</v>
      </c>
      <c r="AB175">
        <f>Z175*60+AA175</f>
        <v>10</v>
      </c>
    </row>
    <row r="176" spans="1:28" x14ac:dyDescent="0.25">
      <c r="A176">
        <v>174</v>
      </c>
      <c r="B176" t="s">
        <v>29</v>
      </c>
      <c r="C176">
        <v>1</v>
      </c>
      <c r="D176" t="s">
        <v>37</v>
      </c>
      <c r="E176" s="6">
        <v>46036.25</v>
      </c>
      <c r="F176" s="6">
        <v>46036.263888888891</v>
      </c>
      <c r="G176" s="6">
        <v>46036.277777777781</v>
      </c>
      <c r="H176" s="6">
        <v>46036.318055555559</v>
      </c>
      <c r="I176" s="6">
        <v>46036.324999999997</v>
      </c>
      <c r="J176" s="6">
        <v>46036.344444444447</v>
      </c>
      <c r="K176">
        <v>2.27</v>
      </c>
      <c r="L176" s="6">
        <v>46036.345138888886</v>
      </c>
      <c r="M176" s="7">
        <f>F176-E176</f>
        <v>1.3888888890505768E-2</v>
      </c>
      <c r="N176">
        <f>HOUR(M176)</f>
        <v>0</v>
      </c>
      <c r="O176">
        <f>MINUTE(M176)</f>
        <v>20</v>
      </c>
      <c r="P176">
        <f>N176*60+O176</f>
        <v>20</v>
      </c>
      <c r="Q176" s="7">
        <f>G176-F176</f>
        <v>1.3888888890505768E-2</v>
      </c>
      <c r="R176">
        <f>HOUR(Q176)</f>
        <v>0</v>
      </c>
      <c r="S176">
        <f>MINUTE(Q176)</f>
        <v>20</v>
      </c>
      <c r="T176">
        <f>R176*60+S176</f>
        <v>20</v>
      </c>
      <c r="U176" s="7">
        <f>H176-G176</f>
        <v>4.0277777778101154E-2</v>
      </c>
      <c r="V176">
        <f>HOUR(U176)</f>
        <v>0</v>
      </c>
      <c r="W176">
        <f>MINUTE(U176)</f>
        <v>58</v>
      </c>
      <c r="X176">
        <f>V176*60+W176</f>
        <v>58</v>
      </c>
      <c r="Y176" s="7">
        <f>I176-H176</f>
        <v>6.9444444379769266E-3</v>
      </c>
      <c r="Z176">
        <f>HOUR(Y176)</f>
        <v>0</v>
      </c>
      <c r="AA176">
        <f>MINUTE(Y176)</f>
        <v>10</v>
      </c>
      <c r="AB176">
        <f>Z176*60+AA176</f>
        <v>10</v>
      </c>
    </row>
    <row r="177" spans="1:28" x14ac:dyDescent="0.25">
      <c r="A177">
        <v>175</v>
      </c>
      <c r="B177" t="s">
        <v>33</v>
      </c>
      <c r="C177">
        <v>1</v>
      </c>
      <c r="D177" t="s">
        <v>30</v>
      </c>
      <c r="E177" s="6">
        <v>46034.930555555555</v>
      </c>
      <c r="F177" s="6">
        <v>46034.9375</v>
      </c>
      <c r="G177" s="6">
        <v>46034.947916666664</v>
      </c>
      <c r="H177" s="6">
        <v>46035.083333333336</v>
      </c>
      <c r="I177" s="6">
        <v>46035.084027777775</v>
      </c>
      <c r="J177" s="6">
        <v>46035.090277777781</v>
      </c>
      <c r="K177">
        <v>3.83</v>
      </c>
      <c r="L177" s="6">
        <v>46035.097222222219</v>
      </c>
      <c r="M177" s="7">
        <f>F177-E177</f>
        <v>6.9444444452528842E-3</v>
      </c>
      <c r="N177">
        <f>HOUR(M177)</f>
        <v>0</v>
      </c>
      <c r="O177">
        <f>MINUTE(M177)</f>
        <v>10</v>
      </c>
      <c r="P177">
        <f>N177*60+O177</f>
        <v>10</v>
      </c>
      <c r="Q177" s="7">
        <f>G177-F177</f>
        <v>1.0416666664241347E-2</v>
      </c>
      <c r="R177">
        <f>HOUR(Q177)</f>
        <v>0</v>
      </c>
      <c r="S177">
        <f>MINUTE(Q177)</f>
        <v>15</v>
      </c>
      <c r="T177">
        <f>R177*60+S177</f>
        <v>15</v>
      </c>
      <c r="U177" s="7">
        <f>H177-G177</f>
        <v>0.13541666667151731</v>
      </c>
      <c r="V177">
        <f>HOUR(U177)</f>
        <v>3</v>
      </c>
      <c r="W177">
        <f>MINUTE(U177)</f>
        <v>15</v>
      </c>
      <c r="X177">
        <f>V177*60+W177</f>
        <v>195</v>
      </c>
      <c r="Y177" s="7">
        <f>I177-H177</f>
        <v>6.9444443943211809E-4</v>
      </c>
      <c r="Z177">
        <f>HOUR(Y177)</f>
        <v>0</v>
      </c>
      <c r="AA177">
        <f>MINUTE(Y177)</f>
        <v>1</v>
      </c>
      <c r="AB177">
        <f>Z177*60+AA177</f>
        <v>1</v>
      </c>
    </row>
    <row r="178" spans="1:28" x14ac:dyDescent="0.25">
      <c r="A178">
        <v>176</v>
      </c>
      <c r="B178" t="s">
        <v>31</v>
      </c>
      <c r="C178">
        <v>1</v>
      </c>
      <c r="D178" t="s">
        <v>30</v>
      </c>
      <c r="E178" s="6">
        <v>46034.930555555555</v>
      </c>
      <c r="F178" s="6">
        <v>46034.9375</v>
      </c>
      <c r="G178" s="6">
        <v>46034.947916666664</v>
      </c>
      <c r="H178" s="6">
        <v>46035.083333333336</v>
      </c>
      <c r="I178" s="6">
        <v>46035.084027777775</v>
      </c>
      <c r="J178" s="6">
        <v>46035.090277777781</v>
      </c>
      <c r="K178">
        <v>3.83</v>
      </c>
      <c r="L178" s="6">
        <v>46035.097222222219</v>
      </c>
      <c r="M178" s="7">
        <f>F178-E178</f>
        <v>6.9444444452528842E-3</v>
      </c>
      <c r="N178">
        <f>HOUR(M178)</f>
        <v>0</v>
      </c>
      <c r="O178">
        <f>MINUTE(M178)</f>
        <v>10</v>
      </c>
      <c r="P178">
        <f>N178*60+O178</f>
        <v>10</v>
      </c>
      <c r="Q178" s="7">
        <f>G178-F178</f>
        <v>1.0416666664241347E-2</v>
      </c>
      <c r="R178">
        <f>HOUR(Q178)</f>
        <v>0</v>
      </c>
      <c r="S178">
        <f>MINUTE(Q178)</f>
        <v>15</v>
      </c>
      <c r="T178">
        <f>R178*60+S178</f>
        <v>15</v>
      </c>
      <c r="U178" s="7">
        <f>H178-G178</f>
        <v>0.13541666667151731</v>
      </c>
      <c r="V178">
        <f>HOUR(U178)</f>
        <v>3</v>
      </c>
      <c r="W178">
        <f>MINUTE(U178)</f>
        <v>15</v>
      </c>
      <c r="X178">
        <f>V178*60+W178</f>
        <v>195</v>
      </c>
      <c r="Y178" s="7">
        <f>I178-H178</f>
        <v>6.9444443943211809E-4</v>
      </c>
      <c r="Z178">
        <f>HOUR(Y178)</f>
        <v>0</v>
      </c>
      <c r="AA178">
        <f>MINUTE(Y178)</f>
        <v>1</v>
      </c>
      <c r="AB178">
        <f>Z178*60+AA178</f>
        <v>1</v>
      </c>
    </row>
    <row r="179" spans="1:28" x14ac:dyDescent="0.25">
      <c r="A179">
        <v>177</v>
      </c>
      <c r="B179" t="s">
        <v>29</v>
      </c>
      <c r="C179">
        <v>1</v>
      </c>
      <c r="D179" t="s">
        <v>30</v>
      </c>
      <c r="E179" s="6">
        <v>46034.976388888892</v>
      </c>
      <c r="F179" s="6">
        <v>46034.979166666664</v>
      </c>
      <c r="G179" s="6">
        <v>46034.986111111109</v>
      </c>
      <c r="H179" s="6">
        <v>46035</v>
      </c>
      <c r="I179" s="6">
        <v>46035.006944444445</v>
      </c>
      <c r="J179" s="6">
        <v>46035.010416666664</v>
      </c>
      <c r="K179">
        <v>0.82</v>
      </c>
      <c r="L179" s="6">
        <v>46035.017361111109</v>
      </c>
      <c r="M179" s="7">
        <f>F179-E179</f>
        <v>2.7777777722803876E-3</v>
      </c>
      <c r="N179">
        <f>HOUR(M179)</f>
        <v>0</v>
      </c>
      <c r="O179">
        <f>MINUTE(M179)</f>
        <v>4</v>
      </c>
      <c r="P179">
        <f>N179*60+O179</f>
        <v>4</v>
      </c>
      <c r="Q179" s="7">
        <f>G179-F179</f>
        <v>6.9444444452528842E-3</v>
      </c>
      <c r="R179">
        <f>HOUR(Q179)</f>
        <v>0</v>
      </c>
      <c r="S179">
        <f>MINUTE(Q179)</f>
        <v>10</v>
      </c>
      <c r="T179">
        <f>R179*60+S179</f>
        <v>10</v>
      </c>
      <c r="U179" s="7">
        <f>H179-G179</f>
        <v>1.3888888890505768E-2</v>
      </c>
      <c r="V179">
        <f>HOUR(U179)</f>
        <v>0</v>
      </c>
      <c r="W179">
        <f>MINUTE(U179)</f>
        <v>20</v>
      </c>
      <c r="X179">
        <f>V179*60+W179</f>
        <v>20</v>
      </c>
      <c r="Y179" s="7">
        <f>I179-H179</f>
        <v>6.9444444452528842E-3</v>
      </c>
      <c r="Z179">
        <f>HOUR(Y179)</f>
        <v>0</v>
      </c>
      <c r="AA179">
        <f>MINUTE(Y179)</f>
        <v>10</v>
      </c>
      <c r="AB179">
        <f>Z179*60+AA179</f>
        <v>10</v>
      </c>
    </row>
    <row r="180" spans="1:28" x14ac:dyDescent="0.25">
      <c r="A180">
        <v>178</v>
      </c>
      <c r="B180" t="s">
        <v>29</v>
      </c>
      <c r="C180">
        <v>1</v>
      </c>
      <c r="D180" t="s">
        <v>30</v>
      </c>
      <c r="E180" s="6">
        <v>46035.6875</v>
      </c>
      <c r="F180" s="6">
        <v>46035.694444444445</v>
      </c>
      <c r="G180" s="6">
        <v>46035.701388888891</v>
      </c>
      <c r="H180" s="6">
        <v>46035.722222222219</v>
      </c>
      <c r="I180" s="6">
        <v>46035.725694444445</v>
      </c>
      <c r="J180" s="6">
        <v>46035.732638888891</v>
      </c>
      <c r="K180">
        <v>1.08</v>
      </c>
      <c r="L180" s="6">
        <v>46035.739583333336</v>
      </c>
      <c r="M180" s="7">
        <f>F180-E180</f>
        <v>6.9444444452528842E-3</v>
      </c>
      <c r="N180">
        <f>HOUR(M180)</f>
        <v>0</v>
      </c>
      <c r="O180">
        <f>MINUTE(M180)</f>
        <v>10</v>
      </c>
      <c r="P180">
        <f>N180*60+O180</f>
        <v>10</v>
      </c>
      <c r="Q180" s="7">
        <f>G180-F180</f>
        <v>6.9444444452528842E-3</v>
      </c>
      <c r="R180">
        <f>HOUR(Q180)</f>
        <v>0</v>
      </c>
      <c r="S180">
        <f>MINUTE(Q180)</f>
        <v>10</v>
      </c>
      <c r="T180">
        <f>R180*60+S180</f>
        <v>10</v>
      </c>
      <c r="U180" s="7">
        <f>H180-G180</f>
        <v>2.0833333328482695E-2</v>
      </c>
      <c r="V180">
        <f>HOUR(U180)</f>
        <v>0</v>
      </c>
      <c r="W180">
        <f>MINUTE(U180)</f>
        <v>30</v>
      </c>
      <c r="X180">
        <f>V180*60+W180</f>
        <v>30</v>
      </c>
      <c r="Y180" s="7">
        <f>I180-H180</f>
        <v>3.4722222262644209E-3</v>
      </c>
      <c r="Z180">
        <f>HOUR(Y180)</f>
        <v>0</v>
      </c>
      <c r="AA180">
        <f>MINUTE(Y180)</f>
        <v>5</v>
      </c>
      <c r="AB180">
        <f>Z180*60+AA180</f>
        <v>5</v>
      </c>
    </row>
    <row r="181" spans="1:28" x14ac:dyDescent="0.25">
      <c r="A181">
        <v>179</v>
      </c>
      <c r="B181" t="s">
        <v>33</v>
      </c>
      <c r="C181">
        <v>1</v>
      </c>
      <c r="D181" t="s">
        <v>37</v>
      </c>
      <c r="E181" s="6">
        <v>46035.448611111111</v>
      </c>
      <c r="F181" s="6">
        <v>46035.451388888891</v>
      </c>
      <c r="G181" s="6">
        <v>46035.472222222219</v>
      </c>
      <c r="H181" s="6">
        <v>46035.5625</v>
      </c>
      <c r="I181" s="6">
        <v>46035.618055555555</v>
      </c>
      <c r="J181" s="6">
        <v>46035.621527777781</v>
      </c>
      <c r="K181">
        <v>4.1500000000000004</v>
      </c>
      <c r="L181" s="6">
        <v>46035.628472222219</v>
      </c>
      <c r="M181" s="7">
        <f>F181-E181</f>
        <v>2.7777777795563452E-3</v>
      </c>
      <c r="N181">
        <f>HOUR(M181)</f>
        <v>0</v>
      </c>
      <c r="O181">
        <f>MINUTE(M181)</f>
        <v>4</v>
      </c>
      <c r="P181">
        <f>N181*60+O181</f>
        <v>4</v>
      </c>
      <c r="Q181" s="7">
        <f>G181-F181</f>
        <v>2.0833333328482695E-2</v>
      </c>
      <c r="R181">
        <f>HOUR(Q181)</f>
        <v>0</v>
      </c>
      <c r="S181">
        <f>MINUTE(Q181)</f>
        <v>30</v>
      </c>
      <c r="T181">
        <f>R181*60+S181</f>
        <v>30</v>
      </c>
      <c r="U181" s="7">
        <f>H181-G181</f>
        <v>9.0277777781011537E-2</v>
      </c>
      <c r="V181">
        <f>HOUR(U181)</f>
        <v>2</v>
      </c>
      <c r="W181">
        <f>MINUTE(U181)</f>
        <v>10</v>
      </c>
      <c r="X181">
        <f>V181*60+W181</f>
        <v>130</v>
      </c>
      <c r="Y181" s="7">
        <f>I181-H181</f>
        <v>5.5555555554747116E-2</v>
      </c>
      <c r="Z181">
        <f>HOUR(Y181)</f>
        <v>1</v>
      </c>
      <c r="AA181">
        <f>MINUTE(Y181)</f>
        <v>20</v>
      </c>
      <c r="AB181">
        <f>Z181*60+AA181</f>
        <v>80</v>
      </c>
    </row>
    <row r="182" spans="1:28" x14ac:dyDescent="0.25">
      <c r="A182">
        <v>180</v>
      </c>
      <c r="B182" t="s">
        <v>31</v>
      </c>
      <c r="C182">
        <v>1</v>
      </c>
      <c r="D182" t="s">
        <v>34</v>
      </c>
      <c r="E182" s="6">
        <v>46035.586805555555</v>
      </c>
      <c r="F182" s="6">
        <v>46035.600694444445</v>
      </c>
      <c r="G182" s="6">
        <v>46035.625</v>
      </c>
      <c r="H182" s="6">
        <v>46035.826388888891</v>
      </c>
      <c r="I182" s="6">
        <v>46035.833333333336</v>
      </c>
      <c r="J182" s="6">
        <v>46035.9375</v>
      </c>
      <c r="K182">
        <v>8.42</v>
      </c>
      <c r="L182" s="6">
        <v>46035.944444444445</v>
      </c>
      <c r="M182" s="7">
        <f>F182-E182</f>
        <v>1.3888888890505768E-2</v>
      </c>
      <c r="N182">
        <f>HOUR(M182)</f>
        <v>0</v>
      </c>
      <c r="O182">
        <f>MINUTE(M182)</f>
        <v>20</v>
      </c>
      <c r="P182">
        <f>N182*60+O182</f>
        <v>20</v>
      </c>
      <c r="Q182" s="7">
        <f>G182-F182</f>
        <v>2.4305555554747116E-2</v>
      </c>
      <c r="R182">
        <f>HOUR(Q182)</f>
        <v>0</v>
      </c>
      <c r="S182">
        <f>MINUTE(Q182)</f>
        <v>35</v>
      </c>
      <c r="T182">
        <f>R182*60+S182</f>
        <v>35</v>
      </c>
      <c r="U182" s="7">
        <f>H182-G182</f>
        <v>0.20138888889050577</v>
      </c>
      <c r="V182">
        <f>HOUR(U182)</f>
        <v>4</v>
      </c>
      <c r="W182">
        <f>MINUTE(U182)</f>
        <v>50</v>
      </c>
      <c r="X182">
        <f>V182*60+W182</f>
        <v>290</v>
      </c>
      <c r="Y182" s="7">
        <f>I182-H182</f>
        <v>6.9444444452528842E-3</v>
      </c>
      <c r="Z182">
        <f>HOUR(Y182)</f>
        <v>0</v>
      </c>
      <c r="AA182">
        <f>MINUTE(Y182)</f>
        <v>10</v>
      </c>
      <c r="AB182">
        <f>Z182*60+AA182</f>
        <v>10</v>
      </c>
    </row>
    <row r="183" spans="1:28" x14ac:dyDescent="0.25">
      <c r="A183">
        <v>181</v>
      </c>
      <c r="B183" t="s">
        <v>29</v>
      </c>
      <c r="C183">
        <v>1</v>
      </c>
      <c r="D183" t="s">
        <v>32</v>
      </c>
      <c r="E183" s="6">
        <v>46037.28125</v>
      </c>
      <c r="F183" s="6">
        <v>46037.326388888891</v>
      </c>
      <c r="G183" s="6">
        <v>46037.336805555555</v>
      </c>
      <c r="H183" s="6">
        <v>46037.356249999997</v>
      </c>
      <c r="I183" s="6">
        <v>46037.363194444442</v>
      </c>
      <c r="J183" s="6">
        <v>46037.364583333336</v>
      </c>
      <c r="K183">
        <v>2</v>
      </c>
      <c r="L183" s="6">
        <v>46037.371527777781</v>
      </c>
      <c r="M183" s="7">
        <f>F183-E183</f>
        <v>4.5138888890505768E-2</v>
      </c>
      <c r="N183">
        <f>HOUR(M183)</f>
        <v>1</v>
      </c>
      <c r="O183">
        <f>MINUTE(M183)</f>
        <v>5</v>
      </c>
      <c r="P183">
        <f>N183*60+O183</f>
        <v>65</v>
      </c>
      <c r="Q183" s="7">
        <f>G183-F183</f>
        <v>1.0416666664241347E-2</v>
      </c>
      <c r="R183">
        <f>HOUR(Q183)</f>
        <v>0</v>
      </c>
      <c r="S183">
        <f>MINUTE(Q183)</f>
        <v>15</v>
      </c>
      <c r="T183">
        <f>R183*60+S183</f>
        <v>15</v>
      </c>
      <c r="U183" s="7">
        <f>H183-G183</f>
        <v>1.9444444442342501E-2</v>
      </c>
      <c r="V183">
        <f>HOUR(U183)</f>
        <v>0</v>
      </c>
      <c r="W183">
        <f>MINUTE(U183)</f>
        <v>28</v>
      </c>
      <c r="X183">
        <f>V183*60+W183</f>
        <v>28</v>
      </c>
      <c r="Y183" s="7">
        <f>I183-H183</f>
        <v>6.9444444452528842E-3</v>
      </c>
      <c r="Z183">
        <f>HOUR(Y183)</f>
        <v>0</v>
      </c>
      <c r="AA183">
        <f>MINUTE(Y183)</f>
        <v>10</v>
      </c>
      <c r="AB183">
        <f>Z183*60+AA183</f>
        <v>10</v>
      </c>
    </row>
    <row r="184" spans="1:28" x14ac:dyDescent="0.25">
      <c r="A184">
        <v>182</v>
      </c>
      <c r="B184" t="s">
        <v>29</v>
      </c>
      <c r="C184">
        <v>1</v>
      </c>
      <c r="D184" t="s">
        <v>30</v>
      </c>
      <c r="E184" s="6">
        <v>46036.663194444445</v>
      </c>
      <c r="F184" s="6">
        <v>46036.673611111109</v>
      </c>
      <c r="G184" s="6">
        <v>46036.690972222219</v>
      </c>
      <c r="H184" s="6">
        <v>46036.786805555559</v>
      </c>
      <c r="I184" s="6">
        <v>46036.793749999997</v>
      </c>
      <c r="J184" s="6">
        <v>46036.798611111109</v>
      </c>
      <c r="K184">
        <v>3.25</v>
      </c>
      <c r="L184" s="6">
        <v>46036.805555555555</v>
      </c>
      <c r="M184" s="7">
        <f>F184-E184</f>
        <v>1.0416666664241347E-2</v>
      </c>
      <c r="N184">
        <f>HOUR(M184)</f>
        <v>0</v>
      </c>
      <c r="O184">
        <f>MINUTE(M184)</f>
        <v>15</v>
      </c>
      <c r="P184">
        <f>N184*60+O184</f>
        <v>15</v>
      </c>
      <c r="Q184" s="7">
        <f>G184-F184</f>
        <v>1.7361111109494232E-2</v>
      </c>
      <c r="R184">
        <f>HOUR(Q184)</f>
        <v>0</v>
      </c>
      <c r="S184">
        <f>MINUTE(Q184)</f>
        <v>25</v>
      </c>
      <c r="T184">
        <f>R184*60+S184</f>
        <v>25</v>
      </c>
      <c r="U184" s="7">
        <f>H184-G184</f>
        <v>9.5833333340124227E-2</v>
      </c>
      <c r="V184">
        <f>HOUR(U184)</f>
        <v>2</v>
      </c>
      <c r="W184">
        <f>MINUTE(U184)</f>
        <v>18</v>
      </c>
      <c r="X184">
        <f>V184*60+W184</f>
        <v>138</v>
      </c>
      <c r="Y184" s="7">
        <f>I184-H184</f>
        <v>6.9444444379769266E-3</v>
      </c>
      <c r="Z184">
        <f>HOUR(Y184)</f>
        <v>0</v>
      </c>
      <c r="AA184">
        <f>MINUTE(Y184)</f>
        <v>10</v>
      </c>
      <c r="AB184">
        <f>Z184*60+AA184</f>
        <v>10</v>
      </c>
    </row>
    <row r="185" spans="1:28" x14ac:dyDescent="0.25">
      <c r="A185">
        <v>183</v>
      </c>
      <c r="B185" t="s">
        <v>29</v>
      </c>
      <c r="C185">
        <v>1</v>
      </c>
      <c r="D185" t="s">
        <v>34</v>
      </c>
      <c r="E185" s="6">
        <v>46036.547222222223</v>
      </c>
      <c r="F185" s="6">
        <v>46036.569444444445</v>
      </c>
      <c r="G185" s="6">
        <v>46036.579861111109</v>
      </c>
      <c r="H185" s="6">
        <v>46036.618055555555</v>
      </c>
      <c r="I185" s="6">
        <v>46036.625</v>
      </c>
      <c r="J185" s="6">
        <v>46036.629861111112</v>
      </c>
      <c r="K185">
        <v>1.98</v>
      </c>
      <c r="L185" s="6">
        <v>46036.636805555558</v>
      </c>
      <c r="M185" s="7">
        <f>F185-E185</f>
        <v>2.2222222221898846E-2</v>
      </c>
      <c r="N185">
        <f>HOUR(M185)</f>
        <v>0</v>
      </c>
      <c r="O185">
        <f>MINUTE(M185)</f>
        <v>32</v>
      </c>
      <c r="P185">
        <f>N185*60+O185</f>
        <v>32</v>
      </c>
      <c r="Q185" s="7">
        <f>G185-F185</f>
        <v>1.0416666664241347E-2</v>
      </c>
      <c r="R185">
        <f>HOUR(Q185)</f>
        <v>0</v>
      </c>
      <c r="S185">
        <f>MINUTE(Q185)</f>
        <v>15</v>
      </c>
      <c r="T185">
        <f>R185*60+S185</f>
        <v>15</v>
      </c>
      <c r="U185" s="7">
        <f>H185-G185</f>
        <v>3.8194444445252884E-2</v>
      </c>
      <c r="V185">
        <f>HOUR(U185)</f>
        <v>0</v>
      </c>
      <c r="W185">
        <f>MINUTE(U185)</f>
        <v>55</v>
      </c>
      <c r="X185">
        <f>V185*60+W185</f>
        <v>55</v>
      </c>
      <c r="Y185" s="7">
        <f>I185-H185</f>
        <v>6.9444444452528842E-3</v>
      </c>
      <c r="Z185">
        <f>HOUR(Y185)</f>
        <v>0</v>
      </c>
      <c r="AA185">
        <f>MINUTE(Y185)</f>
        <v>10</v>
      </c>
      <c r="AB185">
        <f>Z185*60+AA185</f>
        <v>10</v>
      </c>
    </row>
    <row r="186" spans="1:28" x14ac:dyDescent="0.25">
      <c r="A186">
        <v>184</v>
      </c>
      <c r="B186" t="s">
        <v>29</v>
      </c>
      <c r="C186">
        <v>1</v>
      </c>
      <c r="D186" t="s">
        <v>34</v>
      </c>
      <c r="E186" s="6">
        <v>46036.291666666664</v>
      </c>
      <c r="F186" s="6">
        <v>46036.333333333336</v>
      </c>
      <c r="G186" s="6">
        <v>46036.350694444445</v>
      </c>
      <c r="H186" s="6">
        <v>46036.476388888892</v>
      </c>
      <c r="I186" s="6">
        <v>46036.48333333333</v>
      </c>
      <c r="J186" s="6">
        <v>46036.5</v>
      </c>
      <c r="K186">
        <v>5</v>
      </c>
      <c r="L186" s="6">
        <v>46036.506944444445</v>
      </c>
      <c r="M186" s="7">
        <f>F186-E186</f>
        <v>4.1666666671517305E-2</v>
      </c>
      <c r="N186">
        <f>HOUR(M186)</f>
        <v>1</v>
      </c>
      <c r="O186">
        <f>MINUTE(M186)</f>
        <v>0</v>
      </c>
      <c r="P186">
        <f>N186*60+O186</f>
        <v>60</v>
      </c>
      <c r="Q186" s="7">
        <f>G186-F186</f>
        <v>1.7361111109494232E-2</v>
      </c>
      <c r="R186">
        <f>HOUR(Q186)</f>
        <v>0</v>
      </c>
      <c r="S186">
        <f>MINUTE(Q186)</f>
        <v>25</v>
      </c>
      <c r="T186">
        <f>R186*60+S186</f>
        <v>25</v>
      </c>
      <c r="U186" s="7">
        <f>H186-G186</f>
        <v>0.12569444444670808</v>
      </c>
      <c r="V186">
        <f>HOUR(U186)</f>
        <v>3</v>
      </c>
      <c r="W186">
        <f>MINUTE(U186)</f>
        <v>1</v>
      </c>
      <c r="X186">
        <f>V186*60+W186</f>
        <v>181</v>
      </c>
      <c r="Y186" s="7">
        <f>I186-H186</f>
        <v>6.9444444379769266E-3</v>
      </c>
      <c r="Z186">
        <f>HOUR(Y186)</f>
        <v>0</v>
      </c>
      <c r="AA186">
        <f>MINUTE(Y186)</f>
        <v>10</v>
      </c>
      <c r="AB186">
        <f>Z186*60+AA186</f>
        <v>10</v>
      </c>
    </row>
    <row r="187" spans="1:28" x14ac:dyDescent="0.25">
      <c r="A187">
        <v>185</v>
      </c>
      <c r="B187" t="s">
        <v>31</v>
      </c>
      <c r="C187">
        <v>1</v>
      </c>
      <c r="D187" t="s">
        <v>35</v>
      </c>
      <c r="E187" s="6">
        <v>46036.618055555555</v>
      </c>
      <c r="F187" s="6">
        <v>46036.649305555555</v>
      </c>
      <c r="G187" s="6">
        <v>46036.65625</v>
      </c>
      <c r="H187" s="6">
        <v>46036.716666666667</v>
      </c>
      <c r="I187" s="6">
        <v>46036.722222222219</v>
      </c>
      <c r="J187" s="6">
        <v>46036.763888888891</v>
      </c>
      <c r="K187">
        <v>3.5</v>
      </c>
      <c r="L187" s="6">
        <v>46036.767361111109</v>
      </c>
      <c r="M187" s="7">
        <f>F187-E187</f>
        <v>3.125E-2</v>
      </c>
      <c r="N187">
        <f>HOUR(M187)</f>
        <v>0</v>
      </c>
      <c r="O187">
        <f>MINUTE(M187)</f>
        <v>45</v>
      </c>
      <c r="P187">
        <f>N187*60+O187</f>
        <v>45</v>
      </c>
      <c r="Q187" s="7">
        <f>G187-F187</f>
        <v>6.9444444452528842E-3</v>
      </c>
      <c r="R187">
        <f>HOUR(Q187)</f>
        <v>0</v>
      </c>
      <c r="S187">
        <f>MINUTE(Q187)</f>
        <v>10</v>
      </c>
      <c r="T187">
        <f>R187*60+S187</f>
        <v>10</v>
      </c>
      <c r="U187" s="7">
        <f>H187-G187</f>
        <v>6.0416666667151731E-2</v>
      </c>
      <c r="V187">
        <f>HOUR(U187)</f>
        <v>1</v>
      </c>
      <c r="W187">
        <f>MINUTE(U187)</f>
        <v>27</v>
      </c>
      <c r="X187">
        <f>V187*60+W187</f>
        <v>87</v>
      </c>
      <c r="Y187" s="7">
        <f>I187-H187</f>
        <v>5.5555555518367328E-3</v>
      </c>
      <c r="Z187">
        <f>HOUR(Y187)</f>
        <v>0</v>
      </c>
      <c r="AA187">
        <f>MINUTE(Y187)</f>
        <v>8</v>
      </c>
      <c r="AB187">
        <f>Z187*60+AA187</f>
        <v>8</v>
      </c>
    </row>
    <row r="188" spans="1:28" x14ac:dyDescent="0.25">
      <c r="A188">
        <v>186</v>
      </c>
      <c r="B188" t="s">
        <v>31</v>
      </c>
      <c r="C188">
        <v>1</v>
      </c>
      <c r="D188" t="s">
        <v>36</v>
      </c>
      <c r="E188" s="6">
        <v>46036.295138888891</v>
      </c>
      <c r="F188" s="6">
        <v>46036.302083333336</v>
      </c>
      <c r="G188" s="6">
        <v>46036.340277777781</v>
      </c>
      <c r="H188" s="6">
        <v>46036.4</v>
      </c>
      <c r="I188" s="6">
        <v>46036.402777777781</v>
      </c>
      <c r="J188" s="6">
        <v>46036.409722222219</v>
      </c>
      <c r="K188">
        <v>2.75</v>
      </c>
      <c r="L188" s="6">
        <v>46036.416666666664</v>
      </c>
      <c r="M188" s="7">
        <f>F188-E188</f>
        <v>6.9444444452528842E-3</v>
      </c>
      <c r="N188">
        <f>HOUR(M188)</f>
        <v>0</v>
      </c>
      <c r="O188">
        <f>MINUTE(M188)</f>
        <v>10</v>
      </c>
      <c r="P188">
        <f>N188*60+O188</f>
        <v>10</v>
      </c>
      <c r="Q188" s="7">
        <f>G188-F188</f>
        <v>3.8194444445252884E-2</v>
      </c>
      <c r="R188">
        <f>HOUR(Q188)</f>
        <v>0</v>
      </c>
      <c r="S188">
        <f>MINUTE(Q188)</f>
        <v>55</v>
      </c>
      <c r="T188">
        <f>R188*60+S188</f>
        <v>55</v>
      </c>
      <c r="U188" s="7">
        <f>H188-G188</f>
        <v>5.9722222220443655E-2</v>
      </c>
      <c r="V188">
        <f>HOUR(U188)</f>
        <v>1</v>
      </c>
      <c r="W188">
        <f>MINUTE(U188)</f>
        <v>26</v>
      </c>
      <c r="X188">
        <f>V188*60+W188</f>
        <v>86</v>
      </c>
      <c r="Y188" s="7">
        <f>I188-H188</f>
        <v>2.7777777795563452E-3</v>
      </c>
      <c r="Z188">
        <f>HOUR(Y188)</f>
        <v>0</v>
      </c>
      <c r="AA188">
        <f>MINUTE(Y188)</f>
        <v>4</v>
      </c>
      <c r="AB188">
        <f>Z188*60+AA188</f>
        <v>4</v>
      </c>
    </row>
    <row r="189" spans="1:28" x14ac:dyDescent="0.25">
      <c r="A189">
        <v>187</v>
      </c>
      <c r="B189" t="s">
        <v>31</v>
      </c>
      <c r="C189">
        <v>1</v>
      </c>
      <c r="D189" t="s">
        <v>32</v>
      </c>
      <c r="E189" s="6">
        <v>46036.5</v>
      </c>
      <c r="F189" s="6">
        <v>46036.506944444445</v>
      </c>
      <c r="G189" s="6">
        <v>46036.513888888891</v>
      </c>
      <c r="H189" s="6">
        <v>46036.618055555555</v>
      </c>
      <c r="I189" s="6">
        <v>46036.638888888891</v>
      </c>
      <c r="J189" s="6">
        <v>46036.645833333336</v>
      </c>
      <c r="K189">
        <v>3.5</v>
      </c>
      <c r="L189" s="6">
        <v>46036.649305555555</v>
      </c>
      <c r="M189" s="7">
        <f>F189-E189</f>
        <v>6.9444444452528842E-3</v>
      </c>
      <c r="N189">
        <f>HOUR(M189)</f>
        <v>0</v>
      </c>
      <c r="O189">
        <f>MINUTE(M189)</f>
        <v>10</v>
      </c>
      <c r="P189">
        <f>N189*60+O189</f>
        <v>10</v>
      </c>
      <c r="Q189" s="7">
        <f>G189-F189</f>
        <v>6.9444444452528842E-3</v>
      </c>
      <c r="R189">
        <f>HOUR(Q189)</f>
        <v>0</v>
      </c>
      <c r="S189">
        <f>MINUTE(Q189)</f>
        <v>10</v>
      </c>
      <c r="T189">
        <f>R189*60+S189</f>
        <v>10</v>
      </c>
      <c r="U189" s="7">
        <f>H189-G189</f>
        <v>0.10416666666424135</v>
      </c>
      <c r="V189">
        <f>HOUR(U189)</f>
        <v>2</v>
      </c>
      <c r="W189">
        <f>MINUTE(U189)</f>
        <v>30</v>
      </c>
      <c r="X189">
        <f>V189*60+W189</f>
        <v>150</v>
      </c>
      <c r="Y189" s="7">
        <f>I189-H189</f>
        <v>2.0833333335758653E-2</v>
      </c>
      <c r="Z189">
        <f>HOUR(Y189)</f>
        <v>0</v>
      </c>
      <c r="AA189">
        <f>MINUTE(Y189)</f>
        <v>30</v>
      </c>
      <c r="AB189">
        <f>Z189*60+AA189</f>
        <v>30</v>
      </c>
    </row>
    <row r="190" spans="1:28" x14ac:dyDescent="0.25">
      <c r="A190">
        <v>188</v>
      </c>
      <c r="B190" t="s">
        <v>29</v>
      </c>
      <c r="C190">
        <v>1</v>
      </c>
      <c r="D190" t="s">
        <v>30</v>
      </c>
      <c r="E190" s="6">
        <v>46036.743055555555</v>
      </c>
      <c r="F190" s="6">
        <v>46036.746527777781</v>
      </c>
      <c r="G190" s="6">
        <v>46036.75</v>
      </c>
      <c r="H190" s="6">
        <v>46036.775694444441</v>
      </c>
      <c r="I190" s="6">
        <v>46036.777777777781</v>
      </c>
      <c r="J190" s="6">
        <v>46036.779166666667</v>
      </c>
      <c r="K190">
        <v>0.87</v>
      </c>
      <c r="L190" s="6">
        <v>46036.780555555553</v>
      </c>
      <c r="M190" s="7">
        <f>F190-E190</f>
        <v>3.4722222262644209E-3</v>
      </c>
      <c r="N190">
        <f>HOUR(M190)</f>
        <v>0</v>
      </c>
      <c r="O190">
        <f>MINUTE(M190)</f>
        <v>5</v>
      </c>
      <c r="P190">
        <f>N190*60+O190</f>
        <v>5</v>
      </c>
      <c r="Q190" s="7">
        <f>G190-F190</f>
        <v>3.4722222189884633E-3</v>
      </c>
      <c r="R190">
        <f>HOUR(Q190)</f>
        <v>0</v>
      </c>
      <c r="S190">
        <f>MINUTE(Q190)</f>
        <v>5</v>
      </c>
      <c r="T190">
        <f>R190*60+S190</f>
        <v>5</v>
      </c>
      <c r="U190" s="7">
        <f>H190-G190</f>
        <v>2.569444444088731E-2</v>
      </c>
      <c r="V190">
        <f>HOUR(U190)</f>
        <v>0</v>
      </c>
      <c r="W190">
        <f>MINUTE(U190)</f>
        <v>37</v>
      </c>
      <c r="X190">
        <f>V190*60+W190</f>
        <v>37</v>
      </c>
      <c r="Y190" s="7">
        <f>I190-H190</f>
        <v>2.0833333401242271E-3</v>
      </c>
      <c r="Z190">
        <f>HOUR(Y190)</f>
        <v>0</v>
      </c>
      <c r="AA190">
        <f>MINUTE(Y190)</f>
        <v>3</v>
      </c>
      <c r="AB190">
        <f>Z190*60+AA190</f>
        <v>3</v>
      </c>
    </row>
    <row r="191" spans="1:28" x14ac:dyDescent="0.25">
      <c r="A191">
        <v>189</v>
      </c>
      <c r="B191" t="s">
        <v>29</v>
      </c>
      <c r="C191">
        <v>1</v>
      </c>
      <c r="D191" t="s">
        <v>30</v>
      </c>
      <c r="E191" s="6">
        <v>46035.654861111114</v>
      </c>
      <c r="F191" s="6">
        <v>46035.666666666664</v>
      </c>
      <c r="G191" s="6">
        <v>46035.680555555555</v>
      </c>
      <c r="H191" s="6">
        <v>46035.6875</v>
      </c>
      <c r="I191" s="6">
        <v>46035.694444444445</v>
      </c>
      <c r="J191" s="6">
        <v>46035.708333333336</v>
      </c>
      <c r="K191">
        <v>1.28</v>
      </c>
      <c r="L191" s="6">
        <v>46035.715277777781</v>
      </c>
      <c r="M191" s="7">
        <f>F191-E191</f>
        <v>1.1805555550381541E-2</v>
      </c>
      <c r="N191">
        <f>HOUR(M191)</f>
        <v>0</v>
      </c>
      <c r="O191">
        <f>MINUTE(M191)</f>
        <v>17</v>
      </c>
      <c r="P191">
        <f>N191*60+O191</f>
        <v>17</v>
      </c>
      <c r="Q191" s="7">
        <f>G191-F191</f>
        <v>1.3888888890505768E-2</v>
      </c>
      <c r="R191">
        <f>HOUR(Q191)</f>
        <v>0</v>
      </c>
      <c r="S191">
        <f>MINUTE(Q191)</f>
        <v>20</v>
      </c>
      <c r="T191">
        <f>R191*60+S191</f>
        <v>20</v>
      </c>
      <c r="U191" s="7">
        <f>H191-G191</f>
        <v>6.9444444452528842E-3</v>
      </c>
      <c r="V191">
        <f>HOUR(U191)</f>
        <v>0</v>
      </c>
      <c r="W191">
        <f>MINUTE(U191)</f>
        <v>10</v>
      </c>
      <c r="X191">
        <f>V191*60+W191</f>
        <v>10</v>
      </c>
      <c r="Y191" s="7">
        <f>I191-H191</f>
        <v>6.9444444452528842E-3</v>
      </c>
      <c r="Z191">
        <f>HOUR(Y191)</f>
        <v>0</v>
      </c>
      <c r="AA191">
        <f>MINUTE(Y191)</f>
        <v>10</v>
      </c>
      <c r="AB191">
        <f>Z191*60+AA191</f>
        <v>10</v>
      </c>
    </row>
    <row r="192" spans="1:28" x14ac:dyDescent="0.25">
      <c r="A192">
        <v>190</v>
      </c>
      <c r="B192" t="s">
        <v>29</v>
      </c>
      <c r="C192">
        <v>1</v>
      </c>
      <c r="D192" t="s">
        <v>35</v>
      </c>
      <c r="E192" s="6">
        <v>46036.467361111114</v>
      </c>
      <c r="F192" s="6">
        <v>46036.477777777778</v>
      </c>
      <c r="G192" s="6">
        <v>46036.479166666664</v>
      </c>
      <c r="H192" s="6">
        <v>46036.487500000003</v>
      </c>
      <c r="I192" s="6">
        <v>46036.489583333336</v>
      </c>
      <c r="J192" s="6">
        <v>46036.5</v>
      </c>
      <c r="K192">
        <v>0.78</v>
      </c>
      <c r="L192" s="6">
        <v>46036.501388888886</v>
      </c>
      <c r="M192" s="7">
        <f>F192-E192</f>
        <v>1.0416666664241347E-2</v>
      </c>
      <c r="N192">
        <f>HOUR(M192)</f>
        <v>0</v>
      </c>
      <c r="O192">
        <f>MINUTE(M192)</f>
        <v>15</v>
      </c>
      <c r="P192">
        <f>N192*60+O192</f>
        <v>15</v>
      </c>
      <c r="Q192" s="7">
        <f>G192-F192</f>
        <v>1.3888888861401938E-3</v>
      </c>
      <c r="R192">
        <f>HOUR(Q192)</f>
        <v>0</v>
      </c>
      <c r="S192">
        <f>MINUTE(Q192)</f>
        <v>2</v>
      </c>
      <c r="T192">
        <f>R192*60+S192</f>
        <v>2</v>
      </c>
      <c r="U192" s="7">
        <f>H192-G192</f>
        <v>8.3333333386690356E-3</v>
      </c>
      <c r="V192">
        <f>HOUR(U192)</f>
        <v>0</v>
      </c>
      <c r="W192">
        <f>MINUTE(U192)</f>
        <v>12</v>
      </c>
      <c r="X192">
        <f>V192*60+W192</f>
        <v>12</v>
      </c>
      <c r="Y192" s="7">
        <f>I192-H192</f>
        <v>2.0833333328482695E-3</v>
      </c>
      <c r="Z192">
        <f>HOUR(Y192)</f>
        <v>0</v>
      </c>
      <c r="AA192">
        <f>MINUTE(Y192)</f>
        <v>3</v>
      </c>
      <c r="AB192">
        <f>Z192*60+AA192</f>
        <v>3</v>
      </c>
    </row>
    <row r="193" spans="1:28" x14ac:dyDescent="0.25">
      <c r="A193">
        <v>191</v>
      </c>
      <c r="B193" t="s">
        <v>29</v>
      </c>
      <c r="C193">
        <v>1</v>
      </c>
      <c r="D193" t="s">
        <v>35</v>
      </c>
      <c r="E193" s="6">
        <v>46036.291666666664</v>
      </c>
      <c r="F193" s="6">
        <v>46036.326388888891</v>
      </c>
      <c r="G193" s="6">
        <v>46036.361111111109</v>
      </c>
      <c r="H193" s="6">
        <v>46036.420138888891</v>
      </c>
      <c r="I193" s="6">
        <v>46036.423611111109</v>
      </c>
      <c r="J193" s="6">
        <v>46036.4375</v>
      </c>
      <c r="K193">
        <v>3.5</v>
      </c>
      <c r="L193" s="6">
        <v>46036.440972222219</v>
      </c>
      <c r="M193" s="7">
        <f>F193-E193</f>
        <v>3.4722222226264421E-2</v>
      </c>
      <c r="N193">
        <f>HOUR(M193)</f>
        <v>0</v>
      </c>
      <c r="O193">
        <f>MINUTE(M193)</f>
        <v>50</v>
      </c>
      <c r="P193">
        <f>N193*60+O193</f>
        <v>50</v>
      </c>
      <c r="Q193" s="7">
        <f>G193-F193</f>
        <v>3.4722222218988463E-2</v>
      </c>
      <c r="R193">
        <f>HOUR(Q193)</f>
        <v>0</v>
      </c>
      <c r="S193">
        <f>MINUTE(Q193)</f>
        <v>50</v>
      </c>
      <c r="T193">
        <f>R193*60+S193</f>
        <v>50</v>
      </c>
      <c r="U193" s="7">
        <f>H193-G193</f>
        <v>5.9027777781011537E-2</v>
      </c>
      <c r="V193">
        <f>HOUR(U193)</f>
        <v>1</v>
      </c>
      <c r="W193">
        <f>MINUTE(U193)</f>
        <v>25</v>
      </c>
      <c r="X193">
        <f>V193*60+W193</f>
        <v>85</v>
      </c>
      <c r="Y193" s="7">
        <f>I193-H193</f>
        <v>3.4722222189884633E-3</v>
      </c>
      <c r="Z193">
        <f>HOUR(Y193)</f>
        <v>0</v>
      </c>
      <c r="AA193">
        <f>MINUTE(Y193)</f>
        <v>5</v>
      </c>
      <c r="AB193">
        <f>Z193*60+AA193</f>
        <v>5</v>
      </c>
    </row>
    <row r="194" spans="1:28" x14ac:dyDescent="0.25">
      <c r="A194">
        <v>192</v>
      </c>
      <c r="B194" t="s">
        <v>31</v>
      </c>
      <c r="C194">
        <v>1</v>
      </c>
      <c r="D194" t="s">
        <v>30</v>
      </c>
      <c r="E194" s="6">
        <v>46036.291666666664</v>
      </c>
      <c r="F194" s="6">
        <v>46036.326388888891</v>
      </c>
      <c r="G194" s="6">
        <v>46036.347222222219</v>
      </c>
      <c r="H194" s="6">
        <v>46036.444444444445</v>
      </c>
      <c r="I194" s="6">
        <v>46036.451388888891</v>
      </c>
      <c r="J194" s="6">
        <v>46036.458333333336</v>
      </c>
      <c r="K194">
        <v>4</v>
      </c>
      <c r="L194" s="6">
        <v>46036.465277777781</v>
      </c>
      <c r="M194" s="7">
        <f>F194-E194</f>
        <v>3.4722222226264421E-2</v>
      </c>
      <c r="N194">
        <f>HOUR(M194)</f>
        <v>0</v>
      </c>
      <c r="O194">
        <f>MINUTE(M194)</f>
        <v>50</v>
      </c>
      <c r="P194">
        <f>N194*60+O194</f>
        <v>50</v>
      </c>
      <c r="Q194" s="7">
        <f>G194-F194</f>
        <v>2.0833333328482695E-2</v>
      </c>
      <c r="R194">
        <f>HOUR(Q194)</f>
        <v>0</v>
      </c>
      <c r="S194">
        <f>MINUTE(Q194)</f>
        <v>30</v>
      </c>
      <c r="T194">
        <f>R194*60+S194</f>
        <v>30</v>
      </c>
      <c r="U194" s="7">
        <f>H194-G194</f>
        <v>9.7222222226264421E-2</v>
      </c>
      <c r="V194">
        <f>HOUR(U194)</f>
        <v>2</v>
      </c>
      <c r="W194">
        <f>MINUTE(U194)</f>
        <v>20</v>
      </c>
      <c r="X194">
        <f>V194*60+W194</f>
        <v>140</v>
      </c>
      <c r="Y194" s="7">
        <f>I194-H194</f>
        <v>6.9444444452528842E-3</v>
      </c>
      <c r="Z194">
        <f>HOUR(Y194)</f>
        <v>0</v>
      </c>
      <c r="AA194">
        <f>MINUTE(Y194)</f>
        <v>10</v>
      </c>
      <c r="AB194">
        <f>Z194*60+AA194</f>
        <v>10</v>
      </c>
    </row>
    <row r="195" spans="1:28" x14ac:dyDescent="0.25">
      <c r="A195">
        <v>193</v>
      </c>
      <c r="B195" t="s">
        <v>29</v>
      </c>
      <c r="C195">
        <v>1</v>
      </c>
      <c r="D195" t="s">
        <v>35</v>
      </c>
      <c r="E195" s="6">
        <v>46036.541666666664</v>
      </c>
      <c r="F195" s="6">
        <v>46036.545138888891</v>
      </c>
      <c r="G195" s="6">
        <v>46036.548611111109</v>
      </c>
      <c r="H195" s="6">
        <v>46036.576388888891</v>
      </c>
      <c r="I195" s="6">
        <v>46036.583333333336</v>
      </c>
      <c r="J195" s="6">
        <v>46036.590277777781</v>
      </c>
      <c r="K195">
        <v>1.17</v>
      </c>
      <c r="L195" s="6">
        <v>46036.597222222219</v>
      </c>
      <c r="M195" s="7">
        <f>F195-E195</f>
        <v>3.4722222262644209E-3</v>
      </c>
      <c r="N195">
        <f>HOUR(M195)</f>
        <v>0</v>
      </c>
      <c r="O195">
        <f>MINUTE(M195)</f>
        <v>5</v>
      </c>
      <c r="P195">
        <f>N195*60+O195</f>
        <v>5</v>
      </c>
      <c r="Q195" s="7">
        <f>G195-F195</f>
        <v>3.4722222189884633E-3</v>
      </c>
      <c r="R195">
        <f>HOUR(Q195)</f>
        <v>0</v>
      </c>
      <c r="S195">
        <f>MINUTE(Q195)</f>
        <v>5</v>
      </c>
      <c r="T195">
        <f>R195*60+S195</f>
        <v>5</v>
      </c>
      <c r="U195" s="7">
        <f>H195-G195</f>
        <v>2.7777777781011537E-2</v>
      </c>
      <c r="V195">
        <f>HOUR(U195)</f>
        <v>0</v>
      </c>
      <c r="W195">
        <f>MINUTE(U195)</f>
        <v>40</v>
      </c>
      <c r="X195">
        <f>V195*60+W195</f>
        <v>40</v>
      </c>
      <c r="Y195" s="7">
        <f>I195-H195</f>
        <v>6.9444444452528842E-3</v>
      </c>
      <c r="Z195">
        <f>HOUR(Y195)</f>
        <v>0</v>
      </c>
      <c r="AA195">
        <f>MINUTE(Y195)</f>
        <v>10</v>
      </c>
      <c r="AB195">
        <f>Z195*60+AA195</f>
        <v>10</v>
      </c>
    </row>
    <row r="196" spans="1:28" x14ac:dyDescent="0.25">
      <c r="A196">
        <v>194</v>
      </c>
      <c r="B196" t="s">
        <v>33</v>
      </c>
      <c r="C196">
        <v>1</v>
      </c>
      <c r="D196" t="s">
        <v>30</v>
      </c>
      <c r="E196" s="6">
        <v>46035.958333333336</v>
      </c>
      <c r="F196" s="6">
        <v>46035.965277777781</v>
      </c>
      <c r="G196" s="6">
        <v>46035.979166666664</v>
      </c>
      <c r="H196" s="6">
        <v>46036.020833333336</v>
      </c>
      <c r="I196" s="6">
        <v>46036.027777777781</v>
      </c>
      <c r="J196" s="6">
        <v>46036.03125</v>
      </c>
      <c r="K196">
        <v>1.75</v>
      </c>
      <c r="L196" s="6">
        <v>46036.031944444447</v>
      </c>
      <c r="M196" s="7">
        <f>F196-E196</f>
        <v>6.9444444452528842E-3</v>
      </c>
      <c r="N196">
        <f>HOUR(M196)</f>
        <v>0</v>
      </c>
      <c r="O196">
        <f>MINUTE(M196)</f>
        <v>10</v>
      </c>
      <c r="P196">
        <f>N196*60+O196</f>
        <v>10</v>
      </c>
      <c r="Q196" s="7">
        <f>G196-F196</f>
        <v>1.3888888883229811E-2</v>
      </c>
      <c r="R196">
        <f>HOUR(Q196)</f>
        <v>0</v>
      </c>
      <c r="S196">
        <f>MINUTE(Q196)</f>
        <v>20</v>
      </c>
      <c r="T196">
        <f>R196*60+S196</f>
        <v>20</v>
      </c>
      <c r="U196" s="7">
        <f>H196-G196</f>
        <v>4.1666666671517305E-2</v>
      </c>
      <c r="V196">
        <f>HOUR(U196)</f>
        <v>1</v>
      </c>
      <c r="W196">
        <f>MINUTE(U196)</f>
        <v>0</v>
      </c>
      <c r="X196">
        <f>V196*60+W196</f>
        <v>60</v>
      </c>
      <c r="Y196" s="7">
        <f>I196-H196</f>
        <v>6.9444444452528842E-3</v>
      </c>
      <c r="Z196">
        <f>HOUR(Y196)</f>
        <v>0</v>
      </c>
      <c r="AA196">
        <f>MINUTE(Y196)</f>
        <v>10</v>
      </c>
      <c r="AB196">
        <f>Z196*60+AA196</f>
        <v>10</v>
      </c>
    </row>
    <row r="197" spans="1:28" x14ac:dyDescent="0.25">
      <c r="A197">
        <v>195</v>
      </c>
      <c r="B197" t="s">
        <v>33</v>
      </c>
      <c r="C197">
        <v>1</v>
      </c>
      <c r="D197" t="s">
        <v>30</v>
      </c>
      <c r="E197" s="6">
        <v>46035.836805555555</v>
      </c>
      <c r="F197" s="6">
        <v>46035.847222222219</v>
      </c>
      <c r="G197" s="6">
        <v>46035.864583333336</v>
      </c>
      <c r="H197" s="6">
        <v>46035.916666666664</v>
      </c>
      <c r="I197" s="6">
        <v>46035.923611111109</v>
      </c>
      <c r="J197" s="6">
        <v>46035.940972222219</v>
      </c>
      <c r="K197">
        <v>2.5</v>
      </c>
      <c r="L197" s="6">
        <v>46035.944444444445</v>
      </c>
      <c r="M197" s="7">
        <f>F197-E197</f>
        <v>1.0416666664241347E-2</v>
      </c>
      <c r="N197">
        <f>HOUR(M197)</f>
        <v>0</v>
      </c>
      <c r="O197">
        <f>MINUTE(M197)</f>
        <v>15</v>
      </c>
      <c r="P197">
        <f>N197*60+O197</f>
        <v>15</v>
      </c>
      <c r="Q197" s="7">
        <f>G197-F197</f>
        <v>1.7361111116770189E-2</v>
      </c>
      <c r="R197">
        <f>HOUR(Q197)</f>
        <v>0</v>
      </c>
      <c r="S197">
        <f>MINUTE(Q197)</f>
        <v>25</v>
      </c>
      <c r="T197">
        <f>R197*60+S197</f>
        <v>25</v>
      </c>
      <c r="U197" s="7">
        <f>H197-G197</f>
        <v>5.2083333328482695E-2</v>
      </c>
      <c r="V197">
        <f>HOUR(U197)</f>
        <v>1</v>
      </c>
      <c r="W197">
        <f>MINUTE(U197)</f>
        <v>15</v>
      </c>
      <c r="X197">
        <f>V197*60+W197</f>
        <v>75</v>
      </c>
      <c r="Y197" s="7">
        <f>I197-H197</f>
        <v>6.9444444452528842E-3</v>
      </c>
      <c r="Z197">
        <f>HOUR(Y197)</f>
        <v>0</v>
      </c>
      <c r="AA197">
        <f>MINUTE(Y197)</f>
        <v>10</v>
      </c>
      <c r="AB197">
        <f>Z197*60+AA197</f>
        <v>10</v>
      </c>
    </row>
    <row r="198" spans="1:28" x14ac:dyDescent="0.25">
      <c r="A198">
        <v>196</v>
      </c>
      <c r="B198" t="s">
        <v>29</v>
      </c>
      <c r="C198">
        <v>1</v>
      </c>
      <c r="D198" t="s">
        <v>30</v>
      </c>
      <c r="E198" s="6">
        <v>46035.960416666669</v>
      </c>
      <c r="F198" s="6">
        <v>46035.972222222219</v>
      </c>
      <c r="G198" s="6">
        <v>46035.989583333336</v>
      </c>
      <c r="H198" s="6">
        <v>46036.125</v>
      </c>
      <c r="I198" s="6">
        <v>46036.128472222219</v>
      </c>
      <c r="J198" s="6">
        <v>46036.131944444445</v>
      </c>
      <c r="K198">
        <v>4.12</v>
      </c>
      <c r="L198" s="6">
        <v>46036.138888888891</v>
      </c>
      <c r="M198" s="7">
        <f>F198-E198</f>
        <v>1.1805555550381541E-2</v>
      </c>
      <c r="N198">
        <f>HOUR(M198)</f>
        <v>0</v>
      </c>
      <c r="O198">
        <f>MINUTE(M198)</f>
        <v>17</v>
      </c>
      <c r="P198">
        <f>N198*60+O198</f>
        <v>17</v>
      </c>
      <c r="Q198" s="7">
        <f>G198-F198</f>
        <v>1.7361111116770189E-2</v>
      </c>
      <c r="R198">
        <f>HOUR(Q198)</f>
        <v>0</v>
      </c>
      <c r="S198">
        <f>MINUTE(Q198)</f>
        <v>25</v>
      </c>
      <c r="T198">
        <f>R198*60+S198</f>
        <v>25</v>
      </c>
      <c r="U198" s="7">
        <f>H198-G198</f>
        <v>0.13541666666424135</v>
      </c>
      <c r="V198">
        <f>HOUR(U198)</f>
        <v>3</v>
      </c>
      <c r="W198">
        <f>MINUTE(U198)</f>
        <v>15</v>
      </c>
      <c r="X198">
        <f>V198*60+W198</f>
        <v>195</v>
      </c>
      <c r="Y198" s="7">
        <f>I198-H198</f>
        <v>3.4722222189884633E-3</v>
      </c>
      <c r="Z198">
        <f>HOUR(Y198)</f>
        <v>0</v>
      </c>
      <c r="AA198">
        <f>MINUTE(Y198)</f>
        <v>5</v>
      </c>
      <c r="AB198">
        <f>Z198*60+AA198</f>
        <v>5</v>
      </c>
    </row>
    <row r="199" spans="1:28" x14ac:dyDescent="0.25">
      <c r="A199">
        <v>197</v>
      </c>
      <c r="B199" t="s">
        <v>31</v>
      </c>
      <c r="C199">
        <v>1</v>
      </c>
      <c r="D199" t="s">
        <v>35</v>
      </c>
      <c r="E199" s="6">
        <v>46036.048611111109</v>
      </c>
      <c r="F199" s="6">
        <v>46036.055555555555</v>
      </c>
      <c r="G199" s="6">
        <v>46036.072916666664</v>
      </c>
      <c r="H199" s="6">
        <v>46036.100694444445</v>
      </c>
      <c r="I199" s="6">
        <v>46036.101388888892</v>
      </c>
      <c r="J199" s="6">
        <v>46036.102083333331</v>
      </c>
      <c r="K199">
        <v>1.28</v>
      </c>
      <c r="L199" s="6">
        <v>46036.102777777778</v>
      </c>
      <c r="M199" s="7">
        <f>F199-E199</f>
        <v>6.9444444452528842E-3</v>
      </c>
      <c r="N199">
        <f>HOUR(M199)</f>
        <v>0</v>
      </c>
      <c r="O199">
        <f>MINUTE(M199)</f>
        <v>10</v>
      </c>
      <c r="P199">
        <f>N199*60+O199</f>
        <v>10</v>
      </c>
      <c r="Q199" s="7">
        <f>G199-F199</f>
        <v>1.7361111109494232E-2</v>
      </c>
      <c r="R199">
        <f>HOUR(Q199)</f>
        <v>0</v>
      </c>
      <c r="S199">
        <f>MINUTE(Q199)</f>
        <v>25</v>
      </c>
      <c r="T199">
        <f>R199*60+S199</f>
        <v>25</v>
      </c>
      <c r="U199" s="7">
        <f>H199-G199</f>
        <v>2.7777777781011537E-2</v>
      </c>
      <c r="V199">
        <f>HOUR(U199)</f>
        <v>0</v>
      </c>
      <c r="W199">
        <f>MINUTE(U199)</f>
        <v>40</v>
      </c>
      <c r="X199">
        <f>V199*60+W199</f>
        <v>40</v>
      </c>
      <c r="Y199" s="7">
        <f>I199-H199</f>
        <v>6.944444467080757E-4</v>
      </c>
      <c r="Z199">
        <f>HOUR(Y199)</f>
        <v>0</v>
      </c>
      <c r="AA199">
        <f>MINUTE(Y199)</f>
        <v>1</v>
      </c>
      <c r="AB199">
        <f>Z199*60+AA199</f>
        <v>1</v>
      </c>
    </row>
    <row r="200" spans="1:28" x14ac:dyDescent="0.25">
      <c r="A200">
        <v>198</v>
      </c>
      <c r="B200" t="s">
        <v>33</v>
      </c>
      <c r="C200">
        <v>1</v>
      </c>
      <c r="D200" t="s">
        <v>30</v>
      </c>
      <c r="E200" s="6">
        <v>46036.439583333333</v>
      </c>
      <c r="F200" s="6">
        <v>46036.458333333336</v>
      </c>
      <c r="G200" s="6">
        <v>46036.465277777781</v>
      </c>
      <c r="H200" s="6">
        <v>46036.472222222219</v>
      </c>
      <c r="I200" s="6">
        <v>46036.479166666664</v>
      </c>
      <c r="J200" s="6">
        <v>46036.5</v>
      </c>
      <c r="K200">
        <v>1.45</v>
      </c>
      <c r="L200" s="6">
        <v>46036.506944444445</v>
      </c>
      <c r="M200" s="7">
        <f>F200-E200</f>
        <v>1.8750000002910383E-2</v>
      </c>
      <c r="N200">
        <f>HOUR(M200)</f>
        <v>0</v>
      </c>
      <c r="O200">
        <f>MINUTE(M200)</f>
        <v>27</v>
      </c>
      <c r="P200">
        <f>N200*60+O200</f>
        <v>27</v>
      </c>
      <c r="Q200" s="7">
        <f>G200-F200</f>
        <v>6.9444444452528842E-3</v>
      </c>
      <c r="R200">
        <f>HOUR(Q200)</f>
        <v>0</v>
      </c>
      <c r="S200">
        <f>MINUTE(Q200)</f>
        <v>10</v>
      </c>
      <c r="T200">
        <f>R200*60+S200</f>
        <v>10</v>
      </c>
      <c r="U200" s="7">
        <f>H200-G200</f>
        <v>6.9444444379769266E-3</v>
      </c>
      <c r="V200">
        <f>HOUR(U200)</f>
        <v>0</v>
      </c>
      <c r="W200">
        <f>MINUTE(U200)</f>
        <v>10</v>
      </c>
      <c r="X200">
        <f>V200*60+W200</f>
        <v>10</v>
      </c>
      <c r="Y200" s="7">
        <f>I200-H200</f>
        <v>6.9444444452528842E-3</v>
      </c>
      <c r="Z200">
        <f>HOUR(Y200)</f>
        <v>0</v>
      </c>
      <c r="AA200">
        <f>MINUTE(Y200)</f>
        <v>10</v>
      </c>
      <c r="AB200">
        <f>Z200*60+AA200</f>
        <v>10</v>
      </c>
    </row>
    <row r="201" spans="1:28" x14ac:dyDescent="0.25">
      <c r="A201">
        <v>199</v>
      </c>
      <c r="B201" t="s">
        <v>33</v>
      </c>
      <c r="C201">
        <v>1</v>
      </c>
      <c r="D201" t="s">
        <v>30</v>
      </c>
      <c r="E201" s="6">
        <v>46036.402777777781</v>
      </c>
      <c r="F201" s="6">
        <v>46036.40625</v>
      </c>
      <c r="G201" s="6">
        <v>46036.427083333336</v>
      </c>
      <c r="H201" s="6">
        <v>46036.522222222222</v>
      </c>
      <c r="I201" s="6">
        <v>46036.576388888891</v>
      </c>
      <c r="J201" s="6">
        <v>46036.588194444441</v>
      </c>
      <c r="K201">
        <v>4.45</v>
      </c>
      <c r="L201" s="6">
        <v>46036.588888888888</v>
      </c>
      <c r="M201" s="7">
        <f>F201-E201</f>
        <v>3.4722222189884633E-3</v>
      </c>
      <c r="N201">
        <f>HOUR(M201)</f>
        <v>0</v>
      </c>
      <c r="O201">
        <f>MINUTE(M201)</f>
        <v>5</v>
      </c>
      <c r="P201">
        <f>N201*60+O201</f>
        <v>5</v>
      </c>
      <c r="Q201" s="7">
        <f>G201-F201</f>
        <v>2.0833333335758653E-2</v>
      </c>
      <c r="R201">
        <f>HOUR(Q201)</f>
        <v>0</v>
      </c>
      <c r="S201">
        <f>MINUTE(Q201)</f>
        <v>30</v>
      </c>
      <c r="T201">
        <f>R201*60+S201</f>
        <v>30</v>
      </c>
      <c r="U201" s="7">
        <f>H201-G201</f>
        <v>9.5138888886140194E-2</v>
      </c>
      <c r="V201">
        <f>HOUR(U201)</f>
        <v>2</v>
      </c>
      <c r="W201">
        <f>MINUTE(U201)</f>
        <v>17</v>
      </c>
      <c r="X201">
        <f>V201*60+W201</f>
        <v>137</v>
      </c>
      <c r="Y201" s="7">
        <f>I201-H201</f>
        <v>5.4166666668606922E-2</v>
      </c>
      <c r="Z201">
        <f>HOUR(Y201)</f>
        <v>1</v>
      </c>
      <c r="AA201">
        <f>MINUTE(Y201)</f>
        <v>18</v>
      </c>
      <c r="AB201">
        <f>Z201*60+AA201</f>
        <v>78</v>
      </c>
    </row>
    <row r="202" spans="1:28" x14ac:dyDescent="0.25">
      <c r="A202">
        <v>200</v>
      </c>
      <c r="B202" t="s">
        <v>33</v>
      </c>
      <c r="C202">
        <v>1</v>
      </c>
      <c r="D202" t="s">
        <v>30</v>
      </c>
      <c r="E202" s="6">
        <v>46036.6875</v>
      </c>
      <c r="F202" s="6">
        <v>46036.708333333336</v>
      </c>
      <c r="G202" s="6">
        <v>46036.71875</v>
      </c>
      <c r="H202" s="6">
        <v>46036.75</v>
      </c>
      <c r="I202" s="6">
        <v>46036.756944444445</v>
      </c>
      <c r="J202" s="6">
        <v>46036.763888888891</v>
      </c>
      <c r="K202">
        <v>1.83</v>
      </c>
      <c r="L202" s="6">
        <v>46036.770833333336</v>
      </c>
      <c r="M202" s="7">
        <f>F202-E202</f>
        <v>2.0833333335758653E-2</v>
      </c>
      <c r="N202">
        <f>HOUR(M202)</f>
        <v>0</v>
      </c>
      <c r="O202">
        <f>MINUTE(M202)</f>
        <v>30</v>
      </c>
      <c r="P202">
        <f>N202*60+O202</f>
        <v>30</v>
      </c>
      <c r="Q202" s="7">
        <f>G202-F202</f>
        <v>1.0416666664241347E-2</v>
      </c>
      <c r="R202">
        <f>HOUR(Q202)</f>
        <v>0</v>
      </c>
      <c r="S202">
        <f>MINUTE(Q202)</f>
        <v>15</v>
      </c>
      <c r="T202">
        <f>R202*60+S202</f>
        <v>15</v>
      </c>
      <c r="U202" s="7">
        <f>H202-G202</f>
        <v>3.125E-2</v>
      </c>
      <c r="V202">
        <f>HOUR(U202)</f>
        <v>0</v>
      </c>
      <c r="W202">
        <f>MINUTE(U202)</f>
        <v>45</v>
      </c>
      <c r="X202">
        <f>V202*60+W202</f>
        <v>45</v>
      </c>
      <c r="Y202" s="7">
        <f>I202-H202</f>
        <v>6.9444444452528842E-3</v>
      </c>
      <c r="Z202">
        <f>HOUR(Y202)</f>
        <v>0</v>
      </c>
      <c r="AA202">
        <f>MINUTE(Y202)</f>
        <v>10</v>
      </c>
      <c r="AB202">
        <f>Z202*60+AA202</f>
        <v>10</v>
      </c>
    </row>
    <row r="203" spans="1:28" x14ac:dyDescent="0.25">
      <c r="A203">
        <v>201</v>
      </c>
      <c r="B203" t="s">
        <v>33</v>
      </c>
      <c r="C203">
        <v>1</v>
      </c>
      <c r="D203" t="s">
        <v>35</v>
      </c>
      <c r="E203" s="6">
        <v>46037.548611111109</v>
      </c>
      <c r="F203" s="6">
        <v>46037.555555555555</v>
      </c>
      <c r="G203" s="6">
        <v>46037.583333333336</v>
      </c>
      <c r="H203" s="6">
        <v>46037.604166666664</v>
      </c>
      <c r="I203" s="6">
        <v>46037.611111111109</v>
      </c>
      <c r="J203" s="6">
        <v>46037.666666666664</v>
      </c>
      <c r="K203">
        <v>2.83</v>
      </c>
      <c r="L203" s="6">
        <v>46037.673611111109</v>
      </c>
      <c r="M203" s="7">
        <f>F203-E203</f>
        <v>6.9444444452528842E-3</v>
      </c>
      <c r="N203">
        <f>HOUR(M203)</f>
        <v>0</v>
      </c>
      <c r="O203">
        <f>MINUTE(M203)</f>
        <v>10</v>
      </c>
      <c r="P203">
        <f>N203*60+O203</f>
        <v>10</v>
      </c>
      <c r="Q203" s="7">
        <f>G203-F203</f>
        <v>2.7777777781011537E-2</v>
      </c>
      <c r="R203">
        <f>HOUR(Q203)</f>
        <v>0</v>
      </c>
      <c r="S203">
        <f>MINUTE(Q203)</f>
        <v>40</v>
      </c>
      <c r="T203">
        <f>R203*60+S203</f>
        <v>40</v>
      </c>
      <c r="U203" s="7">
        <f>H203-G203</f>
        <v>2.0833333328482695E-2</v>
      </c>
      <c r="V203">
        <f>HOUR(U203)</f>
        <v>0</v>
      </c>
      <c r="W203">
        <f>MINUTE(U203)</f>
        <v>30</v>
      </c>
      <c r="X203">
        <f>V203*60+W203</f>
        <v>30</v>
      </c>
      <c r="Y203" s="7">
        <f>I203-H203</f>
        <v>6.9444444452528842E-3</v>
      </c>
      <c r="Z203">
        <f>HOUR(Y203)</f>
        <v>0</v>
      </c>
      <c r="AA203">
        <f>MINUTE(Y203)</f>
        <v>10</v>
      </c>
      <c r="AB203">
        <f>Z203*60+AA203</f>
        <v>10</v>
      </c>
    </row>
    <row r="204" spans="1:28" x14ac:dyDescent="0.25">
      <c r="A204">
        <v>202</v>
      </c>
      <c r="B204" t="s">
        <v>33</v>
      </c>
      <c r="C204">
        <v>1</v>
      </c>
      <c r="D204" t="s">
        <v>35</v>
      </c>
      <c r="E204" s="6">
        <v>46037.4375</v>
      </c>
      <c r="F204" s="6">
        <v>46037.444444444445</v>
      </c>
      <c r="G204" s="6">
        <v>46037.447916666664</v>
      </c>
      <c r="H204" s="6">
        <v>46037.493055555555</v>
      </c>
      <c r="I204" s="6">
        <v>46037.496527777781</v>
      </c>
      <c r="J204" s="6">
        <v>46037.5</v>
      </c>
      <c r="K204">
        <v>1.5</v>
      </c>
      <c r="L204" s="6">
        <v>46037.506944444445</v>
      </c>
      <c r="M204" s="7">
        <f>F204-E204</f>
        <v>6.9444444452528842E-3</v>
      </c>
      <c r="N204">
        <f>HOUR(M204)</f>
        <v>0</v>
      </c>
      <c r="O204">
        <f>MINUTE(M204)</f>
        <v>10</v>
      </c>
      <c r="P204">
        <f>N204*60+O204</f>
        <v>10</v>
      </c>
      <c r="Q204" s="7">
        <f>G204-F204</f>
        <v>3.4722222189884633E-3</v>
      </c>
      <c r="R204">
        <f>HOUR(Q204)</f>
        <v>0</v>
      </c>
      <c r="S204">
        <f>MINUTE(Q204)</f>
        <v>5</v>
      </c>
      <c r="T204">
        <f>R204*60+S204</f>
        <v>5</v>
      </c>
      <c r="U204" s="7">
        <f>H204-G204</f>
        <v>4.5138888890505768E-2</v>
      </c>
      <c r="V204">
        <f>HOUR(U204)</f>
        <v>1</v>
      </c>
      <c r="W204">
        <f>MINUTE(U204)</f>
        <v>5</v>
      </c>
      <c r="X204">
        <f>V204*60+W204</f>
        <v>65</v>
      </c>
      <c r="Y204" s="7">
        <f>I204-H204</f>
        <v>3.4722222262644209E-3</v>
      </c>
      <c r="Z204">
        <f>HOUR(Y204)</f>
        <v>0</v>
      </c>
      <c r="AA204">
        <f>MINUTE(Y204)</f>
        <v>5</v>
      </c>
      <c r="AB204">
        <f>Z204*60+AA204</f>
        <v>5</v>
      </c>
    </row>
    <row r="205" spans="1:28" x14ac:dyDescent="0.25">
      <c r="A205">
        <v>203</v>
      </c>
      <c r="B205" t="s">
        <v>33</v>
      </c>
      <c r="C205">
        <v>1</v>
      </c>
      <c r="D205" t="s">
        <v>35</v>
      </c>
      <c r="E205" s="6">
        <v>46037.291666666664</v>
      </c>
      <c r="F205" s="6">
        <v>46037.3125</v>
      </c>
      <c r="G205" s="6">
        <v>46037.333333333336</v>
      </c>
      <c r="H205" s="6">
        <v>46037.384027777778</v>
      </c>
      <c r="I205" s="6">
        <v>46037.384722222225</v>
      </c>
      <c r="J205" s="6">
        <v>46037.387499999997</v>
      </c>
      <c r="K205">
        <v>2.2999999999999998</v>
      </c>
      <c r="L205" s="6">
        <v>46037.394444444442</v>
      </c>
      <c r="M205" s="7">
        <f>F205-E205</f>
        <v>2.0833333335758653E-2</v>
      </c>
      <c r="N205">
        <f>HOUR(M205)</f>
        <v>0</v>
      </c>
      <c r="O205">
        <f>MINUTE(M205)</f>
        <v>30</v>
      </c>
      <c r="P205">
        <f>N205*60+O205</f>
        <v>30</v>
      </c>
      <c r="Q205" s="7">
        <f>G205-F205</f>
        <v>2.0833333335758653E-2</v>
      </c>
      <c r="R205">
        <f>HOUR(Q205)</f>
        <v>0</v>
      </c>
      <c r="S205">
        <f>MINUTE(Q205)</f>
        <v>30</v>
      </c>
      <c r="T205">
        <f>R205*60+S205</f>
        <v>30</v>
      </c>
      <c r="U205" s="7">
        <f>H205-G205</f>
        <v>5.0694444442342501E-2</v>
      </c>
      <c r="V205">
        <f>HOUR(U205)</f>
        <v>1</v>
      </c>
      <c r="W205">
        <f>MINUTE(U205)</f>
        <v>13</v>
      </c>
      <c r="X205">
        <f>V205*60+W205</f>
        <v>73</v>
      </c>
      <c r="Y205" s="7">
        <f>I205-H205</f>
        <v>6.944444467080757E-4</v>
      </c>
      <c r="Z205">
        <f>HOUR(Y205)</f>
        <v>0</v>
      </c>
      <c r="AA205">
        <f>MINUTE(Y205)</f>
        <v>1</v>
      </c>
      <c r="AB205">
        <f>Z205*60+AA205</f>
        <v>1</v>
      </c>
    </row>
    <row r="206" spans="1:28" x14ac:dyDescent="0.25">
      <c r="A206">
        <v>204</v>
      </c>
      <c r="B206" t="s">
        <v>29</v>
      </c>
      <c r="C206">
        <v>1</v>
      </c>
      <c r="D206" t="s">
        <v>32</v>
      </c>
      <c r="E206" s="6">
        <v>46037.633333333331</v>
      </c>
      <c r="F206" s="6">
        <v>46037.640277777777</v>
      </c>
      <c r="G206" s="6">
        <v>46037.649305555555</v>
      </c>
      <c r="H206" s="6">
        <v>46037.701388888891</v>
      </c>
      <c r="I206" s="6">
        <v>46037.708333333336</v>
      </c>
      <c r="J206" s="6">
        <v>46037.715277777781</v>
      </c>
      <c r="K206">
        <v>1.97</v>
      </c>
      <c r="L206" s="6">
        <v>46037.722222222219</v>
      </c>
      <c r="M206" s="7">
        <f>F206-E206</f>
        <v>6.9444444452528842E-3</v>
      </c>
      <c r="N206">
        <f>HOUR(M206)</f>
        <v>0</v>
      </c>
      <c r="O206">
        <f>MINUTE(M206)</f>
        <v>10</v>
      </c>
      <c r="P206">
        <f>N206*60+O206</f>
        <v>10</v>
      </c>
      <c r="Q206" s="7">
        <f>G206-F206</f>
        <v>9.0277777781011537E-3</v>
      </c>
      <c r="R206">
        <f>HOUR(Q206)</f>
        <v>0</v>
      </c>
      <c r="S206">
        <f>MINUTE(Q206)</f>
        <v>13</v>
      </c>
      <c r="T206">
        <f>R206*60+S206</f>
        <v>13</v>
      </c>
      <c r="U206" s="7">
        <f>H206-G206</f>
        <v>5.2083333335758653E-2</v>
      </c>
      <c r="V206">
        <f>HOUR(U206)</f>
        <v>1</v>
      </c>
      <c r="W206">
        <f>MINUTE(U206)</f>
        <v>15</v>
      </c>
      <c r="X206">
        <f>V206*60+W206</f>
        <v>75</v>
      </c>
      <c r="Y206" s="7">
        <f>I206-H206</f>
        <v>6.9444444452528842E-3</v>
      </c>
      <c r="Z206">
        <f>HOUR(Y206)</f>
        <v>0</v>
      </c>
      <c r="AA206">
        <f>MINUTE(Y206)</f>
        <v>10</v>
      </c>
      <c r="AB206">
        <f>Z206*60+AA206</f>
        <v>10</v>
      </c>
    </row>
    <row r="207" spans="1:28" x14ac:dyDescent="0.25">
      <c r="A207">
        <v>205</v>
      </c>
      <c r="B207" t="s">
        <v>31</v>
      </c>
      <c r="C207">
        <v>1</v>
      </c>
      <c r="D207" t="s">
        <v>30</v>
      </c>
      <c r="E207" s="6">
        <v>46037.291666666664</v>
      </c>
      <c r="F207" s="6">
        <v>46037.340277777781</v>
      </c>
      <c r="G207" s="6">
        <v>46037.375</v>
      </c>
      <c r="H207" s="6">
        <v>46037.549305555556</v>
      </c>
      <c r="I207" s="6">
        <v>46037.556250000001</v>
      </c>
      <c r="J207" s="6">
        <v>46037.556944444441</v>
      </c>
      <c r="K207">
        <v>6.37</v>
      </c>
      <c r="L207" s="6">
        <v>46037.557638888888</v>
      </c>
      <c r="M207" s="7">
        <f>F207-E207</f>
        <v>4.8611111116770189E-2</v>
      </c>
      <c r="N207">
        <f>HOUR(M207)</f>
        <v>1</v>
      </c>
      <c r="O207">
        <f>MINUTE(M207)</f>
        <v>10</v>
      </c>
      <c r="P207">
        <f>N207*60+O207</f>
        <v>70</v>
      </c>
      <c r="Q207" s="7">
        <f>G207-F207</f>
        <v>3.4722222218988463E-2</v>
      </c>
      <c r="R207">
        <f>HOUR(Q207)</f>
        <v>0</v>
      </c>
      <c r="S207">
        <f>MINUTE(Q207)</f>
        <v>50</v>
      </c>
      <c r="T207">
        <f>R207*60+S207</f>
        <v>50</v>
      </c>
      <c r="U207" s="7">
        <f>H207-G207</f>
        <v>0.17430555555620231</v>
      </c>
      <c r="V207">
        <f>HOUR(U207)</f>
        <v>4</v>
      </c>
      <c r="W207">
        <f>MINUTE(U207)</f>
        <v>11</v>
      </c>
      <c r="X207">
        <f>V207*60+W207</f>
        <v>251</v>
      </c>
      <c r="Y207" s="7">
        <f>I207-H207</f>
        <v>6.9444444452528842E-3</v>
      </c>
      <c r="Z207">
        <f>HOUR(Y207)</f>
        <v>0</v>
      </c>
      <c r="AA207">
        <f>MINUTE(Y207)</f>
        <v>10</v>
      </c>
      <c r="AB207">
        <f>Z207*60+AA207</f>
        <v>10</v>
      </c>
    </row>
    <row r="208" spans="1:28" x14ac:dyDescent="0.25">
      <c r="A208">
        <v>206</v>
      </c>
      <c r="B208" t="s">
        <v>29</v>
      </c>
      <c r="C208">
        <v>1</v>
      </c>
      <c r="D208" t="s">
        <v>30</v>
      </c>
      <c r="E208" s="6">
        <v>46037.590277777781</v>
      </c>
      <c r="F208" s="6">
        <v>46037.597222222219</v>
      </c>
      <c r="G208" s="6">
        <v>46037.628472222219</v>
      </c>
      <c r="H208" s="6">
        <v>46037.701388888891</v>
      </c>
      <c r="I208" s="6">
        <v>46037.708333333336</v>
      </c>
      <c r="J208" s="6">
        <v>46037.710416666669</v>
      </c>
      <c r="K208">
        <v>2.88</v>
      </c>
      <c r="L208" s="6">
        <v>46037.717361111114</v>
      </c>
      <c r="M208" s="7">
        <f>F208-E208</f>
        <v>6.9444444379769266E-3</v>
      </c>
      <c r="N208">
        <f>HOUR(M208)</f>
        <v>0</v>
      </c>
      <c r="O208">
        <f>MINUTE(M208)</f>
        <v>10</v>
      </c>
      <c r="P208">
        <f>N208*60+O208</f>
        <v>10</v>
      </c>
      <c r="Q208" s="7">
        <f>G208-F208</f>
        <v>3.125E-2</v>
      </c>
      <c r="R208">
        <f>HOUR(Q208)</f>
        <v>0</v>
      </c>
      <c r="S208">
        <f>MINUTE(Q208)</f>
        <v>45</v>
      </c>
      <c r="T208">
        <f>R208*60+S208</f>
        <v>45</v>
      </c>
      <c r="U208" s="7">
        <f>H208-G208</f>
        <v>7.2916666671517305E-2</v>
      </c>
      <c r="V208">
        <f>HOUR(U208)</f>
        <v>1</v>
      </c>
      <c r="W208">
        <f>MINUTE(U208)</f>
        <v>45</v>
      </c>
      <c r="X208">
        <f>V208*60+W208</f>
        <v>105</v>
      </c>
      <c r="Y208" s="7">
        <f>I208-H208</f>
        <v>6.9444444452528842E-3</v>
      </c>
      <c r="Z208">
        <f>HOUR(Y208)</f>
        <v>0</v>
      </c>
      <c r="AA208">
        <f>MINUTE(Y208)</f>
        <v>10</v>
      </c>
      <c r="AB208">
        <f>Z208*60+AA208</f>
        <v>10</v>
      </c>
    </row>
    <row r="209" spans="1:28" x14ac:dyDescent="0.25">
      <c r="A209">
        <v>207</v>
      </c>
      <c r="B209" t="s">
        <v>29</v>
      </c>
      <c r="C209">
        <v>1</v>
      </c>
      <c r="D209" t="s">
        <v>34</v>
      </c>
      <c r="E209" s="6">
        <v>46037.7</v>
      </c>
      <c r="F209" s="6">
        <v>46037.708333333336</v>
      </c>
      <c r="G209" s="6">
        <v>46037.722222222219</v>
      </c>
      <c r="H209" s="6">
        <v>46037.810416666667</v>
      </c>
      <c r="I209" s="6">
        <v>46037.817361111112</v>
      </c>
      <c r="J209" s="6">
        <v>46037.834027777775</v>
      </c>
      <c r="K209">
        <v>3.22</v>
      </c>
      <c r="L209" s="6">
        <v>46037.84097222222</v>
      </c>
      <c r="M209" s="7">
        <f>F209-E209</f>
        <v>8.3333333386690356E-3</v>
      </c>
      <c r="N209">
        <f>HOUR(M209)</f>
        <v>0</v>
      </c>
      <c r="O209">
        <f>MINUTE(M209)</f>
        <v>12</v>
      </c>
      <c r="P209">
        <f>N209*60+O209</f>
        <v>12</v>
      </c>
      <c r="Q209" s="7">
        <f>G209-F209</f>
        <v>1.3888888883229811E-2</v>
      </c>
      <c r="R209">
        <f>HOUR(Q209)</f>
        <v>0</v>
      </c>
      <c r="S209">
        <f>MINUTE(Q209)</f>
        <v>20</v>
      </c>
      <c r="T209">
        <f>R209*60+S209</f>
        <v>20</v>
      </c>
      <c r="U209" s="7">
        <f>H209-G209</f>
        <v>8.8194444448163267E-2</v>
      </c>
      <c r="V209">
        <f>HOUR(U209)</f>
        <v>2</v>
      </c>
      <c r="W209">
        <f>MINUTE(U209)</f>
        <v>7</v>
      </c>
      <c r="X209">
        <f>V209*60+W209</f>
        <v>127</v>
      </c>
      <c r="Y209" s="7">
        <f>I209-H209</f>
        <v>6.9444444452528842E-3</v>
      </c>
      <c r="Z209">
        <f>HOUR(Y209)</f>
        <v>0</v>
      </c>
      <c r="AA209">
        <f>MINUTE(Y209)</f>
        <v>10</v>
      </c>
      <c r="AB209">
        <f>Z209*60+AA209</f>
        <v>10</v>
      </c>
    </row>
    <row r="210" spans="1:28" x14ac:dyDescent="0.25">
      <c r="A210">
        <v>208</v>
      </c>
      <c r="B210" t="s">
        <v>31</v>
      </c>
      <c r="C210">
        <v>1</v>
      </c>
      <c r="D210" t="s">
        <v>36</v>
      </c>
      <c r="E210" s="6">
        <v>46037.291666666664</v>
      </c>
      <c r="F210" s="6">
        <v>46037.354166666664</v>
      </c>
      <c r="G210" s="6">
        <v>46037.375</v>
      </c>
      <c r="H210" s="6">
        <v>46037.46875</v>
      </c>
      <c r="I210" s="6">
        <v>46037.472222222219</v>
      </c>
      <c r="J210" s="6">
        <v>46037.482638888891</v>
      </c>
      <c r="K210">
        <v>4.58</v>
      </c>
      <c r="L210" s="6">
        <v>46037.489583333336</v>
      </c>
      <c r="M210" s="7">
        <f>F210-E210</f>
        <v>6.25E-2</v>
      </c>
      <c r="N210">
        <f>HOUR(M210)</f>
        <v>1</v>
      </c>
      <c r="O210">
        <f>MINUTE(M210)</f>
        <v>30</v>
      </c>
      <c r="P210">
        <f>N210*60+O210</f>
        <v>90</v>
      </c>
      <c r="Q210" s="7">
        <f>G210-F210</f>
        <v>2.0833333335758653E-2</v>
      </c>
      <c r="R210">
        <f>HOUR(Q210)</f>
        <v>0</v>
      </c>
      <c r="S210">
        <f>MINUTE(Q210)</f>
        <v>30</v>
      </c>
      <c r="T210">
        <f>R210*60+S210</f>
        <v>30</v>
      </c>
      <c r="U210" s="7">
        <f>H210-G210</f>
        <v>9.375E-2</v>
      </c>
      <c r="V210">
        <f>HOUR(U210)</f>
        <v>2</v>
      </c>
      <c r="W210">
        <f>MINUTE(U210)</f>
        <v>15</v>
      </c>
      <c r="X210">
        <f>V210*60+W210</f>
        <v>135</v>
      </c>
      <c r="Y210" s="7">
        <f>I210-H210</f>
        <v>3.4722222189884633E-3</v>
      </c>
      <c r="Z210">
        <f>HOUR(Y210)</f>
        <v>0</v>
      </c>
      <c r="AA210">
        <f>MINUTE(Y210)</f>
        <v>5</v>
      </c>
      <c r="AB210">
        <f>Z210*60+AA210</f>
        <v>5</v>
      </c>
    </row>
    <row r="211" spans="1:28" x14ac:dyDescent="0.25">
      <c r="A211">
        <v>209</v>
      </c>
      <c r="B211" t="s">
        <v>33</v>
      </c>
      <c r="C211">
        <v>1</v>
      </c>
      <c r="D211" t="s">
        <v>36</v>
      </c>
      <c r="E211" s="6">
        <v>46037.552083333336</v>
      </c>
      <c r="F211" s="6">
        <v>46037.555555555555</v>
      </c>
      <c r="G211" s="6">
        <v>46037.597222222219</v>
      </c>
      <c r="H211" s="6">
        <v>46037.736111111109</v>
      </c>
      <c r="I211" s="6">
        <v>46037.739583333336</v>
      </c>
      <c r="J211" s="6">
        <v>46037.756944444445</v>
      </c>
      <c r="K211">
        <v>4.92</v>
      </c>
      <c r="L211" s="6">
        <v>46037.763888888891</v>
      </c>
      <c r="M211" s="7">
        <f>F211-E211</f>
        <v>3.4722222189884633E-3</v>
      </c>
      <c r="N211">
        <f>HOUR(M211)</f>
        <v>0</v>
      </c>
      <c r="O211">
        <f>MINUTE(M211)</f>
        <v>5</v>
      </c>
      <c r="P211">
        <f>N211*60+O211</f>
        <v>5</v>
      </c>
      <c r="Q211" s="7">
        <f>G211-F211</f>
        <v>4.1666666664241347E-2</v>
      </c>
      <c r="R211">
        <f>HOUR(Q211)</f>
        <v>1</v>
      </c>
      <c r="S211">
        <f>MINUTE(Q211)</f>
        <v>0</v>
      </c>
      <c r="T211">
        <f>R211*60+S211</f>
        <v>60</v>
      </c>
      <c r="U211" s="7">
        <f>H211-G211</f>
        <v>0.13888888889050577</v>
      </c>
      <c r="V211">
        <f>HOUR(U211)</f>
        <v>3</v>
      </c>
      <c r="W211">
        <f>MINUTE(U211)</f>
        <v>20</v>
      </c>
      <c r="X211">
        <f>V211*60+W211</f>
        <v>200</v>
      </c>
      <c r="Y211" s="7">
        <f>I211-H211</f>
        <v>3.4722222262644209E-3</v>
      </c>
      <c r="Z211">
        <f>HOUR(Y211)</f>
        <v>0</v>
      </c>
      <c r="AA211">
        <f>MINUTE(Y211)</f>
        <v>5</v>
      </c>
      <c r="AB211">
        <f>Z211*60+AA211</f>
        <v>5</v>
      </c>
    </row>
    <row r="212" spans="1:28" x14ac:dyDescent="0.25">
      <c r="A212">
        <v>210</v>
      </c>
      <c r="B212" t="s">
        <v>33</v>
      </c>
      <c r="C212">
        <v>1</v>
      </c>
      <c r="D212" t="s">
        <v>34</v>
      </c>
      <c r="E212" s="6">
        <v>46037.291666666664</v>
      </c>
      <c r="F212" s="6">
        <v>46037.326388888891</v>
      </c>
      <c r="G212" s="6">
        <v>46037.354166666664</v>
      </c>
      <c r="H212" s="6">
        <v>46037.4375</v>
      </c>
      <c r="I212" s="6">
        <v>46037.458333333336</v>
      </c>
      <c r="J212" s="6">
        <v>46037.461805555555</v>
      </c>
      <c r="K212">
        <v>4.08</v>
      </c>
      <c r="L212" s="6">
        <v>46037.465277777781</v>
      </c>
      <c r="M212" s="7">
        <f>F212-E212</f>
        <v>3.4722222226264421E-2</v>
      </c>
      <c r="N212">
        <f>HOUR(M212)</f>
        <v>0</v>
      </c>
      <c r="O212">
        <f>MINUTE(M212)</f>
        <v>50</v>
      </c>
      <c r="P212">
        <f>N212*60+O212</f>
        <v>50</v>
      </c>
      <c r="Q212" s="7">
        <f>G212-F212</f>
        <v>2.7777777773735579E-2</v>
      </c>
      <c r="R212">
        <f>HOUR(Q212)</f>
        <v>0</v>
      </c>
      <c r="S212">
        <f>MINUTE(Q212)</f>
        <v>40</v>
      </c>
      <c r="T212">
        <f>R212*60+S212</f>
        <v>40</v>
      </c>
      <c r="U212" s="7">
        <f>H212-G212</f>
        <v>8.3333333335758653E-2</v>
      </c>
      <c r="V212">
        <f>HOUR(U212)</f>
        <v>2</v>
      </c>
      <c r="W212">
        <f>MINUTE(U212)</f>
        <v>0</v>
      </c>
      <c r="X212">
        <f>V212*60+W212</f>
        <v>120</v>
      </c>
      <c r="Y212" s="7">
        <f>I212-H212</f>
        <v>2.0833333335758653E-2</v>
      </c>
      <c r="Z212">
        <f>HOUR(Y212)</f>
        <v>0</v>
      </c>
      <c r="AA212">
        <f>MINUTE(Y212)</f>
        <v>30</v>
      </c>
      <c r="AB212">
        <f>Z212*60+AA212</f>
        <v>30</v>
      </c>
    </row>
    <row r="213" spans="1:28" x14ac:dyDescent="0.25">
      <c r="A213">
        <v>211</v>
      </c>
      <c r="B213" t="s">
        <v>33</v>
      </c>
      <c r="C213">
        <v>1</v>
      </c>
      <c r="D213" t="s">
        <v>32</v>
      </c>
      <c r="E213" s="6">
        <v>46036.71875</v>
      </c>
      <c r="F213" s="6">
        <v>46036.767361111109</v>
      </c>
      <c r="G213" s="6">
        <v>46036.774305555555</v>
      </c>
      <c r="H213" s="6">
        <v>46036.805555555555</v>
      </c>
      <c r="I213" s="6">
        <v>46036.8125</v>
      </c>
      <c r="J213" s="6">
        <v>46036.819444444445</v>
      </c>
      <c r="K213">
        <v>2.42</v>
      </c>
      <c r="L213" s="6">
        <v>46036.826388888891</v>
      </c>
      <c r="M213" s="7">
        <f>F213-E213</f>
        <v>4.8611111109494232E-2</v>
      </c>
      <c r="N213">
        <f>HOUR(M213)</f>
        <v>1</v>
      </c>
      <c r="O213">
        <f>MINUTE(M213)</f>
        <v>10</v>
      </c>
      <c r="P213">
        <f>N213*60+O213</f>
        <v>70</v>
      </c>
      <c r="Q213" s="7">
        <f>G213-F213</f>
        <v>6.9444444452528842E-3</v>
      </c>
      <c r="R213">
        <f>HOUR(Q213)</f>
        <v>0</v>
      </c>
      <c r="S213">
        <f>MINUTE(Q213)</f>
        <v>10</v>
      </c>
      <c r="T213">
        <f>R213*60+S213</f>
        <v>10</v>
      </c>
      <c r="U213" s="7">
        <f>H213-G213</f>
        <v>3.125E-2</v>
      </c>
      <c r="V213">
        <f>HOUR(U213)</f>
        <v>0</v>
      </c>
      <c r="W213">
        <f>MINUTE(U213)</f>
        <v>45</v>
      </c>
      <c r="X213">
        <f>V213*60+W213</f>
        <v>45</v>
      </c>
      <c r="Y213" s="7">
        <f>I213-H213</f>
        <v>6.9444444452528842E-3</v>
      </c>
      <c r="Z213">
        <f>HOUR(Y213)</f>
        <v>0</v>
      </c>
      <c r="AA213">
        <f>MINUTE(Y213)</f>
        <v>10</v>
      </c>
      <c r="AB213">
        <f>Z213*60+AA213</f>
        <v>10</v>
      </c>
    </row>
    <row r="214" spans="1:28" x14ac:dyDescent="0.25">
      <c r="A214">
        <v>212</v>
      </c>
      <c r="B214" t="s">
        <v>31</v>
      </c>
      <c r="C214">
        <v>1</v>
      </c>
      <c r="D214" t="s">
        <v>32</v>
      </c>
      <c r="E214" s="6">
        <v>46037.434027777781</v>
      </c>
      <c r="F214" s="6">
        <v>46037.444444444445</v>
      </c>
      <c r="G214" s="6">
        <v>46037.451388888891</v>
      </c>
      <c r="H214" s="6">
        <v>46037.5</v>
      </c>
      <c r="I214" s="6">
        <v>46037.506944444445</v>
      </c>
      <c r="J214" s="6">
        <v>46037.520833333336</v>
      </c>
      <c r="K214">
        <v>2.08</v>
      </c>
      <c r="L214" s="6">
        <v>46037.527777777781</v>
      </c>
      <c r="M214" s="7">
        <f>F214-E214</f>
        <v>1.0416666664241347E-2</v>
      </c>
      <c r="N214">
        <f>HOUR(M214)</f>
        <v>0</v>
      </c>
      <c r="O214">
        <f>MINUTE(M214)</f>
        <v>15</v>
      </c>
      <c r="P214">
        <f>N214*60+O214</f>
        <v>15</v>
      </c>
      <c r="Q214" s="7">
        <f>G214-F214</f>
        <v>6.9444444452528842E-3</v>
      </c>
      <c r="R214">
        <f>HOUR(Q214)</f>
        <v>0</v>
      </c>
      <c r="S214">
        <f>MINUTE(Q214)</f>
        <v>10</v>
      </c>
      <c r="T214">
        <f>R214*60+S214</f>
        <v>10</v>
      </c>
      <c r="U214" s="7">
        <f>H214-G214</f>
        <v>4.8611111109494232E-2</v>
      </c>
      <c r="V214">
        <f>HOUR(U214)</f>
        <v>1</v>
      </c>
      <c r="W214">
        <f>MINUTE(U214)</f>
        <v>10</v>
      </c>
      <c r="X214">
        <f>V214*60+W214</f>
        <v>70</v>
      </c>
      <c r="Y214" s="7">
        <f>I214-H214</f>
        <v>6.9444444452528842E-3</v>
      </c>
      <c r="Z214">
        <f>HOUR(Y214)</f>
        <v>0</v>
      </c>
      <c r="AA214">
        <f>MINUTE(Y214)</f>
        <v>10</v>
      </c>
      <c r="AB214">
        <f>Z214*60+AA214</f>
        <v>10</v>
      </c>
    </row>
    <row r="215" spans="1:28" x14ac:dyDescent="0.25">
      <c r="A215">
        <v>213</v>
      </c>
      <c r="B215" t="s">
        <v>33</v>
      </c>
      <c r="C215">
        <v>1</v>
      </c>
      <c r="D215" t="s">
        <v>34</v>
      </c>
      <c r="E215" s="6">
        <v>46037.496527777781</v>
      </c>
      <c r="F215" s="6">
        <v>46037.513888888891</v>
      </c>
      <c r="G215" s="6">
        <v>46037.534722222219</v>
      </c>
      <c r="H215" s="6">
        <v>46037.642361111109</v>
      </c>
      <c r="I215" s="6">
        <v>46037.649305555555</v>
      </c>
      <c r="J215" s="6">
        <v>46037.652777777781</v>
      </c>
      <c r="K215">
        <v>3.75</v>
      </c>
      <c r="L215" s="6">
        <v>46037.65625</v>
      </c>
      <c r="M215" s="7">
        <f>F215-E215</f>
        <v>1.7361111109494232E-2</v>
      </c>
      <c r="N215">
        <f>HOUR(M215)</f>
        <v>0</v>
      </c>
      <c r="O215">
        <f>MINUTE(M215)</f>
        <v>25</v>
      </c>
      <c r="P215">
        <f>N215*60+O215</f>
        <v>25</v>
      </c>
      <c r="Q215" s="7">
        <f>G215-F215</f>
        <v>2.0833333328482695E-2</v>
      </c>
      <c r="R215">
        <f>HOUR(Q215)</f>
        <v>0</v>
      </c>
      <c r="S215">
        <f>MINUTE(Q215)</f>
        <v>30</v>
      </c>
      <c r="T215">
        <f>R215*60+S215</f>
        <v>30</v>
      </c>
      <c r="U215" s="7">
        <f>H215-G215</f>
        <v>0.10763888889050577</v>
      </c>
      <c r="V215">
        <f>HOUR(U215)</f>
        <v>2</v>
      </c>
      <c r="W215">
        <f>MINUTE(U215)</f>
        <v>35</v>
      </c>
      <c r="X215">
        <f>V215*60+W215</f>
        <v>155</v>
      </c>
      <c r="Y215" s="7">
        <f>I215-H215</f>
        <v>6.9444444452528842E-3</v>
      </c>
      <c r="Z215">
        <f>HOUR(Y215)</f>
        <v>0</v>
      </c>
      <c r="AA215">
        <f>MINUTE(Y215)</f>
        <v>10</v>
      </c>
      <c r="AB215">
        <f>Z215*60+AA215</f>
        <v>10</v>
      </c>
    </row>
    <row r="216" spans="1:28" x14ac:dyDescent="0.25">
      <c r="A216">
        <v>214</v>
      </c>
      <c r="B216" t="s">
        <v>31</v>
      </c>
      <c r="C216">
        <v>1</v>
      </c>
      <c r="D216" t="s">
        <v>32</v>
      </c>
      <c r="E216" s="6">
        <v>46037.520833333336</v>
      </c>
      <c r="F216" s="6">
        <v>46037.527777777781</v>
      </c>
      <c r="G216" s="6">
        <v>46037.583333333336</v>
      </c>
      <c r="H216" s="6">
        <v>46037.613888888889</v>
      </c>
      <c r="I216" s="6">
        <v>46037.620833333334</v>
      </c>
      <c r="J216" s="6">
        <v>46037.638888888891</v>
      </c>
      <c r="K216">
        <v>2.82</v>
      </c>
      <c r="L216" s="6">
        <v>46037.645833333336</v>
      </c>
      <c r="M216" s="7">
        <f>F216-E216</f>
        <v>6.9444444452528842E-3</v>
      </c>
      <c r="N216">
        <f>HOUR(M216)</f>
        <v>0</v>
      </c>
      <c r="O216">
        <f>MINUTE(M216)</f>
        <v>10</v>
      </c>
      <c r="P216">
        <f>N216*60+O216</f>
        <v>10</v>
      </c>
      <c r="Q216" s="7">
        <f>G216-F216</f>
        <v>5.5555555554747116E-2</v>
      </c>
      <c r="R216">
        <f>HOUR(Q216)</f>
        <v>1</v>
      </c>
      <c r="S216">
        <f>MINUTE(Q216)</f>
        <v>20</v>
      </c>
      <c r="T216">
        <f>R216*60+S216</f>
        <v>80</v>
      </c>
      <c r="U216" s="7">
        <f>H216-G216</f>
        <v>3.0555555553291924E-2</v>
      </c>
      <c r="V216">
        <f>HOUR(U216)</f>
        <v>0</v>
      </c>
      <c r="W216">
        <f>MINUTE(U216)</f>
        <v>44</v>
      </c>
      <c r="X216">
        <f>V216*60+W216</f>
        <v>44</v>
      </c>
      <c r="Y216" s="7">
        <f>I216-H216</f>
        <v>6.9444444452528842E-3</v>
      </c>
      <c r="Z216">
        <f>HOUR(Y216)</f>
        <v>0</v>
      </c>
      <c r="AA216">
        <f>MINUTE(Y216)</f>
        <v>10</v>
      </c>
      <c r="AB216">
        <f>Z216*60+AA216</f>
        <v>10</v>
      </c>
    </row>
    <row r="217" spans="1:28" x14ac:dyDescent="0.25">
      <c r="A217">
        <v>215</v>
      </c>
      <c r="B217" t="s">
        <v>29</v>
      </c>
      <c r="C217">
        <v>1</v>
      </c>
      <c r="D217" t="s">
        <v>32</v>
      </c>
      <c r="E217" s="6">
        <v>46037.673611111109</v>
      </c>
      <c r="F217" s="6">
        <v>46037.680555555555</v>
      </c>
      <c r="G217" s="6">
        <v>46037.684027777781</v>
      </c>
      <c r="H217" s="6">
        <v>46037.716666666667</v>
      </c>
      <c r="I217" s="6">
        <v>46037.723611111112</v>
      </c>
      <c r="J217" s="6">
        <v>46037.725694444445</v>
      </c>
      <c r="K217">
        <v>1.25</v>
      </c>
      <c r="L217" s="6">
        <v>46037.732638888891</v>
      </c>
      <c r="M217" s="7">
        <f>F217-E217</f>
        <v>6.9444444452528842E-3</v>
      </c>
      <c r="N217">
        <f>HOUR(M217)</f>
        <v>0</v>
      </c>
      <c r="O217">
        <f>MINUTE(M217)</f>
        <v>10</v>
      </c>
      <c r="P217">
        <f>N217*60+O217</f>
        <v>10</v>
      </c>
      <c r="Q217" s="7">
        <f>G217-F217</f>
        <v>3.4722222262644209E-3</v>
      </c>
      <c r="R217">
        <f>HOUR(Q217)</f>
        <v>0</v>
      </c>
      <c r="S217">
        <f>MINUTE(Q217)</f>
        <v>5</v>
      </c>
      <c r="T217">
        <f>R217*60+S217</f>
        <v>5</v>
      </c>
      <c r="U217" s="7">
        <f>H217-G217</f>
        <v>3.2638888886140194E-2</v>
      </c>
      <c r="V217">
        <f>HOUR(U217)</f>
        <v>0</v>
      </c>
      <c r="W217">
        <f>MINUTE(U217)</f>
        <v>47</v>
      </c>
      <c r="X217">
        <f>V217*60+W217</f>
        <v>47</v>
      </c>
      <c r="Y217" s="7">
        <f>I217-H217</f>
        <v>6.9444444452528842E-3</v>
      </c>
      <c r="Z217">
        <f>HOUR(Y217)</f>
        <v>0</v>
      </c>
      <c r="AA217">
        <f>MINUTE(Y217)</f>
        <v>10</v>
      </c>
      <c r="AB217">
        <f>Z217*60+AA217</f>
        <v>10</v>
      </c>
    </row>
    <row r="218" spans="1:28" x14ac:dyDescent="0.25">
      <c r="A218">
        <v>216</v>
      </c>
      <c r="B218" t="s">
        <v>33</v>
      </c>
      <c r="C218">
        <v>1</v>
      </c>
      <c r="D218" t="s">
        <v>37</v>
      </c>
      <c r="E218" s="6">
        <v>46042.284722222219</v>
      </c>
      <c r="F218" s="6">
        <v>46042.322916666664</v>
      </c>
      <c r="G218" s="6">
        <v>46042.340277777781</v>
      </c>
      <c r="H218" s="6">
        <v>46042.381944444445</v>
      </c>
      <c r="I218" s="6">
        <v>46042.388888888891</v>
      </c>
      <c r="J218" s="6">
        <v>46042.392361111109</v>
      </c>
      <c r="K218">
        <v>2.58</v>
      </c>
      <c r="L218" s="6">
        <v>46042.395833333336</v>
      </c>
      <c r="M218" s="7">
        <f>F218-E218</f>
        <v>3.8194444445252884E-2</v>
      </c>
      <c r="N218">
        <f>HOUR(M218)</f>
        <v>0</v>
      </c>
      <c r="O218">
        <f>MINUTE(M218)</f>
        <v>55</v>
      </c>
      <c r="P218">
        <f>N218*60+O218</f>
        <v>55</v>
      </c>
      <c r="Q218" s="7">
        <f>G218-F218</f>
        <v>1.7361111116770189E-2</v>
      </c>
      <c r="R218">
        <f>HOUR(Q218)</f>
        <v>0</v>
      </c>
      <c r="S218">
        <f>MINUTE(Q218)</f>
        <v>25</v>
      </c>
      <c r="T218">
        <f>R218*60+S218</f>
        <v>25</v>
      </c>
      <c r="U218" s="7">
        <f>H218-G218</f>
        <v>4.1666666664241347E-2</v>
      </c>
      <c r="V218">
        <f>HOUR(U218)</f>
        <v>1</v>
      </c>
      <c r="W218">
        <f>MINUTE(U218)</f>
        <v>0</v>
      </c>
      <c r="X218">
        <f>V218*60+W218</f>
        <v>60</v>
      </c>
      <c r="Y218" s="7">
        <f>I218-H218</f>
        <v>6.9444444452528842E-3</v>
      </c>
      <c r="Z218">
        <f>HOUR(Y218)</f>
        <v>0</v>
      </c>
      <c r="AA218">
        <f>MINUTE(Y218)</f>
        <v>10</v>
      </c>
      <c r="AB218">
        <f>Z218*60+AA218</f>
        <v>10</v>
      </c>
    </row>
    <row r="219" spans="1:28" x14ac:dyDescent="0.25">
      <c r="A219">
        <v>217</v>
      </c>
      <c r="B219" t="s">
        <v>33</v>
      </c>
      <c r="C219">
        <v>1</v>
      </c>
      <c r="D219" t="s">
        <v>34</v>
      </c>
      <c r="E219" s="6">
        <v>46044.291666666664</v>
      </c>
      <c r="F219" s="6">
        <v>46044.315972222219</v>
      </c>
      <c r="G219" s="6">
        <v>46044.327777777777</v>
      </c>
      <c r="H219" s="6">
        <v>46044.385416666664</v>
      </c>
      <c r="I219" s="6">
        <v>46044.388888888891</v>
      </c>
      <c r="J219" s="6">
        <v>46044.392361111109</v>
      </c>
      <c r="K219">
        <v>2.42</v>
      </c>
      <c r="L219" s="6">
        <v>46044.397222222222</v>
      </c>
      <c r="M219" s="7">
        <f>F219-E219</f>
        <v>2.4305555554747116E-2</v>
      </c>
      <c r="N219">
        <f>HOUR(M219)</f>
        <v>0</v>
      </c>
      <c r="O219">
        <f>MINUTE(M219)</f>
        <v>35</v>
      </c>
      <c r="P219">
        <f>N219*60+O219</f>
        <v>35</v>
      </c>
      <c r="Q219" s="7">
        <f>G219-F219</f>
        <v>1.1805555557657499E-2</v>
      </c>
      <c r="R219">
        <f>HOUR(Q219)</f>
        <v>0</v>
      </c>
      <c r="S219">
        <f>MINUTE(Q219)</f>
        <v>17</v>
      </c>
      <c r="T219">
        <f>R219*60+S219</f>
        <v>17</v>
      </c>
      <c r="U219" s="7">
        <f>H219-G219</f>
        <v>5.7638888887595385E-2</v>
      </c>
      <c r="V219">
        <f>HOUR(U219)</f>
        <v>1</v>
      </c>
      <c r="W219">
        <f>MINUTE(U219)</f>
        <v>23</v>
      </c>
      <c r="X219">
        <f>V219*60+W219</f>
        <v>83</v>
      </c>
      <c r="Y219" s="7">
        <f>I219-H219</f>
        <v>3.4722222262644209E-3</v>
      </c>
      <c r="Z219">
        <f>HOUR(Y219)</f>
        <v>0</v>
      </c>
      <c r="AA219">
        <f>MINUTE(Y219)</f>
        <v>5</v>
      </c>
      <c r="AB219">
        <f>Z219*60+AA219</f>
        <v>5</v>
      </c>
    </row>
    <row r="220" spans="1:28" x14ac:dyDescent="0.25">
      <c r="A220">
        <v>218</v>
      </c>
      <c r="B220" t="s">
        <v>31</v>
      </c>
      <c r="C220">
        <v>1</v>
      </c>
      <c r="D220" t="s">
        <v>34</v>
      </c>
      <c r="E220" s="6">
        <v>46038.291666666664</v>
      </c>
      <c r="F220" s="6">
        <v>46038.350694444445</v>
      </c>
      <c r="G220" s="6">
        <v>46038.368055555555</v>
      </c>
      <c r="H220" s="6">
        <v>46038.451388888891</v>
      </c>
      <c r="I220" s="6">
        <v>46038.479166666664</v>
      </c>
      <c r="J220" s="6">
        <v>46038.486111111109</v>
      </c>
      <c r="K220">
        <v>4.67</v>
      </c>
      <c r="L220" s="6">
        <v>46038.493055555555</v>
      </c>
      <c r="M220" s="7">
        <f>F220-E220</f>
        <v>5.9027777781011537E-2</v>
      </c>
      <c r="N220">
        <f>HOUR(M220)</f>
        <v>1</v>
      </c>
      <c r="O220">
        <f>MINUTE(M220)</f>
        <v>25</v>
      </c>
      <c r="P220">
        <f>N220*60+O220</f>
        <v>85</v>
      </c>
      <c r="Q220" s="7">
        <f>G220-F220</f>
        <v>1.7361111109494232E-2</v>
      </c>
      <c r="R220">
        <f>HOUR(Q220)</f>
        <v>0</v>
      </c>
      <c r="S220">
        <f>MINUTE(Q220)</f>
        <v>25</v>
      </c>
      <c r="T220">
        <f>R220*60+S220</f>
        <v>25</v>
      </c>
      <c r="U220" s="7">
        <f>H220-G220</f>
        <v>8.3333333335758653E-2</v>
      </c>
      <c r="V220">
        <f>HOUR(U220)</f>
        <v>2</v>
      </c>
      <c r="W220">
        <f>MINUTE(U220)</f>
        <v>0</v>
      </c>
      <c r="X220">
        <f>V220*60+W220</f>
        <v>120</v>
      </c>
      <c r="Y220" s="7">
        <f>I220-H220</f>
        <v>2.7777777773735579E-2</v>
      </c>
      <c r="Z220">
        <f>HOUR(Y220)</f>
        <v>0</v>
      </c>
      <c r="AA220">
        <f>MINUTE(Y220)</f>
        <v>40</v>
      </c>
      <c r="AB220">
        <f>Z220*60+AA220</f>
        <v>40</v>
      </c>
    </row>
    <row r="221" spans="1:28" x14ac:dyDescent="0.25">
      <c r="A221">
        <v>219</v>
      </c>
      <c r="B221" t="s">
        <v>31</v>
      </c>
      <c r="C221">
        <v>1</v>
      </c>
      <c r="D221" t="s">
        <v>36</v>
      </c>
      <c r="E221" s="6">
        <v>46038.333333333336</v>
      </c>
      <c r="F221" s="6">
        <v>46038.340277777781</v>
      </c>
      <c r="G221" s="6">
        <v>46038.416666666664</v>
      </c>
      <c r="H221" s="6">
        <v>46038.459027777775</v>
      </c>
      <c r="I221" s="6">
        <v>46038.5</v>
      </c>
      <c r="J221" s="6">
        <v>46038.534722222219</v>
      </c>
      <c r="K221">
        <v>4.83</v>
      </c>
      <c r="L221" s="6">
        <v>46038.541666666664</v>
      </c>
      <c r="M221" s="7">
        <f>F221-E221</f>
        <v>6.9444444452528842E-3</v>
      </c>
      <c r="N221">
        <f>HOUR(M221)</f>
        <v>0</v>
      </c>
      <c r="O221">
        <f>MINUTE(M221)</f>
        <v>10</v>
      </c>
      <c r="P221">
        <f>N221*60+O221</f>
        <v>10</v>
      </c>
      <c r="Q221" s="7">
        <f>G221-F221</f>
        <v>7.6388888883229811E-2</v>
      </c>
      <c r="R221">
        <f>HOUR(Q221)</f>
        <v>1</v>
      </c>
      <c r="S221">
        <f>MINUTE(Q221)</f>
        <v>50</v>
      </c>
      <c r="T221">
        <f>R221*60+S221</f>
        <v>110</v>
      </c>
      <c r="U221" s="7">
        <f>H221-G221</f>
        <v>4.2361111110949423E-2</v>
      </c>
      <c r="V221">
        <f>HOUR(U221)</f>
        <v>1</v>
      </c>
      <c r="W221">
        <f>MINUTE(U221)</f>
        <v>1</v>
      </c>
      <c r="X221">
        <f>V221*60+W221</f>
        <v>61</v>
      </c>
      <c r="Y221" s="7">
        <f>I221-H221</f>
        <v>4.0972222224809229E-2</v>
      </c>
      <c r="Z221">
        <f>HOUR(Y221)</f>
        <v>0</v>
      </c>
      <c r="AA221">
        <f>MINUTE(Y221)</f>
        <v>59</v>
      </c>
      <c r="AB221">
        <f>Z221*60+AA221</f>
        <v>59</v>
      </c>
    </row>
    <row r="222" spans="1:28" x14ac:dyDescent="0.25">
      <c r="A222">
        <v>220</v>
      </c>
      <c r="B222" t="s">
        <v>31</v>
      </c>
      <c r="C222">
        <v>1</v>
      </c>
      <c r="D222" t="s">
        <v>32</v>
      </c>
      <c r="E222" s="6">
        <v>46038.357638888891</v>
      </c>
      <c r="F222" s="6">
        <v>46038.381944444445</v>
      </c>
      <c r="G222" s="6">
        <v>46038.399305555555</v>
      </c>
      <c r="H222" s="6">
        <v>46038.46875</v>
      </c>
      <c r="I222" s="6">
        <v>46038.469444444447</v>
      </c>
      <c r="J222" s="6">
        <v>46038.472222222219</v>
      </c>
      <c r="K222">
        <v>2.75</v>
      </c>
      <c r="L222" s="6">
        <v>46038.479166666664</v>
      </c>
      <c r="M222" s="7">
        <f>F222-E222</f>
        <v>2.4305555554747116E-2</v>
      </c>
      <c r="N222">
        <f>HOUR(M222)</f>
        <v>0</v>
      </c>
      <c r="O222">
        <f>MINUTE(M222)</f>
        <v>35</v>
      </c>
      <c r="P222">
        <f>N222*60+O222</f>
        <v>35</v>
      </c>
      <c r="Q222" s="7">
        <f>G222-F222</f>
        <v>1.7361111109494232E-2</v>
      </c>
      <c r="R222">
        <f>HOUR(Q222)</f>
        <v>0</v>
      </c>
      <c r="S222">
        <f>MINUTE(Q222)</f>
        <v>25</v>
      </c>
      <c r="T222">
        <f>R222*60+S222</f>
        <v>25</v>
      </c>
      <c r="U222" s="7">
        <f>H222-G222</f>
        <v>6.9444444445252884E-2</v>
      </c>
      <c r="V222">
        <f>HOUR(U222)</f>
        <v>1</v>
      </c>
      <c r="W222">
        <f>MINUTE(U222)</f>
        <v>40</v>
      </c>
      <c r="X222">
        <f>V222*60+W222</f>
        <v>100</v>
      </c>
      <c r="Y222" s="7">
        <f>I222-H222</f>
        <v>6.944444467080757E-4</v>
      </c>
      <c r="Z222">
        <f>HOUR(Y222)</f>
        <v>0</v>
      </c>
      <c r="AA222">
        <f>MINUTE(Y222)</f>
        <v>1</v>
      </c>
      <c r="AB222">
        <f>Z222*60+AA222</f>
        <v>1</v>
      </c>
    </row>
    <row r="223" spans="1:28" x14ac:dyDescent="0.25">
      <c r="A223">
        <v>221</v>
      </c>
      <c r="B223" t="s">
        <v>33</v>
      </c>
      <c r="C223">
        <v>1</v>
      </c>
      <c r="D223" t="s">
        <v>30</v>
      </c>
      <c r="E223" s="6">
        <v>46038.534722222219</v>
      </c>
      <c r="F223" s="6">
        <v>46038.545138888891</v>
      </c>
      <c r="G223" s="6">
        <v>46038.586805555555</v>
      </c>
      <c r="H223" s="6">
        <v>46038.6875</v>
      </c>
      <c r="I223" s="6">
        <v>46038.722222222219</v>
      </c>
      <c r="J223" s="6">
        <v>46038.729166666664</v>
      </c>
      <c r="K223">
        <v>4.67</v>
      </c>
      <c r="L223" s="6">
        <v>46038.736111111109</v>
      </c>
      <c r="M223" s="7">
        <f>F223-E223</f>
        <v>1.0416666671517305E-2</v>
      </c>
      <c r="N223">
        <f>HOUR(M223)</f>
        <v>0</v>
      </c>
      <c r="O223">
        <f>MINUTE(M223)</f>
        <v>15</v>
      </c>
      <c r="P223">
        <f>N223*60+O223</f>
        <v>15</v>
      </c>
      <c r="Q223" s="7">
        <f>G223-F223</f>
        <v>4.1666666664241347E-2</v>
      </c>
      <c r="R223">
        <f>HOUR(Q223)</f>
        <v>1</v>
      </c>
      <c r="S223">
        <f>MINUTE(Q223)</f>
        <v>0</v>
      </c>
      <c r="T223">
        <f>R223*60+S223</f>
        <v>60</v>
      </c>
      <c r="U223" s="7">
        <f>H223-G223</f>
        <v>0.10069444444525288</v>
      </c>
      <c r="V223">
        <f>HOUR(U223)</f>
        <v>2</v>
      </c>
      <c r="W223">
        <f>MINUTE(U223)</f>
        <v>25</v>
      </c>
      <c r="X223">
        <f>V223*60+W223</f>
        <v>145</v>
      </c>
      <c r="Y223" s="7">
        <f>I223-H223</f>
        <v>3.4722222218988463E-2</v>
      </c>
      <c r="Z223">
        <f>HOUR(Y223)</f>
        <v>0</v>
      </c>
      <c r="AA223">
        <f>MINUTE(Y223)</f>
        <v>50</v>
      </c>
      <c r="AB223">
        <f>Z223*60+AA223</f>
        <v>50</v>
      </c>
    </row>
    <row r="224" spans="1:28" x14ac:dyDescent="0.25">
      <c r="A224">
        <v>222</v>
      </c>
      <c r="B224" t="s">
        <v>33</v>
      </c>
      <c r="C224">
        <v>1</v>
      </c>
      <c r="D224" t="s">
        <v>35</v>
      </c>
      <c r="E224" s="6">
        <v>46038.572916666664</v>
      </c>
      <c r="F224" s="6">
        <v>46038.586805555555</v>
      </c>
      <c r="G224" s="6">
        <v>46038.65</v>
      </c>
      <c r="H224" s="6">
        <v>46038.833333333336</v>
      </c>
      <c r="I224" s="6">
        <v>46038.854166666664</v>
      </c>
      <c r="J224" s="6">
        <v>46038.857638888891</v>
      </c>
      <c r="K224">
        <v>6.83</v>
      </c>
      <c r="L224" s="6">
        <v>46038.861111111109</v>
      </c>
      <c r="M224" s="7">
        <f>F224-E224</f>
        <v>1.3888888890505768E-2</v>
      </c>
      <c r="N224">
        <f>HOUR(M224)</f>
        <v>0</v>
      </c>
      <c r="O224">
        <f>MINUTE(M224)</f>
        <v>20</v>
      </c>
      <c r="P224">
        <f>N224*60+O224</f>
        <v>20</v>
      </c>
      <c r="Q224" s="7">
        <f>G224-F224</f>
        <v>6.3194444446708076E-2</v>
      </c>
      <c r="R224">
        <f>HOUR(Q224)</f>
        <v>1</v>
      </c>
      <c r="S224">
        <f>MINUTE(Q224)</f>
        <v>31</v>
      </c>
      <c r="T224">
        <f>R224*60+S224</f>
        <v>91</v>
      </c>
      <c r="U224" s="7">
        <f>H224-G224</f>
        <v>0.18333333333430346</v>
      </c>
      <c r="V224">
        <f>HOUR(U224)</f>
        <v>4</v>
      </c>
      <c r="W224">
        <f>MINUTE(U224)</f>
        <v>24</v>
      </c>
      <c r="X224">
        <f>V224*60+W224</f>
        <v>264</v>
      </c>
      <c r="Y224" s="7">
        <f>I224-H224</f>
        <v>2.0833333328482695E-2</v>
      </c>
      <c r="Z224">
        <f>HOUR(Y224)</f>
        <v>0</v>
      </c>
      <c r="AA224">
        <f>MINUTE(Y224)</f>
        <v>30</v>
      </c>
      <c r="AB224">
        <f>Z224*60+AA224</f>
        <v>30</v>
      </c>
    </row>
    <row r="225" spans="1:28" x14ac:dyDescent="0.25">
      <c r="A225">
        <v>223</v>
      </c>
      <c r="B225" t="s">
        <v>33</v>
      </c>
      <c r="C225">
        <v>1</v>
      </c>
      <c r="D225" t="s">
        <v>30</v>
      </c>
      <c r="E225" s="6">
        <v>46038.545138888891</v>
      </c>
      <c r="F225" s="6">
        <v>46038.5625</v>
      </c>
      <c r="G225" s="6">
        <v>46038.625</v>
      </c>
      <c r="H225" s="6">
        <v>46038.706250000003</v>
      </c>
      <c r="I225" s="6">
        <v>46038.708333333336</v>
      </c>
      <c r="J225" s="6">
        <v>46038.715277777781</v>
      </c>
      <c r="K225">
        <v>4.08</v>
      </c>
      <c r="L225" s="6">
        <v>46038.722222222219</v>
      </c>
      <c r="M225" s="7">
        <f>F225-E225</f>
        <v>1.7361111109494232E-2</v>
      </c>
      <c r="N225">
        <f>HOUR(M225)</f>
        <v>0</v>
      </c>
      <c r="O225">
        <f>MINUTE(M225)</f>
        <v>25</v>
      </c>
      <c r="P225">
        <f>N225*60+O225</f>
        <v>25</v>
      </c>
      <c r="Q225" s="7">
        <f>G225-F225</f>
        <v>6.25E-2</v>
      </c>
      <c r="R225">
        <f>HOUR(Q225)</f>
        <v>1</v>
      </c>
      <c r="S225">
        <f>MINUTE(Q225)</f>
        <v>30</v>
      </c>
      <c r="T225">
        <f>R225*60+S225</f>
        <v>90</v>
      </c>
      <c r="U225" s="7">
        <f>H225-G225</f>
        <v>8.1250000002910383E-2</v>
      </c>
      <c r="V225">
        <f>HOUR(U225)</f>
        <v>1</v>
      </c>
      <c r="W225">
        <f>MINUTE(U225)</f>
        <v>57</v>
      </c>
      <c r="X225">
        <f>V225*60+W225</f>
        <v>117</v>
      </c>
      <c r="Y225" s="7">
        <f>I225-H225</f>
        <v>2.0833333328482695E-3</v>
      </c>
      <c r="Z225">
        <f>HOUR(Y225)</f>
        <v>0</v>
      </c>
      <c r="AA225">
        <f>MINUTE(Y225)</f>
        <v>3</v>
      </c>
      <c r="AB225">
        <f>Z225*60+AA225</f>
        <v>3</v>
      </c>
    </row>
    <row r="226" spans="1:28" x14ac:dyDescent="0.25">
      <c r="A226">
        <v>224</v>
      </c>
      <c r="B226" t="s">
        <v>29</v>
      </c>
      <c r="C226">
        <v>1</v>
      </c>
      <c r="D226" t="s">
        <v>35</v>
      </c>
      <c r="E226" s="6">
        <v>46038.291666666664</v>
      </c>
      <c r="F226" s="6">
        <v>46038.322916666664</v>
      </c>
      <c r="G226" s="6">
        <v>46038.385416666664</v>
      </c>
      <c r="H226" s="6">
        <v>46038.489583333336</v>
      </c>
      <c r="I226" s="6">
        <v>46038.496527777781</v>
      </c>
      <c r="J226" s="6">
        <v>46038.506944444445</v>
      </c>
      <c r="K226">
        <v>5.17</v>
      </c>
      <c r="L226" s="6">
        <v>46038.510416666664</v>
      </c>
      <c r="M226" s="7">
        <f>F226-E226</f>
        <v>3.125E-2</v>
      </c>
      <c r="N226">
        <f>HOUR(M226)</f>
        <v>0</v>
      </c>
      <c r="O226">
        <f>MINUTE(M226)</f>
        <v>45</v>
      </c>
      <c r="P226">
        <f>N226*60+O226</f>
        <v>45</v>
      </c>
      <c r="Q226" s="7">
        <f>G226-F226</f>
        <v>6.25E-2</v>
      </c>
      <c r="R226">
        <f>HOUR(Q226)</f>
        <v>1</v>
      </c>
      <c r="S226">
        <f>MINUTE(Q226)</f>
        <v>30</v>
      </c>
      <c r="T226">
        <f>R226*60+S226</f>
        <v>90</v>
      </c>
      <c r="U226" s="7">
        <f>H226-G226</f>
        <v>0.10416666667151731</v>
      </c>
      <c r="V226">
        <f>HOUR(U226)</f>
        <v>2</v>
      </c>
      <c r="W226">
        <f>MINUTE(U226)</f>
        <v>30</v>
      </c>
      <c r="X226">
        <f>V226*60+W226</f>
        <v>150</v>
      </c>
      <c r="Y226" s="7">
        <f>I226-H226</f>
        <v>6.9444444452528842E-3</v>
      </c>
      <c r="Z226">
        <f>HOUR(Y226)</f>
        <v>0</v>
      </c>
      <c r="AA226">
        <f>MINUTE(Y226)</f>
        <v>10</v>
      </c>
      <c r="AB226">
        <f>Z226*60+AA226</f>
        <v>10</v>
      </c>
    </row>
    <row r="227" spans="1:28" x14ac:dyDescent="0.25">
      <c r="A227">
        <v>225</v>
      </c>
      <c r="B227" t="s">
        <v>29</v>
      </c>
      <c r="C227">
        <v>1</v>
      </c>
      <c r="D227" t="s">
        <v>35</v>
      </c>
      <c r="E227" s="6">
        <v>46037.729166666664</v>
      </c>
      <c r="F227" s="6">
        <v>46037.736111111109</v>
      </c>
      <c r="G227" s="6">
        <v>46037.743055555555</v>
      </c>
      <c r="H227" s="6">
        <v>46037.770833333336</v>
      </c>
      <c r="I227" s="6">
        <v>46037.777777777781</v>
      </c>
      <c r="J227" s="6">
        <v>46037.783333333333</v>
      </c>
      <c r="K227">
        <v>1.3</v>
      </c>
      <c r="L227" s="6">
        <v>46037.790277777778</v>
      </c>
      <c r="M227" s="7">
        <f>F227-E227</f>
        <v>6.9444444452528842E-3</v>
      </c>
      <c r="N227">
        <f>HOUR(M227)</f>
        <v>0</v>
      </c>
      <c r="O227">
        <f>MINUTE(M227)</f>
        <v>10</v>
      </c>
      <c r="P227">
        <f>N227*60+O227</f>
        <v>10</v>
      </c>
      <c r="Q227" s="7">
        <f>G227-F227</f>
        <v>6.9444444452528842E-3</v>
      </c>
      <c r="R227">
        <f>HOUR(Q227)</f>
        <v>0</v>
      </c>
      <c r="S227">
        <f>MINUTE(Q227)</f>
        <v>10</v>
      </c>
      <c r="T227">
        <f>R227*60+S227</f>
        <v>10</v>
      </c>
      <c r="U227" s="7">
        <f>H227-G227</f>
        <v>2.7777777781011537E-2</v>
      </c>
      <c r="V227">
        <f>HOUR(U227)</f>
        <v>0</v>
      </c>
      <c r="W227">
        <f>MINUTE(U227)</f>
        <v>40</v>
      </c>
      <c r="X227">
        <f>V227*60+W227</f>
        <v>40</v>
      </c>
      <c r="Y227" s="7">
        <f>I227-H227</f>
        <v>6.9444444452528842E-3</v>
      </c>
      <c r="Z227">
        <f>HOUR(Y227)</f>
        <v>0</v>
      </c>
      <c r="AA227">
        <f>MINUTE(Y227)</f>
        <v>10</v>
      </c>
      <c r="AB227">
        <f>Z227*60+AA227</f>
        <v>10</v>
      </c>
    </row>
    <row r="228" spans="1:28" x14ac:dyDescent="0.25">
      <c r="A228">
        <v>226</v>
      </c>
      <c r="B228" t="s">
        <v>29</v>
      </c>
      <c r="C228">
        <v>1</v>
      </c>
      <c r="D228" t="s">
        <v>34</v>
      </c>
      <c r="E228" s="6">
        <v>46038.329861111109</v>
      </c>
      <c r="F228" s="6">
        <v>46038.347222222219</v>
      </c>
      <c r="G228" s="6">
        <v>46038.378472222219</v>
      </c>
      <c r="H228" s="6">
        <v>46038.484027777777</v>
      </c>
      <c r="I228" s="6">
        <v>46038.510416666664</v>
      </c>
      <c r="J228" s="6">
        <v>46038.520833333336</v>
      </c>
      <c r="K228">
        <v>4.58</v>
      </c>
      <c r="L228" s="6">
        <v>46038.527777777781</v>
      </c>
      <c r="M228" s="7">
        <f>F228-E228</f>
        <v>1.7361111109494232E-2</v>
      </c>
      <c r="N228">
        <f>HOUR(M228)</f>
        <v>0</v>
      </c>
      <c r="O228">
        <f>MINUTE(M228)</f>
        <v>25</v>
      </c>
      <c r="P228">
        <f>N228*60+O228</f>
        <v>25</v>
      </c>
      <c r="Q228" s="7">
        <f>G228-F228</f>
        <v>3.125E-2</v>
      </c>
      <c r="R228">
        <f>HOUR(Q228)</f>
        <v>0</v>
      </c>
      <c r="S228">
        <f>MINUTE(Q228)</f>
        <v>45</v>
      </c>
      <c r="T228">
        <f>R228*60+S228</f>
        <v>45</v>
      </c>
      <c r="U228" s="7">
        <f>H228-G228</f>
        <v>0.1055555555576575</v>
      </c>
      <c r="V228">
        <f>HOUR(U228)</f>
        <v>2</v>
      </c>
      <c r="W228">
        <f>MINUTE(U228)</f>
        <v>32</v>
      </c>
      <c r="X228">
        <f>V228*60+W228</f>
        <v>152</v>
      </c>
      <c r="Y228" s="7">
        <f>I228-H228</f>
        <v>2.6388888887595385E-2</v>
      </c>
      <c r="Z228">
        <f>HOUR(Y228)</f>
        <v>0</v>
      </c>
      <c r="AA228">
        <f>MINUTE(Y228)</f>
        <v>38</v>
      </c>
      <c r="AB228">
        <f>Z228*60+AA228</f>
        <v>38</v>
      </c>
    </row>
    <row r="229" spans="1:28" x14ac:dyDescent="0.25">
      <c r="A229">
        <v>227</v>
      </c>
      <c r="B229" t="s">
        <v>29</v>
      </c>
      <c r="C229">
        <v>1</v>
      </c>
      <c r="D229" t="s">
        <v>34</v>
      </c>
      <c r="E229" s="6">
        <v>46038.329861111109</v>
      </c>
      <c r="F229" s="6">
        <v>46038.347222222219</v>
      </c>
      <c r="G229" s="6">
        <v>46038.378472222219</v>
      </c>
      <c r="H229" s="6">
        <v>46038.484027777777</v>
      </c>
      <c r="I229" s="6">
        <v>46038.510416666664</v>
      </c>
      <c r="J229" s="6">
        <v>46038.520833333336</v>
      </c>
      <c r="K229">
        <v>4.58</v>
      </c>
      <c r="L229" s="6">
        <v>46038.527777777781</v>
      </c>
      <c r="M229" s="7">
        <f>F229-E229</f>
        <v>1.7361111109494232E-2</v>
      </c>
      <c r="N229">
        <f>HOUR(M229)</f>
        <v>0</v>
      </c>
      <c r="O229">
        <f>MINUTE(M229)</f>
        <v>25</v>
      </c>
      <c r="P229">
        <f>N229*60+O229</f>
        <v>25</v>
      </c>
      <c r="Q229" s="7">
        <f>G229-F229</f>
        <v>3.125E-2</v>
      </c>
      <c r="R229">
        <f>HOUR(Q229)</f>
        <v>0</v>
      </c>
      <c r="S229">
        <f>MINUTE(Q229)</f>
        <v>45</v>
      </c>
      <c r="T229">
        <f>R229*60+S229</f>
        <v>45</v>
      </c>
      <c r="U229" s="7">
        <f>H229-G229</f>
        <v>0.1055555555576575</v>
      </c>
      <c r="V229">
        <f>HOUR(U229)</f>
        <v>2</v>
      </c>
      <c r="W229">
        <f>MINUTE(U229)</f>
        <v>32</v>
      </c>
      <c r="X229">
        <f>V229*60+W229</f>
        <v>152</v>
      </c>
      <c r="Y229" s="7">
        <f>I229-H229</f>
        <v>2.6388888887595385E-2</v>
      </c>
      <c r="Z229">
        <f>HOUR(Y229)</f>
        <v>0</v>
      </c>
      <c r="AA229">
        <f>MINUTE(Y229)</f>
        <v>38</v>
      </c>
      <c r="AB229">
        <f>Z229*60+AA229</f>
        <v>38</v>
      </c>
    </row>
    <row r="230" spans="1:28" x14ac:dyDescent="0.25">
      <c r="A230">
        <v>228</v>
      </c>
      <c r="B230" t="s">
        <v>29</v>
      </c>
      <c r="C230">
        <v>1</v>
      </c>
      <c r="D230" t="s">
        <v>30</v>
      </c>
      <c r="E230" s="6">
        <v>46037.743055555555</v>
      </c>
      <c r="F230" s="6">
        <v>46037.75</v>
      </c>
      <c r="G230" s="6">
        <v>46037.760416666664</v>
      </c>
      <c r="H230" s="6">
        <v>46037.767361111109</v>
      </c>
      <c r="I230" s="6">
        <v>46037.774305555555</v>
      </c>
      <c r="J230" s="6">
        <v>46037.777777777781</v>
      </c>
      <c r="K230">
        <v>0.83</v>
      </c>
      <c r="L230" s="6">
        <v>46037.779861111114</v>
      </c>
      <c r="M230" s="7">
        <f>F230-E230</f>
        <v>6.9444444452528842E-3</v>
      </c>
      <c r="N230">
        <f>HOUR(M230)</f>
        <v>0</v>
      </c>
      <c r="O230">
        <f>MINUTE(M230)</f>
        <v>10</v>
      </c>
      <c r="P230">
        <f>N230*60+O230</f>
        <v>10</v>
      </c>
      <c r="Q230" s="7">
        <f>G230-F230</f>
        <v>1.0416666664241347E-2</v>
      </c>
      <c r="R230">
        <f>HOUR(Q230)</f>
        <v>0</v>
      </c>
      <c r="S230">
        <f>MINUTE(Q230)</f>
        <v>15</v>
      </c>
      <c r="T230">
        <f>R230*60+S230</f>
        <v>15</v>
      </c>
      <c r="U230" s="7">
        <f>H230-G230</f>
        <v>6.9444444452528842E-3</v>
      </c>
      <c r="V230">
        <f>HOUR(U230)</f>
        <v>0</v>
      </c>
      <c r="W230">
        <f>MINUTE(U230)</f>
        <v>10</v>
      </c>
      <c r="X230">
        <f>V230*60+W230</f>
        <v>10</v>
      </c>
      <c r="Y230" s="7">
        <f>I230-H230</f>
        <v>6.9444444452528842E-3</v>
      </c>
      <c r="Z230">
        <f>HOUR(Y230)</f>
        <v>0</v>
      </c>
      <c r="AA230">
        <f>MINUTE(Y230)</f>
        <v>10</v>
      </c>
      <c r="AB230">
        <f>Z230*60+AA230</f>
        <v>10</v>
      </c>
    </row>
    <row r="231" spans="1:28" x14ac:dyDescent="0.25">
      <c r="A231">
        <v>229</v>
      </c>
      <c r="B231" t="s">
        <v>31</v>
      </c>
      <c r="C231">
        <v>1</v>
      </c>
      <c r="D231" t="s">
        <v>30</v>
      </c>
      <c r="E231" s="6">
        <v>46037.8125</v>
      </c>
      <c r="F231" s="6">
        <v>46037.819444444445</v>
      </c>
      <c r="G231" s="6">
        <v>46037.826388888891</v>
      </c>
      <c r="H231" s="6">
        <v>46037.834027777775</v>
      </c>
      <c r="I231" s="6">
        <v>46037.84097222222</v>
      </c>
      <c r="J231" s="6">
        <v>46037.895833333336</v>
      </c>
      <c r="K231">
        <v>2</v>
      </c>
      <c r="L231" s="6">
        <v>46037.902777777781</v>
      </c>
      <c r="M231" s="7">
        <f>F231-E231</f>
        <v>6.9444444452528842E-3</v>
      </c>
      <c r="N231">
        <f>HOUR(M231)</f>
        <v>0</v>
      </c>
      <c r="O231">
        <f>MINUTE(M231)</f>
        <v>10</v>
      </c>
      <c r="P231">
        <f>N231*60+O231</f>
        <v>10</v>
      </c>
      <c r="Q231" s="7">
        <f>G231-F231</f>
        <v>6.9444444452528842E-3</v>
      </c>
      <c r="R231">
        <f>HOUR(Q231)</f>
        <v>0</v>
      </c>
      <c r="S231">
        <f>MINUTE(Q231)</f>
        <v>10</v>
      </c>
      <c r="T231">
        <f>R231*60+S231</f>
        <v>10</v>
      </c>
      <c r="U231" s="7">
        <f>H231-G231</f>
        <v>7.6388888846850023E-3</v>
      </c>
      <c r="V231">
        <f>HOUR(U231)</f>
        <v>0</v>
      </c>
      <c r="W231">
        <f>MINUTE(U231)</f>
        <v>11</v>
      </c>
      <c r="X231">
        <f>V231*60+W231</f>
        <v>11</v>
      </c>
      <c r="Y231" s="7">
        <f>I231-H231</f>
        <v>6.9444444452528842E-3</v>
      </c>
      <c r="Z231">
        <f>HOUR(Y231)</f>
        <v>0</v>
      </c>
      <c r="AA231">
        <f>MINUTE(Y231)</f>
        <v>10</v>
      </c>
      <c r="AB231">
        <f>Z231*60+AA231</f>
        <v>10</v>
      </c>
    </row>
    <row r="232" spans="1:28" x14ac:dyDescent="0.25">
      <c r="A232">
        <v>230</v>
      </c>
      <c r="B232" t="s">
        <v>33</v>
      </c>
      <c r="C232">
        <v>1</v>
      </c>
      <c r="D232" t="s">
        <v>30</v>
      </c>
      <c r="E232" s="6">
        <v>46037.927083333336</v>
      </c>
      <c r="F232" s="6">
        <v>46037.934027777781</v>
      </c>
      <c r="G232" s="6">
        <v>46037.938194444447</v>
      </c>
      <c r="H232" s="6">
        <v>46037.96597222222</v>
      </c>
      <c r="I232" s="6">
        <v>46037.972916666666</v>
      </c>
      <c r="J232" s="6">
        <v>46037.979166666664</v>
      </c>
      <c r="K232">
        <v>1.25</v>
      </c>
      <c r="L232" s="6">
        <v>46037.986111111109</v>
      </c>
      <c r="M232" s="7">
        <f>F232-E232</f>
        <v>6.9444444452528842E-3</v>
      </c>
      <c r="N232">
        <f>HOUR(M232)</f>
        <v>0</v>
      </c>
      <c r="O232">
        <f>MINUTE(M232)</f>
        <v>10</v>
      </c>
      <c r="P232">
        <f>N232*60+O232</f>
        <v>10</v>
      </c>
      <c r="Q232" s="7">
        <f>G232-F232</f>
        <v>4.166666665696539E-3</v>
      </c>
      <c r="R232">
        <f>HOUR(Q232)</f>
        <v>0</v>
      </c>
      <c r="S232">
        <f>MINUTE(Q232)</f>
        <v>6</v>
      </c>
      <c r="T232">
        <f>R232*60+S232</f>
        <v>6</v>
      </c>
      <c r="U232" s="7">
        <f>H232-G232</f>
        <v>2.7777777773735579E-2</v>
      </c>
      <c r="V232">
        <f>HOUR(U232)</f>
        <v>0</v>
      </c>
      <c r="W232">
        <f>MINUTE(U232)</f>
        <v>40</v>
      </c>
      <c r="X232">
        <f>V232*60+W232</f>
        <v>40</v>
      </c>
      <c r="Y232" s="7">
        <f>I232-H232</f>
        <v>6.9444444452528842E-3</v>
      </c>
      <c r="Z232">
        <f>HOUR(Y232)</f>
        <v>0</v>
      </c>
      <c r="AA232">
        <f>MINUTE(Y232)</f>
        <v>10</v>
      </c>
      <c r="AB232">
        <f>Z232*60+AA232</f>
        <v>10</v>
      </c>
    </row>
    <row r="233" spans="1:28" x14ac:dyDescent="0.25">
      <c r="A233">
        <v>231</v>
      </c>
      <c r="B233" t="s">
        <v>29</v>
      </c>
      <c r="C233">
        <v>1</v>
      </c>
      <c r="D233" t="s">
        <v>34</v>
      </c>
      <c r="E233" s="6">
        <v>46038.0625</v>
      </c>
      <c r="F233" s="6">
        <v>46038.072916666664</v>
      </c>
      <c r="G233" s="6">
        <v>46038.076388888891</v>
      </c>
      <c r="H233" s="6">
        <v>46038.086805555555</v>
      </c>
      <c r="I233" s="6">
        <v>46038.090277777781</v>
      </c>
      <c r="J233" s="6">
        <v>46038.09375</v>
      </c>
      <c r="K233">
        <v>0.75</v>
      </c>
      <c r="L233" s="6">
        <v>46038.100694444445</v>
      </c>
      <c r="M233" s="7">
        <f>F233-E233</f>
        <v>1.0416666664241347E-2</v>
      </c>
      <c r="N233">
        <f>HOUR(M233)</f>
        <v>0</v>
      </c>
      <c r="O233">
        <f>MINUTE(M233)</f>
        <v>15</v>
      </c>
      <c r="P233">
        <f>N233*60+O233</f>
        <v>15</v>
      </c>
      <c r="Q233" s="7">
        <f>G233-F233</f>
        <v>3.4722222262644209E-3</v>
      </c>
      <c r="R233">
        <f>HOUR(Q233)</f>
        <v>0</v>
      </c>
      <c r="S233">
        <f>MINUTE(Q233)</f>
        <v>5</v>
      </c>
      <c r="T233">
        <f>R233*60+S233</f>
        <v>5</v>
      </c>
      <c r="U233" s="7">
        <f>H233-G233</f>
        <v>1.0416666664241347E-2</v>
      </c>
      <c r="V233">
        <f>HOUR(U233)</f>
        <v>0</v>
      </c>
      <c r="W233">
        <f>MINUTE(U233)</f>
        <v>15</v>
      </c>
      <c r="X233">
        <f>V233*60+W233</f>
        <v>15</v>
      </c>
      <c r="Y233" s="7">
        <f>I233-H233</f>
        <v>3.4722222262644209E-3</v>
      </c>
      <c r="Z233">
        <f>HOUR(Y233)</f>
        <v>0</v>
      </c>
      <c r="AA233">
        <f>MINUTE(Y233)</f>
        <v>5</v>
      </c>
      <c r="AB233">
        <f>Z233*60+AA233</f>
        <v>5</v>
      </c>
    </row>
    <row r="234" spans="1:28" x14ac:dyDescent="0.25">
      <c r="A234">
        <v>232</v>
      </c>
      <c r="B234" t="s">
        <v>33</v>
      </c>
      <c r="C234">
        <v>1</v>
      </c>
      <c r="D234" t="s">
        <v>30</v>
      </c>
      <c r="E234" s="6">
        <v>46038.736111111109</v>
      </c>
      <c r="F234" s="6">
        <v>46038.743055555555</v>
      </c>
      <c r="G234" s="6">
        <v>46038.75</v>
      </c>
      <c r="H234" s="6">
        <v>46038.8</v>
      </c>
      <c r="I234" s="6">
        <v>46038.806944444441</v>
      </c>
      <c r="J234" s="6">
        <v>46038.8125</v>
      </c>
      <c r="K234">
        <v>1.83</v>
      </c>
      <c r="L234" s="6">
        <v>46038.819444444445</v>
      </c>
      <c r="M234" s="7">
        <f>F234-E234</f>
        <v>6.9444444452528842E-3</v>
      </c>
      <c r="N234">
        <f>HOUR(M234)</f>
        <v>0</v>
      </c>
      <c r="O234">
        <f>MINUTE(M234)</f>
        <v>10</v>
      </c>
      <c r="P234">
        <f>N234*60+O234</f>
        <v>10</v>
      </c>
      <c r="Q234" s="7">
        <f>G234-F234</f>
        <v>6.9444444452528842E-3</v>
      </c>
      <c r="R234">
        <f>HOUR(Q234)</f>
        <v>0</v>
      </c>
      <c r="S234">
        <f>MINUTE(Q234)</f>
        <v>10</v>
      </c>
      <c r="T234">
        <f>R234*60+S234</f>
        <v>10</v>
      </c>
      <c r="U234" s="7">
        <f>H234-G234</f>
        <v>5.0000000002910383E-2</v>
      </c>
      <c r="V234">
        <f>HOUR(U234)</f>
        <v>1</v>
      </c>
      <c r="W234">
        <f>MINUTE(U234)</f>
        <v>12</v>
      </c>
      <c r="X234">
        <f>V234*60+W234</f>
        <v>72</v>
      </c>
      <c r="Y234" s="7">
        <f>I234-H234</f>
        <v>6.9444444379769266E-3</v>
      </c>
      <c r="Z234">
        <f>HOUR(Y234)</f>
        <v>0</v>
      </c>
      <c r="AA234">
        <f>MINUTE(Y234)</f>
        <v>10</v>
      </c>
      <c r="AB234">
        <f>Z234*60+AA234</f>
        <v>10</v>
      </c>
    </row>
    <row r="235" spans="1:28" x14ac:dyDescent="0.25">
      <c r="A235">
        <v>233</v>
      </c>
      <c r="B235" t="s">
        <v>29</v>
      </c>
      <c r="C235">
        <v>1</v>
      </c>
      <c r="D235" t="s">
        <v>34</v>
      </c>
      <c r="E235" s="6">
        <v>46038.579861111109</v>
      </c>
      <c r="F235" s="6">
        <v>46038.583333333336</v>
      </c>
      <c r="G235" s="6">
        <v>46038.590277777781</v>
      </c>
      <c r="H235" s="6">
        <v>46038.756944444445</v>
      </c>
      <c r="I235" s="6">
        <v>46038.763888888891</v>
      </c>
      <c r="J235" s="6">
        <v>46038.788194444445</v>
      </c>
      <c r="K235">
        <v>5</v>
      </c>
      <c r="L235" s="6">
        <v>46038.795138888891</v>
      </c>
      <c r="M235" s="7">
        <f>F235-E235</f>
        <v>3.4722222262644209E-3</v>
      </c>
      <c r="N235">
        <f>HOUR(M235)</f>
        <v>0</v>
      </c>
      <c r="O235">
        <f>MINUTE(M235)</f>
        <v>5</v>
      </c>
      <c r="P235">
        <f>N235*60+O235</f>
        <v>5</v>
      </c>
      <c r="Q235" s="7">
        <f>G235-F235</f>
        <v>6.9444444452528842E-3</v>
      </c>
      <c r="R235">
        <f>HOUR(Q235)</f>
        <v>0</v>
      </c>
      <c r="S235">
        <f>MINUTE(Q235)</f>
        <v>10</v>
      </c>
      <c r="T235">
        <f>R235*60+S235</f>
        <v>10</v>
      </c>
      <c r="U235" s="7">
        <f>H235-G235</f>
        <v>0.16666666666424135</v>
      </c>
      <c r="V235">
        <f>HOUR(U235)</f>
        <v>4</v>
      </c>
      <c r="W235">
        <f>MINUTE(U235)</f>
        <v>0</v>
      </c>
      <c r="X235">
        <f>V235*60+W235</f>
        <v>240</v>
      </c>
      <c r="Y235" s="7">
        <f>I235-H235</f>
        <v>6.9444444452528842E-3</v>
      </c>
      <c r="Z235">
        <f>HOUR(Y235)</f>
        <v>0</v>
      </c>
      <c r="AA235">
        <f>MINUTE(Y235)</f>
        <v>10</v>
      </c>
      <c r="AB235">
        <f>Z235*60+AA235</f>
        <v>10</v>
      </c>
    </row>
    <row r="236" spans="1:28" x14ac:dyDescent="0.25">
      <c r="A236">
        <v>234</v>
      </c>
      <c r="B236" t="s">
        <v>33</v>
      </c>
      <c r="C236">
        <v>1</v>
      </c>
      <c r="D236" t="s">
        <v>34</v>
      </c>
      <c r="E236" s="6">
        <v>46039.645833333336</v>
      </c>
      <c r="F236" s="6">
        <v>46039.652777777781</v>
      </c>
      <c r="G236" s="6">
        <v>46039.659722222219</v>
      </c>
      <c r="H236" s="6">
        <v>46039.722222222219</v>
      </c>
      <c r="I236" s="6">
        <v>46039.729166666664</v>
      </c>
      <c r="J236" s="6">
        <v>46039.732638888891</v>
      </c>
      <c r="K236">
        <v>2.08</v>
      </c>
      <c r="L236" s="6">
        <v>46039.739583333336</v>
      </c>
      <c r="M236" s="7">
        <f>F236-E236</f>
        <v>6.9444444452528842E-3</v>
      </c>
      <c r="N236">
        <f>HOUR(M236)</f>
        <v>0</v>
      </c>
      <c r="O236">
        <f>MINUTE(M236)</f>
        <v>10</v>
      </c>
      <c r="P236">
        <f>N236*60+O236</f>
        <v>10</v>
      </c>
      <c r="Q236" s="7">
        <f>G236-F236</f>
        <v>6.9444444379769266E-3</v>
      </c>
      <c r="R236">
        <f>HOUR(Q236)</f>
        <v>0</v>
      </c>
      <c r="S236">
        <f>MINUTE(Q236)</f>
        <v>10</v>
      </c>
      <c r="T236">
        <f>R236*60+S236</f>
        <v>10</v>
      </c>
      <c r="U236" s="7">
        <f>H236-G236</f>
        <v>6.25E-2</v>
      </c>
      <c r="V236">
        <f>HOUR(U236)</f>
        <v>1</v>
      </c>
      <c r="W236">
        <f>MINUTE(U236)</f>
        <v>30</v>
      </c>
      <c r="X236">
        <f>V236*60+W236</f>
        <v>90</v>
      </c>
      <c r="Y236" s="7">
        <f>I236-H236</f>
        <v>6.9444444452528842E-3</v>
      </c>
      <c r="Z236">
        <f>HOUR(Y236)</f>
        <v>0</v>
      </c>
      <c r="AA236">
        <f>MINUTE(Y236)</f>
        <v>10</v>
      </c>
      <c r="AB236">
        <f>Z236*60+AA236</f>
        <v>10</v>
      </c>
    </row>
    <row r="237" spans="1:28" x14ac:dyDescent="0.25">
      <c r="A237">
        <v>235</v>
      </c>
      <c r="B237" t="s">
        <v>29</v>
      </c>
      <c r="C237">
        <v>1</v>
      </c>
      <c r="D237" t="s">
        <v>30</v>
      </c>
      <c r="E237" s="6">
        <v>46038.629861111112</v>
      </c>
      <c r="F237" s="6">
        <v>46038.631944444445</v>
      </c>
      <c r="G237" s="6">
        <v>46038.635416666664</v>
      </c>
      <c r="H237" s="6">
        <v>46038.659722222219</v>
      </c>
      <c r="I237" s="6">
        <v>46038.666666666664</v>
      </c>
      <c r="J237" s="6">
        <v>46038.668055555558</v>
      </c>
      <c r="K237">
        <v>0.92</v>
      </c>
      <c r="L237" s="6">
        <v>46038.675000000003</v>
      </c>
      <c r="M237" s="7">
        <f>F237-E237</f>
        <v>2.0833333328482695E-3</v>
      </c>
      <c r="N237">
        <f>HOUR(M237)</f>
        <v>0</v>
      </c>
      <c r="O237">
        <f>MINUTE(M237)</f>
        <v>3</v>
      </c>
      <c r="P237">
        <f>N237*60+O237</f>
        <v>3</v>
      </c>
      <c r="Q237" s="7">
        <f>G237-F237</f>
        <v>3.4722222189884633E-3</v>
      </c>
      <c r="R237">
        <f>HOUR(Q237)</f>
        <v>0</v>
      </c>
      <c r="S237">
        <f>MINUTE(Q237)</f>
        <v>5</v>
      </c>
      <c r="T237">
        <f>R237*60+S237</f>
        <v>5</v>
      </c>
      <c r="U237" s="7">
        <f>H237-G237</f>
        <v>2.4305555554747116E-2</v>
      </c>
      <c r="V237">
        <f>HOUR(U237)</f>
        <v>0</v>
      </c>
      <c r="W237">
        <f>MINUTE(U237)</f>
        <v>35</v>
      </c>
      <c r="X237">
        <f>V237*60+W237</f>
        <v>35</v>
      </c>
      <c r="Y237" s="7">
        <f>I237-H237</f>
        <v>6.9444444452528842E-3</v>
      </c>
      <c r="Z237">
        <f>HOUR(Y237)</f>
        <v>0</v>
      </c>
      <c r="AA237">
        <f>MINUTE(Y237)</f>
        <v>10</v>
      </c>
      <c r="AB237">
        <f>Z237*60+AA237</f>
        <v>10</v>
      </c>
    </row>
    <row r="238" spans="1:28" x14ac:dyDescent="0.25">
      <c r="A238">
        <v>236</v>
      </c>
      <c r="B238" t="s">
        <v>33</v>
      </c>
      <c r="C238">
        <v>1</v>
      </c>
      <c r="D238" t="s">
        <v>36</v>
      </c>
      <c r="E238" s="6">
        <v>46041.291666666664</v>
      </c>
      <c r="F238" s="6">
        <v>46041.354166666664</v>
      </c>
      <c r="G238" s="6">
        <v>46041.381944444445</v>
      </c>
      <c r="H238" s="6">
        <v>46041.5</v>
      </c>
      <c r="I238" s="6">
        <v>46041.506944444445</v>
      </c>
      <c r="J238" s="6">
        <v>46041.520833333336</v>
      </c>
      <c r="K238">
        <v>5.5</v>
      </c>
      <c r="L238" s="6">
        <v>46041.527777777781</v>
      </c>
      <c r="M238" s="7">
        <f>F238-E238</f>
        <v>6.25E-2</v>
      </c>
      <c r="N238">
        <f>HOUR(M238)</f>
        <v>1</v>
      </c>
      <c r="O238">
        <f>MINUTE(M238)</f>
        <v>30</v>
      </c>
      <c r="P238">
        <f>N238*60+O238</f>
        <v>90</v>
      </c>
      <c r="Q238" s="7">
        <f>G238-F238</f>
        <v>2.7777777781011537E-2</v>
      </c>
      <c r="R238">
        <f>HOUR(Q238)</f>
        <v>0</v>
      </c>
      <c r="S238">
        <f>MINUTE(Q238)</f>
        <v>40</v>
      </c>
      <c r="T238">
        <f>R238*60+S238</f>
        <v>40</v>
      </c>
      <c r="U238" s="7">
        <f>H238-G238</f>
        <v>0.11805555555474712</v>
      </c>
      <c r="V238">
        <f>HOUR(U238)</f>
        <v>2</v>
      </c>
      <c r="W238">
        <f>MINUTE(U238)</f>
        <v>50</v>
      </c>
      <c r="X238">
        <f>V238*60+W238</f>
        <v>170</v>
      </c>
      <c r="Y238" s="7">
        <f>I238-H238</f>
        <v>6.9444444452528842E-3</v>
      </c>
      <c r="Z238">
        <f>HOUR(Y238)</f>
        <v>0</v>
      </c>
      <c r="AA238">
        <f>MINUTE(Y238)</f>
        <v>10</v>
      </c>
      <c r="AB238">
        <f>Z238*60+AA238</f>
        <v>10</v>
      </c>
    </row>
    <row r="239" spans="1:28" x14ac:dyDescent="0.25">
      <c r="A239">
        <v>237</v>
      </c>
      <c r="B239" t="s">
        <v>33</v>
      </c>
      <c r="C239">
        <v>1</v>
      </c>
      <c r="D239" t="s">
        <v>35</v>
      </c>
      <c r="E239" s="6">
        <v>46041.291666666664</v>
      </c>
      <c r="F239" s="6">
        <v>46041.333333333336</v>
      </c>
      <c r="G239" s="6">
        <v>46041.354166666664</v>
      </c>
      <c r="H239" s="6">
        <v>46041.534722222219</v>
      </c>
      <c r="I239" s="6">
        <v>46041.541666666664</v>
      </c>
      <c r="J239" s="6">
        <v>46041.555555555555</v>
      </c>
      <c r="K239">
        <v>6.33</v>
      </c>
      <c r="L239" s="6">
        <v>46041.559027777781</v>
      </c>
      <c r="M239" s="7">
        <f>F239-E239</f>
        <v>4.1666666671517305E-2</v>
      </c>
      <c r="N239">
        <f>HOUR(M239)</f>
        <v>1</v>
      </c>
      <c r="O239">
        <f>MINUTE(M239)</f>
        <v>0</v>
      </c>
      <c r="P239">
        <f>N239*60+O239</f>
        <v>60</v>
      </c>
      <c r="Q239" s="7">
        <f>G239-F239</f>
        <v>2.0833333328482695E-2</v>
      </c>
      <c r="R239">
        <f>HOUR(Q239)</f>
        <v>0</v>
      </c>
      <c r="S239">
        <f>MINUTE(Q239)</f>
        <v>30</v>
      </c>
      <c r="T239">
        <f>R239*60+S239</f>
        <v>30</v>
      </c>
      <c r="U239" s="7">
        <f>H239-G239</f>
        <v>0.18055555555474712</v>
      </c>
      <c r="V239">
        <f>HOUR(U239)</f>
        <v>4</v>
      </c>
      <c r="W239">
        <f>MINUTE(U239)</f>
        <v>20</v>
      </c>
      <c r="X239">
        <f>V239*60+W239</f>
        <v>260</v>
      </c>
      <c r="Y239" s="7">
        <f>I239-H239</f>
        <v>6.9444444452528842E-3</v>
      </c>
      <c r="Z239">
        <f>HOUR(Y239)</f>
        <v>0</v>
      </c>
      <c r="AA239">
        <f>MINUTE(Y239)</f>
        <v>10</v>
      </c>
      <c r="AB239">
        <f>Z239*60+AA239</f>
        <v>10</v>
      </c>
    </row>
    <row r="240" spans="1:28" x14ac:dyDescent="0.25">
      <c r="A240">
        <v>238</v>
      </c>
      <c r="B240" t="s">
        <v>33</v>
      </c>
      <c r="C240">
        <v>1</v>
      </c>
      <c r="D240" t="s">
        <v>30</v>
      </c>
      <c r="E240" s="6">
        <v>46038.854166666664</v>
      </c>
      <c r="F240" s="6">
        <v>46038.864583333336</v>
      </c>
      <c r="G240" s="6">
        <v>46038.875</v>
      </c>
      <c r="H240" s="6">
        <v>46038.979166666664</v>
      </c>
      <c r="I240" s="6">
        <v>46038.982638888891</v>
      </c>
      <c r="J240" s="6">
        <v>46038.98333333333</v>
      </c>
      <c r="K240">
        <v>3.1</v>
      </c>
      <c r="L240" s="6">
        <v>46038.984027777777</v>
      </c>
      <c r="M240" s="7">
        <f>F240-E240</f>
        <v>1.0416666671517305E-2</v>
      </c>
      <c r="N240">
        <f>HOUR(M240)</f>
        <v>0</v>
      </c>
      <c r="O240">
        <f>MINUTE(M240)</f>
        <v>15</v>
      </c>
      <c r="P240">
        <f>N240*60+O240</f>
        <v>15</v>
      </c>
      <c r="Q240" s="7">
        <f>G240-F240</f>
        <v>1.0416666664241347E-2</v>
      </c>
      <c r="R240">
        <f>HOUR(Q240)</f>
        <v>0</v>
      </c>
      <c r="S240">
        <f>MINUTE(Q240)</f>
        <v>15</v>
      </c>
      <c r="T240">
        <f>R240*60+S240</f>
        <v>15</v>
      </c>
      <c r="U240" s="7">
        <f>H240-G240</f>
        <v>0.10416666666424135</v>
      </c>
      <c r="V240">
        <f>HOUR(U240)</f>
        <v>2</v>
      </c>
      <c r="W240">
        <f>MINUTE(U240)</f>
        <v>30</v>
      </c>
      <c r="X240">
        <f>V240*60+W240</f>
        <v>150</v>
      </c>
      <c r="Y240" s="7">
        <f>I240-H240</f>
        <v>3.4722222262644209E-3</v>
      </c>
      <c r="Z240">
        <f>HOUR(Y240)</f>
        <v>0</v>
      </c>
      <c r="AA240">
        <f>MINUTE(Y240)</f>
        <v>5</v>
      </c>
      <c r="AB240">
        <f>Z240*60+AA240</f>
        <v>5</v>
      </c>
    </row>
    <row r="241" spans="1:28" x14ac:dyDescent="0.25">
      <c r="A241">
        <v>239</v>
      </c>
      <c r="B241" t="s">
        <v>29</v>
      </c>
      <c r="C241">
        <v>1</v>
      </c>
      <c r="D241" t="s">
        <v>30</v>
      </c>
      <c r="E241" s="6">
        <v>46038.923611111109</v>
      </c>
      <c r="F241" s="6">
        <v>46038.951388888891</v>
      </c>
      <c r="G241" s="6">
        <v>46038.961805555555</v>
      </c>
      <c r="H241" s="6">
        <v>46039.010416666664</v>
      </c>
      <c r="I241" s="6">
        <v>46039.013194444444</v>
      </c>
      <c r="J241" s="6">
        <v>46039.013888888891</v>
      </c>
      <c r="K241">
        <v>2.17</v>
      </c>
      <c r="L241" s="6">
        <v>46039.015277777777</v>
      </c>
      <c r="M241" s="7">
        <f>F241-E241</f>
        <v>2.7777777781011537E-2</v>
      </c>
      <c r="N241">
        <f>HOUR(M241)</f>
        <v>0</v>
      </c>
      <c r="O241">
        <f>MINUTE(M241)</f>
        <v>40</v>
      </c>
      <c r="P241">
        <f>N241*60+O241</f>
        <v>40</v>
      </c>
      <c r="Q241" s="7">
        <f>G241-F241</f>
        <v>1.0416666664241347E-2</v>
      </c>
      <c r="R241">
        <f>HOUR(Q241)</f>
        <v>0</v>
      </c>
      <c r="S241">
        <f>MINUTE(Q241)</f>
        <v>15</v>
      </c>
      <c r="T241">
        <f>R241*60+S241</f>
        <v>15</v>
      </c>
      <c r="U241" s="7">
        <f>H241-G241</f>
        <v>4.8611111109494232E-2</v>
      </c>
      <c r="V241">
        <f>HOUR(U241)</f>
        <v>1</v>
      </c>
      <c r="W241">
        <f>MINUTE(U241)</f>
        <v>10</v>
      </c>
      <c r="X241">
        <f>V241*60+W241</f>
        <v>70</v>
      </c>
      <c r="Y241" s="7">
        <f>I241-H241</f>
        <v>2.7777777795563452E-3</v>
      </c>
      <c r="Z241">
        <f>HOUR(Y241)</f>
        <v>0</v>
      </c>
      <c r="AA241">
        <f>MINUTE(Y241)</f>
        <v>4</v>
      </c>
      <c r="AB241">
        <f>Z241*60+AA241</f>
        <v>4</v>
      </c>
    </row>
    <row r="242" spans="1:28" x14ac:dyDescent="0.25">
      <c r="A242">
        <v>240</v>
      </c>
      <c r="B242" t="s">
        <v>29</v>
      </c>
      <c r="C242">
        <v>1</v>
      </c>
      <c r="D242" t="s">
        <v>30</v>
      </c>
      <c r="E242" s="6">
        <v>46038.847222222219</v>
      </c>
      <c r="F242" s="6">
        <v>46038.850694444445</v>
      </c>
      <c r="G242" s="6">
        <v>46038.857638888891</v>
      </c>
      <c r="H242" s="6">
        <v>46038.892361111109</v>
      </c>
      <c r="I242" s="6">
        <v>46038.899305555555</v>
      </c>
      <c r="J242" s="6">
        <v>46038.902777777781</v>
      </c>
      <c r="K242">
        <v>1.33</v>
      </c>
      <c r="L242" s="6">
        <v>46038.90347222222</v>
      </c>
      <c r="M242" s="7">
        <f>F242-E242</f>
        <v>3.4722222262644209E-3</v>
      </c>
      <c r="N242">
        <f>HOUR(M242)</f>
        <v>0</v>
      </c>
      <c r="O242">
        <f>MINUTE(M242)</f>
        <v>5</v>
      </c>
      <c r="P242">
        <f>N242*60+O242</f>
        <v>5</v>
      </c>
      <c r="Q242" s="7">
        <f>G242-F242</f>
        <v>6.9444444452528842E-3</v>
      </c>
      <c r="R242">
        <f>HOUR(Q242)</f>
        <v>0</v>
      </c>
      <c r="S242">
        <f>MINUTE(Q242)</f>
        <v>10</v>
      </c>
      <c r="T242">
        <f>R242*60+S242</f>
        <v>10</v>
      </c>
      <c r="U242" s="7">
        <f>H242-G242</f>
        <v>3.4722222218988463E-2</v>
      </c>
      <c r="V242">
        <f>HOUR(U242)</f>
        <v>0</v>
      </c>
      <c r="W242">
        <f>MINUTE(U242)</f>
        <v>50</v>
      </c>
      <c r="X242">
        <f>V242*60+W242</f>
        <v>50</v>
      </c>
      <c r="Y242" s="7">
        <f>I242-H242</f>
        <v>6.9444444452528842E-3</v>
      </c>
      <c r="Z242">
        <f>HOUR(Y242)</f>
        <v>0</v>
      </c>
      <c r="AA242">
        <f>MINUTE(Y242)</f>
        <v>10</v>
      </c>
      <c r="AB242">
        <f>Z242*60+AA242</f>
        <v>10</v>
      </c>
    </row>
    <row r="243" spans="1:28" x14ac:dyDescent="0.25">
      <c r="A243">
        <v>241</v>
      </c>
      <c r="B243" t="s">
        <v>29</v>
      </c>
      <c r="C243">
        <v>1</v>
      </c>
      <c r="D243" t="s">
        <v>35</v>
      </c>
      <c r="E243" s="6">
        <v>46039.347222222219</v>
      </c>
      <c r="F243" s="6">
        <v>46039.349305555559</v>
      </c>
      <c r="G243" s="6">
        <v>46039.357638888891</v>
      </c>
      <c r="H243" s="6">
        <v>46039.375</v>
      </c>
      <c r="I243" s="6">
        <v>46039.381944444445</v>
      </c>
      <c r="J243" s="6">
        <v>46039.388888888891</v>
      </c>
      <c r="K243">
        <v>1</v>
      </c>
      <c r="L243" s="6">
        <v>46039.395833333336</v>
      </c>
      <c r="M243" s="7">
        <f>F243-E243</f>
        <v>2.0833333401242271E-3</v>
      </c>
      <c r="N243">
        <f>HOUR(M243)</f>
        <v>0</v>
      </c>
      <c r="O243">
        <f>MINUTE(M243)</f>
        <v>3</v>
      </c>
      <c r="P243">
        <f>N243*60+O243</f>
        <v>3</v>
      </c>
      <c r="Q243" s="7">
        <f>G243-F243</f>
        <v>8.333333331393078E-3</v>
      </c>
      <c r="R243">
        <f>HOUR(Q243)</f>
        <v>0</v>
      </c>
      <c r="S243">
        <f>MINUTE(Q243)</f>
        <v>12</v>
      </c>
      <c r="T243">
        <f>R243*60+S243</f>
        <v>12</v>
      </c>
      <c r="U243" s="7">
        <f>H243-G243</f>
        <v>1.7361111109494232E-2</v>
      </c>
      <c r="V243">
        <f>HOUR(U243)</f>
        <v>0</v>
      </c>
      <c r="W243">
        <f>MINUTE(U243)</f>
        <v>25</v>
      </c>
      <c r="X243">
        <f>V243*60+W243</f>
        <v>25</v>
      </c>
      <c r="Y243" s="7">
        <f>I243-H243</f>
        <v>6.9444444452528842E-3</v>
      </c>
      <c r="Z243">
        <f>HOUR(Y243)</f>
        <v>0</v>
      </c>
      <c r="AA243">
        <f>MINUTE(Y243)</f>
        <v>10</v>
      </c>
      <c r="AB243">
        <f>Z243*60+AA243</f>
        <v>10</v>
      </c>
    </row>
    <row r="244" spans="1:28" x14ac:dyDescent="0.25">
      <c r="A244">
        <v>242</v>
      </c>
      <c r="B244" t="s">
        <v>33</v>
      </c>
      <c r="C244">
        <v>1</v>
      </c>
      <c r="D244" t="s">
        <v>30</v>
      </c>
      <c r="E244" s="6">
        <v>46039.368055555555</v>
      </c>
      <c r="F244" s="6">
        <v>46039.382638888892</v>
      </c>
      <c r="G244" s="6">
        <v>46039.395833333336</v>
      </c>
      <c r="H244" s="6">
        <v>46039.604166666664</v>
      </c>
      <c r="I244" s="6">
        <v>46039.625</v>
      </c>
      <c r="J244" s="6">
        <v>46039.652777777781</v>
      </c>
      <c r="K244">
        <v>6.83</v>
      </c>
      <c r="L244" s="6">
        <v>46039.659722222219</v>
      </c>
      <c r="M244" s="7">
        <f>F244-E244</f>
        <v>1.4583333337213844E-2</v>
      </c>
      <c r="N244">
        <f>HOUR(M244)</f>
        <v>0</v>
      </c>
      <c r="O244">
        <f>MINUTE(M244)</f>
        <v>21</v>
      </c>
      <c r="P244">
        <f>N244*60+O244</f>
        <v>21</v>
      </c>
      <c r="Q244" s="7">
        <f>G244-F244</f>
        <v>1.3194444443797693E-2</v>
      </c>
      <c r="R244">
        <f>HOUR(Q244)</f>
        <v>0</v>
      </c>
      <c r="S244">
        <f>MINUTE(Q244)</f>
        <v>19</v>
      </c>
      <c r="T244">
        <f>R244*60+S244</f>
        <v>19</v>
      </c>
      <c r="U244" s="7">
        <f>H244-G244</f>
        <v>0.20833333332848269</v>
      </c>
      <c r="V244">
        <f>HOUR(U244)</f>
        <v>5</v>
      </c>
      <c r="W244">
        <f>MINUTE(U244)</f>
        <v>0</v>
      </c>
      <c r="X244">
        <f>V244*60+W244</f>
        <v>300</v>
      </c>
      <c r="Y244" s="7">
        <f>I244-H244</f>
        <v>2.0833333335758653E-2</v>
      </c>
      <c r="Z244">
        <f>HOUR(Y244)</f>
        <v>0</v>
      </c>
      <c r="AA244">
        <f>MINUTE(Y244)</f>
        <v>30</v>
      </c>
      <c r="AB244">
        <f>Z244*60+AA244</f>
        <v>30</v>
      </c>
    </row>
    <row r="245" spans="1:28" x14ac:dyDescent="0.25">
      <c r="A245">
        <v>243</v>
      </c>
      <c r="B245" t="s">
        <v>31</v>
      </c>
      <c r="C245">
        <v>1</v>
      </c>
      <c r="D245" t="s">
        <v>34</v>
      </c>
      <c r="E245" s="6">
        <v>46039.489583333336</v>
      </c>
      <c r="F245" s="6">
        <v>46039.493055555555</v>
      </c>
      <c r="G245" s="6">
        <v>46039.503472222219</v>
      </c>
      <c r="H245" s="6">
        <v>46039.517361111109</v>
      </c>
      <c r="I245" s="6">
        <v>46039.520833333336</v>
      </c>
      <c r="J245" s="6">
        <v>46039.524305555555</v>
      </c>
      <c r="K245">
        <v>0.83</v>
      </c>
      <c r="L245" s="6">
        <v>46039.527777777781</v>
      </c>
      <c r="M245" s="7">
        <f>F245-E245</f>
        <v>3.4722222189884633E-3</v>
      </c>
      <c r="N245">
        <f>HOUR(M245)</f>
        <v>0</v>
      </c>
      <c r="O245">
        <f>MINUTE(M245)</f>
        <v>5</v>
      </c>
      <c r="P245">
        <f>N245*60+O245</f>
        <v>5</v>
      </c>
      <c r="Q245" s="7">
        <f>G245-F245</f>
        <v>1.0416666664241347E-2</v>
      </c>
      <c r="R245">
        <f>HOUR(Q245)</f>
        <v>0</v>
      </c>
      <c r="S245">
        <f>MINUTE(Q245)</f>
        <v>15</v>
      </c>
      <c r="T245">
        <f>R245*60+S245</f>
        <v>15</v>
      </c>
      <c r="U245" s="7">
        <f>H245-G245</f>
        <v>1.3888888890505768E-2</v>
      </c>
      <c r="V245">
        <f>HOUR(U245)</f>
        <v>0</v>
      </c>
      <c r="W245">
        <f>MINUTE(U245)</f>
        <v>20</v>
      </c>
      <c r="X245">
        <f>V245*60+W245</f>
        <v>20</v>
      </c>
      <c r="Y245" s="7">
        <f>I245-H245</f>
        <v>3.4722222262644209E-3</v>
      </c>
      <c r="Z245">
        <f>HOUR(Y245)</f>
        <v>0</v>
      </c>
      <c r="AA245">
        <f>MINUTE(Y245)</f>
        <v>5</v>
      </c>
      <c r="AB245">
        <f>Z245*60+AA245</f>
        <v>5</v>
      </c>
    </row>
    <row r="246" spans="1:28" x14ac:dyDescent="0.25">
      <c r="A246">
        <v>244</v>
      </c>
      <c r="B246" t="s">
        <v>33</v>
      </c>
      <c r="C246">
        <v>1</v>
      </c>
      <c r="D246" t="s">
        <v>36</v>
      </c>
      <c r="E246" s="6">
        <v>46041.5</v>
      </c>
      <c r="F246" s="6">
        <v>46041.506944444445</v>
      </c>
      <c r="G246" s="6">
        <v>46041.520833333336</v>
      </c>
      <c r="H246" s="6">
        <v>46041.558333333334</v>
      </c>
      <c r="I246" s="6">
        <v>46041.56527777778</v>
      </c>
      <c r="J246" s="6">
        <v>46041.569444444445</v>
      </c>
      <c r="K246">
        <v>1.67</v>
      </c>
      <c r="L246" s="6">
        <v>46041.576388888891</v>
      </c>
      <c r="M246" s="7">
        <f>F246-E246</f>
        <v>6.9444444452528842E-3</v>
      </c>
      <c r="N246">
        <f>HOUR(M246)</f>
        <v>0</v>
      </c>
      <c r="O246">
        <f>MINUTE(M246)</f>
        <v>10</v>
      </c>
      <c r="P246">
        <f>N246*60+O246</f>
        <v>10</v>
      </c>
      <c r="Q246" s="7">
        <f>G246-F246</f>
        <v>1.3888888890505768E-2</v>
      </c>
      <c r="R246">
        <f>HOUR(Q246)</f>
        <v>0</v>
      </c>
      <c r="S246">
        <f>MINUTE(Q246)</f>
        <v>20</v>
      </c>
      <c r="T246">
        <f>R246*60+S246</f>
        <v>20</v>
      </c>
      <c r="U246" s="7">
        <f>H246-G246</f>
        <v>3.7499999998544808E-2</v>
      </c>
      <c r="V246">
        <f>HOUR(U246)</f>
        <v>0</v>
      </c>
      <c r="W246">
        <f>MINUTE(U246)</f>
        <v>54</v>
      </c>
      <c r="X246">
        <f>V246*60+W246</f>
        <v>54</v>
      </c>
      <c r="Y246" s="7">
        <f>I246-H246</f>
        <v>6.9444444452528842E-3</v>
      </c>
      <c r="Z246">
        <f>HOUR(Y246)</f>
        <v>0</v>
      </c>
      <c r="AA246">
        <f>MINUTE(Y246)</f>
        <v>10</v>
      </c>
      <c r="AB246">
        <f>Z246*60+AA246</f>
        <v>10</v>
      </c>
    </row>
    <row r="247" spans="1:28" x14ac:dyDescent="0.25">
      <c r="A247">
        <v>245</v>
      </c>
      <c r="B247" t="s">
        <v>31</v>
      </c>
      <c r="C247">
        <v>1</v>
      </c>
      <c r="D247" t="s">
        <v>34</v>
      </c>
      <c r="E247" s="6">
        <v>46041.486111111109</v>
      </c>
      <c r="F247" s="6">
        <v>46041.5</v>
      </c>
      <c r="G247" s="6">
        <v>46041.520833333336</v>
      </c>
      <c r="H247" s="6">
        <v>46041.544444444444</v>
      </c>
      <c r="I247" s="6">
        <v>46041.555555555555</v>
      </c>
      <c r="J247" s="6">
        <v>46041.6875</v>
      </c>
      <c r="K247">
        <v>4.83</v>
      </c>
      <c r="L247" s="6">
        <v>46041.694444444445</v>
      </c>
      <c r="M247" s="7">
        <f>F247-E247</f>
        <v>1.3888888890505768E-2</v>
      </c>
      <c r="N247">
        <f>HOUR(M247)</f>
        <v>0</v>
      </c>
      <c r="O247">
        <f>MINUTE(M247)</f>
        <v>20</v>
      </c>
      <c r="P247">
        <f>N247*60+O247</f>
        <v>20</v>
      </c>
      <c r="Q247" s="7">
        <f>G247-F247</f>
        <v>2.0833333335758653E-2</v>
      </c>
      <c r="R247">
        <f>HOUR(Q247)</f>
        <v>0</v>
      </c>
      <c r="S247">
        <f>MINUTE(Q247)</f>
        <v>30</v>
      </c>
      <c r="T247">
        <f>R247*60+S247</f>
        <v>30</v>
      </c>
      <c r="U247" s="7">
        <f>H247-G247</f>
        <v>2.361111110803904E-2</v>
      </c>
      <c r="V247">
        <f>HOUR(U247)</f>
        <v>0</v>
      </c>
      <c r="W247">
        <f>MINUTE(U247)</f>
        <v>34</v>
      </c>
      <c r="X247">
        <f>V247*60+W247</f>
        <v>34</v>
      </c>
      <c r="Y247" s="7">
        <f>I247-H247</f>
        <v>1.1111111110949423E-2</v>
      </c>
      <c r="Z247">
        <f>HOUR(Y247)</f>
        <v>0</v>
      </c>
      <c r="AA247">
        <f>MINUTE(Y247)</f>
        <v>16</v>
      </c>
      <c r="AB247">
        <f>Z247*60+AA247</f>
        <v>16</v>
      </c>
    </row>
    <row r="248" spans="1:28" x14ac:dyDescent="0.25">
      <c r="A248">
        <v>246</v>
      </c>
      <c r="B248" t="s">
        <v>31</v>
      </c>
      <c r="C248">
        <v>1</v>
      </c>
      <c r="D248" t="s">
        <v>30</v>
      </c>
      <c r="E248" s="6">
        <v>46040.670138888891</v>
      </c>
      <c r="F248" s="6">
        <v>46040.682638888888</v>
      </c>
      <c r="G248" s="6">
        <v>46040.689583333333</v>
      </c>
      <c r="H248" s="6">
        <v>46040.746527777781</v>
      </c>
      <c r="I248" s="6">
        <v>46040.75</v>
      </c>
      <c r="J248" s="6">
        <v>46040.750694444447</v>
      </c>
      <c r="K248">
        <v>1.93</v>
      </c>
      <c r="L248" s="6">
        <v>46040.751388888886</v>
      </c>
      <c r="M248" s="7">
        <f>F248-E248</f>
        <v>1.2499999997089617E-2</v>
      </c>
      <c r="N248">
        <f>HOUR(M248)</f>
        <v>0</v>
      </c>
      <c r="O248">
        <f>MINUTE(M248)</f>
        <v>18</v>
      </c>
      <c r="P248">
        <f>N248*60+O248</f>
        <v>18</v>
      </c>
      <c r="Q248" s="7">
        <f>G248-F248</f>
        <v>6.9444444452528842E-3</v>
      </c>
      <c r="R248">
        <f>HOUR(Q248)</f>
        <v>0</v>
      </c>
      <c r="S248">
        <f>MINUTE(Q248)</f>
        <v>10</v>
      </c>
      <c r="T248">
        <f>R248*60+S248</f>
        <v>10</v>
      </c>
      <c r="U248" s="7">
        <f>H248-G248</f>
        <v>5.6944444448163267E-2</v>
      </c>
      <c r="V248">
        <f>HOUR(U248)</f>
        <v>1</v>
      </c>
      <c r="W248">
        <f>MINUTE(U248)</f>
        <v>22</v>
      </c>
      <c r="X248">
        <f>V248*60+W248</f>
        <v>82</v>
      </c>
      <c r="Y248" s="7">
        <f>I248-H248</f>
        <v>3.4722222189884633E-3</v>
      </c>
      <c r="Z248">
        <f>HOUR(Y248)</f>
        <v>0</v>
      </c>
      <c r="AA248">
        <f>MINUTE(Y248)</f>
        <v>5</v>
      </c>
      <c r="AB248">
        <f>Z248*60+AA248</f>
        <v>5</v>
      </c>
    </row>
    <row r="249" spans="1:28" x14ac:dyDescent="0.25">
      <c r="A249">
        <v>247</v>
      </c>
      <c r="B249" t="s">
        <v>31</v>
      </c>
      <c r="C249">
        <v>1</v>
      </c>
      <c r="D249" t="s">
        <v>35</v>
      </c>
      <c r="E249" s="6">
        <v>46040.569444444445</v>
      </c>
      <c r="F249" s="6">
        <v>46040.590277777781</v>
      </c>
      <c r="G249" s="6">
        <v>46040.614583333336</v>
      </c>
      <c r="H249" s="6">
        <v>46040.663194444445</v>
      </c>
      <c r="I249" s="6">
        <v>46040.670138888891</v>
      </c>
      <c r="J249" s="6">
        <v>46040.677083333336</v>
      </c>
      <c r="K249">
        <v>2.58</v>
      </c>
      <c r="L249" s="6">
        <v>46040.684027777781</v>
      </c>
      <c r="M249" s="7">
        <f>F249-E249</f>
        <v>2.0833333335758653E-2</v>
      </c>
      <c r="N249">
        <f>HOUR(M249)</f>
        <v>0</v>
      </c>
      <c r="O249">
        <f>MINUTE(M249)</f>
        <v>30</v>
      </c>
      <c r="P249">
        <f>N249*60+O249</f>
        <v>30</v>
      </c>
      <c r="Q249" s="7">
        <f>G249-F249</f>
        <v>2.4305555554747116E-2</v>
      </c>
      <c r="R249">
        <f>HOUR(Q249)</f>
        <v>0</v>
      </c>
      <c r="S249">
        <f>MINUTE(Q249)</f>
        <v>35</v>
      </c>
      <c r="T249">
        <f>R249*60+S249</f>
        <v>35</v>
      </c>
      <c r="U249" s="7">
        <f>H249-G249</f>
        <v>4.8611111109494232E-2</v>
      </c>
      <c r="V249">
        <f>HOUR(U249)</f>
        <v>1</v>
      </c>
      <c r="W249">
        <f>MINUTE(U249)</f>
        <v>10</v>
      </c>
      <c r="X249">
        <f>V249*60+W249</f>
        <v>70</v>
      </c>
      <c r="Y249" s="7">
        <f>I249-H249</f>
        <v>6.9444444452528842E-3</v>
      </c>
      <c r="Z249">
        <f>HOUR(Y249)</f>
        <v>0</v>
      </c>
      <c r="AA249">
        <f>MINUTE(Y249)</f>
        <v>10</v>
      </c>
      <c r="AB249">
        <f>Z249*60+AA249</f>
        <v>10</v>
      </c>
    </row>
    <row r="250" spans="1:28" x14ac:dyDescent="0.25">
      <c r="A250">
        <v>248</v>
      </c>
      <c r="B250" t="s">
        <v>29</v>
      </c>
      <c r="C250">
        <v>1</v>
      </c>
      <c r="D250" t="s">
        <v>34</v>
      </c>
      <c r="E250" s="6">
        <v>46039.868055555555</v>
      </c>
      <c r="F250" s="6">
        <v>46039.871527777781</v>
      </c>
      <c r="G250" s="6">
        <v>46039.875</v>
      </c>
      <c r="H250" s="6">
        <v>46039.911111111112</v>
      </c>
      <c r="I250" s="6">
        <v>46039.916666666664</v>
      </c>
      <c r="J250" s="6">
        <v>46039.917361111111</v>
      </c>
      <c r="K250">
        <v>1.18</v>
      </c>
      <c r="L250" s="6">
        <v>46039.924305555556</v>
      </c>
      <c r="M250" s="7">
        <f>F250-E250</f>
        <v>3.4722222262644209E-3</v>
      </c>
      <c r="N250">
        <f>HOUR(M250)</f>
        <v>0</v>
      </c>
      <c r="O250">
        <f>MINUTE(M250)</f>
        <v>5</v>
      </c>
      <c r="P250">
        <f>N250*60+O250</f>
        <v>5</v>
      </c>
      <c r="Q250" s="7">
        <f>G250-F250</f>
        <v>3.4722222189884633E-3</v>
      </c>
      <c r="R250">
        <f>HOUR(Q250)</f>
        <v>0</v>
      </c>
      <c r="S250">
        <f>MINUTE(Q250)</f>
        <v>5</v>
      </c>
      <c r="T250">
        <f>R250*60+S250</f>
        <v>5</v>
      </c>
      <c r="U250" s="7">
        <f>H250-G250</f>
        <v>3.6111111112404615E-2</v>
      </c>
      <c r="V250">
        <f>HOUR(U250)</f>
        <v>0</v>
      </c>
      <c r="W250">
        <f>MINUTE(U250)</f>
        <v>52</v>
      </c>
      <c r="X250">
        <f>V250*60+W250</f>
        <v>52</v>
      </c>
      <c r="Y250" s="7">
        <f>I250-H250</f>
        <v>5.5555555518367328E-3</v>
      </c>
      <c r="Z250">
        <f>HOUR(Y250)</f>
        <v>0</v>
      </c>
      <c r="AA250">
        <f>MINUTE(Y250)</f>
        <v>8</v>
      </c>
      <c r="AB250">
        <f>Z250*60+AA250</f>
        <v>8</v>
      </c>
    </row>
    <row r="251" spans="1:28" x14ac:dyDescent="0.25">
      <c r="A251">
        <v>249</v>
      </c>
      <c r="B251" t="s">
        <v>29</v>
      </c>
      <c r="C251">
        <v>1</v>
      </c>
      <c r="D251" t="s">
        <v>30</v>
      </c>
      <c r="E251" s="6">
        <v>46040.375</v>
      </c>
      <c r="F251" s="6">
        <v>46040.378472222219</v>
      </c>
      <c r="G251" s="6">
        <v>46040.402777777781</v>
      </c>
      <c r="H251" s="6">
        <v>46040.430555555555</v>
      </c>
      <c r="I251" s="6">
        <v>46040.434027777781</v>
      </c>
      <c r="J251" s="6">
        <v>46040.440972222219</v>
      </c>
      <c r="K251">
        <v>1.58</v>
      </c>
      <c r="L251" s="6">
        <v>46040.454861111109</v>
      </c>
      <c r="M251" s="7">
        <f>F251-E251</f>
        <v>3.4722222189884633E-3</v>
      </c>
      <c r="N251">
        <f>HOUR(M251)</f>
        <v>0</v>
      </c>
      <c r="O251">
        <f>MINUTE(M251)</f>
        <v>5</v>
      </c>
      <c r="P251">
        <f>N251*60+O251</f>
        <v>5</v>
      </c>
      <c r="Q251" s="7">
        <f>G251-F251</f>
        <v>2.4305555562023073E-2</v>
      </c>
      <c r="R251">
        <f>HOUR(Q251)</f>
        <v>0</v>
      </c>
      <c r="S251">
        <f>MINUTE(Q251)</f>
        <v>35</v>
      </c>
      <c r="T251">
        <f>R251*60+S251</f>
        <v>35</v>
      </c>
      <c r="U251" s="7">
        <f>H251-G251</f>
        <v>2.7777777773735579E-2</v>
      </c>
      <c r="V251">
        <f>HOUR(U251)</f>
        <v>0</v>
      </c>
      <c r="W251">
        <f>MINUTE(U251)</f>
        <v>40</v>
      </c>
      <c r="X251">
        <f>V251*60+W251</f>
        <v>40</v>
      </c>
      <c r="Y251" s="7">
        <f>I251-H251</f>
        <v>3.4722222262644209E-3</v>
      </c>
      <c r="Z251">
        <f>HOUR(Y251)</f>
        <v>0</v>
      </c>
      <c r="AA251">
        <f>MINUTE(Y251)</f>
        <v>5</v>
      </c>
      <c r="AB251">
        <f>Z251*60+AA251</f>
        <v>5</v>
      </c>
    </row>
    <row r="252" spans="1:28" x14ac:dyDescent="0.25">
      <c r="A252">
        <v>250</v>
      </c>
      <c r="B252" t="s">
        <v>29</v>
      </c>
      <c r="C252">
        <v>1</v>
      </c>
      <c r="D252" t="s">
        <v>35</v>
      </c>
      <c r="E252" s="6">
        <v>46040.440972222219</v>
      </c>
      <c r="F252" s="6">
        <v>46040.446527777778</v>
      </c>
      <c r="G252" s="6">
        <v>46040.459722222222</v>
      </c>
      <c r="H252" s="6">
        <v>46040.479166666664</v>
      </c>
      <c r="I252" s="6">
        <v>46040.482638888891</v>
      </c>
      <c r="J252" s="6">
        <v>46040.496527777781</v>
      </c>
      <c r="K252">
        <v>1.33</v>
      </c>
      <c r="L252" s="6">
        <v>46040.503472222219</v>
      </c>
      <c r="M252" s="7">
        <f>F252-E252</f>
        <v>5.5555555591126904E-3</v>
      </c>
      <c r="N252">
        <f>HOUR(M252)</f>
        <v>0</v>
      </c>
      <c r="O252">
        <f>MINUTE(M252)</f>
        <v>8</v>
      </c>
      <c r="P252">
        <f>N252*60+O252</f>
        <v>8</v>
      </c>
      <c r="Q252" s="7">
        <f>G252-F252</f>
        <v>1.3194444443797693E-2</v>
      </c>
      <c r="R252">
        <f>HOUR(Q252)</f>
        <v>0</v>
      </c>
      <c r="S252">
        <f>MINUTE(Q252)</f>
        <v>19</v>
      </c>
      <c r="T252">
        <f>R252*60+S252</f>
        <v>19</v>
      </c>
      <c r="U252" s="7">
        <f>H252-G252</f>
        <v>1.9444444442342501E-2</v>
      </c>
      <c r="V252">
        <f>HOUR(U252)</f>
        <v>0</v>
      </c>
      <c r="W252">
        <f>MINUTE(U252)</f>
        <v>28</v>
      </c>
      <c r="X252">
        <f>V252*60+W252</f>
        <v>28</v>
      </c>
      <c r="Y252" s="7">
        <f>I252-H252</f>
        <v>3.4722222262644209E-3</v>
      </c>
      <c r="Z252">
        <f>HOUR(Y252)</f>
        <v>0</v>
      </c>
      <c r="AA252">
        <f>MINUTE(Y252)</f>
        <v>5</v>
      </c>
      <c r="AB252">
        <f>Z252*60+AA252</f>
        <v>5</v>
      </c>
    </row>
    <row r="253" spans="1:28" x14ac:dyDescent="0.25">
      <c r="A253">
        <v>251</v>
      </c>
      <c r="B253" t="s">
        <v>29</v>
      </c>
      <c r="C253">
        <v>1</v>
      </c>
      <c r="D253" t="s">
        <v>30</v>
      </c>
      <c r="E253" s="6">
        <v>46040.496527777781</v>
      </c>
      <c r="F253" s="6">
        <v>46040.506944444445</v>
      </c>
      <c r="G253" s="6">
        <v>46040.520833333336</v>
      </c>
      <c r="H253" s="6">
        <v>46040.569444444445</v>
      </c>
      <c r="I253" s="6">
        <v>46040.576388888891</v>
      </c>
      <c r="J253" s="6">
        <v>46040.583333333336</v>
      </c>
      <c r="K253">
        <v>2.08</v>
      </c>
      <c r="L253" s="6">
        <v>46040.590277777781</v>
      </c>
      <c r="M253" s="7">
        <f>F253-E253</f>
        <v>1.0416666664241347E-2</v>
      </c>
      <c r="N253">
        <f>HOUR(M253)</f>
        <v>0</v>
      </c>
      <c r="O253">
        <f>MINUTE(M253)</f>
        <v>15</v>
      </c>
      <c r="P253">
        <f>N253*60+O253</f>
        <v>15</v>
      </c>
      <c r="Q253" s="7">
        <f>G253-F253</f>
        <v>1.3888888890505768E-2</v>
      </c>
      <c r="R253">
        <f>HOUR(Q253)</f>
        <v>0</v>
      </c>
      <c r="S253">
        <f>MINUTE(Q253)</f>
        <v>20</v>
      </c>
      <c r="T253">
        <f>R253*60+S253</f>
        <v>20</v>
      </c>
      <c r="U253" s="7">
        <f>H253-G253</f>
        <v>4.8611111109494232E-2</v>
      </c>
      <c r="V253">
        <f>HOUR(U253)</f>
        <v>1</v>
      </c>
      <c r="W253">
        <f>MINUTE(U253)</f>
        <v>10</v>
      </c>
      <c r="X253">
        <f>V253*60+W253</f>
        <v>70</v>
      </c>
      <c r="Y253" s="7">
        <f>I253-H253</f>
        <v>6.9444444452528842E-3</v>
      </c>
      <c r="Z253">
        <f>HOUR(Y253)</f>
        <v>0</v>
      </c>
      <c r="AA253">
        <f>MINUTE(Y253)</f>
        <v>10</v>
      </c>
      <c r="AB253">
        <f>Z253*60+AA253</f>
        <v>10</v>
      </c>
    </row>
    <row r="254" spans="1:28" x14ac:dyDescent="0.25">
      <c r="A254">
        <v>252</v>
      </c>
      <c r="B254" t="s">
        <v>31</v>
      </c>
      <c r="C254">
        <v>1</v>
      </c>
      <c r="D254" t="s">
        <v>32</v>
      </c>
      <c r="E254" s="6">
        <v>46041.28125</v>
      </c>
      <c r="F254" s="6">
        <v>46041.322916666664</v>
      </c>
      <c r="G254" s="6">
        <v>46041.347222222219</v>
      </c>
      <c r="H254" s="6">
        <v>46041.420138888891</v>
      </c>
      <c r="I254" s="6">
        <v>46041.427083333336</v>
      </c>
      <c r="J254" s="6">
        <v>46041.444444444445</v>
      </c>
      <c r="K254">
        <v>3.92</v>
      </c>
      <c r="L254" s="6">
        <v>46041.451388888891</v>
      </c>
      <c r="M254" s="7">
        <f>F254-E254</f>
        <v>4.1666666664241347E-2</v>
      </c>
      <c r="N254">
        <f>HOUR(M254)</f>
        <v>1</v>
      </c>
      <c r="O254">
        <f>MINUTE(M254)</f>
        <v>0</v>
      </c>
      <c r="P254">
        <f>N254*60+O254</f>
        <v>60</v>
      </c>
      <c r="Q254" s="7">
        <f>G254-F254</f>
        <v>2.4305555554747116E-2</v>
      </c>
      <c r="R254">
        <f>HOUR(Q254)</f>
        <v>0</v>
      </c>
      <c r="S254">
        <f>MINUTE(Q254)</f>
        <v>35</v>
      </c>
      <c r="T254">
        <f>R254*60+S254</f>
        <v>35</v>
      </c>
      <c r="U254" s="7">
        <f>H254-G254</f>
        <v>7.2916666671517305E-2</v>
      </c>
      <c r="V254">
        <f>HOUR(U254)</f>
        <v>1</v>
      </c>
      <c r="W254">
        <f>MINUTE(U254)</f>
        <v>45</v>
      </c>
      <c r="X254">
        <f>V254*60+W254</f>
        <v>105</v>
      </c>
      <c r="Y254" s="7">
        <f>I254-H254</f>
        <v>6.9444444452528842E-3</v>
      </c>
      <c r="Z254">
        <f>HOUR(Y254)</f>
        <v>0</v>
      </c>
      <c r="AA254">
        <f>MINUTE(Y254)</f>
        <v>10</v>
      </c>
      <c r="AB254">
        <f>Z254*60+AA254</f>
        <v>10</v>
      </c>
    </row>
    <row r="255" spans="1:28" x14ac:dyDescent="0.25">
      <c r="A255">
        <v>253</v>
      </c>
      <c r="B255" t="s">
        <v>29</v>
      </c>
      <c r="C255">
        <v>1</v>
      </c>
      <c r="D255" t="s">
        <v>30</v>
      </c>
      <c r="E255" s="6">
        <v>46041.425694444442</v>
      </c>
      <c r="F255" s="6">
        <v>46041.427083333336</v>
      </c>
      <c r="G255" s="6">
        <v>46041.430555555555</v>
      </c>
      <c r="H255" s="6">
        <v>46041.452777777777</v>
      </c>
      <c r="I255" s="6">
        <v>46041.459722222222</v>
      </c>
      <c r="J255" s="6">
        <v>46041.461805555555</v>
      </c>
      <c r="K255">
        <v>0.87</v>
      </c>
      <c r="L255" s="6">
        <v>46041.46875</v>
      </c>
      <c r="M255" s="7">
        <f>F255-E255</f>
        <v>1.3888888934161514E-3</v>
      </c>
      <c r="N255">
        <f>HOUR(M255)</f>
        <v>0</v>
      </c>
      <c r="O255">
        <f>MINUTE(M255)</f>
        <v>2</v>
      </c>
      <c r="P255">
        <f>N255*60+O255</f>
        <v>2</v>
      </c>
      <c r="Q255" s="7">
        <f>G255-F255</f>
        <v>3.4722222189884633E-3</v>
      </c>
      <c r="R255">
        <f>HOUR(Q255)</f>
        <v>0</v>
      </c>
      <c r="S255">
        <f>MINUTE(Q255)</f>
        <v>5</v>
      </c>
      <c r="T255">
        <f>R255*60+S255</f>
        <v>5</v>
      </c>
      <c r="U255" s="7">
        <f>H255-G255</f>
        <v>2.2222222221898846E-2</v>
      </c>
      <c r="V255">
        <f>HOUR(U255)</f>
        <v>0</v>
      </c>
      <c r="W255">
        <f>MINUTE(U255)</f>
        <v>32</v>
      </c>
      <c r="X255">
        <f>V255*60+W255</f>
        <v>32</v>
      </c>
      <c r="Y255" s="7">
        <f>I255-H255</f>
        <v>6.9444444452528842E-3</v>
      </c>
      <c r="Z255">
        <f>HOUR(Y255)</f>
        <v>0</v>
      </c>
      <c r="AA255">
        <f>MINUTE(Y255)</f>
        <v>10</v>
      </c>
      <c r="AB255">
        <f>Z255*60+AA255</f>
        <v>10</v>
      </c>
    </row>
    <row r="256" spans="1:28" x14ac:dyDescent="0.25">
      <c r="A256">
        <v>254</v>
      </c>
      <c r="B256" t="s">
        <v>33</v>
      </c>
      <c r="C256">
        <v>1</v>
      </c>
      <c r="D256" t="s">
        <v>30</v>
      </c>
      <c r="E256" s="6">
        <v>46041.291666666664</v>
      </c>
      <c r="F256" s="6">
        <v>46041.333333333336</v>
      </c>
      <c r="G256" s="6">
        <v>46041.347222222219</v>
      </c>
      <c r="H256" s="6">
        <v>46041.384722222225</v>
      </c>
      <c r="I256" s="6">
        <v>46041.39166666667</v>
      </c>
      <c r="J256" s="6">
        <v>46041.395833333336</v>
      </c>
      <c r="K256">
        <v>2.5</v>
      </c>
      <c r="L256" s="6">
        <v>46041.399305555555</v>
      </c>
      <c r="M256" s="7">
        <f>F256-E256</f>
        <v>4.1666666671517305E-2</v>
      </c>
      <c r="N256">
        <f>HOUR(M256)</f>
        <v>1</v>
      </c>
      <c r="O256">
        <f>MINUTE(M256)</f>
        <v>0</v>
      </c>
      <c r="P256">
        <f>N256*60+O256</f>
        <v>60</v>
      </c>
      <c r="Q256" s="7">
        <f>G256-F256</f>
        <v>1.3888888883229811E-2</v>
      </c>
      <c r="R256">
        <f>HOUR(Q256)</f>
        <v>0</v>
      </c>
      <c r="S256">
        <f>MINUTE(Q256)</f>
        <v>20</v>
      </c>
      <c r="T256">
        <f>R256*60+S256</f>
        <v>20</v>
      </c>
      <c r="U256" s="7">
        <f>H256-G256</f>
        <v>3.7500000005820766E-2</v>
      </c>
      <c r="V256">
        <f>HOUR(U256)</f>
        <v>0</v>
      </c>
      <c r="W256">
        <f>MINUTE(U256)</f>
        <v>54</v>
      </c>
      <c r="X256">
        <f>V256*60+W256</f>
        <v>54</v>
      </c>
      <c r="Y256" s="7">
        <f>I256-H256</f>
        <v>6.9444444452528842E-3</v>
      </c>
      <c r="Z256">
        <f>HOUR(Y256)</f>
        <v>0</v>
      </c>
      <c r="AA256">
        <f>MINUTE(Y256)</f>
        <v>10</v>
      </c>
      <c r="AB256">
        <f>Z256*60+AA256</f>
        <v>10</v>
      </c>
    </row>
    <row r="257" spans="1:28" x14ac:dyDescent="0.25">
      <c r="A257">
        <v>255</v>
      </c>
      <c r="B257" t="s">
        <v>33</v>
      </c>
      <c r="C257">
        <v>1</v>
      </c>
      <c r="D257" t="s">
        <v>32</v>
      </c>
      <c r="E257" s="6">
        <v>46041.486111111109</v>
      </c>
      <c r="F257" s="6">
        <v>46041.493055555555</v>
      </c>
      <c r="G257" s="6">
        <v>46041.503472222219</v>
      </c>
      <c r="H257" s="6">
        <v>46041.541666666664</v>
      </c>
      <c r="I257" s="6">
        <v>46041.548611111109</v>
      </c>
      <c r="J257" s="6">
        <v>46041.5625</v>
      </c>
      <c r="K257">
        <v>1.83</v>
      </c>
      <c r="L257" s="6">
        <v>46041.569444444445</v>
      </c>
      <c r="M257" s="7">
        <f>F257-E257</f>
        <v>6.9444444452528842E-3</v>
      </c>
      <c r="N257">
        <f>HOUR(M257)</f>
        <v>0</v>
      </c>
      <c r="O257">
        <f>MINUTE(M257)</f>
        <v>10</v>
      </c>
      <c r="P257">
        <f>N257*60+O257</f>
        <v>10</v>
      </c>
      <c r="Q257" s="7">
        <f>G257-F257</f>
        <v>1.0416666664241347E-2</v>
      </c>
      <c r="R257">
        <f>HOUR(Q257)</f>
        <v>0</v>
      </c>
      <c r="S257">
        <f>MINUTE(Q257)</f>
        <v>15</v>
      </c>
      <c r="T257">
        <f>R257*60+S257</f>
        <v>15</v>
      </c>
      <c r="U257" s="7">
        <f>H257-G257</f>
        <v>3.8194444445252884E-2</v>
      </c>
      <c r="V257">
        <f>HOUR(U257)</f>
        <v>0</v>
      </c>
      <c r="W257">
        <f>MINUTE(U257)</f>
        <v>55</v>
      </c>
      <c r="X257">
        <f>V257*60+W257</f>
        <v>55</v>
      </c>
      <c r="Y257" s="7">
        <f>I257-H257</f>
        <v>6.9444444452528842E-3</v>
      </c>
      <c r="Z257">
        <f>HOUR(Y257)</f>
        <v>0</v>
      </c>
      <c r="AA257">
        <f>MINUTE(Y257)</f>
        <v>10</v>
      </c>
      <c r="AB257">
        <f>Z257*60+AA257</f>
        <v>10</v>
      </c>
    </row>
    <row r="258" spans="1:28" x14ac:dyDescent="0.25">
      <c r="A258">
        <v>256</v>
      </c>
      <c r="B258" t="s">
        <v>33</v>
      </c>
      <c r="C258">
        <v>1</v>
      </c>
      <c r="D258" t="s">
        <v>34</v>
      </c>
      <c r="E258" s="6">
        <v>46041.375</v>
      </c>
      <c r="F258" s="6">
        <v>46041.388888888891</v>
      </c>
      <c r="G258" s="6">
        <v>46041.395833333336</v>
      </c>
      <c r="H258" s="6">
        <v>46041.416666666664</v>
      </c>
      <c r="I258" s="6">
        <v>46041.420138888891</v>
      </c>
      <c r="J258" s="6">
        <v>46041.423611111109</v>
      </c>
      <c r="K258">
        <v>1.17</v>
      </c>
      <c r="L258" s="6">
        <v>46041.430555555555</v>
      </c>
      <c r="M258" s="7">
        <f>F258-E258</f>
        <v>1.3888888890505768E-2</v>
      </c>
      <c r="N258">
        <f>HOUR(M258)</f>
        <v>0</v>
      </c>
      <c r="O258">
        <f>MINUTE(M258)</f>
        <v>20</v>
      </c>
      <c r="P258">
        <f>N258*60+O258</f>
        <v>20</v>
      </c>
      <c r="Q258" s="7">
        <f>G258-F258</f>
        <v>6.9444444452528842E-3</v>
      </c>
      <c r="R258">
        <f>HOUR(Q258)</f>
        <v>0</v>
      </c>
      <c r="S258">
        <f>MINUTE(Q258)</f>
        <v>10</v>
      </c>
      <c r="T258">
        <f>R258*60+S258</f>
        <v>10</v>
      </c>
      <c r="U258" s="7">
        <f>H258-G258</f>
        <v>2.0833333328482695E-2</v>
      </c>
      <c r="V258">
        <f>HOUR(U258)</f>
        <v>0</v>
      </c>
      <c r="W258">
        <f>MINUTE(U258)</f>
        <v>30</v>
      </c>
      <c r="X258">
        <f>V258*60+W258</f>
        <v>30</v>
      </c>
      <c r="Y258" s="7">
        <f>I258-H258</f>
        <v>3.4722222262644209E-3</v>
      </c>
      <c r="Z258">
        <f>HOUR(Y258)</f>
        <v>0</v>
      </c>
      <c r="AA258">
        <f>MINUTE(Y258)</f>
        <v>5</v>
      </c>
      <c r="AB258">
        <f>Z258*60+AA258</f>
        <v>5</v>
      </c>
    </row>
    <row r="259" spans="1:28" x14ac:dyDescent="0.25">
      <c r="A259">
        <v>257</v>
      </c>
      <c r="B259" t="s">
        <v>33</v>
      </c>
      <c r="C259">
        <v>1</v>
      </c>
      <c r="D259" t="s">
        <v>30</v>
      </c>
      <c r="E259" s="6">
        <v>46040.746527777781</v>
      </c>
      <c r="F259" s="6">
        <v>46040.753472222219</v>
      </c>
      <c r="G259" s="6">
        <v>46040.763888888891</v>
      </c>
      <c r="H259" s="6">
        <v>46040.78125</v>
      </c>
      <c r="I259" s="6">
        <v>46040.784722222219</v>
      </c>
      <c r="J259" s="6">
        <v>46040.788194444445</v>
      </c>
      <c r="K259">
        <v>1</v>
      </c>
      <c r="L259" s="6">
        <v>46040.788888888892</v>
      </c>
      <c r="M259" s="7">
        <f>F259-E259</f>
        <v>6.9444444379769266E-3</v>
      </c>
      <c r="N259">
        <f>HOUR(M259)</f>
        <v>0</v>
      </c>
      <c r="O259">
        <f>MINUTE(M259)</f>
        <v>10</v>
      </c>
      <c r="P259">
        <f>N259*60+O259</f>
        <v>10</v>
      </c>
      <c r="Q259" s="7">
        <f>G259-F259</f>
        <v>1.0416666671517305E-2</v>
      </c>
      <c r="R259">
        <f>HOUR(Q259)</f>
        <v>0</v>
      </c>
      <c r="S259">
        <f>MINUTE(Q259)</f>
        <v>15</v>
      </c>
      <c r="T259">
        <f>R259*60+S259</f>
        <v>15</v>
      </c>
      <c r="U259" s="7">
        <f>H259-G259</f>
        <v>1.7361111109494232E-2</v>
      </c>
      <c r="V259">
        <f>HOUR(U259)</f>
        <v>0</v>
      </c>
      <c r="W259">
        <f>MINUTE(U259)</f>
        <v>25</v>
      </c>
      <c r="X259">
        <f>V259*60+W259</f>
        <v>25</v>
      </c>
      <c r="Y259" s="7">
        <f>I259-H259</f>
        <v>3.4722222189884633E-3</v>
      </c>
      <c r="Z259">
        <f>HOUR(Y259)</f>
        <v>0</v>
      </c>
      <c r="AA259">
        <f>MINUTE(Y259)</f>
        <v>5</v>
      </c>
      <c r="AB259">
        <f>Z259*60+AA259</f>
        <v>5</v>
      </c>
    </row>
    <row r="260" spans="1:28" x14ac:dyDescent="0.25">
      <c r="A260">
        <v>258</v>
      </c>
      <c r="B260" t="s">
        <v>29</v>
      </c>
      <c r="C260">
        <v>1</v>
      </c>
      <c r="D260" t="s">
        <v>30</v>
      </c>
      <c r="E260" s="6">
        <v>46040.822916666664</v>
      </c>
      <c r="F260" s="6">
        <v>46040.835416666669</v>
      </c>
      <c r="G260" s="6">
        <v>46040.854166666664</v>
      </c>
      <c r="H260" s="6">
        <v>46040.919444444444</v>
      </c>
      <c r="I260" s="6">
        <v>46040.930555555555</v>
      </c>
      <c r="J260" s="6">
        <v>46040.972222222219</v>
      </c>
      <c r="K260">
        <v>3.58</v>
      </c>
      <c r="L260" s="6">
        <v>46040.975694444445</v>
      </c>
      <c r="M260" s="7">
        <f>F260-E260</f>
        <v>1.2500000004365575E-2</v>
      </c>
      <c r="N260">
        <f>HOUR(M260)</f>
        <v>0</v>
      </c>
      <c r="O260">
        <f>MINUTE(M260)</f>
        <v>18</v>
      </c>
      <c r="P260">
        <f>N260*60+O260</f>
        <v>18</v>
      </c>
      <c r="Q260" s="7">
        <f>G260-F260</f>
        <v>1.8749999995634425E-2</v>
      </c>
      <c r="R260">
        <f>HOUR(Q260)</f>
        <v>0</v>
      </c>
      <c r="S260">
        <f>MINUTE(Q260)</f>
        <v>27</v>
      </c>
      <c r="T260">
        <f>R260*60+S260</f>
        <v>27</v>
      </c>
      <c r="U260" s="7">
        <f>H260-G260</f>
        <v>6.5277777779556345E-2</v>
      </c>
      <c r="V260">
        <f>HOUR(U260)</f>
        <v>1</v>
      </c>
      <c r="W260">
        <f>MINUTE(U260)</f>
        <v>34</v>
      </c>
      <c r="X260">
        <f>V260*60+W260</f>
        <v>94</v>
      </c>
      <c r="Y260" s="7">
        <f>I260-H260</f>
        <v>1.1111111110949423E-2</v>
      </c>
      <c r="Z260">
        <f>HOUR(Y260)</f>
        <v>0</v>
      </c>
      <c r="AA260">
        <f>MINUTE(Y260)</f>
        <v>16</v>
      </c>
      <c r="AB260">
        <f>Z260*60+AA260</f>
        <v>16</v>
      </c>
    </row>
    <row r="261" spans="1:28" x14ac:dyDescent="0.25">
      <c r="A261">
        <v>259</v>
      </c>
      <c r="B261" t="s">
        <v>33</v>
      </c>
      <c r="C261">
        <v>1</v>
      </c>
      <c r="D261" t="s">
        <v>30</v>
      </c>
      <c r="E261" s="6">
        <v>46040.993055555555</v>
      </c>
      <c r="F261" s="6">
        <v>46041</v>
      </c>
      <c r="G261" s="6">
        <v>46041.010416666664</v>
      </c>
      <c r="H261" s="6">
        <v>46041.034722222219</v>
      </c>
      <c r="I261" s="6">
        <v>46041.041666666664</v>
      </c>
      <c r="J261" s="6">
        <v>46041.042361111111</v>
      </c>
      <c r="K261">
        <v>1.18</v>
      </c>
      <c r="L261" s="6">
        <v>46041.049305555556</v>
      </c>
      <c r="M261" s="7">
        <f>F261-E261</f>
        <v>6.9444444452528842E-3</v>
      </c>
      <c r="N261">
        <f>HOUR(M261)</f>
        <v>0</v>
      </c>
      <c r="O261">
        <f>MINUTE(M261)</f>
        <v>10</v>
      </c>
      <c r="P261">
        <f>N261*60+O261</f>
        <v>10</v>
      </c>
      <c r="Q261" s="7">
        <f>G261-F261</f>
        <v>1.0416666664241347E-2</v>
      </c>
      <c r="R261">
        <f>HOUR(Q261)</f>
        <v>0</v>
      </c>
      <c r="S261">
        <f>MINUTE(Q261)</f>
        <v>15</v>
      </c>
      <c r="T261">
        <f>R261*60+S261</f>
        <v>15</v>
      </c>
      <c r="U261" s="7">
        <f>H261-G261</f>
        <v>2.4305555554747116E-2</v>
      </c>
      <c r="V261">
        <f>HOUR(U261)</f>
        <v>0</v>
      </c>
      <c r="W261">
        <f>MINUTE(U261)</f>
        <v>35</v>
      </c>
      <c r="X261">
        <f>V261*60+W261</f>
        <v>35</v>
      </c>
      <c r="Y261" s="7">
        <f>I261-H261</f>
        <v>6.9444444452528842E-3</v>
      </c>
      <c r="Z261">
        <f>HOUR(Y261)</f>
        <v>0</v>
      </c>
      <c r="AA261">
        <f>MINUTE(Y261)</f>
        <v>10</v>
      </c>
      <c r="AB261">
        <f>Z261*60+AA261</f>
        <v>10</v>
      </c>
    </row>
    <row r="262" spans="1:28" x14ac:dyDescent="0.25">
      <c r="A262">
        <v>260</v>
      </c>
      <c r="B262" t="s">
        <v>33</v>
      </c>
      <c r="C262">
        <v>1</v>
      </c>
      <c r="D262" t="s">
        <v>30</v>
      </c>
      <c r="E262" s="6">
        <v>46041.041666666664</v>
      </c>
      <c r="F262" s="6">
        <v>46041.048611111109</v>
      </c>
      <c r="G262" s="6">
        <v>46041.052083333336</v>
      </c>
      <c r="H262" s="6">
        <v>46041.069444444445</v>
      </c>
      <c r="I262" s="6">
        <v>46041.072916666664</v>
      </c>
      <c r="J262" s="6">
        <v>46041.073611111111</v>
      </c>
      <c r="K262">
        <v>0.77</v>
      </c>
      <c r="L262" s="6">
        <v>46041.074305555558</v>
      </c>
      <c r="M262" s="7">
        <f>F262-E262</f>
        <v>6.9444444452528842E-3</v>
      </c>
      <c r="N262">
        <f>HOUR(M262)</f>
        <v>0</v>
      </c>
      <c r="O262">
        <f>MINUTE(M262)</f>
        <v>10</v>
      </c>
      <c r="P262">
        <f>N262*60+O262</f>
        <v>10</v>
      </c>
      <c r="Q262" s="7">
        <f>G262-F262</f>
        <v>3.4722222262644209E-3</v>
      </c>
      <c r="R262">
        <f>HOUR(Q262)</f>
        <v>0</v>
      </c>
      <c r="S262">
        <f>MINUTE(Q262)</f>
        <v>5</v>
      </c>
      <c r="T262">
        <f>R262*60+S262</f>
        <v>5</v>
      </c>
      <c r="U262" s="7">
        <f>H262-G262</f>
        <v>1.7361111109494232E-2</v>
      </c>
      <c r="V262">
        <f>HOUR(U262)</f>
        <v>0</v>
      </c>
      <c r="W262">
        <f>MINUTE(U262)</f>
        <v>25</v>
      </c>
      <c r="X262">
        <f>V262*60+W262</f>
        <v>25</v>
      </c>
      <c r="Y262" s="7">
        <f>I262-H262</f>
        <v>3.4722222189884633E-3</v>
      </c>
      <c r="Z262">
        <f>HOUR(Y262)</f>
        <v>0</v>
      </c>
      <c r="AA262">
        <f>MINUTE(Y262)</f>
        <v>5</v>
      </c>
      <c r="AB262">
        <f>Z262*60+AA262</f>
        <v>5</v>
      </c>
    </row>
    <row r="263" spans="1:28" x14ac:dyDescent="0.25">
      <c r="A263">
        <v>261</v>
      </c>
      <c r="B263" t="s">
        <v>33</v>
      </c>
      <c r="C263">
        <v>1</v>
      </c>
      <c r="D263" t="s">
        <v>30</v>
      </c>
      <c r="E263" s="6">
        <v>46041.715277777781</v>
      </c>
      <c r="F263" s="6">
        <v>46041.729166666664</v>
      </c>
      <c r="G263" s="6">
        <v>46041.743055555555</v>
      </c>
      <c r="H263" s="6">
        <v>46041.795138888891</v>
      </c>
      <c r="I263" s="6">
        <v>46041.805555555555</v>
      </c>
      <c r="J263" s="6">
        <v>46041.819444444445</v>
      </c>
      <c r="K263">
        <v>2.5</v>
      </c>
      <c r="L263" s="6">
        <v>46041.826388888891</v>
      </c>
      <c r="M263" s="7">
        <f>F263-E263</f>
        <v>1.3888888883229811E-2</v>
      </c>
      <c r="N263">
        <f>HOUR(M263)</f>
        <v>0</v>
      </c>
      <c r="O263">
        <f>MINUTE(M263)</f>
        <v>20</v>
      </c>
      <c r="P263">
        <f>N263*60+O263</f>
        <v>20</v>
      </c>
      <c r="Q263" s="7">
        <f>G263-F263</f>
        <v>1.3888888890505768E-2</v>
      </c>
      <c r="R263">
        <f>HOUR(Q263)</f>
        <v>0</v>
      </c>
      <c r="S263">
        <f>MINUTE(Q263)</f>
        <v>20</v>
      </c>
      <c r="T263">
        <f>R263*60+S263</f>
        <v>20</v>
      </c>
      <c r="U263" s="7">
        <f>H263-G263</f>
        <v>5.2083333335758653E-2</v>
      </c>
      <c r="V263">
        <f>HOUR(U263)</f>
        <v>1</v>
      </c>
      <c r="W263">
        <f>MINUTE(U263)</f>
        <v>15</v>
      </c>
      <c r="X263">
        <f>V263*60+W263</f>
        <v>75</v>
      </c>
      <c r="Y263" s="7">
        <f>I263-H263</f>
        <v>1.0416666664241347E-2</v>
      </c>
      <c r="Z263">
        <f>HOUR(Y263)</f>
        <v>0</v>
      </c>
      <c r="AA263">
        <f>MINUTE(Y263)</f>
        <v>15</v>
      </c>
      <c r="AB263">
        <f>Z263*60+AA263</f>
        <v>15</v>
      </c>
    </row>
    <row r="264" spans="1:28" x14ac:dyDescent="0.25">
      <c r="A264">
        <v>262</v>
      </c>
      <c r="B264" t="s">
        <v>33</v>
      </c>
      <c r="C264">
        <v>1</v>
      </c>
      <c r="D264" t="s">
        <v>30</v>
      </c>
      <c r="E264" s="6">
        <v>46041.628472222219</v>
      </c>
      <c r="F264" s="6">
        <v>46041.631944444445</v>
      </c>
      <c r="G264" s="6">
        <v>46041.659722222219</v>
      </c>
      <c r="H264" s="6">
        <v>46041.685416666667</v>
      </c>
      <c r="I264" s="6">
        <v>46041.692361111112</v>
      </c>
      <c r="J264" s="6">
        <v>46041.694444444445</v>
      </c>
      <c r="K264">
        <v>1.58</v>
      </c>
      <c r="L264" s="6">
        <v>46041.701388888891</v>
      </c>
      <c r="M264" s="7">
        <f>F264-E264</f>
        <v>3.4722222262644209E-3</v>
      </c>
      <c r="N264">
        <f>HOUR(M264)</f>
        <v>0</v>
      </c>
      <c r="O264">
        <f>MINUTE(M264)</f>
        <v>5</v>
      </c>
      <c r="P264">
        <f>N264*60+O264</f>
        <v>5</v>
      </c>
      <c r="Q264" s="7">
        <f>G264-F264</f>
        <v>2.7777777773735579E-2</v>
      </c>
      <c r="R264">
        <f>HOUR(Q264)</f>
        <v>0</v>
      </c>
      <c r="S264">
        <f>MINUTE(Q264)</f>
        <v>40</v>
      </c>
      <c r="T264">
        <f>R264*60+S264</f>
        <v>40</v>
      </c>
      <c r="U264" s="7">
        <f>H264-G264</f>
        <v>2.5694444448163267E-2</v>
      </c>
      <c r="V264">
        <f>HOUR(U264)</f>
        <v>0</v>
      </c>
      <c r="W264">
        <f>MINUTE(U264)</f>
        <v>37</v>
      </c>
      <c r="X264">
        <f>V264*60+W264</f>
        <v>37</v>
      </c>
      <c r="Y264" s="7">
        <f>I264-H264</f>
        <v>6.9444444452528842E-3</v>
      </c>
      <c r="Z264">
        <f>HOUR(Y264)</f>
        <v>0</v>
      </c>
      <c r="AA264">
        <f>MINUTE(Y264)</f>
        <v>10</v>
      </c>
      <c r="AB264">
        <f>Z264*60+AA264</f>
        <v>10</v>
      </c>
    </row>
    <row r="265" spans="1:28" x14ac:dyDescent="0.25">
      <c r="A265">
        <v>263</v>
      </c>
      <c r="B265" t="s">
        <v>29</v>
      </c>
      <c r="C265">
        <v>1</v>
      </c>
      <c r="D265" t="s">
        <v>30</v>
      </c>
      <c r="E265" s="6">
        <v>46041.590277777781</v>
      </c>
      <c r="F265" s="6">
        <v>46041.604166666664</v>
      </c>
      <c r="G265" s="6">
        <v>46041.625</v>
      </c>
      <c r="H265" s="6">
        <v>46041.649305555555</v>
      </c>
      <c r="I265" s="6">
        <v>46041.65625</v>
      </c>
      <c r="J265" s="6">
        <v>46041.659722222219</v>
      </c>
      <c r="K265">
        <v>1.67</v>
      </c>
      <c r="L265" s="6">
        <v>46041.666666666664</v>
      </c>
      <c r="M265" s="7">
        <f>F265-E265</f>
        <v>1.3888888883229811E-2</v>
      </c>
      <c r="N265">
        <f>HOUR(M265)</f>
        <v>0</v>
      </c>
      <c r="O265">
        <f>MINUTE(M265)</f>
        <v>20</v>
      </c>
      <c r="P265">
        <f>N265*60+O265</f>
        <v>20</v>
      </c>
      <c r="Q265" s="7">
        <f>G265-F265</f>
        <v>2.0833333335758653E-2</v>
      </c>
      <c r="R265">
        <f>HOUR(Q265)</f>
        <v>0</v>
      </c>
      <c r="S265">
        <f>MINUTE(Q265)</f>
        <v>30</v>
      </c>
      <c r="T265">
        <f>R265*60+S265</f>
        <v>30</v>
      </c>
      <c r="U265" s="7">
        <f>H265-G265</f>
        <v>2.4305555554747116E-2</v>
      </c>
      <c r="V265">
        <f>HOUR(U265)</f>
        <v>0</v>
      </c>
      <c r="W265">
        <f>MINUTE(U265)</f>
        <v>35</v>
      </c>
      <c r="X265">
        <f>V265*60+W265</f>
        <v>35</v>
      </c>
      <c r="Y265" s="7">
        <f>I265-H265</f>
        <v>6.9444444452528842E-3</v>
      </c>
      <c r="Z265">
        <f>HOUR(Y265)</f>
        <v>0</v>
      </c>
      <c r="AA265">
        <f>MINUTE(Y265)</f>
        <v>10</v>
      </c>
      <c r="AB265">
        <f>Z265*60+AA265</f>
        <v>10</v>
      </c>
    </row>
    <row r="266" spans="1:28" x14ac:dyDescent="0.25">
      <c r="A266">
        <v>264</v>
      </c>
      <c r="B266" t="s">
        <v>33</v>
      </c>
      <c r="C266">
        <v>1</v>
      </c>
      <c r="D266" t="s">
        <v>36</v>
      </c>
      <c r="E266" s="6">
        <v>46041.579861111109</v>
      </c>
      <c r="F266" s="6">
        <v>46041.586805555555</v>
      </c>
      <c r="G266" s="6">
        <v>46041.6875</v>
      </c>
      <c r="H266" s="6">
        <v>46041.847222222219</v>
      </c>
      <c r="I266" s="6">
        <v>46041.854166666664</v>
      </c>
      <c r="J266" s="6">
        <v>46041.859027777777</v>
      </c>
      <c r="K266">
        <v>6.7</v>
      </c>
      <c r="L266" s="6">
        <v>46041.865972222222</v>
      </c>
      <c r="M266" s="7">
        <f>F266-E266</f>
        <v>6.9444444452528842E-3</v>
      </c>
      <c r="N266">
        <f>HOUR(M266)</f>
        <v>0</v>
      </c>
      <c r="O266">
        <f>MINUTE(M266)</f>
        <v>10</v>
      </c>
      <c r="P266">
        <f>N266*60+O266</f>
        <v>10</v>
      </c>
      <c r="Q266" s="7">
        <f>G266-F266</f>
        <v>0.10069444444525288</v>
      </c>
      <c r="R266">
        <f>HOUR(Q266)</f>
        <v>2</v>
      </c>
      <c r="S266">
        <f>MINUTE(Q266)</f>
        <v>25</v>
      </c>
      <c r="T266">
        <f>R266*60+S266</f>
        <v>145</v>
      </c>
      <c r="U266" s="7">
        <f>H266-G266</f>
        <v>0.15972222221898846</v>
      </c>
      <c r="V266">
        <f>HOUR(U266)</f>
        <v>3</v>
      </c>
      <c r="W266">
        <f>MINUTE(U266)</f>
        <v>50</v>
      </c>
      <c r="X266">
        <f>V266*60+W266</f>
        <v>230</v>
      </c>
      <c r="Y266" s="7">
        <f>I266-H266</f>
        <v>6.9444444452528842E-3</v>
      </c>
      <c r="Z266">
        <f>HOUR(Y266)</f>
        <v>0</v>
      </c>
      <c r="AA266">
        <f>MINUTE(Y266)</f>
        <v>10</v>
      </c>
      <c r="AB266">
        <f>Z266*60+AA266</f>
        <v>10</v>
      </c>
    </row>
    <row r="267" spans="1:28" x14ac:dyDescent="0.25">
      <c r="A267">
        <v>265</v>
      </c>
      <c r="B267" t="s">
        <v>31</v>
      </c>
      <c r="C267">
        <v>1</v>
      </c>
      <c r="D267" t="s">
        <v>36</v>
      </c>
      <c r="E267" s="6">
        <v>46041.579861111109</v>
      </c>
      <c r="F267" s="6">
        <v>46041.586805555555</v>
      </c>
      <c r="G267" s="6">
        <v>46041.6875</v>
      </c>
      <c r="H267" s="6">
        <v>46041.847222222219</v>
      </c>
      <c r="I267" s="6">
        <v>46041.854166666664</v>
      </c>
      <c r="J267" s="6">
        <v>46041.859027777777</v>
      </c>
      <c r="K267">
        <v>6.7</v>
      </c>
      <c r="L267" s="6">
        <v>46041.865972222222</v>
      </c>
      <c r="M267" s="7">
        <f>F267-E267</f>
        <v>6.9444444452528842E-3</v>
      </c>
      <c r="N267">
        <f>HOUR(M267)</f>
        <v>0</v>
      </c>
      <c r="O267">
        <f>MINUTE(M267)</f>
        <v>10</v>
      </c>
      <c r="P267">
        <f>N267*60+O267</f>
        <v>10</v>
      </c>
      <c r="Q267" s="7">
        <f>G267-F267</f>
        <v>0.10069444444525288</v>
      </c>
      <c r="R267">
        <f>HOUR(Q267)</f>
        <v>2</v>
      </c>
      <c r="S267">
        <f>MINUTE(Q267)</f>
        <v>25</v>
      </c>
      <c r="T267">
        <f>R267*60+S267</f>
        <v>145</v>
      </c>
      <c r="U267" s="7">
        <f>H267-G267</f>
        <v>0.15972222221898846</v>
      </c>
      <c r="V267">
        <f>HOUR(U267)</f>
        <v>3</v>
      </c>
      <c r="W267">
        <f>MINUTE(U267)</f>
        <v>50</v>
      </c>
      <c r="X267">
        <f>V267*60+W267</f>
        <v>230</v>
      </c>
      <c r="Y267" s="7">
        <f>I267-H267</f>
        <v>6.9444444452528842E-3</v>
      </c>
      <c r="Z267">
        <f>HOUR(Y267)</f>
        <v>0</v>
      </c>
      <c r="AA267">
        <f>MINUTE(Y267)</f>
        <v>10</v>
      </c>
      <c r="AB267">
        <f>Z267*60+AA267</f>
        <v>10</v>
      </c>
    </row>
    <row r="268" spans="1:28" x14ac:dyDescent="0.25">
      <c r="A268">
        <v>266</v>
      </c>
      <c r="B268" t="s">
        <v>33</v>
      </c>
      <c r="C268">
        <v>2</v>
      </c>
      <c r="D268" t="s">
        <v>32</v>
      </c>
      <c r="E268" s="6">
        <v>46041.618055555555</v>
      </c>
      <c r="F268" s="6">
        <v>46041.638888888891</v>
      </c>
      <c r="G268" s="6">
        <v>46041.65625</v>
      </c>
      <c r="H268" s="6">
        <v>46041.82708333333</v>
      </c>
      <c r="I268" s="6">
        <v>46041.834027777775</v>
      </c>
      <c r="J268" s="6">
        <v>46041.892361111109</v>
      </c>
      <c r="K268">
        <v>6.58</v>
      </c>
      <c r="L268" s="6">
        <v>46041.899305555555</v>
      </c>
      <c r="M268" s="7">
        <f>F268-E268</f>
        <v>2.0833333335758653E-2</v>
      </c>
      <c r="N268">
        <f>HOUR(M268)</f>
        <v>0</v>
      </c>
      <c r="O268">
        <f>MINUTE(M268)</f>
        <v>30</v>
      </c>
      <c r="P268">
        <f>N268*60+O268</f>
        <v>30</v>
      </c>
      <c r="Q268" s="7">
        <f>G268-F268</f>
        <v>1.7361111109494232E-2</v>
      </c>
      <c r="R268">
        <f>HOUR(Q268)</f>
        <v>0</v>
      </c>
      <c r="S268">
        <f>MINUTE(Q268)</f>
        <v>25</v>
      </c>
      <c r="T268">
        <f>R268*60+S268</f>
        <v>25</v>
      </c>
      <c r="U268" s="7">
        <f>H268-G268</f>
        <v>0.17083333332993789</v>
      </c>
      <c r="V268">
        <f>HOUR(U268)</f>
        <v>4</v>
      </c>
      <c r="W268">
        <f>MINUTE(U268)</f>
        <v>6</v>
      </c>
      <c r="X268">
        <f>V268*60+W268</f>
        <v>246</v>
      </c>
      <c r="Y268" s="7">
        <f>I268-H268</f>
        <v>6.9444444452528842E-3</v>
      </c>
      <c r="Z268">
        <f>HOUR(Y268)</f>
        <v>0</v>
      </c>
      <c r="AA268">
        <f>MINUTE(Y268)</f>
        <v>10</v>
      </c>
      <c r="AB268">
        <f>Z268*60+AA268</f>
        <v>10</v>
      </c>
    </row>
    <row r="269" spans="1:28" x14ac:dyDescent="0.25">
      <c r="A269">
        <v>267</v>
      </c>
      <c r="B269" t="s">
        <v>31</v>
      </c>
      <c r="C269">
        <v>1</v>
      </c>
      <c r="D269" t="s">
        <v>34</v>
      </c>
      <c r="E269" s="6">
        <v>46042.569444444445</v>
      </c>
      <c r="F269" s="6">
        <v>46042.590277777781</v>
      </c>
      <c r="G269" s="6">
        <v>46042.618055555555</v>
      </c>
      <c r="H269" s="6">
        <v>46042.722222222219</v>
      </c>
      <c r="I269" s="6">
        <v>46042.743055555555</v>
      </c>
      <c r="J269" s="6">
        <v>46042.75</v>
      </c>
      <c r="K269">
        <v>4.33</v>
      </c>
      <c r="L269" s="6">
        <v>46042.753472222219</v>
      </c>
      <c r="M269" s="7">
        <f>F269-E269</f>
        <v>2.0833333335758653E-2</v>
      </c>
      <c r="N269">
        <f>HOUR(M269)</f>
        <v>0</v>
      </c>
      <c r="O269">
        <f>MINUTE(M269)</f>
        <v>30</v>
      </c>
      <c r="P269">
        <f>N269*60+O269</f>
        <v>30</v>
      </c>
      <c r="Q269" s="7">
        <f>G269-F269</f>
        <v>2.7777777773735579E-2</v>
      </c>
      <c r="R269">
        <f>HOUR(Q269)</f>
        <v>0</v>
      </c>
      <c r="S269">
        <f>MINUTE(Q269)</f>
        <v>40</v>
      </c>
      <c r="T269">
        <f>R269*60+S269</f>
        <v>40</v>
      </c>
      <c r="U269" s="7">
        <f>H269-G269</f>
        <v>0.10416666666424135</v>
      </c>
      <c r="V269">
        <f>HOUR(U269)</f>
        <v>2</v>
      </c>
      <c r="W269">
        <f>MINUTE(U269)</f>
        <v>30</v>
      </c>
      <c r="X269">
        <f>V269*60+W269</f>
        <v>150</v>
      </c>
      <c r="Y269" s="7">
        <f>I269-H269</f>
        <v>2.0833333335758653E-2</v>
      </c>
      <c r="Z269">
        <f>HOUR(Y269)</f>
        <v>0</v>
      </c>
      <c r="AA269">
        <f>MINUTE(Y269)</f>
        <v>30</v>
      </c>
      <c r="AB269">
        <f>Z269*60+AA269</f>
        <v>30</v>
      </c>
    </row>
    <row r="270" spans="1:28" x14ac:dyDescent="0.25">
      <c r="A270">
        <v>268</v>
      </c>
      <c r="B270" t="s">
        <v>29</v>
      </c>
      <c r="C270">
        <v>1</v>
      </c>
      <c r="D270" t="s">
        <v>30</v>
      </c>
      <c r="E270" s="6">
        <v>46042.284722222219</v>
      </c>
      <c r="F270" s="6">
        <v>46042.319444444445</v>
      </c>
      <c r="G270" s="6">
        <v>46042.326388888891</v>
      </c>
      <c r="H270" s="6">
        <v>46042.34375</v>
      </c>
      <c r="I270" s="6">
        <v>46042.350694444445</v>
      </c>
      <c r="J270" s="6">
        <v>46042.402777777781</v>
      </c>
      <c r="K270">
        <v>2.83</v>
      </c>
      <c r="L270" s="6">
        <v>46042.409722222219</v>
      </c>
      <c r="M270" s="7">
        <f>F270-E270</f>
        <v>3.4722222226264421E-2</v>
      </c>
      <c r="N270">
        <f>HOUR(M270)</f>
        <v>0</v>
      </c>
      <c r="O270">
        <f>MINUTE(M270)</f>
        <v>50</v>
      </c>
      <c r="P270">
        <f>N270*60+O270</f>
        <v>50</v>
      </c>
      <c r="Q270" s="7">
        <f>G270-F270</f>
        <v>6.9444444452528842E-3</v>
      </c>
      <c r="R270">
        <f>HOUR(Q270)</f>
        <v>0</v>
      </c>
      <c r="S270">
        <f>MINUTE(Q270)</f>
        <v>10</v>
      </c>
      <c r="T270">
        <f>R270*60+S270</f>
        <v>10</v>
      </c>
      <c r="U270" s="7">
        <f>H270-G270</f>
        <v>1.7361111109494232E-2</v>
      </c>
      <c r="V270">
        <f>HOUR(U270)</f>
        <v>0</v>
      </c>
      <c r="W270">
        <f>MINUTE(U270)</f>
        <v>25</v>
      </c>
      <c r="X270">
        <f>V270*60+W270</f>
        <v>25</v>
      </c>
      <c r="Y270" s="7">
        <f>I270-H270</f>
        <v>6.9444444452528842E-3</v>
      </c>
      <c r="Z270">
        <f>HOUR(Y270)</f>
        <v>0</v>
      </c>
      <c r="AA270">
        <f>MINUTE(Y270)</f>
        <v>10</v>
      </c>
      <c r="AB270">
        <f>Z270*60+AA270</f>
        <v>10</v>
      </c>
    </row>
    <row r="271" spans="1:28" x14ac:dyDescent="0.25">
      <c r="A271">
        <v>269</v>
      </c>
      <c r="B271" t="s">
        <v>31</v>
      </c>
      <c r="C271">
        <v>1</v>
      </c>
      <c r="D271" t="s">
        <v>36</v>
      </c>
      <c r="E271" s="6">
        <v>46042.694444444445</v>
      </c>
      <c r="F271" s="6">
        <v>46042.706250000003</v>
      </c>
      <c r="G271" s="6">
        <v>46042.765277777777</v>
      </c>
      <c r="H271" s="6">
        <v>46042.856249999997</v>
      </c>
      <c r="I271" s="6">
        <v>46042.864583333336</v>
      </c>
      <c r="J271" s="6">
        <v>46042.875</v>
      </c>
      <c r="K271">
        <v>4.33</v>
      </c>
      <c r="L271" s="6">
        <v>46042.881944444445</v>
      </c>
      <c r="M271" s="7">
        <f>F271-E271</f>
        <v>1.1805555557657499E-2</v>
      </c>
      <c r="N271">
        <f>HOUR(M271)</f>
        <v>0</v>
      </c>
      <c r="O271">
        <f>MINUTE(M271)</f>
        <v>17</v>
      </c>
      <c r="P271">
        <f>N271*60+O271</f>
        <v>17</v>
      </c>
      <c r="Q271" s="7">
        <f>G271-F271</f>
        <v>5.9027777773735579E-2</v>
      </c>
      <c r="R271">
        <f>HOUR(Q271)</f>
        <v>1</v>
      </c>
      <c r="S271">
        <f>MINUTE(Q271)</f>
        <v>25</v>
      </c>
      <c r="T271">
        <f>R271*60+S271</f>
        <v>85</v>
      </c>
      <c r="U271" s="7">
        <f>H271-G271</f>
        <v>9.0972222220443655E-2</v>
      </c>
      <c r="V271">
        <f>HOUR(U271)</f>
        <v>2</v>
      </c>
      <c r="W271">
        <f>MINUTE(U271)</f>
        <v>11</v>
      </c>
      <c r="X271">
        <f>V271*60+W271</f>
        <v>131</v>
      </c>
      <c r="Y271" s="7">
        <f>I271-H271</f>
        <v>8.3333333386690356E-3</v>
      </c>
      <c r="Z271">
        <f>HOUR(Y271)</f>
        <v>0</v>
      </c>
      <c r="AA271">
        <f>MINUTE(Y271)</f>
        <v>12</v>
      </c>
      <c r="AB271">
        <f>Z271*60+AA271</f>
        <v>12</v>
      </c>
    </row>
    <row r="272" spans="1:28" x14ac:dyDescent="0.25">
      <c r="A272">
        <v>270</v>
      </c>
      <c r="B272" t="s">
        <v>29</v>
      </c>
      <c r="C272">
        <v>1</v>
      </c>
      <c r="D272" t="s">
        <v>35</v>
      </c>
      <c r="E272" s="6">
        <v>46042.482638888891</v>
      </c>
      <c r="F272" s="6">
        <v>46042.5</v>
      </c>
      <c r="G272" s="6">
        <v>46042.541666666664</v>
      </c>
      <c r="H272" s="6">
        <v>46042.611111111109</v>
      </c>
      <c r="I272" s="6">
        <v>46042.625</v>
      </c>
      <c r="J272" s="6">
        <v>46042.635416666664</v>
      </c>
      <c r="K272">
        <v>3.67</v>
      </c>
      <c r="L272" s="6">
        <v>46042.642361111109</v>
      </c>
      <c r="M272" s="7">
        <f>F272-E272</f>
        <v>1.7361111109494232E-2</v>
      </c>
      <c r="N272">
        <f>HOUR(M272)</f>
        <v>0</v>
      </c>
      <c r="O272">
        <f>MINUTE(M272)</f>
        <v>25</v>
      </c>
      <c r="P272">
        <f>N272*60+O272</f>
        <v>25</v>
      </c>
      <c r="Q272" s="7">
        <f>G272-F272</f>
        <v>4.1666666664241347E-2</v>
      </c>
      <c r="R272">
        <f>HOUR(Q272)</f>
        <v>1</v>
      </c>
      <c r="S272">
        <f>MINUTE(Q272)</f>
        <v>0</v>
      </c>
      <c r="T272">
        <f>R272*60+S272</f>
        <v>60</v>
      </c>
      <c r="U272" s="7">
        <f>H272-G272</f>
        <v>6.9444444445252884E-2</v>
      </c>
      <c r="V272">
        <f>HOUR(U272)</f>
        <v>1</v>
      </c>
      <c r="W272">
        <f>MINUTE(U272)</f>
        <v>40</v>
      </c>
      <c r="X272">
        <f>V272*60+W272</f>
        <v>100</v>
      </c>
      <c r="Y272" s="7">
        <f>I272-H272</f>
        <v>1.3888888890505768E-2</v>
      </c>
      <c r="Z272">
        <f>HOUR(Y272)</f>
        <v>0</v>
      </c>
      <c r="AA272">
        <f>MINUTE(Y272)</f>
        <v>20</v>
      </c>
      <c r="AB272">
        <f>Z272*60+AA272</f>
        <v>20</v>
      </c>
    </row>
    <row r="273" spans="1:28" x14ac:dyDescent="0.25">
      <c r="A273">
        <v>271</v>
      </c>
      <c r="B273" t="s">
        <v>29</v>
      </c>
      <c r="C273">
        <v>1</v>
      </c>
      <c r="D273" t="s">
        <v>37</v>
      </c>
      <c r="E273" s="6">
        <v>46042.25</v>
      </c>
      <c r="F273" s="6">
        <v>46042.256944444445</v>
      </c>
      <c r="G273" s="6">
        <v>46042.260416666664</v>
      </c>
      <c r="H273" s="6">
        <v>46042.267361111109</v>
      </c>
      <c r="I273" s="6">
        <v>46042.274305555555</v>
      </c>
      <c r="J273" s="6">
        <v>46042.291666666664</v>
      </c>
      <c r="K273">
        <v>1</v>
      </c>
      <c r="L273" s="6">
        <v>46042.298611111109</v>
      </c>
      <c r="M273" s="7">
        <f>F273-E273</f>
        <v>6.9444444452528842E-3</v>
      </c>
      <c r="N273">
        <f>HOUR(M273)</f>
        <v>0</v>
      </c>
      <c r="O273">
        <f>MINUTE(M273)</f>
        <v>10</v>
      </c>
      <c r="P273">
        <f>N273*60+O273</f>
        <v>10</v>
      </c>
      <c r="Q273" s="7">
        <f>G273-F273</f>
        <v>3.4722222189884633E-3</v>
      </c>
      <c r="R273">
        <f>HOUR(Q273)</f>
        <v>0</v>
      </c>
      <c r="S273">
        <f>MINUTE(Q273)</f>
        <v>5</v>
      </c>
      <c r="T273">
        <f>R273*60+S273</f>
        <v>5</v>
      </c>
      <c r="U273" s="7">
        <f>H273-G273</f>
        <v>6.9444444452528842E-3</v>
      </c>
      <c r="V273">
        <f>HOUR(U273)</f>
        <v>0</v>
      </c>
      <c r="W273">
        <f>MINUTE(U273)</f>
        <v>10</v>
      </c>
      <c r="X273">
        <f>V273*60+W273</f>
        <v>10</v>
      </c>
      <c r="Y273" s="7">
        <f>I273-H273</f>
        <v>6.9444444452528842E-3</v>
      </c>
      <c r="Z273">
        <f>HOUR(Y273)</f>
        <v>0</v>
      </c>
      <c r="AA273">
        <f>MINUTE(Y273)</f>
        <v>10</v>
      </c>
      <c r="AB273">
        <f>Z273*60+AA273</f>
        <v>10</v>
      </c>
    </row>
    <row r="274" spans="1:28" x14ac:dyDescent="0.25">
      <c r="A274">
        <v>272</v>
      </c>
      <c r="B274" t="s">
        <v>29</v>
      </c>
      <c r="C274">
        <v>1</v>
      </c>
      <c r="D274" t="s">
        <v>30</v>
      </c>
      <c r="E274" s="6">
        <v>46042.65625</v>
      </c>
      <c r="F274" s="6">
        <v>46042.673611111109</v>
      </c>
      <c r="G274" s="6">
        <v>46042.694444444445</v>
      </c>
      <c r="H274" s="6">
        <v>46042.861111111109</v>
      </c>
      <c r="I274" s="6">
        <v>46042.875</v>
      </c>
      <c r="J274" s="6">
        <v>46042.875694444447</v>
      </c>
      <c r="K274">
        <v>5.27</v>
      </c>
      <c r="L274" s="6">
        <v>46042.876388888886</v>
      </c>
      <c r="M274" s="7">
        <f>F274-E274</f>
        <v>1.7361111109494232E-2</v>
      </c>
      <c r="N274">
        <f>HOUR(M274)</f>
        <v>0</v>
      </c>
      <c r="O274">
        <f>MINUTE(M274)</f>
        <v>25</v>
      </c>
      <c r="P274">
        <f>N274*60+O274</f>
        <v>25</v>
      </c>
      <c r="Q274" s="7">
        <f>G274-F274</f>
        <v>2.0833333335758653E-2</v>
      </c>
      <c r="R274">
        <f>HOUR(Q274)</f>
        <v>0</v>
      </c>
      <c r="S274">
        <f>MINUTE(Q274)</f>
        <v>30</v>
      </c>
      <c r="T274">
        <f>R274*60+S274</f>
        <v>30</v>
      </c>
      <c r="U274" s="7">
        <f>H274-G274</f>
        <v>0.16666666666424135</v>
      </c>
      <c r="V274">
        <f>HOUR(U274)</f>
        <v>4</v>
      </c>
      <c r="W274">
        <f>MINUTE(U274)</f>
        <v>0</v>
      </c>
      <c r="X274">
        <f>V274*60+W274</f>
        <v>240</v>
      </c>
      <c r="Y274" s="7">
        <f>I274-H274</f>
        <v>1.3888888890505768E-2</v>
      </c>
      <c r="Z274">
        <f>HOUR(Y274)</f>
        <v>0</v>
      </c>
      <c r="AA274">
        <f>MINUTE(Y274)</f>
        <v>20</v>
      </c>
      <c r="AB274">
        <f>Z274*60+AA274</f>
        <v>20</v>
      </c>
    </row>
    <row r="275" spans="1:28" x14ac:dyDescent="0.25">
      <c r="A275">
        <v>273</v>
      </c>
      <c r="B275" t="s">
        <v>29</v>
      </c>
      <c r="C275">
        <v>1</v>
      </c>
      <c r="D275" t="s">
        <v>35</v>
      </c>
      <c r="E275" s="6">
        <v>46042.315972222219</v>
      </c>
      <c r="F275" s="6">
        <v>46042.340277777781</v>
      </c>
      <c r="G275" s="6">
        <v>46042.369444444441</v>
      </c>
      <c r="H275" s="6">
        <v>46042.449305555558</v>
      </c>
      <c r="I275" s="6">
        <v>46042.456944444442</v>
      </c>
      <c r="J275" s="6">
        <v>46042.458333333336</v>
      </c>
      <c r="K275">
        <v>3.42</v>
      </c>
      <c r="L275" s="6">
        <v>46042.461805555555</v>
      </c>
      <c r="M275" s="7">
        <f>F275-E275</f>
        <v>2.4305555562023073E-2</v>
      </c>
      <c r="N275">
        <f>HOUR(M275)</f>
        <v>0</v>
      </c>
      <c r="O275">
        <f>MINUTE(M275)</f>
        <v>35</v>
      </c>
      <c r="P275">
        <f>N275*60+O275</f>
        <v>35</v>
      </c>
      <c r="Q275" s="7">
        <f>G275-F275</f>
        <v>2.9166666659875773E-2</v>
      </c>
      <c r="R275">
        <f>HOUR(Q275)</f>
        <v>0</v>
      </c>
      <c r="S275">
        <f>MINUTE(Q275)</f>
        <v>42</v>
      </c>
      <c r="T275">
        <f>R275*60+S275</f>
        <v>42</v>
      </c>
      <c r="U275" s="7">
        <f>H275-G275</f>
        <v>7.9861111116770189E-2</v>
      </c>
      <c r="V275">
        <f>HOUR(U275)</f>
        <v>1</v>
      </c>
      <c r="W275">
        <f>MINUTE(U275)</f>
        <v>55</v>
      </c>
      <c r="X275">
        <f>V275*60+W275</f>
        <v>115</v>
      </c>
      <c r="Y275" s="7">
        <f>I275-H275</f>
        <v>7.6388888846850023E-3</v>
      </c>
      <c r="Z275">
        <f>HOUR(Y275)</f>
        <v>0</v>
      </c>
      <c r="AA275">
        <f>MINUTE(Y275)</f>
        <v>11</v>
      </c>
      <c r="AB275">
        <f>Z275*60+AA275</f>
        <v>11</v>
      </c>
    </row>
    <row r="276" spans="1:28" x14ac:dyDescent="0.25">
      <c r="A276">
        <v>274</v>
      </c>
      <c r="B276" t="s">
        <v>29</v>
      </c>
      <c r="C276">
        <v>1</v>
      </c>
      <c r="D276" t="s">
        <v>30</v>
      </c>
      <c r="E276" s="6">
        <v>46042.46875</v>
      </c>
      <c r="F276" s="6">
        <v>46042.479166666664</v>
      </c>
      <c r="G276" s="6">
        <v>46042.5</v>
      </c>
      <c r="H276" s="6">
        <v>46042.595833333333</v>
      </c>
      <c r="I276" s="6">
        <v>46042.602777777778</v>
      </c>
      <c r="J276" s="6">
        <v>46042.611111111109</v>
      </c>
      <c r="K276">
        <v>3.42</v>
      </c>
      <c r="L276" s="6">
        <v>46042.618055555555</v>
      </c>
      <c r="M276" s="7">
        <f>F276-E276</f>
        <v>1.0416666664241347E-2</v>
      </c>
      <c r="N276">
        <f>HOUR(M276)</f>
        <v>0</v>
      </c>
      <c r="O276">
        <f>MINUTE(M276)</f>
        <v>15</v>
      </c>
      <c r="P276">
        <f>N276*60+O276</f>
        <v>15</v>
      </c>
      <c r="Q276" s="7">
        <f>G276-F276</f>
        <v>2.0833333335758653E-2</v>
      </c>
      <c r="R276">
        <f>HOUR(Q276)</f>
        <v>0</v>
      </c>
      <c r="S276">
        <f>MINUTE(Q276)</f>
        <v>30</v>
      </c>
      <c r="T276">
        <f>R276*60+S276</f>
        <v>30</v>
      </c>
      <c r="U276" s="7">
        <f>H276-G276</f>
        <v>9.5833333332848269E-2</v>
      </c>
      <c r="V276">
        <f>HOUR(U276)</f>
        <v>2</v>
      </c>
      <c r="W276">
        <f>MINUTE(U276)</f>
        <v>18</v>
      </c>
      <c r="X276">
        <f>V276*60+W276</f>
        <v>138</v>
      </c>
      <c r="Y276" s="7">
        <f>I276-H276</f>
        <v>6.9444444452528842E-3</v>
      </c>
      <c r="Z276">
        <f>HOUR(Y276)</f>
        <v>0</v>
      </c>
      <c r="AA276">
        <f>MINUTE(Y276)</f>
        <v>10</v>
      </c>
      <c r="AB276">
        <f>Z276*60+AA276</f>
        <v>10</v>
      </c>
    </row>
    <row r="277" spans="1:28" x14ac:dyDescent="0.25">
      <c r="A277">
        <v>275</v>
      </c>
      <c r="B277" t="s">
        <v>31</v>
      </c>
      <c r="C277">
        <v>1</v>
      </c>
      <c r="D277" t="s">
        <v>34</v>
      </c>
      <c r="E277" s="6">
        <v>46042.468055555553</v>
      </c>
      <c r="F277" s="6">
        <v>46042.475694444445</v>
      </c>
      <c r="G277" s="6">
        <v>46042.486111111109</v>
      </c>
      <c r="H277" s="6">
        <v>46042.5</v>
      </c>
      <c r="I277" s="6">
        <v>46042.506944444445</v>
      </c>
      <c r="J277" s="6">
        <v>46042.517361111109</v>
      </c>
      <c r="K277">
        <v>1.18</v>
      </c>
      <c r="L277" s="6">
        <v>46042.524305555555</v>
      </c>
      <c r="M277" s="7">
        <f>F277-E277</f>
        <v>7.6388888919609599E-3</v>
      </c>
      <c r="N277">
        <f>HOUR(M277)</f>
        <v>0</v>
      </c>
      <c r="O277">
        <f>MINUTE(M277)</f>
        <v>11</v>
      </c>
      <c r="P277">
        <f>N277*60+O277</f>
        <v>11</v>
      </c>
      <c r="Q277" s="7">
        <f>G277-F277</f>
        <v>1.0416666664241347E-2</v>
      </c>
      <c r="R277">
        <f>HOUR(Q277)</f>
        <v>0</v>
      </c>
      <c r="S277">
        <f>MINUTE(Q277)</f>
        <v>15</v>
      </c>
      <c r="T277">
        <f>R277*60+S277</f>
        <v>15</v>
      </c>
      <c r="U277" s="7">
        <f>H277-G277</f>
        <v>1.3888888890505768E-2</v>
      </c>
      <c r="V277">
        <f>HOUR(U277)</f>
        <v>0</v>
      </c>
      <c r="W277">
        <f>MINUTE(U277)</f>
        <v>20</v>
      </c>
      <c r="X277">
        <f>V277*60+W277</f>
        <v>20</v>
      </c>
      <c r="Y277" s="7">
        <f>I277-H277</f>
        <v>6.9444444452528842E-3</v>
      </c>
      <c r="Z277">
        <f>HOUR(Y277)</f>
        <v>0</v>
      </c>
      <c r="AA277">
        <f>MINUTE(Y277)</f>
        <v>10</v>
      </c>
      <c r="AB277">
        <f>Z277*60+AA277</f>
        <v>10</v>
      </c>
    </row>
    <row r="278" spans="1:28" x14ac:dyDescent="0.25">
      <c r="A278">
        <v>276</v>
      </c>
      <c r="B278" t="s">
        <v>33</v>
      </c>
      <c r="C278">
        <v>1</v>
      </c>
      <c r="D278" t="s">
        <v>32</v>
      </c>
      <c r="E278" s="6">
        <v>46042.4375</v>
      </c>
      <c r="F278" s="6">
        <v>46042.444444444445</v>
      </c>
      <c r="G278" s="6">
        <v>46042.451388888891</v>
      </c>
      <c r="H278" s="6">
        <v>46042.46875</v>
      </c>
      <c r="I278" s="6">
        <v>46042.475694444445</v>
      </c>
      <c r="J278" s="6">
        <v>46042.492361111108</v>
      </c>
      <c r="K278">
        <v>1.32</v>
      </c>
      <c r="L278" s="6">
        <v>46042.493055555555</v>
      </c>
      <c r="M278" s="7">
        <f>F278-E278</f>
        <v>6.9444444452528842E-3</v>
      </c>
      <c r="N278">
        <f>HOUR(M278)</f>
        <v>0</v>
      </c>
      <c r="O278">
        <f>MINUTE(M278)</f>
        <v>10</v>
      </c>
      <c r="P278">
        <f>N278*60+O278</f>
        <v>10</v>
      </c>
      <c r="Q278" s="7">
        <f>G278-F278</f>
        <v>6.9444444452528842E-3</v>
      </c>
      <c r="R278">
        <f>HOUR(Q278)</f>
        <v>0</v>
      </c>
      <c r="S278">
        <f>MINUTE(Q278)</f>
        <v>10</v>
      </c>
      <c r="T278">
        <f>R278*60+S278</f>
        <v>10</v>
      </c>
      <c r="U278" s="7">
        <f>H278-G278</f>
        <v>1.7361111109494232E-2</v>
      </c>
      <c r="V278">
        <f>HOUR(U278)</f>
        <v>0</v>
      </c>
      <c r="W278">
        <f>MINUTE(U278)</f>
        <v>25</v>
      </c>
      <c r="X278">
        <f>V278*60+W278</f>
        <v>25</v>
      </c>
      <c r="Y278" s="7">
        <f>I278-H278</f>
        <v>6.9444444452528842E-3</v>
      </c>
      <c r="Z278">
        <f>HOUR(Y278)</f>
        <v>0</v>
      </c>
      <c r="AA278">
        <f>MINUTE(Y278)</f>
        <v>10</v>
      </c>
      <c r="AB278">
        <f>Z278*60+AA278</f>
        <v>10</v>
      </c>
    </row>
    <row r="279" spans="1:28" x14ac:dyDescent="0.25">
      <c r="A279">
        <v>277</v>
      </c>
      <c r="B279" t="s">
        <v>33</v>
      </c>
      <c r="C279">
        <v>1</v>
      </c>
      <c r="D279" t="s">
        <v>32</v>
      </c>
      <c r="E279" s="6">
        <v>46042.686111111114</v>
      </c>
      <c r="F279" s="6">
        <v>46042.690972222219</v>
      </c>
      <c r="G279" s="6">
        <v>46042.708333333336</v>
      </c>
      <c r="H279" s="6">
        <v>46042.729166666664</v>
      </c>
      <c r="I279" s="6">
        <v>46042.736111111109</v>
      </c>
      <c r="J279" s="6">
        <v>46042.743055555555</v>
      </c>
      <c r="K279">
        <v>1.37</v>
      </c>
      <c r="L279" s="6">
        <v>46042.745833333334</v>
      </c>
      <c r="M279" s="7">
        <f>F279-E279</f>
        <v>4.8611111051286571E-3</v>
      </c>
      <c r="N279">
        <f>HOUR(M279)</f>
        <v>0</v>
      </c>
      <c r="O279">
        <f>MINUTE(M279)</f>
        <v>7</v>
      </c>
      <c r="P279">
        <f>N279*60+O279</f>
        <v>7</v>
      </c>
      <c r="Q279" s="7">
        <f>G279-F279</f>
        <v>1.7361111116770189E-2</v>
      </c>
      <c r="R279">
        <f>HOUR(Q279)</f>
        <v>0</v>
      </c>
      <c r="S279">
        <f>MINUTE(Q279)</f>
        <v>25</v>
      </c>
      <c r="T279">
        <f>R279*60+S279</f>
        <v>25</v>
      </c>
      <c r="U279" s="7">
        <f>H279-G279</f>
        <v>2.0833333328482695E-2</v>
      </c>
      <c r="V279">
        <f>HOUR(U279)</f>
        <v>0</v>
      </c>
      <c r="W279">
        <f>MINUTE(U279)</f>
        <v>30</v>
      </c>
      <c r="X279">
        <f>V279*60+W279</f>
        <v>30</v>
      </c>
      <c r="Y279" s="7">
        <f>I279-H279</f>
        <v>6.9444444452528842E-3</v>
      </c>
      <c r="Z279">
        <f>HOUR(Y279)</f>
        <v>0</v>
      </c>
      <c r="AA279">
        <f>MINUTE(Y279)</f>
        <v>10</v>
      </c>
      <c r="AB279">
        <f>Z279*60+AA279</f>
        <v>10</v>
      </c>
    </row>
    <row r="280" spans="1:28" x14ac:dyDescent="0.25">
      <c r="A280">
        <v>278</v>
      </c>
      <c r="B280" t="s">
        <v>33</v>
      </c>
      <c r="C280">
        <v>1</v>
      </c>
      <c r="D280" t="s">
        <v>35</v>
      </c>
      <c r="E280" s="6">
        <v>46042.288194444445</v>
      </c>
      <c r="F280" s="6">
        <v>46042.3125</v>
      </c>
      <c r="G280" s="6">
        <v>46042.347222222219</v>
      </c>
      <c r="H280" s="6">
        <v>46042.430555555555</v>
      </c>
      <c r="I280" s="6">
        <v>46042.434027777781</v>
      </c>
      <c r="J280" s="6">
        <v>46042.444444444445</v>
      </c>
      <c r="K280">
        <v>3.75</v>
      </c>
      <c r="L280" s="6">
        <v>46042.447916666664</v>
      </c>
      <c r="M280" s="7">
        <f>F280-E280</f>
        <v>2.4305555554747116E-2</v>
      </c>
      <c r="N280">
        <f>HOUR(M280)</f>
        <v>0</v>
      </c>
      <c r="O280">
        <f>MINUTE(M280)</f>
        <v>35</v>
      </c>
      <c r="P280">
        <f>N280*60+O280</f>
        <v>35</v>
      </c>
      <c r="Q280" s="7">
        <f>G280-F280</f>
        <v>3.4722222218988463E-2</v>
      </c>
      <c r="R280">
        <f>HOUR(Q280)</f>
        <v>0</v>
      </c>
      <c r="S280">
        <f>MINUTE(Q280)</f>
        <v>50</v>
      </c>
      <c r="T280">
        <f>R280*60+S280</f>
        <v>50</v>
      </c>
      <c r="U280" s="7">
        <f>H280-G280</f>
        <v>8.3333333335758653E-2</v>
      </c>
      <c r="V280">
        <f>HOUR(U280)</f>
        <v>2</v>
      </c>
      <c r="W280">
        <f>MINUTE(U280)</f>
        <v>0</v>
      </c>
      <c r="X280">
        <f>V280*60+W280</f>
        <v>120</v>
      </c>
      <c r="Y280" s="7">
        <f>I280-H280</f>
        <v>3.4722222262644209E-3</v>
      </c>
      <c r="Z280">
        <f>HOUR(Y280)</f>
        <v>0</v>
      </c>
      <c r="AA280">
        <f>MINUTE(Y280)</f>
        <v>5</v>
      </c>
      <c r="AB280">
        <f>Z280*60+AA280</f>
        <v>5</v>
      </c>
    </row>
    <row r="281" spans="1:28" x14ac:dyDescent="0.25">
      <c r="A281">
        <v>279</v>
      </c>
      <c r="B281" t="s">
        <v>31</v>
      </c>
      <c r="C281">
        <v>1</v>
      </c>
      <c r="D281" t="s">
        <v>30</v>
      </c>
      <c r="E281" s="6">
        <v>46042.378472222219</v>
      </c>
      <c r="F281" s="6">
        <v>46042.388888888891</v>
      </c>
      <c r="G281" s="6">
        <v>46042.409722222219</v>
      </c>
      <c r="H281" s="6">
        <v>46042.43472222222</v>
      </c>
      <c r="I281" s="6">
        <v>46042.4375</v>
      </c>
      <c r="J281" s="6">
        <v>46042.659722222219</v>
      </c>
      <c r="K281">
        <v>6.75</v>
      </c>
      <c r="L281" s="6">
        <v>46042.666666666664</v>
      </c>
      <c r="M281" s="7">
        <f>F281-E281</f>
        <v>1.0416666671517305E-2</v>
      </c>
      <c r="N281">
        <f>HOUR(M281)</f>
        <v>0</v>
      </c>
      <c r="O281">
        <f>MINUTE(M281)</f>
        <v>15</v>
      </c>
      <c r="P281">
        <f>N281*60+O281</f>
        <v>15</v>
      </c>
      <c r="Q281" s="7">
        <f>G281-F281</f>
        <v>2.0833333328482695E-2</v>
      </c>
      <c r="R281">
        <f>HOUR(Q281)</f>
        <v>0</v>
      </c>
      <c r="S281">
        <f>MINUTE(Q281)</f>
        <v>30</v>
      </c>
      <c r="T281">
        <f>R281*60+S281</f>
        <v>30</v>
      </c>
      <c r="U281" s="7">
        <f>H281-G281</f>
        <v>2.5000000001455192E-2</v>
      </c>
      <c r="V281">
        <f>HOUR(U281)</f>
        <v>0</v>
      </c>
      <c r="W281">
        <f>MINUTE(U281)</f>
        <v>36</v>
      </c>
      <c r="X281">
        <f>V281*60+W281</f>
        <v>36</v>
      </c>
      <c r="Y281" s="7">
        <f>I281-H281</f>
        <v>2.7777777795563452E-3</v>
      </c>
      <c r="Z281">
        <f>HOUR(Y281)</f>
        <v>0</v>
      </c>
      <c r="AA281">
        <f>MINUTE(Y281)</f>
        <v>4</v>
      </c>
      <c r="AB281">
        <f>Z281*60+AA281</f>
        <v>4</v>
      </c>
    </row>
    <row r="282" spans="1:28" x14ac:dyDescent="0.25">
      <c r="A282">
        <v>280</v>
      </c>
      <c r="B282" t="s">
        <v>31</v>
      </c>
      <c r="C282">
        <v>1</v>
      </c>
      <c r="D282" t="s">
        <v>35</v>
      </c>
      <c r="E282" s="6">
        <v>46042.670138888891</v>
      </c>
      <c r="F282" s="6">
        <v>46042.6875</v>
      </c>
      <c r="G282" s="6">
        <v>46042.701388888891</v>
      </c>
      <c r="H282" s="6">
        <v>46042.805555555555</v>
      </c>
      <c r="I282" s="6">
        <v>46042.809027777781</v>
      </c>
      <c r="J282" s="6">
        <v>46042.8125</v>
      </c>
      <c r="K282">
        <v>3.42</v>
      </c>
      <c r="L282" s="6">
        <v>46042.815972222219</v>
      </c>
      <c r="M282" s="7">
        <f>F282-E282</f>
        <v>1.7361111109494232E-2</v>
      </c>
      <c r="N282">
        <f>HOUR(M282)</f>
        <v>0</v>
      </c>
      <c r="O282">
        <f>MINUTE(M282)</f>
        <v>25</v>
      </c>
      <c r="P282">
        <f>N282*60+O282</f>
        <v>25</v>
      </c>
      <c r="Q282" s="7">
        <f>G282-F282</f>
        <v>1.3888888890505768E-2</v>
      </c>
      <c r="R282">
        <f>HOUR(Q282)</f>
        <v>0</v>
      </c>
      <c r="S282">
        <f>MINUTE(Q282)</f>
        <v>20</v>
      </c>
      <c r="T282">
        <f>R282*60+S282</f>
        <v>20</v>
      </c>
      <c r="U282" s="7">
        <f>H282-G282</f>
        <v>0.10416666666424135</v>
      </c>
      <c r="V282">
        <f>HOUR(U282)</f>
        <v>2</v>
      </c>
      <c r="W282">
        <f>MINUTE(U282)</f>
        <v>30</v>
      </c>
      <c r="X282">
        <f>V282*60+W282</f>
        <v>150</v>
      </c>
      <c r="Y282" s="7">
        <f>I282-H282</f>
        <v>3.4722222262644209E-3</v>
      </c>
      <c r="Z282">
        <f>HOUR(Y282)</f>
        <v>0</v>
      </c>
      <c r="AA282">
        <f>MINUTE(Y282)</f>
        <v>5</v>
      </c>
      <c r="AB282">
        <f>Z282*60+AA282</f>
        <v>5</v>
      </c>
    </row>
    <row r="283" spans="1:28" x14ac:dyDescent="0.25">
      <c r="A283">
        <v>281</v>
      </c>
      <c r="B283" t="s">
        <v>31</v>
      </c>
      <c r="C283">
        <v>1</v>
      </c>
      <c r="D283" t="s">
        <v>32</v>
      </c>
      <c r="E283" s="6">
        <v>46042.534722222219</v>
      </c>
      <c r="F283" s="6">
        <v>46042.548611111109</v>
      </c>
      <c r="G283" s="6">
        <v>46042.559027777781</v>
      </c>
      <c r="H283" s="6">
        <v>46042.611111111109</v>
      </c>
      <c r="I283" s="6">
        <v>46042.625</v>
      </c>
      <c r="J283" s="6">
        <v>46042.642361111109</v>
      </c>
      <c r="K283">
        <v>2.58</v>
      </c>
      <c r="L283" s="6">
        <v>46042.644444444442</v>
      </c>
      <c r="M283" s="7">
        <f>F283-E283</f>
        <v>1.3888888890505768E-2</v>
      </c>
      <c r="N283">
        <f>HOUR(M283)</f>
        <v>0</v>
      </c>
      <c r="O283">
        <f>MINUTE(M283)</f>
        <v>20</v>
      </c>
      <c r="P283">
        <f>N283*60+O283</f>
        <v>20</v>
      </c>
      <c r="Q283" s="7">
        <f>G283-F283</f>
        <v>1.0416666671517305E-2</v>
      </c>
      <c r="R283">
        <f>HOUR(Q283)</f>
        <v>0</v>
      </c>
      <c r="S283">
        <f>MINUTE(Q283)</f>
        <v>15</v>
      </c>
      <c r="T283">
        <f>R283*60+S283</f>
        <v>15</v>
      </c>
      <c r="U283" s="7">
        <f>H283-G283</f>
        <v>5.2083333328482695E-2</v>
      </c>
      <c r="V283">
        <f>HOUR(U283)</f>
        <v>1</v>
      </c>
      <c r="W283">
        <f>MINUTE(U283)</f>
        <v>15</v>
      </c>
      <c r="X283">
        <f>V283*60+W283</f>
        <v>75</v>
      </c>
      <c r="Y283" s="7">
        <f>I283-H283</f>
        <v>1.3888888890505768E-2</v>
      </c>
      <c r="Z283">
        <f>HOUR(Y283)</f>
        <v>0</v>
      </c>
      <c r="AA283">
        <f>MINUTE(Y283)</f>
        <v>20</v>
      </c>
      <c r="AB283">
        <f>Z283*60+AA283</f>
        <v>20</v>
      </c>
    </row>
    <row r="284" spans="1:28" x14ac:dyDescent="0.25">
      <c r="A284">
        <v>282</v>
      </c>
      <c r="B284" t="s">
        <v>29</v>
      </c>
      <c r="C284">
        <v>1</v>
      </c>
      <c r="D284" t="s">
        <v>37</v>
      </c>
      <c r="E284" s="6">
        <v>46044.291666666664</v>
      </c>
      <c r="F284" s="6">
        <v>46044.319444444445</v>
      </c>
      <c r="G284" s="6">
        <v>46044.340277777781</v>
      </c>
      <c r="H284" s="6">
        <v>46044.422222222223</v>
      </c>
      <c r="I284" s="6">
        <v>46044.429166666669</v>
      </c>
      <c r="J284" s="6">
        <v>46044.430555555555</v>
      </c>
      <c r="K284">
        <v>3.33</v>
      </c>
      <c r="L284" s="6">
        <v>46044.4375</v>
      </c>
      <c r="M284" s="7">
        <f>F284-E284</f>
        <v>2.7777777781011537E-2</v>
      </c>
      <c r="N284">
        <f>HOUR(M284)</f>
        <v>0</v>
      </c>
      <c r="O284">
        <f>MINUTE(M284)</f>
        <v>40</v>
      </c>
      <c r="P284">
        <f>N284*60+O284</f>
        <v>40</v>
      </c>
      <c r="Q284" s="7">
        <f>G284-F284</f>
        <v>2.0833333335758653E-2</v>
      </c>
      <c r="R284">
        <f>HOUR(Q284)</f>
        <v>0</v>
      </c>
      <c r="S284">
        <f>MINUTE(Q284)</f>
        <v>30</v>
      </c>
      <c r="T284">
        <f>R284*60+S284</f>
        <v>30</v>
      </c>
      <c r="U284" s="7">
        <f>H284-G284</f>
        <v>8.1944444442342501E-2</v>
      </c>
      <c r="V284">
        <f>HOUR(U284)</f>
        <v>1</v>
      </c>
      <c r="W284">
        <f>MINUTE(U284)</f>
        <v>58</v>
      </c>
      <c r="X284">
        <f>V284*60+W284</f>
        <v>118</v>
      </c>
      <c r="Y284" s="7">
        <f>I284-H284</f>
        <v>6.9444444452528842E-3</v>
      </c>
      <c r="Z284">
        <f>HOUR(Y284)</f>
        <v>0</v>
      </c>
      <c r="AA284">
        <f>MINUTE(Y284)</f>
        <v>10</v>
      </c>
      <c r="AB284">
        <f>Z284*60+AA284</f>
        <v>10</v>
      </c>
    </row>
    <row r="285" spans="1:28" x14ac:dyDescent="0.25">
      <c r="A285">
        <v>283</v>
      </c>
      <c r="B285" t="s">
        <v>29</v>
      </c>
      <c r="C285">
        <v>1</v>
      </c>
      <c r="D285" t="s">
        <v>34</v>
      </c>
      <c r="E285" s="6">
        <v>46056.334722222222</v>
      </c>
      <c r="F285" s="6">
        <v>46056.34375</v>
      </c>
      <c r="G285" s="6">
        <v>46056.371527777781</v>
      </c>
      <c r="H285" s="6">
        <v>46056.409722222219</v>
      </c>
      <c r="I285" s="6">
        <v>46056.416666666664</v>
      </c>
      <c r="J285" s="6">
        <v>46056.423611111109</v>
      </c>
      <c r="K285">
        <v>2.13</v>
      </c>
      <c r="L285" s="6">
        <v>46056.430555555555</v>
      </c>
      <c r="M285" s="7">
        <f>F285-E285</f>
        <v>9.0277777781011537E-3</v>
      </c>
      <c r="N285">
        <f>HOUR(M285)</f>
        <v>0</v>
      </c>
      <c r="O285">
        <f>MINUTE(M285)</f>
        <v>13</v>
      </c>
      <c r="P285">
        <f>N285*60+O285</f>
        <v>13</v>
      </c>
      <c r="Q285" s="7">
        <f>G285-F285</f>
        <v>2.7777777781011537E-2</v>
      </c>
      <c r="R285">
        <f>HOUR(Q285)</f>
        <v>0</v>
      </c>
      <c r="S285">
        <f>MINUTE(Q285)</f>
        <v>40</v>
      </c>
      <c r="T285">
        <f>R285*60+S285</f>
        <v>40</v>
      </c>
      <c r="U285" s="7">
        <f>H285-G285</f>
        <v>3.8194444437976927E-2</v>
      </c>
      <c r="V285">
        <f>HOUR(U285)</f>
        <v>0</v>
      </c>
      <c r="W285">
        <f>MINUTE(U285)</f>
        <v>55</v>
      </c>
      <c r="X285">
        <f>V285*60+W285</f>
        <v>55</v>
      </c>
      <c r="Y285" s="7">
        <f>I285-H285</f>
        <v>6.9444444452528842E-3</v>
      </c>
      <c r="Z285">
        <f>HOUR(Y285)</f>
        <v>0</v>
      </c>
      <c r="AA285">
        <f>MINUTE(Y285)</f>
        <v>10</v>
      </c>
      <c r="AB285">
        <f>Z285*60+AA285</f>
        <v>10</v>
      </c>
    </row>
    <row r="286" spans="1:28" x14ac:dyDescent="0.25">
      <c r="A286">
        <v>284</v>
      </c>
      <c r="B286" t="s">
        <v>29</v>
      </c>
      <c r="C286">
        <v>1</v>
      </c>
      <c r="D286" t="s">
        <v>36</v>
      </c>
      <c r="E286" s="6">
        <v>46043.600694444445</v>
      </c>
      <c r="F286" s="6">
        <v>46043.604166666664</v>
      </c>
      <c r="G286" s="6">
        <v>46043.638888888891</v>
      </c>
      <c r="H286" s="6">
        <v>46043.71875</v>
      </c>
      <c r="I286" s="6">
        <v>46043.725694444445</v>
      </c>
      <c r="J286" s="6">
        <v>46043.729166666664</v>
      </c>
      <c r="K286">
        <v>3.08</v>
      </c>
      <c r="L286" s="6">
        <v>46043.736111111109</v>
      </c>
      <c r="M286" s="7">
        <f>F286-E286</f>
        <v>3.4722222189884633E-3</v>
      </c>
      <c r="N286">
        <f>HOUR(M286)</f>
        <v>0</v>
      </c>
      <c r="O286">
        <f>MINUTE(M286)</f>
        <v>5</v>
      </c>
      <c r="P286">
        <f>N286*60+O286</f>
        <v>5</v>
      </c>
      <c r="Q286" s="7">
        <f>G286-F286</f>
        <v>3.4722222226264421E-2</v>
      </c>
      <c r="R286">
        <f>HOUR(Q286)</f>
        <v>0</v>
      </c>
      <c r="S286">
        <f>MINUTE(Q286)</f>
        <v>50</v>
      </c>
      <c r="T286">
        <f>R286*60+S286</f>
        <v>50</v>
      </c>
      <c r="U286" s="7">
        <f>H286-G286</f>
        <v>7.9861111109494232E-2</v>
      </c>
      <c r="V286">
        <f>HOUR(U286)</f>
        <v>1</v>
      </c>
      <c r="W286">
        <f>MINUTE(U286)</f>
        <v>55</v>
      </c>
      <c r="X286">
        <f>V286*60+W286</f>
        <v>115</v>
      </c>
      <c r="Y286" s="7">
        <f>I286-H286</f>
        <v>6.9444444452528842E-3</v>
      </c>
      <c r="Z286">
        <f>HOUR(Y286)</f>
        <v>0</v>
      </c>
      <c r="AA286">
        <f>MINUTE(Y286)</f>
        <v>10</v>
      </c>
      <c r="AB286">
        <f>Z286*60+AA286</f>
        <v>10</v>
      </c>
    </row>
    <row r="287" spans="1:28" x14ac:dyDescent="0.25">
      <c r="A287">
        <v>285</v>
      </c>
      <c r="B287" t="s">
        <v>31</v>
      </c>
      <c r="C287">
        <v>1</v>
      </c>
      <c r="D287" t="s">
        <v>32</v>
      </c>
      <c r="E287" s="6">
        <v>46043.319444444445</v>
      </c>
      <c r="F287" s="6">
        <v>46043.333333333336</v>
      </c>
      <c r="G287" s="6">
        <v>46043.354166666664</v>
      </c>
      <c r="H287" s="6">
        <v>46043.395833333336</v>
      </c>
      <c r="I287" s="6">
        <v>46043.402777777781</v>
      </c>
      <c r="J287" s="6">
        <v>46043.423611111109</v>
      </c>
      <c r="K287">
        <v>2.5</v>
      </c>
      <c r="L287" s="6">
        <v>46043.430555555555</v>
      </c>
      <c r="M287" s="7">
        <f>F287-E287</f>
        <v>1.3888888890505768E-2</v>
      </c>
      <c r="N287">
        <f>HOUR(M287)</f>
        <v>0</v>
      </c>
      <c r="O287">
        <f>MINUTE(M287)</f>
        <v>20</v>
      </c>
      <c r="P287">
        <f>N287*60+O287</f>
        <v>20</v>
      </c>
      <c r="Q287" s="7">
        <f>G287-F287</f>
        <v>2.0833333328482695E-2</v>
      </c>
      <c r="R287">
        <f>HOUR(Q287)</f>
        <v>0</v>
      </c>
      <c r="S287">
        <f>MINUTE(Q287)</f>
        <v>30</v>
      </c>
      <c r="T287">
        <f>R287*60+S287</f>
        <v>30</v>
      </c>
      <c r="U287" s="7">
        <f>H287-G287</f>
        <v>4.1666666671517305E-2</v>
      </c>
      <c r="V287">
        <f>HOUR(U287)</f>
        <v>1</v>
      </c>
      <c r="W287">
        <f>MINUTE(U287)</f>
        <v>0</v>
      </c>
      <c r="X287">
        <f>V287*60+W287</f>
        <v>60</v>
      </c>
      <c r="Y287" s="7">
        <f>I287-H287</f>
        <v>6.9444444452528842E-3</v>
      </c>
      <c r="Z287">
        <f>HOUR(Y287)</f>
        <v>0</v>
      </c>
      <c r="AA287">
        <f>MINUTE(Y287)</f>
        <v>10</v>
      </c>
      <c r="AB287">
        <f>Z287*60+AA287</f>
        <v>10</v>
      </c>
    </row>
    <row r="288" spans="1:28" x14ac:dyDescent="0.25">
      <c r="A288">
        <v>286</v>
      </c>
      <c r="B288" t="s">
        <v>29</v>
      </c>
      <c r="C288">
        <v>1</v>
      </c>
      <c r="D288" t="s">
        <v>32</v>
      </c>
      <c r="E288" s="6">
        <v>46056.333333333336</v>
      </c>
      <c r="F288" s="6">
        <v>46056.336805555555</v>
      </c>
      <c r="G288" s="6">
        <v>46056.34375</v>
      </c>
      <c r="H288" s="6">
        <v>46056.373611111114</v>
      </c>
      <c r="I288" s="6">
        <v>46056.375</v>
      </c>
      <c r="J288" s="6">
        <v>46056.377083333333</v>
      </c>
      <c r="K288">
        <v>1.05</v>
      </c>
      <c r="L288" s="6">
        <v>46056.37777777778</v>
      </c>
      <c r="M288" s="7">
        <f>F288-E288</f>
        <v>3.4722222189884633E-3</v>
      </c>
      <c r="N288">
        <f>HOUR(M288)</f>
        <v>0</v>
      </c>
      <c r="O288">
        <f>MINUTE(M288)</f>
        <v>5</v>
      </c>
      <c r="P288">
        <f>N288*60+O288</f>
        <v>5</v>
      </c>
      <c r="Q288" s="7">
        <f>G288-F288</f>
        <v>6.9444444452528842E-3</v>
      </c>
      <c r="R288">
        <f>HOUR(Q288)</f>
        <v>0</v>
      </c>
      <c r="S288">
        <f>MINUTE(Q288)</f>
        <v>10</v>
      </c>
      <c r="T288">
        <f>R288*60+S288</f>
        <v>10</v>
      </c>
      <c r="U288" s="7">
        <f>H288-G288</f>
        <v>2.9861111113859806E-2</v>
      </c>
      <c r="V288">
        <f>HOUR(U288)</f>
        <v>0</v>
      </c>
      <c r="W288">
        <f>MINUTE(U288)</f>
        <v>43</v>
      </c>
      <c r="X288">
        <f>V288*60+W288</f>
        <v>43</v>
      </c>
      <c r="Y288" s="7">
        <f>I288-H288</f>
        <v>1.3888888861401938E-3</v>
      </c>
      <c r="Z288">
        <f>HOUR(Y288)</f>
        <v>0</v>
      </c>
      <c r="AA288">
        <f>MINUTE(Y288)</f>
        <v>2</v>
      </c>
      <c r="AB288">
        <f>Z288*60+AA288</f>
        <v>2</v>
      </c>
    </row>
    <row r="289" spans="1:28" x14ac:dyDescent="0.25">
      <c r="A289">
        <v>287</v>
      </c>
      <c r="B289" t="s">
        <v>31</v>
      </c>
      <c r="C289">
        <v>1</v>
      </c>
      <c r="D289" t="s">
        <v>35</v>
      </c>
      <c r="E289" s="6">
        <v>46043.583333333336</v>
      </c>
      <c r="F289" s="6">
        <v>46043.590277777781</v>
      </c>
      <c r="G289" s="6">
        <v>46043.597222222219</v>
      </c>
      <c r="H289" s="6">
        <v>46043.625</v>
      </c>
      <c r="I289" s="6">
        <v>46043.631944444445</v>
      </c>
      <c r="J289" s="6">
        <v>46043.638888888891</v>
      </c>
      <c r="K289">
        <v>1.33</v>
      </c>
      <c r="L289" s="6">
        <v>46043.645833333336</v>
      </c>
      <c r="M289" s="7">
        <f>F289-E289</f>
        <v>6.9444444452528842E-3</v>
      </c>
      <c r="N289">
        <f>HOUR(M289)</f>
        <v>0</v>
      </c>
      <c r="O289">
        <f>MINUTE(M289)</f>
        <v>10</v>
      </c>
      <c r="P289">
        <f>N289*60+O289</f>
        <v>10</v>
      </c>
      <c r="Q289" s="7">
        <f>G289-F289</f>
        <v>6.9444444379769266E-3</v>
      </c>
      <c r="R289">
        <f>HOUR(Q289)</f>
        <v>0</v>
      </c>
      <c r="S289">
        <f>MINUTE(Q289)</f>
        <v>10</v>
      </c>
      <c r="T289">
        <f>R289*60+S289</f>
        <v>10</v>
      </c>
      <c r="U289" s="7">
        <f>H289-G289</f>
        <v>2.7777777781011537E-2</v>
      </c>
      <c r="V289">
        <f>HOUR(U289)</f>
        <v>0</v>
      </c>
      <c r="W289">
        <f>MINUTE(U289)</f>
        <v>40</v>
      </c>
      <c r="X289">
        <f>V289*60+W289</f>
        <v>40</v>
      </c>
      <c r="Y289" s="7">
        <f>I289-H289</f>
        <v>6.9444444452528842E-3</v>
      </c>
      <c r="Z289">
        <f>HOUR(Y289)</f>
        <v>0</v>
      </c>
      <c r="AA289">
        <f>MINUTE(Y289)</f>
        <v>10</v>
      </c>
      <c r="AB289">
        <f>Z289*60+AA289</f>
        <v>10</v>
      </c>
    </row>
    <row r="290" spans="1:28" x14ac:dyDescent="0.25">
      <c r="A290">
        <v>288</v>
      </c>
      <c r="B290" t="s">
        <v>31</v>
      </c>
      <c r="C290">
        <v>1</v>
      </c>
      <c r="D290" t="s">
        <v>35</v>
      </c>
      <c r="E290" s="6">
        <v>46043.290277777778</v>
      </c>
      <c r="F290" s="6">
        <v>46043.340277777781</v>
      </c>
      <c r="G290" s="6">
        <v>46043.357638888891</v>
      </c>
      <c r="H290" s="6">
        <v>46043.378472222219</v>
      </c>
      <c r="I290" s="6">
        <v>46043.385416666664</v>
      </c>
      <c r="J290" s="6">
        <v>46043.388888888891</v>
      </c>
      <c r="K290">
        <v>2.37</v>
      </c>
      <c r="L290" s="6">
        <v>46043.395833333336</v>
      </c>
      <c r="M290" s="7">
        <f>F290-E290</f>
        <v>5.0000000002910383E-2</v>
      </c>
      <c r="N290">
        <f>HOUR(M290)</f>
        <v>1</v>
      </c>
      <c r="O290">
        <f>MINUTE(M290)</f>
        <v>12</v>
      </c>
      <c r="P290">
        <f>N290*60+O290</f>
        <v>72</v>
      </c>
      <c r="Q290" s="7">
        <f>G290-F290</f>
        <v>1.7361111109494232E-2</v>
      </c>
      <c r="R290">
        <f>HOUR(Q290)</f>
        <v>0</v>
      </c>
      <c r="S290">
        <f>MINUTE(Q290)</f>
        <v>25</v>
      </c>
      <c r="T290">
        <f>R290*60+S290</f>
        <v>25</v>
      </c>
      <c r="U290" s="7">
        <f>H290-G290</f>
        <v>2.0833333328482695E-2</v>
      </c>
      <c r="V290">
        <f>HOUR(U290)</f>
        <v>0</v>
      </c>
      <c r="W290">
        <f>MINUTE(U290)</f>
        <v>30</v>
      </c>
      <c r="X290">
        <f>V290*60+W290</f>
        <v>30</v>
      </c>
      <c r="Y290" s="7">
        <f>I290-H290</f>
        <v>6.9444444452528842E-3</v>
      </c>
      <c r="Z290">
        <f>HOUR(Y290)</f>
        <v>0</v>
      </c>
      <c r="AA290">
        <f>MINUTE(Y290)</f>
        <v>10</v>
      </c>
      <c r="AB290">
        <f>Z290*60+AA290</f>
        <v>10</v>
      </c>
    </row>
    <row r="291" spans="1:28" x14ac:dyDescent="0.25">
      <c r="A291">
        <v>289</v>
      </c>
      <c r="B291" t="s">
        <v>31</v>
      </c>
      <c r="C291">
        <v>1</v>
      </c>
      <c r="D291" t="s">
        <v>30</v>
      </c>
      <c r="E291" s="6">
        <v>46043.298611111109</v>
      </c>
      <c r="F291" s="6">
        <v>46043.315972222219</v>
      </c>
      <c r="G291" s="6">
        <v>46043.354166666664</v>
      </c>
      <c r="H291" s="6">
        <v>46043.442361111112</v>
      </c>
      <c r="I291" s="6">
        <v>46043.458333333336</v>
      </c>
      <c r="J291" s="6">
        <v>46043.461805555555</v>
      </c>
      <c r="K291">
        <v>3.92</v>
      </c>
      <c r="L291" s="6">
        <v>46043.465277777781</v>
      </c>
      <c r="M291" s="7">
        <f>F291-E291</f>
        <v>1.7361111109494232E-2</v>
      </c>
      <c r="N291">
        <f>HOUR(M291)</f>
        <v>0</v>
      </c>
      <c r="O291">
        <f>MINUTE(M291)</f>
        <v>25</v>
      </c>
      <c r="P291">
        <f>N291*60+O291</f>
        <v>25</v>
      </c>
      <c r="Q291" s="7">
        <f>G291-F291</f>
        <v>3.8194444445252884E-2</v>
      </c>
      <c r="R291">
        <f>HOUR(Q291)</f>
        <v>0</v>
      </c>
      <c r="S291">
        <f>MINUTE(Q291)</f>
        <v>55</v>
      </c>
      <c r="T291">
        <f>R291*60+S291</f>
        <v>55</v>
      </c>
      <c r="U291" s="7">
        <f>H291-G291</f>
        <v>8.8194444448163267E-2</v>
      </c>
      <c r="V291">
        <f>HOUR(U291)</f>
        <v>2</v>
      </c>
      <c r="W291">
        <f>MINUTE(U291)</f>
        <v>7</v>
      </c>
      <c r="X291">
        <f>V291*60+W291</f>
        <v>127</v>
      </c>
      <c r="Y291" s="7">
        <f>I291-H291</f>
        <v>1.5972222223354038E-2</v>
      </c>
      <c r="Z291">
        <f>HOUR(Y291)</f>
        <v>0</v>
      </c>
      <c r="AA291">
        <f>MINUTE(Y291)</f>
        <v>23</v>
      </c>
      <c r="AB291">
        <f>Z291*60+AA291</f>
        <v>23</v>
      </c>
    </row>
    <row r="292" spans="1:28" x14ac:dyDescent="0.25">
      <c r="A292">
        <v>290</v>
      </c>
      <c r="B292" t="s">
        <v>31</v>
      </c>
      <c r="C292">
        <v>1</v>
      </c>
      <c r="D292" t="s">
        <v>35</v>
      </c>
      <c r="E292" s="6">
        <v>46045.291666666664</v>
      </c>
      <c r="F292" s="6">
        <v>46045.333333333336</v>
      </c>
      <c r="G292" s="6">
        <v>46045.375</v>
      </c>
      <c r="H292" s="6">
        <v>46045.63958333333</v>
      </c>
      <c r="I292" s="6">
        <v>46045.694444444445</v>
      </c>
      <c r="J292" s="6">
        <v>46045.701388888891</v>
      </c>
      <c r="K292">
        <v>9.83</v>
      </c>
      <c r="L292" s="6">
        <v>46045.708333333336</v>
      </c>
      <c r="M292" s="7">
        <f>F292-E292</f>
        <v>4.1666666671517305E-2</v>
      </c>
      <c r="N292">
        <f>HOUR(M292)</f>
        <v>1</v>
      </c>
      <c r="O292">
        <f>MINUTE(M292)</f>
        <v>0</v>
      </c>
      <c r="P292">
        <f>N292*60+O292</f>
        <v>60</v>
      </c>
      <c r="Q292" s="7">
        <f>G292-F292</f>
        <v>4.1666666664241347E-2</v>
      </c>
      <c r="R292">
        <f>HOUR(Q292)</f>
        <v>1</v>
      </c>
      <c r="S292">
        <f>MINUTE(Q292)</f>
        <v>0</v>
      </c>
      <c r="T292">
        <f>R292*60+S292</f>
        <v>60</v>
      </c>
      <c r="U292" s="7">
        <f>H292-G292</f>
        <v>0.26458333332993789</v>
      </c>
      <c r="V292">
        <f>HOUR(U292)</f>
        <v>6</v>
      </c>
      <c r="W292">
        <f>MINUTE(U292)</f>
        <v>21</v>
      </c>
      <c r="X292">
        <f>V292*60+W292</f>
        <v>381</v>
      </c>
      <c r="Y292" s="7">
        <f>I292-H292</f>
        <v>5.4861111115314998E-2</v>
      </c>
      <c r="Z292">
        <f>HOUR(Y292)</f>
        <v>1</v>
      </c>
      <c r="AA292">
        <f>MINUTE(Y292)</f>
        <v>19</v>
      </c>
      <c r="AB292">
        <f>Z292*60+AA292</f>
        <v>79</v>
      </c>
    </row>
    <row r="293" spans="1:28" x14ac:dyDescent="0.25">
      <c r="A293">
        <v>291</v>
      </c>
      <c r="B293" t="s">
        <v>33</v>
      </c>
      <c r="C293">
        <v>1</v>
      </c>
      <c r="D293" t="s">
        <v>30</v>
      </c>
      <c r="E293" s="6">
        <v>46042.888888888891</v>
      </c>
      <c r="F293" s="6">
        <v>46042.895833333336</v>
      </c>
      <c r="G293" s="6">
        <v>46042.902777777781</v>
      </c>
      <c r="H293" s="6">
        <v>46042.931250000001</v>
      </c>
      <c r="I293" s="6">
        <v>46042.938194444447</v>
      </c>
      <c r="J293" s="6">
        <v>46042.940972222219</v>
      </c>
      <c r="K293">
        <v>1.25</v>
      </c>
      <c r="L293" s="6">
        <v>46042.947916666664</v>
      </c>
      <c r="M293" s="7">
        <f>F293-E293</f>
        <v>6.9444444452528842E-3</v>
      </c>
      <c r="N293">
        <f>HOUR(M293)</f>
        <v>0</v>
      </c>
      <c r="O293">
        <f>MINUTE(M293)</f>
        <v>10</v>
      </c>
      <c r="P293">
        <f>N293*60+O293</f>
        <v>10</v>
      </c>
      <c r="Q293" s="7">
        <f>G293-F293</f>
        <v>6.9444444452528842E-3</v>
      </c>
      <c r="R293">
        <f>HOUR(Q293)</f>
        <v>0</v>
      </c>
      <c r="S293">
        <f>MINUTE(Q293)</f>
        <v>10</v>
      </c>
      <c r="T293">
        <f>R293*60+S293</f>
        <v>10</v>
      </c>
      <c r="U293" s="7">
        <f>H293-G293</f>
        <v>2.8472222220443655E-2</v>
      </c>
      <c r="V293">
        <f>HOUR(U293)</f>
        <v>0</v>
      </c>
      <c r="W293">
        <f>MINUTE(U293)</f>
        <v>41</v>
      </c>
      <c r="X293">
        <f>V293*60+W293</f>
        <v>41</v>
      </c>
      <c r="Y293" s="7">
        <f>I293-H293</f>
        <v>6.9444444452528842E-3</v>
      </c>
      <c r="Z293">
        <f>HOUR(Y293)</f>
        <v>0</v>
      </c>
      <c r="AA293">
        <f>MINUTE(Y293)</f>
        <v>10</v>
      </c>
      <c r="AB293">
        <f>Z293*60+AA293</f>
        <v>10</v>
      </c>
    </row>
    <row r="294" spans="1:28" x14ac:dyDescent="0.25">
      <c r="A294">
        <v>292</v>
      </c>
      <c r="B294" t="s">
        <v>31</v>
      </c>
      <c r="C294">
        <v>1</v>
      </c>
      <c r="D294" t="s">
        <v>34</v>
      </c>
      <c r="E294" s="6">
        <v>46042.913194444445</v>
      </c>
      <c r="F294" s="6">
        <v>46042.916666666664</v>
      </c>
      <c r="G294" s="6">
        <v>46042.923611111109</v>
      </c>
      <c r="H294" s="6">
        <v>46042.972222222219</v>
      </c>
      <c r="I294" s="6">
        <v>46042.993055555555</v>
      </c>
      <c r="J294" s="6">
        <v>46043.715277777781</v>
      </c>
      <c r="K294">
        <v>19.25</v>
      </c>
      <c r="L294" s="6">
        <v>46043.722222222219</v>
      </c>
      <c r="M294" s="7">
        <f>F294-E294</f>
        <v>3.4722222189884633E-3</v>
      </c>
      <c r="N294">
        <f>HOUR(M294)</f>
        <v>0</v>
      </c>
      <c r="O294">
        <f>MINUTE(M294)</f>
        <v>5</v>
      </c>
      <c r="P294">
        <f>N294*60+O294</f>
        <v>5</v>
      </c>
      <c r="Q294" s="7">
        <f>G294-F294</f>
        <v>6.9444444452528842E-3</v>
      </c>
      <c r="R294">
        <f>HOUR(Q294)</f>
        <v>0</v>
      </c>
      <c r="S294">
        <f>MINUTE(Q294)</f>
        <v>10</v>
      </c>
      <c r="T294">
        <f>R294*60+S294</f>
        <v>10</v>
      </c>
      <c r="U294" s="7">
        <f>H294-G294</f>
        <v>4.8611111109494232E-2</v>
      </c>
      <c r="V294">
        <f>HOUR(U294)</f>
        <v>1</v>
      </c>
      <c r="W294">
        <f>MINUTE(U294)</f>
        <v>10</v>
      </c>
      <c r="X294">
        <f>V294*60+W294</f>
        <v>70</v>
      </c>
      <c r="Y294" s="7">
        <f>I294-H294</f>
        <v>2.0833333335758653E-2</v>
      </c>
      <c r="Z294">
        <f>HOUR(Y294)</f>
        <v>0</v>
      </c>
      <c r="AA294">
        <f>MINUTE(Y294)</f>
        <v>30</v>
      </c>
      <c r="AB294">
        <f>Z294*60+AA294</f>
        <v>30</v>
      </c>
    </row>
    <row r="295" spans="1:28" x14ac:dyDescent="0.25">
      <c r="A295">
        <v>293</v>
      </c>
      <c r="B295" t="s">
        <v>31</v>
      </c>
      <c r="C295">
        <v>1</v>
      </c>
      <c r="D295" t="s">
        <v>36</v>
      </c>
      <c r="E295" s="6">
        <v>46042.972222222219</v>
      </c>
      <c r="F295" s="6">
        <v>46042.979166666664</v>
      </c>
      <c r="G295" s="6">
        <v>46042.989583333336</v>
      </c>
      <c r="H295" s="6">
        <v>46043.0625</v>
      </c>
      <c r="I295" s="6">
        <v>46043.090277777781</v>
      </c>
      <c r="J295" s="6">
        <v>46043.416666666664</v>
      </c>
      <c r="K295">
        <v>10.67</v>
      </c>
      <c r="L295" s="6">
        <v>46043.423611111109</v>
      </c>
      <c r="M295" s="7">
        <f>F295-E295</f>
        <v>6.9444444452528842E-3</v>
      </c>
      <c r="N295">
        <f>HOUR(M295)</f>
        <v>0</v>
      </c>
      <c r="O295">
        <f>MINUTE(M295)</f>
        <v>10</v>
      </c>
      <c r="P295">
        <f>N295*60+O295</f>
        <v>10</v>
      </c>
      <c r="Q295" s="7">
        <f>G295-F295</f>
        <v>1.0416666671517305E-2</v>
      </c>
      <c r="R295">
        <f>HOUR(Q295)</f>
        <v>0</v>
      </c>
      <c r="S295">
        <f>MINUTE(Q295)</f>
        <v>15</v>
      </c>
      <c r="T295">
        <f>R295*60+S295</f>
        <v>15</v>
      </c>
      <c r="U295" s="7">
        <f>H295-G295</f>
        <v>7.2916666664241347E-2</v>
      </c>
      <c r="V295">
        <f>HOUR(U295)</f>
        <v>1</v>
      </c>
      <c r="W295">
        <f>MINUTE(U295)</f>
        <v>45</v>
      </c>
      <c r="X295">
        <f>V295*60+W295</f>
        <v>105</v>
      </c>
      <c r="Y295" s="7">
        <f>I295-H295</f>
        <v>2.7777777781011537E-2</v>
      </c>
      <c r="Z295">
        <f>HOUR(Y295)</f>
        <v>0</v>
      </c>
      <c r="AA295">
        <f>MINUTE(Y295)</f>
        <v>40</v>
      </c>
      <c r="AB295">
        <f>Z295*60+AA295</f>
        <v>40</v>
      </c>
    </row>
    <row r="296" spans="1:28" x14ac:dyDescent="0.25">
      <c r="A296">
        <v>294</v>
      </c>
      <c r="B296" t="s">
        <v>33</v>
      </c>
      <c r="C296">
        <v>1</v>
      </c>
      <c r="D296" t="s">
        <v>30</v>
      </c>
      <c r="E296" s="6">
        <v>46042.940972222219</v>
      </c>
      <c r="F296" s="6">
        <v>46042.944444444445</v>
      </c>
      <c r="G296" s="6">
        <v>46042.958333333336</v>
      </c>
      <c r="H296" s="6">
        <v>46043.020833333336</v>
      </c>
      <c r="I296" s="6">
        <v>46043.041666666664</v>
      </c>
      <c r="J296" s="6">
        <v>46043.069444444445</v>
      </c>
      <c r="K296">
        <v>3.08</v>
      </c>
      <c r="L296" s="6">
        <v>46043.076388888891</v>
      </c>
      <c r="M296" s="7">
        <f>F296-E296</f>
        <v>3.4722222262644209E-3</v>
      </c>
      <c r="N296">
        <f>HOUR(M296)</f>
        <v>0</v>
      </c>
      <c r="O296">
        <f>MINUTE(M296)</f>
        <v>5</v>
      </c>
      <c r="P296">
        <f>N296*60+O296</f>
        <v>5</v>
      </c>
      <c r="Q296" s="7">
        <f>G296-F296</f>
        <v>1.3888888890505768E-2</v>
      </c>
      <c r="R296">
        <f>HOUR(Q296)</f>
        <v>0</v>
      </c>
      <c r="S296">
        <f>MINUTE(Q296)</f>
        <v>20</v>
      </c>
      <c r="T296">
        <f>R296*60+S296</f>
        <v>20</v>
      </c>
      <c r="U296" s="7">
        <f>H296-G296</f>
        <v>6.25E-2</v>
      </c>
      <c r="V296">
        <f>HOUR(U296)</f>
        <v>1</v>
      </c>
      <c r="W296">
        <f>MINUTE(U296)</f>
        <v>30</v>
      </c>
      <c r="X296">
        <f>V296*60+W296</f>
        <v>90</v>
      </c>
      <c r="Y296" s="7">
        <f>I296-H296</f>
        <v>2.0833333328482695E-2</v>
      </c>
      <c r="Z296">
        <f>HOUR(Y296)</f>
        <v>0</v>
      </c>
      <c r="AA296">
        <f>MINUTE(Y296)</f>
        <v>30</v>
      </c>
      <c r="AB296">
        <f>Z296*60+AA296</f>
        <v>30</v>
      </c>
    </row>
    <row r="297" spans="1:28" x14ac:dyDescent="0.25">
      <c r="A297">
        <v>295</v>
      </c>
      <c r="B297" t="s">
        <v>33</v>
      </c>
      <c r="C297">
        <v>1</v>
      </c>
      <c r="D297" t="s">
        <v>35</v>
      </c>
      <c r="E297" s="6">
        <v>46043.434027777781</v>
      </c>
      <c r="F297" s="6">
        <v>46043.4375</v>
      </c>
      <c r="G297" s="6">
        <v>46043.472222222219</v>
      </c>
      <c r="H297" s="6">
        <v>46043.506944444445</v>
      </c>
      <c r="I297" s="6">
        <v>46043.513888888891</v>
      </c>
      <c r="J297" s="6">
        <v>46043.520833333336</v>
      </c>
      <c r="K297">
        <v>2.08</v>
      </c>
      <c r="L297" s="6">
        <v>46043.527777777781</v>
      </c>
      <c r="M297" s="7">
        <f>F297-E297</f>
        <v>3.4722222189884633E-3</v>
      </c>
      <c r="N297">
        <f>HOUR(M297)</f>
        <v>0</v>
      </c>
      <c r="O297">
        <f>MINUTE(M297)</f>
        <v>5</v>
      </c>
      <c r="P297">
        <f>N297*60+O297</f>
        <v>5</v>
      </c>
      <c r="Q297" s="7">
        <f>G297-F297</f>
        <v>3.4722222218988463E-2</v>
      </c>
      <c r="R297">
        <f>HOUR(Q297)</f>
        <v>0</v>
      </c>
      <c r="S297">
        <f>MINUTE(Q297)</f>
        <v>50</v>
      </c>
      <c r="T297">
        <f>R297*60+S297</f>
        <v>50</v>
      </c>
      <c r="U297" s="7">
        <f>H297-G297</f>
        <v>3.4722222226264421E-2</v>
      </c>
      <c r="V297">
        <f>HOUR(U297)</f>
        <v>0</v>
      </c>
      <c r="W297">
        <f>MINUTE(U297)</f>
        <v>50</v>
      </c>
      <c r="X297">
        <f>V297*60+W297</f>
        <v>50</v>
      </c>
      <c r="Y297" s="7">
        <f>I297-H297</f>
        <v>6.9444444452528842E-3</v>
      </c>
      <c r="Z297">
        <f>HOUR(Y297)</f>
        <v>0</v>
      </c>
      <c r="AA297">
        <f>MINUTE(Y297)</f>
        <v>10</v>
      </c>
      <c r="AB297">
        <f>Z297*60+AA297</f>
        <v>10</v>
      </c>
    </row>
    <row r="298" spans="1:28" x14ac:dyDescent="0.25">
      <c r="A298">
        <v>296</v>
      </c>
      <c r="B298" t="s">
        <v>31</v>
      </c>
      <c r="C298">
        <v>1</v>
      </c>
      <c r="D298" t="s">
        <v>36</v>
      </c>
      <c r="E298" s="6">
        <v>46043.447916666664</v>
      </c>
      <c r="F298" s="6">
        <v>46043.454861111109</v>
      </c>
      <c r="G298" s="6">
        <v>46043.46875</v>
      </c>
      <c r="H298" s="6">
        <v>46043.534722222219</v>
      </c>
      <c r="I298" s="6">
        <v>46043.538194444445</v>
      </c>
      <c r="J298" s="6">
        <v>46043.545138888891</v>
      </c>
      <c r="K298">
        <v>2.33</v>
      </c>
      <c r="L298" s="6">
        <v>46043.552083333336</v>
      </c>
      <c r="M298" s="7">
        <f>F298-E298</f>
        <v>6.9444444452528842E-3</v>
      </c>
      <c r="N298">
        <f>HOUR(M298)</f>
        <v>0</v>
      </c>
      <c r="O298">
        <f>MINUTE(M298)</f>
        <v>10</v>
      </c>
      <c r="P298">
        <f>N298*60+O298</f>
        <v>10</v>
      </c>
      <c r="Q298" s="7">
        <f>G298-F298</f>
        <v>1.3888888890505768E-2</v>
      </c>
      <c r="R298">
        <f>HOUR(Q298)</f>
        <v>0</v>
      </c>
      <c r="S298">
        <f>MINUTE(Q298)</f>
        <v>20</v>
      </c>
      <c r="T298">
        <f>R298*60+S298</f>
        <v>20</v>
      </c>
      <c r="U298" s="7">
        <f>H298-G298</f>
        <v>6.5972222218988463E-2</v>
      </c>
      <c r="V298">
        <f>HOUR(U298)</f>
        <v>1</v>
      </c>
      <c r="W298">
        <f>MINUTE(U298)</f>
        <v>35</v>
      </c>
      <c r="X298">
        <f>V298*60+W298</f>
        <v>95</v>
      </c>
      <c r="Y298" s="7">
        <f>I298-H298</f>
        <v>3.4722222262644209E-3</v>
      </c>
      <c r="Z298">
        <f>HOUR(Y298)</f>
        <v>0</v>
      </c>
      <c r="AA298">
        <f>MINUTE(Y298)</f>
        <v>5</v>
      </c>
      <c r="AB298">
        <f>Z298*60+AA298</f>
        <v>5</v>
      </c>
    </row>
    <row r="299" spans="1:28" x14ac:dyDescent="0.25">
      <c r="A299">
        <v>297</v>
      </c>
      <c r="B299" t="s">
        <v>33</v>
      </c>
      <c r="C299">
        <v>1</v>
      </c>
      <c r="D299" t="s">
        <v>30</v>
      </c>
      <c r="E299" s="6">
        <v>46043.75</v>
      </c>
      <c r="F299" s="6">
        <v>46043.756944444445</v>
      </c>
      <c r="G299" s="6">
        <v>46043.760416666664</v>
      </c>
      <c r="H299" s="6">
        <v>46043.767361111109</v>
      </c>
      <c r="I299" s="6">
        <v>46043.774305555555</v>
      </c>
      <c r="J299" s="6">
        <v>46043.802083333336</v>
      </c>
      <c r="K299">
        <v>1.25</v>
      </c>
      <c r="L299" s="6">
        <v>46043.803472222222</v>
      </c>
      <c r="M299" s="7">
        <f>F299-E299</f>
        <v>6.9444444452528842E-3</v>
      </c>
      <c r="N299">
        <f>HOUR(M299)</f>
        <v>0</v>
      </c>
      <c r="O299">
        <f>MINUTE(M299)</f>
        <v>10</v>
      </c>
      <c r="P299">
        <f>N299*60+O299</f>
        <v>10</v>
      </c>
      <c r="Q299" s="7">
        <f>G299-F299</f>
        <v>3.4722222189884633E-3</v>
      </c>
      <c r="R299">
        <f>HOUR(Q299)</f>
        <v>0</v>
      </c>
      <c r="S299">
        <f>MINUTE(Q299)</f>
        <v>5</v>
      </c>
      <c r="T299">
        <f>R299*60+S299</f>
        <v>5</v>
      </c>
      <c r="U299" s="7">
        <f>H299-G299</f>
        <v>6.9444444452528842E-3</v>
      </c>
      <c r="V299">
        <f>HOUR(U299)</f>
        <v>0</v>
      </c>
      <c r="W299">
        <f>MINUTE(U299)</f>
        <v>10</v>
      </c>
      <c r="X299">
        <f>V299*60+W299</f>
        <v>10</v>
      </c>
      <c r="Y299" s="7">
        <f>I299-H299</f>
        <v>6.9444444452528842E-3</v>
      </c>
      <c r="Z299">
        <f>HOUR(Y299)</f>
        <v>0</v>
      </c>
      <c r="AA299">
        <f>MINUTE(Y299)</f>
        <v>10</v>
      </c>
      <c r="AB299">
        <f>Z299*60+AA299</f>
        <v>10</v>
      </c>
    </row>
    <row r="300" spans="1:28" x14ac:dyDescent="0.25">
      <c r="A300">
        <v>298</v>
      </c>
      <c r="B300" t="s">
        <v>29</v>
      </c>
      <c r="C300">
        <v>1</v>
      </c>
      <c r="D300" t="s">
        <v>32</v>
      </c>
      <c r="E300" s="6">
        <v>46043.482638888891</v>
      </c>
      <c r="F300" s="6">
        <v>46043.5</v>
      </c>
      <c r="G300" s="6">
        <v>46043.520833333336</v>
      </c>
      <c r="H300" s="6">
        <v>46043.541666666664</v>
      </c>
      <c r="I300" s="6">
        <v>46043.548611111109</v>
      </c>
      <c r="J300" s="6">
        <v>46043.5625</v>
      </c>
      <c r="K300">
        <v>1.92</v>
      </c>
      <c r="L300" s="6">
        <v>46043.569444444445</v>
      </c>
      <c r="M300" s="7">
        <f>F300-E300</f>
        <v>1.7361111109494232E-2</v>
      </c>
      <c r="N300">
        <f>HOUR(M300)</f>
        <v>0</v>
      </c>
      <c r="O300">
        <f>MINUTE(M300)</f>
        <v>25</v>
      </c>
      <c r="P300">
        <f>N300*60+O300</f>
        <v>25</v>
      </c>
      <c r="Q300" s="7">
        <f>G300-F300</f>
        <v>2.0833333335758653E-2</v>
      </c>
      <c r="R300">
        <f>HOUR(Q300)</f>
        <v>0</v>
      </c>
      <c r="S300">
        <f>MINUTE(Q300)</f>
        <v>30</v>
      </c>
      <c r="T300">
        <f>R300*60+S300</f>
        <v>30</v>
      </c>
      <c r="U300" s="7">
        <f>H300-G300</f>
        <v>2.0833333328482695E-2</v>
      </c>
      <c r="V300">
        <f>HOUR(U300)</f>
        <v>0</v>
      </c>
      <c r="W300">
        <f>MINUTE(U300)</f>
        <v>30</v>
      </c>
      <c r="X300">
        <f>V300*60+W300</f>
        <v>30</v>
      </c>
      <c r="Y300" s="7">
        <f>I300-H300</f>
        <v>6.9444444452528842E-3</v>
      </c>
      <c r="Z300">
        <f>HOUR(Y300)</f>
        <v>0</v>
      </c>
      <c r="AA300">
        <f>MINUTE(Y300)</f>
        <v>10</v>
      </c>
      <c r="AB300">
        <f>Z300*60+AA300</f>
        <v>10</v>
      </c>
    </row>
    <row r="301" spans="1:28" x14ac:dyDescent="0.25">
      <c r="A301">
        <v>299</v>
      </c>
      <c r="B301" t="s">
        <v>29</v>
      </c>
      <c r="C301">
        <v>1</v>
      </c>
      <c r="D301" t="s">
        <v>30</v>
      </c>
      <c r="E301" s="6">
        <v>46043.506944444445</v>
      </c>
      <c r="F301" s="6">
        <v>46043.513888888891</v>
      </c>
      <c r="G301" s="6">
        <v>46043.541666666664</v>
      </c>
      <c r="H301" s="6">
        <v>46043.684027777781</v>
      </c>
      <c r="I301" s="6">
        <v>46043.690972222219</v>
      </c>
      <c r="J301" s="6">
        <v>46043.694444444445</v>
      </c>
      <c r="K301">
        <v>4.5</v>
      </c>
      <c r="L301" s="6">
        <v>46043.701388888891</v>
      </c>
      <c r="M301" s="7">
        <f>F301-E301</f>
        <v>6.9444444452528842E-3</v>
      </c>
      <c r="N301">
        <f>HOUR(M301)</f>
        <v>0</v>
      </c>
      <c r="O301">
        <f>MINUTE(M301)</f>
        <v>10</v>
      </c>
      <c r="P301">
        <f>N301*60+O301</f>
        <v>10</v>
      </c>
      <c r="Q301" s="7">
        <f>G301-F301</f>
        <v>2.7777777773735579E-2</v>
      </c>
      <c r="R301">
        <f>HOUR(Q301)</f>
        <v>0</v>
      </c>
      <c r="S301">
        <f>MINUTE(Q301)</f>
        <v>40</v>
      </c>
      <c r="T301">
        <f>R301*60+S301</f>
        <v>40</v>
      </c>
      <c r="U301" s="7">
        <f>H301-G301</f>
        <v>0.14236111111677019</v>
      </c>
      <c r="V301">
        <f>HOUR(U301)</f>
        <v>3</v>
      </c>
      <c r="W301">
        <f>MINUTE(U301)</f>
        <v>25</v>
      </c>
      <c r="X301">
        <f>V301*60+W301</f>
        <v>205</v>
      </c>
      <c r="Y301" s="7">
        <f>I301-H301</f>
        <v>6.9444444379769266E-3</v>
      </c>
      <c r="Z301">
        <f>HOUR(Y301)</f>
        <v>0</v>
      </c>
      <c r="AA301">
        <f>MINUTE(Y301)</f>
        <v>10</v>
      </c>
      <c r="AB301">
        <f>Z301*60+AA301</f>
        <v>10</v>
      </c>
    </row>
    <row r="302" spans="1:28" x14ac:dyDescent="0.25">
      <c r="A302">
        <v>300</v>
      </c>
      <c r="B302" t="s">
        <v>31</v>
      </c>
      <c r="C302">
        <v>1</v>
      </c>
      <c r="D302" t="s">
        <v>32</v>
      </c>
      <c r="E302" s="6">
        <v>46044.402777777781</v>
      </c>
      <c r="F302" s="6">
        <v>46044.4375</v>
      </c>
      <c r="G302" s="6">
        <v>46044.458333333336</v>
      </c>
      <c r="H302" s="6">
        <v>46044.513888888891</v>
      </c>
      <c r="I302" s="6">
        <v>46044.517361111109</v>
      </c>
      <c r="J302" s="6">
        <v>46044.520833333336</v>
      </c>
      <c r="K302">
        <v>2.83</v>
      </c>
      <c r="L302" s="6">
        <v>46044.521527777775</v>
      </c>
      <c r="M302" s="7">
        <f>F302-E302</f>
        <v>3.4722222218988463E-2</v>
      </c>
      <c r="N302">
        <f>HOUR(M302)</f>
        <v>0</v>
      </c>
      <c r="O302">
        <f>MINUTE(M302)</f>
        <v>50</v>
      </c>
      <c r="P302">
        <f>N302*60+O302</f>
        <v>50</v>
      </c>
      <c r="Q302" s="7">
        <f>G302-F302</f>
        <v>2.0833333335758653E-2</v>
      </c>
      <c r="R302">
        <f>HOUR(Q302)</f>
        <v>0</v>
      </c>
      <c r="S302">
        <f>MINUTE(Q302)</f>
        <v>30</v>
      </c>
      <c r="T302">
        <f>R302*60+S302</f>
        <v>30</v>
      </c>
      <c r="U302" s="7">
        <f>H302-G302</f>
        <v>5.5555555554747116E-2</v>
      </c>
      <c r="V302">
        <f>HOUR(U302)</f>
        <v>1</v>
      </c>
      <c r="W302">
        <f>MINUTE(U302)</f>
        <v>20</v>
      </c>
      <c r="X302">
        <f>V302*60+W302</f>
        <v>80</v>
      </c>
      <c r="Y302" s="7">
        <f>I302-H302</f>
        <v>3.4722222189884633E-3</v>
      </c>
      <c r="Z302">
        <f>HOUR(Y302)</f>
        <v>0</v>
      </c>
      <c r="AA302">
        <f>MINUTE(Y302)</f>
        <v>5</v>
      </c>
      <c r="AB302">
        <f>Z302*60+AA302</f>
        <v>5</v>
      </c>
    </row>
    <row r="303" spans="1:28" x14ac:dyDescent="0.25">
      <c r="A303">
        <v>301</v>
      </c>
      <c r="B303" t="s">
        <v>33</v>
      </c>
      <c r="C303">
        <v>1</v>
      </c>
      <c r="D303" t="s">
        <v>30</v>
      </c>
      <c r="E303" s="6">
        <v>46044.611111111109</v>
      </c>
      <c r="F303" s="6">
        <v>46044.652777777781</v>
      </c>
      <c r="G303" s="6">
        <v>46044.666666666664</v>
      </c>
      <c r="H303" s="6">
        <v>46044.6875</v>
      </c>
      <c r="I303" s="6">
        <v>46044.694444444445</v>
      </c>
      <c r="J303" s="6">
        <v>46044.701388888891</v>
      </c>
      <c r="K303">
        <v>2.17</v>
      </c>
      <c r="L303" s="6">
        <v>46044.708333333336</v>
      </c>
      <c r="M303" s="7">
        <f>F303-E303</f>
        <v>4.1666666671517305E-2</v>
      </c>
      <c r="N303">
        <f>HOUR(M303)</f>
        <v>1</v>
      </c>
      <c r="O303">
        <f>MINUTE(M303)</f>
        <v>0</v>
      </c>
      <c r="P303">
        <f>N303*60+O303</f>
        <v>60</v>
      </c>
      <c r="Q303" s="7">
        <f>G303-F303</f>
        <v>1.3888888883229811E-2</v>
      </c>
      <c r="R303">
        <f>HOUR(Q303)</f>
        <v>0</v>
      </c>
      <c r="S303">
        <f>MINUTE(Q303)</f>
        <v>20</v>
      </c>
      <c r="T303">
        <f>R303*60+S303</f>
        <v>20</v>
      </c>
      <c r="U303" s="7">
        <f>H303-G303</f>
        <v>2.0833333335758653E-2</v>
      </c>
      <c r="V303">
        <f>HOUR(U303)</f>
        <v>0</v>
      </c>
      <c r="W303">
        <f>MINUTE(U303)</f>
        <v>30</v>
      </c>
      <c r="X303">
        <f>V303*60+W303</f>
        <v>30</v>
      </c>
      <c r="Y303" s="7">
        <f>I303-H303</f>
        <v>6.9444444452528842E-3</v>
      </c>
      <c r="Z303">
        <f>HOUR(Y303)</f>
        <v>0</v>
      </c>
      <c r="AA303">
        <f>MINUTE(Y303)</f>
        <v>10</v>
      </c>
      <c r="AB303">
        <f>Z303*60+AA303</f>
        <v>10</v>
      </c>
    </row>
    <row r="304" spans="1:28" x14ac:dyDescent="0.25">
      <c r="A304">
        <v>302</v>
      </c>
      <c r="B304" t="s">
        <v>29</v>
      </c>
      <c r="C304">
        <v>1</v>
      </c>
      <c r="D304" t="s">
        <v>35</v>
      </c>
      <c r="E304" s="6">
        <v>46044.333333333336</v>
      </c>
      <c r="F304" s="6">
        <v>46044.336805555555</v>
      </c>
      <c r="G304" s="6">
        <v>46044.340277777781</v>
      </c>
      <c r="H304" s="6">
        <v>46044.347222222219</v>
      </c>
      <c r="I304" s="6">
        <v>46044.350694444445</v>
      </c>
      <c r="J304" s="6">
        <v>46044.361111111109</v>
      </c>
      <c r="K304">
        <v>0.67</v>
      </c>
      <c r="L304" s="6">
        <v>46044.368055555555</v>
      </c>
      <c r="M304" s="7">
        <f>F304-E304</f>
        <v>3.4722222189884633E-3</v>
      </c>
      <c r="N304">
        <f>HOUR(M304)</f>
        <v>0</v>
      </c>
      <c r="O304">
        <f>MINUTE(M304)</f>
        <v>5</v>
      </c>
      <c r="P304">
        <f>N304*60+O304</f>
        <v>5</v>
      </c>
      <c r="Q304" s="7">
        <f>G304-F304</f>
        <v>3.4722222262644209E-3</v>
      </c>
      <c r="R304">
        <f>HOUR(Q304)</f>
        <v>0</v>
      </c>
      <c r="S304">
        <f>MINUTE(Q304)</f>
        <v>5</v>
      </c>
      <c r="T304">
        <f>R304*60+S304</f>
        <v>5</v>
      </c>
      <c r="U304" s="7">
        <f>H304-G304</f>
        <v>6.9444444379769266E-3</v>
      </c>
      <c r="V304">
        <f>HOUR(U304)</f>
        <v>0</v>
      </c>
      <c r="W304">
        <f>MINUTE(U304)</f>
        <v>10</v>
      </c>
      <c r="X304">
        <f>V304*60+W304</f>
        <v>10</v>
      </c>
      <c r="Y304" s="7">
        <f>I304-H304</f>
        <v>3.4722222262644209E-3</v>
      </c>
      <c r="Z304">
        <f>HOUR(Y304)</f>
        <v>0</v>
      </c>
      <c r="AA304">
        <f>MINUTE(Y304)</f>
        <v>5</v>
      </c>
      <c r="AB304">
        <f>Z304*60+AA304</f>
        <v>5</v>
      </c>
    </row>
    <row r="305" spans="1:28" x14ac:dyDescent="0.25">
      <c r="A305">
        <v>303</v>
      </c>
      <c r="B305" t="s">
        <v>33</v>
      </c>
      <c r="C305">
        <v>1</v>
      </c>
      <c r="D305" t="s">
        <v>34</v>
      </c>
      <c r="E305" s="6">
        <v>46044.380555555559</v>
      </c>
      <c r="F305" s="6">
        <v>46044.392361111109</v>
      </c>
      <c r="G305" s="6">
        <v>46044.427083333336</v>
      </c>
      <c r="H305" s="6">
        <v>46044.568749999999</v>
      </c>
      <c r="I305" s="6">
        <v>46044.575694444444</v>
      </c>
      <c r="J305" s="6">
        <v>46044.579861111109</v>
      </c>
      <c r="K305">
        <v>4.78</v>
      </c>
      <c r="L305" s="6">
        <v>46044.586805555555</v>
      </c>
      <c r="M305" s="7">
        <f>F305-E305</f>
        <v>1.1805555550381541E-2</v>
      </c>
      <c r="N305">
        <f>HOUR(M305)</f>
        <v>0</v>
      </c>
      <c r="O305">
        <f>MINUTE(M305)</f>
        <v>17</v>
      </c>
      <c r="P305">
        <f>N305*60+O305</f>
        <v>17</v>
      </c>
      <c r="Q305" s="7">
        <f>G305-F305</f>
        <v>3.4722222226264421E-2</v>
      </c>
      <c r="R305">
        <f>HOUR(Q305)</f>
        <v>0</v>
      </c>
      <c r="S305">
        <f>MINUTE(Q305)</f>
        <v>50</v>
      </c>
      <c r="T305">
        <f>R305*60+S305</f>
        <v>50</v>
      </c>
      <c r="U305" s="7">
        <f>H305-G305</f>
        <v>0.14166666666278616</v>
      </c>
      <c r="V305">
        <f>HOUR(U305)</f>
        <v>3</v>
      </c>
      <c r="W305">
        <f>MINUTE(U305)</f>
        <v>24</v>
      </c>
      <c r="X305">
        <f>V305*60+W305</f>
        <v>204</v>
      </c>
      <c r="Y305" s="7">
        <f>I305-H305</f>
        <v>6.9444444452528842E-3</v>
      </c>
      <c r="Z305">
        <f>HOUR(Y305)</f>
        <v>0</v>
      </c>
      <c r="AA305">
        <f>MINUTE(Y305)</f>
        <v>10</v>
      </c>
      <c r="AB305">
        <f>Z305*60+AA305</f>
        <v>10</v>
      </c>
    </row>
    <row r="306" spans="1:28" x14ac:dyDescent="0.25">
      <c r="A306">
        <v>304</v>
      </c>
      <c r="B306" t="s">
        <v>31</v>
      </c>
      <c r="C306">
        <v>1</v>
      </c>
      <c r="D306" t="s">
        <v>37</v>
      </c>
      <c r="E306" s="6">
        <v>46044.5625</v>
      </c>
      <c r="F306" s="6">
        <v>46044.569444444445</v>
      </c>
      <c r="G306" s="6">
        <v>46044.631944444445</v>
      </c>
      <c r="H306" s="6">
        <v>46044.71875</v>
      </c>
      <c r="I306" s="6">
        <v>46044.75</v>
      </c>
      <c r="J306" s="6">
        <v>46044.763888888891</v>
      </c>
      <c r="K306">
        <v>4.83</v>
      </c>
      <c r="L306" s="6">
        <v>46044.770833333336</v>
      </c>
      <c r="M306" s="7">
        <f>F306-E306</f>
        <v>6.9444444452528842E-3</v>
      </c>
      <c r="N306">
        <f>HOUR(M306)</f>
        <v>0</v>
      </c>
      <c r="O306">
        <f>MINUTE(M306)</f>
        <v>10</v>
      </c>
      <c r="P306">
        <f>N306*60+O306</f>
        <v>10</v>
      </c>
      <c r="Q306" s="7">
        <f>G306-F306</f>
        <v>6.25E-2</v>
      </c>
      <c r="R306">
        <f>HOUR(Q306)</f>
        <v>1</v>
      </c>
      <c r="S306">
        <f>MINUTE(Q306)</f>
        <v>30</v>
      </c>
      <c r="T306">
        <f>R306*60+S306</f>
        <v>90</v>
      </c>
      <c r="U306" s="7">
        <f>H306-G306</f>
        <v>8.6805555554747116E-2</v>
      </c>
      <c r="V306">
        <f>HOUR(U306)</f>
        <v>2</v>
      </c>
      <c r="W306">
        <f>MINUTE(U306)</f>
        <v>5</v>
      </c>
      <c r="X306">
        <f>V306*60+W306</f>
        <v>125</v>
      </c>
      <c r="Y306" s="7">
        <f>I306-H306</f>
        <v>3.125E-2</v>
      </c>
      <c r="Z306">
        <f>HOUR(Y306)</f>
        <v>0</v>
      </c>
      <c r="AA306">
        <f>MINUTE(Y306)</f>
        <v>45</v>
      </c>
      <c r="AB306">
        <f>Z306*60+AA306</f>
        <v>45</v>
      </c>
    </row>
    <row r="307" spans="1:28" x14ac:dyDescent="0.25">
      <c r="A307">
        <v>305</v>
      </c>
      <c r="B307" t="s">
        <v>31</v>
      </c>
      <c r="C307">
        <v>1</v>
      </c>
      <c r="D307" t="s">
        <v>30</v>
      </c>
      <c r="E307" s="6">
        <v>46044.3125</v>
      </c>
      <c r="F307" s="6">
        <v>46044.333333333336</v>
      </c>
      <c r="G307" s="6">
        <v>46044.357638888891</v>
      </c>
      <c r="H307" s="6">
        <v>46044.472222222219</v>
      </c>
      <c r="I307" s="6">
        <v>46044.479166666664</v>
      </c>
      <c r="J307" s="6">
        <v>46044.493055555555</v>
      </c>
      <c r="K307">
        <v>4.33</v>
      </c>
      <c r="L307" s="6">
        <v>46044.5</v>
      </c>
      <c r="M307" s="7">
        <f>F307-E307</f>
        <v>2.0833333335758653E-2</v>
      </c>
      <c r="N307">
        <f>HOUR(M307)</f>
        <v>0</v>
      </c>
      <c r="O307">
        <f>MINUTE(M307)</f>
        <v>30</v>
      </c>
      <c r="P307">
        <f>N307*60+O307</f>
        <v>30</v>
      </c>
      <c r="Q307" s="7">
        <f>G307-F307</f>
        <v>2.4305555554747116E-2</v>
      </c>
      <c r="R307">
        <f>HOUR(Q307)</f>
        <v>0</v>
      </c>
      <c r="S307">
        <f>MINUTE(Q307)</f>
        <v>35</v>
      </c>
      <c r="T307">
        <f>R307*60+S307</f>
        <v>35</v>
      </c>
      <c r="U307" s="7">
        <f>H307-G307</f>
        <v>0.11458333332848269</v>
      </c>
      <c r="V307">
        <f>HOUR(U307)</f>
        <v>2</v>
      </c>
      <c r="W307">
        <f>MINUTE(U307)</f>
        <v>45</v>
      </c>
      <c r="X307">
        <f>V307*60+W307</f>
        <v>165</v>
      </c>
      <c r="Y307" s="7">
        <f>I307-H307</f>
        <v>6.9444444452528842E-3</v>
      </c>
      <c r="Z307">
        <f>HOUR(Y307)</f>
        <v>0</v>
      </c>
      <c r="AA307">
        <f>MINUTE(Y307)</f>
        <v>10</v>
      </c>
      <c r="AB307">
        <f>Z307*60+AA307</f>
        <v>10</v>
      </c>
    </row>
    <row r="308" spans="1:28" x14ac:dyDescent="0.25">
      <c r="A308">
        <v>306</v>
      </c>
      <c r="B308" t="s">
        <v>29</v>
      </c>
      <c r="C308">
        <v>1</v>
      </c>
      <c r="D308" t="s">
        <v>30</v>
      </c>
      <c r="E308" s="6">
        <v>46043.6875</v>
      </c>
      <c r="F308" s="6">
        <v>46043.694444444445</v>
      </c>
      <c r="G308" s="6">
        <v>46043.701388888891</v>
      </c>
      <c r="H308" s="6">
        <v>46043.71875</v>
      </c>
      <c r="I308" s="6">
        <v>46043.725694444445</v>
      </c>
      <c r="J308" s="6">
        <v>46043.732638888891</v>
      </c>
      <c r="K308">
        <v>1.08</v>
      </c>
      <c r="L308" s="6">
        <v>46043.739583333336</v>
      </c>
      <c r="M308" s="7">
        <f>F308-E308</f>
        <v>6.9444444452528842E-3</v>
      </c>
      <c r="N308">
        <f>HOUR(M308)</f>
        <v>0</v>
      </c>
      <c r="O308">
        <f>MINUTE(M308)</f>
        <v>10</v>
      </c>
      <c r="P308">
        <f>N308*60+O308</f>
        <v>10</v>
      </c>
      <c r="Q308" s="7">
        <f>G308-F308</f>
        <v>6.9444444452528842E-3</v>
      </c>
      <c r="R308">
        <f>HOUR(Q308)</f>
        <v>0</v>
      </c>
      <c r="S308">
        <f>MINUTE(Q308)</f>
        <v>10</v>
      </c>
      <c r="T308">
        <f>R308*60+S308</f>
        <v>10</v>
      </c>
      <c r="U308" s="7">
        <f>H308-G308</f>
        <v>1.7361111109494232E-2</v>
      </c>
      <c r="V308">
        <f>HOUR(U308)</f>
        <v>0</v>
      </c>
      <c r="W308">
        <f>MINUTE(U308)</f>
        <v>25</v>
      </c>
      <c r="X308">
        <f>V308*60+W308</f>
        <v>25</v>
      </c>
      <c r="Y308" s="7">
        <f>I308-H308</f>
        <v>6.9444444452528842E-3</v>
      </c>
      <c r="Z308">
        <f>HOUR(Y308)</f>
        <v>0</v>
      </c>
      <c r="AA308">
        <f>MINUTE(Y308)</f>
        <v>10</v>
      </c>
      <c r="AB308">
        <f>Z308*60+AA308</f>
        <v>10</v>
      </c>
    </row>
    <row r="309" spans="1:28" x14ac:dyDescent="0.25">
      <c r="A309">
        <v>307</v>
      </c>
      <c r="B309" t="s">
        <v>33</v>
      </c>
      <c r="C309">
        <v>1</v>
      </c>
      <c r="D309" t="s">
        <v>35</v>
      </c>
      <c r="E309" s="6">
        <v>46044.638888888891</v>
      </c>
      <c r="F309" s="6">
        <v>46044.659722222219</v>
      </c>
      <c r="G309" s="6">
        <v>46044.684027777781</v>
      </c>
      <c r="H309" s="6">
        <v>46044.78402777778</v>
      </c>
      <c r="I309" s="6">
        <v>46044.798611111109</v>
      </c>
      <c r="J309" s="6">
        <v>46044.802083333336</v>
      </c>
      <c r="K309">
        <v>3.92</v>
      </c>
      <c r="L309" s="6">
        <v>46044.809027777781</v>
      </c>
      <c r="M309" s="7">
        <f>F309-E309</f>
        <v>2.0833333328482695E-2</v>
      </c>
      <c r="N309">
        <f>HOUR(M309)</f>
        <v>0</v>
      </c>
      <c r="O309">
        <f>MINUTE(M309)</f>
        <v>30</v>
      </c>
      <c r="P309">
        <f>N309*60+O309</f>
        <v>30</v>
      </c>
      <c r="Q309" s="7">
        <f>G309-F309</f>
        <v>2.4305555562023073E-2</v>
      </c>
      <c r="R309">
        <f>HOUR(Q309)</f>
        <v>0</v>
      </c>
      <c r="S309">
        <f>MINUTE(Q309)</f>
        <v>35</v>
      </c>
      <c r="T309">
        <f>R309*60+S309</f>
        <v>35</v>
      </c>
      <c r="U309" s="7">
        <f>H309-G309</f>
        <v>9.9999999998544808E-2</v>
      </c>
      <c r="V309">
        <f>HOUR(U309)</f>
        <v>2</v>
      </c>
      <c r="W309">
        <f>MINUTE(U309)</f>
        <v>24</v>
      </c>
      <c r="X309">
        <f>V309*60+W309</f>
        <v>144</v>
      </c>
      <c r="Y309" s="7">
        <f>I309-H309</f>
        <v>1.4583333329937886E-2</v>
      </c>
      <c r="Z309">
        <f>HOUR(Y309)</f>
        <v>0</v>
      </c>
      <c r="AA309">
        <f>MINUTE(Y309)</f>
        <v>21</v>
      </c>
      <c r="AB309">
        <f>Z309*60+AA309</f>
        <v>21</v>
      </c>
    </row>
    <row r="310" spans="1:28" x14ac:dyDescent="0.25">
      <c r="A310">
        <v>308</v>
      </c>
      <c r="B310" t="s">
        <v>31</v>
      </c>
      <c r="C310">
        <v>1</v>
      </c>
      <c r="D310" t="s">
        <v>34</v>
      </c>
      <c r="E310" s="6">
        <v>46044.357638888891</v>
      </c>
      <c r="F310" s="6">
        <v>46044.364583333336</v>
      </c>
      <c r="G310" s="6">
        <v>46044.378472222219</v>
      </c>
      <c r="H310" s="6">
        <v>46044.486111111109</v>
      </c>
      <c r="I310" s="6">
        <v>46044.493055555555</v>
      </c>
      <c r="J310" s="6">
        <v>46044.506944444445</v>
      </c>
      <c r="K310">
        <v>3.58</v>
      </c>
      <c r="L310" s="6">
        <v>46044.513888888891</v>
      </c>
      <c r="M310" s="7">
        <f>F310-E310</f>
        <v>6.9444444452528842E-3</v>
      </c>
      <c r="N310">
        <f>HOUR(M310)</f>
        <v>0</v>
      </c>
      <c r="O310">
        <f>MINUTE(M310)</f>
        <v>10</v>
      </c>
      <c r="P310">
        <f>N310*60+O310</f>
        <v>10</v>
      </c>
      <c r="Q310" s="7">
        <f>G310-F310</f>
        <v>1.3888888883229811E-2</v>
      </c>
      <c r="R310">
        <f>HOUR(Q310)</f>
        <v>0</v>
      </c>
      <c r="S310">
        <f>MINUTE(Q310)</f>
        <v>20</v>
      </c>
      <c r="T310">
        <f>R310*60+S310</f>
        <v>20</v>
      </c>
      <c r="U310" s="7">
        <f>H310-G310</f>
        <v>0.10763888889050577</v>
      </c>
      <c r="V310">
        <f>HOUR(U310)</f>
        <v>2</v>
      </c>
      <c r="W310">
        <f>MINUTE(U310)</f>
        <v>35</v>
      </c>
      <c r="X310">
        <f>V310*60+W310</f>
        <v>155</v>
      </c>
      <c r="Y310" s="7">
        <f>I310-H310</f>
        <v>6.9444444452528842E-3</v>
      </c>
      <c r="Z310">
        <f>HOUR(Y310)</f>
        <v>0</v>
      </c>
      <c r="AA310">
        <f>MINUTE(Y310)</f>
        <v>10</v>
      </c>
      <c r="AB310">
        <f>Z310*60+AA310</f>
        <v>10</v>
      </c>
    </row>
    <row r="311" spans="1:28" x14ac:dyDescent="0.25">
      <c r="A311">
        <v>309</v>
      </c>
      <c r="B311" t="s">
        <v>29</v>
      </c>
      <c r="C311">
        <v>1</v>
      </c>
      <c r="D311" t="s">
        <v>30</v>
      </c>
      <c r="E311" s="6">
        <v>46044.552083333336</v>
      </c>
      <c r="F311" s="6">
        <v>46044.555555555555</v>
      </c>
      <c r="G311" s="6">
        <v>46044.576388888891</v>
      </c>
      <c r="H311" s="6">
        <v>46044.604166666664</v>
      </c>
      <c r="I311" s="6">
        <v>46044.611111111109</v>
      </c>
      <c r="J311" s="6">
        <v>46044.631944444445</v>
      </c>
      <c r="K311">
        <v>1.92</v>
      </c>
      <c r="L311" s="6">
        <v>46044.638888888891</v>
      </c>
      <c r="M311" s="7">
        <f>F311-E311</f>
        <v>3.4722222189884633E-3</v>
      </c>
      <c r="N311">
        <f>HOUR(M311)</f>
        <v>0</v>
      </c>
      <c r="O311">
        <f>MINUTE(M311)</f>
        <v>5</v>
      </c>
      <c r="P311">
        <f>N311*60+O311</f>
        <v>5</v>
      </c>
      <c r="Q311" s="7">
        <f>G311-F311</f>
        <v>2.0833333335758653E-2</v>
      </c>
      <c r="R311">
        <f>HOUR(Q311)</f>
        <v>0</v>
      </c>
      <c r="S311">
        <f>MINUTE(Q311)</f>
        <v>30</v>
      </c>
      <c r="T311">
        <f>R311*60+S311</f>
        <v>30</v>
      </c>
      <c r="U311" s="7">
        <f>H311-G311</f>
        <v>2.7777777773735579E-2</v>
      </c>
      <c r="V311">
        <f>HOUR(U311)</f>
        <v>0</v>
      </c>
      <c r="W311">
        <f>MINUTE(U311)</f>
        <v>40</v>
      </c>
      <c r="X311">
        <f>V311*60+W311</f>
        <v>40</v>
      </c>
      <c r="Y311" s="7">
        <f>I311-H311</f>
        <v>6.9444444452528842E-3</v>
      </c>
      <c r="Z311">
        <f>HOUR(Y311)</f>
        <v>0</v>
      </c>
      <c r="AA311">
        <f>MINUTE(Y311)</f>
        <v>10</v>
      </c>
      <c r="AB311">
        <f>Z311*60+AA311</f>
        <v>10</v>
      </c>
    </row>
    <row r="312" spans="1:28" x14ac:dyDescent="0.25">
      <c r="A312">
        <v>310</v>
      </c>
      <c r="B312" t="s">
        <v>29</v>
      </c>
      <c r="C312">
        <v>1</v>
      </c>
      <c r="D312" t="s">
        <v>37</v>
      </c>
      <c r="E312" s="6">
        <v>46045.559027777781</v>
      </c>
      <c r="F312" s="6">
        <v>46045.590277777781</v>
      </c>
      <c r="G312" s="6">
        <v>46045.649305555555</v>
      </c>
      <c r="H312" s="6">
        <v>46045.781944444447</v>
      </c>
      <c r="I312" s="6">
        <v>46045.791666666664</v>
      </c>
      <c r="J312" s="6">
        <v>46045.893055555556</v>
      </c>
      <c r="K312">
        <v>8.02</v>
      </c>
      <c r="L312" s="6">
        <v>46045.9</v>
      </c>
      <c r="M312" s="7">
        <f>F312-E312</f>
        <v>3.125E-2</v>
      </c>
      <c r="N312">
        <f>HOUR(M312)</f>
        <v>0</v>
      </c>
      <c r="O312">
        <f>MINUTE(M312)</f>
        <v>45</v>
      </c>
      <c r="P312">
        <f>N312*60+O312</f>
        <v>45</v>
      </c>
      <c r="Q312" s="7">
        <f>G312-F312</f>
        <v>5.9027777773735579E-2</v>
      </c>
      <c r="R312">
        <f>HOUR(Q312)</f>
        <v>1</v>
      </c>
      <c r="S312">
        <f>MINUTE(Q312)</f>
        <v>25</v>
      </c>
      <c r="T312">
        <f>R312*60+S312</f>
        <v>85</v>
      </c>
      <c r="U312" s="7">
        <f>H312-G312</f>
        <v>0.13263888889196096</v>
      </c>
      <c r="V312">
        <f>HOUR(U312)</f>
        <v>3</v>
      </c>
      <c r="W312">
        <f>MINUTE(U312)</f>
        <v>11</v>
      </c>
      <c r="X312">
        <f>V312*60+W312</f>
        <v>191</v>
      </c>
      <c r="Y312" s="7">
        <f>I312-H312</f>
        <v>9.7222222175332718E-3</v>
      </c>
      <c r="Z312">
        <f>HOUR(Y312)</f>
        <v>0</v>
      </c>
      <c r="AA312">
        <f>MINUTE(Y312)</f>
        <v>14</v>
      </c>
      <c r="AB312">
        <f>Z312*60+AA312</f>
        <v>14</v>
      </c>
    </row>
    <row r="313" spans="1:28" x14ac:dyDescent="0.25">
      <c r="A313">
        <v>311</v>
      </c>
      <c r="B313" t="s">
        <v>33</v>
      </c>
      <c r="C313">
        <v>1</v>
      </c>
      <c r="D313" t="s">
        <v>34</v>
      </c>
      <c r="E313" s="6">
        <v>46045.510416666664</v>
      </c>
      <c r="F313" s="6">
        <v>46045.517361111109</v>
      </c>
      <c r="G313" s="6">
        <v>46045.541666666664</v>
      </c>
      <c r="H313" s="6">
        <v>46045.652777777781</v>
      </c>
      <c r="I313" s="6">
        <v>46045.663194444445</v>
      </c>
      <c r="J313" s="6">
        <v>46045.673611111109</v>
      </c>
      <c r="K313">
        <v>3.92</v>
      </c>
      <c r="L313" s="6">
        <v>46045.680555555555</v>
      </c>
      <c r="M313" s="7">
        <f>F313-E313</f>
        <v>6.9444444452528842E-3</v>
      </c>
      <c r="N313">
        <f>HOUR(M313)</f>
        <v>0</v>
      </c>
      <c r="O313">
        <f>MINUTE(M313)</f>
        <v>10</v>
      </c>
      <c r="P313">
        <f>N313*60+O313</f>
        <v>10</v>
      </c>
      <c r="Q313" s="7">
        <f>G313-F313</f>
        <v>2.4305555554747116E-2</v>
      </c>
      <c r="R313">
        <f>HOUR(Q313)</f>
        <v>0</v>
      </c>
      <c r="S313">
        <f>MINUTE(Q313)</f>
        <v>35</v>
      </c>
      <c r="T313">
        <f>R313*60+S313</f>
        <v>35</v>
      </c>
      <c r="U313" s="7">
        <f>H313-G313</f>
        <v>0.11111111111677019</v>
      </c>
      <c r="V313">
        <f>HOUR(U313)</f>
        <v>2</v>
      </c>
      <c r="W313">
        <f>MINUTE(U313)</f>
        <v>40</v>
      </c>
      <c r="X313">
        <f>V313*60+W313</f>
        <v>160</v>
      </c>
      <c r="Y313" s="7">
        <f>I313-H313</f>
        <v>1.0416666664241347E-2</v>
      </c>
      <c r="Z313">
        <f>HOUR(Y313)</f>
        <v>0</v>
      </c>
      <c r="AA313">
        <f>MINUTE(Y313)</f>
        <v>15</v>
      </c>
      <c r="AB313">
        <f>Z313*60+AA313</f>
        <v>15</v>
      </c>
    </row>
    <row r="314" spans="1:28" x14ac:dyDescent="0.25">
      <c r="A314">
        <v>312</v>
      </c>
      <c r="B314" t="s">
        <v>31</v>
      </c>
      <c r="C314">
        <v>1</v>
      </c>
      <c r="D314" t="s">
        <v>36</v>
      </c>
      <c r="E314" s="6">
        <v>46045.291666666664</v>
      </c>
      <c r="F314" s="6">
        <v>46045.326388888891</v>
      </c>
      <c r="G314" s="6">
        <v>46045.356944444444</v>
      </c>
      <c r="H314" s="6">
        <v>46045.440972222219</v>
      </c>
      <c r="I314" s="6">
        <v>46045.447916666664</v>
      </c>
      <c r="J314" s="6">
        <v>46045.451388888891</v>
      </c>
      <c r="K314">
        <v>3.83</v>
      </c>
      <c r="L314" s="6">
        <v>46045.458333333336</v>
      </c>
      <c r="M314" s="7">
        <f>F314-E314</f>
        <v>3.4722222226264421E-2</v>
      </c>
      <c r="N314">
        <f>HOUR(M314)</f>
        <v>0</v>
      </c>
      <c r="O314">
        <f>MINUTE(M314)</f>
        <v>50</v>
      </c>
      <c r="P314">
        <f>N314*60+O314</f>
        <v>50</v>
      </c>
      <c r="Q314" s="7">
        <f>G314-F314</f>
        <v>3.0555555553291924E-2</v>
      </c>
      <c r="R314">
        <f>HOUR(Q314)</f>
        <v>0</v>
      </c>
      <c r="S314">
        <f>MINUTE(Q314)</f>
        <v>44</v>
      </c>
      <c r="T314">
        <f>R314*60+S314</f>
        <v>44</v>
      </c>
      <c r="U314" s="7">
        <f>H314-G314</f>
        <v>8.4027777775190771E-2</v>
      </c>
      <c r="V314">
        <f>HOUR(U314)</f>
        <v>2</v>
      </c>
      <c r="W314">
        <f>MINUTE(U314)</f>
        <v>1</v>
      </c>
      <c r="X314">
        <f>V314*60+W314</f>
        <v>121</v>
      </c>
      <c r="Y314" s="7">
        <f>I314-H314</f>
        <v>6.9444444452528842E-3</v>
      </c>
      <c r="Z314">
        <f>HOUR(Y314)</f>
        <v>0</v>
      </c>
      <c r="AA314">
        <f>MINUTE(Y314)</f>
        <v>10</v>
      </c>
      <c r="AB314">
        <f>Z314*60+AA314</f>
        <v>10</v>
      </c>
    </row>
    <row r="315" spans="1:28" x14ac:dyDescent="0.25">
      <c r="A315">
        <v>313</v>
      </c>
      <c r="B315" t="s">
        <v>31</v>
      </c>
      <c r="C315">
        <v>1</v>
      </c>
      <c r="D315" t="s">
        <v>36</v>
      </c>
      <c r="E315" s="6">
        <v>46044.618055555555</v>
      </c>
      <c r="F315" s="6">
        <v>46044.621527777781</v>
      </c>
      <c r="G315" s="6">
        <v>46044.652777777781</v>
      </c>
      <c r="H315" s="6">
        <v>46044.708333333336</v>
      </c>
      <c r="I315" s="6">
        <v>46044.71875</v>
      </c>
      <c r="J315" s="6">
        <v>46044.756944444445</v>
      </c>
      <c r="K315">
        <v>3.33</v>
      </c>
      <c r="L315" s="6">
        <v>46044.760416666664</v>
      </c>
      <c r="M315" s="7">
        <f>F315-E315</f>
        <v>3.4722222262644209E-3</v>
      </c>
      <c r="N315">
        <f>HOUR(M315)</f>
        <v>0</v>
      </c>
      <c r="O315">
        <f>MINUTE(M315)</f>
        <v>5</v>
      </c>
      <c r="P315">
        <f>N315*60+O315</f>
        <v>5</v>
      </c>
      <c r="Q315" s="7">
        <f>G315-F315</f>
        <v>3.125E-2</v>
      </c>
      <c r="R315">
        <f>HOUR(Q315)</f>
        <v>0</v>
      </c>
      <c r="S315">
        <f>MINUTE(Q315)</f>
        <v>45</v>
      </c>
      <c r="T315">
        <f>R315*60+S315</f>
        <v>45</v>
      </c>
      <c r="U315" s="7">
        <f>H315-G315</f>
        <v>5.5555555554747116E-2</v>
      </c>
      <c r="V315">
        <f>HOUR(U315)</f>
        <v>1</v>
      </c>
      <c r="W315">
        <f>MINUTE(U315)</f>
        <v>20</v>
      </c>
      <c r="X315">
        <f>V315*60+W315</f>
        <v>80</v>
      </c>
      <c r="Y315" s="7">
        <f>I315-H315</f>
        <v>1.0416666664241347E-2</v>
      </c>
      <c r="Z315">
        <f>HOUR(Y315)</f>
        <v>0</v>
      </c>
      <c r="AA315">
        <f>MINUTE(Y315)</f>
        <v>15</v>
      </c>
      <c r="AB315">
        <f>Z315*60+AA315</f>
        <v>15</v>
      </c>
    </row>
    <row r="316" spans="1:28" x14ac:dyDescent="0.25">
      <c r="A316">
        <v>314</v>
      </c>
      <c r="B316" t="s">
        <v>33</v>
      </c>
      <c r="C316">
        <v>1</v>
      </c>
      <c r="D316" t="s">
        <v>32</v>
      </c>
      <c r="E316" s="6">
        <v>46045.288194444445</v>
      </c>
      <c r="F316" s="6">
        <v>46045.347222222219</v>
      </c>
      <c r="G316" s="6">
        <v>46045.356249999997</v>
      </c>
      <c r="H316" s="6">
        <v>46045.385416666664</v>
      </c>
      <c r="I316" s="6">
        <v>46045.388888888891</v>
      </c>
      <c r="J316" s="6">
        <v>46045.392361111109</v>
      </c>
      <c r="K316">
        <v>2.5</v>
      </c>
      <c r="L316" s="6">
        <v>46045.399305555555</v>
      </c>
      <c r="M316" s="7">
        <f>F316-E316</f>
        <v>5.9027777773735579E-2</v>
      </c>
      <c r="N316">
        <f>HOUR(M316)</f>
        <v>1</v>
      </c>
      <c r="O316">
        <f>MINUTE(M316)</f>
        <v>25</v>
      </c>
      <c r="P316">
        <f>N316*60+O316</f>
        <v>85</v>
      </c>
      <c r="Q316" s="7">
        <f>G316-F316</f>
        <v>9.0277777781011537E-3</v>
      </c>
      <c r="R316">
        <f>HOUR(Q316)</f>
        <v>0</v>
      </c>
      <c r="S316">
        <f>MINUTE(Q316)</f>
        <v>13</v>
      </c>
      <c r="T316">
        <f>R316*60+S316</f>
        <v>13</v>
      </c>
      <c r="U316" s="7">
        <f>H316-G316</f>
        <v>2.9166666667151731E-2</v>
      </c>
      <c r="V316">
        <f>HOUR(U316)</f>
        <v>0</v>
      </c>
      <c r="W316">
        <f>MINUTE(U316)</f>
        <v>42</v>
      </c>
      <c r="X316">
        <f>V316*60+W316</f>
        <v>42</v>
      </c>
      <c r="Y316" s="7">
        <f>I316-H316</f>
        <v>3.4722222262644209E-3</v>
      </c>
      <c r="Z316">
        <f>HOUR(Y316)</f>
        <v>0</v>
      </c>
      <c r="AA316">
        <f>MINUTE(Y316)</f>
        <v>5</v>
      </c>
      <c r="AB316">
        <f>Z316*60+AA316</f>
        <v>5</v>
      </c>
    </row>
    <row r="317" spans="1:28" x14ac:dyDescent="0.25">
      <c r="A317">
        <v>315</v>
      </c>
      <c r="B317" t="s">
        <v>31</v>
      </c>
      <c r="C317">
        <v>1</v>
      </c>
      <c r="D317" t="s">
        <v>36</v>
      </c>
      <c r="E317" s="6">
        <v>46045.375</v>
      </c>
      <c r="F317" s="6">
        <v>46045.381944444445</v>
      </c>
      <c r="G317" s="6">
        <v>46045.385416666664</v>
      </c>
      <c r="H317" s="6">
        <v>46045.520833333336</v>
      </c>
      <c r="I317" s="6">
        <v>46045.527777777781</v>
      </c>
      <c r="J317" s="6">
        <v>46045.541666666664</v>
      </c>
      <c r="K317">
        <v>4</v>
      </c>
      <c r="L317" s="6">
        <v>46045.548611111109</v>
      </c>
      <c r="M317" s="7">
        <f>F317-E317</f>
        <v>6.9444444452528842E-3</v>
      </c>
      <c r="N317">
        <f>HOUR(M317)</f>
        <v>0</v>
      </c>
      <c r="O317">
        <f>MINUTE(M317)</f>
        <v>10</v>
      </c>
      <c r="P317">
        <f>N317*60+O317</f>
        <v>10</v>
      </c>
      <c r="Q317" s="7">
        <f>G317-F317</f>
        <v>3.4722222189884633E-3</v>
      </c>
      <c r="R317">
        <f>HOUR(Q317)</f>
        <v>0</v>
      </c>
      <c r="S317">
        <f>MINUTE(Q317)</f>
        <v>5</v>
      </c>
      <c r="T317">
        <f>R317*60+S317</f>
        <v>5</v>
      </c>
      <c r="U317" s="7">
        <f>H317-G317</f>
        <v>0.13541666667151731</v>
      </c>
      <c r="V317">
        <f>HOUR(U317)</f>
        <v>3</v>
      </c>
      <c r="W317">
        <f>MINUTE(U317)</f>
        <v>15</v>
      </c>
      <c r="X317">
        <f>V317*60+W317</f>
        <v>195</v>
      </c>
      <c r="Y317" s="7">
        <f>I317-H317</f>
        <v>6.9444444452528842E-3</v>
      </c>
      <c r="Z317">
        <f>HOUR(Y317)</f>
        <v>0</v>
      </c>
      <c r="AA317">
        <f>MINUTE(Y317)</f>
        <v>10</v>
      </c>
      <c r="AB317">
        <f>Z317*60+AA317</f>
        <v>10</v>
      </c>
    </row>
    <row r="318" spans="1:28" x14ac:dyDescent="0.25">
      <c r="A318">
        <v>316</v>
      </c>
      <c r="B318" t="s">
        <v>33</v>
      </c>
      <c r="C318">
        <v>1</v>
      </c>
      <c r="D318" t="s">
        <v>32</v>
      </c>
      <c r="E318" s="6">
        <v>46045.725694444445</v>
      </c>
      <c r="F318" s="6">
        <v>46045.756944444445</v>
      </c>
      <c r="G318" s="6">
        <v>46045.791666666664</v>
      </c>
      <c r="H318" s="6">
        <v>46045.952777777777</v>
      </c>
      <c r="I318" s="6">
        <v>46045.959722222222</v>
      </c>
      <c r="J318" s="6">
        <v>46046.038194444445</v>
      </c>
      <c r="K318">
        <v>7.5</v>
      </c>
      <c r="L318" s="6">
        <v>46046.045138888891</v>
      </c>
      <c r="M318" s="7">
        <f>F318-E318</f>
        <v>3.125E-2</v>
      </c>
      <c r="N318">
        <f>HOUR(M318)</f>
        <v>0</v>
      </c>
      <c r="O318">
        <f>MINUTE(M318)</f>
        <v>45</v>
      </c>
      <c r="P318">
        <f>N318*60+O318</f>
        <v>45</v>
      </c>
      <c r="Q318" s="7">
        <f>G318-F318</f>
        <v>3.4722222218988463E-2</v>
      </c>
      <c r="R318">
        <f>HOUR(Q318)</f>
        <v>0</v>
      </c>
      <c r="S318">
        <f>MINUTE(Q318)</f>
        <v>50</v>
      </c>
      <c r="T318">
        <f>R318*60+S318</f>
        <v>50</v>
      </c>
      <c r="U318" s="7">
        <f>H318-G318</f>
        <v>0.16111111111240461</v>
      </c>
      <c r="V318">
        <f>HOUR(U318)</f>
        <v>3</v>
      </c>
      <c r="W318">
        <f>MINUTE(U318)</f>
        <v>52</v>
      </c>
      <c r="X318">
        <f>V318*60+W318</f>
        <v>232</v>
      </c>
      <c r="Y318" s="7">
        <f>I318-H318</f>
        <v>6.9444444452528842E-3</v>
      </c>
      <c r="Z318">
        <f>HOUR(Y318)</f>
        <v>0</v>
      </c>
      <c r="AA318">
        <f>MINUTE(Y318)</f>
        <v>10</v>
      </c>
      <c r="AB318">
        <f>Z318*60+AA318</f>
        <v>10</v>
      </c>
    </row>
    <row r="319" spans="1:28" x14ac:dyDescent="0.25">
      <c r="A319">
        <v>317</v>
      </c>
      <c r="B319" t="s">
        <v>29</v>
      </c>
      <c r="C319">
        <v>1</v>
      </c>
      <c r="D319" t="s">
        <v>34</v>
      </c>
      <c r="E319" s="6">
        <v>46045.333333333336</v>
      </c>
      <c r="F319" s="6">
        <v>46045.361111111109</v>
      </c>
      <c r="G319" s="6">
        <v>46045.371527777781</v>
      </c>
      <c r="H319" s="6">
        <v>46045.440972222219</v>
      </c>
      <c r="I319" s="6">
        <v>46045.447916666664</v>
      </c>
      <c r="J319" s="6">
        <v>46045.451388888891</v>
      </c>
      <c r="K319">
        <v>2.83</v>
      </c>
      <c r="L319" s="6">
        <v>46045.458333333336</v>
      </c>
      <c r="M319" s="7">
        <f>F319-E319</f>
        <v>2.7777777773735579E-2</v>
      </c>
      <c r="N319">
        <f>HOUR(M319)</f>
        <v>0</v>
      </c>
      <c r="O319">
        <f>MINUTE(M319)</f>
        <v>40</v>
      </c>
      <c r="P319">
        <f>N319*60+O319</f>
        <v>40</v>
      </c>
      <c r="Q319" s="7">
        <f>G319-F319</f>
        <v>1.0416666671517305E-2</v>
      </c>
      <c r="R319">
        <f>HOUR(Q319)</f>
        <v>0</v>
      </c>
      <c r="S319">
        <f>MINUTE(Q319)</f>
        <v>15</v>
      </c>
      <c r="T319">
        <f>R319*60+S319</f>
        <v>15</v>
      </c>
      <c r="U319" s="7">
        <f>H319-G319</f>
        <v>6.9444444437976927E-2</v>
      </c>
      <c r="V319">
        <f>HOUR(U319)</f>
        <v>1</v>
      </c>
      <c r="W319">
        <f>MINUTE(U319)</f>
        <v>40</v>
      </c>
      <c r="X319">
        <f>V319*60+W319</f>
        <v>100</v>
      </c>
      <c r="Y319" s="7">
        <f>I319-H319</f>
        <v>6.9444444452528842E-3</v>
      </c>
      <c r="Z319">
        <f>HOUR(Y319)</f>
        <v>0</v>
      </c>
      <c r="AA319">
        <f>MINUTE(Y319)</f>
        <v>10</v>
      </c>
      <c r="AB319">
        <f>Z319*60+AA319</f>
        <v>10</v>
      </c>
    </row>
    <row r="320" spans="1:28" x14ac:dyDescent="0.25">
      <c r="A320">
        <v>318</v>
      </c>
      <c r="B320" t="s">
        <v>31</v>
      </c>
      <c r="C320">
        <v>1</v>
      </c>
      <c r="D320" t="s">
        <v>30</v>
      </c>
      <c r="E320" s="6">
        <v>46044.847222222219</v>
      </c>
      <c r="F320" s="6">
        <v>46044.854166666664</v>
      </c>
      <c r="G320" s="6">
        <v>46044.864583333336</v>
      </c>
      <c r="H320" s="6">
        <v>46044.923611111109</v>
      </c>
      <c r="I320" s="6">
        <v>46044.930555555555</v>
      </c>
      <c r="J320" s="6">
        <v>46044.94027777778</v>
      </c>
      <c r="K320">
        <v>2.23</v>
      </c>
      <c r="L320" s="6">
        <v>46044.947222222225</v>
      </c>
      <c r="M320" s="7">
        <f>F320-E320</f>
        <v>6.9444444452528842E-3</v>
      </c>
      <c r="N320">
        <f>HOUR(M320)</f>
        <v>0</v>
      </c>
      <c r="O320">
        <f>MINUTE(M320)</f>
        <v>10</v>
      </c>
      <c r="P320">
        <f>N320*60+O320</f>
        <v>10</v>
      </c>
      <c r="Q320" s="7">
        <f>G320-F320</f>
        <v>1.0416666671517305E-2</v>
      </c>
      <c r="R320">
        <f>HOUR(Q320)</f>
        <v>0</v>
      </c>
      <c r="S320">
        <f>MINUTE(Q320)</f>
        <v>15</v>
      </c>
      <c r="T320">
        <f>R320*60+S320</f>
        <v>15</v>
      </c>
      <c r="U320" s="7">
        <f>H320-G320</f>
        <v>5.9027777773735579E-2</v>
      </c>
      <c r="V320">
        <f>HOUR(U320)</f>
        <v>1</v>
      </c>
      <c r="W320">
        <f>MINUTE(U320)</f>
        <v>25</v>
      </c>
      <c r="X320">
        <f>V320*60+W320</f>
        <v>85</v>
      </c>
      <c r="Y320" s="7">
        <f>I320-H320</f>
        <v>6.9444444452528842E-3</v>
      </c>
      <c r="Z320">
        <f>HOUR(Y320)</f>
        <v>0</v>
      </c>
      <c r="AA320">
        <f>MINUTE(Y320)</f>
        <v>10</v>
      </c>
      <c r="AB320">
        <f>Z320*60+AA320</f>
        <v>10</v>
      </c>
    </row>
    <row r="321" spans="1:28" x14ac:dyDescent="0.25">
      <c r="A321">
        <v>319</v>
      </c>
      <c r="B321" t="s">
        <v>33</v>
      </c>
      <c r="C321">
        <v>1</v>
      </c>
      <c r="D321" t="s">
        <v>30</v>
      </c>
      <c r="E321" s="6">
        <v>46044.927083333336</v>
      </c>
      <c r="F321" s="6">
        <v>46044.930555555555</v>
      </c>
      <c r="G321" s="6">
        <v>46044.934027777781</v>
      </c>
      <c r="H321" s="6">
        <v>46044.939583333333</v>
      </c>
      <c r="I321" s="6">
        <v>46044.946527777778</v>
      </c>
      <c r="J321" s="6">
        <v>46044.979166666664</v>
      </c>
      <c r="K321">
        <v>1.25</v>
      </c>
      <c r="L321" s="6">
        <v>46044.986111111109</v>
      </c>
      <c r="M321" s="7">
        <f>F321-E321</f>
        <v>3.4722222189884633E-3</v>
      </c>
      <c r="N321">
        <f>HOUR(M321)</f>
        <v>0</v>
      </c>
      <c r="O321">
        <f>MINUTE(M321)</f>
        <v>5</v>
      </c>
      <c r="P321">
        <f>N321*60+O321</f>
        <v>5</v>
      </c>
      <c r="Q321" s="7">
        <f>G321-F321</f>
        <v>3.4722222262644209E-3</v>
      </c>
      <c r="R321">
        <f>HOUR(Q321)</f>
        <v>0</v>
      </c>
      <c r="S321">
        <f>MINUTE(Q321)</f>
        <v>5</v>
      </c>
      <c r="T321">
        <f>R321*60+S321</f>
        <v>5</v>
      </c>
      <c r="U321" s="7">
        <f>H321-G321</f>
        <v>5.5555555518367328E-3</v>
      </c>
      <c r="V321">
        <f>HOUR(U321)</f>
        <v>0</v>
      </c>
      <c r="W321">
        <f>MINUTE(U321)</f>
        <v>8</v>
      </c>
      <c r="X321">
        <f>V321*60+W321</f>
        <v>8</v>
      </c>
      <c r="Y321" s="7">
        <f>I321-H321</f>
        <v>6.9444444452528842E-3</v>
      </c>
      <c r="Z321">
        <f>HOUR(Y321)</f>
        <v>0</v>
      </c>
      <c r="AA321">
        <f>MINUTE(Y321)</f>
        <v>10</v>
      </c>
      <c r="AB321">
        <f>Z321*60+AA321</f>
        <v>10</v>
      </c>
    </row>
    <row r="322" spans="1:28" x14ac:dyDescent="0.25">
      <c r="A322">
        <v>320</v>
      </c>
      <c r="B322" t="s">
        <v>33</v>
      </c>
      <c r="C322">
        <v>1</v>
      </c>
      <c r="D322" t="s">
        <v>30</v>
      </c>
      <c r="E322" s="6">
        <v>46044.923611111109</v>
      </c>
      <c r="F322" s="6">
        <v>46044.930555555555</v>
      </c>
      <c r="G322" s="6">
        <v>46044.944444444445</v>
      </c>
      <c r="H322" s="6">
        <v>46044.982638888891</v>
      </c>
      <c r="I322" s="6">
        <v>46044.989583333336</v>
      </c>
      <c r="J322" s="6">
        <v>46044.990277777775</v>
      </c>
      <c r="K322">
        <v>1.6</v>
      </c>
      <c r="L322" s="6">
        <v>46044.990972222222</v>
      </c>
      <c r="M322" s="7">
        <f>F322-E322</f>
        <v>6.9444444452528842E-3</v>
      </c>
      <c r="N322">
        <f>HOUR(M322)</f>
        <v>0</v>
      </c>
      <c r="O322">
        <f>MINUTE(M322)</f>
        <v>10</v>
      </c>
      <c r="P322">
        <f>N322*60+O322</f>
        <v>10</v>
      </c>
      <c r="Q322" s="7">
        <f>G322-F322</f>
        <v>1.3888888890505768E-2</v>
      </c>
      <c r="R322">
        <f>HOUR(Q322)</f>
        <v>0</v>
      </c>
      <c r="S322">
        <f>MINUTE(Q322)</f>
        <v>20</v>
      </c>
      <c r="T322">
        <f>R322*60+S322</f>
        <v>20</v>
      </c>
      <c r="U322" s="7">
        <f>H322-G322</f>
        <v>3.8194444445252884E-2</v>
      </c>
      <c r="V322">
        <f>HOUR(U322)</f>
        <v>0</v>
      </c>
      <c r="W322">
        <f>MINUTE(U322)</f>
        <v>55</v>
      </c>
      <c r="X322">
        <f>V322*60+W322</f>
        <v>55</v>
      </c>
      <c r="Y322" s="7">
        <f>I322-H322</f>
        <v>6.9444444452528842E-3</v>
      </c>
      <c r="Z322">
        <f>HOUR(Y322)</f>
        <v>0</v>
      </c>
      <c r="AA322">
        <f>MINUTE(Y322)</f>
        <v>10</v>
      </c>
      <c r="AB322">
        <f>Z322*60+AA322</f>
        <v>10</v>
      </c>
    </row>
    <row r="323" spans="1:28" x14ac:dyDescent="0.25">
      <c r="A323">
        <v>321</v>
      </c>
      <c r="B323" t="s">
        <v>31</v>
      </c>
      <c r="C323">
        <v>1</v>
      </c>
      <c r="D323" t="s">
        <v>36</v>
      </c>
      <c r="E323" s="6">
        <v>46045.493055555555</v>
      </c>
      <c r="F323" s="6">
        <v>46045.524305555555</v>
      </c>
      <c r="G323" s="6">
        <v>46045.548611111109</v>
      </c>
      <c r="H323" s="6">
        <v>46045.621527777781</v>
      </c>
      <c r="I323" s="6">
        <v>46045.628472222219</v>
      </c>
      <c r="J323" s="6">
        <v>46045.645833333336</v>
      </c>
      <c r="K323">
        <v>3.67</v>
      </c>
      <c r="L323" s="6">
        <v>46045.652777777781</v>
      </c>
      <c r="M323" s="7">
        <f>F323-E323</f>
        <v>3.125E-2</v>
      </c>
      <c r="N323">
        <f>HOUR(M323)</f>
        <v>0</v>
      </c>
      <c r="O323">
        <f>MINUTE(M323)</f>
        <v>45</v>
      </c>
      <c r="P323">
        <f>N323*60+O323</f>
        <v>45</v>
      </c>
      <c r="Q323" s="7">
        <f>G323-F323</f>
        <v>2.4305555554747116E-2</v>
      </c>
      <c r="R323">
        <f>HOUR(Q323)</f>
        <v>0</v>
      </c>
      <c r="S323">
        <f>MINUTE(Q323)</f>
        <v>35</v>
      </c>
      <c r="T323">
        <f>R323*60+S323</f>
        <v>35</v>
      </c>
      <c r="U323" s="7">
        <f>H323-G323</f>
        <v>7.2916666671517305E-2</v>
      </c>
      <c r="V323">
        <f>HOUR(U323)</f>
        <v>1</v>
      </c>
      <c r="W323">
        <f>MINUTE(U323)</f>
        <v>45</v>
      </c>
      <c r="X323">
        <f>V323*60+W323</f>
        <v>105</v>
      </c>
      <c r="Y323" s="7">
        <f>I323-H323</f>
        <v>6.9444444379769266E-3</v>
      </c>
      <c r="Z323">
        <f>HOUR(Y323)</f>
        <v>0</v>
      </c>
      <c r="AA323">
        <f>MINUTE(Y323)</f>
        <v>10</v>
      </c>
      <c r="AB323">
        <f>Z323*60+AA323</f>
        <v>10</v>
      </c>
    </row>
    <row r="324" spans="1:28" x14ac:dyDescent="0.25">
      <c r="A324">
        <v>322</v>
      </c>
      <c r="B324" t="s">
        <v>31</v>
      </c>
      <c r="C324">
        <v>1</v>
      </c>
      <c r="D324" t="s">
        <v>32</v>
      </c>
      <c r="E324" s="6">
        <v>46045.496527777781</v>
      </c>
      <c r="F324" s="6">
        <v>46045.503472222219</v>
      </c>
      <c r="G324" s="6">
        <v>46045.510416666664</v>
      </c>
      <c r="H324" s="6">
        <v>46045.59375</v>
      </c>
      <c r="I324" s="6">
        <v>46045.600694444445</v>
      </c>
      <c r="J324" s="6">
        <v>46045.673611111109</v>
      </c>
      <c r="K324">
        <v>4.25</v>
      </c>
      <c r="L324" s="6">
        <v>46045.680555555555</v>
      </c>
      <c r="M324" s="7">
        <f>F324-E324</f>
        <v>6.9444444379769266E-3</v>
      </c>
      <c r="N324">
        <f>HOUR(M324)</f>
        <v>0</v>
      </c>
      <c r="O324">
        <f>MINUTE(M324)</f>
        <v>10</v>
      </c>
      <c r="P324">
        <f>N324*60+O324</f>
        <v>10</v>
      </c>
      <c r="Q324" s="7">
        <f>G324-F324</f>
        <v>6.9444444452528842E-3</v>
      </c>
      <c r="R324">
        <f>HOUR(Q324)</f>
        <v>0</v>
      </c>
      <c r="S324">
        <f>MINUTE(Q324)</f>
        <v>10</v>
      </c>
      <c r="T324">
        <f>R324*60+S324</f>
        <v>10</v>
      </c>
      <c r="U324" s="7">
        <f>H324-G324</f>
        <v>8.3333333335758653E-2</v>
      </c>
      <c r="V324">
        <f>HOUR(U324)</f>
        <v>2</v>
      </c>
      <c r="W324">
        <f>MINUTE(U324)</f>
        <v>0</v>
      </c>
      <c r="X324">
        <f>V324*60+W324</f>
        <v>120</v>
      </c>
      <c r="Y324" s="7">
        <f>I324-H324</f>
        <v>6.9444444452528842E-3</v>
      </c>
      <c r="Z324">
        <f>HOUR(Y324)</f>
        <v>0</v>
      </c>
      <c r="AA324">
        <f>MINUTE(Y324)</f>
        <v>10</v>
      </c>
      <c r="AB324">
        <f>Z324*60+AA324</f>
        <v>10</v>
      </c>
    </row>
    <row r="325" spans="1:28" x14ac:dyDescent="0.25">
      <c r="A325">
        <v>323</v>
      </c>
      <c r="B325" t="s">
        <v>31</v>
      </c>
      <c r="C325">
        <v>1</v>
      </c>
      <c r="D325" t="s">
        <v>36</v>
      </c>
      <c r="E325" s="6">
        <v>46045.739583333336</v>
      </c>
      <c r="F325" s="6">
        <v>46045.770833333336</v>
      </c>
      <c r="G325" s="6">
        <v>46045.777777777781</v>
      </c>
      <c r="H325" s="6">
        <v>46045.805555555555</v>
      </c>
      <c r="I325" s="6">
        <v>46045.8125</v>
      </c>
      <c r="J325" s="6">
        <v>46045.833333333336</v>
      </c>
      <c r="K325">
        <v>2.25</v>
      </c>
      <c r="L325" s="6">
        <v>46045.840277777781</v>
      </c>
      <c r="M325" s="7">
        <f>F325-E325</f>
        <v>3.125E-2</v>
      </c>
      <c r="N325">
        <f>HOUR(M325)</f>
        <v>0</v>
      </c>
      <c r="O325">
        <f>MINUTE(M325)</f>
        <v>45</v>
      </c>
      <c r="P325">
        <f>N325*60+O325</f>
        <v>45</v>
      </c>
      <c r="Q325" s="7">
        <f>G325-F325</f>
        <v>6.9444444452528842E-3</v>
      </c>
      <c r="R325">
        <f>HOUR(Q325)</f>
        <v>0</v>
      </c>
      <c r="S325">
        <f>MINUTE(Q325)</f>
        <v>10</v>
      </c>
      <c r="T325">
        <f>R325*60+S325</f>
        <v>10</v>
      </c>
      <c r="U325" s="7">
        <f>H325-G325</f>
        <v>2.7777777773735579E-2</v>
      </c>
      <c r="V325">
        <f>HOUR(U325)</f>
        <v>0</v>
      </c>
      <c r="W325">
        <f>MINUTE(U325)</f>
        <v>40</v>
      </c>
      <c r="X325">
        <f>V325*60+W325</f>
        <v>40</v>
      </c>
      <c r="Y325" s="7">
        <f>I325-H325</f>
        <v>6.9444444452528842E-3</v>
      </c>
      <c r="Z325">
        <f>HOUR(Y325)</f>
        <v>0</v>
      </c>
      <c r="AA325">
        <f>MINUTE(Y325)</f>
        <v>10</v>
      </c>
      <c r="AB325">
        <f>Z325*60+AA325</f>
        <v>10</v>
      </c>
    </row>
    <row r="326" spans="1:28" x14ac:dyDescent="0.25">
      <c r="A326">
        <v>324</v>
      </c>
      <c r="B326" t="s">
        <v>31</v>
      </c>
      <c r="C326">
        <v>1</v>
      </c>
      <c r="D326" t="s">
        <v>32</v>
      </c>
      <c r="E326" s="6">
        <v>46064.309027777781</v>
      </c>
      <c r="F326" s="6">
        <v>46064.326388888891</v>
      </c>
      <c r="G326" s="6">
        <v>46064.340277777781</v>
      </c>
      <c r="H326" s="6">
        <v>46064.395833333336</v>
      </c>
      <c r="I326" s="6">
        <v>46064.402777777781</v>
      </c>
      <c r="J326" s="6">
        <v>46064.40625</v>
      </c>
      <c r="K326">
        <v>2.33</v>
      </c>
      <c r="L326" s="6">
        <v>46064.413194444445</v>
      </c>
      <c r="M326" s="7">
        <f>F326-E326</f>
        <v>1.7361111109494232E-2</v>
      </c>
      <c r="N326">
        <f>HOUR(M326)</f>
        <v>0</v>
      </c>
      <c r="O326">
        <f>MINUTE(M326)</f>
        <v>25</v>
      </c>
      <c r="P326">
        <f>N326*60+O326</f>
        <v>25</v>
      </c>
      <c r="Q326" s="7">
        <f>G326-F326</f>
        <v>1.3888888890505768E-2</v>
      </c>
      <c r="R326">
        <f>HOUR(Q326)</f>
        <v>0</v>
      </c>
      <c r="S326">
        <f>MINUTE(Q326)</f>
        <v>20</v>
      </c>
      <c r="T326">
        <f>R326*60+S326</f>
        <v>20</v>
      </c>
      <c r="U326" s="7">
        <f>H326-G326</f>
        <v>5.5555555554747116E-2</v>
      </c>
      <c r="V326">
        <f>HOUR(U326)</f>
        <v>1</v>
      </c>
      <c r="W326">
        <f>MINUTE(U326)</f>
        <v>20</v>
      </c>
      <c r="X326">
        <f>V326*60+W326</f>
        <v>80</v>
      </c>
      <c r="Y326" s="7">
        <f>I326-H326</f>
        <v>6.9444444452528842E-3</v>
      </c>
      <c r="Z326">
        <f>HOUR(Y326)</f>
        <v>0</v>
      </c>
      <c r="AA326">
        <f>MINUTE(Y326)</f>
        <v>10</v>
      </c>
      <c r="AB326">
        <f>Z326*60+AA326</f>
        <v>10</v>
      </c>
    </row>
    <row r="327" spans="1:28" x14ac:dyDescent="0.25">
      <c r="A327">
        <v>325</v>
      </c>
      <c r="B327" t="s">
        <v>33</v>
      </c>
      <c r="C327">
        <v>1</v>
      </c>
      <c r="D327" t="s">
        <v>30</v>
      </c>
      <c r="E327" s="6">
        <v>46048.559027777781</v>
      </c>
      <c r="F327" s="6">
        <v>46048.576388888891</v>
      </c>
      <c r="G327" s="6">
        <v>46048.659722222219</v>
      </c>
      <c r="H327" s="6">
        <v>46048.78125</v>
      </c>
      <c r="I327" s="6">
        <v>46048.854166666664</v>
      </c>
      <c r="J327" s="6">
        <v>46048.857638888891</v>
      </c>
      <c r="K327">
        <v>7.17</v>
      </c>
      <c r="L327" s="6">
        <v>46048.859722222223</v>
      </c>
      <c r="M327" s="7">
        <f>F327-E327</f>
        <v>1.7361111109494232E-2</v>
      </c>
      <c r="N327">
        <f>HOUR(M327)</f>
        <v>0</v>
      </c>
      <c r="O327">
        <f>MINUTE(M327)</f>
        <v>25</v>
      </c>
      <c r="P327">
        <f>N327*60+O327</f>
        <v>25</v>
      </c>
      <c r="Q327" s="7">
        <f>G327-F327</f>
        <v>8.3333333328482695E-2</v>
      </c>
      <c r="R327">
        <f>HOUR(Q327)</f>
        <v>2</v>
      </c>
      <c r="S327">
        <f>MINUTE(Q327)</f>
        <v>0</v>
      </c>
      <c r="T327">
        <f>R327*60+S327</f>
        <v>120</v>
      </c>
      <c r="U327" s="7">
        <f>H327-G327</f>
        <v>0.12152777778101154</v>
      </c>
      <c r="V327">
        <f>HOUR(U327)</f>
        <v>2</v>
      </c>
      <c r="W327">
        <f>MINUTE(U327)</f>
        <v>55</v>
      </c>
      <c r="X327">
        <f>V327*60+W327</f>
        <v>175</v>
      </c>
      <c r="Y327" s="7">
        <f>I327-H327</f>
        <v>7.2916666664241347E-2</v>
      </c>
      <c r="Z327">
        <f>HOUR(Y327)</f>
        <v>1</v>
      </c>
      <c r="AA327">
        <f>MINUTE(Y327)</f>
        <v>45</v>
      </c>
      <c r="AB327">
        <f>Z327*60+AA327</f>
        <v>105</v>
      </c>
    </row>
    <row r="328" spans="1:28" x14ac:dyDescent="0.25">
      <c r="A328">
        <v>326</v>
      </c>
      <c r="B328" t="s">
        <v>29</v>
      </c>
      <c r="C328">
        <v>1</v>
      </c>
      <c r="D328" t="s">
        <v>34</v>
      </c>
      <c r="E328" s="6">
        <v>46048.284722222219</v>
      </c>
      <c r="F328" s="6">
        <v>46048.319444444445</v>
      </c>
      <c r="G328" s="6">
        <v>46048.368055555555</v>
      </c>
      <c r="H328" s="6">
        <v>46048.604166666664</v>
      </c>
      <c r="I328" s="6">
        <v>46048.611111111109</v>
      </c>
      <c r="J328" s="6">
        <v>46048.618055555555</v>
      </c>
      <c r="K328">
        <v>8</v>
      </c>
      <c r="L328" s="6">
        <v>46048.625</v>
      </c>
      <c r="M328" s="7">
        <f>F328-E328</f>
        <v>3.4722222226264421E-2</v>
      </c>
      <c r="N328">
        <f>HOUR(M328)</f>
        <v>0</v>
      </c>
      <c r="O328">
        <f>MINUTE(M328)</f>
        <v>50</v>
      </c>
      <c r="P328">
        <f>N328*60+O328</f>
        <v>50</v>
      </c>
      <c r="Q328" s="7">
        <f>G328-F328</f>
        <v>4.8611111109494232E-2</v>
      </c>
      <c r="R328">
        <f>HOUR(Q328)</f>
        <v>1</v>
      </c>
      <c r="S328">
        <f>MINUTE(Q328)</f>
        <v>10</v>
      </c>
      <c r="T328">
        <f>R328*60+S328</f>
        <v>70</v>
      </c>
      <c r="U328" s="7">
        <f>H328-G328</f>
        <v>0.23611111110949423</v>
      </c>
      <c r="V328">
        <f>HOUR(U328)</f>
        <v>5</v>
      </c>
      <c r="W328">
        <f>MINUTE(U328)</f>
        <v>40</v>
      </c>
      <c r="X328">
        <f>V328*60+W328</f>
        <v>340</v>
      </c>
      <c r="Y328" s="7">
        <f>I328-H328</f>
        <v>6.9444444452528842E-3</v>
      </c>
      <c r="Z328">
        <f>HOUR(Y328)</f>
        <v>0</v>
      </c>
      <c r="AA328">
        <f>MINUTE(Y328)</f>
        <v>10</v>
      </c>
      <c r="AB328">
        <f>Z328*60+AA328</f>
        <v>10</v>
      </c>
    </row>
    <row r="329" spans="1:28" x14ac:dyDescent="0.25">
      <c r="A329">
        <v>327</v>
      </c>
      <c r="B329" t="s">
        <v>29</v>
      </c>
      <c r="C329">
        <v>1</v>
      </c>
      <c r="D329" t="s">
        <v>35</v>
      </c>
      <c r="E329" s="6">
        <v>46048.371527777781</v>
      </c>
      <c r="F329" s="6">
        <v>46048.378472222219</v>
      </c>
      <c r="G329" s="6">
        <v>46048.413194444445</v>
      </c>
      <c r="H329" s="6">
        <v>46048.506944444445</v>
      </c>
      <c r="I329" s="6">
        <v>46048.510416666664</v>
      </c>
      <c r="J329" s="6">
        <v>46048.527777777781</v>
      </c>
      <c r="K329">
        <v>3.75</v>
      </c>
      <c r="L329" s="6">
        <v>46048.53125</v>
      </c>
      <c r="M329" s="7">
        <f>F329-E329</f>
        <v>6.9444444379769266E-3</v>
      </c>
      <c r="N329">
        <f>HOUR(M329)</f>
        <v>0</v>
      </c>
      <c r="O329">
        <f>MINUTE(M329)</f>
        <v>10</v>
      </c>
      <c r="P329">
        <f>N329*60+O329</f>
        <v>10</v>
      </c>
      <c r="Q329" s="7">
        <f>G329-F329</f>
        <v>3.4722222226264421E-2</v>
      </c>
      <c r="R329">
        <f>HOUR(Q329)</f>
        <v>0</v>
      </c>
      <c r="S329">
        <f>MINUTE(Q329)</f>
        <v>50</v>
      </c>
      <c r="T329">
        <f>R329*60+S329</f>
        <v>50</v>
      </c>
      <c r="U329" s="7">
        <f>H329-G329</f>
        <v>9.375E-2</v>
      </c>
      <c r="V329">
        <f>HOUR(U329)</f>
        <v>2</v>
      </c>
      <c r="W329">
        <f>MINUTE(U329)</f>
        <v>15</v>
      </c>
      <c r="X329">
        <f>V329*60+W329</f>
        <v>135</v>
      </c>
      <c r="Y329" s="7">
        <f>I329-H329</f>
        <v>3.4722222189884633E-3</v>
      </c>
      <c r="Z329">
        <f>HOUR(Y329)</f>
        <v>0</v>
      </c>
      <c r="AA329">
        <f>MINUTE(Y329)</f>
        <v>5</v>
      </c>
      <c r="AB329">
        <f>Z329*60+AA329</f>
        <v>5</v>
      </c>
    </row>
    <row r="330" spans="1:28" x14ac:dyDescent="0.25">
      <c r="A330">
        <v>328</v>
      </c>
      <c r="B330" t="s">
        <v>33</v>
      </c>
      <c r="C330">
        <v>1</v>
      </c>
      <c r="D330" t="s">
        <v>34</v>
      </c>
      <c r="E330" s="6">
        <v>46045.930555555555</v>
      </c>
      <c r="F330" s="6">
        <v>46045.934027777781</v>
      </c>
      <c r="G330" s="6">
        <v>46045.940972222219</v>
      </c>
      <c r="H330" s="6">
        <v>46045.951388888891</v>
      </c>
      <c r="I330" s="6">
        <v>46045.954861111109</v>
      </c>
      <c r="J330" s="6">
        <v>46045.958333333336</v>
      </c>
      <c r="K330">
        <v>0.67</v>
      </c>
      <c r="L330" s="6">
        <v>46045.965277777781</v>
      </c>
      <c r="M330" s="7">
        <f>F330-E330</f>
        <v>3.4722222262644209E-3</v>
      </c>
      <c r="N330">
        <f>HOUR(M330)</f>
        <v>0</v>
      </c>
      <c r="O330">
        <f>MINUTE(M330)</f>
        <v>5</v>
      </c>
      <c r="P330">
        <f>N330*60+O330</f>
        <v>5</v>
      </c>
      <c r="Q330" s="7">
        <f>G330-F330</f>
        <v>6.9444444379769266E-3</v>
      </c>
      <c r="R330">
        <f>HOUR(Q330)</f>
        <v>0</v>
      </c>
      <c r="S330">
        <f>MINUTE(Q330)</f>
        <v>10</v>
      </c>
      <c r="T330">
        <f>R330*60+S330</f>
        <v>10</v>
      </c>
      <c r="U330" s="7">
        <f>H330-G330</f>
        <v>1.0416666671517305E-2</v>
      </c>
      <c r="V330">
        <f>HOUR(U330)</f>
        <v>0</v>
      </c>
      <c r="W330">
        <f>MINUTE(U330)</f>
        <v>15</v>
      </c>
      <c r="X330">
        <f>V330*60+W330</f>
        <v>15</v>
      </c>
      <c r="Y330" s="7">
        <f>I330-H330</f>
        <v>3.4722222189884633E-3</v>
      </c>
      <c r="Z330">
        <f>HOUR(Y330)</f>
        <v>0</v>
      </c>
      <c r="AA330">
        <f>MINUTE(Y330)</f>
        <v>5</v>
      </c>
      <c r="AB330">
        <f>Z330*60+AA330</f>
        <v>5</v>
      </c>
    </row>
    <row r="331" spans="1:28" x14ac:dyDescent="0.25">
      <c r="A331">
        <v>329</v>
      </c>
      <c r="B331" t="s">
        <v>31</v>
      </c>
      <c r="C331">
        <v>1</v>
      </c>
      <c r="D331" t="s">
        <v>30</v>
      </c>
      <c r="E331" s="6">
        <v>46045.947916666664</v>
      </c>
      <c r="F331" s="6">
        <v>46045.958333333336</v>
      </c>
      <c r="G331" s="6">
        <v>46045.982638888891</v>
      </c>
      <c r="H331" s="6">
        <v>46046.118055555555</v>
      </c>
      <c r="I331" s="6">
        <v>46046.125</v>
      </c>
      <c r="J331" s="6">
        <v>46046.128472222219</v>
      </c>
      <c r="K331">
        <v>4.33</v>
      </c>
      <c r="L331" s="6">
        <v>46046.135416666664</v>
      </c>
      <c r="M331" s="7">
        <f>F331-E331</f>
        <v>1.0416666671517305E-2</v>
      </c>
      <c r="N331">
        <f>HOUR(M331)</f>
        <v>0</v>
      </c>
      <c r="O331">
        <f>MINUTE(M331)</f>
        <v>15</v>
      </c>
      <c r="P331">
        <f>N331*60+O331</f>
        <v>15</v>
      </c>
      <c r="Q331" s="7">
        <f>G331-F331</f>
        <v>2.4305555554747116E-2</v>
      </c>
      <c r="R331">
        <f>HOUR(Q331)</f>
        <v>0</v>
      </c>
      <c r="S331">
        <f>MINUTE(Q331)</f>
        <v>35</v>
      </c>
      <c r="T331">
        <f>R331*60+S331</f>
        <v>35</v>
      </c>
      <c r="U331" s="7">
        <f>H331-G331</f>
        <v>0.13541666666424135</v>
      </c>
      <c r="V331">
        <f>HOUR(U331)</f>
        <v>3</v>
      </c>
      <c r="W331">
        <f>MINUTE(U331)</f>
        <v>15</v>
      </c>
      <c r="X331">
        <f>V331*60+W331</f>
        <v>195</v>
      </c>
      <c r="Y331" s="7">
        <f>I331-H331</f>
        <v>6.9444444452528842E-3</v>
      </c>
      <c r="Z331">
        <f>HOUR(Y331)</f>
        <v>0</v>
      </c>
      <c r="AA331">
        <f>MINUTE(Y331)</f>
        <v>10</v>
      </c>
      <c r="AB331">
        <f>Z331*60+AA331</f>
        <v>10</v>
      </c>
    </row>
    <row r="332" spans="1:28" x14ac:dyDescent="0.25">
      <c r="A332">
        <v>330</v>
      </c>
      <c r="B332" t="s">
        <v>33</v>
      </c>
      <c r="C332">
        <v>1</v>
      </c>
      <c r="D332" t="s">
        <v>35</v>
      </c>
      <c r="E332" s="6">
        <v>46045.982638888891</v>
      </c>
      <c r="F332" s="6">
        <v>46045.98333333333</v>
      </c>
      <c r="G332" s="6">
        <v>46045.986111111109</v>
      </c>
      <c r="H332" s="6">
        <v>46046.065972222219</v>
      </c>
      <c r="I332" s="6">
        <v>46046.732638888891</v>
      </c>
      <c r="J332" s="6">
        <v>46046.736111111109</v>
      </c>
      <c r="K332">
        <v>18.079999999999998</v>
      </c>
      <c r="L332" s="6">
        <v>46046.743055555555</v>
      </c>
      <c r="M332" s="7">
        <f>F332-E332</f>
        <v>6.9444443943211809E-4</v>
      </c>
      <c r="N332">
        <f>HOUR(M332)</f>
        <v>0</v>
      </c>
      <c r="O332">
        <f>MINUTE(M332)</f>
        <v>1</v>
      </c>
      <c r="P332">
        <f>N332*60+O332</f>
        <v>1</v>
      </c>
      <c r="Q332" s="7">
        <f>G332-F332</f>
        <v>2.7777777795563452E-3</v>
      </c>
      <c r="R332">
        <f>HOUR(Q332)</f>
        <v>0</v>
      </c>
      <c r="S332">
        <f>MINUTE(Q332)</f>
        <v>4</v>
      </c>
      <c r="T332">
        <f>R332*60+S332</f>
        <v>4</v>
      </c>
      <c r="U332" s="7">
        <f>H332-G332</f>
        <v>7.9861111109494232E-2</v>
      </c>
      <c r="V332">
        <f>HOUR(U332)</f>
        <v>1</v>
      </c>
      <c r="W332">
        <f>MINUTE(U332)</f>
        <v>55</v>
      </c>
      <c r="X332">
        <f>V332*60+W332</f>
        <v>115</v>
      </c>
      <c r="Y332" s="7">
        <f>I332-H332</f>
        <v>0.66666666667151731</v>
      </c>
      <c r="Z332">
        <f>HOUR(Y332)</f>
        <v>16</v>
      </c>
      <c r="AA332">
        <f>MINUTE(Y332)</f>
        <v>0</v>
      </c>
      <c r="AB332">
        <f>Z332*60+AA332</f>
        <v>960</v>
      </c>
    </row>
    <row r="333" spans="1:28" x14ac:dyDescent="0.25">
      <c r="A333">
        <v>331</v>
      </c>
      <c r="B333" t="s">
        <v>33</v>
      </c>
      <c r="C333">
        <v>1</v>
      </c>
      <c r="D333" t="s">
        <v>34</v>
      </c>
      <c r="E333" s="6">
        <v>46046.0625</v>
      </c>
      <c r="F333" s="6">
        <v>46046.069444444445</v>
      </c>
      <c r="G333" s="6">
        <v>46046.079861111109</v>
      </c>
      <c r="H333" s="6">
        <v>46046.097222222219</v>
      </c>
      <c r="I333" s="6">
        <v>46046.104166666664</v>
      </c>
      <c r="J333" s="6">
        <v>46046.114583333336</v>
      </c>
      <c r="K333">
        <v>1.25</v>
      </c>
      <c r="L333" s="6">
        <v>46046.121527777781</v>
      </c>
      <c r="M333" s="7">
        <f>F333-E333</f>
        <v>6.9444444452528842E-3</v>
      </c>
      <c r="N333">
        <f>HOUR(M333)</f>
        <v>0</v>
      </c>
      <c r="O333">
        <f>MINUTE(M333)</f>
        <v>10</v>
      </c>
      <c r="P333">
        <f>N333*60+O333</f>
        <v>10</v>
      </c>
      <c r="Q333" s="7">
        <f>G333-F333</f>
        <v>1.0416666664241347E-2</v>
      </c>
      <c r="R333">
        <f>HOUR(Q333)</f>
        <v>0</v>
      </c>
      <c r="S333">
        <f>MINUTE(Q333)</f>
        <v>15</v>
      </c>
      <c r="T333">
        <f>R333*60+S333</f>
        <v>15</v>
      </c>
      <c r="U333" s="7">
        <f>H333-G333</f>
        <v>1.7361111109494232E-2</v>
      </c>
      <c r="V333">
        <f>HOUR(U333)</f>
        <v>0</v>
      </c>
      <c r="W333">
        <f>MINUTE(U333)</f>
        <v>25</v>
      </c>
      <c r="X333">
        <f>V333*60+W333</f>
        <v>25</v>
      </c>
      <c r="Y333" s="7">
        <f>I333-H333</f>
        <v>6.9444444452528842E-3</v>
      </c>
      <c r="Z333">
        <f>HOUR(Y333)</f>
        <v>0</v>
      </c>
      <c r="AA333">
        <f>MINUTE(Y333)</f>
        <v>10</v>
      </c>
      <c r="AB333">
        <f>Z333*60+AA333</f>
        <v>10</v>
      </c>
    </row>
    <row r="334" spans="1:28" x14ac:dyDescent="0.25">
      <c r="A334">
        <v>332</v>
      </c>
      <c r="B334" t="s">
        <v>33</v>
      </c>
      <c r="C334">
        <v>1</v>
      </c>
      <c r="D334" t="s">
        <v>34</v>
      </c>
      <c r="E334" s="6">
        <v>46046.392361111109</v>
      </c>
      <c r="F334" s="6">
        <v>46046.402777777781</v>
      </c>
      <c r="G334" s="6">
        <v>46046.423611111109</v>
      </c>
      <c r="H334" s="6">
        <v>46046.472222222219</v>
      </c>
      <c r="I334" s="6">
        <v>46046.479166666664</v>
      </c>
      <c r="J334" s="6">
        <v>46046.493055555555</v>
      </c>
      <c r="K334">
        <v>2.42</v>
      </c>
      <c r="L334" s="6">
        <v>46046.495138888888</v>
      </c>
      <c r="M334" s="7">
        <f>F334-E334</f>
        <v>1.0416666671517305E-2</v>
      </c>
      <c r="N334">
        <f>HOUR(M334)</f>
        <v>0</v>
      </c>
      <c r="O334">
        <f>MINUTE(M334)</f>
        <v>15</v>
      </c>
      <c r="P334">
        <f>N334*60+O334</f>
        <v>15</v>
      </c>
      <c r="Q334" s="7">
        <f>G334-F334</f>
        <v>2.0833333328482695E-2</v>
      </c>
      <c r="R334">
        <f>HOUR(Q334)</f>
        <v>0</v>
      </c>
      <c r="S334">
        <f>MINUTE(Q334)</f>
        <v>30</v>
      </c>
      <c r="T334">
        <f>R334*60+S334</f>
        <v>30</v>
      </c>
      <c r="U334" s="7">
        <f>H334-G334</f>
        <v>4.8611111109494232E-2</v>
      </c>
      <c r="V334">
        <f>HOUR(U334)</f>
        <v>1</v>
      </c>
      <c r="W334">
        <f>MINUTE(U334)</f>
        <v>10</v>
      </c>
      <c r="X334">
        <f>V334*60+W334</f>
        <v>70</v>
      </c>
      <c r="Y334" s="7">
        <f>I334-H334</f>
        <v>6.9444444452528842E-3</v>
      </c>
      <c r="Z334">
        <f>HOUR(Y334)</f>
        <v>0</v>
      </c>
      <c r="AA334">
        <f>MINUTE(Y334)</f>
        <v>10</v>
      </c>
      <c r="AB334">
        <f>Z334*60+AA334</f>
        <v>10</v>
      </c>
    </row>
    <row r="335" spans="1:28" x14ac:dyDescent="0.25">
      <c r="A335">
        <v>333</v>
      </c>
      <c r="B335" t="s">
        <v>33</v>
      </c>
      <c r="C335">
        <v>1</v>
      </c>
      <c r="D335" t="s">
        <v>30</v>
      </c>
      <c r="E335" s="6">
        <v>46046.453472222223</v>
      </c>
      <c r="F335" s="6">
        <v>46046.461805555555</v>
      </c>
      <c r="G335" s="6">
        <v>46046.482638888891</v>
      </c>
      <c r="H335" s="6">
        <v>46046.513888888891</v>
      </c>
      <c r="I335" s="6">
        <v>46046.534722222219</v>
      </c>
      <c r="J335" s="6">
        <v>46046.538194444445</v>
      </c>
      <c r="K335">
        <v>2.0299999999999998</v>
      </c>
      <c r="L335" s="6">
        <v>46046.545138888891</v>
      </c>
      <c r="M335" s="7">
        <f>F335-E335</f>
        <v>8.333333331393078E-3</v>
      </c>
      <c r="N335">
        <f>HOUR(M335)</f>
        <v>0</v>
      </c>
      <c r="O335">
        <f>MINUTE(M335)</f>
        <v>12</v>
      </c>
      <c r="P335">
        <f>N335*60+O335</f>
        <v>12</v>
      </c>
      <c r="Q335" s="7">
        <f>G335-F335</f>
        <v>2.0833333335758653E-2</v>
      </c>
      <c r="R335">
        <f>HOUR(Q335)</f>
        <v>0</v>
      </c>
      <c r="S335">
        <f>MINUTE(Q335)</f>
        <v>30</v>
      </c>
      <c r="T335">
        <f>R335*60+S335</f>
        <v>30</v>
      </c>
      <c r="U335" s="7">
        <f>H335-G335</f>
        <v>3.125E-2</v>
      </c>
      <c r="V335">
        <f>HOUR(U335)</f>
        <v>0</v>
      </c>
      <c r="W335">
        <f>MINUTE(U335)</f>
        <v>45</v>
      </c>
      <c r="X335">
        <f>V335*60+W335</f>
        <v>45</v>
      </c>
      <c r="Y335" s="7">
        <f>I335-H335</f>
        <v>2.0833333328482695E-2</v>
      </c>
      <c r="Z335">
        <f>HOUR(Y335)</f>
        <v>0</v>
      </c>
      <c r="AA335">
        <f>MINUTE(Y335)</f>
        <v>30</v>
      </c>
      <c r="AB335">
        <f>Z335*60+AA335</f>
        <v>30</v>
      </c>
    </row>
    <row r="336" spans="1:28" x14ac:dyDescent="0.25">
      <c r="A336">
        <v>334</v>
      </c>
      <c r="B336" t="s">
        <v>33</v>
      </c>
      <c r="C336">
        <v>1</v>
      </c>
      <c r="D336" t="s">
        <v>30</v>
      </c>
      <c r="E336" s="6">
        <v>46046.604166666664</v>
      </c>
      <c r="F336" s="6">
        <v>46046.607638888891</v>
      </c>
      <c r="G336" s="6">
        <v>46046.638888888891</v>
      </c>
      <c r="H336" s="6">
        <v>46046.729166666664</v>
      </c>
      <c r="I336" s="6">
        <v>46046.770833333336</v>
      </c>
      <c r="J336" s="6">
        <v>46046.885416666664</v>
      </c>
      <c r="K336">
        <v>6.75</v>
      </c>
      <c r="L336" s="6">
        <v>46046.888888888891</v>
      </c>
      <c r="M336" s="7">
        <f>F336-E336</f>
        <v>3.4722222262644209E-3</v>
      </c>
      <c r="N336">
        <f>HOUR(M336)</f>
        <v>0</v>
      </c>
      <c r="O336">
        <f>MINUTE(M336)</f>
        <v>5</v>
      </c>
      <c r="P336">
        <f>N336*60+O336</f>
        <v>5</v>
      </c>
      <c r="Q336" s="7">
        <f>G336-F336</f>
        <v>3.125E-2</v>
      </c>
      <c r="R336">
        <f>HOUR(Q336)</f>
        <v>0</v>
      </c>
      <c r="S336">
        <f>MINUTE(Q336)</f>
        <v>45</v>
      </c>
      <c r="T336">
        <f>R336*60+S336</f>
        <v>45</v>
      </c>
      <c r="U336" s="7">
        <f>H336-G336</f>
        <v>9.0277777773735579E-2</v>
      </c>
      <c r="V336">
        <f>HOUR(U336)</f>
        <v>2</v>
      </c>
      <c r="W336">
        <f>MINUTE(U336)</f>
        <v>10</v>
      </c>
      <c r="X336">
        <f>V336*60+W336</f>
        <v>130</v>
      </c>
      <c r="Y336" s="7">
        <f>I336-H336</f>
        <v>4.1666666671517305E-2</v>
      </c>
      <c r="Z336">
        <f>HOUR(Y336)</f>
        <v>1</v>
      </c>
      <c r="AA336">
        <f>MINUTE(Y336)</f>
        <v>0</v>
      </c>
      <c r="AB336">
        <f>Z336*60+AA336</f>
        <v>60</v>
      </c>
    </row>
    <row r="337" spans="1:28" x14ac:dyDescent="0.25">
      <c r="A337">
        <v>335</v>
      </c>
      <c r="B337" t="s">
        <v>33</v>
      </c>
      <c r="C337">
        <v>1</v>
      </c>
      <c r="D337" t="s">
        <v>30</v>
      </c>
      <c r="E337" s="6">
        <v>46047.368055555555</v>
      </c>
      <c r="F337" s="6">
        <v>46047.375</v>
      </c>
      <c r="G337" s="6">
        <v>46047.381944444445</v>
      </c>
      <c r="H337" s="6">
        <v>46047.386111111111</v>
      </c>
      <c r="I337" s="6">
        <v>46047.393055555556</v>
      </c>
      <c r="J337" s="6">
        <v>46047.402777777781</v>
      </c>
      <c r="K337">
        <v>0.83</v>
      </c>
      <c r="L337" s="6">
        <v>46047.409722222219</v>
      </c>
      <c r="M337" s="7">
        <f>F337-E337</f>
        <v>6.9444444452528842E-3</v>
      </c>
      <c r="N337">
        <f>HOUR(M337)</f>
        <v>0</v>
      </c>
      <c r="O337">
        <f>MINUTE(M337)</f>
        <v>10</v>
      </c>
      <c r="P337">
        <f>N337*60+O337</f>
        <v>10</v>
      </c>
      <c r="Q337" s="7">
        <f>G337-F337</f>
        <v>6.9444444452528842E-3</v>
      </c>
      <c r="R337">
        <f>HOUR(Q337)</f>
        <v>0</v>
      </c>
      <c r="S337">
        <f>MINUTE(Q337)</f>
        <v>10</v>
      </c>
      <c r="T337">
        <f>R337*60+S337</f>
        <v>10</v>
      </c>
      <c r="U337" s="7">
        <f>H337-G337</f>
        <v>4.166666665696539E-3</v>
      </c>
      <c r="V337">
        <f>HOUR(U337)</f>
        <v>0</v>
      </c>
      <c r="W337">
        <f>MINUTE(U337)</f>
        <v>6</v>
      </c>
      <c r="X337">
        <f>V337*60+W337</f>
        <v>6</v>
      </c>
      <c r="Y337" s="7">
        <f>I337-H337</f>
        <v>6.9444444452528842E-3</v>
      </c>
      <c r="Z337">
        <f>HOUR(Y337)</f>
        <v>0</v>
      </c>
      <c r="AA337">
        <f>MINUTE(Y337)</f>
        <v>10</v>
      </c>
      <c r="AB337">
        <f>Z337*60+AA337</f>
        <v>10</v>
      </c>
    </row>
    <row r="338" spans="1:28" x14ac:dyDescent="0.25">
      <c r="A338">
        <v>336</v>
      </c>
      <c r="B338" t="s">
        <v>33</v>
      </c>
      <c r="C338">
        <v>1</v>
      </c>
      <c r="D338" t="s">
        <v>36</v>
      </c>
      <c r="E338" s="6">
        <v>46046.704861111109</v>
      </c>
      <c r="F338" s="6">
        <v>46046.711805555555</v>
      </c>
      <c r="G338" s="6">
        <v>46046.715277777781</v>
      </c>
      <c r="H338" s="6">
        <v>46046.719444444447</v>
      </c>
      <c r="I338" s="6">
        <v>46046.722222222219</v>
      </c>
      <c r="J338" s="6">
        <v>46046.725694444445</v>
      </c>
      <c r="K338">
        <v>0.5</v>
      </c>
      <c r="L338" s="6">
        <v>46046.727777777778</v>
      </c>
      <c r="M338" s="7">
        <f>F338-E338</f>
        <v>6.9444444452528842E-3</v>
      </c>
      <c r="N338">
        <f>HOUR(M338)</f>
        <v>0</v>
      </c>
      <c r="O338">
        <f>MINUTE(M338)</f>
        <v>10</v>
      </c>
      <c r="P338">
        <f>N338*60+O338</f>
        <v>10</v>
      </c>
      <c r="Q338" s="7">
        <f>G338-F338</f>
        <v>3.4722222262644209E-3</v>
      </c>
      <c r="R338">
        <f>HOUR(Q338)</f>
        <v>0</v>
      </c>
      <c r="S338">
        <f>MINUTE(Q338)</f>
        <v>5</v>
      </c>
      <c r="T338">
        <f>R338*60+S338</f>
        <v>5</v>
      </c>
      <c r="U338" s="7">
        <f>H338-G338</f>
        <v>4.166666665696539E-3</v>
      </c>
      <c r="V338">
        <f>HOUR(U338)</f>
        <v>0</v>
      </c>
      <c r="W338">
        <f>MINUTE(U338)</f>
        <v>6</v>
      </c>
      <c r="X338">
        <f>V338*60+W338</f>
        <v>6</v>
      </c>
      <c r="Y338" s="7">
        <f>I338-H338</f>
        <v>2.7777777722803876E-3</v>
      </c>
      <c r="Z338">
        <f>HOUR(Y338)</f>
        <v>0</v>
      </c>
      <c r="AA338">
        <f>MINUTE(Y338)</f>
        <v>4</v>
      </c>
      <c r="AB338">
        <f>Z338*60+AA338</f>
        <v>4</v>
      </c>
    </row>
    <row r="339" spans="1:28" x14ac:dyDescent="0.25">
      <c r="A339">
        <v>337</v>
      </c>
      <c r="B339" t="s">
        <v>33</v>
      </c>
      <c r="C339">
        <v>1</v>
      </c>
      <c r="D339" t="s">
        <v>35</v>
      </c>
      <c r="E339" s="6">
        <v>46046.920138888891</v>
      </c>
      <c r="F339" s="6">
        <v>46046.923611111109</v>
      </c>
      <c r="G339" s="6">
        <v>46046.930555555555</v>
      </c>
      <c r="H339" s="6">
        <v>46046.972222222219</v>
      </c>
      <c r="I339" s="6">
        <v>46046.975694444445</v>
      </c>
      <c r="J339" s="6">
        <v>46046.979166666664</v>
      </c>
      <c r="K339">
        <v>1.42</v>
      </c>
      <c r="L339" s="6">
        <v>46046.982638888891</v>
      </c>
      <c r="M339" s="7">
        <f>F339-E339</f>
        <v>3.4722222189884633E-3</v>
      </c>
      <c r="N339">
        <f>HOUR(M339)</f>
        <v>0</v>
      </c>
      <c r="O339">
        <f>MINUTE(M339)</f>
        <v>5</v>
      </c>
      <c r="P339">
        <f>N339*60+O339</f>
        <v>5</v>
      </c>
      <c r="Q339" s="7">
        <f>G339-F339</f>
        <v>6.9444444452528842E-3</v>
      </c>
      <c r="R339">
        <f>HOUR(Q339)</f>
        <v>0</v>
      </c>
      <c r="S339">
        <f>MINUTE(Q339)</f>
        <v>10</v>
      </c>
      <c r="T339">
        <f>R339*60+S339</f>
        <v>10</v>
      </c>
      <c r="U339" s="7">
        <f>H339-G339</f>
        <v>4.1666666664241347E-2</v>
      </c>
      <c r="V339">
        <f>HOUR(U339)</f>
        <v>1</v>
      </c>
      <c r="W339">
        <f>MINUTE(U339)</f>
        <v>0</v>
      </c>
      <c r="X339">
        <f>V339*60+W339</f>
        <v>60</v>
      </c>
      <c r="Y339" s="7">
        <f>I339-H339</f>
        <v>3.4722222262644209E-3</v>
      </c>
      <c r="Z339">
        <f>HOUR(Y339)</f>
        <v>0</v>
      </c>
      <c r="AA339">
        <f>MINUTE(Y339)</f>
        <v>5</v>
      </c>
      <c r="AB339">
        <f>Z339*60+AA339</f>
        <v>5</v>
      </c>
    </row>
    <row r="340" spans="1:28" x14ac:dyDescent="0.25">
      <c r="A340">
        <v>338</v>
      </c>
      <c r="B340" t="s">
        <v>31</v>
      </c>
      <c r="C340">
        <v>1</v>
      </c>
      <c r="D340" t="s">
        <v>30</v>
      </c>
      <c r="E340" s="6">
        <v>46047.368055555555</v>
      </c>
      <c r="F340" s="6">
        <v>46047.375</v>
      </c>
      <c r="G340" s="6">
        <v>46047.392361111109</v>
      </c>
      <c r="H340" s="6">
        <v>46047.423611111109</v>
      </c>
      <c r="I340" s="6">
        <v>46047.430555555555</v>
      </c>
      <c r="J340" s="6">
        <v>46047.458333333336</v>
      </c>
      <c r="K340">
        <v>2.17</v>
      </c>
      <c r="L340" s="6">
        <v>46047.461805555555</v>
      </c>
      <c r="M340" s="7">
        <f>F340-E340</f>
        <v>6.9444444452528842E-3</v>
      </c>
      <c r="N340">
        <f>HOUR(M340)</f>
        <v>0</v>
      </c>
      <c r="O340">
        <f>MINUTE(M340)</f>
        <v>10</v>
      </c>
      <c r="P340">
        <f>N340*60+O340</f>
        <v>10</v>
      </c>
      <c r="Q340" s="7">
        <f>G340-F340</f>
        <v>1.7361111109494232E-2</v>
      </c>
      <c r="R340">
        <f>HOUR(Q340)</f>
        <v>0</v>
      </c>
      <c r="S340">
        <f>MINUTE(Q340)</f>
        <v>25</v>
      </c>
      <c r="T340">
        <f>R340*60+S340</f>
        <v>25</v>
      </c>
      <c r="U340" s="7">
        <f>H340-G340</f>
        <v>3.125E-2</v>
      </c>
      <c r="V340">
        <f>HOUR(U340)</f>
        <v>0</v>
      </c>
      <c r="W340">
        <f>MINUTE(U340)</f>
        <v>45</v>
      </c>
      <c r="X340">
        <f>V340*60+W340</f>
        <v>45</v>
      </c>
      <c r="Y340" s="7">
        <f>I340-H340</f>
        <v>6.9444444452528842E-3</v>
      </c>
      <c r="Z340">
        <f>HOUR(Y340)</f>
        <v>0</v>
      </c>
      <c r="AA340">
        <f>MINUTE(Y340)</f>
        <v>10</v>
      </c>
      <c r="AB340">
        <f>Z340*60+AA340</f>
        <v>10</v>
      </c>
    </row>
    <row r="341" spans="1:28" x14ac:dyDescent="0.25">
      <c r="A341">
        <v>339</v>
      </c>
      <c r="B341" t="s">
        <v>33</v>
      </c>
      <c r="C341">
        <v>1</v>
      </c>
      <c r="D341" t="s">
        <v>34</v>
      </c>
      <c r="E341" s="6">
        <v>46047.354166666664</v>
      </c>
      <c r="F341" s="6">
        <v>46047.364583333336</v>
      </c>
      <c r="G341" s="6">
        <v>46047.375</v>
      </c>
      <c r="H341" s="6">
        <v>46047.479166666664</v>
      </c>
      <c r="I341" s="6">
        <v>46047.486111111109</v>
      </c>
      <c r="J341" s="6">
        <v>46047.5</v>
      </c>
      <c r="K341">
        <v>3.5</v>
      </c>
      <c r="L341" s="6">
        <v>46047.506944444445</v>
      </c>
      <c r="M341" s="7">
        <f>F341-E341</f>
        <v>1.0416666671517305E-2</v>
      </c>
      <c r="N341">
        <f>HOUR(M341)</f>
        <v>0</v>
      </c>
      <c r="O341">
        <f>MINUTE(M341)</f>
        <v>15</v>
      </c>
      <c r="P341">
        <f>N341*60+O341</f>
        <v>15</v>
      </c>
      <c r="Q341" s="7">
        <f>G341-F341</f>
        <v>1.0416666664241347E-2</v>
      </c>
      <c r="R341">
        <f>HOUR(Q341)</f>
        <v>0</v>
      </c>
      <c r="S341">
        <f>MINUTE(Q341)</f>
        <v>15</v>
      </c>
      <c r="T341">
        <f>R341*60+S341</f>
        <v>15</v>
      </c>
      <c r="U341" s="7">
        <f>H341-G341</f>
        <v>0.10416666666424135</v>
      </c>
      <c r="V341">
        <f>HOUR(U341)</f>
        <v>2</v>
      </c>
      <c r="W341">
        <f>MINUTE(U341)</f>
        <v>30</v>
      </c>
      <c r="X341">
        <f>V341*60+W341</f>
        <v>150</v>
      </c>
      <c r="Y341" s="7">
        <f>I341-H341</f>
        <v>6.9444444452528842E-3</v>
      </c>
      <c r="Z341">
        <f>HOUR(Y341)</f>
        <v>0</v>
      </c>
      <c r="AA341">
        <f>MINUTE(Y341)</f>
        <v>10</v>
      </c>
      <c r="AB341">
        <f>Z341*60+AA341</f>
        <v>10</v>
      </c>
    </row>
    <row r="342" spans="1:28" x14ac:dyDescent="0.25">
      <c r="A342">
        <v>340</v>
      </c>
      <c r="B342" t="s">
        <v>33</v>
      </c>
      <c r="C342">
        <v>1</v>
      </c>
      <c r="D342" t="s">
        <v>34</v>
      </c>
      <c r="E342" s="6">
        <v>46048.298611111109</v>
      </c>
      <c r="F342" s="6">
        <v>46048.333333333336</v>
      </c>
      <c r="G342" s="6">
        <v>46048.354166666664</v>
      </c>
      <c r="H342" s="6">
        <v>46048.375</v>
      </c>
      <c r="I342" s="6">
        <v>46048.375694444447</v>
      </c>
      <c r="J342" s="6">
        <v>46048.395833333336</v>
      </c>
      <c r="K342">
        <v>2.33</v>
      </c>
      <c r="L342" s="6">
        <v>46048.396527777775</v>
      </c>
      <c r="M342" s="7">
        <f>F342-E342</f>
        <v>3.4722222226264421E-2</v>
      </c>
      <c r="N342">
        <f>HOUR(M342)</f>
        <v>0</v>
      </c>
      <c r="O342">
        <f>MINUTE(M342)</f>
        <v>50</v>
      </c>
      <c r="P342">
        <f>N342*60+O342</f>
        <v>50</v>
      </c>
      <c r="Q342" s="7">
        <f>G342-F342</f>
        <v>2.0833333328482695E-2</v>
      </c>
      <c r="R342">
        <f>HOUR(Q342)</f>
        <v>0</v>
      </c>
      <c r="S342">
        <f>MINUTE(Q342)</f>
        <v>30</v>
      </c>
      <c r="T342">
        <f>R342*60+S342</f>
        <v>30</v>
      </c>
      <c r="U342" s="7">
        <f>H342-G342</f>
        <v>2.0833333335758653E-2</v>
      </c>
      <c r="V342">
        <f>HOUR(U342)</f>
        <v>0</v>
      </c>
      <c r="W342">
        <f>MINUTE(U342)</f>
        <v>30</v>
      </c>
      <c r="X342">
        <f>V342*60+W342</f>
        <v>30</v>
      </c>
      <c r="Y342" s="7">
        <f>I342-H342</f>
        <v>6.944444467080757E-4</v>
      </c>
      <c r="Z342">
        <f>HOUR(Y342)</f>
        <v>0</v>
      </c>
      <c r="AA342">
        <f>MINUTE(Y342)</f>
        <v>1</v>
      </c>
      <c r="AB342">
        <f>Z342*60+AA342</f>
        <v>1</v>
      </c>
    </row>
    <row r="343" spans="1:28" x14ac:dyDescent="0.25">
      <c r="A343">
        <v>341</v>
      </c>
      <c r="B343" t="s">
        <v>31</v>
      </c>
      <c r="C343">
        <v>1</v>
      </c>
      <c r="D343" t="s">
        <v>35</v>
      </c>
      <c r="E343" s="6">
        <v>46048.416666666664</v>
      </c>
      <c r="F343" s="6">
        <v>46048.430555555555</v>
      </c>
      <c r="G343" s="6">
        <v>46048.451388888891</v>
      </c>
      <c r="H343" s="6">
        <v>46048.510416666664</v>
      </c>
      <c r="I343" s="6">
        <v>46048.513888888891</v>
      </c>
      <c r="J343" s="6">
        <v>46048.517361111109</v>
      </c>
      <c r="K343">
        <v>2.42</v>
      </c>
      <c r="L343" s="6">
        <v>46048.518750000003</v>
      </c>
      <c r="M343" s="7">
        <f>F343-E343</f>
        <v>1.3888888890505768E-2</v>
      </c>
      <c r="N343">
        <f>HOUR(M343)</f>
        <v>0</v>
      </c>
      <c r="O343">
        <f>MINUTE(M343)</f>
        <v>20</v>
      </c>
      <c r="P343">
        <f>N343*60+O343</f>
        <v>20</v>
      </c>
      <c r="Q343" s="7">
        <f>G343-F343</f>
        <v>2.0833333335758653E-2</v>
      </c>
      <c r="R343">
        <f>HOUR(Q343)</f>
        <v>0</v>
      </c>
      <c r="S343">
        <f>MINUTE(Q343)</f>
        <v>30</v>
      </c>
      <c r="T343">
        <f>R343*60+S343</f>
        <v>30</v>
      </c>
      <c r="U343" s="7">
        <f>H343-G343</f>
        <v>5.9027777773735579E-2</v>
      </c>
      <c r="V343">
        <f>HOUR(U343)</f>
        <v>1</v>
      </c>
      <c r="W343">
        <f>MINUTE(U343)</f>
        <v>25</v>
      </c>
      <c r="X343">
        <f>V343*60+W343</f>
        <v>85</v>
      </c>
      <c r="Y343" s="7">
        <f>I343-H343</f>
        <v>3.4722222262644209E-3</v>
      </c>
      <c r="Z343">
        <f>HOUR(Y343)</f>
        <v>0</v>
      </c>
      <c r="AA343">
        <f>MINUTE(Y343)</f>
        <v>5</v>
      </c>
      <c r="AB343">
        <f>Z343*60+AA343</f>
        <v>5</v>
      </c>
    </row>
    <row r="344" spans="1:28" x14ac:dyDescent="0.25">
      <c r="A344">
        <v>342</v>
      </c>
      <c r="B344" t="s">
        <v>31</v>
      </c>
      <c r="C344">
        <v>1</v>
      </c>
      <c r="D344" t="s">
        <v>35</v>
      </c>
      <c r="E344" s="6">
        <v>46047.645833333336</v>
      </c>
      <c r="F344" s="6">
        <v>46047.652777777781</v>
      </c>
      <c r="G344" s="6">
        <v>46047.666666666664</v>
      </c>
      <c r="H344" s="6">
        <v>46047.708333333336</v>
      </c>
      <c r="I344" s="6">
        <v>46047.715277777781</v>
      </c>
      <c r="J344" s="6">
        <v>46047.729166666664</v>
      </c>
      <c r="K344">
        <v>2</v>
      </c>
      <c r="L344" s="6">
        <v>46047.736111111109</v>
      </c>
      <c r="M344" s="7">
        <f>F344-E344</f>
        <v>6.9444444452528842E-3</v>
      </c>
      <c r="N344">
        <f>HOUR(M344)</f>
        <v>0</v>
      </c>
      <c r="O344">
        <f>MINUTE(M344)</f>
        <v>10</v>
      </c>
      <c r="P344">
        <f>N344*60+O344</f>
        <v>10</v>
      </c>
      <c r="Q344" s="7">
        <f>G344-F344</f>
        <v>1.3888888883229811E-2</v>
      </c>
      <c r="R344">
        <f>HOUR(Q344)</f>
        <v>0</v>
      </c>
      <c r="S344">
        <f>MINUTE(Q344)</f>
        <v>20</v>
      </c>
      <c r="T344">
        <f>R344*60+S344</f>
        <v>20</v>
      </c>
      <c r="U344" s="7">
        <f>H344-G344</f>
        <v>4.1666666671517305E-2</v>
      </c>
      <c r="V344">
        <f>HOUR(U344)</f>
        <v>1</v>
      </c>
      <c r="W344">
        <f>MINUTE(U344)</f>
        <v>0</v>
      </c>
      <c r="X344">
        <f>V344*60+W344</f>
        <v>60</v>
      </c>
      <c r="Y344" s="7">
        <f>I344-H344</f>
        <v>6.9444444452528842E-3</v>
      </c>
      <c r="Z344">
        <f>HOUR(Y344)</f>
        <v>0</v>
      </c>
      <c r="AA344">
        <f>MINUTE(Y344)</f>
        <v>10</v>
      </c>
      <c r="AB344">
        <f>Z344*60+AA344</f>
        <v>10</v>
      </c>
    </row>
    <row r="345" spans="1:28" x14ac:dyDescent="0.25">
      <c r="A345">
        <v>343</v>
      </c>
      <c r="B345" t="s">
        <v>31</v>
      </c>
      <c r="C345">
        <v>1</v>
      </c>
      <c r="D345" t="s">
        <v>35</v>
      </c>
      <c r="E345" s="6">
        <v>46047.572916666664</v>
      </c>
      <c r="F345" s="6">
        <v>46047.576388888891</v>
      </c>
      <c r="G345" s="6">
        <v>46047.590277777781</v>
      </c>
      <c r="H345" s="6">
        <v>46047.633333333331</v>
      </c>
      <c r="I345" s="6">
        <v>46047.640277777777</v>
      </c>
      <c r="J345" s="6">
        <v>46047.645833333336</v>
      </c>
      <c r="K345">
        <v>1.75</v>
      </c>
      <c r="L345" s="6">
        <v>46047.652777777781</v>
      </c>
      <c r="M345" s="7">
        <f>F345-E345</f>
        <v>3.4722222262644209E-3</v>
      </c>
      <c r="N345">
        <f>HOUR(M345)</f>
        <v>0</v>
      </c>
      <c r="O345">
        <f>MINUTE(M345)</f>
        <v>5</v>
      </c>
      <c r="P345">
        <f>N345*60+O345</f>
        <v>5</v>
      </c>
      <c r="Q345" s="7">
        <f>G345-F345</f>
        <v>1.3888888890505768E-2</v>
      </c>
      <c r="R345">
        <f>HOUR(Q345)</f>
        <v>0</v>
      </c>
      <c r="S345">
        <f>MINUTE(Q345)</f>
        <v>20</v>
      </c>
      <c r="T345">
        <f>R345*60+S345</f>
        <v>20</v>
      </c>
      <c r="U345" s="7">
        <f>H345-G345</f>
        <v>4.3055555550381541E-2</v>
      </c>
      <c r="V345">
        <f>HOUR(U345)</f>
        <v>1</v>
      </c>
      <c r="W345">
        <f>MINUTE(U345)</f>
        <v>2</v>
      </c>
      <c r="X345">
        <f>V345*60+W345</f>
        <v>62</v>
      </c>
      <c r="Y345" s="7">
        <f>I345-H345</f>
        <v>6.9444444452528842E-3</v>
      </c>
      <c r="Z345">
        <f>HOUR(Y345)</f>
        <v>0</v>
      </c>
      <c r="AA345">
        <f>MINUTE(Y345)</f>
        <v>10</v>
      </c>
      <c r="AB345">
        <f>Z345*60+AA345</f>
        <v>10</v>
      </c>
    </row>
    <row r="346" spans="1:28" x14ac:dyDescent="0.25">
      <c r="A346">
        <v>344</v>
      </c>
      <c r="B346" t="s">
        <v>33</v>
      </c>
      <c r="C346">
        <v>1</v>
      </c>
      <c r="D346" t="s">
        <v>36</v>
      </c>
      <c r="E346" s="6">
        <v>46048.298611111109</v>
      </c>
      <c r="F346" s="6">
        <v>46048.340277777781</v>
      </c>
      <c r="G346" s="6">
        <v>46048.368055555555</v>
      </c>
      <c r="H346" s="6">
        <v>46048.375</v>
      </c>
      <c r="I346" s="6">
        <v>46048.381944444445</v>
      </c>
      <c r="J346" s="6">
        <v>46048.409722222219</v>
      </c>
      <c r="K346">
        <v>2.67</v>
      </c>
      <c r="L346" s="6">
        <v>46048.416666666664</v>
      </c>
      <c r="M346" s="7">
        <f>F346-E346</f>
        <v>4.1666666671517305E-2</v>
      </c>
      <c r="N346">
        <f>HOUR(M346)</f>
        <v>1</v>
      </c>
      <c r="O346">
        <f>MINUTE(M346)</f>
        <v>0</v>
      </c>
      <c r="P346">
        <f>N346*60+O346</f>
        <v>60</v>
      </c>
      <c r="Q346" s="7">
        <f>G346-F346</f>
        <v>2.7777777773735579E-2</v>
      </c>
      <c r="R346">
        <f>HOUR(Q346)</f>
        <v>0</v>
      </c>
      <c r="S346">
        <f>MINUTE(Q346)</f>
        <v>40</v>
      </c>
      <c r="T346">
        <f>R346*60+S346</f>
        <v>40</v>
      </c>
      <c r="U346" s="7">
        <f>H346-G346</f>
        <v>6.9444444452528842E-3</v>
      </c>
      <c r="V346">
        <f>HOUR(U346)</f>
        <v>0</v>
      </c>
      <c r="W346">
        <f>MINUTE(U346)</f>
        <v>10</v>
      </c>
      <c r="X346">
        <f>V346*60+W346</f>
        <v>10</v>
      </c>
      <c r="Y346" s="7">
        <f>I346-H346</f>
        <v>6.9444444452528842E-3</v>
      </c>
      <c r="Z346">
        <f>HOUR(Y346)</f>
        <v>0</v>
      </c>
      <c r="AA346">
        <f>MINUTE(Y346)</f>
        <v>10</v>
      </c>
      <c r="AB346">
        <f>Z346*60+AA346</f>
        <v>10</v>
      </c>
    </row>
    <row r="347" spans="1:28" x14ac:dyDescent="0.25">
      <c r="A347">
        <v>345</v>
      </c>
      <c r="B347" t="s">
        <v>31</v>
      </c>
      <c r="C347">
        <v>1</v>
      </c>
      <c r="D347" t="s">
        <v>32</v>
      </c>
      <c r="E347" s="6">
        <v>46048.486111111109</v>
      </c>
      <c r="F347" s="6">
        <v>46048.493055555555</v>
      </c>
      <c r="G347" s="6">
        <v>46048.513888888891</v>
      </c>
      <c r="H347" s="6">
        <v>46048.571527777778</v>
      </c>
      <c r="I347" s="6">
        <v>46048.578472222223</v>
      </c>
      <c r="J347" s="6">
        <v>46048.583333333336</v>
      </c>
      <c r="K347">
        <v>2.33</v>
      </c>
      <c r="L347" s="6">
        <v>46048.590277777781</v>
      </c>
      <c r="M347" s="7">
        <f>F347-E347</f>
        <v>6.9444444452528842E-3</v>
      </c>
      <c r="N347">
        <f>HOUR(M347)</f>
        <v>0</v>
      </c>
      <c r="O347">
        <f>MINUTE(M347)</f>
        <v>10</v>
      </c>
      <c r="P347">
        <f>N347*60+O347</f>
        <v>10</v>
      </c>
      <c r="Q347" s="7">
        <f>G347-F347</f>
        <v>2.0833333335758653E-2</v>
      </c>
      <c r="R347">
        <f>HOUR(Q347)</f>
        <v>0</v>
      </c>
      <c r="S347">
        <f>MINUTE(Q347)</f>
        <v>30</v>
      </c>
      <c r="T347">
        <f>R347*60+S347</f>
        <v>30</v>
      </c>
      <c r="U347" s="7">
        <f>H347-G347</f>
        <v>5.7638888887595385E-2</v>
      </c>
      <c r="V347">
        <f>HOUR(U347)</f>
        <v>1</v>
      </c>
      <c r="W347">
        <f>MINUTE(U347)</f>
        <v>23</v>
      </c>
      <c r="X347">
        <f>V347*60+W347</f>
        <v>83</v>
      </c>
      <c r="Y347" s="7">
        <f>I347-H347</f>
        <v>6.9444444452528842E-3</v>
      </c>
      <c r="Z347">
        <f>HOUR(Y347)</f>
        <v>0</v>
      </c>
      <c r="AA347">
        <f>MINUTE(Y347)</f>
        <v>10</v>
      </c>
      <c r="AB347">
        <f>Z347*60+AA347</f>
        <v>10</v>
      </c>
    </row>
    <row r="348" spans="1:28" x14ac:dyDescent="0.25">
      <c r="A348">
        <v>346</v>
      </c>
      <c r="B348" t="s">
        <v>33</v>
      </c>
      <c r="C348">
        <v>1</v>
      </c>
      <c r="D348" t="s">
        <v>30</v>
      </c>
      <c r="E348" s="6">
        <v>46048.486111111109</v>
      </c>
      <c r="F348" s="6">
        <v>46048.520833333336</v>
      </c>
      <c r="G348" s="6">
        <v>46048.541666666664</v>
      </c>
      <c r="H348" s="6">
        <v>46048.625</v>
      </c>
      <c r="I348" s="6">
        <v>46048.680555555555</v>
      </c>
      <c r="J348" s="6">
        <v>46048.684027777781</v>
      </c>
      <c r="K348">
        <v>4.75</v>
      </c>
      <c r="L348" s="6">
        <v>46048.6875</v>
      </c>
      <c r="M348" s="7">
        <f>F348-E348</f>
        <v>3.4722222226264421E-2</v>
      </c>
      <c r="N348">
        <f>HOUR(M348)</f>
        <v>0</v>
      </c>
      <c r="O348">
        <f>MINUTE(M348)</f>
        <v>50</v>
      </c>
      <c r="P348">
        <f>N348*60+O348</f>
        <v>50</v>
      </c>
      <c r="Q348" s="7">
        <f>G348-F348</f>
        <v>2.0833333328482695E-2</v>
      </c>
      <c r="R348">
        <f>HOUR(Q348)</f>
        <v>0</v>
      </c>
      <c r="S348">
        <f>MINUTE(Q348)</f>
        <v>30</v>
      </c>
      <c r="T348">
        <f>R348*60+S348</f>
        <v>30</v>
      </c>
      <c r="U348" s="7">
        <f>H348-G348</f>
        <v>8.3333333335758653E-2</v>
      </c>
      <c r="V348">
        <f>HOUR(U348)</f>
        <v>2</v>
      </c>
      <c r="W348">
        <f>MINUTE(U348)</f>
        <v>0</v>
      </c>
      <c r="X348">
        <f>V348*60+W348</f>
        <v>120</v>
      </c>
      <c r="Y348" s="7">
        <f>I348-H348</f>
        <v>5.5555555554747116E-2</v>
      </c>
      <c r="Z348">
        <f>HOUR(Y348)</f>
        <v>1</v>
      </c>
      <c r="AA348">
        <f>MINUTE(Y348)</f>
        <v>20</v>
      </c>
      <c r="AB348">
        <f>Z348*60+AA348</f>
        <v>80</v>
      </c>
    </row>
    <row r="349" spans="1:28" x14ac:dyDescent="0.25">
      <c r="A349">
        <v>347</v>
      </c>
      <c r="B349" t="s">
        <v>31</v>
      </c>
      <c r="C349">
        <v>1</v>
      </c>
      <c r="D349" t="s">
        <v>30</v>
      </c>
      <c r="E349" s="6">
        <v>46048.284722222219</v>
      </c>
      <c r="F349" s="6">
        <v>46048.315972222219</v>
      </c>
      <c r="G349" s="6">
        <v>46048.340277777781</v>
      </c>
      <c r="H349" s="6">
        <v>46048.416666666664</v>
      </c>
      <c r="I349" s="6">
        <v>46048.423611111109</v>
      </c>
      <c r="J349" s="6">
        <v>46048.430555555555</v>
      </c>
      <c r="K349">
        <v>3.5</v>
      </c>
      <c r="L349" s="6">
        <v>46048.4375</v>
      </c>
      <c r="M349" s="7">
        <f>F349-E349</f>
        <v>3.125E-2</v>
      </c>
      <c r="N349">
        <f>HOUR(M349)</f>
        <v>0</v>
      </c>
      <c r="O349">
        <f>MINUTE(M349)</f>
        <v>45</v>
      </c>
      <c r="P349">
        <f>N349*60+O349</f>
        <v>45</v>
      </c>
      <c r="Q349" s="7">
        <f>G349-F349</f>
        <v>2.4305555562023073E-2</v>
      </c>
      <c r="R349">
        <f>HOUR(Q349)</f>
        <v>0</v>
      </c>
      <c r="S349">
        <f>MINUTE(Q349)</f>
        <v>35</v>
      </c>
      <c r="T349">
        <f>R349*60+S349</f>
        <v>35</v>
      </c>
      <c r="U349" s="7">
        <f>H349-G349</f>
        <v>7.6388888883229811E-2</v>
      </c>
      <c r="V349">
        <f>HOUR(U349)</f>
        <v>1</v>
      </c>
      <c r="W349">
        <f>MINUTE(U349)</f>
        <v>50</v>
      </c>
      <c r="X349">
        <f>V349*60+W349</f>
        <v>110</v>
      </c>
      <c r="Y349" s="7">
        <f>I349-H349</f>
        <v>6.9444444452528842E-3</v>
      </c>
      <c r="Z349">
        <f>HOUR(Y349)</f>
        <v>0</v>
      </c>
      <c r="AA349">
        <f>MINUTE(Y349)</f>
        <v>10</v>
      </c>
      <c r="AB349">
        <f>Z349*60+AA349</f>
        <v>10</v>
      </c>
    </row>
    <row r="350" spans="1:28" x14ac:dyDescent="0.25">
      <c r="A350">
        <v>348</v>
      </c>
      <c r="B350" t="s">
        <v>31</v>
      </c>
      <c r="C350">
        <v>1</v>
      </c>
      <c r="D350" t="s">
        <v>30</v>
      </c>
      <c r="E350" s="6">
        <v>46047.779861111114</v>
      </c>
      <c r="F350" s="6">
        <v>46047.784722222219</v>
      </c>
      <c r="G350" s="6">
        <v>46047.791666666664</v>
      </c>
      <c r="H350" s="6">
        <v>46047.9375</v>
      </c>
      <c r="I350" s="6">
        <v>46047.944444444445</v>
      </c>
      <c r="J350" s="6">
        <v>46047.951388888891</v>
      </c>
      <c r="K350">
        <v>4.12</v>
      </c>
      <c r="L350" s="6">
        <v>46047.958333333336</v>
      </c>
      <c r="M350" s="7">
        <f>F350-E350</f>
        <v>4.8611111051286571E-3</v>
      </c>
      <c r="N350">
        <f>HOUR(M350)</f>
        <v>0</v>
      </c>
      <c r="O350">
        <f>MINUTE(M350)</f>
        <v>7</v>
      </c>
      <c r="P350">
        <f>N350*60+O350</f>
        <v>7</v>
      </c>
      <c r="Q350" s="7">
        <f>G350-F350</f>
        <v>6.9444444452528842E-3</v>
      </c>
      <c r="R350">
        <f>HOUR(Q350)</f>
        <v>0</v>
      </c>
      <c r="S350">
        <f>MINUTE(Q350)</f>
        <v>10</v>
      </c>
      <c r="T350">
        <f>R350*60+S350</f>
        <v>10</v>
      </c>
      <c r="U350" s="7">
        <f>H350-G350</f>
        <v>0.14583333333575865</v>
      </c>
      <c r="V350">
        <f>HOUR(U350)</f>
        <v>3</v>
      </c>
      <c r="W350">
        <f>MINUTE(U350)</f>
        <v>30</v>
      </c>
      <c r="X350">
        <f>V350*60+W350</f>
        <v>210</v>
      </c>
      <c r="Y350" s="7">
        <f>I350-H350</f>
        <v>6.9444444452528842E-3</v>
      </c>
      <c r="Z350">
        <f>HOUR(Y350)</f>
        <v>0</v>
      </c>
      <c r="AA350">
        <f>MINUTE(Y350)</f>
        <v>10</v>
      </c>
      <c r="AB350">
        <f>Z350*60+AA350</f>
        <v>10</v>
      </c>
    </row>
    <row r="351" spans="1:28" x14ac:dyDescent="0.25">
      <c r="A351">
        <v>349</v>
      </c>
      <c r="B351" t="s">
        <v>33</v>
      </c>
      <c r="C351">
        <v>1</v>
      </c>
      <c r="D351" t="s">
        <v>34</v>
      </c>
      <c r="E351" s="6">
        <v>46047.982638888891</v>
      </c>
      <c r="F351" s="6">
        <v>46047.986111111109</v>
      </c>
      <c r="G351" s="6">
        <v>46048</v>
      </c>
      <c r="H351" s="6">
        <v>46048.03125</v>
      </c>
      <c r="I351" s="6">
        <v>46048.038194444445</v>
      </c>
      <c r="J351" s="6">
        <v>46048.041666666664</v>
      </c>
      <c r="K351">
        <v>1.42</v>
      </c>
      <c r="L351" s="6">
        <v>46048.048611111109</v>
      </c>
      <c r="M351" s="7">
        <f>F351-E351</f>
        <v>3.4722222189884633E-3</v>
      </c>
      <c r="N351">
        <f>HOUR(M351)</f>
        <v>0</v>
      </c>
      <c r="O351">
        <f>MINUTE(M351)</f>
        <v>5</v>
      </c>
      <c r="P351">
        <f>N351*60+O351</f>
        <v>5</v>
      </c>
      <c r="Q351" s="7">
        <f>G351-F351</f>
        <v>1.3888888890505768E-2</v>
      </c>
      <c r="R351">
        <f>HOUR(Q351)</f>
        <v>0</v>
      </c>
      <c r="S351">
        <f>MINUTE(Q351)</f>
        <v>20</v>
      </c>
      <c r="T351">
        <f>R351*60+S351</f>
        <v>20</v>
      </c>
      <c r="U351" s="7">
        <f>H351-G351</f>
        <v>3.125E-2</v>
      </c>
      <c r="V351">
        <f>HOUR(U351)</f>
        <v>0</v>
      </c>
      <c r="W351">
        <f>MINUTE(U351)</f>
        <v>45</v>
      </c>
      <c r="X351">
        <f>V351*60+W351</f>
        <v>45</v>
      </c>
      <c r="Y351" s="7">
        <f>I351-H351</f>
        <v>6.9444444452528842E-3</v>
      </c>
      <c r="Z351">
        <f>HOUR(Y351)</f>
        <v>0</v>
      </c>
      <c r="AA351">
        <f>MINUTE(Y351)</f>
        <v>10</v>
      </c>
      <c r="AB351">
        <f>Z351*60+AA351</f>
        <v>10</v>
      </c>
    </row>
    <row r="352" spans="1:28" x14ac:dyDescent="0.25">
      <c r="A352">
        <v>350</v>
      </c>
      <c r="B352" t="s">
        <v>33</v>
      </c>
      <c r="C352">
        <v>1</v>
      </c>
      <c r="D352" t="s">
        <v>30</v>
      </c>
      <c r="E352" s="6">
        <v>46048.697916666664</v>
      </c>
      <c r="F352" s="6">
        <v>46048.701388888891</v>
      </c>
      <c r="G352" s="6">
        <v>46048.715277777781</v>
      </c>
      <c r="H352" s="6">
        <v>46048.75</v>
      </c>
      <c r="I352" s="6">
        <v>46048.756944444445</v>
      </c>
      <c r="J352" s="6">
        <v>46048.763888888891</v>
      </c>
      <c r="K352">
        <v>1.58</v>
      </c>
      <c r="L352" s="6">
        <v>46048.770833333336</v>
      </c>
      <c r="M352" s="7">
        <f>F352-E352</f>
        <v>3.4722222262644209E-3</v>
      </c>
      <c r="N352">
        <f>HOUR(M352)</f>
        <v>0</v>
      </c>
      <c r="O352">
        <f>MINUTE(M352)</f>
        <v>5</v>
      </c>
      <c r="P352">
        <f>N352*60+O352</f>
        <v>5</v>
      </c>
      <c r="Q352" s="7">
        <f>G352-F352</f>
        <v>1.3888888890505768E-2</v>
      </c>
      <c r="R352">
        <f>HOUR(Q352)</f>
        <v>0</v>
      </c>
      <c r="S352">
        <f>MINUTE(Q352)</f>
        <v>20</v>
      </c>
      <c r="T352">
        <f>R352*60+S352</f>
        <v>20</v>
      </c>
      <c r="U352" s="7">
        <f>H352-G352</f>
        <v>3.4722222218988463E-2</v>
      </c>
      <c r="V352">
        <f>HOUR(U352)</f>
        <v>0</v>
      </c>
      <c r="W352">
        <f>MINUTE(U352)</f>
        <v>50</v>
      </c>
      <c r="X352">
        <f>V352*60+W352</f>
        <v>50</v>
      </c>
      <c r="Y352" s="7">
        <f>I352-H352</f>
        <v>6.9444444452528842E-3</v>
      </c>
      <c r="Z352">
        <f>HOUR(Y352)</f>
        <v>0</v>
      </c>
      <c r="AA352">
        <f>MINUTE(Y352)</f>
        <v>10</v>
      </c>
      <c r="AB352">
        <f>Z352*60+AA352</f>
        <v>10</v>
      </c>
    </row>
    <row r="353" spans="1:28" x14ac:dyDescent="0.25">
      <c r="A353">
        <v>351</v>
      </c>
      <c r="B353" t="s">
        <v>29</v>
      </c>
      <c r="C353">
        <v>1</v>
      </c>
      <c r="D353" t="s">
        <v>30</v>
      </c>
      <c r="E353" s="6">
        <v>46048.649305555555</v>
      </c>
      <c r="F353" s="6">
        <v>46048.673611111109</v>
      </c>
      <c r="G353" s="6">
        <v>46048.6875</v>
      </c>
      <c r="H353" s="6">
        <v>46048.805555555555</v>
      </c>
      <c r="I353" s="6">
        <v>46048.8125</v>
      </c>
      <c r="J353" s="6">
        <v>46048.815972222219</v>
      </c>
      <c r="K353">
        <v>4</v>
      </c>
      <c r="L353" s="6">
        <v>46048.822916666664</v>
      </c>
      <c r="M353" s="7">
        <f>F353-E353</f>
        <v>2.4305555554747116E-2</v>
      </c>
      <c r="N353">
        <f>HOUR(M353)</f>
        <v>0</v>
      </c>
      <c r="O353">
        <f>MINUTE(M353)</f>
        <v>35</v>
      </c>
      <c r="P353">
        <f>N353*60+O353</f>
        <v>35</v>
      </c>
      <c r="Q353" s="7">
        <f>G353-F353</f>
        <v>1.3888888890505768E-2</v>
      </c>
      <c r="R353">
        <f>HOUR(Q353)</f>
        <v>0</v>
      </c>
      <c r="S353">
        <f>MINUTE(Q353)</f>
        <v>20</v>
      </c>
      <c r="T353">
        <f>R353*60+S353</f>
        <v>20</v>
      </c>
      <c r="U353" s="7">
        <f>H353-G353</f>
        <v>0.11805555555474712</v>
      </c>
      <c r="V353">
        <f>HOUR(U353)</f>
        <v>2</v>
      </c>
      <c r="W353">
        <f>MINUTE(U353)</f>
        <v>50</v>
      </c>
      <c r="X353">
        <f>V353*60+W353</f>
        <v>170</v>
      </c>
      <c r="Y353" s="7">
        <f>I353-H353</f>
        <v>6.9444444452528842E-3</v>
      </c>
      <c r="Z353">
        <f>HOUR(Y353)</f>
        <v>0</v>
      </c>
      <c r="AA353">
        <f>MINUTE(Y353)</f>
        <v>10</v>
      </c>
      <c r="AB353">
        <f>Z353*60+AA353</f>
        <v>10</v>
      </c>
    </row>
    <row r="354" spans="1:28" x14ac:dyDescent="0.25">
      <c r="A354">
        <v>352</v>
      </c>
      <c r="B354" t="s">
        <v>29</v>
      </c>
      <c r="C354">
        <v>1</v>
      </c>
      <c r="D354" t="s">
        <v>30</v>
      </c>
      <c r="E354" s="6">
        <v>46048.736111111109</v>
      </c>
      <c r="F354" s="6">
        <v>46048.746527777781</v>
      </c>
      <c r="G354" s="6">
        <v>46048.75</v>
      </c>
      <c r="H354" s="6">
        <v>46048.767361111109</v>
      </c>
      <c r="I354" s="6">
        <v>46048.770833333336</v>
      </c>
      <c r="J354" s="6">
        <v>46048.772916666669</v>
      </c>
      <c r="K354">
        <v>0.88</v>
      </c>
      <c r="L354" s="6">
        <v>46048.774305555555</v>
      </c>
      <c r="M354" s="7">
        <f>F354-E354</f>
        <v>1.0416666671517305E-2</v>
      </c>
      <c r="N354">
        <f>HOUR(M354)</f>
        <v>0</v>
      </c>
      <c r="O354">
        <f>MINUTE(M354)</f>
        <v>15</v>
      </c>
      <c r="P354">
        <f>N354*60+O354</f>
        <v>15</v>
      </c>
      <c r="Q354" s="7">
        <f>G354-F354</f>
        <v>3.4722222189884633E-3</v>
      </c>
      <c r="R354">
        <f>HOUR(Q354)</f>
        <v>0</v>
      </c>
      <c r="S354">
        <f>MINUTE(Q354)</f>
        <v>5</v>
      </c>
      <c r="T354">
        <f>R354*60+S354</f>
        <v>5</v>
      </c>
      <c r="U354" s="7">
        <f>H354-G354</f>
        <v>1.7361111109494232E-2</v>
      </c>
      <c r="V354">
        <f>HOUR(U354)</f>
        <v>0</v>
      </c>
      <c r="W354">
        <f>MINUTE(U354)</f>
        <v>25</v>
      </c>
      <c r="X354">
        <f>V354*60+W354</f>
        <v>25</v>
      </c>
      <c r="Y354" s="7">
        <f>I354-H354</f>
        <v>3.4722222262644209E-3</v>
      </c>
      <c r="Z354">
        <f>HOUR(Y354)</f>
        <v>0</v>
      </c>
      <c r="AA354">
        <f>MINUTE(Y354)</f>
        <v>5</v>
      </c>
      <c r="AB354">
        <f>Z354*60+AA354</f>
        <v>5</v>
      </c>
    </row>
    <row r="355" spans="1:28" x14ac:dyDescent="0.25">
      <c r="A355">
        <v>353</v>
      </c>
      <c r="B355" t="s">
        <v>29</v>
      </c>
      <c r="C355">
        <v>1</v>
      </c>
      <c r="D355" t="s">
        <v>32</v>
      </c>
      <c r="E355" s="6">
        <v>46048.604166666664</v>
      </c>
      <c r="F355" s="6">
        <v>46048.611111111109</v>
      </c>
      <c r="G355" s="6">
        <v>46048.621527777781</v>
      </c>
      <c r="H355" s="6">
        <v>46048.631944444445</v>
      </c>
      <c r="I355" s="6">
        <v>46048.638888888891</v>
      </c>
      <c r="J355" s="6">
        <v>46048.677083333336</v>
      </c>
      <c r="K355">
        <v>1.75</v>
      </c>
      <c r="L355" s="6">
        <v>46048.679166666669</v>
      </c>
      <c r="M355" s="7">
        <f>F355-E355</f>
        <v>6.9444444452528842E-3</v>
      </c>
      <c r="N355">
        <f>HOUR(M355)</f>
        <v>0</v>
      </c>
      <c r="O355">
        <f>MINUTE(M355)</f>
        <v>10</v>
      </c>
      <c r="P355">
        <f>N355*60+O355</f>
        <v>10</v>
      </c>
      <c r="Q355" s="7">
        <f>G355-F355</f>
        <v>1.0416666671517305E-2</v>
      </c>
      <c r="R355">
        <f>HOUR(Q355)</f>
        <v>0</v>
      </c>
      <c r="S355">
        <f>MINUTE(Q355)</f>
        <v>15</v>
      </c>
      <c r="T355">
        <f>R355*60+S355</f>
        <v>15</v>
      </c>
      <c r="U355" s="7">
        <f>H355-G355</f>
        <v>1.0416666664241347E-2</v>
      </c>
      <c r="V355">
        <f>HOUR(U355)</f>
        <v>0</v>
      </c>
      <c r="W355">
        <f>MINUTE(U355)</f>
        <v>15</v>
      </c>
      <c r="X355">
        <f>V355*60+W355</f>
        <v>15</v>
      </c>
      <c r="Y355" s="7">
        <f>I355-H355</f>
        <v>6.9444444452528842E-3</v>
      </c>
      <c r="Z355">
        <f>HOUR(Y355)</f>
        <v>0</v>
      </c>
      <c r="AA355">
        <f>MINUTE(Y355)</f>
        <v>10</v>
      </c>
      <c r="AB355">
        <f>Z355*60+AA355</f>
        <v>10</v>
      </c>
    </row>
    <row r="356" spans="1:28" x14ac:dyDescent="0.25">
      <c r="A356">
        <v>354</v>
      </c>
      <c r="B356" t="s">
        <v>29</v>
      </c>
      <c r="C356">
        <v>1</v>
      </c>
      <c r="D356" t="s">
        <v>32</v>
      </c>
      <c r="E356" s="6">
        <v>46049.477083333331</v>
      </c>
      <c r="F356" s="6">
        <v>46049.484027777777</v>
      </c>
      <c r="G356" s="6">
        <v>46049.489583333336</v>
      </c>
      <c r="H356" s="6">
        <v>46049.520833333336</v>
      </c>
      <c r="I356" s="6">
        <v>46049.527777777781</v>
      </c>
      <c r="J356" s="6">
        <v>46049.534722222219</v>
      </c>
      <c r="K356">
        <v>1.38</v>
      </c>
      <c r="L356" s="6">
        <v>46049.541666666664</v>
      </c>
      <c r="M356" s="7">
        <f>F356-E356</f>
        <v>6.9444444452528842E-3</v>
      </c>
      <c r="N356">
        <f>HOUR(M356)</f>
        <v>0</v>
      </c>
      <c r="O356">
        <f>MINUTE(M356)</f>
        <v>10</v>
      </c>
      <c r="P356">
        <f>N356*60+O356</f>
        <v>10</v>
      </c>
      <c r="Q356" s="7">
        <f>G356-F356</f>
        <v>5.5555555591126904E-3</v>
      </c>
      <c r="R356">
        <f>HOUR(Q356)</f>
        <v>0</v>
      </c>
      <c r="S356">
        <f>MINUTE(Q356)</f>
        <v>8</v>
      </c>
      <c r="T356">
        <f>R356*60+S356</f>
        <v>8</v>
      </c>
      <c r="U356" s="7">
        <f>H356-G356</f>
        <v>3.125E-2</v>
      </c>
      <c r="V356">
        <f>HOUR(U356)</f>
        <v>0</v>
      </c>
      <c r="W356">
        <f>MINUTE(U356)</f>
        <v>45</v>
      </c>
      <c r="X356">
        <f>V356*60+W356</f>
        <v>45</v>
      </c>
      <c r="Y356" s="7">
        <f>I356-H356</f>
        <v>6.9444444452528842E-3</v>
      </c>
      <c r="Z356">
        <f>HOUR(Y356)</f>
        <v>0</v>
      </c>
      <c r="AA356">
        <f>MINUTE(Y356)</f>
        <v>10</v>
      </c>
      <c r="AB356">
        <f>Z356*60+AA356</f>
        <v>10</v>
      </c>
    </row>
    <row r="357" spans="1:28" x14ac:dyDescent="0.25">
      <c r="A357">
        <v>355</v>
      </c>
      <c r="B357" t="s">
        <v>29</v>
      </c>
      <c r="C357">
        <v>1</v>
      </c>
      <c r="D357" t="s">
        <v>34</v>
      </c>
      <c r="E357" s="6">
        <v>46049.291666666664</v>
      </c>
      <c r="F357" s="6">
        <v>46049.333333333336</v>
      </c>
      <c r="G357" s="6">
        <v>46049.416666666664</v>
      </c>
      <c r="H357" s="6">
        <v>46049.53125</v>
      </c>
      <c r="I357" s="6">
        <v>46049.538194444445</v>
      </c>
      <c r="J357" s="6">
        <v>46049.541666666664</v>
      </c>
      <c r="K357">
        <v>6</v>
      </c>
      <c r="L357" s="6">
        <v>46049.548611111109</v>
      </c>
      <c r="M357" s="7">
        <f>F357-E357</f>
        <v>4.1666666671517305E-2</v>
      </c>
      <c r="N357">
        <f>HOUR(M357)</f>
        <v>1</v>
      </c>
      <c r="O357">
        <f>MINUTE(M357)</f>
        <v>0</v>
      </c>
      <c r="P357">
        <f>N357*60+O357</f>
        <v>60</v>
      </c>
      <c r="Q357" s="7">
        <f>G357-F357</f>
        <v>8.3333333328482695E-2</v>
      </c>
      <c r="R357">
        <f>HOUR(Q357)</f>
        <v>2</v>
      </c>
      <c r="S357">
        <f>MINUTE(Q357)</f>
        <v>0</v>
      </c>
      <c r="T357">
        <f>R357*60+S357</f>
        <v>120</v>
      </c>
      <c r="U357" s="7">
        <f>H357-G357</f>
        <v>0.11458333333575865</v>
      </c>
      <c r="V357">
        <f>HOUR(U357)</f>
        <v>2</v>
      </c>
      <c r="W357">
        <f>MINUTE(U357)</f>
        <v>45</v>
      </c>
      <c r="X357">
        <f>V357*60+W357</f>
        <v>165</v>
      </c>
      <c r="Y357" s="7">
        <f>I357-H357</f>
        <v>6.9444444452528842E-3</v>
      </c>
      <c r="Z357">
        <f>HOUR(Y357)</f>
        <v>0</v>
      </c>
      <c r="AA357">
        <f>MINUTE(Y357)</f>
        <v>10</v>
      </c>
      <c r="AB357">
        <f>Z357*60+AA357</f>
        <v>10</v>
      </c>
    </row>
    <row r="358" spans="1:28" x14ac:dyDescent="0.25">
      <c r="A358">
        <v>356</v>
      </c>
      <c r="B358" t="s">
        <v>33</v>
      </c>
      <c r="C358">
        <v>1</v>
      </c>
      <c r="D358" t="s">
        <v>32</v>
      </c>
      <c r="E358" s="6">
        <v>46056.291666666664</v>
      </c>
      <c r="F358" s="6">
        <v>46056.298611111109</v>
      </c>
      <c r="G358" s="6">
        <v>46056.302083333336</v>
      </c>
      <c r="H358" s="6">
        <v>46056.309027777781</v>
      </c>
      <c r="I358" s="6">
        <v>46056.315972222219</v>
      </c>
      <c r="J358" s="6">
        <v>46056.316666666666</v>
      </c>
      <c r="K358">
        <v>0.6</v>
      </c>
      <c r="L358" s="6">
        <v>46056.323611111111</v>
      </c>
      <c r="M358" s="7">
        <f>F358-E358</f>
        <v>6.9444444452528842E-3</v>
      </c>
      <c r="N358">
        <f>HOUR(M358)</f>
        <v>0</v>
      </c>
      <c r="O358">
        <f>MINUTE(M358)</f>
        <v>10</v>
      </c>
      <c r="P358">
        <f>N358*60+O358</f>
        <v>10</v>
      </c>
      <c r="Q358" s="7">
        <f>G358-F358</f>
        <v>3.4722222262644209E-3</v>
      </c>
      <c r="R358">
        <f>HOUR(Q358)</f>
        <v>0</v>
      </c>
      <c r="S358">
        <f>MINUTE(Q358)</f>
        <v>5</v>
      </c>
      <c r="T358">
        <f>R358*60+S358</f>
        <v>5</v>
      </c>
      <c r="U358" s="7">
        <f>H358-G358</f>
        <v>6.9444444452528842E-3</v>
      </c>
      <c r="V358">
        <f>HOUR(U358)</f>
        <v>0</v>
      </c>
      <c r="W358">
        <f>MINUTE(U358)</f>
        <v>10</v>
      </c>
      <c r="X358">
        <f>V358*60+W358</f>
        <v>10</v>
      </c>
      <c r="Y358" s="7">
        <f>I358-H358</f>
        <v>6.9444444379769266E-3</v>
      </c>
      <c r="Z358">
        <f>HOUR(Y358)</f>
        <v>0</v>
      </c>
      <c r="AA358">
        <f>MINUTE(Y358)</f>
        <v>10</v>
      </c>
      <c r="AB358">
        <f>Z358*60+AA358</f>
        <v>10</v>
      </c>
    </row>
    <row r="359" spans="1:28" x14ac:dyDescent="0.25">
      <c r="A359">
        <v>357</v>
      </c>
      <c r="B359" t="s">
        <v>33</v>
      </c>
      <c r="C359">
        <v>1</v>
      </c>
      <c r="D359" t="s">
        <v>32</v>
      </c>
      <c r="E359" s="6">
        <v>46056.395833333336</v>
      </c>
      <c r="F359" s="6">
        <v>46056.402777777781</v>
      </c>
      <c r="G359" s="6">
        <v>46056.416666666664</v>
      </c>
      <c r="H359" s="6">
        <v>46056.451388888891</v>
      </c>
      <c r="I359" s="6">
        <v>46056.458333333336</v>
      </c>
      <c r="J359" s="6">
        <v>46056.461805555555</v>
      </c>
      <c r="K359">
        <v>1.58</v>
      </c>
      <c r="L359" s="6">
        <v>46056.46875</v>
      </c>
      <c r="M359" s="7">
        <f>F359-E359</f>
        <v>6.9444444452528842E-3</v>
      </c>
      <c r="N359">
        <f>HOUR(M359)</f>
        <v>0</v>
      </c>
      <c r="O359">
        <f>MINUTE(M359)</f>
        <v>10</v>
      </c>
      <c r="P359">
        <f>N359*60+O359</f>
        <v>10</v>
      </c>
      <c r="Q359" s="7">
        <f>G359-F359</f>
        <v>1.3888888883229811E-2</v>
      </c>
      <c r="R359">
        <f>HOUR(Q359)</f>
        <v>0</v>
      </c>
      <c r="S359">
        <f>MINUTE(Q359)</f>
        <v>20</v>
      </c>
      <c r="T359">
        <f>R359*60+S359</f>
        <v>20</v>
      </c>
      <c r="U359" s="7">
        <f>H359-G359</f>
        <v>3.4722222226264421E-2</v>
      </c>
      <c r="V359">
        <f>HOUR(U359)</f>
        <v>0</v>
      </c>
      <c r="W359">
        <f>MINUTE(U359)</f>
        <v>50</v>
      </c>
      <c r="X359">
        <f>V359*60+W359</f>
        <v>50</v>
      </c>
      <c r="Y359" s="7">
        <f>I359-H359</f>
        <v>6.9444444452528842E-3</v>
      </c>
      <c r="Z359">
        <f>HOUR(Y359)</f>
        <v>0</v>
      </c>
      <c r="AA359">
        <f>MINUTE(Y359)</f>
        <v>10</v>
      </c>
      <c r="AB359">
        <f>Z359*60+AA359</f>
        <v>10</v>
      </c>
    </row>
    <row r="360" spans="1:28" x14ac:dyDescent="0.25">
      <c r="A360">
        <v>358</v>
      </c>
      <c r="B360" t="s">
        <v>31</v>
      </c>
      <c r="C360">
        <v>1</v>
      </c>
      <c r="D360" t="s">
        <v>36</v>
      </c>
      <c r="E360" s="6">
        <v>46049.291666666664</v>
      </c>
      <c r="F360" s="6">
        <v>46049.319444444445</v>
      </c>
      <c r="G360" s="6">
        <v>46049.34375</v>
      </c>
      <c r="H360" s="6">
        <v>46049.46875</v>
      </c>
      <c r="I360" s="6">
        <v>46049.475694444445</v>
      </c>
      <c r="J360" s="6">
        <v>46049.486111111109</v>
      </c>
      <c r="K360">
        <v>4.67</v>
      </c>
      <c r="L360" s="6">
        <v>46049.493055555555</v>
      </c>
      <c r="M360" s="7">
        <f>F360-E360</f>
        <v>2.7777777781011537E-2</v>
      </c>
      <c r="N360">
        <f>HOUR(M360)</f>
        <v>0</v>
      </c>
      <c r="O360">
        <f>MINUTE(M360)</f>
        <v>40</v>
      </c>
      <c r="P360">
        <f>N360*60+O360</f>
        <v>40</v>
      </c>
      <c r="Q360" s="7">
        <f>G360-F360</f>
        <v>2.4305555554747116E-2</v>
      </c>
      <c r="R360">
        <f>HOUR(Q360)</f>
        <v>0</v>
      </c>
      <c r="S360">
        <f>MINUTE(Q360)</f>
        <v>35</v>
      </c>
      <c r="T360">
        <f>R360*60+S360</f>
        <v>35</v>
      </c>
      <c r="U360" s="7">
        <f>H360-G360</f>
        <v>0.125</v>
      </c>
      <c r="V360">
        <f>HOUR(U360)</f>
        <v>3</v>
      </c>
      <c r="W360">
        <f>MINUTE(U360)</f>
        <v>0</v>
      </c>
      <c r="X360">
        <f>V360*60+W360</f>
        <v>180</v>
      </c>
      <c r="Y360" s="7">
        <f>I360-H360</f>
        <v>6.9444444452528842E-3</v>
      </c>
      <c r="Z360">
        <f>HOUR(Y360)</f>
        <v>0</v>
      </c>
      <c r="AA360">
        <f>MINUTE(Y360)</f>
        <v>10</v>
      </c>
      <c r="AB360">
        <f>Z360*60+AA360</f>
        <v>10</v>
      </c>
    </row>
    <row r="361" spans="1:28" x14ac:dyDescent="0.25">
      <c r="A361">
        <v>359</v>
      </c>
      <c r="B361" t="s">
        <v>33</v>
      </c>
      <c r="C361">
        <v>1</v>
      </c>
      <c r="D361" t="s">
        <v>32</v>
      </c>
      <c r="E361" s="6">
        <v>46058.29583333333</v>
      </c>
      <c r="F361" s="6">
        <v>46058.302777777775</v>
      </c>
      <c r="G361" s="6">
        <v>46058.305555555555</v>
      </c>
      <c r="H361" s="6">
        <v>46058.309027777781</v>
      </c>
      <c r="I361" s="6">
        <v>46058.315972222219</v>
      </c>
      <c r="J361" s="6">
        <v>46058.326388888891</v>
      </c>
      <c r="K361">
        <v>0.73</v>
      </c>
      <c r="L361" s="6">
        <v>46058.333333333336</v>
      </c>
      <c r="M361" s="7">
        <f>F361-E361</f>
        <v>6.9444444452528842E-3</v>
      </c>
      <c r="N361">
        <f>HOUR(M361)</f>
        <v>0</v>
      </c>
      <c r="O361">
        <f>MINUTE(M361)</f>
        <v>10</v>
      </c>
      <c r="P361">
        <f>N361*60+O361</f>
        <v>10</v>
      </c>
      <c r="Q361" s="7">
        <f>G361-F361</f>
        <v>2.7777777795563452E-3</v>
      </c>
      <c r="R361">
        <f>HOUR(Q361)</f>
        <v>0</v>
      </c>
      <c r="S361">
        <f>MINUTE(Q361)</f>
        <v>4</v>
      </c>
      <c r="T361">
        <f>R361*60+S361</f>
        <v>4</v>
      </c>
      <c r="U361" s="7">
        <f>H361-G361</f>
        <v>3.4722222262644209E-3</v>
      </c>
      <c r="V361">
        <f>HOUR(U361)</f>
        <v>0</v>
      </c>
      <c r="W361">
        <f>MINUTE(U361)</f>
        <v>5</v>
      </c>
      <c r="X361">
        <f>V361*60+W361</f>
        <v>5</v>
      </c>
      <c r="Y361" s="7">
        <f>I361-H361</f>
        <v>6.9444444379769266E-3</v>
      </c>
      <c r="Z361">
        <f>HOUR(Y361)</f>
        <v>0</v>
      </c>
      <c r="AA361">
        <f>MINUTE(Y361)</f>
        <v>10</v>
      </c>
      <c r="AB361">
        <f>Z361*60+AA361</f>
        <v>10</v>
      </c>
    </row>
    <row r="362" spans="1:28" x14ac:dyDescent="0.25">
      <c r="A362">
        <v>360</v>
      </c>
      <c r="B362" t="s">
        <v>33</v>
      </c>
      <c r="C362">
        <v>1</v>
      </c>
      <c r="D362" t="s">
        <v>34</v>
      </c>
      <c r="E362" s="6">
        <v>46049.475694444445</v>
      </c>
      <c r="F362" s="6">
        <v>46049.482638888891</v>
      </c>
      <c r="G362" s="6">
        <v>46049.511805555558</v>
      </c>
      <c r="H362" s="6">
        <v>46049.650694444441</v>
      </c>
      <c r="I362" s="6">
        <v>46049.708333333336</v>
      </c>
      <c r="J362" s="6">
        <v>46050.395833333336</v>
      </c>
      <c r="K362">
        <v>22.08</v>
      </c>
      <c r="L362" s="6">
        <v>46050.402777777781</v>
      </c>
      <c r="M362" s="7">
        <f>F362-E362</f>
        <v>6.9444444452528842E-3</v>
      </c>
      <c r="N362">
        <f>HOUR(M362)</f>
        <v>0</v>
      </c>
      <c r="O362">
        <f>MINUTE(M362)</f>
        <v>10</v>
      </c>
      <c r="P362">
        <f>N362*60+O362</f>
        <v>10</v>
      </c>
      <c r="Q362" s="7">
        <f>G362-F362</f>
        <v>2.9166666667151731E-2</v>
      </c>
      <c r="R362">
        <f>HOUR(Q362)</f>
        <v>0</v>
      </c>
      <c r="S362">
        <f>MINUTE(Q362)</f>
        <v>42</v>
      </c>
      <c r="T362">
        <f>R362*60+S362</f>
        <v>42</v>
      </c>
      <c r="U362" s="7">
        <f>H362-G362</f>
        <v>0.13888888888322981</v>
      </c>
      <c r="V362">
        <f>HOUR(U362)</f>
        <v>3</v>
      </c>
      <c r="W362">
        <f>MINUTE(U362)</f>
        <v>20</v>
      </c>
      <c r="X362">
        <f>V362*60+W362</f>
        <v>200</v>
      </c>
      <c r="Y362" s="7">
        <f>I362-H362</f>
        <v>5.7638888894871343E-2</v>
      </c>
      <c r="Z362">
        <f>HOUR(Y362)</f>
        <v>1</v>
      </c>
      <c r="AA362">
        <f>MINUTE(Y362)</f>
        <v>23</v>
      </c>
      <c r="AB362">
        <f>Z362*60+AA362</f>
        <v>83</v>
      </c>
    </row>
    <row r="363" spans="1:28" x14ac:dyDescent="0.25">
      <c r="A363">
        <v>361</v>
      </c>
      <c r="B363" t="s">
        <v>33</v>
      </c>
      <c r="C363">
        <v>1</v>
      </c>
      <c r="D363" t="s">
        <v>35</v>
      </c>
      <c r="E363" s="6">
        <v>46049.288194444445</v>
      </c>
      <c r="F363" s="6">
        <v>46049.347222222219</v>
      </c>
      <c r="G363" s="6">
        <v>46049.354166666664</v>
      </c>
      <c r="H363" s="6">
        <v>46049.378472222219</v>
      </c>
      <c r="I363" s="6">
        <v>46049.385416666664</v>
      </c>
      <c r="J363" s="6">
        <v>46049.43472222222</v>
      </c>
      <c r="K363">
        <v>3.52</v>
      </c>
      <c r="L363" s="6">
        <v>46049.440972222219</v>
      </c>
      <c r="M363" s="7">
        <f>F363-E363</f>
        <v>5.9027777773735579E-2</v>
      </c>
      <c r="N363">
        <f>HOUR(M363)</f>
        <v>1</v>
      </c>
      <c r="O363">
        <f>MINUTE(M363)</f>
        <v>25</v>
      </c>
      <c r="P363">
        <f>N363*60+O363</f>
        <v>85</v>
      </c>
      <c r="Q363" s="7">
        <f>G363-F363</f>
        <v>6.9444444452528842E-3</v>
      </c>
      <c r="R363">
        <f>HOUR(Q363)</f>
        <v>0</v>
      </c>
      <c r="S363">
        <f>MINUTE(Q363)</f>
        <v>10</v>
      </c>
      <c r="T363">
        <f>R363*60+S363</f>
        <v>10</v>
      </c>
      <c r="U363" s="7">
        <f>H363-G363</f>
        <v>2.4305555554747116E-2</v>
      </c>
      <c r="V363">
        <f>HOUR(U363)</f>
        <v>0</v>
      </c>
      <c r="W363">
        <f>MINUTE(U363)</f>
        <v>35</v>
      </c>
      <c r="X363">
        <f>V363*60+W363</f>
        <v>35</v>
      </c>
      <c r="Y363" s="7">
        <f>I363-H363</f>
        <v>6.9444444452528842E-3</v>
      </c>
      <c r="Z363">
        <f>HOUR(Y363)</f>
        <v>0</v>
      </c>
      <c r="AA363">
        <f>MINUTE(Y363)</f>
        <v>10</v>
      </c>
      <c r="AB363">
        <f>Z363*60+AA363</f>
        <v>10</v>
      </c>
    </row>
    <row r="364" spans="1:28" x14ac:dyDescent="0.25">
      <c r="A364">
        <v>362</v>
      </c>
      <c r="B364" t="s">
        <v>31</v>
      </c>
      <c r="C364">
        <v>1</v>
      </c>
      <c r="D364" t="s">
        <v>34</v>
      </c>
      <c r="E364" s="6">
        <v>46051.291666666664</v>
      </c>
      <c r="F364" s="6">
        <v>46051.298611111109</v>
      </c>
      <c r="G364" s="6">
        <v>46051.388888888891</v>
      </c>
      <c r="H364" s="6">
        <v>46051.479166666664</v>
      </c>
      <c r="I364" s="6">
        <v>46051.486111111109</v>
      </c>
      <c r="J364" s="6">
        <v>46051.520833333336</v>
      </c>
      <c r="K364">
        <v>5.5</v>
      </c>
      <c r="L364" s="6">
        <v>46051.527777777781</v>
      </c>
      <c r="M364" s="7">
        <f>F364-E364</f>
        <v>6.9444444452528842E-3</v>
      </c>
      <c r="N364">
        <f>HOUR(M364)</f>
        <v>0</v>
      </c>
      <c r="O364">
        <f>MINUTE(M364)</f>
        <v>10</v>
      </c>
      <c r="P364">
        <f>N364*60+O364</f>
        <v>10</v>
      </c>
      <c r="Q364" s="7">
        <f>G364-F364</f>
        <v>9.0277777781011537E-2</v>
      </c>
      <c r="R364">
        <f>HOUR(Q364)</f>
        <v>2</v>
      </c>
      <c r="S364">
        <f>MINUTE(Q364)</f>
        <v>10</v>
      </c>
      <c r="T364">
        <f>R364*60+S364</f>
        <v>130</v>
      </c>
      <c r="U364" s="7">
        <f>H364-G364</f>
        <v>9.0277777773735579E-2</v>
      </c>
      <c r="V364">
        <f>HOUR(U364)</f>
        <v>2</v>
      </c>
      <c r="W364">
        <f>MINUTE(U364)</f>
        <v>10</v>
      </c>
      <c r="X364">
        <f>V364*60+W364</f>
        <v>130</v>
      </c>
      <c r="Y364" s="7">
        <f>I364-H364</f>
        <v>6.9444444452528842E-3</v>
      </c>
      <c r="Z364">
        <f>HOUR(Y364)</f>
        <v>0</v>
      </c>
      <c r="AA364">
        <f>MINUTE(Y364)</f>
        <v>10</v>
      </c>
      <c r="AB364">
        <f>Z364*60+AA364</f>
        <v>10</v>
      </c>
    </row>
    <row r="365" spans="1:28" x14ac:dyDescent="0.25">
      <c r="A365">
        <v>363</v>
      </c>
      <c r="B365" t="s">
        <v>29</v>
      </c>
      <c r="C365">
        <v>1</v>
      </c>
      <c r="D365" t="s">
        <v>34</v>
      </c>
      <c r="E365" s="6">
        <v>46051.604166666664</v>
      </c>
      <c r="F365" s="6">
        <v>46051.618055555555</v>
      </c>
      <c r="G365" s="6">
        <v>46051.631944444445</v>
      </c>
      <c r="H365" s="6">
        <v>46051.708333333336</v>
      </c>
      <c r="I365" s="6">
        <v>46051.715277777781</v>
      </c>
      <c r="J365" s="6">
        <v>46051.805555555555</v>
      </c>
      <c r="K365">
        <v>4.83</v>
      </c>
      <c r="L365" s="6">
        <v>46051.8125</v>
      </c>
      <c r="M365" s="7">
        <f>F365-E365</f>
        <v>1.3888888890505768E-2</v>
      </c>
      <c r="N365">
        <f>HOUR(M365)</f>
        <v>0</v>
      </c>
      <c r="O365">
        <f>MINUTE(M365)</f>
        <v>20</v>
      </c>
      <c r="P365">
        <f>N365*60+O365</f>
        <v>20</v>
      </c>
      <c r="Q365" s="7">
        <f>G365-F365</f>
        <v>1.3888888890505768E-2</v>
      </c>
      <c r="R365">
        <f>HOUR(Q365)</f>
        <v>0</v>
      </c>
      <c r="S365">
        <f>MINUTE(Q365)</f>
        <v>20</v>
      </c>
      <c r="T365">
        <f>R365*60+S365</f>
        <v>20</v>
      </c>
      <c r="U365" s="7">
        <f>H365-G365</f>
        <v>7.6388888890505768E-2</v>
      </c>
      <c r="V365">
        <f>HOUR(U365)</f>
        <v>1</v>
      </c>
      <c r="W365">
        <f>MINUTE(U365)</f>
        <v>50</v>
      </c>
      <c r="X365">
        <f>V365*60+W365</f>
        <v>110</v>
      </c>
      <c r="Y365" s="7">
        <f>I365-H365</f>
        <v>6.9444444452528842E-3</v>
      </c>
      <c r="Z365">
        <f>HOUR(Y365)</f>
        <v>0</v>
      </c>
      <c r="AA365">
        <f>MINUTE(Y365)</f>
        <v>10</v>
      </c>
      <c r="AB365">
        <f>Z365*60+AA365</f>
        <v>10</v>
      </c>
    </row>
    <row r="366" spans="1:28" x14ac:dyDescent="0.25">
      <c r="A366">
        <v>364</v>
      </c>
      <c r="B366" t="s">
        <v>31</v>
      </c>
      <c r="C366">
        <v>1</v>
      </c>
      <c r="D366" t="s">
        <v>30</v>
      </c>
      <c r="E366" s="6">
        <v>46048.947916666664</v>
      </c>
      <c r="F366" s="6">
        <v>46048.951388888891</v>
      </c>
      <c r="G366" s="6">
        <v>46048.961805555555</v>
      </c>
      <c r="H366" s="6">
        <v>46049.034722222219</v>
      </c>
      <c r="I366" s="6">
        <v>46049.038194444445</v>
      </c>
      <c r="J366" s="6">
        <v>46049.041666666664</v>
      </c>
      <c r="K366">
        <v>2.25</v>
      </c>
      <c r="L366" s="6">
        <v>46049.045138888891</v>
      </c>
      <c r="M366" s="7">
        <f>F366-E366</f>
        <v>3.4722222262644209E-3</v>
      </c>
      <c r="N366">
        <f>HOUR(M366)</f>
        <v>0</v>
      </c>
      <c r="O366">
        <f>MINUTE(M366)</f>
        <v>5</v>
      </c>
      <c r="P366">
        <f>N366*60+O366</f>
        <v>5</v>
      </c>
      <c r="Q366" s="7">
        <f>G366-F366</f>
        <v>1.0416666664241347E-2</v>
      </c>
      <c r="R366">
        <f>HOUR(Q366)</f>
        <v>0</v>
      </c>
      <c r="S366">
        <f>MINUTE(Q366)</f>
        <v>15</v>
      </c>
      <c r="T366">
        <f>R366*60+S366</f>
        <v>15</v>
      </c>
      <c r="U366" s="7">
        <f>H366-G366</f>
        <v>7.2916666664241347E-2</v>
      </c>
      <c r="V366">
        <f>HOUR(U366)</f>
        <v>1</v>
      </c>
      <c r="W366">
        <f>MINUTE(U366)</f>
        <v>45</v>
      </c>
      <c r="X366">
        <f>V366*60+W366</f>
        <v>105</v>
      </c>
      <c r="Y366" s="7">
        <f>I366-H366</f>
        <v>3.4722222262644209E-3</v>
      </c>
      <c r="Z366">
        <f>HOUR(Y366)</f>
        <v>0</v>
      </c>
      <c r="AA366">
        <f>MINUTE(Y366)</f>
        <v>5</v>
      </c>
      <c r="AB366">
        <f>Z366*60+AA366</f>
        <v>5</v>
      </c>
    </row>
    <row r="367" spans="1:28" x14ac:dyDescent="0.25">
      <c r="A367">
        <v>365</v>
      </c>
      <c r="B367" t="s">
        <v>33</v>
      </c>
      <c r="C367">
        <v>1</v>
      </c>
      <c r="D367" t="s">
        <v>30</v>
      </c>
      <c r="E367" s="6">
        <v>46048.881944444445</v>
      </c>
      <c r="F367" s="6">
        <v>46048.885416666664</v>
      </c>
      <c r="G367" s="6">
        <v>46048.902777777781</v>
      </c>
      <c r="H367" s="6">
        <v>46048.916666666664</v>
      </c>
      <c r="I367" s="6">
        <v>46048.918055555558</v>
      </c>
      <c r="J367" s="6">
        <v>46048.918749999997</v>
      </c>
      <c r="K367">
        <v>0.88</v>
      </c>
      <c r="L367" s="6">
        <v>46048.925694444442</v>
      </c>
      <c r="M367" s="7">
        <f>F367-E367</f>
        <v>3.4722222189884633E-3</v>
      </c>
      <c r="N367">
        <f>HOUR(M367)</f>
        <v>0</v>
      </c>
      <c r="O367">
        <f>MINUTE(M367)</f>
        <v>5</v>
      </c>
      <c r="P367">
        <f>N367*60+O367</f>
        <v>5</v>
      </c>
      <c r="Q367" s="7">
        <f>G367-F367</f>
        <v>1.7361111116770189E-2</v>
      </c>
      <c r="R367">
        <f>HOUR(Q367)</f>
        <v>0</v>
      </c>
      <c r="S367">
        <f>MINUTE(Q367)</f>
        <v>25</v>
      </c>
      <c r="T367">
        <f>R367*60+S367</f>
        <v>25</v>
      </c>
      <c r="U367" s="7">
        <f>H367-G367</f>
        <v>1.3888888883229811E-2</v>
      </c>
      <c r="V367">
        <f>HOUR(U367)</f>
        <v>0</v>
      </c>
      <c r="W367">
        <f>MINUTE(U367)</f>
        <v>20</v>
      </c>
      <c r="X367">
        <f>V367*60+W367</f>
        <v>20</v>
      </c>
      <c r="Y367" s="7">
        <f>I367-H367</f>
        <v>1.3888888934161514E-3</v>
      </c>
      <c r="Z367">
        <f>HOUR(Y367)</f>
        <v>0</v>
      </c>
      <c r="AA367">
        <f>MINUTE(Y367)</f>
        <v>2</v>
      </c>
      <c r="AB367">
        <f>Z367*60+AA367</f>
        <v>2</v>
      </c>
    </row>
    <row r="368" spans="1:28" x14ac:dyDescent="0.25">
      <c r="A368">
        <v>366</v>
      </c>
      <c r="B368" t="s">
        <v>31</v>
      </c>
      <c r="C368">
        <v>1</v>
      </c>
      <c r="D368" t="s">
        <v>30</v>
      </c>
      <c r="E368" s="6">
        <v>46048.715277777781</v>
      </c>
      <c r="F368" s="6">
        <v>46048.71875</v>
      </c>
      <c r="G368" s="6">
        <v>46048.746527777781</v>
      </c>
      <c r="H368" s="6">
        <v>46048.819444444445</v>
      </c>
      <c r="I368" s="6">
        <v>46048.833333333336</v>
      </c>
      <c r="J368" s="6">
        <v>46049.673611111109</v>
      </c>
      <c r="K368">
        <v>23</v>
      </c>
      <c r="L368" s="6">
        <v>46049.680555555555</v>
      </c>
      <c r="M368" s="7">
        <f>F368-E368</f>
        <v>3.4722222189884633E-3</v>
      </c>
      <c r="N368">
        <f>HOUR(M368)</f>
        <v>0</v>
      </c>
      <c r="O368">
        <f>MINUTE(M368)</f>
        <v>5</v>
      </c>
      <c r="P368">
        <f>N368*60+O368</f>
        <v>5</v>
      </c>
      <c r="Q368" s="7">
        <f>G368-F368</f>
        <v>2.7777777781011537E-2</v>
      </c>
      <c r="R368">
        <f>HOUR(Q368)</f>
        <v>0</v>
      </c>
      <c r="S368">
        <f>MINUTE(Q368)</f>
        <v>40</v>
      </c>
      <c r="T368">
        <f>R368*60+S368</f>
        <v>40</v>
      </c>
      <c r="U368" s="7">
        <f>H368-G368</f>
        <v>7.2916666664241347E-2</v>
      </c>
      <c r="V368">
        <f>HOUR(U368)</f>
        <v>1</v>
      </c>
      <c r="W368">
        <f>MINUTE(U368)</f>
        <v>45</v>
      </c>
      <c r="X368">
        <f>V368*60+W368</f>
        <v>105</v>
      </c>
      <c r="Y368" s="7">
        <f>I368-H368</f>
        <v>1.3888888890505768E-2</v>
      </c>
      <c r="Z368">
        <f>HOUR(Y368)</f>
        <v>0</v>
      </c>
      <c r="AA368">
        <f>MINUTE(Y368)</f>
        <v>20</v>
      </c>
      <c r="AB368">
        <f>Z368*60+AA368</f>
        <v>20</v>
      </c>
    </row>
    <row r="369" spans="1:28" x14ac:dyDescent="0.25">
      <c r="A369">
        <v>367</v>
      </c>
      <c r="B369" t="s">
        <v>29</v>
      </c>
      <c r="C369">
        <v>1</v>
      </c>
      <c r="D369" t="s">
        <v>30</v>
      </c>
      <c r="E369" s="6">
        <v>46048.979166666664</v>
      </c>
      <c r="F369" s="6">
        <v>46048.986111111109</v>
      </c>
      <c r="G369" s="6">
        <v>46049</v>
      </c>
      <c r="H369" s="6">
        <v>46049.017361111109</v>
      </c>
      <c r="I369" s="6">
        <v>46049.018055555556</v>
      </c>
      <c r="J369" s="6">
        <v>46049.018750000003</v>
      </c>
      <c r="K369">
        <v>0.95</v>
      </c>
      <c r="L369" s="6">
        <v>46049.025694444441</v>
      </c>
      <c r="M369" s="7">
        <f>F369-E369</f>
        <v>6.9444444452528842E-3</v>
      </c>
      <c r="N369">
        <f>HOUR(M369)</f>
        <v>0</v>
      </c>
      <c r="O369">
        <f>MINUTE(M369)</f>
        <v>10</v>
      </c>
      <c r="P369">
        <f>N369*60+O369</f>
        <v>10</v>
      </c>
      <c r="Q369" s="7">
        <f>G369-F369</f>
        <v>1.3888888890505768E-2</v>
      </c>
      <c r="R369">
        <f>HOUR(Q369)</f>
        <v>0</v>
      </c>
      <c r="S369">
        <f>MINUTE(Q369)</f>
        <v>20</v>
      </c>
      <c r="T369">
        <f>R369*60+S369</f>
        <v>20</v>
      </c>
      <c r="U369" s="7">
        <f>H369-G369</f>
        <v>1.7361111109494232E-2</v>
      </c>
      <c r="V369">
        <f>HOUR(U369)</f>
        <v>0</v>
      </c>
      <c r="W369">
        <f>MINUTE(U369)</f>
        <v>25</v>
      </c>
      <c r="X369">
        <f>V369*60+W369</f>
        <v>25</v>
      </c>
      <c r="Y369" s="7">
        <f>I369-H369</f>
        <v>6.944444467080757E-4</v>
      </c>
      <c r="Z369">
        <f>HOUR(Y369)</f>
        <v>0</v>
      </c>
      <c r="AA369">
        <f>MINUTE(Y369)</f>
        <v>1</v>
      </c>
      <c r="AB369">
        <f>Z369*60+AA369</f>
        <v>1</v>
      </c>
    </row>
    <row r="370" spans="1:28" x14ac:dyDescent="0.25">
      <c r="A370">
        <v>368</v>
      </c>
      <c r="B370" t="s">
        <v>29</v>
      </c>
      <c r="C370">
        <v>1</v>
      </c>
      <c r="D370" t="s">
        <v>32</v>
      </c>
      <c r="E370" s="6">
        <v>46049.59375</v>
      </c>
      <c r="F370" s="6">
        <v>46049.600694444445</v>
      </c>
      <c r="G370" s="6">
        <v>46049.625</v>
      </c>
      <c r="H370" s="6">
        <v>46049.659722222219</v>
      </c>
      <c r="I370" s="6">
        <v>46049.666666666664</v>
      </c>
      <c r="J370" s="6">
        <v>46049.680555555555</v>
      </c>
      <c r="K370">
        <v>2.08</v>
      </c>
      <c r="L370" s="6">
        <v>46049.6875</v>
      </c>
      <c r="M370" s="7">
        <f>F370-E370</f>
        <v>6.9444444452528842E-3</v>
      </c>
      <c r="N370">
        <f>HOUR(M370)</f>
        <v>0</v>
      </c>
      <c r="O370">
        <f>MINUTE(M370)</f>
        <v>10</v>
      </c>
      <c r="P370">
        <f>N370*60+O370</f>
        <v>10</v>
      </c>
      <c r="Q370" s="7">
        <f>G370-F370</f>
        <v>2.4305555554747116E-2</v>
      </c>
      <c r="R370">
        <f>HOUR(Q370)</f>
        <v>0</v>
      </c>
      <c r="S370">
        <f>MINUTE(Q370)</f>
        <v>35</v>
      </c>
      <c r="T370">
        <f>R370*60+S370</f>
        <v>35</v>
      </c>
      <c r="U370" s="7">
        <f>H370-G370</f>
        <v>3.4722222218988463E-2</v>
      </c>
      <c r="V370">
        <f>HOUR(U370)</f>
        <v>0</v>
      </c>
      <c r="W370">
        <f>MINUTE(U370)</f>
        <v>50</v>
      </c>
      <c r="X370">
        <f>V370*60+W370</f>
        <v>50</v>
      </c>
      <c r="Y370" s="7">
        <f>I370-H370</f>
        <v>6.9444444452528842E-3</v>
      </c>
      <c r="Z370">
        <f>HOUR(Y370)</f>
        <v>0</v>
      </c>
      <c r="AA370">
        <f>MINUTE(Y370)</f>
        <v>10</v>
      </c>
      <c r="AB370">
        <f>Z370*60+AA370</f>
        <v>10</v>
      </c>
    </row>
    <row r="371" spans="1:28" x14ac:dyDescent="0.25">
      <c r="A371">
        <v>369</v>
      </c>
      <c r="B371" t="s">
        <v>31</v>
      </c>
      <c r="C371">
        <v>1</v>
      </c>
      <c r="D371" t="s">
        <v>37</v>
      </c>
      <c r="E371" s="6">
        <v>46049.496527777781</v>
      </c>
      <c r="F371" s="6">
        <v>46049.503472222219</v>
      </c>
      <c r="G371" s="6">
        <v>46049.506944444445</v>
      </c>
      <c r="H371" s="6">
        <v>46049.548611111109</v>
      </c>
      <c r="I371" s="6">
        <v>46049.555555555555</v>
      </c>
      <c r="J371" s="6">
        <v>46049.885416666664</v>
      </c>
      <c r="K371">
        <v>9.33</v>
      </c>
      <c r="L371" s="6">
        <v>46049.892361111109</v>
      </c>
      <c r="M371" s="7">
        <f>F371-E371</f>
        <v>6.9444444379769266E-3</v>
      </c>
      <c r="N371">
        <f>HOUR(M371)</f>
        <v>0</v>
      </c>
      <c r="O371">
        <f>MINUTE(M371)</f>
        <v>10</v>
      </c>
      <c r="P371">
        <f>N371*60+O371</f>
        <v>10</v>
      </c>
      <c r="Q371" s="7">
        <f>G371-F371</f>
        <v>3.4722222262644209E-3</v>
      </c>
      <c r="R371">
        <f>HOUR(Q371)</f>
        <v>0</v>
      </c>
      <c r="S371">
        <f>MINUTE(Q371)</f>
        <v>5</v>
      </c>
      <c r="T371">
        <f>R371*60+S371</f>
        <v>5</v>
      </c>
      <c r="U371" s="7">
        <f>H371-G371</f>
        <v>4.1666666664241347E-2</v>
      </c>
      <c r="V371">
        <f>HOUR(U371)</f>
        <v>1</v>
      </c>
      <c r="W371">
        <f>MINUTE(U371)</f>
        <v>0</v>
      </c>
      <c r="X371">
        <f>V371*60+W371</f>
        <v>60</v>
      </c>
      <c r="Y371" s="7">
        <f>I371-H371</f>
        <v>6.9444444452528842E-3</v>
      </c>
      <c r="Z371">
        <f>HOUR(Y371)</f>
        <v>0</v>
      </c>
      <c r="AA371">
        <f>MINUTE(Y371)</f>
        <v>10</v>
      </c>
      <c r="AB371">
        <f>Z371*60+AA371</f>
        <v>10</v>
      </c>
    </row>
    <row r="372" spans="1:28" x14ac:dyDescent="0.25">
      <c r="A372">
        <v>370</v>
      </c>
      <c r="B372" t="s">
        <v>33</v>
      </c>
      <c r="C372">
        <v>1</v>
      </c>
      <c r="D372" t="s">
        <v>36</v>
      </c>
      <c r="E372" s="6">
        <v>46049.659722222219</v>
      </c>
      <c r="F372" s="6">
        <v>46049.670138888891</v>
      </c>
      <c r="G372" s="6">
        <v>46049.680555555555</v>
      </c>
      <c r="H372" s="6">
        <v>46049.740277777775</v>
      </c>
      <c r="I372" s="6">
        <v>46049.74722222222</v>
      </c>
      <c r="J372" s="6">
        <v>46049.774305555555</v>
      </c>
      <c r="K372">
        <v>2.75</v>
      </c>
      <c r="L372" s="6">
        <v>46049.777777777781</v>
      </c>
      <c r="M372" s="7">
        <f>F372-E372</f>
        <v>1.0416666671517305E-2</v>
      </c>
      <c r="N372">
        <f>HOUR(M372)</f>
        <v>0</v>
      </c>
      <c r="O372">
        <f>MINUTE(M372)</f>
        <v>15</v>
      </c>
      <c r="P372">
        <f>N372*60+O372</f>
        <v>15</v>
      </c>
      <c r="Q372" s="7">
        <f>G372-F372</f>
        <v>1.0416666664241347E-2</v>
      </c>
      <c r="R372">
        <f>HOUR(Q372)</f>
        <v>0</v>
      </c>
      <c r="S372">
        <f>MINUTE(Q372)</f>
        <v>15</v>
      </c>
      <c r="T372">
        <f>R372*60+S372</f>
        <v>15</v>
      </c>
      <c r="U372" s="7">
        <f>H372-G372</f>
        <v>5.9722222220443655E-2</v>
      </c>
      <c r="V372">
        <f>HOUR(U372)</f>
        <v>1</v>
      </c>
      <c r="W372">
        <f>MINUTE(U372)</f>
        <v>26</v>
      </c>
      <c r="X372">
        <f>V372*60+W372</f>
        <v>86</v>
      </c>
      <c r="Y372" s="7">
        <f>I372-H372</f>
        <v>6.9444444452528842E-3</v>
      </c>
      <c r="Z372">
        <f>HOUR(Y372)</f>
        <v>0</v>
      </c>
      <c r="AA372">
        <f>MINUTE(Y372)</f>
        <v>10</v>
      </c>
      <c r="AB372">
        <f>Z372*60+AA372</f>
        <v>10</v>
      </c>
    </row>
    <row r="373" spans="1:28" x14ac:dyDescent="0.25">
      <c r="A373">
        <v>371</v>
      </c>
      <c r="B373" t="s">
        <v>29</v>
      </c>
      <c r="C373">
        <v>1</v>
      </c>
      <c r="D373" t="s">
        <v>30</v>
      </c>
      <c r="E373" s="6">
        <v>46049.552083333336</v>
      </c>
      <c r="F373" s="6">
        <v>46049.559027777781</v>
      </c>
      <c r="G373" s="6">
        <v>46049.576388888891</v>
      </c>
      <c r="H373" s="6">
        <v>46049.597222222219</v>
      </c>
      <c r="I373" s="6">
        <v>46049.604166666664</v>
      </c>
      <c r="J373" s="6">
        <v>46049.611111111109</v>
      </c>
      <c r="K373">
        <v>1.42</v>
      </c>
      <c r="L373" s="6">
        <v>46049.618055555555</v>
      </c>
      <c r="M373" s="7">
        <f>F373-E373</f>
        <v>6.9444444452528842E-3</v>
      </c>
      <c r="N373">
        <f>HOUR(M373)</f>
        <v>0</v>
      </c>
      <c r="O373">
        <f>MINUTE(M373)</f>
        <v>10</v>
      </c>
      <c r="P373">
        <f>N373*60+O373</f>
        <v>10</v>
      </c>
      <c r="Q373" s="7">
        <f>G373-F373</f>
        <v>1.7361111109494232E-2</v>
      </c>
      <c r="R373">
        <f>HOUR(Q373)</f>
        <v>0</v>
      </c>
      <c r="S373">
        <f>MINUTE(Q373)</f>
        <v>25</v>
      </c>
      <c r="T373">
        <f>R373*60+S373</f>
        <v>25</v>
      </c>
      <c r="U373" s="7">
        <f>H373-G373</f>
        <v>2.0833333328482695E-2</v>
      </c>
      <c r="V373">
        <f>HOUR(U373)</f>
        <v>0</v>
      </c>
      <c r="W373">
        <f>MINUTE(U373)</f>
        <v>30</v>
      </c>
      <c r="X373">
        <f>V373*60+W373</f>
        <v>30</v>
      </c>
      <c r="Y373" s="7">
        <f>I373-H373</f>
        <v>6.9444444452528842E-3</v>
      </c>
      <c r="Z373">
        <f>HOUR(Y373)</f>
        <v>0</v>
      </c>
      <c r="AA373">
        <f>MINUTE(Y373)</f>
        <v>10</v>
      </c>
      <c r="AB373">
        <f>Z373*60+AA373</f>
        <v>10</v>
      </c>
    </row>
    <row r="374" spans="1:28" x14ac:dyDescent="0.25">
      <c r="A374">
        <v>372</v>
      </c>
      <c r="B374" t="s">
        <v>29</v>
      </c>
      <c r="C374">
        <v>1</v>
      </c>
      <c r="D374" t="s">
        <v>30</v>
      </c>
      <c r="E374" s="6">
        <v>46049.71875</v>
      </c>
      <c r="F374" s="6">
        <v>46049.722222222219</v>
      </c>
      <c r="G374" s="6">
        <v>46049.732638888891</v>
      </c>
      <c r="H374" s="6">
        <v>46049.763888888891</v>
      </c>
      <c r="I374" s="6">
        <v>46049.767361111109</v>
      </c>
      <c r="J374" s="6">
        <v>46049.78125</v>
      </c>
      <c r="K374">
        <v>1.5</v>
      </c>
      <c r="L374" s="6">
        <v>46049.784722222219</v>
      </c>
      <c r="M374" s="7">
        <f>F374-E374</f>
        <v>3.4722222189884633E-3</v>
      </c>
      <c r="N374">
        <f>HOUR(M374)</f>
        <v>0</v>
      </c>
      <c r="O374">
        <f>MINUTE(M374)</f>
        <v>5</v>
      </c>
      <c r="P374">
        <f>N374*60+O374</f>
        <v>5</v>
      </c>
      <c r="Q374" s="7">
        <f>G374-F374</f>
        <v>1.0416666671517305E-2</v>
      </c>
      <c r="R374">
        <f>HOUR(Q374)</f>
        <v>0</v>
      </c>
      <c r="S374">
        <f>MINUTE(Q374)</f>
        <v>15</v>
      </c>
      <c r="T374">
        <f>R374*60+S374</f>
        <v>15</v>
      </c>
      <c r="U374" s="7">
        <f>H374-G374</f>
        <v>3.125E-2</v>
      </c>
      <c r="V374">
        <f>HOUR(U374)</f>
        <v>0</v>
      </c>
      <c r="W374">
        <f>MINUTE(U374)</f>
        <v>45</v>
      </c>
      <c r="X374">
        <f>V374*60+W374</f>
        <v>45</v>
      </c>
      <c r="Y374" s="7">
        <f>I374-H374</f>
        <v>3.4722222189884633E-3</v>
      </c>
      <c r="Z374">
        <f>HOUR(Y374)</f>
        <v>0</v>
      </c>
      <c r="AA374">
        <f>MINUTE(Y374)</f>
        <v>5</v>
      </c>
      <c r="AB374">
        <f>Z374*60+AA374</f>
        <v>5</v>
      </c>
    </row>
    <row r="375" spans="1:28" x14ac:dyDescent="0.25">
      <c r="A375">
        <v>373</v>
      </c>
      <c r="B375" t="s">
        <v>33</v>
      </c>
      <c r="C375">
        <v>1</v>
      </c>
      <c r="D375" t="s">
        <v>36</v>
      </c>
      <c r="E375" s="6">
        <v>46050.722222222219</v>
      </c>
      <c r="F375" s="6">
        <v>46050.732638888891</v>
      </c>
      <c r="G375" s="6">
        <v>46050.75</v>
      </c>
      <c r="H375" s="6">
        <v>46050.770833333336</v>
      </c>
      <c r="I375" s="6">
        <v>46050.774305555555</v>
      </c>
      <c r="J375" s="6">
        <v>46050.78125</v>
      </c>
      <c r="K375">
        <v>1.42</v>
      </c>
      <c r="L375" s="6">
        <v>46050.781944444447</v>
      </c>
      <c r="M375" s="7">
        <f>F375-E375</f>
        <v>1.0416666671517305E-2</v>
      </c>
      <c r="N375">
        <f>HOUR(M375)</f>
        <v>0</v>
      </c>
      <c r="O375">
        <f>MINUTE(M375)</f>
        <v>15</v>
      </c>
      <c r="P375">
        <f>N375*60+O375</f>
        <v>15</v>
      </c>
      <c r="Q375" s="7">
        <f>G375-F375</f>
        <v>1.7361111109494232E-2</v>
      </c>
      <c r="R375">
        <f>HOUR(Q375)</f>
        <v>0</v>
      </c>
      <c r="S375">
        <f>MINUTE(Q375)</f>
        <v>25</v>
      </c>
      <c r="T375">
        <f>R375*60+S375</f>
        <v>25</v>
      </c>
      <c r="U375" s="7">
        <f>H375-G375</f>
        <v>2.0833333335758653E-2</v>
      </c>
      <c r="V375">
        <f>HOUR(U375)</f>
        <v>0</v>
      </c>
      <c r="W375">
        <f>MINUTE(U375)</f>
        <v>30</v>
      </c>
      <c r="X375">
        <f>V375*60+W375</f>
        <v>30</v>
      </c>
      <c r="Y375" s="7">
        <f>I375-H375</f>
        <v>3.4722222189884633E-3</v>
      </c>
      <c r="Z375">
        <f>HOUR(Y375)</f>
        <v>0</v>
      </c>
      <c r="AA375">
        <f>MINUTE(Y375)</f>
        <v>5</v>
      </c>
      <c r="AB375">
        <f>Z375*60+AA375</f>
        <v>5</v>
      </c>
    </row>
    <row r="376" spans="1:28" x14ac:dyDescent="0.25">
      <c r="A376">
        <v>374</v>
      </c>
      <c r="B376" t="s">
        <v>29</v>
      </c>
      <c r="C376">
        <v>1</v>
      </c>
      <c r="D376" t="s">
        <v>36</v>
      </c>
      <c r="E376" s="6">
        <v>46050.677083333336</v>
      </c>
      <c r="F376" s="6">
        <v>46050.694444444445</v>
      </c>
      <c r="G376" s="6">
        <v>46050.708333333336</v>
      </c>
      <c r="H376" s="6">
        <v>46050.772222222222</v>
      </c>
      <c r="I376" s="6">
        <v>46050.779166666667</v>
      </c>
      <c r="J376" s="6">
        <v>46050.784722222219</v>
      </c>
      <c r="K376">
        <v>2.58</v>
      </c>
      <c r="L376" s="6">
        <v>46050.788194444445</v>
      </c>
      <c r="M376" s="7">
        <f>F376-E376</f>
        <v>1.7361111109494232E-2</v>
      </c>
      <c r="N376">
        <f>HOUR(M376)</f>
        <v>0</v>
      </c>
      <c r="O376">
        <f>MINUTE(M376)</f>
        <v>25</v>
      </c>
      <c r="P376">
        <f>N376*60+O376</f>
        <v>25</v>
      </c>
      <c r="Q376" s="7">
        <f>G376-F376</f>
        <v>1.3888888890505768E-2</v>
      </c>
      <c r="R376">
        <f>HOUR(Q376)</f>
        <v>0</v>
      </c>
      <c r="S376">
        <f>MINUTE(Q376)</f>
        <v>20</v>
      </c>
      <c r="T376">
        <f>R376*60+S376</f>
        <v>20</v>
      </c>
      <c r="U376" s="7">
        <f>H376-G376</f>
        <v>6.3888888886140194E-2</v>
      </c>
      <c r="V376">
        <f>HOUR(U376)</f>
        <v>1</v>
      </c>
      <c r="W376">
        <f>MINUTE(U376)</f>
        <v>32</v>
      </c>
      <c r="X376">
        <f>V376*60+W376</f>
        <v>92</v>
      </c>
      <c r="Y376" s="7">
        <f>I376-H376</f>
        <v>6.9444444452528842E-3</v>
      </c>
      <c r="Z376">
        <f>HOUR(Y376)</f>
        <v>0</v>
      </c>
      <c r="AA376">
        <f>MINUTE(Y376)</f>
        <v>10</v>
      </c>
      <c r="AB376">
        <f>Z376*60+AA376</f>
        <v>10</v>
      </c>
    </row>
    <row r="377" spans="1:28" x14ac:dyDescent="0.25">
      <c r="A377">
        <v>375</v>
      </c>
      <c r="B377" t="s">
        <v>29</v>
      </c>
      <c r="C377">
        <v>1</v>
      </c>
      <c r="D377" t="s">
        <v>32</v>
      </c>
      <c r="E377" s="6">
        <v>46049.729166666664</v>
      </c>
      <c r="F377" s="6">
        <v>46049.736111111109</v>
      </c>
      <c r="G377" s="6">
        <v>46049.743055555555</v>
      </c>
      <c r="H377" s="6">
        <v>46049.784722222219</v>
      </c>
      <c r="I377" s="6">
        <v>46049.791666666664</v>
      </c>
      <c r="J377" s="6">
        <v>46049.805555555555</v>
      </c>
      <c r="K377">
        <v>1.83</v>
      </c>
      <c r="L377" s="6">
        <v>46049.809027777781</v>
      </c>
      <c r="M377" s="7">
        <f>F377-E377</f>
        <v>6.9444444452528842E-3</v>
      </c>
      <c r="N377">
        <f>HOUR(M377)</f>
        <v>0</v>
      </c>
      <c r="O377">
        <f>MINUTE(M377)</f>
        <v>10</v>
      </c>
      <c r="P377">
        <f>N377*60+O377</f>
        <v>10</v>
      </c>
      <c r="Q377" s="7">
        <f>G377-F377</f>
        <v>6.9444444452528842E-3</v>
      </c>
      <c r="R377">
        <f>HOUR(Q377)</f>
        <v>0</v>
      </c>
      <c r="S377">
        <f>MINUTE(Q377)</f>
        <v>10</v>
      </c>
      <c r="T377">
        <f>R377*60+S377</f>
        <v>10</v>
      </c>
      <c r="U377" s="7">
        <f>H377-G377</f>
        <v>4.1666666664241347E-2</v>
      </c>
      <c r="V377">
        <f>HOUR(U377)</f>
        <v>1</v>
      </c>
      <c r="W377">
        <f>MINUTE(U377)</f>
        <v>0</v>
      </c>
      <c r="X377">
        <f>V377*60+W377</f>
        <v>60</v>
      </c>
      <c r="Y377" s="7">
        <f>I377-H377</f>
        <v>6.9444444452528842E-3</v>
      </c>
      <c r="Z377">
        <f>HOUR(Y377)</f>
        <v>0</v>
      </c>
      <c r="AA377">
        <f>MINUTE(Y377)</f>
        <v>10</v>
      </c>
      <c r="AB377">
        <f>Z377*60+AA377</f>
        <v>10</v>
      </c>
    </row>
    <row r="378" spans="1:28" x14ac:dyDescent="0.25">
      <c r="A378">
        <v>376</v>
      </c>
      <c r="B378" t="s">
        <v>31</v>
      </c>
      <c r="C378">
        <v>1</v>
      </c>
      <c r="D378" t="s">
        <v>30</v>
      </c>
      <c r="E378" s="6">
        <v>46049.944444444445</v>
      </c>
      <c r="F378" s="6">
        <v>46049.954861111109</v>
      </c>
      <c r="G378" s="6">
        <v>46049.965277777781</v>
      </c>
      <c r="H378" s="6">
        <v>46050.069444444445</v>
      </c>
      <c r="I378" s="6">
        <v>46050.076388888891</v>
      </c>
      <c r="J378" s="6">
        <v>46050.895833333336</v>
      </c>
      <c r="K378">
        <v>22.83</v>
      </c>
      <c r="L378" s="6">
        <v>46050.902777777781</v>
      </c>
      <c r="M378" s="7">
        <f>F378-E378</f>
        <v>1.0416666664241347E-2</v>
      </c>
      <c r="N378">
        <f>HOUR(M378)</f>
        <v>0</v>
      </c>
      <c r="O378">
        <f>MINUTE(M378)</f>
        <v>15</v>
      </c>
      <c r="P378">
        <f>N378*60+O378</f>
        <v>15</v>
      </c>
      <c r="Q378" s="7">
        <f>G378-F378</f>
        <v>1.0416666671517305E-2</v>
      </c>
      <c r="R378">
        <f>HOUR(Q378)</f>
        <v>0</v>
      </c>
      <c r="S378">
        <f>MINUTE(Q378)</f>
        <v>15</v>
      </c>
      <c r="T378">
        <f>R378*60+S378</f>
        <v>15</v>
      </c>
      <c r="U378" s="7">
        <f>H378-G378</f>
        <v>0.10416666666424135</v>
      </c>
      <c r="V378">
        <f>HOUR(U378)</f>
        <v>2</v>
      </c>
      <c r="W378">
        <f>MINUTE(U378)</f>
        <v>30</v>
      </c>
      <c r="X378">
        <f>V378*60+W378</f>
        <v>150</v>
      </c>
      <c r="Y378" s="7">
        <f>I378-H378</f>
        <v>6.9444444452528842E-3</v>
      </c>
      <c r="Z378">
        <f>HOUR(Y378)</f>
        <v>0</v>
      </c>
      <c r="AA378">
        <f>MINUTE(Y378)</f>
        <v>10</v>
      </c>
      <c r="AB378">
        <f>Z378*60+AA378</f>
        <v>10</v>
      </c>
    </row>
    <row r="379" spans="1:28" x14ac:dyDescent="0.25">
      <c r="A379">
        <v>377</v>
      </c>
      <c r="B379" t="s">
        <v>31</v>
      </c>
      <c r="C379">
        <v>1</v>
      </c>
      <c r="D379" t="s">
        <v>30</v>
      </c>
      <c r="E379" s="6">
        <v>46049.888888888891</v>
      </c>
      <c r="F379" s="6">
        <v>46049.895833333336</v>
      </c>
      <c r="G379" s="6">
        <v>46049.899305555555</v>
      </c>
      <c r="H379" s="6">
        <v>46049.958333333336</v>
      </c>
      <c r="I379" s="6">
        <v>46049.965277777781</v>
      </c>
      <c r="J379" s="6">
        <v>46049.975694444445</v>
      </c>
      <c r="K379">
        <v>2.08</v>
      </c>
      <c r="L379" s="6">
        <v>46049.982638888891</v>
      </c>
      <c r="M379" s="7">
        <f>F379-E379</f>
        <v>6.9444444452528842E-3</v>
      </c>
      <c r="N379">
        <f>HOUR(M379)</f>
        <v>0</v>
      </c>
      <c r="O379">
        <f>MINUTE(M379)</f>
        <v>10</v>
      </c>
      <c r="P379">
        <f>N379*60+O379</f>
        <v>10</v>
      </c>
      <c r="Q379" s="7">
        <f>G379-F379</f>
        <v>3.4722222189884633E-3</v>
      </c>
      <c r="R379">
        <f>HOUR(Q379)</f>
        <v>0</v>
      </c>
      <c r="S379">
        <f>MINUTE(Q379)</f>
        <v>5</v>
      </c>
      <c r="T379">
        <f>R379*60+S379</f>
        <v>5</v>
      </c>
      <c r="U379" s="7">
        <f>H379-G379</f>
        <v>5.9027777781011537E-2</v>
      </c>
      <c r="V379">
        <f>HOUR(U379)</f>
        <v>1</v>
      </c>
      <c r="W379">
        <f>MINUTE(U379)</f>
        <v>25</v>
      </c>
      <c r="X379">
        <f>V379*60+W379</f>
        <v>85</v>
      </c>
      <c r="Y379" s="7">
        <f>I379-H379</f>
        <v>6.9444444452528842E-3</v>
      </c>
      <c r="Z379">
        <f>HOUR(Y379)</f>
        <v>0</v>
      </c>
      <c r="AA379">
        <f>MINUTE(Y379)</f>
        <v>10</v>
      </c>
      <c r="AB379">
        <f>Z379*60+AA379</f>
        <v>10</v>
      </c>
    </row>
    <row r="380" spans="1:28" x14ac:dyDescent="0.25">
      <c r="A380">
        <v>378</v>
      </c>
      <c r="B380" t="s">
        <v>29</v>
      </c>
      <c r="C380">
        <v>1</v>
      </c>
      <c r="D380" t="s">
        <v>30</v>
      </c>
      <c r="E380" s="6">
        <v>46049.833333333336</v>
      </c>
      <c r="F380" s="6">
        <v>46049.84375</v>
      </c>
      <c r="G380" s="6">
        <v>46049.854166666664</v>
      </c>
      <c r="H380" s="6">
        <v>46049.864583333336</v>
      </c>
      <c r="I380" s="6">
        <v>46049.871527777781</v>
      </c>
      <c r="J380" s="6">
        <v>46049.878472222219</v>
      </c>
      <c r="K380">
        <v>1.08</v>
      </c>
      <c r="L380" s="6">
        <v>46049.879166666666</v>
      </c>
      <c r="M380" s="7">
        <f>F380-E380</f>
        <v>1.0416666664241347E-2</v>
      </c>
      <c r="N380">
        <f>HOUR(M380)</f>
        <v>0</v>
      </c>
      <c r="O380">
        <f>MINUTE(M380)</f>
        <v>15</v>
      </c>
      <c r="P380">
        <f>N380*60+O380</f>
        <v>15</v>
      </c>
      <c r="Q380" s="7">
        <f>G380-F380</f>
        <v>1.0416666664241347E-2</v>
      </c>
      <c r="R380">
        <f>HOUR(Q380)</f>
        <v>0</v>
      </c>
      <c r="S380">
        <f>MINUTE(Q380)</f>
        <v>15</v>
      </c>
      <c r="T380">
        <f>R380*60+S380</f>
        <v>15</v>
      </c>
      <c r="U380" s="7">
        <f>H380-G380</f>
        <v>1.0416666671517305E-2</v>
      </c>
      <c r="V380">
        <f>HOUR(U380)</f>
        <v>0</v>
      </c>
      <c r="W380">
        <f>MINUTE(U380)</f>
        <v>15</v>
      </c>
      <c r="X380">
        <f>V380*60+W380</f>
        <v>15</v>
      </c>
      <c r="Y380" s="7">
        <f>I380-H380</f>
        <v>6.9444444452528842E-3</v>
      </c>
      <c r="Z380">
        <f>HOUR(Y380)</f>
        <v>0</v>
      </c>
      <c r="AA380">
        <f>MINUTE(Y380)</f>
        <v>10</v>
      </c>
      <c r="AB380">
        <f>Z380*60+AA380</f>
        <v>10</v>
      </c>
    </row>
    <row r="381" spans="1:28" x14ac:dyDescent="0.25">
      <c r="A381">
        <v>379</v>
      </c>
      <c r="B381" t="s">
        <v>31</v>
      </c>
      <c r="C381">
        <v>1</v>
      </c>
      <c r="D381" t="s">
        <v>30</v>
      </c>
      <c r="E381" s="6">
        <v>46050.048611111109</v>
      </c>
      <c r="F381" s="6">
        <v>46050.055555555555</v>
      </c>
      <c r="G381" s="6">
        <v>46050.0625</v>
      </c>
      <c r="H381" s="6">
        <v>46050.083333333336</v>
      </c>
      <c r="I381" s="6">
        <v>46050.090277777781</v>
      </c>
      <c r="J381" s="6">
        <v>46050.09375</v>
      </c>
      <c r="K381">
        <v>1.08</v>
      </c>
      <c r="L381" s="6">
        <v>46050.100694444445</v>
      </c>
      <c r="M381" s="7">
        <f>F381-E381</f>
        <v>6.9444444452528842E-3</v>
      </c>
      <c r="N381">
        <f>HOUR(M381)</f>
        <v>0</v>
      </c>
      <c r="O381">
        <f>MINUTE(M381)</f>
        <v>10</v>
      </c>
      <c r="P381">
        <f>N381*60+O381</f>
        <v>10</v>
      </c>
      <c r="Q381" s="7">
        <f>G381-F381</f>
        <v>6.9444444452528842E-3</v>
      </c>
      <c r="R381">
        <f>HOUR(Q381)</f>
        <v>0</v>
      </c>
      <c r="S381">
        <f>MINUTE(Q381)</f>
        <v>10</v>
      </c>
      <c r="T381">
        <f>R381*60+S381</f>
        <v>10</v>
      </c>
      <c r="U381" s="7">
        <f>H381-G381</f>
        <v>2.0833333335758653E-2</v>
      </c>
      <c r="V381">
        <f>HOUR(U381)</f>
        <v>0</v>
      </c>
      <c r="W381">
        <f>MINUTE(U381)</f>
        <v>30</v>
      </c>
      <c r="X381">
        <f>V381*60+W381</f>
        <v>30</v>
      </c>
      <c r="Y381" s="7">
        <f>I381-H381</f>
        <v>6.9444444452528842E-3</v>
      </c>
      <c r="Z381">
        <f>HOUR(Y381)</f>
        <v>0</v>
      </c>
      <c r="AA381">
        <f>MINUTE(Y381)</f>
        <v>10</v>
      </c>
      <c r="AB381">
        <f>Z381*60+AA381</f>
        <v>10</v>
      </c>
    </row>
    <row r="382" spans="1:28" x14ac:dyDescent="0.25">
      <c r="A382">
        <v>380</v>
      </c>
      <c r="B382" t="s">
        <v>29</v>
      </c>
      <c r="C382">
        <v>1</v>
      </c>
      <c r="D382" t="s">
        <v>30</v>
      </c>
      <c r="E382" s="6">
        <v>46050.034722222219</v>
      </c>
      <c r="F382" s="6">
        <v>46050.038194444445</v>
      </c>
      <c r="G382" s="6">
        <v>46050.069444444445</v>
      </c>
      <c r="H382" s="6">
        <v>46050.104166666664</v>
      </c>
      <c r="I382" s="6">
        <v>46050.111111111109</v>
      </c>
      <c r="J382" s="6">
        <v>46050.114583333336</v>
      </c>
      <c r="K382">
        <v>1.92</v>
      </c>
      <c r="L382" s="6">
        <v>46050.121527777781</v>
      </c>
      <c r="M382" s="7">
        <f>F382-E382</f>
        <v>3.4722222262644209E-3</v>
      </c>
      <c r="N382">
        <f>HOUR(M382)</f>
        <v>0</v>
      </c>
      <c r="O382">
        <f>MINUTE(M382)</f>
        <v>5</v>
      </c>
      <c r="P382">
        <f>N382*60+O382</f>
        <v>5</v>
      </c>
      <c r="Q382" s="7">
        <f>G382-F382</f>
        <v>3.125E-2</v>
      </c>
      <c r="R382">
        <f>HOUR(Q382)</f>
        <v>0</v>
      </c>
      <c r="S382">
        <f>MINUTE(Q382)</f>
        <v>45</v>
      </c>
      <c r="T382">
        <f>R382*60+S382</f>
        <v>45</v>
      </c>
      <c r="U382" s="7">
        <f>H382-G382</f>
        <v>3.4722222218988463E-2</v>
      </c>
      <c r="V382">
        <f>HOUR(U382)</f>
        <v>0</v>
      </c>
      <c r="W382">
        <f>MINUTE(U382)</f>
        <v>50</v>
      </c>
      <c r="X382">
        <f>V382*60+W382</f>
        <v>50</v>
      </c>
      <c r="Y382" s="7">
        <f>I382-H382</f>
        <v>6.9444444452528842E-3</v>
      </c>
      <c r="Z382">
        <f>HOUR(Y382)</f>
        <v>0</v>
      </c>
      <c r="AA382">
        <f>MINUTE(Y382)</f>
        <v>10</v>
      </c>
      <c r="AB382">
        <f>Z382*60+AA382</f>
        <v>10</v>
      </c>
    </row>
    <row r="383" spans="1:28" x14ac:dyDescent="0.25">
      <c r="A383">
        <v>381</v>
      </c>
      <c r="B383" t="s">
        <v>29</v>
      </c>
      <c r="C383">
        <v>1</v>
      </c>
      <c r="D383" t="s">
        <v>35</v>
      </c>
      <c r="E383" s="6">
        <v>46050.444444444445</v>
      </c>
      <c r="F383" s="6">
        <v>46050.451388888891</v>
      </c>
      <c r="G383" s="6">
        <v>46050.475694444445</v>
      </c>
      <c r="H383" s="6">
        <v>46050.510416666664</v>
      </c>
      <c r="I383" s="6">
        <v>46050.513888888891</v>
      </c>
      <c r="J383" s="6">
        <v>46050.520833333336</v>
      </c>
      <c r="K383">
        <v>1.83</v>
      </c>
      <c r="L383" s="6">
        <v>46050.527777777781</v>
      </c>
      <c r="M383" s="7">
        <f>F383-E383</f>
        <v>6.9444444452528842E-3</v>
      </c>
      <c r="N383">
        <f>HOUR(M383)</f>
        <v>0</v>
      </c>
      <c r="O383">
        <f>MINUTE(M383)</f>
        <v>10</v>
      </c>
      <c r="P383">
        <f>N383*60+O383</f>
        <v>10</v>
      </c>
      <c r="Q383" s="7">
        <f>G383-F383</f>
        <v>2.4305555554747116E-2</v>
      </c>
      <c r="R383">
        <f>HOUR(Q383)</f>
        <v>0</v>
      </c>
      <c r="S383">
        <f>MINUTE(Q383)</f>
        <v>35</v>
      </c>
      <c r="T383">
        <f>R383*60+S383</f>
        <v>35</v>
      </c>
      <c r="U383" s="7">
        <f>H383-G383</f>
        <v>3.4722222218988463E-2</v>
      </c>
      <c r="V383">
        <f>HOUR(U383)</f>
        <v>0</v>
      </c>
      <c r="W383">
        <f>MINUTE(U383)</f>
        <v>50</v>
      </c>
      <c r="X383">
        <f>V383*60+W383</f>
        <v>50</v>
      </c>
      <c r="Y383" s="7">
        <f>I383-H383</f>
        <v>3.4722222262644209E-3</v>
      </c>
      <c r="Z383">
        <f>HOUR(Y383)</f>
        <v>0</v>
      </c>
      <c r="AA383">
        <f>MINUTE(Y383)</f>
        <v>5</v>
      </c>
      <c r="AB383">
        <f>Z383*60+AA383</f>
        <v>5</v>
      </c>
    </row>
    <row r="384" spans="1:28" x14ac:dyDescent="0.25">
      <c r="A384">
        <v>382</v>
      </c>
      <c r="B384" t="s">
        <v>31</v>
      </c>
      <c r="C384">
        <v>1</v>
      </c>
      <c r="D384" t="s">
        <v>37</v>
      </c>
      <c r="E384" s="6">
        <v>46050.166666666664</v>
      </c>
      <c r="F384" s="6">
        <v>46050.177083333336</v>
      </c>
      <c r="G384" s="6">
        <v>46050.1875</v>
      </c>
      <c r="H384" s="6">
        <v>46050.21875</v>
      </c>
      <c r="I384" s="6">
        <v>46050.225694444445</v>
      </c>
      <c r="J384" s="6">
        <v>46050.690972222219</v>
      </c>
      <c r="K384">
        <v>12.58</v>
      </c>
      <c r="L384" s="6">
        <v>46050.692361111112</v>
      </c>
      <c r="M384" s="7">
        <f>F384-E384</f>
        <v>1.0416666671517305E-2</v>
      </c>
      <c r="N384">
        <f>HOUR(M384)</f>
        <v>0</v>
      </c>
      <c r="O384">
        <f>MINUTE(M384)</f>
        <v>15</v>
      </c>
      <c r="P384">
        <f>N384*60+O384</f>
        <v>15</v>
      </c>
      <c r="Q384" s="7">
        <f>G384-F384</f>
        <v>1.0416666664241347E-2</v>
      </c>
      <c r="R384">
        <f>HOUR(Q384)</f>
        <v>0</v>
      </c>
      <c r="S384">
        <f>MINUTE(Q384)</f>
        <v>15</v>
      </c>
      <c r="T384">
        <f>R384*60+S384</f>
        <v>15</v>
      </c>
      <c r="U384" s="7">
        <f>H384-G384</f>
        <v>3.125E-2</v>
      </c>
      <c r="V384">
        <f>HOUR(U384)</f>
        <v>0</v>
      </c>
      <c r="W384">
        <f>MINUTE(U384)</f>
        <v>45</v>
      </c>
      <c r="X384">
        <f>V384*60+W384</f>
        <v>45</v>
      </c>
      <c r="Y384" s="7">
        <f>I384-H384</f>
        <v>6.9444444452528842E-3</v>
      </c>
      <c r="Z384">
        <f>HOUR(Y384)</f>
        <v>0</v>
      </c>
      <c r="AA384">
        <f>MINUTE(Y384)</f>
        <v>10</v>
      </c>
      <c r="AB384">
        <f>Z384*60+AA384</f>
        <v>10</v>
      </c>
    </row>
    <row r="385" spans="1:28" x14ac:dyDescent="0.25">
      <c r="A385">
        <v>383</v>
      </c>
      <c r="B385" t="s">
        <v>31</v>
      </c>
      <c r="C385">
        <v>1</v>
      </c>
      <c r="D385" t="s">
        <v>30</v>
      </c>
      <c r="E385" s="6">
        <v>46050.225694444445</v>
      </c>
      <c r="F385" s="6">
        <v>46050.236111111109</v>
      </c>
      <c r="G385" s="6">
        <v>46050.5</v>
      </c>
      <c r="H385" s="6">
        <v>46050.538888888892</v>
      </c>
      <c r="I385" s="6">
        <v>46050.614583333336</v>
      </c>
      <c r="J385" s="6">
        <v>46050.618055555555</v>
      </c>
      <c r="K385">
        <v>9.42</v>
      </c>
      <c r="L385" s="6">
        <v>46050.625</v>
      </c>
      <c r="M385" s="7">
        <f>F385-E385</f>
        <v>1.0416666664241347E-2</v>
      </c>
      <c r="N385">
        <f>HOUR(M385)</f>
        <v>0</v>
      </c>
      <c r="O385">
        <f>MINUTE(M385)</f>
        <v>15</v>
      </c>
      <c r="P385">
        <f>N385*60+O385</f>
        <v>15</v>
      </c>
      <c r="Q385" s="7">
        <f>G385-F385</f>
        <v>0.26388888889050577</v>
      </c>
      <c r="R385">
        <f>HOUR(Q385)</f>
        <v>6</v>
      </c>
      <c r="S385">
        <f>MINUTE(Q385)</f>
        <v>20</v>
      </c>
      <c r="T385">
        <f>R385*60+S385</f>
        <v>380</v>
      </c>
      <c r="U385" s="7">
        <f>H385-G385</f>
        <v>3.888888889196096E-2</v>
      </c>
      <c r="V385">
        <f>HOUR(U385)</f>
        <v>0</v>
      </c>
      <c r="W385">
        <f>MINUTE(U385)</f>
        <v>56</v>
      </c>
      <c r="X385">
        <f>V385*60+W385</f>
        <v>56</v>
      </c>
      <c r="Y385" s="7">
        <f>I385-H385</f>
        <v>7.5694444443797693E-2</v>
      </c>
      <c r="Z385">
        <f>HOUR(Y385)</f>
        <v>1</v>
      </c>
      <c r="AA385">
        <f>MINUTE(Y385)</f>
        <v>49</v>
      </c>
      <c r="AB385">
        <f>Z385*60+AA385</f>
        <v>109</v>
      </c>
    </row>
    <row r="386" spans="1:28" x14ac:dyDescent="0.25">
      <c r="A386">
        <v>384</v>
      </c>
      <c r="B386" t="s">
        <v>33</v>
      </c>
      <c r="C386">
        <v>1</v>
      </c>
      <c r="D386" t="s">
        <v>30</v>
      </c>
      <c r="E386" s="6">
        <v>46050.611111111109</v>
      </c>
      <c r="F386" s="6">
        <v>46050.625</v>
      </c>
      <c r="G386" s="6">
        <v>46050.642361111109</v>
      </c>
      <c r="H386" s="6">
        <v>46050.798611111109</v>
      </c>
      <c r="I386" s="6">
        <v>46050.805555555555</v>
      </c>
      <c r="J386" s="6">
        <v>46050.819444444445</v>
      </c>
      <c r="K386">
        <v>5</v>
      </c>
      <c r="L386" s="6">
        <v>46050.826388888891</v>
      </c>
      <c r="M386" s="7">
        <f>F386-E386</f>
        <v>1.3888888890505768E-2</v>
      </c>
      <c r="N386">
        <f>HOUR(M386)</f>
        <v>0</v>
      </c>
      <c r="O386">
        <f>MINUTE(M386)</f>
        <v>20</v>
      </c>
      <c r="P386">
        <f>N386*60+O386</f>
        <v>20</v>
      </c>
      <c r="Q386" s="7">
        <f>G386-F386</f>
        <v>1.7361111109494232E-2</v>
      </c>
      <c r="R386">
        <f>HOUR(Q386)</f>
        <v>0</v>
      </c>
      <c r="S386">
        <f>MINUTE(Q386)</f>
        <v>25</v>
      </c>
      <c r="T386">
        <f>R386*60+S386</f>
        <v>25</v>
      </c>
      <c r="U386" s="7">
        <f>H386-G386</f>
        <v>0.15625</v>
      </c>
      <c r="V386">
        <f>HOUR(U386)</f>
        <v>3</v>
      </c>
      <c r="W386">
        <f>MINUTE(U386)</f>
        <v>45</v>
      </c>
      <c r="X386">
        <f>V386*60+W386</f>
        <v>225</v>
      </c>
      <c r="Y386" s="7">
        <f>I386-H386</f>
        <v>6.9444444452528842E-3</v>
      </c>
      <c r="Z386">
        <f>HOUR(Y386)</f>
        <v>0</v>
      </c>
      <c r="AA386">
        <f>MINUTE(Y386)</f>
        <v>10</v>
      </c>
      <c r="AB386">
        <f>Z386*60+AA386</f>
        <v>10</v>
      </c>
    </row>
    <row r="387" spans="1:28" x14ac:dyDescent="0.25">
      <c r="A387">
        <v>385</v>
      </c>
      <c r="B387" t="s">
        <v>33</v>
      </c>
      <c r="C387">
        <v>1</v>
      </c>
      <c r="D387" t="s">
        <v>35</v>
      </c>
      <c r="E387" s="6">
        <v>46050.576388888891</v>
      </c>
      <c r="F387" s="6">
        <v>46050.583333333336</v>
      </c>
      <c r="G387" s="6">
        <v>46050.59375</v>
      </c>
      <c r="H387" s="6">
        <v>46050.625</v>
      </c>
      <c r="I387" s="6">
        <v>46050.631944444445</v>
      </c>
      <c r="J387" s="6">
        <v>46050.635416666664</v>
      </c>
      <c r="K387">
        <v>1.42</v>
      </c>
      <c r="L387" s="6">
        <v>46050.642361111109</v>
      </c>
      <c r="M387" s="7">
        <f>F387-E387</f>
        <v>6.9444444452528842E-3</v>
      </c>
      <c r="N387">
        <f>HOUR(M387)</f>
        <v>0</v>
      </c>
      <c r="O387">
        <f>MINUTE(M387)</f>
        <v>10</v>
      </c>
      <c r="P387">
        <f>N387*60+O387</f>
        <v>10</v>
      </c>
      <c r="Q387" s="7">
        <f>G387-F387</f>
        <v>1.0416666664241347E-2</v>
      </c>
      <c r="R387">
        <f>HOUR(Q387)</f>
        <v>0</v>
      </c>
      <c r="S387">
        <f>MINUTE(Q387)</f>
        <v>15</v>
      </c>
      <c r="T387">
        <f>R387*60+S387</f>
        <v>15</v>
      </c>
      <c r="U387" s="7">
        <f>H387-G387</f>
        <v>3.125E-2</v>
      </c>
      <c r="V387">
        <f>HOUR(U387)</f>
        <v>0</v>
      </c>
      <c r="W387">
        <f>MINUTE(U387)</f>
        <v>45</v>
      </c>
      <c r="X387">
        <f>V387*60+W387</f>
        <v>45</v>
      </c>
      <c r="Y387" s="7">
        <f>I387-H387</f>
        <v>6.9444444452528842E-3</v>
      </c>
      <c r="Z387">
        <f>HOUR(Y387)</f>
        <v>0</v>
      </c>
      <c r="AA387">
        <f>MINUTE(Y387)</f>
        <v>10</v>
      </c>
      <c r="AB387">
        <f>Z387*60+AA387</f>
        <v>10</v>
      </c>
    </row>
    <row r="388" spans="1:28" x14ac:dyDescent="0.25">
      <c r="A388">
        <v>386</v>
      </c>
      <c r="B388" t="s">
        <v>31</v>
      </c>
      <c r="C388">
        <v>1</v>
      </c>
      <c r="D388" t="s">
        <v>35</v>
      </c>
      <c r="E388" s="6">
        <v>46050.684027777781</v>
      </c>
      <c r="F388" s="6">
        <v>46050.694444444445</v>
      </c>
      <c r="G388" s="6">
        <v>46050.701388888891</v>
      </c>
      <c r="H388" s="6">
        <v>46050.895833333336</v>
      </c>
      <c r="I388" s="6">
        <v>46050.902777777781</v>
      </c>
      <c r="J388" s="6">
        <v>46050.916666666664</v>
      </c>
      <c r="K388">
        <v>5.58</v>
      </c>
      <c r="L388" s="6">
        <v>46050.923611111109</v>
      </c>
      <c r="M388" s="7">
        <f>F388-E388</f>
        <v>1.0416666664241347E-2</v>
      </c>
      <c r="N388">
        <f>HOUR(M388)</f>
        <v>0</v>
      </c>
      <c r="O388">
        <f>MINUTE(M388)</f>
        <v>15</v>
      </c>
      <c r="P388">
        <f>N388*60+O388</f>
        <v>15</v>
      </c>
      <c r="Q388" s="7">
        <f>G388-F388</f>
        <v>6.9444444452528842E-3</v>
      </c>
      <c r="R388">
        <f>HOUR(Q388)</f>
        <v>0</v>
      </c>
      <c r="S388">
        <f>MINUTE(Q388)</f>
        <v>10</v>
      </c>
      <c r="T388">
        <f>R388*60+S388</f>
        <v>10</v>
      </c>
      <c r="U388" s="7">
        <f>H388-G388</f>
        <v>0.19444444444525288</v>
      </c>
      <c r="V388">
        <f>HOUR(U388)</f>
        <v>4</v>
      </c>
      <c r="W388">
        <f>MINUTE(U388)</f>
        <v>40</v>
      </c>
      <c r="X388">
        <f>V388*60+W388</f>
        <v>280</v>
      </c>
      <c r="Y388" s="7">
        <f>I388-H388</f>
        <v>6.9444444452528842E-3</v>
      </c>
      <c r="Z388">
        <f>HOUR(Y388)</f>
        <v>0</v>
      </c>
      <c r="AA388">
        <f>MINUTE(Y388)</f>
        <v>10</v>
      </c>
      <c r="AB388">
        <f>Z388*60+AA388</f>
        <v>10</v>
      </c>
    </row>
    <row r="389" spans="1:28" x14ac:dyDescent="0.25">
      <c r="A389">
        <v>387</v>
      </c>
      <c r="B389" t="s">
        <v>29</v>
      </c>
      <c r="C389">
        <v>1</v>
      </c>
      <c r="D389" t="s">
        <v>36</v>
      </c>
      <c r="E389" s="6">
        <v>46051.291666666664</v>
      </c>
      <c r="F389" s="6">
        <v>46051.34375</v>
      </c>
      <c r="G389" s="6">
        <v>46051.368055555555</v>
      </c>
      <c r="H389" s="6">
        <v>46051.472222222219</v>
      </c>
      <c r="I389" s="6">
        <v>46051.479166666664</v>
      </c>
      <c r="J389" s="6">
        <v>46051.486111111109</v>
      </c>
      <c r="K389">
        <v>4.67</v>
      </c>
      <c r="L389" s="6">
        <v>46051.493055555555</v>
      </c>
      <c r="M389" s="7">
        <f>F389-E389</f>
        <v>5.2083333335758653E-2</v>
      </c>
      <c r="N389">
        <f>HOUR(M389)</f>
        <v>1</v>
      </c>
      <c r="O389">
        <f>MINUTE(M389)</f>
        <v>15</v>
      </c>
      <c r="P389">
        <f>N389*60+O389</f>
        <v>75</v>
      </c>
      <c r="Q389" s="7">
        <f>G389-F389</f>
        <v>2.4305555554747116E-2</v>
      </c>
      <c r="R389">
        <f>HOUR(Q389)</f>
        <v>0</v>
      </c>
      <c r="S389">
        <f>MINUTE(Q389)</f>
        <v>35</v>
      </c>
      <c r="T389">
        <f>R389*60+S389</f>
        <v>35</v>
      </c>
      <c r="U389" s="7">
        <f>H389-G389</f>
        <v>0.10416666666424135</v>
      </c>
      <c r="V389">
        <f>HOUR(U389)</f>
        <v>2</v>
      </c>
      <c r="W389">
        <f>MINUTE(U389)</f>
        <v>30</v>
      </c>
      <c r="X389">
        <f>V389*60+W389</f>
        <v>150</v>
      </c>
      <c r="Y389" s="7">
        <f>I389-H389</f>
        <v>6.9444444452528842E-3</v>
      </c>
      <c r="Z389">
        <f>HOUR(Y389)</f>
        <v>0</v>
      </c>
      <c r="AA389">
        <f>MINUTE(Y389)</f>
        <v>10</v>
      </c>
      <c r="AB389">
        <f>Z389*60+AA389</f>
        <v>10</v>
      </c>
    </row>
    <row r="390" spans="1:28" x14ac:dyDescent="0.25">
      <c r="A390">
        <v>388</v>
      </c>
      <c r="B390" t="s">
        <v>33</v>
      </c>
      <c r="C390">
        <v>1</v>
      </c>
      <c r="D390" t="s">
        <v>36</v>
      </c>
      <c r="E390" s="6">
        <v>46051.53125</v>
      </c>
      <c r="F390" s="6">
        <v>46051.572916666664</v>
      </c>
      <c r="G390" s="6">
        <v>46051.597222222219</v>
      </c>
      <c r="H390" s="6">
        <v>46051.708333333336</v>
      </c>
      <c r="I390" s="6">
        <v>46051.715277777781</v>
      </c>
      <c r="J390" s="6">
        <v>46051.722222222219</v>
      </c>
      <c r="K390">
        <v>4.58</v>
      </c>
      <c r="L390" s="6">
        <v>46051.729166666664</v>
      </c>
      <c r="M390" s="7">
        <f>F390-E390</f>
        <v>4.1666666664241347E-2</v>
      </c>
      <c r="N390">
        <f>HOUR(M390)</f>
        <v>1</v>
      </c>
      <c r="O390">
        <f>MINUTE(M390)</f>
        <v>0</v>
      </c>
      <c r="P390">
        <f>N390*60+O390</f>
        <v>60</v>
      </c>
      <c r="Q390" s="7">
        <f>G390-F390</f>
        <v>2.4305555554747116E-2</v>
      </c>
      <c r="R390">
        <f>HOUR(Q390)</f>
        <v>0</v>
      </c>
      <c r="S390">
        <f>MINUTE(Q390)</f>
        <v>35</v>
      </c>
      <c r="T390">
        <f>R390*60+S390</f>
        <v>35</v>
      </c>
      <c r="U390" s="7">
        <f>H390-G390</f>
        <v>0.11111111111677019</v>
      </c>
      <c r="V390">
        <f>HOUR(U390)</f>
        <v>2</v>
      </c>
      <c r="W390">
        <f>MINUTE(U390)</f>
        <v>40</v>
      </c>
      <c r="X390">
        <f>V390*60+W390</f>
        <v>160</v>
      </c>
      <c r="Y390" s="7">
        <f>I390-H390</f>
        <v>6.9444444452528842E-3</v>
      </c>
      <c r="Z390">
        <f>HOUR(Y390)</f>
        <v>0</v>
      </c>
      <c r="AA390">
        <f>MINUTE(Y390)</f>
        <v>10</v>
      </c>
      <c r="AB390">
        <f>Z390*60+AA390</f>
        <v>10</v>
      </c>
    </row>
    <row r="391" spans="1:28" x14ac:dyDescent="0.25">
      <c r="A391">
        <v>389</v>
      </c>
      <c r="B391" t="s">
        <v>33</v>
      </c>
      <c r="C391">
        <v>1</v>
      </c>
      <c r="D391" t="s">
        <v>30</v>
      </c>
      <c r="E391" s="6">
        <v>46059.572916666664</v>
      </c>
      <c r="F391" s="6">
        <v>46059.579861111109</v>
      </c>
      <c r="G391" s="6">
        <v>46059.638888888891</v>
      </c>
      <c r="H391" s="6">
        <v>46059.697222222225</v>
      </c>
      <c r="I391" s="6">
        <v>46059.70416666667</v>
      </c>
      <c r="J391" s="6">
        <v>46059.71875</v>
      </c>
      <c r="K391">
        <v>3.5</v>
      </c>
      <c r="L391" s="6">
        <v>46059.725694444445</v>
      </c>
      <c r="M391" s="7">
        <f>F391-E391</f>
        <v>6.9444444452528842E-3</v>
      </c>
      <c r="N391">
        <f>HOUR(M391)</f>
        <v>0</v>
      </c>
      <c r="O391">
        <f>MINUTE(M391)</f>
        <v>10</v>
      </c>
      <c r="P391">
        <f>N391*60+O391</f>
        <v>10</v>
      </c>
      <c r="Q391" s="7">
        <f>G391-F391</f>
        <v>5.9027777781011537E-2</v>
      </c>
      <c r="R391">
        <f>HOUR(Q391)</f>
        <v>1</v>
      </c>
      <c r="S391">
        <f>MINUTE(Q391)</f>
        <v>25</v>
      </c>
      <c r="T391">
        <f>R391*60+S391</f>
        <v>85</v>
      </c>
      <c r="U391" s="7">
        <f>H391-G391</f>
        <v>5.8333333334303461E-2</v>
      </c>
      <c r="V391">
        <f>HOUR(U391)</f>
        <v>1</v>
      </c>
      <c r="W391">
        <f>MINUTE(U391)</f>
        <v>24</v>
      </c>
      <c r="X391">
        <f>V391*60+W391</f>
        <v>84</v>
      </c>
      <c r="Y391" s="7">
        <f>I391-H391</f>
        <v>6.9444444452528842E-3</v>
      </c>
      <c r="Z391">
        <f>HOUR(Y391)</f>
        <v>0</v>
      </c>
      <c r="AA391">
        <f>MINUTE(Y391)</f>
        <v>10</v>
      </c>
      <c r="AB391">
        <f>Z391*60+AA391</f>
        <v>10</v>
      </c>
    </row>
    <row r="392" spans="1:28" x14ac:dyDescent="0.25">
      <c r="A392">
        <v>390</v>
      </c>
      <c r="B392" t="s">
        <v>31</v>
      </c>
      <c r="C392">
        <v>1</v>
      </c>
      <c r="D392" t="s">
        <v>30</v>
      </c>
      <c r="E392" s="6">
        <v>46059.572916666664</v>
      </c>
      <c r="F392" s="6">
        <v>46059.579861111109</v>
      </c>
      <c r="G392" s="6">
        <v>46059.638888888891</v>
      </c>
      <c r="H392" s="6">
        <v>46059.697222222225</v>
      </c>
      <c r="I392" s="6">
        <v>46059.70416666667</v>
      </c>
      <c r="J392" s="6">
        <v>46059.71875</v>
      </c>
      <c r="K392">
        <v>3.5</v>
      </c>
      <c r="L392" s="6">
        <v>46059.725694444445</v>
      </c>
      <c r="M392" s="7">
        <f>F392-E392</f>
        <v>6.9444444452528842E-3</v>
      </c>
      <c r="N392">
        <f>HOUR(M392)</f>
        <v>0</v>
      </c>
      <c r="O392">
        <f>MINUTE(M392)</f>
        <v>10</v>
      </c>
      <c r="P392">
        <f>N392*60+O392</f>
        <v>10</v>
      </c>
      <c r="Q392" s="7">
        <f>G392-F392</f>
        <v>5.9027777781011537E-2</v>
      </c>
      <c r="R392">
        <f>HOUR(Q392)</f>
        <v>1</v>
      </c>
      <c r="S392">
        <f>MINUTE(Q392)</f>
        <v>25</v>
      </c>
      <c r="T392">
        <f>R392*60+S392</f>
        <v>85</v>
      </c>
      <c r="U392" s="7">
        <f>H392-G392</f>
        <v>5.8333333334303461E-2</v>
      </c>
      <c r="V392">
        <f>HOUR(U392)</f>
        <v>1</v>
      </c>
      <c r="W392">
        <f>MINUTE(U392)</f>
        <v>24</v>
      </c>
      <c r="X392">
        <f>V392*60+W392</f>
        <v>84</v>
      </c>
      <c r="Y392" s="7">
        <f>I392-H392</f>
        <v>6.9444444452528842E-3</v>
      </c>
      <c r="Z392">
        <f>HOUR(Y392)</f>
        <v>0</v>
      </c>
      <c r="AA392">
        <f>MINUTE(Y392)</f>
        <v>10</v>
      </c>
      <c r="AB392">
        <f>Z392*60+AA392</f>
        <v>10</v>
      </c>
    </row>
    <row r="393" spans="1:28" x14ac:dyDescent="0.25">
      <c r="A393">
        <v>391</v>
      </c>
      <c r="B393" t="s">
        <v>33</v>
      </c>
      <c r="C393">
        <v>1</v>
      </c>
      <c r="D393" t="s">
        <v>30</v>
      </c>
      <c r="E393" s="6">
        <v>46052.594444444447</v>
      </c>
      <c r="F393" s="6">
        <v>46052.611111111109</v>
      </c>
      <c r="G393" s="6">
        <v>46052.694444444445</v>
      </c>
      <c r="H393" s="6">
        <v>46052.774305555555</v>
      </c>
      <c r="I393" s="6">
        <v>46052.791666666664</v>
      </c>
      <c r="J393" s="6">
        <v>46052.857638888891</v>
      </c>
      <c r="K393">
        <v>6.32</v>
      </c>
      <c r="L393" s="6">
        <v>46052.864583333336</v>
      </c>
      <c r="M393" s="7">
        <f>F393-E393</f>
        <v>1.6666666662786156E-2</v>
      </c>
      <c r="N393">
        <f>HOUR(M393)</f>
        <v>0</v>
      </c>
      <c r="O393">
        <f>MINUTE(M393)</f>
        <v>24</v>
      </c>
      <c r="P393">
        <f>N393*60+O393</f>
        <v>24</v>
      </c>
      <c r="Q393" s="7">
        <f>G393-F393</f>
        <v>8.3333333335758653E-2</v>
      </c>
      <c r="R393">
        <f>HOUR(Q393)</f>
        <v>2</v>
      </c>
      <c r="S393">
        <f>MINUTE(Q393)</f>
        <v>0</v>
      </c>
      <c r="T393">
        <f>R393*60+S393</f>
        <v>120</v>
      </c>
      <c r="U393" s="7">
        <f>H393-G393</f>
        <v>7.9861111109494232E-2</v>
      </c>
      <c r="V393">
        <f>HOUR(U393)</f>
        <v>1</v>
      </c>
      <c r="W393">
        <f>MINUTE(U393)</f>
        <v>55</v>
      </c>
      <c r="X393">
        <f>V393*60+W393</f>
        <v>115</v>
      </c>
      <c r="Y393" s="7">
        <f>I393-H393</f>
        <v>1.7361111109494232E-2</v>
      </c>
      <c r="Z393">
        <f>HOUR(Y393)</f>
        <v>0</v>
      </c>
      <c r="AA393">
        <f>MINUTE(Y393)</f>
        <v>25</v>
      </c>
      <c r="AB393">
        <f>Z393*60+AA393</f>
        <v>25</v>
      </c>
    </row>
    <row r="394" spans="1:28" x14ac:dyDescent="0.25">
      <c r="A394">
        <v>392</v>
      </c>
      <c r="B394" t="s">
        <v>29</v>
      </c>
      <c r="C394">
        <v>1</v>
      </c>
      <c r="D394" t="s">
        <v>37</v>
      </c>
      <c r="E394" s="6">
        <v>46051.243055555555</v>
      </c>
      <c r="F394" s="6">
        <v>46051.246527777781</v>
      </c>
      <c r="G394" s="6">
        <v>46051.25</v>
      </c>
      <c r="H394" s="6">
        <v>46051.277777777781</v>
      </c>
      <c r="I394" s="6">
        <v>46051.27847222222</v>
      </c>
      <c r="J394" s="6">
        <v>46051.28125</v>
      </c>
      <c r="K394">
        <v>0.92</v>
      </c>
      <c r="L394" s="6">
        <v>46051.282638888886</v>
      </c>
      <c r="M394" s="7">
        <f>F394-E394</f>
        <v>3.4722222262644209E-3</v>
      </c>
      <c r="N394">
        <f>HOUR(M394)</f>
        <v>0</v>
      </c>
      <c r="O394">
        <f>MINUTE(M394)</f>
        <v>5</v>
      </c>
      <c r="P394">
        <f>N394*60+O394</f>
        <v>5</v>
      </c>
      <c r="Q394" s="7">
        <f>G394-F394</f>
        <v>3.4722222189884633E-3</v>
      </c>
      <c r="R394">
        <f>HOUR(Q394)</f>
        <v>0</v>
      </c>
      <c r="S394">
        <f>MINUTE(Q394)</f>
        <v>5</v>
      </c>
      <c r="T394">
        <f>R394*60+S394</f>
        <v>5</v>
      </c>
      <c r="U394" s="7">
        <f>H394-G394</f>
        <v>2.7777777781011537E-2</v>
      </c>
      <c r="V394">
        <f>HOUR(U394)</f>
        <v>0</v>
      </c>
      <c r="W394">
        <f>MINUTE(U394)</f>
        <v>40</v>
      </c>
      <c r="X394">
        <f>V394*60+W394</f>
        <v>40</v>
      </c>
      <c r="Y394" s="7">
        <f>I394-H394</f>
        <v>6.9444443943211809E-4</v>
      </c>
      <c r="Z394">
        <f>HOUR(Y394)</f>
        <v>0</v>
      </c>
      <c r="AA394">
        <f>MINUTE(Y394)</f>
        <v>1</v>
      </c>
      <c r="AB394">
        <f>Z394*60+AA394</f>
        <v>1</v>
      </c>
    </row>
    <row r="395" spans="1:28" x14ac:dyDescent="0.25">
      <c r="A395">
        <v>393</v>
      </c>
      <c r="B395" t="s">
        <v>31</v>
      </c>
      <c r="C395">
        <v>1</v>
      </c>
      <c r="D395" t="s">
        <v>30</v>
      </c>
      <c r="E395" s="6">
        <v>46051.291666666664</v>
      </c>
      <c r="F395" s="6">
        <v>46051.322916666664</v>
      </c>
      <c r="G395" s="6">
        <v>46051.340277777781</v>
      </c>
      <c r="H395" s="6">
        <v>46051.418055555558</v>
      </c>
      <c r="I395" s="6">
        <v>46051.420138888891</v>
      </c>
      <c r="J395" s="6">
        <v>46051.430555555555</v>
      </c>
      <c r="K395">
        <v>3.33</v>
      </c>
      <c r="L395" s="6">
        <v>46051.434027777781</v>
      </c>
      <c r="M395" s="7">
        <f>F395-E395</f>
        <v>3.125E-2</v>
      </c>
      <c r="N395">
        <f>HOUR(M395)</f>
        <v>0</v>
      </c>
      <c r="O395">
        <f>MINUTE(M395)</f>
        <v>45</v>
      </c>
      <c r="P395">
        <f>N395*60+O395</f>
        <v>45</v>
      </c>
      <c r="Q395" s="7">
        <f>G395-F395</f>
        <v>1.7361111116770189E-2</v>
      </c>
      <c r="R395">
        <f>HOUR(Q395)</f>
        <v>0</v>
      </c>
      <c r="S395">
        <f>MINUTE(Q395)</f>
        <v>25</v>
      </c>
      <c r="T395">
        <f>R395*60+S395</f>
        <v>25</v>
      </c>
      <c r="U395" s="7">
        <f>H395-G395</f>
        <v>7.7777777776645962E-2</v>
      </c>
      <c r="V395">
        <f>HOUR(U395)</f>
        <v>1</v>
      </c>
      <c r="W395">
        <f>MINUTE(U395)</f>
        <v>52</v>
      </c>
      <c r="X395">
        <f>V395*60+W395</f>
        <v>112</v>
      </c>
      <c r="Y395" s="7">
        <f>I395-H395</f>
        <v>2.0833333328482695E-3</v>
      </c>
      <c r="Z395">
        <f>HOUR(Y395)</f>
        <v>0</v>
      </c>
      <c r="AA395">
        <f>MINUTE(Y395)</f>
        <v>3</v>
      </c>
      <c r="AB395">
        <f>Z395*60+AA395</f>
        <v>3</v>
      </c>
    </row>
    <row r="396" spans="1:28" x14ac:dyDescent="0.25">
      <c r="A396">
        <v>394</v>
      </c>
      <c r="B396" t="s">
        <v>31</v>
      </c>
      <c r="C396">
        <v>1</v>
      </c>
      <c r="D396" t="s">
        <v>35</v>
      </c>
      <c r="E396" s="6">
        <v>46051.46875</v>
      </c>
      <c r="F396" s="6">
        <v>46051.503472222219</v>
      </c>
      <c r="G396" s="6">
        <v>46051.517361111109</v>
      </c>
      <c r="H396" s="6">
        <v>46051.615277777775</v>
      </c>
      <c r="I396" s="6">
        <v>46051.62222222222</v>
      </c>
      <c r="J396" s="6">
        <v>46051.631944444445</v>
      </c>
      <c r="K396">
        <v>3.92</v>
      </c>
      <c r="L396" s="6">
        <v>46051.635416666664</v>
      </c>
      <c r="M396" s="7">
        <f>F396-E396</f>
        <v>3.4722222218988463E-2</v>
      </c>
      <c r="N396">
        <f>HOUR(M396)</f>
        <v>0</v>
      </c>
      <c r="O396">
        <f>MINUTE(M396)</f>
        <v>50</v>
      </c>
      <c r="P396">
        <f>N396*60+O396</f>
        <v>50</v>
      </c>
      <c r="Q396" s="7">
        <f>G396-F396</f>
        <v>1.3888888890505768E-2</v>
      </c>
      <c r="R396">
        <f>HOUR(Q396)</f>
        <v>0</v>
      </c>
      <c r="S396">
        <f>MINUTE(Q396)</f>
        <v>20</v>
      </c>
      <c r="T396">
        <f>R396*60+S396</f>
        <v>20</v>
      </c>
      <c r="U396" s="7">
        <f>H396-G396</f>
        <v>9.7916666665696539E-2</v>
      </c>
      <c r="V396">
        <f>HOUR(U396)</f>
        <v>2</v>
      </c>
      <c r="W396">
        <f>MINUTE(U396)</f>
        <v>21</v>
      </c>
      <c r="X396">
        <f>V396*60+W396</f>
        <v>141</v>
      </c>
      <c r="Y396" s="7">
        <f>I396-H396</f>
        <v>6.9444444452528842E-3</v>
      </c>
      <c r="Z396">
        <f>HOUR(Y396)</f>
        <v>0</v>
      </c>
      <c r="AA396">
        <f>MINUTE(Y396)</f>
        <v>10</v>
      </c>
      <c r="AB396">
        <f>Z396*60+AA396</f>
        <v>10</v>
      </c>
    </row>
    <row r="397" spans="1:28" x14ac:dyDescent="0.25">
      <c r="A397">
        <v>395</v>
      </c>
      <c r="B397" t="s">
        <v>31</v>
      </c>
      <c r="C397">
        <v>1</v>
      </c>
      <c r="D397" t="s">
        <v>35</v>
      </c>
      <c r="E397" s="6">
        <v>46051.548611111109</v>
      </c>
      <c r="F397" s="6">
        <v>46051.555555555555</v>
      </c>
      <c r="G397" s="6">
        <v>46051.5625</v>
      </c>
      <c r="H397" s="6">
        <v>46051.59375</v>
      </c>
      <c r="I397" s="6">
        <v>46051.600694444445</v>
      </c>
      <c r="J397" s="6">
        <v>46051.604166666664</v>
      </c>
      <c r="K397">
        <v>1.33</v>
      </c>
      <c r="L397" s="6">
        <v>46051.611111111109</v>
      </c>
      <c r="M397" s="7">
        <f>F397-E397</f>
        <v>6.9444444452528842E-3</v>
      </c>
      <c r="N397">
        <f>HOUR(M397)</f>
        <v>0</v>
      </c>
      <c r="O397">
        <f>MINUTE(M397)</f>
        <v>10</v>
      </c>
      <c r="P397">
        <f>N397*60+O397</f>
        <v>10</v>
      </c>
      <c r="Q397" s="7">
        <f>G397-F397</f>
        <v>6.9444444452528842E-3</v>
      </c>
      <c r="R397">
        <f>HOUR(Q397)</f>
        <v>0</v>
      </c>
      <c r="S397">
        <f>MINUTE(Q397)</f>
        <v>10</v>
      </c>
      <c r="T397">
        <f>R397*60+S397</f>
        <v>10</v>
      </c>
      <c r="U397" s="7">
        <f>H397-G397</f>
        <v>3.125E-2</v>
      </c>
      <c r="V397">
        <f>HOUR(U397)</f>
        <v>0</v>
      </c>
      <c r="W397">
        <f>MINUTE(U397)</f>
        <v>45</v>
      </c>
      <c r="X397">
        <f>V397*60+W397</f>
        <v>45</v>
      </c>
      <c r="Y397" s="7">
        <f>I397-H397</f>
        <v>6.9444444452528842E-3</v>
      </c>
      <c r="Z397">
        <f>HOUR(Y397)</f>
        <v>0</v>
      </c>
      <c r="AA397">
        <f>MINUTE(Y397)</f>
        <v>10</v>
      </c>
      <c r="AB397">
        <f>Z397*60+AA397</f>
        <v>10</v>
      </c>
    </row>
    <row r="398" spans="1:28" x14ac:dyDescent="0.25">
      <c r="A398">
        <v>396</v>
      </c>
      <c r="B398" t="s">
        <v>33</v>
      </c>
      <c r="C398">
        <v>1</v>
      </c>
      <c r="D398" t="s">
        <v>35</v>
      </c>
      <c r="E398" s="6">
        <v>46051.29583333333</v>
      </c>
      <c r="F398" s="6">
        <v>46051.340277777781</v>
      </c>
      <c r="G398" s="6">
        <v>46051.350694444445</v>
      </c>
      <c r="H398" s="6">
        <v>46051.393750000003</v>
      </c>
      <c r="I398" s="6">
        <v>46051.400694444441</v>
      </c>
      <c r="J398" s="6">
        <v>46051.402777777781</v>
      </c>
      <c r="K398">
        <v>2.57</v>
      </c>
      <c r="L398" s="6">
        <v>46051.404166666667</v>
      </c>
      <c r="M398" s="7">
        <f>F398-E398</f>
        <v>4.444444445107365E-2</v>
      </c>
      <c r="N398">
        <f>HOUR(M398)</f>
        <v>1</v>
      </c>
      <c r="O398">
        <f>MINUTE(M398)</f>
        <v>4</v>
      </c>
      <c r="P398">
        <f>N398*60+O398</f>
        <v>64</v>
      </c>
      <c r="Q398" s="7">
        <f>G398-F398</f>
        <v>1.0416666664241347E-2</v>
      </c>
      <c r="R398">
        <f>HOUR(Q398)</f>
        <v>0</v>
      </c>
      <c r="S398">
        <f>MINUTE(Q398)</f>
        <v>15</v>
      </c>
      <c r="T398">
        <f>R398*60+S398</f>
        <v>15</v>
      </c>
      <c r="U398" s="7">
        <f>H398-G398</f>
        <v>4.3055555557657499E-2</v>
      </c>
      <c r="V398">
        <f>HOUR(U398)</f>
        <v>1</v>
      </c>
      <c r="W398">
        <f>MINUTE(U398)</f>
        <v>2</v>
      </c>
      <c r="X398">
        <f>V398*60+W398</f>
        <v>62</v>
      </c>
      <c r="Y398" s="7">
        <f>I398-H398</f>
        <v>6.9444444379769266E-3</v>
      </c>
      <c r="Z398">
        <f>HOUR(Y398)</f>
        <v>0</v>
      </c>
      <c r="AA398">
        <f>MINUTE(Y398)</f>
        <v>10</v>
      </c>
      <c r="AB398">
        <f>Z398*60+AA398</f>
        <v>10</v>
      </c>
    </row>
    <row r="399" spans="1:28" x14ac:dyDescent="0.25">
      <c r="A399">
        <v>397</v>
      </c>
      <c r="B399" t="s">
        <v>33</v>
      </c>
      <c r="C399">
        <v>1</v>
      </c>
      <c r="D399" t="s">
        <v>32</v>
      </c>
      <c r="E399" s="6">
        <v>46051.409722222219</v>
      </c>
      <c r="F399" s="6">
        <v>46051.413194444445</v>
      </c>
      <c r="G399" s="6">
        <v>46051.416666666664</v>
      </c>
      <c r="H399" s="6">
        <v>46051.479166666664</v>
      </c>
      <c r="I399" s="6">
        <v>46051.486111111109</v>
      </c>
      <c r="J399" s="6">
        <v>46051.489583333336</v>
      </c>
      <c r="K399">
        <v>1.92</v>
      </c>
      <c r="L399" s="6">
        <v>46051.496527777781</v>
      </c>
      <c r="M399" s="7">
        <f>F399-E399</f>
        <v>3.4722222262644209E-3</v>
      </c>
      <c r="N399">
        <f>HOUR(M399)</f>
        <v>0</v>
      </c>
      <c r="O399">
        <f>MINUTE(M399)</f>
        <v>5</v>
      </c>
      <c r="P399">
        <f>N399*60+O399</f>
        <v>5</v>
      </c>
      <c r="Q399" s="7">
        <f>G399-F399</f>
        <v>3.4722222189884633E-3</v>
      </c>
      <c r="R399">
        <f>HOUR(Q399)</f>
        <v>0</v>
      </c>
      <c r="S399">
        <f>MINUTE(Q399)</f>
        <v>5</v>
      </c>
      <c r="T399">
        <f>R399*60+S399</f>
        <v>5</v>
      </c>
      <c r="U399" s="7">
        <f>H399-G399</f>
        <v>6.25E-2</v>
      </c>
      <c r="V399">
        <f>HOUR(U399)</f>
        <v>1</v>
      </c>
      <c r="W399">
        <f>MINUTE(U399)</f>
        <v>30</v>
      </c>
      <c r="X399">
        <f>V399*60+W399</f>
        <v>90</v>
      </c>
      <c r="Y399" s="7">
        <f>I399-H399</f>
        <v>6.9444444452528842E-3</v>
      </c>
      <c r="Z399">
        <f>HOUR(Y399)</f>
        <v>0</v>
      </c>
      <c r="AA399">
        <f>MINUTE(Y399)</f>
        <v>10</v>
      </c>
      <c r="AB399">
        <f>Z399*60+AA399</f>
        <v>10</v>
      </c>
    </row>
    <row r="400" spans="1:28" x14ac:dyDescent="0.25">
      <c r="A400">
        <v>398</v>
      </c>
      <c r="B400" t="s">
        <v>29</v>
      </c>
      <c r="C400">
        <v>1</v>
      </c>
      <c r="D400" t="s">
        <v>32</v>
      </c>
      <c r="E400" s="6">
        <v>46051.6875</v>
      </c>
      <c r="F400" s="6">
        <v>46051.694444444445</v>
      </c>
      <c r="G400" s="6">
        <v>46051.701388888891</v>
      </c>
      <c r="H400" s="6">
        <v>46051.729861111111</v>
      </c>
      <c r="I400" s="6">
        <v>46051.736805555556</v>
      </c>
      <c r="J400" s="6">
        <v>46051.737500000003</v>
      </c>
      <c r="K400">
        <v>1.2</v>
      </c>
      <c r="L400" s="6">
        <v>46051.744444444441</v>
      </c>
      <c r="M400" s="7">
        <f>F400-E400</f>
        <v>6.9444444452528842E-3</v>
      </c>
      <c r="N400">
        <f>HOUR(M400)</f>
        <v>0</v>
      </c>
      <c r="O400">
        <f>MINUTE(M400)</f>
        <v>10</v>
      </c>
      <c r="P400">
        <f>N400*60+O400</f>
        <v>10</v>
      </c>
      <c r="Q400" s="7">
        <f>G400-F400</f>
        <v>6.9444444452528842E-3</v>
      </c>
      <c r="R400">
        <f>HOUR(Q400)</f>
        <v>0</v>
      </c>
      <c r="S400">
        <f>MINUTE(Q400)</f>
        <v>10</v>
      </c>
      <c r="T400">
        <f>R400*60+S400</f>
        <v>10</v>
      </c>
      <c r="U400" s="7">
        <f>H400-G400</f>
        <v>2.8472222220443655E-2</v>
      </c>
      <c r="V400">
        <f>HOUR(U400)</f>
        <v>0</v>
      </c>
      <c r="W400">
        <f>MINUTE(U400)</f>
        <v>41</v>
      </c>
      <c r="X400">
        <f>V400*60+W400</f>
        <v>41</v>
      </c>
      <c r="Y400" s="7">
        <f>I400-H400</f>
        <v>6.9444444452528842E-3</v>
      </c>
      <c r="Z400">
        <f>HOUR(Y400)</f>
        <v>0</v>
      </c>
      <c r="AA400">
        <f>MINUTE(Y400)</f>
        <v>10</v>
      </c>
      <c r="AB400">
        <f>Z400*60+AA400</f>
        <v>10</v>
      </c>
    </row>
    <row r="401" spans="1:28" x14ac:dyDescent="0.25">
      <c r="A401">
        <v>399</v>
      </c>
      <c r="B401" t="s">
        <v>29</v>
      </c>
      <c r="C401">
        <v>1</v>
      </c>
      <c r="D401" t="s">
        <v>30</v>
      </c>
      <c r="E401" s="6">
        <v>46050.845833333333</v>
      </c>
      <c r="F401" s="6">
        <v>46050.854166666664</v>
      </c>
      <c r="G401" s="6">
        <v>46050.865277777775</v>
      </c>
      <c r="H401" s="6">
        <v>46050.865972222222</v>
      </c>
      <c r="I401" s="6">
        <v>46050.872916666667</v>
      </c>
      <c r="J401" s="6">
        <v>46050.874305555553</v>
      </c>
      <c r="K401">
        <v>0.68</v>
      </c>
      <c r="L401" s="6">
        <v>46050.875</v>
      </c>
      <c r="M401" s="7">
        <f>F401-E401</f>
        <v>8.333333331393078E-3</v>
      </c>
      <c r="N401">
        <f>HOUR(M401)</f>
        <v>0</v>
      </c>
      <c r="O401">
        <f>MINUTE(M401)</f>
        <v>12</v>
      </c>
      <c r="P401">
        <f>N401*60+O401</f>
        <v>12</v>
      </c>
      <c r="Q401" s="7">
        <f>G401-F401</f>
        <v>1.1111111110949423E-2</v>
      </c>
      <c r="R401">
        <f>HOUR(Q401)</f>
        <v>0</v>
      </c>
      <c r="S401">
        <f>MINUTE(Q401)</f>
        <v>16</v>
      </c>
      <c r="T401">
        <f>R401*60+S401</f>
        <v>16</v>
      </c>
      <c r="U401" s="7">
        <f>H401-G401</f>
        <v>6.944444467080757E-4</v>
      </c>
      <c r="V401">
        <f>HOUR(U401)</f>
        <v>0</v>
      </c>
      <c r="W401">
        <f>MINUTE(U401)</f>
        <v>1</v>
      </c>
      <c r="X401">
        <f>V401*60+W401</f>
        <v>1</v>
      </c>
      <c r="Y401" s="7">
        <f>I401-H401</f>
        <v>6.9444444452528842E-3</v>
      </c>
      <c r="Z401">
        <f>HOUR(Y401)</f>
        <v>0</v>
      </c>
      <c r="AA401">
        <f>MINUTE(Y401)</f>
        <v>10</v>
      </c>
      <c r="AB401">
        <f>Z401*60+AA401</f>
        <v>10</v>
      </c>
    </row>
    <row r="402" spans="1:28" x14ac:dyDescent="0.25">
      <c r="A402">
        <v>400</v>
      </c>
      <c r="B402" t="s">
        <v>33</v>
      </c>
      <c r="C402">
        <v>1</v>
      </c>
      <c r="D402" t="s">
        <v>30</v>
      </c>
      <c r="E402" s="6">
        <v>46050.902777777781</v>
      </c>
      <c r="F402" s="6">
        <v>46050.90625</v>
      </c>
      <c r="G402" s="6">
        <v>46050.916666666664</v>
      </c>
      <c r="H402" s="6">
        <v>46050.944444444445</v>
      </c>
      <c r="I402" s="6">
        <v>46050.951388888891</v>
      </c>
      <c r="J402" s="6">
        <v>46050.958333333336</v>
      </c>
      <c r="K402">
        <v>1.33</v>
      </c>
      <c r="L402" s="6">
        <v>46050.965277777781</v>
      </c>
      <c r="M402" s="7">
        <f>F402-E402</f>
        <v>3.4722222189884633E-3</v>
      </c>
      <c r="N402">
        <f>HOUR(M402)</f>
        <v>0</v>
      </c>
      <c r="O402">
        <f>MINUTE(M402)</f>
        <v>5</v>
      </c>
      <c r="P402">
        <f>N402*60+O402</f>
        <v>5</v>
      </c>
      <c r="Q402" s="7">
        <f>G402-F402</f>
        <v>1.0416666664241347E-2</v>
      </c>
      <c r="R402">
        <f>HOUR(Q402)</f>
        <v>0</v>
      </c>
      <c r="S402">
        <f>MINUTE(Q402)</f>
        <v>15</v>
      </c>
      <c r="T402">
        <f>R402*60+S402</f>
        <v>15</v>
      </c>
      <c r="U402" s="7">
        <f>H402-G402</f>
        <v>2.7777777781011537E-2</v>
      </c>
      <c r="V402">
        <f>HOUR(U402)</f>
        <v>0</v>
      </c>
      <c r="W402">
        <f>MINUTE(U402)</f>
        <v>40</v>
      </c>
      <c r="X402">
        <f>V402*60+W402</f>
        <v>40</v>
      </c>
      <c r="Y402" s="7">
        <f>I402-H402</f>
        <v>6.9444444452528842E-3</v>
      </c>
      <c r="Z402">
        <f>HOUR(Y402)</f>
        <v>0</v>
      </c>
      <c r="AA402">
        <f>MINUTE(Y402)</f>
        <v>10</v>
      </c>
      <c r="AB402">
        <f>Z402*60+AA402</f>
        <v>10</v>
      </c>
    </row>
    <row r="403" spans="1:28" x14ac:dyDescent="0.25">
      <c r="A403">
        <v>401</v>
      </c>
      <c r="B403" t="s">
        <v>29</v>
      </c>
      <c r="C403">
        <v>1</v>
      </c>
      <c r="D403" t="s">
        <v>30</v>
      </c>
      <c r="E403" s="6">
        <v>46050.92083333333</v>
      </c>
      <c r="F403" s="6">
        <v>46050.927777777775</v>
      </c>
      <c r="G403" s="6">
        <v>46050.934027777781</v>
      </c>
      <c r="H403" s="6">
        <v>46050.965277777781</v>
      </c>
      <c r="I403" s="6">
        <v>46050.96875</v>
      </c>
      <c r="J403" s="6">
        <v>46050.972222222219</v>
      </c>
      <c r="K403">
        <v>1.23</v>
      </c>
      <c r="L403" s="6">
        <v>46050.979166666664</v>
      </c>
      <c r="M403" s="7">
        <f>F403-E403</f>
        <v>6.9444444452528842E-3</v>
      </c>
      <c r="N403">
        <f>HOUR(M403)</f>
        <v>0</v>
      </c>
      <c r="O403">
        <f>MINUTE(M403)</f>
        <v>10</v>
      </c>
      <c r="P403">
        <f>N403*60+O403</f>
        <v>10</v>
      </c>
      <c r="Q403" s="7">
        <f>G403-F403</f>
        <v>6.2500000058207661E-3</v>
      </c>
      <c r="R403">
        <f>HOUR(Q403)</f>
        <v>0</v>
      </c>
      <c r="S403">
        <f>MINUTE(Q403)</f>
        <v>9</v>
      </c>
      <c r="T403">
        <f>R403*60+S403</f>
        <v>9</v>
      </c>
      <c r="U403" s="7">
        <f>H403-G403</f>
        <v>3.125E-2</v>
      </c>
      <c r="V403">
        <f>HOUR(U403)</f>
        <v>0</v>
      </c>
      <c r="W403">
        <f>MINUTE(U403)</f>
        <v>45</v>
      </c>
      <c r="X403">
        <f>V403*60+W403</f>
        <v>45</v>
      </c>
      <c r="Y403" s="7">
        <f>I403-H403</f>
        <v>3.4722222189884633E-3</v>
      </c>
      <c r="Z403">
        <f>HOUR(Y403)</f>
        <v>0</v>
      </c>
      <c r="AA403">
        <f>MINUTE(Y403)</f>
        <v>5</v>
      </c>
      <c r="AB403">
        <f>Z403*60+AA403</f>
        <v>5</v>
      </c>
    </row>
    <row r="404" spans="1:28" x14ac:dyDescent="0.25">
      <c r="A404">
        <v>402</v>
      </c>
      <c r="B404" t="s">
        <v>31</v>
      </c>
      <c r="C404">
        <v>1</v>
      </c>
      <c r="D404" t="s">
        <v>30</v>
      </c>
      <c r="E404" s="6">
        <v>46050.96875</v>
      </c>
      <c r="F404" s="6">
        <v>46050.979166666664</v>
      </c>
      <c r="G404" s="6">
        <v>46051</v>
      </c>
      <c r="H404" s="6">
        <v>46051.084722222222</v>
      </c>
      <c r="I404" s="6">
        <v>46051.091666666667</v>
      </c>
      <c r="J404" s="6">
        <v>46051.09375</v>
      </c>
      <c r="K404">
        <v>3</v>
      </c>
      <c r="L404" s="6">
        <v>46051.100694444445</v>
      </c>
      <c r="M404" s="7">
        <f>F404-E404</f>
        <v>1.0416666664241347E-2</v>
      </c>
      <c r="N404">
        <f>HOUR(M404)</f>
        <v>0</v>
      </c>
      <c r="O404">
        <f>MINUTE(M404)</f>
        <v>15</v>
      </c>
      <c r="P404">
        <f>N404*60+O404</f>
        <v>15</v>
      </c>
      <c r="Q404" s="7">
        <f>G404-F404</f>
        <v>2.0833333335758653E-2</v>
      </c>
      <c r="R404">
        <f>HOUR(Q404)</f>
        <v>0</v>
      </c>
      <c r="S404">
        <f>MINUTE(Q404)</f>
        <v>30</v>
      </c>
      <c r="T404">
        <f>R404*60+S404</f>
        <v>30</v>
      </c>
      <c r="U404" s="7">
        <f>H404-G404</f>
        <v>8.4722222221898846E-2</v>
      </c>
      <c r="V404">
        <f>HOUR(U404)</f>
        <v>2</v>
      </c>
      <c r="W404">
        <f>MINUTE(U404)</f>
        <v>2</v>
      </c>
      <c r="X404">
        <f>V404*60+W404</f>
        <v>122</v>
      </c>
      <c r="Y404" s="7">
        <f>I404-H404</f>
        <v>6.9444444452528842E-3</v>
      </c>
      <c r="Z404">
        <f>HOUR(Y404)</f>
        <v>0</v>
      </c>
      <c r="AA404">
        <f>MINUTE(Y404)</f>
        <v>10</v>
      </c>
      <c r="AB404">
        <f>Z404*60+AA404</f>
        <v>10</v>
      </c>
    </row>
    <row r="405" spans="1:28" x14ac:dyDescent="0.25">
      <c r="A405">
        <v>403</v>
      </c>
      <c r="B405" t="s">
        <v>33</v>
      </c>
      <c r="C405">
        <v>1</v>
      </c>
      <c r="D405" t="s">
        <v>30</v>
      </c>
      <c r="E405" s="6">
        <v>46051.027777777781</v>
      </c>
      <c r="F405" s="6">
        <v>46051.038194444445</v>
      </c>
      <c r="G405" s="6">
        <v>46051.055555555555</v>
      </c>
      <c r="H405" s="6">
        <v>46051.079861111109</v>
      </c>
      <c r="I405" s="6">
        <v>46051.083333333336</v>
      </c>
      <c r="J405" s="6">
        <v>46051.09375</v>
      </c>
      <c r="K405">
        <v>1.58</v>
      </c>
      <c r="L405" s="6">
        <v>46051.100694444445</v>
      </c>
      <c r="M405" s="7">
        <f>F405-E405</f>
        <v>1.0416666664241347E-2</v>
      </c>
      <c r="N405">
        <f>HOUR(M405)</f>
        <v>0</v>
      </c>
      <c r="O405">
        <f>MINUTE(M405)</f>
        <v>15</v>
      </c>
      <c r="P405">
        <f>N405*60+O405</f>
        <v>15</v>
      </c>
      <c r="Q405" s="7">
        <f>G405-F405</f>
        <v>1.7361111109494232E-2</v>
      </c>
      <c r="R405">
        <f>HOUR(Q405)</f>
        <v>0</v>
      </c>
      <c r="S405">
        <f>MINUTE(Q405)</f>
        <v>25</v>
      </c>
      <c r="T405">
        <f>R405*60+S405</f>
        <v>25</v>
      </c>
      <c r="U405" s="7">
        <f>H405-G405</f>
        <v>2.4305555554747116E-2</v>
      </c>
      <c r="V405">
        <f>HOUR(U405)</f>
        <v>0</v>
      </c>
      <c r="W405">
        <f>MINUTE(U405)</f>
        <v>35</v>
      </c>
      <c r="X405">
        <f>V405*60+W405</f>
        <v>35</v>
      </c>
      <c r="Y405" s="7">
        <f>I405-H405</f>
        <v>3.4722222262644209E-3</v>
      </c>
      <c r="Z405">
        <f>HOUR(Y405)</f>
        <v>0</v>
      </c>
      <c r="AA405">
        <f>MINUTE(Y405)</f>
        <v>5</v>
      </c>
      <c r="AB405">
        <f>Z405*60+AA405</f>
        <v>5</v>
      </c>
    </row>
    <row r="406" spans="1:28" x14ac:dyDescent="0.25">
      <c r="A406">
        <v>404</v>
      </c>
      <c r="B406" t="s">
        <v>29</v>
      </c>
      <c r="C406">
        <v>1</v>
      </c>
      <c r="D406" t="s">
        <v>32</v>
      </c>
      <c r="E406" s="6">
        <v>46051.371527777781</v>
      </c>
      <c r="F406" s="6">
        <v>46051.385416666664</v>
      </c>
      <c r="G406" s="6">
        <v>46051.388888888891</v>
      </c>
      <c r="H406" s="6">
        <v>46051.402777777781</v>
      </c>
      <c r="I406" s="6">
        <v>46051.40625</v>
      </c>
      <c r="J406" s="6">
        <v>46051.416666666664</v>
      </c>
      <c r="K406">
        <v>1.08</v>
      </c>
      <c r="L406" s="6">
        <v>46051.423611111109</v>
      </c>
      <c r="M406" s="7">
        <f>F406-E406</f>
        <v>1.3888888883229811E-2</v>
      </c>
      <c r="N406">
        <f>HOUR(M406)</f>
        <v>0</v>
      </c>
      <c r="O406">
        <f>MINUTE(M406)</f>
        <v>20</v>
      </c>
      <c r="P406">
        <f>N406*60+O406</f>
        <v>20</v>
      </c>
      <c r="Q406" s="7">
        <f>G406-F406</f>
        <v>3.4722222262644209E-3</v>
      </c>
      <c r="R406">
        <f>HOUR(Q406)</f>
        <v>0</v>
      </c>
      <c r="S406">
        <f>MINUTE(Q406)</f>
        <v>5</v>
      </c>
      <c r="T406">
        <f>R406*60+S406</f>
        <v>5</v>
      </c>
      <c r="U406" s="7">
        <f>H406-G406</f>
        <v>1.3888888890505768E-2</v>
      </c>
      <c r="V406">
        <f>HOUR(U406)</f>
        <v>0</v>
      </c>
      <c r="W406">
        <f>MINUTE(U406)</f>
        <v>20</v>
      </c>
      <c r="X406">
        <f>V406*60+W406</f>
        <v>20</v>
      </c>
      <c r="Y406" s="7">
        <f>I406-H406</f>
        <v>3.4722222189884633E-3</v>
      </c>
      <c r="Z406">
        <f>HOUR(Y406)</f>
        <v>0</v>
      </c>
      <c r="AA406">
        <f>MINUTE(Y406)</f>
        <v>5</v>
      </c>
      <c r="AB406">
        <f>Z406*60+AA406</f>
        <v>5</v>
      </c>
    </row>
    <row r="407" spans="1:28" x14ac:dyDescent="0.25">
      <c r="A407">
        <v>405</v>
      </c>
      <c r="B407" t="s">
        <v>33</v>
      </c>
      <c r="C407">
        <v>1</v>
      </c>
      <c r="D407" t="s">
        <v>34</v>
      </c>
      <c r="E407" s="6">
        <v>46052.344444444447</v>
      </c>
      <c r="F407" s="6">
        <v>46052.347222222219</v>
      </c>
      <c r="G407" s="6">
        <v>46052.368055555555</v>
      </c>
      <c r="H407" s="6">
        <v>46052.5</v>
      </c>
      <c r="I407" s="6">
        <v>46052.506944444445</v>
      </c>
      <c r="J407" s="6">
        <v>46052.510416666664</v>
      </c>
      <c r="K407">
        <v>3.98</v>
      </c>
      <c r="L407" s="6">
        <v>46052.517361111109</v>
      </c>
      <c r="M407" s="7">
        <f>F407-E407</f>
        <v>2.7777777722803876E-3</v>
      </c>
      <c r="N407">
        <f>HOUR(M407)</f>
        <v>0</v>
      </c>
      <c r="O407">
        <f>MINUTE(M407)</f>
        <v>4</v>
      </c>
      <c r="P407">
        <f>N407*60+O407</f>
        <v>4</v>
      </c>
      <c r="Q407" s="7">
        <f>G407-F407</f>
        <v>2.0833333335758653E-2</v>
      </c>
      <c r="R407">
        <f>HOUR(Q407)</f>
        <v>0</v>
      </c>
      <c r="S407">
        <f>MINUTE(Q407)</f>
        <v>30</v>
      </c>
      <c r="T407">
        <f>R407*60+S407</f>
        <v>30</v>
      </c>
      <c r="U407" s="7">
        <f>H407-G407</f>
        <v>0.13194444444525288</v>
      </c>
      <c r="V407">
        <f>HOUR(U407)</f>
        <v>3</v>
      </c>
      <c r="W407">
        <f>MINUTE(U407)</f>
        <v>10</v>
      </c>
      <c r="X407">
        <f>V407*60+W407</f>
        <v>190</v>
      </c>
      <c r="Y407" s="7">
        <f>I407-H407</f>
        <v>6.9444444452528842E-3</v>
      </c>
      <c r="Z407">
        <f>HOUR(Y407)</f>
        <v>0</v>
      </c>
      <c r="AA407">
        <f>MINUTE(Y407)</f>
        <v>10</v>
      </c>
      <c r="AB407">
        <f>Z407*60+AA407</f>
        <v>10</v>
      </c>
    </row>
    <row r="408" spans="1:28" x14ac:dyDescent="0.25">
      <c r="A408">
        <v>406</v>
      </c>
      <c r="B408" t="s">
        <v>29</v>
      </c>
      <c r="C408">
        <v>1</v>
      </c>
      <c r="D408" t="s">
        <v>30</v>
      </c>
      <c r="E408" s="6">
        <v>46051.552083333336</v>
      </c>
      <c r="F408" s="6">
        <v>46051.559027777781</v>
      </c>
      <c r="G408" s="6">
        <v>46051.5625</v>
      </c>
      <c r="H408" s="6">
        <v>46051.576388888891</v>
      </c>
      <c r="I408" s="6">
        <v>46051.583333333336</v>
      </c>
      <c r="J408" s="6">
        <v>46051.586805555555</v>
      </c>
      <c r="K408">
        <v>0.83</v>
      </c>
      <c r="L408" s="6">
        <v>46051.590277777781</v>
      </c>
      <c r="M408" s="7">
        <f>F408-E408</f>
        <v>6.9444444452528842E-3</v>
      </c>
      <c r="N408">
        <f>HOUR(M408)</f>
        <v>0</v>
      </c>
      <c r="O408">
        <f>MINUTE(M408)</f>
        <v>10</v>
      </c>
      <c r="P408">
        <f>N408*60+O408</f>
        <v>10</v>
      </c>
      <c r="Q408" s="7">
        <f>G408-F408</f>
        <v>3.4722222189884633E-3</v>
      </c>
      <c r="R408">
        <f>HOUR(Q408)</f>
        <v>0</v>
      </c>
      <c r="S408">
        <f>MINUTE(Q408)</f>
        <v>5</v>
      </c>
      <c r="T408">
        <f>R408*60+S408</f>
        <v>5</v>
      </c>
      <c r="U408" s="7">
        <f>H408-G408</f>
        <v>1.3888888890505768E-2</v>
      </c>
      <c r="V408">
        <f>HOUR(U408)</f>
        <v>0</v>
      </c>
      <c r="W408">
        <f>MINUTE(U408)</f>
        <v>20</v>
      </c>
      <c r="X408">
        <f>V408*60+W408</f>
        <v>20</v>
      </c>
      <c r="Y408" s="7">
        <f>I408-H408</f>
        <v>6.9444444452528842E-3</v>
      </c>
      <c r="Z408">
        <f>HOUR(Y408)</f>
        <v>0</v>
      </c>
      <c r="AA408">
        <f>MINUTE(Y408)</f>
        <v>10</v>
      </c>
      <c r="AB408">
        <f>Z408*60+AA408</f>
        <v>10</v>
      </c>
    </row>
    <row r="409" spans="1:28" x14ac:dyDescent="0.25">
      <c r="A409">
        <v>407</v>
      </c>
      <c r="B409" t="s">
        <v>29</v>
      </c>
      <c r="C409">
        <v>1</v>
      </c>
      <c r="D409" t="s">
        <v>34</v>
      </c>
      <c r="E409" s="6">
        <v>46052.291666666664</v>
      </c>
      <c r="F409" s="6">
        <v>46052.315972222219</v>
      </c>
      <c r="G409" s="6">
        <v>46052.350694444445</v>
      </c>
      <c r="H409" s="6">
        <v>46052.381944444445</v>
      </c>
      <c r="I409" s="6">
        <v>46052.385416666664</v>
      </c>
      <c r="J409" s="6">
        <v>46052.409722222219</v>
      </c>
      <c r="K409">
        <v>2.83</v>
      </c>
      <c r="L409" s="6">
        <v>46052.410416666666</v>
      </c>
      <c r="M409" s="7">
        <f>F409-E409</f>
        <v>2.4305555554747116E-2</v>
      </c>
      <c r="N409">
        <f>HOUR(M409)</f>
        <v>0</v>
      </c>
      <c r="O409">
        <f>MINUTE(M409)</f>
        <v>35</v>
      </c>
      <c r="P409">
        <f>N409*60+O409</f>
        <v>35</v>
      </c>
      <c r="Q409" s="7">
        <f>G409-F409</f>
        <v>3.4722222226264421E-2</v>
      </c>
      <c r="R409">
        <f>HOUR(Q409)</f>
        <v>0</v>
      </c>
      <c r="S409">
        <f>MINUTE(Q409)</f>
        <v>50</v>
      </c>
      <c r="T409">
        <f>R409*60+S409</f>
        <v>50</v>
      </c>
      <c r="U409" s="7">
        <f>H409-G409</f>
        <v>3.125E-2</v>
      </c>
      <c r="V409">
        <f>HOUR(U409)</f>
        <v>0</v>
      </c>
      <c r="W409">
        <f>MINUTE(U409)</f>
        <v>45</v>
      </c>
      <c r="X409">
        <f>V409*60+W409</f>
        <v>45</v>
      </c>
      <c r="Y409" s="7">
        <f>I409-H409</f>
        <v>3.4722222189884633E-3</v>
      </c>
      <c r="Z409">
        <f>HOUR(Y409)</f>
        <v>0</v>
      </c>
      <c r="AA409">
        <f>MINUTE(Y409)</f>
        <v>5</v>
      </c>
      <c r="AB409">
        <f>Z409*60+AA409</f>
        <v>5</v>
      </c>
    </row>
    <row r="410" spans="1:28" x14ac:dyDescent="0.25">
      <c r="A410">
        <v>408</v>
      </c>
      <c r="B410" t="s">
        <v>31</v>
      </c>
      <c r="C410">
        <v>1</v>
      </c>
      <c r="D410" t="s">
        <v>34</v>
      </c>
      <c r="E410" s="6">
        <v>46052.607638888891</v>
      </c>
      <c r="F410" s="6">
        <v>46052.625</v>
      </c>
      <c r="G410" s="6">
        <v>46052.645833333336</v>
      </c>
      <c r="H410" s="6">
        <v>46052.6875</v>
      </c>
      <c r="I410" s="6">
        <v>46052.694444444445</v>
      </c>
      <c r="J410" s="6">
        <v>46052.746527777781</v>
      </c>
      <c r="K410">
        <v>3.33</v>
      </c>
      <c r="L410" s="6">
        <v>46052.74722222222</v>
      </c>
      <c r="M410" s="7">
        <f>F410-E410</f>
        <v>1.7361111109494232E-2</v>
      </c>
      <c r="N410">
        <f>HOUR(M410)</f>
        <v>0</v>
      </c>
      <c r="O410">
        <f>MINUTE(M410)</f>
        <v>25</v>
      </c>
      <c r="P410">
        <f>N410*60+O410</f>
        <v>25</v>
      </c>
      <c r="Q410" s="7">
        <f>G410-F410</f>
        <v>2.0833333335758653E-2</v>
      </c>
      <c r="R410">
        <f>HOUR(Q410)</f>
        <v>0</v>
      </c>
      <c r="S410">
        <f>MINUTE(Q410)</f>
        <v>30</v>
      </c>
      <c r="T410">
        <f>R410*60+S410</f>
        <v>30</v>
      </c>
      <c r="U410" s="7">
        <f>H410-G410</f>
        <v>4.1666666664241347E-2</v>
      </c>
      <c r="V410">
        <f>HOUR(U410)</f>
        <v>1</v>
      </c>
      <c r="W410">
        <f>MINUTE(U410)</f>
        <v>0</v>
      </c>
      <c r="X410">
        <f>V410*60+W410</f>
        <v>60</v>
      </c>
      <c r="Y410" s="7">
        <f>I410-H410</f>
        <v>6.9444444452528842E-3</v>
      </c>
      <c r="Z410">
        <f>HOUR(Y410)</f>
        <v>0</v>
      </c>
      <c r="AA410">
        <f>MINUTE(Y410)</f>
        <v>10</v>
      </c>
      <c r="AB410">
        <f>Z410*60+AA410</f>
        <v>10</v>
      </c>
    </row>
    <row r="411" spans="1:28" x14ac:dyDescent="0.25">
      <c r="A411">
        <v>409</v>
      </c>
      <c r="B411" t="s">
        <v>33</v>
      </c>
      <c r="C411">
        <v>1</v>
      </c>
      <c r="D411" t="s">
        <v>36</v>
      </c>
      <c r="E411" s="6">
        <v>46058.380555555559</v>
      </c>
      <c r="F411" s="6">
        <v>46058.385416666664</v>
      </c>
      <c r="G411" s="6">
        <v>46058.388888888891</v>
      </c>
      <c r="H411" s="6">
        <v>46058.395833333336</v>
      </c>
      <c r="I411" s="6">
        <v>46058.402777777781</v>
      </c>
      <c r="J411" s="6">
        <v>46058.404166666667</v>
      </c>
      <c r="K411">
        <v>0.56999999999999995</v>
      </c>
      <c r="L411" s="6">
        <v>46058.411111111112</v>
      </c>
      <c r="M411" s="7">
        <f>F411-E411</f>
        <v>4.8611111051286571E-3</v>
      </c>
      <c r="N411">
        <f>HOUR(M411)</f>
        <v>0</v>
      </c>
      <c r="O411">
        <f>MINUTE(M411)</f>
        <v>7</v>
      </c>
      <c r="P411">
        <f>N411*60+O411</f>
        <v>7</v>
      </c>
      <c r="Q411" s="7">
        <f>G411-F411</f>
        <v>3.4722222262644209E-3</v>
      </c>
      <c r="R411">
        <f>HOUR(Q411)</f>
        <v>0</v>
      </c>
      <c r="S411">
        <f>MINUTE(Q411)</f>
        <v>5</v>
      </c>
      <c r="T411">
        <f>R411*60+S411</f>
        <v>5</v>
      </c>
      <c r="U411" s="7">
        <f>H411-G411</f>
        <v>6.9444444452528842E-3</v>
      </c>
      <c r="V411">
        <f>HOUR(U411)</f>
        <v>0</v>
      </c>
      <c r="W411">
        <f>MINUTE(U411)</f>
        <v>10</v>
      </c>
      <c r="X411">
        <f>V411*60+W411</f>
        <v>10</v>
      </c>
      <c r="Y411" s="7">
        <f>I411-H411</f>
        <v>6.9444444452528842E-3</v>
      </c>
      <c r="Z411">
        <f>HOUR(Y411)</f>
        <v>0</v>
      </c>
      <c r="AA411">
        <f>MINUTE(Y411)</f>
        <v>10</v>
      </c>
      <c r="AB411">
        <f>Z411*60+AA411</f>
        <v>10</v>
      </c>
    </row>
    <row r="412" spans="1:28" x14ac:dyDescent="0.25">
      <c r="A412">
        <v>410</v>
      </c>
      <c r="B412" t="s">
        <v>31</v>
      </c>
      <c r="C412">
        <v>1</v>
      </c>
      <c r="D412" t="s">
        <v>34</v>
      </c>
      <c r="E412" s="6">
        <v>46052.454861111109</v>
      </c>
      <c r="F412" s="6">
        <v>46052.461805555555</v>
      </c>
      <c r="G412" s="6">
        <v>46052.479166666664</v>
      </c>
      <c r="H412" s="6">
        <v>46052.541666666664</v>
      </c>
      <c r="I412" s="6">
        <v>46052.555555555555</v>
      </c>
      <c r="J412" s="6">
        <v>46052.5625</v>
      </c>
      <c r="K412">
        <v>2.58</v>
      </c>
      <c r="L412" s="6">
        <v>46052.565972222219</v>
      </c>
      <c r="M412" s="7">
        <f>F412-E412</f>
        <v>6.9444444452528842E-3</v>
      </c>
      <c r="N412">
        <f>HOUR(M412)</f>
        <v>0</v>
      </c>
      <c r="O412">
        <f>MINUTE(M412)</f>
        <v>10</v>
      </c>
      <c r="P412">
        <f>N412*60+O412</f>
        <v>10</v>
      </c>
      <c r="Q412" s="7">
        <f>G412-F412</f>
        <v>1.7361111109494232E-2</v>
      </c>
      <c r="R412">
        <f>HOUR(Q412)</f>
        <v>0</v>
      </c>
      <c r="S412">
        <f>MINUTE(Q412)</f>
        <v>25</v>
      </c>
      <c r="T412">
        <f>R412*60+S412</f>
        <v>25</v>
      </c>
      <c r="U412" s="7">
        <f>H412-G412</f>
        <v>6.25E-2</v>
      </c>
      <c r="V412">
        <f>HOUR(U412)</f>
        <v>1</v>
      </c>
      <c r="W412">
        <f>MINUTE(U412)</f>
        <v>30</v>
      </c>
      <c r="X412">
        <f>V412*60+W412</f>
        <v>90</v>
      </c>
      <c r="Y412" s="7">
        <f>I412-H412</f>
        <v>1.3888888890505768E-2</v>
      </c>
      <c r="Z412">
        <f>HOUR(Y412)</f>
        <v>0</v>
      </c>
      <c r="AA412">
        <f>MINUTE(Y412)</f>
        <v>20</v>
      </c>
      <c r="AB412">
        <f>Z412*60+AA412</f>
        <v>20</v>
      </c>
    </row>
    <row r="413" spans="1:28" x14ac:dyDescent="0.25">
      <c r="A413">
        <v>411</v>
      </c>
      <c r="B413" t="s">
        <v>31</v>
      </c>
      <c r="C413">
        <v>1</v>
      </c>
      <c r="D413" t="s">
        <v>30</v>
      </c>
      <c r="E413" s="6">
        <v>46052.291666666664</v>
      </c>
      <c r="F413" s="6">
        <v>46052.350694444445</v>
      </c>
      <c r="G413" s="6">
        <v>46052.385416666664</v>
      </c>
      <c r="H413" s="6">
        <v>46052.482638888891</v>
      </c>
      <c r="I413" s="6">
        <v>46052.506944444445</v>
      </c>
      <c r="J413" s="6">
        <v>46052.520833333336</v>
      </c>
      <c r="K413">
        <v>5.5</v>
      </c>
      <c r="L413" s="6">
        <v>46052.527777777781</v>
      </c>
      <c r="M413" s="7">
        <f>F413-E413</f>
        <v>5.9027777781011537E-2</v>
      </c>
      <c r="N413">
        <f>HOUR(M413)</f>
        <v>1</v>
      </c>
      <c r="O413">
        <f>MINUTE(M413)</f>
        <v>25</v>
      </c>
      <c r="P413">
        <f>N413*60+O413</f>
        <v>85</v>
      </c>
      <c r="Q413" s="7">
        <f>G413-F413</f>
        <v>3.4722222218988463E-2</v>
      </c>
      <c r="R413">
        <f>HOUR(Q413)</f>
        <v>0</v>
      </c>
      <c r="S413">
        <f>MINUTE(Q413)</f>
        <v>50</v>
      </c>
      <c r="T413">
        <f>R413*60+S413</f>
        <v>50</v>
      </c>
      <c r="U413" s="7">
        <f>H413-G413</f>
        <v>9.7222222226264421E-2</v>
      </c>
      <c r="V413">
        <f>HOUR(U413)</f>
        <v>2</v>
      </c>
      <c r="W413">
        <f>MINUTE(U413)</f>
        <v>20</v>
      </c>
      <c r="X413">
        <f>V413*60+W413</f>
        <v>140</v>
      </c>
      <c r="Y413" s="7">
        <f>I413-H413</f>
        <v>2.4305555554747116E-2</v>
      </c>
      <c r="Z413">
        <f>HOUR(Y413)</f>
        <v>0</v>
      </c>
      <c r="AA413">
        <f>MINUTE(Y413)</f>
        <v>35</v>
      </c>
      <c r="AB413">
        <f>Z413*60+AA413</f>
        <v>35</v>
      </c>
    </row>
    <row r="414" spans="1:28" x14ac:dyDescent="0.25">
      <c r="A414">
        <v>412</v>
      </c>
      <c r="B414" t="s">
        <v>29</v>
      </c>
      <c r="C414">
        <v>1</v>
      </c>
      <c r="D414" t="s">
        <v>34</v>
      </c>
      <c r="E414" s="6">
        <v>46051.659722222219</v>
      </c>
      <c r="F414" s="6">
        <v>46051.666666666664</v>
      </c>
      <c r="G414" s="6">
        <v>46051.680555555555</v>
      </c>
      <c r="H414" s="6">
        <v>46051.715277777781</v>
      </c>
      <c r="I414" s="6">
        <v>46051.722222222219</v>
      </c>
      <c r="J414" s="6">
        <v>46051.729166666664</v>
      </c>
      <c r="K414">
        <v>1.67</v>
      </c>
      <c r="L414" s="6">
        <v>46051.736111111109</v>
      </c>
      <c r="M414" s="7">
        <f>F414-E414</f>
        <v>6.9444444452528842E-3</v>
      </c>
      <c r="N414">
        <f>HOUR(M414)</f>
        <v>0</v>
      </c>
      <c r="O414">
        <f>MINUTE(M414)</f>
        <v>10</v>
      </c>
      <c r="P414">
        <f>N414*60+O414</f>
        <v>10</v>
      </c>
      <c r="Q414" s="7">
        <f>G414-F414</f>
        <v>1.3888888890505768E-2</v>
      </c>
      <c r="R414">
        <f>HOUR(Q414)</f>
        <v>0</v>
      </c>
      <c r="S414">
        <f>MINUTE(Q414)</f>
        <v>20</v>
      </c>
      <c r="T414">
        <f>R414*60+S414</f>
        <v>20</v>
      </c>
      <c r="U414" s="7">
        <f>H414-G414</f>
        <v>3.4722222226264421E-2</v>
      </c>
      <c r="V414">
        <f>HOUR(U414)</f>
        <v>0</v>
      </c>
      <c r="W414">
        <f>MINUTE(U414)</f>
        <v>50</v>
      </c>
      <c r="X414">
        <f>V414*60+W414</f>
        <v>50</v>
      </c>
      <c r="Y414" s="7">
        <f>I414-H414</f>
        <v>6.9444444379769266E-3</v>
      </c>
      <c r="Z414">
        <f>HOUR(Y414)</f>
        <v>0</v>
      </c>
      <c r="AA414">
        <f>MINUTE(Y414)</f>
        <v>10</v>
      </c>
      <c r="AB414">
        <f>Z414*60+AA414</f>
        <v>10</v>
      </c>
    </row>
    <row r="415" spans="1:28" x14ac:dyDescent="0.25">
      <c r="A415">
        <v>413</v>
      </c>
      <c r="B415" t="s">
        <v>29</v>
      </c>
      <c r="C415">
        <v>1</v>
      </c>
      <c r="D415" t="s">
        <v>30</v>
      </c>
      <c r="E415" s="6">
        <v>46051.78125</v>
      </c>
      <c r="F415" s="6">
        <v>46051.784722222219</v>
      </c>
      <c r="G415" s="6">
        <v>46051.791666666664</v>
      </c>
      <c r="H415" s="6">
        <v>46051.795138888891</v>
      </c>
      <c r="I415" s="6">
        <v>46051.805555555555</v>
      </c>
      <c r="J415" s="6">
        <v>46051.8125</v>
      </c>
      <c r="K415">
        <v>0.75</v>
      </c>
      <c r="L415" s="6">
        <v>46051.819444444445</v>
      </c>
      <c r="M415" s="7">
        <f>F415-E415</f>
        <v>3.4722222189884633E-3</v>
      </c>
      <c r="N415">
        <f>HOUR(M415)</f>
        <v>0</v>
      </c>
      <c r="O415">
        <f>MINUTE(M415)</f>
        <v>5</v>
      </c>
      <c r="P415">
        <f>N415*60+O415</f>
        <v>5</v>
      </c>
      <c r="Q415" s="7">
        <f>G415-F415</f>
        <v>6.9444444452528842E-3</v>
      </c>
      <c r="R415">
        <f>HOUR(Q415)</f>
        <v>0</v>
      </c>
      <c r="S415">
        <f>MINUTE(Q415)</f>
        <v>10</v>
      </c>
      <c r="T415">
        <f>R415*60+S415</f>
        <v>10</v>
      </c>
      <c r="U415" s="7">
        <f>H415-G415</f>
        <v>3.4722222262644209E-3</v>
      </c>
      <c r="V415">
        <f>HOUR(U415)</f>
        <v>0</v>
      </c>
      <c r="W415">
        <f>MINUTE(U415)</f>
        <v>5</v>
      </c>
      <c r="X415">
        <f>V415*60+W415</f>
        <v>5</v>
      </c>
      <c r="Y415" s="7">
        <f>I415-H415</f>
        <v>1.0416666664241347E-2</v>
      </c>
      <c r="Z415">
        <f>HOUR(Y415)</f>
        <v>0</v>
      </c>
      <c r="AA415">
        <f>MINUTE(Y415)</f>
        <v>15</v>
      </c>
      <c r="AB415">
        <f>Z415*60+AA415</f>
        <v>15</v>
      </c>
    </row>
    <row r="416" spans="1:28" x14ac:dyDescent="0.25">
      <c r="A416">
        <v>414</v>
      </c>
      <c r="B416" t="s">
        <v>33</v>
      </c>
      <c r="C416">
        <v>1</v>
      </c>
      <c r="D416" t="s">
        <v>30</v>
      </c>
      <c r="E416" s="6">
        <v>46051.6875</v>
      </c>
      <c r="F416" s="6">
        <v>46051.694444444445</v>
      </c>
      <c r="G416" s="6">
        <v>46051.704861111109</v>
      </c>
      <c r="H416" s="6">
        <v>46051.708333333336</v>
      </c>
      <c r="I416" s="6">
        <v>46051.715277777781</v>
      </c>
      <c r="J416" s="6">
        <v>46051.854166666664</v>
      </c>
      <c r="K416">
        <v>4</v>
      </c>
      <c r="L416" s="6">
        <v>46051.857638888891</v>
      </c>
      <c r="M416" s="7">
        <f>F416-E416</f>
        <v>6.9444444452528842E-3</v>
      </c>
      <c r="N416">
        <f>HOUR(M416)</f>
        <v>0</v>
      </c>
      <c r="O416">
        <f>MINUTE(M416)</f>
        <v>10</v>
      </c>
      <c r="P416">
        <f>N416*60+O416</f>
        <v>10</v>
      </c>
      <c r="Q416" s="7">
        <f>G416-F416</f>
        <v>1.0416666664241347E-2</v>
      </c>
      <c r="R416">
        <f>HOUR(Q416)</f>
        <v>0</v>
      </c>
      <c r="S416">
        <f>MINUTE(Q416)</f>
        <v>15</v>
      </c>
      <c r="T416">
        <f>R416*60+S416</f>
        <v>15</v>
      </c>
      <c r="U416" s="7">
        <f>H416-G416</f>
        <v>3.4722222262644209E-3</v>
      </c>
      <c r="V416">
        <f>HOUR(U416)</f>
        <v>0</v>
      </c>
      <c r="W416">
        <f>MINUTE(U416)</f>
        <v>5</v>
      </c>
      <c r="X416">
        <f>V416*60+W416</f>
        <v>5</v>
      </c>
      <c r="Y416" s="7">
        <f>I416-H416</f>
        <v>6.9444444452528842E-3</v>
      </c>
      <c r="Z416">
        <f>HOUR(Y416)</f>
        <v>0</v>
      </c>
      <c r="AA416">
        <f>MINUTE(Y416)</f>
        <v>10</v>
      </c>
      <c r="AB416">
        <f>Z416*60+AA416</f>
        <v>10</v>
      </c>
    </row>
    <row r="417" spans="1:28" x14ac:dyDescent="0.25">
      <c r="A417">
        <v>415</v>
      </c>
      <c r="B417" t="s">
        <v>31</v>
      </c>
      <c r="C417">
        <v>1</v>
      </c>
      <c r="D417" t="s">
        <v>34</v>
      </c>
      <c r="E417" s="6">
        <v>46051.982638888891</v>
      </c>
      <c r="F417" s="6">
        <v>46051.986111111109</v>
      </c>
      <c r="G417" s="6">
        <v>46051.989583333336</v>
      </c>
      <c r="H417" s="6">
        <v>46052.090277777781</v>
      </c>
      <c r="I417" s="6">
        <v>46052.097222222219</v>
      </c>
      <c r="J417" s="6">
        <v>46052.125</v>
      </c>
      <c r="K417">
        <v>3.42</v>
      </c>
      <c r="L417" s="6">
        <v>46052.125694444447</v>
      </c>
      <c r="M417" s="7">
        <f>F417-E417</f>
        <v>3.4722222189884633E-3</v>
      </c>
      <c r="N417">
        <f>HOUR(M417)</f>
        <v>0</v>
      </c>
      <c r="O417">
        <f>MINUTE(M417)</f>
        <v>5</v>
      </c>
      <c r="P417">
        <f>N417*60+O417</f>
        <v>5</v>
      </c>
      <c r="Q417" s="7">
        <f>G417-F417</f>
        <v>3.4722222262644209E-3</v>
      </c>
      <c r="R417">
        <f>HOUR(Q417)</f>
        <v>0</v>
      </c>
      <c r="S417">
        <f>MINUTE(Q417)</f>
        <v>5</v>
      </c>
      <c r="T417">
        <f>R417*60+S417</f>
        <v>5</v>
      </c>
      <c r="U417" s="7">
        <f>H417-G417</f>
        <v>0.10069444444525288</v>
      </c>
      <c r="V417">
        <f>HOUR(U417)</f>
        <v>2</v>
      </c>
      <c r="W417">
        <f>MINUTE(U417)</f>
        <v>25</v>
      </c>
      <c r="X417">
        <f>V417*60+W417</f>
        <v>145</v>
      </c>
      <c r="Y417" s="7">
        <f>I417-H417</f>
        <v>6.9444444379769266E-3</v>
      </c>
      <c r="Z417">
        <f>HOUR(Y417)</f>
        <v>0</v>
      </c>
      <c r="AA417">
        <f>MINUTE(Y417)</f>
        <v>10</v>
      </c>
      <c r="AB417">
        <f>Z417*60+AA417</f>
        <v>10</v>
      </c>
    </row>
    <row r="418" spans="1:28" x14ac:dyDescent="0.25">
      <c r="A418">
        <v>416</v>
      </c>
      <c r="B418" t="s">
        <v>31</v>
      </c>
      <c r="C418">
        <v>1</v>
      </c>
      <c r="D418" t="s">
        <v>35</v>
      </c>
      <c r="E418" s="6">
        <v>46052.041666666664</v>
      </c>
      <c r="F418" s="6">
        <v>46052.048611111109</v>
      </c>
      <c r="G418" s="6">
        <v>46052.0625</v>
      </c>
      <c r="H418" s="6">
        <v>46052.097222222219</v>
      </c>
      <c r="I418" s="6">
        <v>46052.098611111112</v>
      </c>
      <c r="J418" s="6">
        <v>46052.1</v>
      </c>
      <c r="K418">
        <v>1.4</v>
      </c>
      <c r="L418" s="6">
        <v>46052.100694444445</v>
      </c>
      <c r="M418" s="7">
        <f>F418-E418</f>
        <v>6.9444444452528842E-3</v>
      </c>
      <c r="N418">
        <f>HOUR(M418)</f>
        <v>0</v>
      </c>
      <c r="O418">
        <f>MINUTE(M418)</f>
        <v>10</v>
      </c>
      <c r="P418">
        <f>N418*60+O418</f>
        <v>10</v>
      </c>
      <c r="Q418" s="7">
        <f>G418-F418</f>
        <v>1.3888888890505768E-2</v>
      </c>
      <c r="R418">
        <f>HOUR(Q418)</f>
        <v>0</v>
      </c>
      <c r="S418">
        <f>MINUTE(Q418)</f>
        <v>20</v>
      </c>
      <c r="T418">
        <f>R418*60+S418</f>
        <v>20</v>
      </c>
      <c r="U418" s="7">
        <f>H418-G418</f>
        <v>3.4722222218988463E-2</v>
      </c>
      <c r="V418">
        <f>HOUR(U418)</f>
        <v>0</v>
      </c>
      <c r="W418">
        <f>MINUTE(U418)</f>
        <v>50</v>
      </c>
      <c r="X418">
        <f>V418*60+W418</f>
        <v>50</v>
      </c>
      <c r="Y418" s="7">
        <f>I418-H418</f>
        <v>1.3888888934161514E-3</v>
      </c>
      <c r="Z418">
        <f>HOUR(Y418)</f>
        <v>0</v>
      </c>
      <c r="AA418">
        <f>MINUTE(Y418)</f>
        <v>2</v>
      </c>
      <c r="AB418">
        <f>Z418*60+AA418</f>
        <v>2</v>
      </c>
    </row>
    <row r="419" spans="1:28" x14ac:dyDescent="0.25">
      <c r="A419">
        <v>417</v>
      </c>
      <c r="B419" t="s">
        <v>33</v>
      </c>
      <c r="C419">
        <v>1</v>
      </c>
      <c r="D419" t="s">
        <v>37</v>
      </c>
      <c r="E419" s="6">
        <v>46052.333333333336</v>
      </c>
      <c r="F419" s="6">
        <v>46052.348611111112</v>
      </c>
      <c r="G419" s="6">
        <v>46052.388888888891</v>
      </c>
      <c r="H419" s="6">
        <v>46052.515277777777</v>
      </c>
      <c r="I419" s="6">
        <v>46052.522222222222</v>
      </c>
      <c r="J419" s="6">
        <v>46052.527777777781</v>
      </c>
      <c r="K419">
        <v>4.67</v>
      </c>
      <c r="L419" s="6">
        <v>46052.534722222219</v>
      </c>
      <c r="M419" s="7">
        <f>F419-E419</f>
        <v>1.5277777776645962E-2</v>
      </c>
      <c r="N419">
        <f>HOUR(M419)</f>
        <v>0</v>
      </c>
      <c r="O419">
        <f>MINUTE(M419)</f>
        <v>22</v>
      </c>
      <c r="P419">
        <f>N419*60+O419</f>
        <v>22</v>
      </c>
      <c r="Q419" s="7">
        <f>G419-F419</f>
        <v>4.0277777778101154E-2</v>
      </c>
      <c r="R419">
        <f>HOUR(Q419)</f>
        <v>0</v>
      </c>
      <c r="S419">
        <f>MINUTE(Q419)</f>
        <v>58</v>
      </c>
      <c r="T419">
        <f>R419*60+S419</f>
        <v>58</v>
      </c>
      <c r="U419" s="7">
        <f>H419-G419</f>
        <v>0.12638888888614019</v>
      </c>
      <c r="V419">
        <f>HOUR(U419)</f>
        <v>3</v>
      </c>
      <c r="W419">
        <f>MINUTE(U419)</f>
        <v>2</v>
      </c>
      <c r="X419">
        <f>V419*60+W419</f>
        <v>182</v>
      </c>
      <c r="Y419" s="7">
        <f>I419-H419</f>
        <v>6.9444444452528842E-3</v>
      </c>
      <c r="Z419">
        <f>HOUR(Y419)</f>
        <v>0</v>
      </c>
      <c r="AA419">
        <f>MINUTE(Y419)</f>
        <v>10</v>
      </c>
      <c r="AB419">
        <f>Z419*60+AA419</f>
        <v>10</v>
      </c>
    </row>
    <row r="420" spans="1:28" x14ac:dyDescent="0.25">
      <c r="A420">
        <v>418</v>
      </c>
      <c r="B420" t="s">
        <v>29</v>
      </c>
      <c r="C420">
        <v>1</v>
      </c>
      <c r="D420" t="s">
        <v>30</v>
      </c>
      <c r="E420" s="6">
        <v>46052.129166666666</v>
      </c>
      <c r="F420" s="6">
        <v>46052.142361111109</v>
      </c>
      <c r="G420" s="6">
        <v>46052.15625</v>
      </c>
      <c r="H420" s="6">
        <v>46052.207638888889</v>
      </c>
      <c r="I420" s="6">
        <v>46052.208333333336</v>
      </c>
      <c r="J420" s="6">
        <v>46052.215277777781</v>
      </c>
      <c r="K420">
        <v>2.0699999999999998</v>
      </c>
      <c r="L420" s="6">
        <v>46052.21875</v>
      </c>
      <c r="M420" s="7">
        <f>F420-E420</f>
        <v>1.3194444443797693E-2</v>
      </c>
      <c r="N420">
        <f>HOUR(M420)</f>
        <v>0</v>
      </c>
      <c r="O420">
        <f>MINUTE(M420)</f>
        <v>19</v>
      </c>
      <c r="P420">
        <f>N420*60+O420</f>
        <v>19</v>
      </c>
      <c r="Q420" s="7">
        <f>G420-F420</f>
        <v>1.3888888890505768E-2</v>
      </c>
      <c r="R420">
        <f>HOUR(Q420)</f>
        <v>0</v>
      </c>
      <c r="S420">
        <f>MINUTE(Q420)</f>
        <v>20</v>
      </c>
      <c r="T420">
        <f>R420*60+S420</f>
        <v>20</v>
      </c>
      <c r="U420" s="7">
        <f>H420-G420</f>
        <v>5.1388888889050577E-2</v>
      </c>
      <c r="V420">
        <f>HOUR(U420)</f>
        <v>1</v>
      </c>
      <c r="W420">
        <f>MINUTE(U420)</f>
        <v>14</v>
      </c>
      <c r="X420">
        <f>V420*60+W420</f>
        <v>74</v>
      </c>
      <c r="Y420" s="7">
        <f>I420-H420</f>
        <v>6.944444467080757E-4</v>
      </c>
      <c r="Z420">
        <f>HOUR(Y420)</f>
        <v>0</v>
      </c>
      <c r="AA420">
        <f>MINUTE(Y420)</f>
        <v>1</v>
      </c>
      <c r="AB420">
        <f>Z420*60+AA420</f>
        <v>1</v>
      </c>
    </row>
    <row r="421" spans="1:28" x14ac:dyDescent="0.25">
      <c r="A421">
        <v>419</v>
      </c>
      <c r="B421" t="s">
        <v>33</v>
      </c>
      <c r="C421">
        <v>1</v>
      </c>
      <c r="D421" t="s">
        <v>37</v>
      </c>
      <c r="E421" s="6">
        <v>46052.166666666664</v>
      </c>
      <c r="F421" s="6">
        <v>46052.173611111109</v>
      </c>
      <c r="G421" s="6">
        <v>46052.180555555555</v>
      </c>
      <c r="H421" s="6">
        <v>46052.194444444445</v>
      </c>
      <c r="I421" s="6">
        <v>46052.201388888891</v>
      </c>
      <c r="J421" s="6">
        <v>46052.208333333336</v>
      </c>
      <c r="K421">
        <v>1</v>
      </c>
      <c r="L421" s="6">
        <v>46052.215277777781</v>
      </c>
      <c r="M421" s="7">
        <f>F421-E421</f>
        <v>6.9444444452528842E-3</v>
      </c>
      <c r="N421">
        <f>HOUR(M421)</f>
        <v>0</v>
      </c>
      <c r="O421">
        <f>MINUTE(M421)</f>
        <v>10</v>
      </c>
      <c r="P421">
        <f>N421*60+O421</f>
        <v>10</v>
      </c>
      <c r="Q421" s="7">
        <f>G421-F421</f>
        <v>6.9444444452528842E-3</v>
      </c>
      <c r="R421">
        <f>HOUR(Q421)</f>
        <v>0</v>
      </c>
      <c r="S421">
        <f>MINUTE(Q421)</f>
        <v>10</v>
      </c>
      <c r="T421">
        <f>R421*60+S421</f>
        <v>10</v>
      </c>
      <c r="U421" s="7">
        <f>H421-G421</f>
        <v>1.3888888890505768E-2</v>
      </c>
      <c r="V421">
        <f>HOUR(U421)</f>
        <v>0</v>
      </c>
      <c r="W421">
        <f>MINUTE(U421)</f>
        <v>20</v>
      </c>
      <c r="X421">
        <f>V421*60+W421</f>
        <v>20</v>
      </c>
      <c r="Y421" s="7">
        <f>I421-H421</f>
        <v>6.9444444452528842E-3</v>
      </c>
      <c r="Z421">
        <f>HOUR(Y421)</f>
        <v>0</v>
      </c>
      <c r="AA421">
        <f>MINUTE(Y421)</f>
        <v>10</v>
      </c>
      <c r="AB421">
        <f>Z421*60+AA421</f>
        <v>10</v>
      </c>
    </row>
    <row r="422" spans="1:28" x14ac:dyDescent="0.25">
      <c r="A422">
        <v>420</v>
      </c>
      <c r="B422" t="s">
        <v>29</v>
      </c>
      <c r="C422">
        <v>1</v>
      </c>
      <c r="D422" t="s">
        <v>36</v>
      </c>
      <c r="E422" s="6">
        <v>46052.291666666664</v>
      </c>
      <c r="F422" s="6">
        <v>46052.298611111109</v>
      </c>
      <c r="G422" s="6">
        <v>46052.319444444445</v>
      </c>
      <c r="H422" s="6">
        <v>46052.320833333331</v>
      </c>
      <c r="I422" s="6">
        <v>46052.321527777778</v>
      </c>
      <c r="J422" s="6">
        <v>46052.354166666664</v>
      </c>
      <c r="K422">
        <v>1.5</v>
      </c>
      <c r="L422" s="6">
        <v>46052.357638888891</v>
      </c>
      <c r="M422" s="7">
        <f>F422-E422</f>
        <v>6.9444444452528842E-3</v>
      </c>
      <c r="N422">
        <f>HOUR(M422)</f>
        <v>0</v>
      </c>
      <c r="O422">
        <f>MINUTE(M422)</f>
        <v>10</v>
      </c>
      <c r="P422">
        <f>N422*60+O422</f>
        <v>10</v>
      </c>
      <c r="Q422" s="7">
        <f>G422-F422</f>
        <v>2.0833333335758653E-2</v>
      </c>
      <c r="R422">
        <f>HOUR(Q422)</f>
        <v>0</v>
      </c>
      <c r="S422">
        <f>MINUTE(Q422)</f>
        <v>30</v>
      </c>
      <c r="T422">
        <f>R422*60+S422</f>
        <v>30</v>
      </c>
      <c r="U422" s="7">
        <f>H422-G422</f>
        <v>1.3888888861401938E-3</v>
      </c>
      <c r="V422">
        <f>HOUR(U422)</f>
        <v>0</v>
      </c>
      <c r="W422">
        <f>MINUTE(U422)</f>
        <v>2</v>
      </c>
      <c r="X422">
        <f>V422*60+W422</f>
        <v>2</v>
      </c>
      <c r="Y422" s="7">
        <f>I422-H422</f>
        <v>6.944444467080757E-4</v>
      </c>
      <c r="Z422">
        <f>HOUR(Y422)</f>
        <v>0</v>
      </c>
      <c r="AA422">
        <f>MINUTE(Y422)</f>
        <v>1</v>
      </c>
      <c r="AB422">
        <f>Z422*60+AA422</f>
        <v>1</v>
      </c>
    </row>
    <row r="423" spans="1:28" x14ac:dyDescent="0.25">
      <c r="A423">
        <v>421</v>
      </c>
      <c r="B423" t="s">
        <v>33</v>
      </c>
      <c r="C423">
        <v>1</v>
      </c>
      <c r="D423" t="s">
        <v>30</v>
      </c>
      <c r="E423" s="6">
        <v>46052.59097222222</v>
      </c>
      <c r="F423" s="6">
        <v>46052.591666666667</v>
      </c>
      <c r="G423" s="6">
        <v>46052.614583333336</v>
      </c>
      <c r="H423" s="6">
        <v>46052.649305555555</v>
      </c>
      <c r="I423" s="6">
        <v>46052.666666666664</v>
      </c>
      <c r="J423" s="6">
        <v>46052.670138888891</v>
      </c>
      <c r="K423">
        <v>1.9</v>
      </c>
      <c r="L423" s="6">
        <v>46052.67083333333</v>
      </c>
      <c r="M423" s="7">
        <f>F423-E423</f>
        <v>6.944444467080757E-4</v>
      </c>
      <c r="N423">
        <f>HOUR(M423)</f>
        <v>0</v>
      </c>
      <c r="O423">
        <f>MINUTE(M423)</f>
        <v>1</v>
      </c>
      <c r="P423">
        <f>N423*60+O423</f>
        <v>1</v>
      </c>
      <c r="Q423" s="7">
        <f>G423-F423</f>
        <v>2.2916666668606922E-2</v>
      </c>
      <c r="R423">
        <f>HOUR(Q423)</f>
        <v>0</v>
      </c>
      <c r="S423">
        <f>MINUTE(Q423)</f>
        <v>33</v>
      </c>
      <c r="T423">
        <f>R423*60+S423</f>
        <v>33</v>
      </c>
      <c r="U423" s="7">
        <f>H423-G423</f>
        <v>3.4722222218988463E-2</v>
      </c>
      <c r="V423">
        <f>HOUR(U423)</f>
        <v>0</v>
      </c>
      <c r="W423">
        <f>MINUTE(U423)</f>
        <v>50</v>
      </c>
      <c r="X423">
        <f>V423*60+W423</f>
        <v>50</v>
      </c>
      <c r="Y423" s="7">
        <f>I423-H423</f>
        <v>1.7361111109494232E-2</v>
      </c>
      <c r="Z423">
        <f>HOUR(Y423)</f>
        <v>0</v>
      </c>
      <c r="AA423">
        <f>MINUTE(Y423)</f>
        <v>25</v>
      </c>
      <c r="AB423">
        <f>Z423*60+AA423</f>
        <v>25</v>
      </c>
    </row>
    <row r="424" spans="1:28" x14ac:dyDescent="0.25">
      <c r="A424">
        <v>422</v>
      </c>
      <c r="B424" t="s">
        <v>33</v>
      </c>
      <c r="C424">
        <v>1</v>
      </c>
      <c r="D424" t="s">
        <v>30</v>
      </c>
      <c r="E424" s="6">
        <v>46052.414583333331</v>
      </c>
      <c r="F424" s="6">
        <v>46052.415277777778</v>
      </c>
      <c r="G424" s="6">
        <v>46052.454861111109</v>
      </c>
      <c r="H424" s="6">
        <v>46052.541666666664</v>
      </c>
      <c r="I424" s="6">
        <v>46052.670138888891</v>
      </c>
      <c r="J424" s="6">
        <v>46052.673611111109</v>
      </c>
      <c r="K424">
        <v>6.22</v>
      </c>
      <c r="L424" s="6">
        <v>46052.680555555555</v>
      </c>
      <c r="M424" s="7">
        <f>F424-E424</f>
        <v>6.944444467080757E-4</v>
      </c>
      <c r="N424">
        <f>HOUR(M424)</f>
        <v>0</v>
      </c>
      <c r="O424">
        <f>MINUTE(M424)</f>
        <v>1</v>
      </c>
      <c r="P424">
        <f>N424*60+O424</f>
        <v>1</v>
      </c>
      <c r="Q424" s="7">
        <f>G424-F424</f>
        <v>3.9583333331393078E-2</v>
      </c>
      <c r="R424">
        <f>HOUR(Q424)</f>
        <v>0</v>
      </c>
      <c r="S424">
        <f>MINUTE(Q424)</f>
        <v>57</v>
      </c>
      <c r="T424">
        <f>R424*60+S424</f>
        <v>57</v>
      </c>
      <c r="U424" s="7">
        <f>H424-G424</f>
        <v>8.6805555554747116E-2</v>
      </c>
      <c r="V424">
        <f>HOUR(U424)</f>
        <v>2</v>
      </c>
      <c r="W424">
        <f>MINUTE(U424)</f>
        <v>5</v>
      </c>
      <c r="X424">
        <f>V424*60+W424</f>
        <v>125</v>
      </c>
      <c r="Y424" s="7">
        <f>I424-H424</f>
        <v>0.12847222222626442</v>
      </c>
      <c r="Z424">
        <f>HOUR(Y424)</f>
        <v>3</v>
      </c>
      <c r="AA424">
        <f>MINUTE(Y424)</f>
        <v>5</v>
      </c>
      <c r="AB424">
        <f>Z424*60+AA424</f>
        <v>185</v>
      </c>
    </row>
    <row r="425" spans="1:28" x14ac:dyDescent="0.25">
      <c r="A425">
        <v>423</v>
      </c>
      <c r="B425" t="s">
        <v>33</v>
      </c>
      <c r="C425">
        <v>1</v>
      </c>
      <c r="D425" t="s">
        <v>35</v>
      </c>
      <c r="E425" s="6">
        <v>46053.409722222219</v>
      </c>
      <c r="F425" s="6">
        <v>46053.416666666664</v>
      </c>
      <c r="G425" s="6">
        <v>46053.434027777781</v>
      </c>
      <c r="H425" s="6">
        <v>46053.470138888886</v>
      </c>
      <c r="I425" s="6">
        <v>46053.477083333331</v>
      </c>
      <c r="J425" s="6">
        <v>46053.527777777781</v>
      </c>
      <c r="K425">
        <v>2.83</v>
      </c>
      <c r="L425" s="6">
        <v>46053.534722222219</v>
      </c>
      <c r="M425" s="7">
        <f>F425-E425</f>
        <v>6.9444444452528842E-3</v>
      </c>
      <c r="N425">
        <f>HOUR(M425)</f>
        <v>0</v>
      </c>
      <c r="O425">
        <f>MINUTE(M425)</f>
        <v>10</v>
      </c>
      <c r="P425">
        <f>N425*60+O425</f>
        <v>10</v>
      </c>
      <c r="Q425" s="7">
        <f>G425-F425</f>
        <v>1.7361111116770189E-2</v>
      </c>
      <c r="R425">
        <f>HOUR(Q425)</f>
        <v>0</v>
      </c>
      <c r="S425">
        <f>MINUTE(Q425)</f>
        <v>25</v>
      </c>
      <c r="T425">
        <f>R425*60+S425</f>
        <v>25</v>
      </c>
      <c r="U425" s="7">
        <f>H425-G425</f>
        <v>3.6111111105128657E-2</v>
      </c>
      <c r="V425">
        <f>HOUR(U425)</f>
        <v>0</v>
      </c>
      <c r="W425">
        <f>MINUTE(U425)</f>
        <v>52</v>
      </c>
      <c r="X425">
        <f>V425*60+W425</f>
        <v>52</v>
      </c>
      <c r="Y425" s="7">
        <f>I425-H425</f>
        <v>6.9444444452528842E-3</v>
      </c>
      <c r="Z425">
        <f>HOUR(Y425)</f>
        <v>0</v>
      </c>
      <c r="AA425">
        <f>MINUTE(Y425)</f>
        <v>10</v>
      </c>
      <c r="AB425">
        <f>Z425*60+AA425</f>
        <v>10</v>
      </c>
    </row>
    <row r="426" spans="1:28" x14ac:dyDescent="0.25">
      <c r="A426">
        <v>424</v>
      </c>
      <c r="B426" t="s">
        <v>29</v>
      </c>
      <c r="C426">
        <v>1</v>
      </c>
      <c r="D426" t="s">
        <v>34</v>
      </c>
      <c r="E426" s="6">
        <v>46053.368055555555</v>
      </c>
      <c r="F426" s="6">
        <v>46053.375</v>
      </c>
      <c r="G426" s="6">
        <v>46053.378472222219</v>
      </c>
      <c r="H426" s="6">
        <v>46053.38958333333</v>
      </c>
      <c r="I426" s="6">
        <v>46053.396527777775</v>
      </c>
      <c r="J426" s="6">
        <v>46053.402777777781</v>
      </c>
      <c r="K426">
        <v>0.83</v>
      </c>
      <c r="L426" s="6">
        <v>46053.409722222219</v>
      </c>
      <c r="M426" s="7">
        <f>F426-E426</f>
        <v>6.9444444452528842E-3</v>
      </c>
      <c r="N426">
        <f>HOUR(M426)</f>
        <v>0</v>
      </c>
      <c r="O426">
        <f>MINUTE(M426)</f>
        <v>10</v>
      </c>
      <c r="P426">
        <f>N426*60+O426</f>
        <v>10</v>
      </c>
      <c r="Q426" s="7">
        <f>G426-F426</f>
        <v>3.4722222189884633E-3</v>
      </c>
      <c r="R426">
        <f>HOUR(Q426)</f>
        <v>0</v>
      </c>
      <c r="S426">
        <f>MINUTE(Q426)</f>
        <v>5</v>
      </c>
      <c r="T426">
        <f>R426*60+S426</f>
        <v>5</v>
      </c>
      <c r="U426" s="7">
        <f>H426-G426</f>
        <v>1.1111111110949423E-2</v>
      </c>
      <c r="V426">
        <f>HOUR(U426)</f>
        <v>0</v>
      </c>
      <c r="W426">
        <f>MINUTE(U426)</f>
        <v>16</v>
      </c>
      <c r="X426">
        <f>V426*60+W426</f>
        <v>16</v>
      </c>
      <c r="Y426" s="7">
        <f>I426-H426</f>
        <v>6.9444444452528842E-3</v>
      </c>
      <c r="Z426">
        <f>HOUR(Y426)</f>
        <v>0</v>
      </c>
      <c r="AA426">
        <f>MINUTE(Y426)</f>
        <v>10</v>
      </c>
      <c r="AB426">
        <f>Z426*60+AA426</f>
        <v>10</v>
      </c>
    </row>
    <row r="427" spans="1:28" x14ac:dyDescent="0.25">
      <c r="A427">
        <v>425</v>
      </c>
      <c r="B427" t="s">
        <v>29</v>
      </c>
      <c r="C427">
        <v>1</v>
      </c>
      <c r="D427" t="s">
        <v>36</v>
      </c>
      <c r="E427" s="6">
        <v>46053.385416666664</v>
      </c>
      <c r="F427" s="6">
        <v>46053.395833333336</v>
      </c>
      <c r="G427" s="6">
        <v>46053.402777777781</v>
      </c>
      <c r="H427" s="6">
        <v>46053.416666666664</v>
      </c>
      <c r="I427" s="6">
        <v>46053.423611111109</v>
      </c>
      <c r="J427" s="6">
        <v>46053.430555555555</v>
      </c>
      <c r="K427">
        <v>1.08</v>
      </c>
      <c r="L427" s="6">
        <v>46053.4375</v>
      </c>
      <c r="M427" s="7">
        <f>F427-E427</f>
        <v>1.0416666671517305E-2</v>
      </c>
      <c r="N427">
        <f>HOUR(M427)</f>
        <v>0</v>
      </c>
      <c r="O427">
        <f>MINUTE(M427)</f>
        <v>15</v>
      </c>
      <c r="P427">
        <f>N427*60+O427</f>
        <v>15</v>
      </c>
      <c r="Q427" s="7">
        <f>G427-F427</f>
        <v>6.9444444452528842E-3</v>
      </c>
      <c r="R427">
        <f>HOUR(Q427)</f>
        <v>0</v>
      </c>
      <c r="S427">
        <f>MINUTE(Q427)</f>
        <v>10</v>
      </c>
      <c r="T427">
        <f>R427*60+S427</f>
        <v>10</v>
      </c>
      <c r="U427" s="7">
        <f>H427-G427</f>
        <v>1.3888888883229811E-2</v>
      </c>
      <c r="V427">
        <f>HOUR(U427)</f>
        <v>0</v>
      </c>
      <c r="W427">
        <f>MINUTE(U427)</f>
        <v>20</v>
      </c>
      <c r="X427">
        <f>V427*60+W427</f>
        <v>20</v>
      </c>
      <c r="Y427" s="7">
        <f>I427-H427</f>
        <v>6.9444444452528842E-3</v>
      </c>
      <c r="Z427">
        <f>HOUR(Y427)</f>
        <v>0</v>
      </c>
      <c r="AA427">
        <f>MINUTE(Y427)</f>
        <v>10</v>
      </c>
      <c r="AB427">
        <f>Z427*60+AA427</f>
        <v>10</v>
      </c>
    </row>
    <row r="428" spans="1:28" x14ac:dyDescent="0.25">
      <c r="A428">
        <v>426</v>
      </c>
      <c r="B428" t="s">
        <v>29</v>
      </c>
      <c r="C428">
        <v>1</v>
      </c>
      <c r="D428" t="s">
        <v>35</v>
      </c>
      <c r="E428" s="6">
        <v>46055.3125</v>
      </c>
      <c r="F428" s="6">
        <v>46055.319444444445</v>
      </c>
      <c r="G428" s="6">
        <v>46055.375</v>
      </c>
      <c r="H428" s="6">
        <v>46055.458333333336</v>
      </c>
      <c r="I428" s="6">
        <v>46055.465277777781</v>
      </c>
      <c r="J428" s="6">
        <v>46055.527777777781</v>
      </c>
      <c r="K428">
        <v>5.17</v>
      </c>
      <c r="L428" s="6">
        <v>46055.534722222219</v>
      </c>
      <c r="M428" s="7">
        <f>F428-E428</f>
        <v>6.9444444452528842E-3</v>
      </c>
      <c r="N428">
        <f>HOUR(M428)</f>
        <v>0</v>
      </c>
      <c r="O428">
        <f>MINUTE(M428)</f>
        <v>10</v>
      </c>
      <c r="P428">
        <f>N428*60+O428</f>
        <v>10</v>
      </c>
      <c r="Q428" s="7">
        <f>G428-F428</f>
        <v>5.5555555554747116E-2</v>
      </c>
      <c r="R428">
        <f>HOUR(Q428)</f>
        <v>1</v>
      </c>
      <c r="S428">
        <f>MINUTE(Q428)</f>
        <v>20</v>
      </c>
      <c r="T428">
        <f>R428*60+S428</f>
        <v>80</v>
      </c>
      <c r="U428" s="7">
        <f>H428-G428</f>
        <v>8.3333333335758653E-2</v>
      </c>
      <c r="V428">
        <f>HOUR(U428)</f>
        <v>2</v>
      </c>
      <c r="W428">
        <f>MINUTE(U428)</f>
        <v>0</v>
      </c>
      <c r="X428">
        <f>V428*60+W428</f>
        <v>120</v>
      </c>
      <c r="Y428" s="7">
        <f>I428-H428</f>
        <v>6.9444444452528842E-3</v>
      </c>
      <c r="Z428">
        <f>HOUR(Y428)</f>
        <v>0</v>
      </c>
      <c r="AA428">
        <f>MINUTE(Y428)</f>
        <v>10</v>
      </c>
      <c r="AB428">
        <f>Z428*60+AA428</f>
        <v>10</v>
      </c>
    </row>
    <row r="429" spans="1:28" x14ac:dyDescent="0.25">
      <c r="A429">
        <v>427</v>
      </c>
      <c r="B429" t="s">
        <v>29</v>
      </c>
      <c r="C429">
        <v>1</v>
      </c>
      <c r="D429" t="s">
        <v>36</v>
      </c>
      <c r="E429" s="6">
        <v>46055.482638888891</v>
      </c>
      <c r="F429" s="6">
        <v>46055.489583333336</v>
      </c>
      <c r="G429" s="6">
        <v>46055.506944444445</v>
      </c>
      <c r="H429" s="6">
        <v>46055.606944444444</v>
      </c>
      <c r="I429" s="6">
        <v>46055.613888888889</v>
      </c>
      <c r="J429" s="6">
        <v>46055.618750000001</v>
      </c>
      <c r="K429">
        <v>3.27</v>
      </c>
      <c r="L429" s="6">
        <v>46055.625694444447</v>
      </c>
      <c r="M429" s="7">
        <f>F429-E429</f>
        <v>6.9444444452528842E-3</v>
      </c>
      <c r="N429">
        <f>HOUR(M429)</f>
        <v>0</v>
      </c>
      <c r="O429">
        <f>MINUTE(M429)</f>
        <v>10</v>
      </c>
      <c r="P429">
        <f>N429*60+O429</f>
        <v>10</v>
      </c>
      <c r="Q429" s="7">
        <f>G429-F429</f>
        <v>1.7361111109494232E-2</v>
      </c>
      <c r="R429">
        <f>HOUR(Q429)</f>
        <v>0</v>
      </c>
      <c r="S429">
        <f>MINUTE(Q429)</f>
        <v>25</v>
      </c>
      <c r="T429">
        <f>R429*60+S429</f>
        <v>25</v>
      </c>
      <c r="U429" s="7">
        <f>H429-G429</f>
        <v>9.9999999998544808E-2</v>
      </c>
      <c r="V429">
        <f>HOUR(U429)</f>
        <v>2</v>
      </c>
      <c r="W429">
        <f>MINUTE(U429)</f>
        <v>24</v>
      </c>
      <c r="X429">
        <f>V429*60+W429</f>
        <v>144</v>
      </c>
      <c r="Y429" s="7">
        <f>I429-H429</f>
        <v>6.9444444452528842E-3</v>
      </c>
      <c r="Z429">
        <f>HOUR(Y429)</f>
        <v>0</v>
      </c>
      <c r="AA429">
        <f>MINUTE(Y429)</f>
        <v>10</v>
      </c>
      <c r="AB429">
        <f>Z429*60+AA429</f>
        <v>10</v>
      </c>
    </row>
    <row r="430" spans="1:28" x14ac:dyDescent="0.25">
      <c r="A430">
        <v>428</v>
      </c>
      <c r="B430" t="s">
        <v>29</v>
      </c>
      <c r="C430">
        <v>1</v>
      </c>
      <c r="D430" t="s">
        <v>30</v>
      </c>
      <c r="E430" s="6">
        <v>46052.604166666664</v>
      </c>
      <c r="F430" s="6">
        <v>46052.631944444445</v>
      </c>
      <c r="G430" s="6">
        <v>46052.666666666664</v>
      </c>
      <c r="H430" s="6">
        <v>46052.68472222222</v>
      </c>
      <c r="I430" s="6">
        <v>46052.691666666666</v>
      </c>
      <c r="J430" s="6">
        <v>46052.708333333336</v>
      </c>
      <c r="K430">
        <v>2.5</v>
      </c>
      <c r="L430" s="6">
        <v>46052.715277777781</v>
      </c>
      <c r="M430" s="7">
        <f>F430-E430</f>
        <v>2.7777777781011537E-2</v>
      </c>
      <c r="N430">
        <f>HOUR(M430)</f>
        <v>0</v>
      </c>
      <c r="O430">
        <f>MINUTE(M430)</f>
        <v>40</v>
      </c>
      <c r="P430">
        <f>N430*60+O430</f>
        <v>40</v>
      </c>
      <c r="Q430" s="7">
        <f>G430-F430</f>
        <v>3.4722222218988463E-2</v>
      </c>
      <c r="R430">
        <f>HOUR(Q430)</f>
        <v>0</v>
      </c>
      <c r="S430">
        <f>MINUTE(Q430)</f>
        <v>50</v>
      </c>
      <c r="T430">
        <f>R430*60+S430</f>
        <v>50</v>
      </c>
      <c r="U430" s="7">
        <f>H430-G430</f>
        <v>1.8055555556202307E-2</v>
      </c>
      <c r="V430">
        <f>HOUR(U430)</f>
        <v>0</v>
      </c>
      <c r="W430">
        <f>MINUTE(U430)</f>
        <v>26</v>
      </c>
      <c r="X430">
        <f>V430*60+W430</f>
        <v>26</v>
      </c>
      <c r="Y430" s="7">
        <f>I430-H430</f>
        <v>6.9444444452528842E-3</v>
      </c>
      <c r="Z430">
        <f>HOUR(Y430)</f>
        <v>0</v>
      </c>
      <c r="AA430">
        <f>MINUTE(Y430)</f>
        <v>10</v>
      </c>
      <c r="AB430">
        <f>Z430*60+AA430</f>
        <v>10</v>
      </c>
    </row>
    <row r="431" spans="1:28" x14ac:dyDescent="0.25">
      <c r="A431">
        <v>429</v>
      </c>
      <c r="B431" t="s">
        <v>33</v>
      </c>
      <c r="C431">
        <v>1</v>
      </c>
      <c r="D431" t="s">
        <v>30</v>
      </c>
      <c r="E431" s="6">
        <v>46053.440972222219</v>
      </c>
      <c r="F431" s="6">
        <v>46053.447916666664</v>
      </c>
      <c r="G431" s="6">
        <v>46053.489583333336</v>
      </c>
      <c r="H431" s="6">
        <v>46053.534722222219</v>
      </c>
      <c r="I431" s="6">
        <v>46053.541666666664</v>
      </c>
      <c r="J431" s="6">
        <v>46053.5625</v>
      </c>
      <c r="K431">
        <v>2.92</v>
      </c>
      <c r="L431" s="6">
        <v>46053.569444444445</v>
      </c>
      <c r="M431" s="7">
        <f>F431-E431</f>
        <v>6.9444444452528842E-3</v>
      </c>
      <c r="N431">
        <f>HOUR(M431)</f>
        <v>0</v>
      </c>
      <c r="O431">
        <f>MINUTE(M431)</f>
        <v>10</v>
      </c>
      <c r="P431">
        <f>N431*60+O431</f>
        <v>10</v>
      </c>
      <c r="Q431" s="7">
        <f>G431-F431</f>
        <v>4.1666666671517305E-2</v>
      </c>
      <c r="R431">
        <f>HOUR(Q431)</f>
        <v>1</v>
      </c>
      <c r="S431">
        <f>MINUTE(Q431)</f>
        <v>0</v>
      </c>
      <c r="T431">
        <f>R431*60+S431</f>
        <v>60</v>
      </c>
      <c r="U431" s="7">
        <f>H431-G431</f>
        <v>4.5138888883229811E-2</v>
      </c>
      <c r="V431">
        <f>HOUR(U431)</f>
        <v>1</v>
      </c>
      <c r="W431">
        <f>MINUTE(U431)</f>
        <v>5</v>
      </c>
      <c r="X431">
        <f>V431*60+W431</f>
        <v>65</v>
      </c>
      <c r="Y431" s="7">
        <f>I431-H431</f>
        <v>6.9444444452528842E-3</v>
      </c>
      <c r="Z431">
        <f>HOUR(Y431)</f>
        <v>0</v>
      </c>
      <c r="AA431">
        <f>MINUTE(Y431)</f>
        <v>10</v>
      </c>
      <c r="AB431">
        <f>Z431*60+AA431</f>
        <v>10</v>
      </c>
    </row>
    <row r="432" spans="1:28" x14ac:dyDescent="0.25">
      <c r="A432">
        <v>430</v>
      </c>
      <c r="B432" t="s">
        <v>31</v>
      </c>
      <c r="C432">
        <v>1</v>
      </c>
      <c r="D432" t="s">
        <v>36</v>
      </c>
      <c r="E432" s="6">
        <v>46053.576388888891</v>
      </c>
      <c r="F432" s="6">
        <v>46053.586805555555</v>
      </c>
      <c r="G432" s="6">
        <v>46053.597222222219</v>
      </c>
      <c r="H432" s="6">
        <v>46053.78125</v>
      </c>
      <c r="I432" s="6">
        <v>46053.788194444445</v>
      </c>
      <c r="J432" s="6">
        <v>46053.833333333336</v>
      </c>
      <c r="K432">
        <v>6.17</v>
      </c>
      <c r="L432" s="6">
        <v>46053.840277777781</v>
      </c>
      <c r="M432" s="7">
        <f>F432-E432</f>
        <v>1.0416666664241347E-2</v>
      </c>
      <c r="N432">
        <f>HOUR(M432)</f>
        <v>0</v>
      </c>
      <c r="O432">
        <f>MINUTE(M432)</f>
        <v>15</v>
      </c>
      <c r="P432">
        <f>N432*60+O432</f>
        <v>15</v>
      </c>
      <c r="Q432" s="7">
        <f>G432-F432</f>
        <v>1.0416666664241347E-2</v>
      </c>
      <c r="R432">
        <f>HOUR(Q432)</f>
        <v>0</v>
      </c>
      <c r="S432">
        <f>MINUTE(Q432)</f>
        <v>15</v>
      </c>
      <c r="T432">
        <f>R432*60+S432</f>
        <v>15</v>
      </c>
      <c r="U432" s="7">
        <f>H432-G432</f>
        <v>0.18402777778101154</v>
      </c>
      <c r="V432">
        <f>HOUR(U432)</f>
        <v>4</v>
      </c>
      <c r="W432">
        <f>MINUTE(U432)</f>
        <v>25</v>
      </c>
      <c r="X432">
        <f>V432*60+W432</f>
        <v>265</v>
      </c>
      <c r="Y432" s="7">
        <f>I432-H432</f>
        <v>6.9444444452528842E-3</v>
      </c>
      <c r="Z432">
        <f>HOUR(Y432)</f>
        <v>0</v>
      </c>
      <c r="AA432">
        <f>MINUTE(Y432)</f>
        <v>10</v>
      </c>
      <c r="AB432">
        <f>Z432*60+AA432</f>
        <v>10</v>
      </c>
    </row>
    <row r="433" spans="1:28" x14ac:dyDescent="0.25">
      <c r="A433">
        <v>431</v>
      </c>
      <c r="B433" t="s">
        <v>33</v>
      </c>
      <c r="C433">
        <v>1</v>
      </c>
      <c r="D433" t="s">
        <v>30</v>
      </c>
      <c r="E433" s="6">
        <v>46052.727777777778</v>
      </c>
      <c r="F433" s="6">
        <v>46052.729166666664</v>
      </c>
      <c r="G433" s="6">
        <v>46052.75</v>
      </c>
      <c r="H433" s="6">
        <v>46052.815972222219</v>
      </c>
      <c r="I433" s="6">
        <v>46052.816666666666</v>
      </c>
      <c r="J433" s="6">
        <v>46052.822916666664</v>
      </c>
      <c r="K433">
        <v>2.2799999999999998</v>
      </c>
      <c r="L433" s="6">
        <v>46052.829861111109</v>
      </c>
      <c r="M433" s="7">
        <f>F433-E433</f>
        <v>1.3888888861401938E-3</v>
      </c>
      <c r="N433">
        <f>HOUR(M433)</f>
        <v>0</v>
      </c>
      <c r="O433">
        <f>MINUTE(M433)</f>
        <v>2</v>
      </c>
      <c r="P433">
        <f>N433*60+O433</f>
        <v>2</v>
      </c>
      <c r="Q433" s="7">
        <f>G433-F433</f>
        <v>2.0833333335758653E-2</v>
      </c>
      <c r="R433">
        <f>HOUR(Q433)</f>
        <v>0</v>
      </c>
      <c r="S433">
        <f>MINUTE(Q433)</f>
        <v>30</v>
      </c>
      <c r="T433">
        <f>R433*60+S433</f>
        <v>30</v>
      </c>
      <c r="U433" s="7">
        <f>H433-G433</f>
        <v>6.5972222218988463E-2</v>
      </c>
      <c r="V433">
        <f>HOUR(U433)</f>
        <v>1</v>
      </c>
      <c r="W433">
        <f>MINUTE(U433)</f>
        <v>35</v>
      </c>
      <c r="X433">
        <f>V433*60+W433</f>
        <v>95</v>
      </c>
      <c r="Y433" s="7">
        <f>I433-H433</f>
        <v>6.944444467080757E-4</v>
      </c>
      <c r="Z433">
        <f>HOUR(Y433)</f>
        <v>0</v>
      </c>
      <c r="AA433">
        <f>MINUTE(Y433)</f>
        <v>1</v>
      </c>
      <c r="AB433">
        <f>Z433*60+AA433</f>
        <v>1</v>
      </c>
    </row>
    <row r="434" spans="1:28" x14ac:dyDescent="0.25">
      <c r="A434">
        <v>432</v>
      </c>
      <c r="B434" t="s">
        <v>33</v>
      </c>
      <c r="C434">
        <v>1</v>
      </c>
      <c r="D434" t="s">
        <v>30</v>
      </c>
      <c r="E434" s="6">
        <v>46052.840277777781</v>
      </c>
      <c r="F434" s="6">
        <v>46052.847222222219</v>
      </c>
      <c r="G434" s="6">
        <v>46052.868055555555</v>
      </c>
      <c r="H434" s="6">
        <v>46052.923611111109</v>
      </c>
      <c r="I434" s="6">
        <v>46052.930555555555</v>
      </c>
      <c r="J434" s="6">
        <v>46052.9375</v>
      </c>
      <c r="K434">
        <v>2.33</v>
      </c>
      <c r="L434" s="6">
        <v>46052.944444444445</v>
      </c>
      <c r="M434" s="7">
        <f>F434-E434</f>
        <v>6.9444444379769266E-3</v>
      </c>
      <c r="N434">
        <f>HOUR(M434)</f>
        <v>0</v>
      </c>
      <c r="O434">
        <f>MINUTE(M434)</f>
        <v>10</v>
      </c>
      <c r="P434">
        <f>N434*60+O434</f>
        <v>10</v>
      </c>
      <c r="Q434" s="7">
        <f>G434-F434</f>
        <v>2.0833333335758653E-2</v>
      </c>
      <c r="R434">
        <f>HOUR(Q434)</f>
        <v>0</v>
      </c>
      <c r="S434">
        <f>MINUTE(Q434)</f>
        <v>30</v>
      </c>
      <c r="T434">
        <f>R434*60+S434</f>
        <v>30</v>
      </c>
      <c r="U434" s="7">
        <f>H434-G434</f>
        <v>5.5555555554747116E-2</v>
      </c>
      <c r="V434">
        <f>HOUR(U434)</f>
        <v>1</v>
      </c>
      <c r="W434">
        <f>MINUTE(U434)</f>
        <v>20</v>
      </c>
      <c r="X434">
        <f>V434*60+W434</f>
        <v>80</v>
      </c>
      <c r="Y434" s="7">
        <f>I434-H434</f>
        <v>6.9444444452528842E-3</v>
      </c>
      <c r="Z434">
        <f>HOUR(Y434)</f>
        <v>0</v>
      </c>
      <c r="AA434">
        <f>MINUTE(Y434)</f>
        <v>10</v>
      </c>
      <c r="AB434">
        <f>Z434*60+AA434</f>
        <v>10</v>
      </c>
    </row>
    <row r="435" spans="1:28" x14ac:dyDescent="0.25">
      <c r="A435">
        <v>433</v>
      </c>
      <c r="B435" t="s">
        <v>31</v>
      </c>
      <c r="C435">
        <v>1</v>
      </c>
      <c r="D435" t="s">
        <v>30</v>
      </c>
      <c r="E435" s="6">
        <v>46052.965277777781</v>
      </c>
      <c r="F435" s="6">
        <v>46052.972222222219</v>
      </c>
      <c r="G435" s="6">
        <v>46052.979166666664</v>
      </c>
      <c r="H435" s="6">
        <v>46053.006944444445</v>
      </c>
      <c r="I435" s="6">
        <v>46053.020833333336</v>
      </c>
      <c r="J435" s="6">
        <v>46053.024305555555</v>
      </c>
      <c r="K435">
        <v>1.42</v>
      </c>
      <c r="L435" s="6">
        <v>46053.027777777781</v>
      </c>
      <c r="M435" s="7">
        <f>F435-E435</f>
        <v>6.9444444379769266E-3</v>
      </c>
      <c r="N435">
        <f>HOUR(M435)</f>
        <v>0</v>
      </c>
      <c r="O435">
        <f>MINUTE(M435)</f>
        <v>10</v>
      </c>
      <c r="P435">
        <f>N435*60+O435</f>
        <v>10</v>
      </c>
      <c r="Q435" s="7">
        <f>G435-F435</f>
        <v>6.9444444452528842E-3</v>
      </c>
      <c r="R435">
        <f>HOUR(Q435)</f>
        <v>0</v>
      </c>
      <c r="S435">
        <f>MINUTE(Q435)</f>
        <v>10</v>
      </c>
      <c r="T435">
        <f>R435*60+S435</f>
        <v>10</v>
      </c>
      <c r="U435" s="7">
        <f>H435-G435</f>
        <v>2.7777777781011537E-2</v>
      </c>
      <c r="V435">
        <f>HOUR(U435)</f>
        <v>0</v>
      </c>
      <c r="W435">
        <f>MINUTE(U435)</f>
        <v>40</v>
      </c>
      <c r="X435">
        <f>V435*60+W435</f>
        <v>40</v>
      </c>
      <c r="Y435" s="7">
        <f>I435-H435</f>
        <v>1.3888888890505768E-2</v>
      </c>
      <c r="Z435">
        <f>HOUR(Y435)</f>
        <v>0</v>
      </c>
      <c r="AA435">
        <f>MINUTE(Y435)</f>
        <v>20</v>
      </c>
      <c r="AB435">
        <f>Z435*60+AA435</f>
        <v>20</v>
      </c>
    </row>
    <row r="436" spans="1:28" x14ac:dyDescent="0.25">
      <c r="A436">
        <v>434</v>
      </c>
      <c r="B436" t="s">
        <v>29</v>
      </c>
      <c r="C436">
        <v>1</v>
      </c>
      <c r="D436" t="s">
        <v>34</v>
      </c>
      <c r="E436" s="6">
        <v>46053.503472222219</v>
      </c>
      <c r="F436" s="6">
        <v>46053.517361111109</v>
      </c>
      <c r="G436" s="6">
        <v>46053.541666666664</v>
      </c>
      <c r="H436" s="6">
        <v>46053.572916666664</v>
      </c>
      <c r="I436" s="6">
        <v>46053.576388888891</v>
      </c>
      <c r="J436" s="6">
        <v>46053.59375</v>
      </c>
      <c r="K436">
        <v>2.17</v>
      </c>
      <c r="L436" s="6">
        <v>46053.597222222219</v>
      </c>
      <c r="M436" s="7">
        <f>F436-E436</f>
        <v>1.3888888890505768E-2</v>
      </c>
      <c r="N436">
        <f>HOUR(M436)</f>
        <v>0</v>
      </c>
      <c r="O436">
        <f>MINUTE(M436)</f>
        <v>20</v>
      </c>
      <c r="P436">
        <f>N436*60+O436</f>
        <v>20</v>
      </c>
      <c r="Q436" s="7">
        <f>G436-F436</f>
        <v>2.4305555554747116E-2</v>
      </c>
      <c r="R436">
        <f>HOUR(Q436)</f>
        <v>0</v>
      </c>
      <c r="S436">
        <f>MINUTE(Q436)</f>
        <v>35</v>
      </c>
      <c r="T436">
        <f>R436*60+S436</f>
        <v>35</v>
      </c>
      <c r="U436" s="7">
        <f>H436-G436</f>
        <v>3.125E-2</v>
      </c>
      <c r="V436">
        <f>HOUR(U436)</f>
        <v>0</v>
      </c>
      <c r="W436">
        <f>MINUTE(U436)</f>
        <v>45</v>
      </c>
      <c r="X436">
        <f>V436*60+W436</f>
        <v>45</v>
      </c>
      <c r="Y436" s="7">
        <f>I436-H436</f>
        <v>3.4722222262644209E-3</v>
      </c>
      <c r="Z436">
        <f>HOUR(Y436)</f>
        <v>0</v>
      </c>
      <c r="AA436">
        <f>MINUTE(Y436)</f>
        <v>5</v>
      </c>
      <c r="AB436">
        <f>Z436*60+AA436</f>
        <v>5</v>
      </c>
    </row>
    <row r="437" spans="1:28" x14ac:dyDescent="0.25">
      <c r="A437">
        <v>435</v>
      </c>
      <c r="B437" t="s">
        <v>31</v>
      </c>
      <c r="C437">
        <v>1</v>
      </c>
      <c r="D437" t="s">
        <v>30</v>
      </c>
      <c r="E437" s="6">
        <v>46054.559027777781</v>
      </c>
      <c r="F437" s="6">
        <v>46054.5625</v>
      </c>
      <c r="G437" s="6">
        <v>46054.569444444445</v>
      </c>
      <c r="H437" s="6">
        <v>46054.642361111109</v>
      </c>
      <c r="I437" s="6">
        <v>46054.645833333336</v>
      </c>
      <c r="J437" s="6">
        <v>46054.652777777781</v>
      </c>
      <c r="K437">
        <v>2.25</v>
      </c>
      <c r="L437" s="6">
        <v>46054.659722222219</v>
      </c>
      <c r="M437" s="7">
        <f>F437-E437</f>
        <v>3.4722222189884633E-3</v>
      </c>
      <c r="N437">
        <f>HOUR(M437)</f>
        <v>0</v>
      </c>
      <c r="O437">
        <f>MINUTE(M437)</f>
        <v>5</v>
      </c>
      <c r="P437">
        <f>N437*60+O437</f>
        <v>5</v>
      </c>
      <c r="Q437" s="7">
        <f>G437-F437</f>
        <v>6.9444444452528842E-3</v>
      </c>
      <c r="R437">
        <f>HOUR(Q437)</f>
        <v>0</v>
      </c>
      <c r="S437">
        <f>MINUTE(Q437)</f>
        <v>10</v>
      </c>
      <c r="T437">
        <f>R437*60+S437</f>
        <v>10</v>
      </c>
      <c r="U437" s="7">
        <f>H437-G437</f>
        <v>7.2916666664241347E-2</v>
      </c>
      <c r="V437">
        <f>HOUR(U437)</f>
        <v>1</v>
      </c>
      <c r="W437">
        <f>MINUTE(U437)</f>
        <v>45</v>
      </c>
      <c r="X437">
        <f>V437*60+W437</f>
        <v>105</v>
      </c>
      <c r="Y437" s="7">
        <f>I437-H437</f>
        <v>3.4722222262644209E-3</v>
      </c>
      <c r="Z437">
        <f>HOUR(Y437)</f>
        <v>0</v>
      </c>
      <c r="AA437">
        <f>MINUTE(Y437)</f>
        <v>5</v>
      </c>
      <c r="AB437">
        <f>Z437*60+AA437</f>
        <v>5</v>
      </c>
    </row>
    <row r="438" spans="1:28" x14ac:dyDescent="0.25">
      <c r="A438">
        <v>436</v>
      </c>
      <c r="B438" t="s">
        <v>29</v>
      </c>
      <c r="C438">
        <v>1</v>
      </c>
      <c r="D438" t="s">
        <v>32</v>
      </c>
      <c r="E438" s="6">
        <v>46072.534722222219</v>
      </c>
      <c r="F438" s="6">
        <v>46072.541666666664</v>
      </c>
      <c r="G438" s="6">
        <v>46072.555555555555</v>
      </c>
      <c r="H438" s="6">
        <v>46072.583333333336</v>
      </c>
      <c r="I438" s="6">
        <v>46072.590277777781</v>
      </c>
      <c r="J438" s="6">
        <v>46072.59375</v>
      </c>
      <c r="K438">
        <v>1.42</v>
      </c>
      <c r="L438" s="6">
        <v>46072.600694444445</v>
      </c>
      <c r="M438" s="7">
        <f>F438-E438</f>
        <v>6.9444444452528842E-3</v>
      </c>
      <c r="N438">
        <f>HOUR(M438)</f>
        <v>0</v>
      </c>
      <c r="O438">
        <f>MINUTE(M438)</f>
        <v>10</v>
      </c>
      <c r="P438">
        <f>N438*60+O438</f>
        <v>10</v>
      </c>
      <c r="Q438" s="7">
        <f>G438-F438</f>
        <v>1.3888888890505768E-2</v>
      </c>
      <c r="R438">
        <f>HOUR(Q438)</f>
        <v>0</v>
      </c>
      <c r="S438">
        <f>MINUTE(Q438)</f>
        <v>20</v>
      </c>
      <c r="T438">
        <f>R438*60+S438</f>
        <v>20</v>
      </c>
      <c r="U438" s="7">
        <f>H438-G438</f>
        <v>2.7777777781011537E-2</v>
      </c>
      <c r="V438">
        <f>HOUR(U438)</f>
        <v>0</v>
      </c>
      <c r="W438">
        <f>MINUTE(U438)</f>
        <v>40</v>
      </c>
      <c r="X438">
        <f>V438*60+W438</f>
        <v>40</v>
      </c>
      <c r="Y438" s="7">
        <f>I438-H438</f>
        <v>6.9444444452528842E-3</v>
      </c>
      <c r="Z438">
        <f>HOUR(Y438)</f>
        <v>0</v>
      </c>
      <c r="AA438">
        <f>MINUTE(Y438)</f>
        <v>10</v>
      </c>
      <c r="AB438">
        <f>Z438*60+AA438</f>
        <v>10</v>
      </c>
    </row>
    <row r="439" spans="1:28" x14ac:dyDescent="0.25">
      <c r="A439">
        <v>437</v>
      </c>
      <c r="B439" t="s">
        <v>33</v>
      </c>
      <c r="C439">
        <v>1</v>
      </c>
      <c r="D439" t="s">
        <v>34</v>
      </c>
      <c r="E439" s="6">
        <v>46054.420138888891</v>
      </c>
      <c r="F439" s="6">
        <v>46054.434027777781</v>
      </c>
      <c r="G439" s="6">
        <v>46054.451388888891</v>
      </c>
      <c r="H439" s="6">
        <v>46054.465277777781</v>
      </c>
      <c r="I439" s="6">
        <v>46054.472222222219</v>
      </c>
      <c r="J439" s="6">
        <v>46054.475694444445</v>
      </c>
      <c r="K439">
        <v>1.33</v>
      </c>
      <c r="L439" s="6">
        <v>46054.479166666664</v>
      </c>
      <c r="M439" s="7">
        <f>F439-E439</f>
        <v>1.3888888890505768E-2</v>
      </c>
      <c r="N439">
        <f>HOUR(M439)</f>
        <v>0</v>
      </c>
      <c r="O439">
        <f>MINUTE(M439)</f>
        <v>20</v>
      </c>
      <c r="P439">
        <f>N439*60+O439</f>
        <v>20</v>
      </c>
      <c r="Q439" s="7">
        <f>G439-F439</f>
        <v>1.7361111109494232E-2</v>
      </c>
      <c r="R439">
        <f>HOUR(Q439)</f>
        <v>0</v>
      </c>
      <c r="S439">
        <f>MINUTE(Q439)</f>
        <v>25</v>
      </c>
      <c r="T439">
        <f>R439*60+S439</f>
        <v>25</v>
      </c>
      <c r="U439" s="7">
        <f>H439-G439</f>
        <v>1.3888888890505768E-2</v>
      </c>
      <c r="V439">
        <f>HOUR(U439)</f>
        <v>0</v>
      </c>
      <c r="W439">
        <f>MINUTE(U439)</f>
        <v>20</v>
      </c>
      <c r="X439">
        <f>V439*60+W439</f>
        <v>20</v>
      </c>
      <c r="Y439" s="7">
        <f>I439-H439</f>
        <v>6.9444444379769266E-3</v>
      </c>
      <c r="Z439">
        <f>HOUR(Y439)</f>
        <v>0</v>
      </c>
      <c r="AA439">
        <f>MINUTE(Y439)</f>
        <v>10</v>
      </c>
      <c r="AB439">
        <f>Z439*60+AA439</f>
        <v>10</v>
      </c>
    </row>
    <row r="440" spans="1:28" x14ac:dyDescent="0.25">
      <c r="A440">
        <v>438</v>
      </c>
      <c r="B440" t="s">
        <v>31</v>
      </c>
      <c r="C440">
        <v>1</v>
      </c>
      <c r="D440" t="s">
        <v>30</v>
      </c>
      <c r="E440" s="6">
        <v>46053.736111111109</v>
      </c>
      <c r="F440" s="6">
        <v>46053.75</v>
      </c>
      <c r="G440" s="6">
        <v>46053.770833333336</v>
      </c>
      <c r="H440" s="6">
        <v>46053.798611111109</v>
      </c>
      <c r="I440" s="6">
        <v>46053.819444444445</v>
      </c>
      <c r="J440" s="6">
        <v>46053.856249999997</v>
      </c>
      <c r="K440">
        <v>2.87</v>
      </c>
      <c r="L440" s="6">
        <v>46053.863194444442</v>
      </c>
      <c r="M440" s="7">
        <f>F440-E440</f>
        <v>1.3888888890505768E-2</v>
      </c>
      <c r="N440">
        <f>HOUR(M440)</f>
        <v>0</v>
      </c>
      <c r="O440">
        <f>MINUTE(M440)</f>
        <v>20</v>
      </c>
      <c r="P440">
        <f>N440*60+O440</f>
        <v>20</v>
      </c>
      <c r="Q440" s="7">
        <f>G440-F440</f>
        <v>2.0833333335758653E-2</v>
      </c>
      <c r="R440">
        <f>HOUR(Q440)</f>
        <v>0</v>
      </c>
      <c r="S440">
        <f>MINUTE(Q440)</f>
        <v>30</v>
      </c>
      <c r="T440">
        <f>R440*60+S440</f>
        <v>30</v>
      </c>
      <c r="U440" s="7">
        <f>H440-G440</f>
        <v>2.7777777773735579E-2</v>
      </c>
      <c r="V440">
        <f>HOUR(U440)</f>
        <v>0</v>
      </c>
      <c r="W440">
        <f>MINUTE(U440)</f>
        <v>40</v>
      </c>
      <c r="X440">
        <f>V440*60+W440</f>
        <v>40</v>
      </c>
      <c r="Y440" s="7">
        <f>I440-H440</f>
        <v>2.0833333335758653E-2</v>
      </c>
      <c r="Z440">
        <f>HOUR(Y440)</f>
        <v>0</v>
      </c>
      <c r="AA440">
        <f>MINUTE(Y440)</f>
        <v>30</v>
      </c>
      <c r="AB440">
        <f>Z440*60+AA440</f>
        <v>30</v>
      </c>
    </row>
    <row r="441" spans="1:28" x14ac:dyDescent="0.25">
      <c r="A441">
        <v>439</v>
      </c>
      <c r="B441" t="s">
        <v>31</v>
      </c>
      <c r="C441">
        <v>1</v>
      </c>
      <c r="D441" t="s">
        <v>34</v>
      </c>
      <c r="E441" s="6">
        <v>46054.003472222219</v>
      </c>
      <c r="F441" s="6">
        <v>46054.010416666664</v>
      </c>
      <c r="G441" s="6">
        <v>46054.020833333336</v>
      </c>
      <c r="H441" s="6">
        <v>46054.029166666667</v>
      </c>
      <c r="I441" s="6">
        <v>46054.036111111112</v>
      </c>
      <c r="J441" s="6">
        <v>46054.041666666664</v>
      </c>
      <c r="K441">
        <v>0.92</v>
      </c>
      <c r="L441" s="6">
        <v>46054.048611111109</v>
      </c>
      <c r="M441" s="7">
        <f>F441-E441</f>
        <v>6.9444444452528842E-3</v>
      </c>
      <c r="N441">
        <f>HOUR(M441)</f>
        <v>0</v>
      </c>
      <c r="O441">
        <f>MINUTE(M441)</f>
        <v>10</v>
      </c>
      <c r="P441">
        <f>N441*60+O441</f>
        <v>10</v>
      </c>
      <c r="Q441" s="7">
        <f>G441-F441</f>
        <v>1.0416666671517305E-2</v>
      </c>
      <c r="R441">
        <f>HOUR(Q441)</f>
        <v>0</v>
      </c>
      <c r="S441">
        <f>MINUTE(Q441)</f>
        <v>15</v>
      </c>
      <c r="T441">
        <f>R441*60+S441</f>
        <v>15</v>
      </c>
      <c r="U441" s="7">
        <f>H441-G441</f>
        <v>8.333333331393078E-3</v>
      </c>
      <c r="V441">
        <f>HOUR(U441)</f>
        <v>0</v>
      </c>
      <c r="W441">
        <f>MINUTE(U441)</f>
        <v>12</v>
      </c>
      <c r="X441">
        <f>V441*60+W441</f>
        <v>12</v>
      </c>
      <c r="Y441" s="7">
        <f>I441-H441</f>
        <v>6.9444444452528842E-3</v>
      </c>
      <c r="Z441">
        <f>HOUR(Y441)</f>
        <v>0</v>
      </c>
      <c r="AA441">
        <f>MINUTE(Y441)</f>
        <v>10</v>
      </c>
      <c r="AB441">
        <f>Z441*60+AA441</f>
        <v>10</v>
      </c>
    </row>
    <row r="442" spans="1:28" x14ac:dyDescent="0.25">
      <c r="A442">
        <v>440</v>
      </c>
      <c r="B442" t="s">
        <v>31</v>
      </c>
      <c r="C442">
        <v>1</v>
      </c>
      <c r="D442" t="s">
        <v>34</v>
      </c>
      <c r="E442" s="6">
        <v>46054.017361111109</v>
      </c>
      <c r="F442" s="6">
        <v>46054.020833333336</v>
      </c>
      <c r="G442" s="6">
        <v>46054.027777777781</v>
      </c>
      <c r="H442" s="6">
        <v>46054.048611111109</v>
      </c>
      <c r="I442" s="6">
        <v>46054.052083333336</v>
      </c>
      <c r="J442" s="6">
        <v>46054.054166666669</v>
      </c>
      <c r="K442">
        <v>0.88</v>
      </c>
      <c r="L442" s="6">
        <v>46054.055555555555</v>
      </c>
      <c r="M442" s="7">
        <f>F442-E442</f>
        <v>3.4722222262644209E-3</v>
      </c>
      <c r="N442">
        <f>HOUR(M442)</f>
        <v>0</v>
      </c>
      <c r="O442">
        <f>MINUTE(M442)</f>
        <v>5</v>
      </c>
      <c r="P442">
        <f>N442*60+O442</f>
        <v>5</v>
      </c>
      <c r="Q442" s="7">
        <f>G442-F442</f>
        <v>6.9444444452528842E-3</v>
      </c>
      <c r="R442">
        <f>HOUR(Q442)</f>
        <v>0</v>
      </c>
      <c r="S442">
        <f>MINUTE(Q442)</f>
        <v>10</v>
      </c>
      <c r="T442">
        <f>R442*60+S442</f>
        <v>10</v>
      </c>
      <c r="U442" s="7">
        <f>H442-G442</f>
        <v>2.0833333328482695E-2</v>
      </c>
      <c r="V442">
        <f>HOUR(U442)</f>
        <v>0</v>
      </c>
      <c r="W442">
        <f>MINUTE(U442)</f>
        <v>30</v>
      </c>
      <c r="X442">
        <f>V442*60+W442</f>
        <v>30</v>
      </c>
      <c r="Y442" s="7">
        <f>I442-H442</f>
        <v>3.4722222262644209E-3</v>
      </c>
      <c r="Z442">
        <f>HOUR(Y442)</f>
        <v>0</v>
      </c>
      <c r="AA442">
        <f>MINUTE(Y442)</f>
        <v>5</v>
      </c>
      <c r="AB442">
        <f>Z442*60+AA442</f>
        <v>5</v>
      </c>
    </row>
    <row r="443" spans="1:28" x14ac:dyDescent="0.25">
      <c r="A443">
        <v>441</v>
      </c>
      <c r="B443" t="s">
        <v>33</v>
      </c>
      <c r="C443">
        <v>1</v>
      </c>
      <c r="D443" t="s">
        <v>34</v>
      </c>
      <c r="E443" s="6">
        <v>46054.258333333331</v>
      </c>
      <c r="F443" s="6">
        <v>46054.260416666664</v>
      </c>
      <c r="G443" s="6">
        <v>46054.267361111109</v>
      </c>
      <c r="H443" s="6">
        <v>46054.326388888891</v>
      </c>
      <c r="I443" s="6">
        <v>46054.354166666664</v>
      </c>
      <c r="J443" s="6">
        <v>46054.458333333336</v>
      </c>
      <c r="K443">
        <v>4.8</v>
      </c>
      <c r="L443" s="6">
        <v>46054.465277777781</v>
      </c>
      <c r="M443" s="7">
        <f>F443-E443</f>
        <v>2.0833333328482695E-3</v>
      </c>
      <c r="N443">
        <f>HOUR(M443)</f>
        <v>0</v>
      </c>
      <c r="O443">
        <f>MINUTE(M443)</f>
        <v>3</v>
      </c>
      <c r="P443">
        <f>N443*60+O443</f>
        <v>3</v>
      </c>
      <c r="Q443" s="7">
        <f>G443-F443</f>
        <v>6.9444444452528842E-3</v>
      </c>
      <c r="R443">
        <f>HOUR(Q443)</f>
        <v>0</v>
      </c>
      <c r="S443">
        <f>MINUTE(Q443)</f>
        <v>10</v>
      </c>
      <c r="T443">
        <f>R443*60+S443</f>
        <v>10</v>
      </c>
      <c r="U443" s="7">
        <f>H443-G443</f>
        <v>5.9027777781011537E-2</v>
      </c>
      <c r="V443">
        <f>HOUR(U443)</f>
        <v>1</v>
      </c>
      <c r="W443">
        <f>MINUTE(U443)</f>
        <v>25</v>
      </c>
      <c r="X443">
        <f>V443*60+W443</f>
        <v>85</v>
      </c>
      <c r="Y443" s="7">
        <f>I443-H443</f>
        <v>2.7777777773735579E-2</v>
      </c>
      <c r="Z443">
        <f>HOUR(Y443)</f>
        <v>0</v>
      </c>
      <c r="AA443">
        <f>MINUTE(Y443)</f>
        <v>40</v>
      </c>
      <c r="AB443">
        <f>Z443*60+AA443</f>
        <v>40</v>
      </c>
    </row>
    <row r="444" spans="1:28" x14ac:dyDescent="0.25">
      <c r="A444">
        <v>442</v>
      </c>
      <c r="B444" t="s">
        <v>31</v>
      </c>
      <c r="C444">
        <v>1</v>
      </c>
      <c r="D444" t="s">
        <v>30</v>
      </c>
      <c r="E444" s="6">
        <v>46054.354166666664</v>
      </c>
      <c r="F444" s="6">
        <v>46054.357638888891</v>
      </c>
      <c r="G444" s="6">
        <v>46054.375</v>
      </c>
      <c r="H444" s="6">
        <v>46054.402777777781</v>
      </c>
      <c r="I444" s="6">
        <v>46054.40625</v>
      </c>
      <c r="J444" s="6">
        <v>46054.413194444445</v>
      </c>
      <c r="K444">
        <v>1.42</v>
      </c>
      <c r="L444" s="6">
        <v>46054.420138888891</v>
      </c>
      <c r="M444" s="7">
        <f>F444-E444</f>
        <v>3.4722222262644209E-3</v>
      </c>
      <c r="N444">
        <f>HOUR(M444)</f>
        <v>0</v>
      </c>
      <c r="O444">
        <f>MINUTE(M444)</f>
        <v>5</v>
      </c>
      <c r="P444">
        <f>N444*60+O444</f>
        <v>5</v>
      </c>
      <c r="Q444" s="7">
        <f>G444-F444</f>
        <v>1.7361111109494232E-2</v>
      </c>
      <c r="R444">
        <f>HOUR(Q444)</f>
        <v>0</v>
      </c>
      <c r="S444">
        <f>MINUTE(Q444)</f>
        <v>25</v>
      </c>
      <c r="T444">
        <f>R444*60+S444</f>
        <v>25</v>
      </c>
      <c r="U444" s="7">
        <f>H444-G444</f>
        <v>2.7777777781011537E-2</v>
      </c>
      <c r="V444">
        <f>HOUR(U444)</f>
        <v>0</v>
      </c>
      <c r="W444">
        <f>MINUTE(U444)</f>
        <v>40</v>
      </c>
      <c r="X444">
        <f>V444*60+W444</f>
        <v>40</v>
      </c>
      <c r="Y444" s="7">
        <f>I444-H444</f>
        <v>3.4722222189884633E-3</v>
      </c>
      <c r="Z444">
        <f>HOUR(Y444)</f>
        <v>0</v>
      </c>
      <c r="AA444">
        <f>MINUTE(Y444)</f>
        <v>5</v>
      </c>
      <c r="AB444">
        <f>Z444*60+AA444</f>
        <v>5</v>
      </c>
    </row>
    <row r="445" spans="1:28" x14ac:dyDescent="0.25">
      <c r="A445">
        <v>443</v>
      </c>
      <c r="B445" t="s">
        <v>29</v>
      </c>
      <c r="C445">
        <v>1</v>
      </c>
      <c r="D445" t="s">
        <v>30</v>
      </c>
      <c r="E445" s="6">
        <v>46054.458333333336</v>
      </c>
      <c r="F445" s="6">
        <v>46054.472222222219</v>
      </c>
      <c r="G445" s="6">
        <v>46054.506944444445</v>
      </c>
      <c r="H445" s="6">
        <v>46054.541666666664</v>
      </c>
      <c r="I445" s="6">
        <v>46054.548611111109</v>
      </c>
      <c r="J445" s="6">
        <v>46054.701388888891</v>
      </c>
      <c r="K445">
        <v>5.83</v>
      </c>
      <c r="L445" s="6">
        <v>46054.708333333336</v>
      </c>
      <c r="M445" s="7">
        <f>F445-E445</f>
        <v>1.3888888883229811E-2</v>
      </c>
      <c r="N445">
        <f>HOUR(M445)</f>
        <v>0</v>
      </c>
      <c r="O445">
        <f>MINUTE(M445)</f>
        <v>20</v>
      </c>
      <c r="P445">
        <f>N445*60+O445</f>
        <v>20</v>
      </c>
      <c r="Q445" s="7">
        <f>G445-F445</f>
        <v>3.4722222226264421E-2</v>
      </c>
      <c r="R445">
        <f>HOUR(Q445)</f>
        <v>0</v>
      </c>
      <c r="S445">
        <f>MINUTE(Q445)</f>
        <v>50</v>
      </c>
      <c r="T445">
        <f>R445*60+S445</f>
        <v>50</v>
      </c>
      <c r="U445" s="7">
        <f>H445-G445</f>
        <v>3.4722222218988463E-2</v>
      </c>
      <c r="V445">
        <f>HOUR(U445)</f>
        <v>0</v>
      </c>
      <c r="W445">
        <f>MINUTE(U445)</f>
        <v>50</v>
      </c>
      <c r="X445">
        <f>V445*60+W445</f>
        <v>50</v>
      </c>
      <c r="Y445" s="7">
        <f>I445-H445</f>
        <v>6.9444444452528842E-3</v>
      </c>
      <c r="Z445">
        <f>HOUR(Y445)</f>
        <v>0</v>
      </c>
      <c r="AA445">
        <f>MINUTE(Y445)</f>
        <v>10</v>
      </c>
      <c r="AB445">
        <f>Z445*60+AA445</f>
        <v>10</v>
      </c>
    </row>
    <row r="446" spans="1:28" x14ac:dyDescent="0.25">
      <c r="A446">
        <v>444</v>
      </c>
      <c r="B446" t="s">
        <v>33</v>
      </c>
      <c r="C446">
        <v>1</v>
      </c>
      <c r="D446" t="s">
        <v>32</v>
      </c>
      <c r="E446" s="6">
        <v>46055.326388888891</v>
      </c>
      <c r="F446" s="6">
        <v>46055.333333333336</v>
      </c>
      <c r="G446" s="6">
        <v>46055.340277777781</v>
      </c>
      <c r="H446" s="6">
        <v>46055.381944444445</v>
      </c>
      <c r="I446" s="6">
        <v>46055.388888888891</v>
      </c>
      <c r="J446" s="6">
        <v>46055.392361111109</v>
      </c>
      <c r="K446">
        <v>1.58</v>
      </c>
      <c r="L446" s="6">
        <v>46055.399305555555</v>
      </c>
      <c r="M446" s="7">
        <f>F446-E446</f>
        <v>6.9444444452528842E-3</v>
      </c>
      <c r="N446">
        <f>HOUR(M446)</f>
        <v>0</v>
      </c>
      <c r="O446">
        <f>MINUTE(M446)</f>
        <v>10</v>
      </c>
      <c r="P446">
        <f>N446*60+O446</f>
        <v>10</v>
      </c>
      <c r="Q446" s="7">
        <f>G446-F446</f>
        <v>6.9444444452528842E-3</v>
      </c>
      <c r="R446">
        <f>HOUR(Q446)</f>
        <v>0</v>
      </c>
      <c r="S446">
        <f>MINUTE(Q446)</f>
        <v>10</v>
      </c>
      <c r="T446">
        <f>R446*60+S446</f>
        <v>10</v>
      </c>
      <c r="U446" s="7">
        <f>H446-G446</f>
        <v>4.1666666664241347E-2</v>
      </c>
      <c r="V446">
        <f>HOUR(U446)</f>
        <v>1</v>
      </c>
      <c r="W446">
        <f>MINUTE(U446)</f>
        <v>0</v>
      </c>
      <c r="X446">
        <f>V446*60+W446</f>
        <v>60</v>
      </c>
      <c r="Y446" s="7">
        <f>I446-H446</f>
        <v>6.9444444452528842E-3</v>
      </c>
      <c r="Z446">
        <f>HOUR(Y446)</f>
        <v>0</v>
      </c>
      <c r="AA446">
        <f>MINUTE(Y446)</f>
        <v>10</v>
      </c>
      <c r="AB446">
        <f>Z446*60+AA446</f>
        <v>10</v>
      </c>
    </row>
    <row r="447" spans="1:28" x14ac:dyDescent="0.25">
      <c r="A447">
        <v>445</v>
      </c>
      <c r="B447" t="s">
        <v>31</v>
      </c>
      <c r="C447">
        <v>1</v>
      </c>
      <c r="D447" t="s">
        <v>32</v>
      </c>
      <c r="E447" s="6">
        <v>46055.347222222219</v>
      </c>
      <c r="F447" s="6">
        <v>46055.357638888891</v>
      </c>
      <c r="G447" s="6">
        <v>46055.368055555555</v>
      </c>
      <c r="H447" s="6">
        <v>46055.434027777781</v>
      </c>
      <c r="I447" s="6">
        <v>46055.440972222219</v>
      </c>
      <c r="J447" s="6">
        <v>46055.444444444445</v>
      </c>
      <c r="K447">
        <v>2.33</v>
      </c>
      <c r="L447" s="6">
        <v>46055.451388888891</v>
      </c>
      <c r="M447" s="7">
        <f>F447-E447</f>
        <v>1.0416666671517305E-2</v>
      </c>
      <c r="N447">
        <f>HOUR(M447)</f>
        <v>0</v>
      </c>
      <c r="O447">
        <f>MINUTE(M447)</f>
        <v>15</v>
      </c>
      <c r="P447">
        <f>N447*60+O447</f>
        <v>15</v>
      </c>
      <c r="Q447" s="7">
        <f>G447-F447</f>
        <v>1.0416666664241347E-2</v>
      </c>
      <c r="R447">
        <f>HOUR(Q447)</f>
        <v>0</v>
      </c>
      <c r="S447">
        <f>MINUTE(Q447)</f>
        <v>15</v>
      </c>
      <c r="T447">
        <f>R447*60+S447</f>
        <v>15</v>
      </c>
      <c r="U447" s="7">
        <f>H447-G447</f>
        <v>6.5972222226264421E-2</v>
      </c>
      <c r="V447">
        <f>HOUR(U447)</f>
        <v>1</v>
      </c>
      <c r="W447">
        <f>MINUTE(U447)</f>
        <v>35</v>
      </c>
      <c r="X447">
        <f>V447*60+W447</f>
        <v>95</v>
      </c>
      <c r="Y447" s="7">
        <f>I447-H447</f>
        <v>6.9444444379769266E-3</v>
      </c>
      <c r="Z447">
        <f>HOUR(Y447)</f>
        <v>0</v>
      </c>
      <c r="AA447">
        <f>MINUTE(Y447)</f>
        <v>10</v>
      </c>
      <c r="AB447">
        <f>Z447*60+AA447</f>
        <v>10</v>
      </c>
    </row>
    <row r="448" spans="1:28" x14ac:dyDescent="0.25">
      <c r="A448">
        <v>446</v>
      </c>
      <c r="B448" t="s">
        <v>29</v>
      </c>
      <c r="C448">
        <v>1</v>
      </c>
      <c r="D448" t="s">
        <v>30</v>
      </c>
      <c r="E448" s="6">
        <v>46055.291666666664</v>
      </c>
      <c r="F448" s="6">
        <v>46055.336805555555</v>
      </c>
      <c r="G448" s="6">
        <v>46055.357638888891</v>
      </c>
      <c r="H448" s="6">
        <v>46055.416666666664</v>
      </c>
      <c r="I448" s="6">
        <v>46055.423611111109</v>
      </c>
      <c r="J448" s="6">
        <v>46055.430555555555</v>
      </c>
      <c r="K448">
        <v>3.33</v>
      </c>
      <c r="L448" s="6">
        <v>46055.4375</v>
      </c>
      <c r="M448" s="7">
        <f>F448-E448</f>
        <v>4.5138888890505768E-2</v>
      </c>
      <c r="N448">
        <f>HOUR(M448)</f>
        <v>1</v>
      </c>
      <c r="O448">
        <f>MINUTE(M448)</f>
        <v>5</v>
      </c>
      <c r="P448">
        <f>N448*60+O448</f>
        <v>65</v>
      </c>
      <c r="Q448" s="7">
        <f>G448-F448</f>
        <v>2.0833333335758653E-2</v>
      </c>
      <c r="R448">
        <f>HOUR(Q448)</f>
        <v>0</v>
      </c>
      <c r="S448">
        <f>MINUTE(Q448)</f>
        <v>30</v>
      </c>
      <c r="T448">
        <f>R448*60+S448</f>
        <v>30</v>
      </c>
      <c r="U448" s="7">
        <f>H448-G448</f>
        <v>5.9027777773735579E-2</v>
      </c>
      <c r="V448">
        <f>HOUR(U448)</f>
        <v>1</v>
      </c>
      <c r="W448">
        <f>MINUTE(U448)</f>
        <v>25</v>
      </c>
      <c r="X448">
        <f>V448*60+W448</f>
        <v>85</v>
      </c>
      <c r="Y448" s="7">
        <f>I448-H448</f>
        <v>6.9444444452528842E-3</v>
      </c>
      <c r="Z448">
        <f>HOUR(Y448)</f>
        <v>0</v>
      </c>
      <c r="AA448">
        <f>MINUTE(Y448)</f>
        <v>10</v>
      </c>
      <c r="AB448">
        <f>Z448*60+AA448</f>
        <v>10</v>
      </c>
    </row>
    <row r="449" spans="1:28" x14ac:dyDescent="0.25">
      <c r="A449">
        <v>447</v>
      </c>
      <c r="B449" t="s">
        <v>29</v>
      </c>
      <c r="C449">
        <v>1</v>
      </c>
      <c r="D449" t="s">
        <v>34</v>
      </c>
      <c r="E449" s="6">
        <v>46055.604861111111</v>
      </c>
      <c r="F449" s="6">
        <v>46055.611805555556</v>
      </c>
      <c r="G449" s="6">
        <v>46055.631944444445</v>
      </c>
      <c r="H449" s="6">
        <v>46055.652777777781</v>
      </c>
      <c r="I449" s="6">
        <v>46055.659722222219</v>
      </c>
      <c r="J449" s="6">
        <v>46055.680555555555</v>
      </c>
      <c r="K449">
        <v>1.82</v>
      </c>
      <c r="L449" s="6">
        <v>46055.6875</v>
      </c>
      <c r="M449" s="7">
        <f>F449-E449</f>
        <v>6.9444444452528842E-3</v>
      </c>
      <c r="N449">
        <f>HOUR(M449)</f>
        <v>0</v>
      </c>
      <c r="O449">
        <f>MINUTE(M449)</f>
        <v>10</v>
      </c>
      <c r="P449">
        <f>N449*60+O449</f>
        <v>10</v>
      </c>
      <c r="Q449" s="7">
        <f>G449-F449</f>
        <v>2.0138888889050577E-2</v>
      </c>
      <c r="R449">
        <f>HOUR(Q449)</f>
        <v>0</v>
      </c>
      <c r="S449">
        <f>MINUTE(Q449)</f>
        <v>29</v>
      </c>
      <c r="T449">
        <f>R449*60+S449</f>
        <v>29</v>
      </c>
      <c r="U449" s="7">
        <f>H449-G449</f>
        <v>2.0833333335758653E-2</v>
      </c>
      <c r="V449">
        <f>HOUR(U449)</f>
        <v>0</v>
      </c>
      <c r="W449">
        <f>MINUTE(U449)</f>
        <v>30</v>
      </c>
      <c r="X449">
        <f>V449*60+W449</f>
        <v>30</v>
      </c>
      <c r="Y449" s="7">
        <f>I449-H449</f>
        <v>6.9444444379769266E-3</v>
      </c>
      <c r="Z449">
        <f>HOUR(Y449)</f>
        <v>0</v>
      </c>
      <c r="AA449">
        <f>MINUTE(Y449)</f>
        <v>10</v>
      </c>
      <c r="AB449">
        <f>Z449*60+AA449</f>
        <v>10</v>
      </c>
    </row>
    <row r="450" spans="1:28" x14ac:dyDescent="0.25">
      <c r="A450">
        <v>448</v>
      </c>
      <c r="B450" t="s">
        <v>33</v>
      </c>
      <c r="C450">
        <v>1</v>
      </c>
      <c r="D450" t="s">
        <v>37</v>
      </c>
      <c r="E450" s="6">
        <v>46055.458333333336</v>
      </c>
      <c r="F450" s="6">
        <v>46055.472222222219</v>
      </c>
      <c r="G450" s="6">
        <v>46055.479166666664</v>
      </c>
      <c r="H450" s="6">
        <v>46055.517361111109</v>
      </c>
      <c r="I450" s="6">
        <v>46055.520833333336</v>
      </c>
      <c r="J450" s="6">
        <v>46055.521527777775</v>
      </c>
      <c r="K450">
        <v>1.52</v>
      </c>
      <c r="L450" s="6">
        <v>46055.522222222222</v>
      </c>
      <c r="M450" s="7">
        <f>F450-E450</f>
        <v>1.3888888883229811E-2</v>
      </c>
      <c r="N450">
        <f>HOUR(M450)</f>
        <v>0</v>
      </c>
      <c r="O450">
        <f>MINUTE(M450)</f>
        <v>20</v>
      </c>
      <c r="P450">
        <f>N450*60+O450</f>
        <v>20</v>
      </c>
      <c r="Q450" s="7">
        <f>G450-F450</f>
        <v>6.9444444452528842E-3</v>
      </c>
      <c r="R450">
        <f>HOUR(Q450)</f>
        <v>0</v>
      </c>
      <c r="S450">
        <f>MINUTE(Q450)</f>
        <v>10</v>
      </c>
      <c r="T450">
        <f>R450*60+S450</f>
        <v>10</v>
      </c>
      <c r="U450" s="7">
        <f>H450-G450</f>
        <v>3.8194444445252884E-2</v>
      </c>
      <c r="V450">
        <f>HOUR(U450)</f>
        <v>0</v>
      </c>
      <c r="W450">
        <f>MINUTE(U450)</f>
        <v>55</v>
      </c>
      <c r="X450">
        <f>V450*60+W450</f>
        <v>55</v>
      </c>
      <c r="Y450" s="7">
        <f>I450-H450</f>
        <v>3.4722222262644209E-3</v>
      </c>
      <c r="Z450">
        <f>HOUR(Y450)</f>
        <v>0</v>
      </c>
      <c r="AA450">
        <f>MINUTE(Y450)</f>
        <v>5</v>
      </c>
      <c r="AB450">
        <f>Z450*60+AA450</f>
        <v>5</v>
      </c>
    </row>
    <row r="451" spans="1:28" x14ac:dyDescent="0.25">
      <c r="A451">
        <v>449</v>
      </c>
      <c r="B451" t="s">
        <v>33</v>
      </c>
      <c r="C451">
        <v>1</v>
      </c>
      <c r="D451" t="s">
        <v>30</v>
      </c>
      <c r="E451" s="6">
        <v>46054.657638888886</v>
      </c>
      <c r="F451" s="6">
        <v>46054.663194444445</v>
      </c>
      <c r="G451" s="6">
        <v>46054.684027777781</v>
      </c>
      <c r="H451" s="6">
        <v>46054.739583333336</v>
      </c>
      <c r="I451" s="6">
        <v>46054.75</v>
      </c>
      <c r="J451" s="6">
        <v>46054.756944444445</v>
      </c>
      <c r="K451">
        <v>2.38</v>
      </c>
      <c r="L451" s="6">
        <v>46054.760416666664</v>
      </c>
      <c r="M451" s="7">
        <f>F451-E451</f>
        <v>5.5555555591126904E-3</v>
      </c>
      <c r="N451">
        <f>HOUR(M451)</f>
        <v>0</v>
      </c>
      <c r="O451">
        <f>MINUTE(M451)</f>
        <v>8</v>
      </c>
      <c r="P451">
        <f>N451*60+O451</f>
        <v>8</v>
      </c>
      <c r="Q451" s="7">
        <f>G451-F451</f>
        <v>2.0833333335758653E-2</v>
      </c>
      <c r="R451">
        <f>HOUR(Q451)</f>
        <v>0</v>
      </c>
      <c r="S451">
        <f>MINUTE(Q451)</f>
        <v>30</v>
      </c>
      <c r="T451">
        <f>R451*60+S451</f>
        <v>30</v>
      </c>
      <c r="U451" s="7">
        <f>H451-G451</f>
        <v>5.5555555554747116E-2</v>
      </c>
      <c r="V451">
        <f>HOUR(U451)</f>
        <v>1</v>
      </c>
      <c r="W451">
        <f>MINUTE(U451)</f>
        <v>20</v>
      </c>
      <c r="X451">
        <f>V451*60+W451</f>
        <v>80</v>
      </c>
      <c r="Y451" s="7">
        <f>I451-H451</f>
        <v>1.0416666664241347E-2</v>
      </c>
      <c r="Z451">
        <f>HOUR(Y451)</f>
        <v>0</v>
      </c>
      <c r="AA451">
        <f>MINUTE(Y451)</f>
        <v>15</v>
      </c>
      <c r="AB451">
        <f>Z451*60+AA451</f>
        <v>15</v>
      </c>
    </row>
    <row r="452" spans="1:28" x14ac:dyDescent="0.25">
      <c r="A452">
        <v>450</v>
      </c>
      <c r="B452" t="s">
        <v>33</v>
      </c>
      <c r="C452">
        <v>1</v>
      </c>
      <c r="D452" t="s">
        <v>36</v>
      </c>
      <c r="E452" s="6">
        <v>46055.611111111109</v>
      </c>
      <c r="F452" s="6">
        <v>46055.635416666664</v>
      </c>
      <c r="G452" s="6">
        <v>46055.65625</v>
      </c>
      <c r="H452" s="6">
        <v>46055.681250000001</v>
      </c>
      <c r="I452" s="6">
        <v>46055.688194444447</v>
      </c>
      <c r="J452" s="6">
        <v>46055.688888888886</v>
      </c>
      <c r="K452">
        <v>1.87</v>
      </c>
      <c r="L452" s="6">
        <v>46055.695833333331</v>
      </c>
      <c r="M452" s="7">
        <f>F452-E452</f>
        <v>2.4305555554747116E-2</v>
      </c>
      <c r="N452">
        <f>HOUR(M452)</f>
        <v>0</v>
      </c>
      <c r="O452">
        <f>MINUTE(M452)</f>
        <v>35</v>
      </c>
      <c r="P452">
        <f>N452*60+O452</f>
        <v>35</v>
      </c>
      <c r="Q452" s="7">
        <f>G452-F452</f>
        <v>2.0833333335758653E-2</v>
      </c>
      <c r="R452">
        <f>HOUR(Q452)</f>
        <v>0</v>
      </c>
      <c r="S452">
        <f>MINUTE(Q452)</f>
        <v>30</v>
      </c>
      <c r="T452">
        <f>R452*60+S452</f>
        <v>30</v>
      </c>
      <c r="U452" s="7">
        <f>H452-G452</f>
        <v>2.5000000001455192E-2</v>
      </c>
      <c r="V452">
        <f>HOUR(U452)</f>
        <v>0</v>
      </c>
      <c r="W452">
        <f>MINUTE(U452)</f>
        <v>36</v>
      </c>
      <c r="X452">
        <f>V452*60+W452</f>
        <v>36</v>
      </c>
      <c r="Y452" s="7">
        <f>I452-H452</f>
        <v>6.9444444452528842E-3</v>
      </c>
      <c r="Z452">
        <f>HOUR(Y452)</f>
        <v>0</v>
      </c>
      <c r="AA452">
        <f>MINUTE(Y452)</f>
        <v>10</v>
      </c>
      <c r="AB452">
        <f>Z452*60+AA452</f>
        <v>10</v>
      </c>
    </row>
    <row r="453" spans="1:28" x14ac:dyDescent="0.25">
      <c r="A453">
        <v>451</v>
      </c>
      <c r="B453" t="s">
        <v>33</v>
      </c>
      <c r="C453">
        <v>1</v>
      </c>
      <c r="D453" t="s">
        <v>34</v>
      </c>
      <c r="E453" s="6">
        <v>46054.736111111109</v>
      </c>
      <c r="F453" s="6">
        <v>46054.743055555555</v>
      </c>
      <c r="G453" s="6">
        <v>46054.75</v>
      </c>
      <c r="H453" s="6">
        <v>46054.802083333336</v>
      </c>
      <c r="I453" s="6">
        <v>46054.809027777781</v>
      </c>
      <c r="J453" s="6">
        <v>46054.8125</v>
      </c>
      <c r="K453">
        <v>1.83</v>
      </c>
      <c r="L453" s="6">
        <v>46054.819444444445</v>
      </c>
      <c r="M453" s="7">
        <f>F453-E453</f>
        <v>6.9444444452528842E-3</v>
      </c>
      <c r="N453">
        <f>HOUR(M453)</f>
        <v>0</v>
      </c>
      <c r="O453">
        <f>MINUTE(M453)</f>
        <v>10</v>
      </c>
      <c r="P453">
        <f>N453*60+O453</f>
        <v>10</v>
      </c>
      <c r="Q453" s="7">
        <f>G453-F453</f>
        <v>6.9444444452528842E-3</v>
      </c>
      <c r="R453">
        <f>HOUR(Q453)</f>
        <v>0</v>
      </c>
      <c r="S453">
        <f>MINUTE(Q453)</f>
        <v>10</v>
      </c>
      <c r="T453">
        <f>R453*60+S453</f>
        <v>10</v>
      </c>
      <c r="U453" s="7">
        <f>H453-G453</f>
        <v>5.2083333335758653E-2</v>
      </c>
      <c r="V453">
        <f>HOUR(U453)</f>
        <v>1</v>
      </c>
      <c r="W453">
        <f>MINUTE(U453)</f>
        <v>15</v>
      </c>
      <c r="X453">
        <f>V453*60+W453</f>
        <v>75</v>
      </c>
      <c r="Y453" s="7">
        <f>I453-H453</f>
        <v>6.9444444452528842E-3</v>
      </c>
      <c r="Z453">
        <f>HOUR(Y453)</f>
        <v>0</v>
      </c>
      <c r="AA453">
        <f>MINUTE(Y453)</f>
        <v>10</v>
      </c>
      <c r="AB453">
        <f>Z453*60+AA453</f>
        <v>10</v>
      </c>
    </row>
    <row r="454" spans="1:28" x14ac:dyDescent="0.25">
      <c r="A454">
        <v>452</v>
      </c>
      <c r="B454" t="s">
        <v>33</v>
      </c>
      <c r="C454">
        <v>1</v>
      </c>
      <c r="D454" t="s">
        <v>30</v>
      </c>
      <c r="E454" s="6">
        <v>46055.027777777781</v>
      </c>
      <c r="F454" s="6">
        <v>46055.034722222219</v>
      </c>
      <c r="G454" s="6">
        <v>46055.052083333336</v>
      </c>
      <c r="H454" s="6">
        <v>46055.111111111109</v>
      </c>
      <c r="I454" s="6">
        <v>46055.131944444445</v>
      </c>
      <c r="J454" s="6">
        <v>46055.138888888891</v>
      </c>
      <c r="K454">
        <v>2.67</v>
      </c>
      <c r="L454" s="6">
        <v>46055.142361111109</v>
      </c>
      <c r="M454" s="7">
        <f>F454-E454</f>
        <v>6.9444444379769266E-3</v>
      </c>
      <c r="N454">
        <f>HOUR(M454)</f>
        <v>0</v>
      </c>
      <c r="O454">
        <f>MINUTE(M454)</f>
        <v>10</v>
      </c>
      <c r="P454">
        <f>N454*60+O454</f>
        <v>10</v>
      </c>
      <c r="Q454" s="7">
        <f>G454-F454</f>
        <v>1.7361111116770189E-2</v>
      </c>
      <c r="R454">
        <f>HOUR(Q454)</f>
        <v>0</v>
      </c>
      <c r="S454">
        <f>MINUTE(Q454)</f>
        <v>25</v>
      </c>
      <c r="T454">
        <f>R454*60+S454</f>
        <v>25</v>
      </c>
      <c r="U454" s="7">
        <f>H454-G454</f>
        <v>5.9027777773735579E-2</v>
      </c>
      <c r="V454">
        <f>HOUR(U454)</f>
        <v>1</v>
      </c>
      <c r="W454">
        <f>MINUTE(U454)</f>
        <v>25</v>
      </c>
      <c r="X454">
        <f>V454*60+W454</f>
        <v>85</v>
      </c>
      <c r="Y454" s="7">
        <f>I454-H454</f>
        <v>2.0833333335758653E-2</v>
      </c>
      <c r="Z454">
        <f>HOUR(Y454)</f>
        <v>0</v>
      </c>
      <c r="AA454">
        <f>MINUTE(Y454)</f>
        <v>30</v>
      </c>
      <c r="AB454">
        <f>Z454*60+AA454</f>
        <v>30</v>
      </c>
    </row>
    <row r="455" spans="1:28" x14ac:dyDescent="0.25">
      <c r="A455">
        <v>453</v>
      </c>
      <c r="B455" t="s">
        <v>31</v>
      </c>
      <c r="C455">
        <v>1</v>
      </c>
      <c r="D455" t="s">
        <v>35</v>
      </c>
      <c r="E455" s="6">
        <v>46054.881944444445</v>
      </c>
      <c r="F455" s="6">
        <v>46054.885416666664</v>
      </c>
      <c r="G455" s="6">
        <v>46054.902777777781</v>
      </c>
      <c r="H455" s="6">
        <v>46054.981249999997</v>
      </c>
      <c r="I455" s="6">
        <v>46055.024305555555</v>
      </c>
      <c r="J455" s="6">
        <v>46055.027777777781</v>
      </c>
      <c r="K455">
        <v>3.5</v>
      </c>
      <c r="L455" s="6">
        <v>46055.034722222219</v>
      </c>
      <c r="M455" s="7">
        <f>F455-E455</f>
        <v>3.4722222189884633E-3</v>
      </c>
      <c r="N455">
        <f>HOUR(M455)</f>
        <v>0</v>
      </c>
      <c r="O455">
        <f>MINUTE(M455)</f>
        <v>5</v>
      </c>
      <c r="P455">
        <f>N455*60+O455</f>
        <v>5</v>
      </c>
      <c r="Q455" s="7">
        <f>G455-F455</f>
        <v>1.7361111116770189E-2</v>
      </c>
      <c r="R455">
        <f>HOUR(Q455)</f>
        <v>0</v>
      </c>
      <c r="S455">
        <f>MINUTE(Q455)</f>
        <v>25</v>
      </c>
      <c r="T455">
        <f>R455*60+S455</f>
        <v>25</v>
      </c>
      <c r="U455" s="7">
        <f>H455-G455</f>
        <v>7.847222221607808E-2</v>
      </c>
      <c r="V455">
        <f>HOUR(U455)</f>
        <v>1</v>
      </c>
      <c r="W455">
        <f>MINUTE(U455)</f>
        <v>53</v>
      </c>
      <c r="X455">
        <f>V455*60+W455</f>
        <v>113</v>
      </c>
      <c r="Y455" s="7">
        <f>I455-H455</f>
        <v>4.3055555557657499E-2</v>
      </c>
      <c r="Z455">
        <f>HOUR(Y455)</f>
        <v>1</v>
      </c>
      <c r="AA455">
        <f>MINUTE(Y455)</f>
        <v>2</v>
      </c>
      <c r="AB455">
        <f>Z455*60+AA455</f>
        <v>62</v>
      </c>
    </row>
    <row r="456" spans="1:28" x14ac:dyDescent="0.25">
      <c r="A456">
        <v>454</v>
      </c>
      <c r="B456" t="s">
        <v>31</v>
      </c>
      <c r="C456">
        <v>1</v>
      </c>
      <c r="D456" t="s">
        <v>30</v>
      </c>
      <c r="E456" s="6">
        <v>46054.957638888889</v>
      </c>
      <c r="F456" s="6">
        <v>46054.958333333336</v>
      </c>
      <c r="G456" s="6">
        <v>46054.959027777775</v>
      </c>
      <c r="H456" s="6">
        <v>46054.965277777781</v>
      </c>
      <c r="I456" s="6">
        <v>46054.972222222219</v>
      </c>
      <c r="J456" s="6">
        <v>46054.973611111112</v>
      </c>
      <c r="K456">
        <v>0.38</v>
      </c>
      <c r="L456" s="6">
        <v>46054.980555555558</v>
      </c>
      <c r="M456" s="7">
        <f>F456-E456</f>
        <v>6.944444467080757E-4</v>
      </c>
      <c r="N456">
        <f>HOUR(M456)</f>
        <v>0</v>
      </c>
      <c r="O456">
        <f>MINUTE(M456)</f>
        <v>1</v>
      </c>
      <c r="P456">
        <f>N456*60+O456</f>
        <v>1</v>
      </c>
      <c r="Q456" s="7">
        <f>G456-F456</f>
        <v>6.9444443943211809E-4</v>
      </c>
      <c r="R456">
        <f>HOUR(Q456)</f>
        <v>0</v>
      </c>
      <c r="S456">
        <f>MINUTE(Q456)</f>
        <v>1</v>
      </c>
      <c r="T456">
        <f>R456*60+S456</f>
        <v>1</v>
      </c>
      <c r="U456" s="7">
        <f>H456-G456</f>
        <v>6.2500000058207661E-3</v>
      </c>
      <c r="V456">
        <f>HOUR(U456)</f>
        <v>0</v>
      </c>
      <c r="W456">
        <f>MINUTE(U456)</f>
        <v>9</v>
      </c>
      <c r="X456">
        <f>V456*60+W456</f>
        <v>9</v>
      </c>
      <c r="Y456" s="7">
        <f>I456-H456</f>
        <v>6.9444444379769266E-3</v>
      </c>
      <c r="Z456">
        <f>HOUR(Y456)</f>
        <v>0</v>
      </c>
      <c r="AA456">
        <f>MINUTE(Y456)</f>
        <v>10</v>
      </c>
      <c r="AB456">
        <f>Z456*60+AA456</f>
        <v>10</v>
      </c>
    </row>
    <row r="457" spans="1:28" x14ac:dyDescent="0.25">
      <c r="A457">
        <v>455</v>
      </c>
      <c r="B457" t="s">
        <v>33</v>
      </c>
      <c r="C457">
        <v>1</v>
      </c>
      <c r="D457" t="s">
        <v>36</v>
      </c>
      <c r="E457" s="6">
        <v>46055.288194444445</v>
      </c>
      <c r="F457" s="6">
        <v>46055.350694444445</v>
      </c>
      <c r="G457" s="6">
        <v>46055.357638888891</v>
      </c>
      <c r="H457" s="6">
        <v>46055.441666666666</v>
      </c>
      <c r="I457" s="6">
        <v>46055.444444444445</v>
      </c>
      <c r="J457" s="6">
        <v>46055.451388888891</v>
      </c>
      <c r="K457">
        <v>3.92</v>
      </c>
      <c r="L457" s="6">
        <v>46055.454861111109</v>
      </c>
      <c r="M457" s="7">
        <f>F457-E457</f>
        <v>6.25E-2</v>
      </c>
      <c r="N457">
        <f>HOUR(M457)</f>
        <v>1</v>
      </c>
      <c r="O457">
        <f>MINUTE(M457)</f>
        <v>30</v>
      </c>
      <c r="P457">
        <f>N457*60+O457</f>
        <v>90</v>
      </c>
      <c r="Q457" s="7">
        <f>G457-F457</f>
        <v>6.9444444452528842E-3</v>
      </c>
      <c r="R457">
        <f>HOUR(Q457)</f>
        <v>0</v>
      </c>
      <c r="S457">
        <f>MINUTE(Q457)</f>
        <v>10</v>
      </c>
      <c r="T457">
        <f>R457*60+S457</f>
        <v>10</v>
      </c>
      <c r="U457" s="7">
        <f>H457-G457</f>
        <v>8.4027777775190771E-2</v>
      </c>
      <c r="V457">
        <f>HOUR(U457)</f>
        <v>2</v>
      </c>
      <c r="W457">
        <f>MINUTE(U457)</f>
        <v>1</v>
      </c>
      <c r="X457">
        <f>V457*60+W457</f>
        <v>121</v>
      </c>
      <c r="Y457" s="7">
        <f>I457-H457</f>
        <v>2.7777777795563452E-3</v>
      </c>
      <c r="Z457">
        <f>HOUR(Y457)</f>
        <v>0</v>
      </c>
      <c r="AA457">
        <f>MINUTE(Y457)</f>
        <v>4</v>
      </c>
      <c r="AB457">
        <f>Z457*60+AA457</f>
        <v>4</v>
      </c>
    </row>
    <row r="458" spans="1:28" x14ac:dyDescent="0.25">
      <c r="A458">
        <v>456</v>
      </c>
      <c r="B458" t="s">
        <v>33</v>
      </c>
      <c r="C458">
        <v>1</v>
      </c>
      <c r="D458" t="s">
        <v>30</v>
      </c>
      <c r="E458" s="6">
        <v>46055.555555555555</v>
      </c>
      <c r="F458" s="6">
        <v>46055.569444444445</v>
      </c>
      <c r="G458" s="6">
        <v>46055.576388888891</v>
      </c>
      <c r="H458" s="6">
        <v>46055.715277777781</v>
      </c>
      <c r="I458" s="6">
        <v>46055.722222222219</v>
      </c>
      <c r="J458" s="6">
        <v>46055.739583333336</v>
      </c>
      <c r="K458">
        <v>4.42</v>
      </c>
      <c r="L458" s="6">
        <v>46055.740277777775</v>
      </c>
      <c r="M458" s="7">
        <f>F458-E458</f>
        <v>1.3888888890505768E-2</v>
      </c>
      <c r="N458">
        <f>HOUR(M458)</f>
        <v>0</v>
      </c>
      <c r="O458">
        <f>MINUTE(M458)</f>
        <v>20</v>
      </c>
      <c r="P458">
        <f>N458*60+O458</f>
        <v>20</v>
      </c>
      <c r="Q458" s="7">
        <f>G458-F458</f>
        <v>6.9444444452528842E-3</v>
      </c>
      <c r="R458">
        <f>HOUR(Q458)</f>
        <v>0</v>
      </c>
      <c r="S458">
        <f>MINUTE(Q458)</f>
        <v>10</v>
      </c>
      <c r="T458">
        <f>R458*60+S458</f>
        <v>10</v>
      </c>
      <c r="U458" s="7">
        <f>H458-G458</f>
        <v>0.13888888889050577</v>
      </c>
      <c r="V458">
        <f>HOUR(U458)</f>
        <v>3</v>
      </c>
      <c r="W458">
        <f>MINUTE(U458)</f>
        <v>20</v>
      </c>
      <c r="X458">
        <f>V458*60+W458</f>
        <v>200</v>
      </c>
      <c r="Y458" s="7">
        <f>I458-H458</f>
        <v>6.9444444379769266E-3</v>
      </c>
      <c r="Z458">
        <f>HOUR(Y458)</f>
        <v>0</v>
      </c>
      <c r="AA458">
        <f>MINUTE(Y458)</f>
        <v>10</v>
      </c>
      <c r="AB458">
        <f>Z458*60+AA458</f>
        <v>10</v>
      </c>
    </row>
    <row r="459" spans="1:28" x14ac:dyDescent="0.25">
      <c r="A459">
        <v>457</v>
      </c>
      <c r="B459" t="s">
        <v>33</v>
      </c>
      <c r="C459">
        <v>1</v>
      </c>
      <c r="D459" t="s">
        <v>32</v>
      </c>
      <c r="E459" s="6">
        <v>46055.510416666664</v>
      </c>
      <c r="F459" s="6">
        <v>46055.541666666664</v>
      </c>
      <c r="G459" s="6">
        <v>46055.5625</v>
      </c>
      <c r="H459" s="6">
        <v>46055.634027777778</v>
      </c>
      <c r="I459" s="6">
        <v>46055.640972222223</v>
      </c>
      <c r="J459" s="6">
        <v>46055.75</v>
      </c>
      <c r="K459">
        <v>5.75</v>
      </c>
      <c r="L459" s="6">
        <v>46055.756944444445</v>
      </c>
      <c r="M459" s="7">
        <f>F459-E459</f>
        <v>3.125E-2</v>
      </c>
      <c r="N459">
        <f>HOUR(M459)</f>
        <v>0</v>
      </c>
      <c r="O459">
        <f>MINUTE(M459)</f>
        <v>45</v>
      </c>
      <c r="P459">
        <f>N459*60+O459</f>
        <v>45</v>
      </c>
      <c r="Q459" s="7">
        <f>G459-F459</f>
        <v>2.0833333335758653E-2</v>
      </c>
      <c r="R459">
        <f>HOUR(Q459)</f>
        <v>0</v>
      </c>
      <c r="S459">
        <f>MINUTE(Q459)</f>
        <v>30</v>
      </c>
      <c r="T459">
        <f>R459*60+S459</f>
        <v>30</v>
      </c>
      <c r="U459" s="7">
        <f>H459-G459</f>
        <v>7.1527777778101154E-2</v>
      </c>
      <c r="V459">
        <f>HOUR(U459)</f>
        <v>1</v>
      </c>
      <c r="W459">
        <f>MINUTE(U459)</f>
        <v>43</v>
      </c>
      <c r="X459">
        <f>V459*60+W459</f>
        <v>103</v>
      </c>
      <c r="Y459" s="7">
        <f>I459-H459</f>
        <v>6.9444444452528842E-3</v>
      </c>
      <c r="Z459">
        <f>HOUR(Y459)</f>
        <v>0</v>
      </c>
      <c r="AA459">
        <f>MINUTE(Y459)</f>
        <v>10</v>
      </c>
      <c r="AB459">
        <f>Z459*60+AA459</f>
        <v>10</v>
      </c>
    </row>
    <row r="460" spans="1:28" x14ac:dyDescent="0.25">
      <c r="A460">
        <v>458</v>
      </c>
      <c r="B460" t="s">
        <v>33</v>
      </c>
      <c r="C460">
        <v>1</v>
      </c>
      <c r="D460" t="s">
        <v>30</v>
      </c>
      <c r="E460" s="6">
        <v>46055.736111111109</v>
      </c>
      <c r="F460" s="6">
        <v>46055.746527777781</v>
      </c>
      <c r="G460" s="6">
        <v>46055.756944444445</v>
      </c>
      <c r="H460" s="6">
        <v>46055.805555555555</v>
      </c>
      <c r="I460" s="6">
        <v>46055.8125</v>
      </c>
      <c r="J460" s="6">
        <v>46055.829861111109</v>
      </c>
      <c r="K460">
        <v>2.25</v>
      </c>
      <c r="L460" s="6">
        <v>46055.836805555555</v>
      </c>
      <c r="M460" s="7">
        <f>F460-E460</f>
        <v>1.0416666671517305E-2</v>
      </c>
      <c r="N460">
        <f>HOUR(M460)</f>
        <v>0</v>
      </c>
      <c r="O460">
        <f>MINUTE(M460)</f>
        <v>15</v>
      </c>
      <c r="P460">
        <f>N460*60+O460</f>
        <v>15</v>
      </c>
      <c r="Q460" s="7">
        <f>G460-F460</f>
        <v>1.0416666664241347E-2</v>
      </c>
      <c r="R460">
        <f>HOUR(Q460)</f>
        <v>0</v>
      </c>
      <c r="S460">
        <f>MINUTE(Q460)</f>
        <v>15</v>
      </c>
      <c r="T460">
        <f>R460*60+S460</f>
        <v>15</v>
      </c>
      <c r="U460" s="7">
        <f>H460-G460</f>
        <v>4.8611111109494232E-2</v>
      </c>
      <c r="V460">
        <f>HOUR(U460)</f>
        <v>1</v>
      </c>
      <c r="W460">
        <f>MINUTE(U460)</f>
        <v>10</v>
      </c>
      <c r="X460">
        <f>V460*60+W460</f>
        <v>70</v>
      </c>
      <c r="Y460" s="7">
        <f>I460-H460</f>
        <v>6.9444444452528842E-3</v>
      </c>
      <c r="Z460">
        <f>HOUR(Y460)</f>
        <v>0</v>
      </c>
      <c r="AA460">
        <f>MINUTE(Y460)</f>
        <v>10</v>
      </c>
      <c r="AB460">
        <f>Z460*60+AA460</f>
        <v>10</v>
      </c>
    </row>
    <row r="461" spans="1:28" x14ac:dyDescent="0.25">
      <c r="A461">
        <v>459</v>
      </c>
      <c r="B461" t="s">
        <v>29</v>
      </c>
      <c r="C461">
        <v>1</v>
      </c>
      <c r="D461" t="s">
        <v>30</v>
      </c>
      <c r="E461" s="6">
        <v>46055.479166666664</v>
      </c>
      <c r="F461" s="6">
        <v>46055.493055555555</v>
      </c>
      <c r="G461" s="6">
        <v>46055.5</v>
      </c>
      <c r="H461" s="6">
        <v>46055.510416666664</v>
      </c>
      <c r="I461" s="6">
        <v>46055.513888888891</v>
      </c>
      <c r="J461" s="6">
        <v>46055.517361111109</v>
      </c>
      <c r="K461">
        <v>0.92</v>
      </c>
      <c r="L461" s="6">
        <v>46055.520833333336</v>
      </c>
      <c r="M461" s="7">
        <f>F461-E461</f>
        <v>1.3888888890505768E-2</v>
      </c>
      <c r="N461">
        <f>HOUR(M461)</f>
        <v>0</v>
      </c>
      <c r="O461">
        <f>MINUTE(M461)</f>
        <v>20</v>
      </c>
      <c r="P461">
        <f>N461*60+O461</f>
        <v>20</v>
      </c>
      <c r="Q461" s="7">
        <f>G461-F461</f>
        <v>6.9444444452528842E-3</v>
      </c>
      <c r="R461">
        <f>HOUR(Q461)</f>
        <v>0</v>
      </c>
      <c r="S461">
        <f>MINUTE(Q461)</f>
        <v>10</v>
      </c>
      <c r="T461">
        <f>R461*60+S461</f>
        <v>10</v>
      </c>
      <c r="U461" s="7">
        <f>H461-G461</f>
        <v>1.0416666664241347E-2</v>
      </c>
      <c r="V461">
        <f>HOUR(U461)</f>
        <v>0</v>
      </c>
      <c r="W461">
        <f>MINUTE(U461)</f>
        <v>15</v>
      </c>
      <c r="X461">
        <f>V461*60+W461</f>
        <v>15</v>
      </c>
      <c r="Y461" s="7">
        <f>I461-H461</f>
        <v>3.4722222262644209E-3</v>
      </c>
      <c r="Z461">
        <f>HOUR(Y461)</f>
        <v>0</v>
      </c>
      <c r="AA461">
        <f>MINUTE(Y461)</f>
        <v>5</v>
      </c>
      <c r="AB461">
        <f>Z461*60+AA461</f>
        <v>5</v>
      </c>
    </row>
    <row r="462" spans="1:28" x14ac:dyDescent="0.25">
      <c r="A462">
        <v>460</v>
      </c>
      <c r="B462" t="s">
        <v>29</v>
      </c>
      <c r="C462">
        <v>1</v>
      </c>
      <c r="D462" t="s">
        <v>30</v>
      </c>
      <c r="E462" s="6">
        <v>46055.677083333336</v>
      </c>
      <c r="F462" s="6">
        <v>46055.680555555555</v>
      </c>
      <c r="G462" s="6">
        <v>46055.701388888891</v>
      </c>
      <c r="H462" s="6">
        <v>46055.791666666664</v>
      </c>
      <c r="I462" s="6">
        <v>46055.798611111109</v>
      </c>
      <c r="J462" s="6">
        <v>46055.805555555555</v>
      </c>
      <c r="K462">
        <v>3.08</v>
      </c>
      <c r="L462" s="6">
        <v>46055.806944444441</v>
      </c>
      <c r="M462" s="7">
        <f>F462-E462</f>
        <v>3.4722222189884633E-3</v>
      </c>
      <c r="N462">
        <f>HOUR(M462)</f>
        <v>0</v>
      </c>
      <c r="O462">
        <f>MINUTE(M462)</f>
        <v>5</v>
      </c>
      <c r="P462">
        <f>N462*60+O462</f>
        <v>5</v>
      </c>
      <c r="Q462" s="7">
        <f>G462-F462</f>
        <v>2.0833333335758653E-2</v>
      </c>
      <c r="R462">
        <f>HOUR(Q462)</f>
        <v>0</v>
      </c>
      <c r="S462">
        <f>MINUTE(Q462)</f>
        <v>30</v>
      </c>
      <c r="T462">
        <f>R462*60+S462</f>
        <v>30</v>
      </c>
      <c r="U462" s="7">
        <f>H462-G462</f>
        <v>9.0277777773735579E-2</v>
      </c>
      <c r="V462">
        <f>HOUR(U462)</f>
        <v>2</v>
      </c>
      <c r="W462">
        <f>MINUTE(U462)</f>
        <v>10</v>
      </c>
      <c r="X462">
        <f>V462*60+W462</f>
        <v>130</v>
      </c>
      <c r="Y462" s="7">
        <f>I462-H462</f>
        <v>6.9444444452528842E-3</v>
      </c>
      <c r="Z462">
        <f>HOUR(Y462)</f>
        <v>0</v>
      </c>
      <c r="AA462">
        <f>MINUTE(Y462)</f>
        <v>10</v>
      </c>
      <c r="AB462">
        <f>Z462*60+AA462</f>
        <v>10</v>
      </c>
    </row>
    <row r="463" spans="1:28" x14ac:dyDescent="0.25">
      <c r="A463">
        <v>461</v>
      </c>
      <c r="B463" t="s">
        <v>33</v>
      </c>
      <c r="C463">
        <v>1</v>
      </c>
      <c r="D463" t="s">
        <v>35</v>
      </c>
      <c r="E463" s="6">
        <v>46056.506944444445</v>
      </c>
      <c r="F463" s="6">
        <v>46056.517361111109</v>
      </c>
      <c r="G463" s="6">
        <v>46056.5625</v>
      </c>
      <c r="H463" s="6">
        <v>46056.677083333336</v>
      </c>
      <c r="I463" s="6">
        <v>46056.684027777781</v>
      </c>
      <c r="J463" s="6">
        <v>46056.704861111109</v>
      </c>
      <c r="K463">
        <v>4.75</v>
      </c>
      <c r="L463" s="6">
        <v>46056.705555555556</v>
      </c>
      <c r="M463" s="7">
        <f>F463-E463</f>
        <v>1.0416666664241347E-2</v>
      </c>
      <c r="N463">
        <f>HOUR(M463)</f>
        <v>0</v>
      </c>
      <c r="O463">
        <f>MINUTE(M463)</f>
        <v>15</v>
      </c>
      <c r="P463">
        <f>N463*60+O463</f>
        <v>15</v>
      </c>
      <c r="Q463" s="7">
        <f>G463-F463</f>
        <v>4.5138888890505768E-2</v>
      </c>
      <c r="R463">
        <f>HOUR(Q463)</f>
        <v>1</v>
      </c>
      <c r="S463">
        <f>MINUTE(Q463)</f>
        <v>5</v>
      </c>
      <c r="T463">
        <f>R463*60+S463</f>
        <v>65</v>
      </c>
      <c r="U463" s="7">
        <f>H463-G463</f>
        <v>0.11458333333575865</v>
      </c>
      <c r="V463">
        <f>HOUR(U463)</f>
        <v>2</v>
      </c>
      <c r="W463">
        <f>MINUTE(U463)</f>
        <v>45</v>
      </c>
      <c r="X463">
        <f>V463*60+W463</f>
        <v>165</v>
      </c>
      <c r="Y463" s="7">
        <f>I463-H463</f>
        <v>6.9444444452528842E-3</v>
      </c>
      <c r="Z463">
        <f>HOUR(Y463)</f>
        <v>0</v>
      </c>
      <c r="AA463">
        <f>MINUTE(Y463)</f>
        <v>10</v>
      </c>
      <c r="AB463">
        <f>Z463*60+AA463</f>
        <v>10</v>
      </c>
    </row>
    <row r="464" spans="1:28" x14ac:dyDescent="0.25">
      <c r="A464">
        <v>462</v>
      </c>
      <c r="B464" t="s">
        <v>29</v>
      </c>
      <c r="C464">
        <v>1</v>
      </c>
      <c r="D464" t="s">
        <v>35</v>
      </c>
      <c r="E464" s="6">
        <v>46056.333333333336</v>
      </c>
      <c r="F464" s="6">
        <v>46056.340277777781</v>
      </c>
      <c r="G464" s="6">
        <v>46056.34375</v>
      </c>
      <c r="H464" s="6">
        <v>46056.371527777781</v>
      </c>
      <c r="I464" s="6">
        <v>46056.375</v>
      </c>
      <c r="J464" s="6">
        <v>46056.376388888886</v>
      </c>
      <c r="K464">
        <v>1.03</v>
      </c>
      <c r="L464" s="6">
        <v>46056.383333333331</v>
      </c>
      <c r="M464" s="7">
        <f>F464-E464</f>
        <v>6.9444444452528842E-3</v>
      </c>
      <c r="N464">
        <f>HOUR(M464)</f>
        <v>0</v>
      </c>
      <c r="O464">
        <f>MINUTE(M464)</f>
        <v>10</v>
      </c>
      <c r="P464">
        <f>N464*60+O464</f>
        <v>10</v>
      </c>
      <c r="Q464" s="7">
        <f>G464-F464</f>
        <v>3.4722222189884633E-3</v>
      </c>
      <c r="R464">
        <f>HOUR(Q464)</f>
        <v>0</v>
      </c>
      <c r="S464">
        <f>MINUTE(Q464)</f>
        <v>5</v>
      </c>
      <c r="T464">
        <f>R464*60+S464</f>
        <v>5</v>
      </c>
      <c r="U464" s="7">
        <f>H464-G464</f>
        <v>2.7777777781011537E-2</v>
      </c>
      <c r="V464">
        <f>HOUR(U464)</f>
        <v>0</v>
      </c>
      <c r="W464">
        <f>MINUTE(U464)</f>
        <v>40</v>
      </c>
      <c r="X464">
        <f>V464*60+W464</f>
        <v>40</v>
      </c>
      <c r="Y464" s="7">
        <f>I464-H464</f>
        <v>3.4722222189884633E-3</v>
      </c>
      <c r="Z464">
        <f>HOUR(Y464)</f>
        <v>0</v>
      </c>
      <c r="AA464">
        <f>MINUTE(Y464)</f>
        <v>5</v>
      </c>
      <c r="AB464">
        <f>Z464*60+AA464</f>
        <v>5</v>
      </c>
    </row>
    <row r="465" spans="1:28" x14ac:dyDescent="0.25">
      <c r="A465">
        <v>463</v>
      </c>
      <c r="B465" t="s">
        <v>33</v>
      </c>
      <c r="C465">
        <v>1</v>
      </c>
      <c r="D465" t="s">
        <v>36</v>
      </c>
      <c r="E465" s="6">
        <v>46056.458333333336</v>
      </c>
      <c r="F465" s="6">
        <v>46056.486111111109</v>
      </c>
      <c r="G465" s="6">
        <v>46056.524305555555</v>
      </c>
      <c r="H465" s="6">
        <v>46056.6875</v>
      </c>
      <c r="I465" s="6">
        <v>46056.729166666664</v>
      </c>
      <c r="J465" s="6">
        <v>46056.75</v>
      </c>
      <c r="K465">
        <v>7</v>
      </c>
      <c r="L465" s="6">
        <v>46056.753472222219</v>
      </c>
      <c r="M465" s="7">
        <f>F465-E465</f>
        <v>2.7777777773735579E-2</v>
      </c>
      <c r="N465">
        <f>HOUR(M465)</f>
        <v>0</v>
      </c>
      <c r="O465">
        <f>MINUTE(M465)</f>
        <v>40</v>
      </c>
      <c r="P465">
        <f>N465*60+O465</f>
        <v>40</v>
      </c>
      <c r="Q465" s="7">
        <f>G465-F465</f>
        <v>3.8194444445252884E-2</v>
      </c>
      <c r="R465">
        <f>HOUR(Q465)</f>
        <v>0</v>
      </c>
      <c r="S465">
        <f>MINUTE(Q465)</f>
        <v>55</v>
      </c>
      <c r="T465">
        <f>R465*60+S465</f>
        <v>55</v>
      </c>
      <c r="U465" s="7">
        <f>H465-G465</f>
        <v>0.16319444444525288</v>
      </c>
      <c r="V465">
        <f>HOUR(U465)</f>
        <v>3</v>
      </c>
      <c r="W465">
        <f>MINUTE(U465)</f>
        <v>55</v>
      </c>
      <c r="X465">
        <f>V465*60+W465</f>
        <v>235</v>
      </c>
      <c r="Y465" s="7">
        <f>I465-H465</f>
        <v>4.1666666664241347E-2</v>
      </c>
      <c r="Z465">
        <f>HOUR(Y465)</f>
        <v>1</v>
      </c>
      <c r="AA465">
        <f>MINUTE(Y465)</f>
        <v>0</v>
      </c>
      <c r="AB465">
        <f>Z465*60+AA465</f>
        <v>60</v>
      </c>
    </row>
    <row r="466" spans="1:28" x14ac:dyDescent="0.25">
      <c r="A466">
        <v>464</v>
      </c>
      <c r="B466" t="s">
        <v>33</v>
      </c>
      <c r="C466">
        <v>1</v>
      </c>
      <c r="D466" t="s">
        <v>36</v>
      </c>
      <c r="E466" s="6">
        <v>46056.295138888891</v>
      </c>
      <c r="F466" s="6">
        <v>46056.315972222219</v>
      </c>
      <c r="G466" s="6">
        <v>46056.333333333336</v>
      </c>
      <c r="H466" s="6">
        <v>46056.375</v>
      </c>
      <c r="I466" s="6">
        <v>46056.381944444445</v>
      </c>
      <c r="J466" s="6">
        <v>46056.430555555555</v>
      </c>
      <c r="K466">
        <v>3.25</v>
      </c>
      <c r="L466" s="6">
        <v>46056.4375</v>
      </c>
      <c r="M466" s="7">
        <f>F466-E466</f>
        <v>2.0833333328482695E-2</v>
      </c>
      <c r="N466">
        <f>HOUR(M466)</f>
        <v>0</v>
      </c>
      <c r="O466">
        <f>MINUTE(M466)</f>
        <v>30</v>
      </c>
      <c r="P466">
        <f>N466*60+O466</f>
        <v>30</v>
      </c>
      <c r="Q466" s="7">
        <f>G466-F466</f>
        <v>1.7361111116770189E-2</v>
      </c>
      <c r="R466">
        <f>HOUR(Q466)</f>
        <v>0</v>
      </c>
      <c r="S466">
        <f>MINUTE(Q466)</f>
        <v>25</v>
      </c>
      <c r="T466">
        <f>R466*60+S466</f>
        <v>25</v>
      </c>
      <c r="U466" s="7">
        <f>H466-G466</f>
        <v>4.1666666664241347E-2</v>
      </c>
      <c r="V466">
        <f>HOUR(U466)</f>
        <v>1</v>
      </c>
      <c r="W466">
        <f>MINUTE(U466)</f>
        <v>0</v>
      </c>
      <c r="X466">
        <f>V466*60+W466</f>
        <v>60</v>
      </c>
      <c r="Y466" s="7">
        <f>I466-H466</f>
        <v>6.9444444452528842E-3</v>
      </c>
      <c r="Z466">
        <f>HOUR(Y466)</f>
        <v>0</v>
      </c>
      <c r="AA466">
        <f>MINUTE(Y466)</f>
        <v>10</v>
      </c>
      <c r="AB466">
        <f>Z466*60+AA466</f>
        <v>10</v>
      </c>
    </row>
    <row r="467" spans="1:28" x14ac:dyDescent="0.25">
      <c r="A467">
        <v>465</v>
      </c>
      <c r="B467" t="s">
        <v>33</v>
      </c>
      <c r="C467">
        <v>1</v>
      </c>
      <c r="D467" t="s">
        <v>32</v>
      </c>
      <c r="E467" s="6">
        <v>46056.75</v>
      </c>
      <c r="F467" s="6">
        <v>46056.756944444445</v>
      </c>
      <c r="G467" s="6">
        <v>46056.78125</v>
      </c>
      <c r="H467" s="6">
        <v>46056.80972222222</v>
      </c>
      <c r="I467" s="6">
        <v>46056.815972222219</v>
      </c>
      <c r="J467" s="6">
        <v>46056.819444444445</v>
      </c>
      <c r="K467">
        <v>1.67</v>
      </c>
      <c r="L467" s="6">
        <v>46056.822916666664</v>
      </c>
      <c r="M467" s="7">
        <f>F467-E467</f>
        <v>6.9444444452528842E-3</v>
      </c>
      <c r="N467">
        <f>HOUR(M467)</f>
        <v>0</v>
      </c>
      <c r="O467">
        <f>MINUTE(M467)</f>
        <v>10</v>
      </c>
      <c r="P467">
        <f>N467*60+O467</f>
        <v>10</v>
      </c>
      <c r="Q467" s="7">
        <f>G467-F467</f>
        <v>2.4305555554747116E-2</v>
      </c>
      <c r="R467">
        <f>HOUR(Q467)</f>
        <v>0</v>
      </c>
      <c r="S467">
        <f>MINUTE(Q467)</f>
        <v>35</v>
      </c>
      <c r="T467">
        <f>R467*60+S467</f>
        <v>35</v>
      </c>
      <c r="U467" s="7">
        <f>H467-G467</f>
        <v>2.8472222220443655E-2</v>
      </c>
      <c r="V467">
        <f>HOUR(U467)</f>
        <v>0</v>
      </c>
      <c r="W467">
        <f>MINUTE(U467)</f>
        <v>41</v>
      </c>
      <c r="X467">
        <f>V467*60+W467</f>
        <v>41</v>
      </c>
      <c r="Y467" s="7">
        <f>I467-H467</f>
        <v>6.2499999985448085E-3</v>
      </c>
      <c r="Z467">
        <f>HOUR(Y467)</f>
        <v>0</v>
      </c>
      <c r="AA467">
        <f>MINUTE(Y467)</f>
        <v>9</v>
      </c>
      <c r="AB467">
        <f>Z467*60+AA467</f>
        <v>9</v>
      </c>
    </row>
    <row r="468" spans="1:28" x14ac:dyDescent="0.25">
      <c r="A468">
        <v>466</v>
      </c>
      <c r="B468" t="s">
        <v>29</v>
      </c>
      <c r="C468">
        <v>1</v>
      </c>
      <c r="D468" t="s">
        <v>30</v>
      </c>
      <c r="E468" s="6">
        <v>46056.71875</v>
      </c>
      <c r="F468" s="6">
        <v>46056.729166666664</v>
      </c>
      <c r="G468" s="6">
        <v>46056.770833333336</v>
      </c>
      <c r="H468" s="6">
        <v>46056.791666666664</v>
      </c>
      <c r="I468" s="6">
        <v>46056.795138888891</v>
      </c>
      <c r="J468" s="6">
        <v>46056.805555555555</v>
      </c>
      <c r="K468">
        <v>2.08</v>
      </c>
      <c r="L468" s="6">
        <v>46056.8125</v>
      </c>
      <c r="M468" s="7">
        <f>F468-E468</f>
        <v>1.0416666664241347E-2</v>
      </c>
      <c r="N468">
        <f>HOUR(M468)</f>
        <v>0</v>
      </c>
      <c r="O468">
        <f>MINUTE(M468)</f>
        <v>15</v>
      </c>
      <c r="P468">
        <f>N468*60+O468</f>
        <v>15</v>
      </c>
      <c r="Q468" s="7">
        <f>G468-F468</f>
        <v>4.1666666671517305E-2</v>
      </c>
      <c r="R468">
        <f>HOUR(Q468)</f>
        <v>1</v>
      </c>
      <c r="S468">
        <f>MINUTE(Q468)</f>
        <v>0</v>
      </c>
      <c r="T468">
        <f>R468*60+S468</f>
        <v>60</v>
      </c>
      <c r="U468" s="7">
        <f>H468-G468</f>
        <v>2.0833333328482695E-2</v>
      </c>
      <c r="V468">
        <f>HOUR(U468)</f>
        <v>0</v>
      </c>
      <c r="W468">
        <f>MINUTE(U468)</f>
        <v>30</v>
      </c>
      <c r="X468">
        <f>V468*60+W468</f>
        <v>30</v>
      </c>
      <c r="Y468" s="7">
        <f>I468-H468</f>
        <v>3.4722222262644209E-3</v>
      </c>
      <c r="Z468">
        <f>HOUR(Y468)</f>
        <v>0</v>
      </c>
      <c r="AA468">
        <f>MINUTE(Y468)</f>
        <v>5</v>
      </c>
      <c r="AB468">
        <f>Z468*60+AA468</f>
        <v>5</v>
      </c>
    </row>
    <row r="469" spans="1:28" x14ac:dyDescent="0.25">
      <c r="A469">
        <v>467</v>
      </c>
      <c r="B469" t="s">
        <v>31</v>
      </c>
      <c r="C469">
        <v>1</v>
      </c>
      <c r="D469" t="s">
        <v>30</v>
      </c>
      <c r="E469" s="6">
        <v>46055.716666666667</v>
      </c>
      <c r="F469" s="6">
        <v>46055.723611111112</v>
      </c>
      <c r="G469" s="6">
        <v>46055.743055555555</v>
      </c>
      <c r="H469" s="6">
        <v>46055.759722222225</v>
      </c>
      <c r="I469" s="6">
        <v>46055.76666666667</v>
      </c>
      <c r="J469" s="6">
        <v>46055.769444444442</v>
      </c>
      <c r="K469">
        <v>1.27</v>
      </c>
      <c r="L469" s="6">
        <v>46055.776388888888</v>
      </c>
      <c r="M469" s="7">
        <f>F469-E469</f>
        <v>6.9444444452528842E-3</v>
      </c>
      <c r="N469">
        <f>HOUR(M469)</f>
        <v>0</v>
      </c>
      <c r="O469">
        <f>MINUTE(M469)</f>
        <v>10</v>
      </c>
      <c r="P469">
        <f>N469*60+O469</f>
        <v>10</v>
      </c>
      <c r="Q469" s="7">
        <f>G469-F469</f>
        <v>1.9444444442342501E-2</v>
      </c>
      <c r="R469">
        <f>HOUR(Q469)</f>
        <v>0</v>
      </c>
      <c r="S469">
        <f>MINUTE(Q469)</f>
        <v>28</v>
      </c>
      <c r="T469">
        <f>R469*60+S469</f>
        <v>28</v>
      </c>
      <c r="U469" s="7">
        <f>H469-G469</f>
        <v>1.6666666670062114E-2</v>
      </c>
      <c r="V469">
        <f>HOUR(U469)</f>
        <v>0</v>
      </c>
      <c r="W469">
        <f>MINUTE(U469)</f>
        <v>24</v>
      </c>
      <c r="X469">
        <f>V469*60+W469</f>
        <v>24</v>
      </c>
      <c r="Y469" s="7">
        <f>I469-H469</f>
        <v>6.9444444452528842E-3</v>
      </c>
      <c r="Z469">
        <f>HOUR(Y469)</f>
        <v>0</v>
      </c>
      <c r="AA469">
        <f>MINUTE(Y469)</f>
        <v>10</v>
      </c>
      <c r="AB469">
        <f>Z469*60+AA469</f>
        <v>10</v>
      </c>
    </row>
    <row r="470" spans="1:28" x14ac:dyDescent="0.25">
      <c r="A470">
        <v>468</v>
      </c>
      <c r="B470" t="s">
        <v>31</v>
      </c>
      <c r="C470">
        <v>1</v>
      </c>
      <c r="D470" t="s">
        <v>30</v>
      </c>
      <c r="E470" s="6">
        <v>46056.284722222219</v>
      </c>
      <c r="F470" s="6">
        <v>46056.329861111109</v>
      </c>
      <c r="G470" s="6">
        <v>46056.361111111109</v>
      </c>
      <c r="H470" s="6">
        <v>46056.444444444445</v>
      </c>
      <c r="I470" s="6">
        <v>46056.472222222219</v>
      </c>
      <c r="J470" s="6">
        <v>46056.475694444445</v>
      </c>
      <c r="K470">
        <v>4.58</v>
      </c>
      <c r="L470" s="6">
        <v>46056.482638888891</v>
      </c>
      <c r="M470" s="7">
        <f>F470-E470</f>
        <v>4.5138888890505768E-2</v>
      </c>
      <c r="N470">
        <f>HOUR(M470)</f>
        <v>1</v>
      </c>
      <c r="O470">
        <f>MINUTE(M470)</f>
        <v>5</v>
      </c>
      <c r="P470">
        <f>N470*60+O470</f>
        <v>65</v>
      </c>
      <c r="Q470" s="7">
        <f>G470-F470</f>
        <v>3.125E-2</v>
      </c>
      <c r="R470">
        <f>HOUR(Q470)</f>
        <v>0</v>
      </c>
      <c r="S470">
        <f>MINUTE(Q470)</f>
        <v>45</v>
      </c>
      <c r="T470">
        <f>R470*60+S470</f>
        <v>45</v>
      </c>
      <c r="U470" s="7">
        <f>H470-G470</f>
        <v>8.3333333335758653E-2</v>
      </c>
      <c r="V470">
        <f>HOUR(U470)</f>
        <v>2</v>
      </c>
      <c r="W470">
        <f>MINUTE(U470)</f>
        <v>0</v>
      </c>
      <c r="X470">
        <f>V470*60+W470</f>
        <v>120</v>
      </c>
      <c r="Y470" s="7">
        <f>I470-H470</f>
        <v>2.7777777773735579E-2</v>
      </c>
      <c r="Z470">
        <f>HOUR(Y470)</f>
        <v>0</v>
      </c>
      <c r="AA470">
        <f>MINUTE(Y470)</f>
        <v>40</v>
      </c>
      <c r="AB470">
        <f>Z470*60+AA470</f>
        <v>40</v>
      </c>
    </row>
    <row r="471" spans="1:28" x14ac:dyDescent="0.25">
      <c r="A471">
        <v>469</v>
      </c>
      <c r="B471" t="s">
        <v>31</v>
      </c>
      <c r="C471">
        <v>1</v>
      </c>
      <c r="D471" t="s">
        <v>30</v>
      </c>
      <c r="E471" s="6">
        <v>46055.895833333336</v>
      </c>
      <c r="F471" s="6">
        <v>46055.897222222222</v>
      </c>
      <c r="G471" s="6">
        <v>46055.909722222219</v>
      </c>
      <c r="H471" s="6">
        <v>46055.930555555555</v>
      </c>
      <c r="I471" s="6">
        <v>46055.9375</v>
      </c>
      <c r="J471" s="6">
        <v>46055.940972222219</v>
      </c>
      <c r="K471">
        <v>1.08</v>
      </c>
      <c r="L471" s="6">
        <v>46055.947916666664</v>
      </c>
      <c r="M471" s="7">
        <f>F471-E471</f>
        <v>1.3888888861401938E-3</v>
      </c>
      <c r="N471">
        <f>HOUR(M471)</f>
        <v>0</v>
      </c>
      <c r="O471">
        <f>MINUTE(M471)</f>
        <v>2</v>
      </c>
      <c r="P471">
        <f>N471*60+O471</f>
        <v>2</v>
      </c>
      <c r="Q471" s="7">
        <f>G471-F471</f>
        <v>1.2499999997089617E-2</v>
      </c>
      <c r="R471">
        <f>HOUR(Q471)</f>
        <v>0</v>
      </c>
      <c r="S471">
        <f>MINUTE(Q471)</f>
        <v>18</v>
      </c>
      <c r="T471">
        <f>R471*60+S471</f>
        <v>18</v>
      </c>
      <c r="U471" s="7">
        <f>H471-G471</f>
        <v>2.0833333335758653E-2</v>
      </c>
      <c r="V471">
        <f>HOUR(U471)</f>
        <v>0</v>
      </c>
      <c r="W471">
        <f>MINUTE(U471)</f>
        <v>30</v>
      </c>
      <c r="X471">
        <f>V471*60+W471</f>
        <v>30</v>
      </c>
      <c r="Y471" s="7">
        <f>I471-H471</f>
        <v>6.9444444452528842E-3</v>
      </c>
      <c r="Z471">
        <f>HOUR(Y471)</f>
        <v>0</v>
      </c>
      <c r="AA471">
        <f>MINUTE(Y471)</f>
        <v>10</v>
      </c>
      <c r="AB471">
        <f>Z471*60+AA471</f>
        <v>10</v>
      </c>
    </row>
    <row r="472" spans="1:28" x14ac:dyDescent="0.25">
      <c r="A472">
        <v>470</v>
      </c>
      <c r="B472" t="s">
        <v>29</v>
      </c>
      <c r="C472">
        <v>1</v>
      </c>
      <c r="D472" t="s">
        <v>35</v>
      </c>
      <c r="E472" s="6">
        <v>46055.901388888888</v>
      </c>
      <c r="F472" s="6">
        <v>46055.908333333333</v>
      </c>
      <c r="G472" s="6">
        <v>46055.916666666664</v>
      </c>
      <c r="H472" s="6">
        <v>46055.979166666664</v>
      </c>
      <c r="I472" s="6">
        <v>46055.986111111109</v>
      </c>
      <c r="J472" s="6">
        <v>46055.987500000003</v>
      </c>
      <c r="K472">
        <v>2.0699999999999998</v>
      </c>
      <c r="L472" s="6">
        <v>46055.989583333336</v>
      </c>
      <c r="M472" s="7">
        <f>F472-E472</f>
        <v>6.9444444452528842E-3</v>
      </c>
      <c r="N472">
        <f>HOUR(M472)</f>
        <v>0</v>
      </c>
      <c r="O472">
        <f>MINUTE(M472)</f>
        <v>10</v>
      </c>
      <c r="P472">
        <f>N472*60+O472</f>
        <v>10</v>
      </c>
      <c r="Q472" s="7">
        <f>G472-F472</f>
        <v>8.333333331393078E-3</v>
      </c>
      <c r="R472">
        <f>HOUR(Q472)</f>
        <v>0</v>
      </c>
      <c r="S472">
        <f>MINUTE(Q472)</f>
        <v>12</v>
      </c>
      <c r="T472">
        <f>R472*60+S472</f>
        <v>12</v>
      </c>
      <c r="U472" s="7">
        <f>H472-G472</f>
        <v>6.25E-2</v>
      </c>
      <c r="V472">
        <f>HOUR(U472)</f>
        <v>1</v>
      </c>
      <c r="W472">
        <f>MINUTE(U472)</f>
        <v>30</v>
      </c>
      <c r="X472">
        <f>V472*60+W472</f>
        <v>90</v>
      </c>
      <c r="Y472" s="7">
        <f>I472-H472</f>
        <v>6.9444444452528842E-3</v>
      </c>
      <c r="Z472">
        <f>HOUR(Y472)</f>
        <v>0</v>
      </c>
      <c r="AA472">
        <f>MINUTE(Y472)</f>
        <v>10</v>
      </c>
      <c r="AB472">
        <f>Z472*60+AA472</f>
        <v>10</v>
      </c>
    </row>
    <row r="473" spans="1:28" x14ac:dyDescent="0.25">
      <c r="A473">
        <v>471</v>
      </c>
      <c r="B473" t="s">
        <v>31</v>
      </c>
      <c r="C473">
        <v>1</v>
      </c>
      <c r="D473" t="s">
        <v>34</v>
      </c>
      <c r="E473" s="6">
        <v>46056.555555555555</v>
      </c>
      <c r="F473" s="6">
        <v>46056.572916666664</v>
      </c>
      <c r="G473" s="6">
        <v>46056.590277777781</v>
      </c>
      <c r="H473" s="6">
        <v>46056.767361111109</v>
      </c>
      <c r="I473" s="6">
        <v>46056.774305555555</v>
      </c>
      <c r="J473" s="6">
        <v>46057.375</v>
      </c>
      <c r="K473">
        <v>19.670000000000002</v>
      </c>
      <c r="L473" s="6">
        <v>46057.381944444445</v>
      </c>
      <c r="M473" s="7">
        <f>F473-E473</f>
        <v>1.7361111109494232E-2</v>
      </c>
      <c r="N473">
        <f>HOUR(M473)</f>
        <v>0</v>
      </c>
      <c r="O473">
        <f>MINUTE(M473)</f>
        <v>25</v>
      </c>
      <c r="P473">
        <f>N473*60+O473</f>
        <v>25</v>
      </c>
      <c r="Q473" s="7">
        <f>G473-F473</f>
        <v>1.7361111116770189E-2</v>
      </c>
      <c r="R473">
        <f>HOUR(Q473)</f>
        <v>0</v>
      </c>
      <c r="S473">
        <f>MINUTE(Q473)</f>
        <v>25</v>
      </c>
      <c r="T473">
        <f>R473*60+S473</f>
        <v>25</v>
      </c>
      <c r="U473" s="7">
        <f>H473-G473</f>
        <v>0.17708333332848269</v>
      </c>
      <c r="V473">
        <f>HOUR(U473)</f>
        <v>4</v>
      </c>
      <c r="W473">
        <f>MINUTE(U473)</f>
        <v>15</v>
      </c>
      <c r="X473">
        <f>V473*60+W473</f>
        <v>255</v>
      </c>
      <c r="Y473" s="7">
        <f>I473-H473</f>
        <v>6.9444444452528842E-3</v>
      </c>
      <c r="Z473">
        <f>HOUR(Y473)</f>
        <v>0</v>
      </c>
      <c r="AA473">
        <f>MINUTE(Y473)</f>
        <v>10</v>
      </c>
      <c r="AB473">
        <f>Z473*60+AA473</f>
        <v>10</v>
      </c>
    </row>
    <row r="474" spans="1:28" x14ac:dyDescent="0.25">
      <c r="A474">
        <v>472</v>
      </c>
      <c r="B474" t="s">
        <v>33</v>
      </c>
      <c r="C474">
        <v>1</v>
      </c>
      <c r="D474" t="s">
        <v>37</v>
      </c>
      <c r="E474" s="6">
        <v>46055.954861111109</v>
      </c>
      <c r="F474" s="6">
        <v>46055.961805555555</v>
      </c>
      <c r="G474" s="6">
        <v>46055.972222222219</v>
      </c>
      <c r="H474" s="6">
        <v>46056.030555555553</v>
      </c>
      <c r="I474" s="6">
        <v>46056.037499999999</v>
      </c>
      <c r="J474" s="6">
        <v>46056.041666666664</v>
      </c>
      <c r="K474">
        <v>2.08</v>
      </c>
      <c r="L474" s="6">
        <v>46056.048611111109</v>
      </c>
      <c r="M474" s="7">
        <f>F474-E474</f>
        <v>6.9444444452528842E-3</v>
      </c>
      <c r="N474">
        <f>HOUR(M474)</f>
        <v>0</v>
      </c>
      <c r="O474">
        <f>MINUTE(M474)</f>
        <v>10</v>
      </c>
      <c r="P474">
        <f>N474*60+O474</f>
        <v>10</v>
      </c>
      <c r="Q474" s="7">
        <f>G474-F474</f>
        <v>1.0416666664241347E-2</v>
      </c>
      <c r="R474">
        <f>HOUR(Q474)</f>
        <v>0</v>
      </c>
      <c r="S474">
        <f>MINUTE(Q474)</f>
        <v>15</v>
      </c>
      <c r="T474">
        <f>R474*60+S474</f>
        <v>15</v>
      </c>
      <c r="U474" s="7">
        <f>H474-G474</f>
        <v>5.8333333334303461E-2</v>
      </c>
      <c r="V474">
        <f>HOUR(U474)</f>
        <v>1</v>
      </c>
      <c r="W474">
        <f>MINUTE(U474)</f>
        <v>24</v>
      </c>
      <c r="X474">
        <f>V474*60+W474</f>
        <v>84</v>
      </c>
      <c r="Y474" s="7">
        <f>I474-H474</f>
        <v>6.9444444452528842E-3</v>
      </c>
      <c r="Z474">
        <f>HOUR(Y474)</f>
        <v>0</v>
      </c>
      <c r="AA474">
        <f>MINUTE(Y474)</f>
        <v>10</v>
      </c>
      <c r="AB474">
        <f>Z474*60+AA474</f>
        <v>10</v>
      </c>
    </row>
    <row r="475" spans="1:28" x14ac:dyDescent="0.25">
      <c r="A475">
        <v>473</v>
      </c>
      <c r="B475" t="s">
        <v>31</v>
      </c>
      <c r="C475">
        <v>1</v>
      </c>
      <c r="D475" t="s">
        <v>30</v>
      </c>
      <c r="E475" s="6">
        <v>46056.534722222219</v>
      </c>
      <c r="F475" s="6">
        <v>46056.545138888891</v>
      </c>
      <c r="G475" s="6">
        <v>46056.614583333336</v>
      </c>
      <c r="H475" s="6">
        <v>46056.666666666664</v>
      </c>
      <c r="I475" s="6">
        <v>46056.729166666664</v>
      </c>
      <c r="J475" s="6">
        <v>46056.732638888891</v>
      </c>
      <c r="K475">
        <v>4.75</v>
      </c>
      <c r="L475" s="6">
        <v>46056.736111111109</v>
      </c>
      <c r="M475" s="7">
        <f>F475-E475</f>
        <v>1.0416666671517305E-2</v>
      </c>
      <c r="N475">
        <f>HOUR(M475)</f>
        <v>0</v>
      </c>
      <c r="O475">
        <f>MINUTE(M475)</f>
        <v>15</v>
      </c>
      <c r="P475">
        <f>N475*60+O475</f>
        <v>15</v>
      </c>
      <c r="Q475" s="7">
        <f>G475-F475</f>
        <v>6.9444444445252884E-2</v>
      </c>
      <c r="R475">
        <f>HOUR(Q475)</f>
        <v>1</v>
      </c>
      <c r="S475">
        <f>MINUTE(Q475)</f>
        <v>40</v>
      </c>
      <c r="T475">
        <f>R475*60+S475</f>
        <v>100</v>
      </c>
      <c r="U475" s="7">
        <f>H475-G475</f>
        <v>5.2083333328482695E-2</v>
      </c>
      <c r="V475">
        <f>HOUR(U475)</f>
        <v>1</v>
      </c>
      <c r="W475">
        <f>MINUTE(U475)</f>
        <v>15</v>
      </c>
      <c r="X475">
        <f>V475*60+W475</f>
        <v>75</v>
      </c>
      <c r="Y475" s="7">
        <f>I475-H475</f>
        <v>6.25E-2</v>
      </c>
      <c r="Z475">
        <f>HOUR(Y475)</f>
        <v>1</v>
      </c>
      <c r="AA475">
        <f>MINUTE(Y475)</f>
        <v>30</v>
      </c>
      <c r="AB475">
        <f>Z475*60+AA475</f>
        <v>90</v>
      </c>
    </row>
    <row r="476" spans="1:28" x14ac:dyDescent="0.25">
      <c r="A476">
        <v>474</v>
      </c>
      <c r="B476" t="s">
        <v>29</v>
      </c>
      <c r="C476">
        <v>1</v>
      </c>
      <c r="D476" t="s">
        <v>35</v>
      </c>
      <c r="E476" s="6">
        <v>46056.416666666664</v>
      </c>
      <c r="F476" s="6">
        <v>46056.420138888891</v>
      </c>
      <c r="G476" s="6">
        <v>46056.434027777781</v>
      </c>
      <c r="H476" s="6">
        <v>46056.476388888892</v>
      </c>
      <c r="I476" s="6">
        <v>46056.48333333333</v>
      </c>
      <c r="J476" s="6">
        <v>46056.484027777777</v>
      </c>
      <c r="K476">
        <v>1.62</v>
      </c>
      <c r="L476" s="6">
        <v>46056.490972222222</v>
      </c>
      <c r="M476" s="7">
        <f>F476-E476</f>
        <v>3.4722222262644209E-3</v>
      </c>
      <c r="N476">
        <f>HOUR(M476)</f>
        <v>0</v>
      </c>
      <c r="O476">
        <f>MINUTE(M476)</f>
        <v>5</v>
      </c>
      <c r="P476">
        <f>N476*60+O476</f>
        <v>5</v>
      </c>
      <c r="Q476" s="7">
        <f>G476-F476</f>
        <v>1.3888888890505768E-2</v>
      </c>
      <c r="R476">
        <f>HOUR(Q476)</f>
        <v>0</v>
      </c>
      <c r="S476">
        <f>MINUTE(Q476)</f>
        <v>20</v>
      </c>
      <c r="T476">
        <f>R476*60+S476</f>
        <v>20</v>
      </c>
      <c r="U476" s="7">
        <f>H476-G476</f>
        <v>4.2361111110949423E-2</v>
      </c>
      <c r="V476">
        <f>HOUR(U476)</f>
        <v>1</v>
      </c>
      <c r="W476">
        <f>MINUTE(U476)</f>
        <v>1</v>
      </c>
      <c r="X476">
        <f>V476*60+W476</f>
        <v>61</v>
      </c>
      <c r="Y476" s="7">
        <f>I476-H476</f>
        <v>6.9444444379769266E-3</v>
      </c>
      <c r="Z476">
        <f>HOUR(Y476)</f>
        <v>0</v>
      </c>
      <c r="AA476">
        <f>MINUTE(Y476)</f>
        <v>10</v>
      </c>
      <c r="AB476">
        <f>Z476*60+AA476</f>
        <v>10</v>
      </c>
    </row>
    <row r="477" spans="1:28" x14ac:dyDescent="0.25">
      <c r="A477">
        <v>475</v>
      </c>
      <c r="B477" t="s">
        <v>31</v>
      </c>
      <c r="C477">
        <v>1</v>
      </c>
      <c r="D477" t="s">
        <v>34</v>
      </c>
      <c r="E477" s="6">
        <v>46056.454861111109</v>
      </c>
      <c r="F477" s="6">
        <v>46056.461805555555</v>
      </c>
      <c r="G477" s="6">
        <v>46056.472222222219</v>
      </c>
      <c r="H477" s="6">
        <v>46056.493055555555</v>
      </c>
      <c r="I477" s="6">
        <v>46056.5</v>
      </c>
      <c r="J477" s="6">
        <v>46056.506944444445</v>
      </c>
      <c r="K477">
        <v>1.25</v>
      </c>
      <c r="L477" s="6">
        <v>46056.513888888891</v>
      </c>
      <c r="M477" s="7">
        <f>F477-E477</f>
        <v>6.9444444452528842E-3</v>
      </c>
      <c r="N477">
        <f>HOUR(M477)</f>
        <v>0</v>
      </c>
      <c r="O477">
        <f>MINUTE(M477)</f>
        <v>10</v>
      </c>
      <c r="P477">
        <f>N477*60+O477</f>
        <v>10</v>
      </c>
      <c r="Q477" s="7">
        <f>G477-F477</f>
        <v>1.0416666664241347E-2</v>
      </c>
      <c r="R477">
        <f>HOUR(Q477)</f>
        <v>0</v>
      </c>
      <c r="S477">
        <f>MINUTE(Q477)</f>
        <v>15</v>
      </c>
      <c r="T477">
        <f>R477*60+S477</f>
        <v>15</v>
      </c>
      <c r="U477" s="7">
        <f>H477-G477</f>
        <v>2.0833333335758653E-2</v>
      </c>
      <c r="V477">
        <f>HOUR(U477)</f>
        <v>0</v>
      </c>
      <c r="W477">
        <f>MINUTE(U477)</f>
        <v>30</v>
      </c>
      <c r="X477">
        <f>V477*60+W477</f>
        <v>30</v>
      </c>
      <c r="Y477" s="7">
        <f>I477-H477</f>
        <v>6.9444444452528842E-3</v>
      </c>
      <c r="Z477">
        <f>HOUR(Y477)</f>
        <v>0</v>
      </c>
      <c r="AA477">
        <f>MINUTE(Y477)</f>
        <v>10</v>
      </c>
      <c r="AB477">
        <f>Z477*60+AA477</f>
        <v>10</v>
      </c>
    </row>
    <row r="478" spans="1:28" x14ac:dyDescent="0.25">
      <c r="A478">
        <v>476</v>
      </c>
      <c r="B478" t="s">
        <v>29</v>
      </c>
      <c r="C478">
        <v>1</v>
      </c>
      <c r="D478" t="s">
        <v>30</v>
      </c>
      <c r="E478" s="6">
        <v>46056.895833333336</v>
      </c>
      <c r="F478" s="6">
        <v>46056.899305555555</v>
      </c>
      <c r="G478" s="6">
        <v>46056.909722222219</v>
      </c>
      <c r="H478" s="6">
        <v>46056.920138888891</v>
      </c>
      <c r="I478" s="6">
        <v>46056.923611111109</v>
      </c>
      <c r="J478" s="6">
        <v>46056.925694444442</v>
      </c>
      <c r="K478">
        <v>0.72</v>
      </c>
      <c r="L478" s="6">
        <v>46056.932638888888</v>
      </c>
      <c r="M478" s="7">
        <f>F478-E478</f>
        <v>3.4722222189884633E-3</v>
      </c>
      <c r="N478">
        <f>HOUR(M478)</f>
        <v>0</v>
      </c>
      <c r="O478">
        <f>MINUTE(M478)</f>
        <v>5</v>
      </c>
      <c r="P478">
        <f>N478*60+O478</f>
        <v>5</v>
      </c>
      <c r="Q478" s="7">
        <f>G478-F478</f>
        <v>1.0416666664241347E-2</v>
      </c>
      <c r="R478">
        <f>HOUR(Q478)</f>
        <v>0</v>
      </c>
      <c r="S478">
        <f>MINUTE(Q478)</f>
        <v>15</v>
      </c>
      <c r="T478">
        <f>R478*60+S478</f>
        <v>15</v>
      </c>
      <c r="U478" s="7">
        <f>H478-G478</f>
        <v>1.0416666671517305E-2</v>
      </c>
      <c r="V478">
        <f>HOUR(U478)</f>
        <v>0</v>
      </c>
      <c r="W478">
        <f>MINUTE(U478)</f>
        <v>15</v>
      </c>
      <c r="X478">
        <f>V478*60+W478</f>
        <v>15</v>
      </c>
      <c r="Y478" s="7">
        <f>I478-H478</f>
        <v>3.4722222189884633E-3</v>
      </c>
      <c r="Z478">
        <f>HOUR(Y478)</f>
        <v>0</v>
      </c>
      <c r="AA478">
        <f>MINUTE(Y478)</f>
        <v>5</v>
      </c>
      <c r="AB478">
        <f>Z478*60+AA478</f>
        <v>5</v>
      </c>
    </row>
    <row r="479" spans="1:28" x14ac:dyDescent="0.25">
      <c r="A479">
        <v>477</v>
      </c>
      <c r="B479" t="s">
        <v>33</v>
      </c>
      <c r="C479">
        <v>1</v>
      </c>
      <c r="D479" t="s">
        <v>30</v>
      </c>
      <c r="E479" s="6">
        <v>46056.489583333336</v>
      </c>
      <c r="F479" s="6">
        <v>46056.524305555555</v>
      </c>
      <c r="G479" s="6">
        <v>46056.527777777781</v>
      </c>
      <c r="H479" s="6">
        <v>46056.534722222219</v>
      </c>
      <c r="I479" s="6">
        <v>46056.538194444445</v>
      </c>
      <c r="J479" s="6">
        <v>46056.541666666664</v>
      </c>
      <c r="K479">
        <v>1.25</v>
      </c>
      <c r="L479" s="6">
        <v>46056.548611111109</v>
      </c>
      <c r="M479" s="7">
        <f>F479-E479</f>
        <v>3.4722222218988463E-2</v>
      </c>
      <c r="N479">
        <f>HOUR(M479)</f>
        <v>0</v>
      </c>
      <c r="O479">
        <f>MINUTE(M479)</f>
        <v>50</v>
      </c>
      <c r="P479">
        <f>N479*60+O479</f>
        <v>50</v>
      </c>
      <c r="Q479" s="7">
        <f>G479-F479</f>
        <v>3.4722222262644209E-3</v>
      </c>
      <c r="R479">
        <f>HOUR(Q479)</f>
        <v>0</v>
      </c>
      <c r="S479">
        <f>MINUTE(Q479)</f>
        <v>5</v>
      </c>
      <c r="T479">
        <f>R479*60+S479</f>
        <v>5</v>
      </c>
      <c r="U479" s="7">
        <f>H479-G479</f>
        <v>6.9444444379769266E-3</v>
      </c>
      <c r="V479">
        <f>HOUR(U479)</f>
        <v>0</v>
      </c>
      <c r="W479">
        <f>MINUTE(U479)</f>
        <v>10</v>
      </c>
      <c r="X479">
        <f>V479*60+W479</f>
        <v>10</v>
      </c>
      <c r="Y479" s="7">
        <f>I479-H479</f>
        <v>3.4722222262644209E-3</v>
      </c>
      <c r="Z479">
        <f>HOUR(Y479)</f>
        <v>0</v>
      </c>
      <c r="AA479">
        <f>MINUTE(Y479)</f>
        <v>5</v>
      </c>
      <c r="AB479">
        <f>Z479*60+AA479</f>
        <v>5</v>
      </c>
    </row>
    <row r="480" spans="1:28" x14ac:dyDescent="0.25">
      <c r="A480">
        <v>478</v>
      </c>
      <c r="B480" t="s">
        <v>29</v>
      </c>
      <c r="C480">
        <v>1</v>
      </c>
      <c r="D480" t="s">
        <v>30</v>
      </c>
      <c r="E480" s="6">
        <v>46056.583333333336</v>
      </c>
      <c r="F480" s="6">
        <v>46056.59375</v>
      </c>
      <c r="G480" s="6">
        <v>46056.604166666664</v>
      </c>
      <c r="H480" s="6">
        <v>46056.645833333336</v>
      </c>
      <c r="I480" s="6">
        <v>46056.652777777781</v>
      </c>
      <c r="J480" s="6">
        <v>46056.666666666664</v>
      </c>
      <c r="K480">
        <v>2</v>
      </c>
      <c r="L480" s="6">
        <v>46056.673611111109</v>
      </c>
      <c r="M480" s="7">
        <f>F480-E480</f>
        <v>1.0416666664241347E-2</v>
      </c>
      <c r="N480">
        <f>HOUR(M480)</f>
        <v>0</v>
      </c>
      <c r="O480">
        <f>MINUTE(M480)</f>
        <v>15</v>
      </c>
      <c r="P480">
        <f>N480*60+O480</f>
        <v>15</v>
      </c>
      <c r="Q480" s="7">
        <f>G480-F480</f>
        <v>1.0416666664241347E-2</v>
      </c>
      <c r="R480">
        <f>HOUR(Q480)</f>
        <v>0</v>
      </c>
      <c r="S480">
        <f>MINUTE(Q480)</f>
        <v>15</v>
      </c>
      <c r="T480">
        <f>R480*60+S480</f>
        <v>15</v>
      </c>
      <c r="U480" s="7">
        <f>H480-G480</f>
        <v>4.1666666671517305E-2</v>
      </c>
      <c r="V480">
        <f>HOUR(U480)</f>
        <v>1</v>
      </c>
      <c r="W480">
        <f>MINUTE(U480)</f>
        <v>0</v>
      </c>
      <c r="X480">
        <f>V480*60+W480</f>
        <v>60</v>
      </c>
      <c r="Y480" s="7">
        <f>I480-H480</f>
        <v>6.9444444452528842E-3</v>
      </c>
      <c r="Z480">
        <f>HOUR(Y480)</f>
        <v>0</v>
      </c>
      <c r="AA480">
        <f>MINUTE(Y480)</f>
        <v>10</v>
      </c>
      <c r="AB480">
        <f>Z480*60+AA480</f>
        <v>10</v>
      </c>
    </row>
    <row r="481" spans="1:28" x14ac:dyDescent="0.25">
      <c r="A481">
        <v>479</v>
      </c>
      <c r="B481" t="s">
        <v>29</v>
      </c>
      <c r="C481">
        <v>1</v>
      </c>
      <c r="D481" t="s">
        <v>35</v>
      </c>
      <c r="E481" s="6">
        <v>46057.5625</v>
      </c>
      <c r="F481" s="6">
        <v>46057.572916666664</v>
      </c>
      <c r="G481" s="6">
        <v>46057.59375</v>
      </c>
      <c r="H481" s="6">
        <v>46057.724305555559</v>
      </c>
      <c r="I481" s="6">
        <v>46057.743055555555</v>
      </c>
      <c r="J481" s="6">
        <v>46057.746527777781</v>
      </c>
      <c r="K481">
        <v>4.42</v>
      </c>
      <c r="L481" s="6">
        <v>46057.753472222219</v>
      </c>
      <c r="M481" s="7">
        <f>F481-E481</f>
        <v>1.0416666664241347E-2</v>
      </c>
      <c r="N481">
        <f>HOUR(M481)</f>
        <v>0</v>
      </c>
      <c r="O481">
        <f>MINUTE(M481)</f>
        <v>15</v>
      </c>
      <c r="P481">
        <f>N481*60+O481</f>
        <v>15</v>
      </c>
      <c r="Q481" s="7">
        <f>G481-F481</f>
        <v>2.0833333335758653E-2</v>
      </c>
      <c r="R481">
        <f>HOUR(Q481)</f>
        <v>0</v>
      </c>
      <c r="S481">
        <f>MINUTE(Q481)</f>
        <v>30</v>
      </c>
      <c r="T481">
        <f>R481*60+S481</f>
        <v>30</v>
      </c>
      <c r="U481" s="7">
        <f>H481-G481</f>
        <v>0.13055555555911269</v>
      </c>
      <c r="V481">
        <f>HOUR(U481)</f>
        <v>3</v>
      </c>
      <c r="W481">
        <f>MINUTE(U481)</f>
        <v>8</v>
      </c>
      <c r="X481">
        <f>V481*60+W481</f>
        <v>188</v>
      </c>
      <c r="Y481" s="7">
        <f>I481-H481</f>
        <v>1.8749999995634425E-2</v>
      </c>
      <c r="Z481">
        <f>HOUR(Y481)</f>
        <v>0</v>
      </c>
      <c r="AA481">
        <f>MINUTE(Y481)</f>
        <v>27</v>
      </c>
      <c r="AB481">
        <f>Z481*60+AA481</f>
        <v>27</v>
      </c>
    </row>
    <row r="482" spans="1:28" x14ac:dyDescent="0.25">
      <c r="A482">
        <v>480</v>
      </c>
      <c r="B482" t="s">
        <v>33</v>
      </c>
      <c r="C482">
        <v>1</v>
      </c>
      <c r="D482" t="s">
        <v>36</v>
      </c>
      <c r="E482" s="6">
        <v>46057.572916666664</v>
      </c>
      <c r="F482" s="6">
        <v>46057.701388888891</v>
      </c>
      <c r="G482" s="6">
        <v>46057.708333333336</v>
      </c>
      <c r="H482" s="6">
        <v>46057.756944444445</v>
      </c>
      <c r="I482" s="6">
        <v>46057.777777777781</v>
      </c>
      <c r="J482" s="6">
        <v>46057.784722222219</v>
      </c>
      <c r="K482">
        <v>5.08</v>
      </c>
      <c r="L482" s="6">
        <v>46057.791666666664</v>
      </c>
      <c r="M482" s="7">
        <f>F482-E482</f>
        <v>0.12847222222626442</v>
      </c>
      <c r="N482">
        <f>HOUR(M482)</f>
        <v>3</v>
      </c>
      <c r="O482">
        <f>MINUTE(M482)</f>
        <v>5</v>
      </c>
      <c r="P482">
        <f>N482*60+O482</f>
        <v>185</v>
      </c>
      <c r="Q482" s="7">
        <f>G482-F482</f>
        <v>6.9444444452528842E-3</v>
      </c>
      <c r="R482">
        <f>HOUR(Q482)</f>
        <v>0</v>
      </c>
      <c r="S482">
        <f>MINUTE(Q482)</f>
        <v>10</v>
      </c>
      <c r="T482">
        <f>R482*60+S482</f>
        <v>10</v>
      </c>
      <c r="U482" s="7">
        <f>H482-G482</f>
        <v>4.8611111109494232E-2</v>
      </c>
      <c r="V482">
        <f>HOUR(U482)</f>
        <v>1</v>
      </c>
      <c r="W482">
        <f>MINUTE(U482)</f>
        <v>10</v>
      </c>
      <c r="X482">
        <f>V482*60+W482</f>
        <v>70</v>
      </c>
      <c r="Y482" s="7">
        <f>I482-H482</f>
        <v>2.0833333335758653E-2</v>
      </c>
      <c r="Z482">
        <f>HOUR(Y482)</f>
        <v>0</v>
      </c>
      <c r="AA482">
        <f>MINUTE(Y482)</f>
        <v>30</v>
      </c>
      <c r="AB482">
        <f>Z482*60+AA482</f>
        <v>30</v>
      </c>
    </row>
    <row r="483" spans="1:28" x14ac:dyDescent="0.25">
      <c r="A483">
        <v>481</v>
      </c>
      <c r="B483" t="s">
        <v>33</v>
      </c>
      <c r="C483">
        <v>1</v>
      </c>
      <c r="D483" t="s">
        <v>32</v>
      </c>
      <c r="E483" s="6">
        <v>46057.326388888891</v>
      </c>
      <c r="F483" s="6">
        <v>46057.333333333336</v>
      </c>
      <c r="G483" s="6">
        <v>46057.354166666664</v>
      </c>
      <c r="H483" s="6">
        <v>46057.515277777777</v>
      </c>
      <c r="I483" s="6">
        <v>46057.522222222222</v>
      </c>
      <c r="J483" s="6">
        <v>46057.534722222219</v>
      </c>
      <c r="K483">
        <v>5</v>
      </c>
      <c r="L483" s="6">
        <v>46057.541666666664</v>
      </c>
      <c r="M483" s="7">
        <f>F483-E483</f>
        <v>6.9444444452528842E-3</v>
      </c>
      <c r="N483">
        <f>HOUR(M483)</f>
        <v>0</v>
      </c>
      <c r="O483">
        <f>MINUTE(M483)</f>
        <v>10</v>
      </c>
      <c r="P483">
        <f>N483*60+O483</f>
        <v>10</v>
      </c>
      <c r="Q483" s="7">
        <f>G483-F483</f>
        <v>2.0833333328482695E-2</v>
      </c>
      <c r="R483">
        <f>HOUR(Q483)</f>
        <v>0</v>
      </c>
      <c r="S483">
        <f>MINUTE(Q483)</f>
        <v>30</v>
      </c>
      <c r="T483">
        <f>R483*60+S483</f>
        <v>30</v>
      </c>
      <c r="U483" s="7">
        <f>H483-G483</f>
        <v>0.16111111111240461</v>
      </c>
      <c r="V483">
        <f>HOUR(U483)</f>
        <v>3</v>
      </c>
      <c r="W483">
        <f>MINUTE(U483)</f>
        <v>52</v>
      </c>
      <c r="X483">
        <f>V483*60+W483</f>
        <v>232</v>
      </c>
      <c r="Y483" s="7">
        <f>I483-H483</f>
        <v>6.9444444452528842E-3</v>
      </c>
      <c r="Z483">
        <f>HOUR(Y483)</f>
        <v>0</v>
      </c>
      <c r="AA483">
        <f>MINUTE(Y483)</f>
        <v>10</v>
      </c>
      <c r="AB483">
        <f>Z483*60+AA483</f>
        <v>10</v>
      </c>
    </row>
    <row r="484" spans="1:28" x14ac:dyDescent="0.25">
      <c r="A484">
        <v>482</v>
      </c>
      <c r="B484" t="s">
        <v>33</v>
      </c>
      <c r="C484">
        <v>1</v>
      </c>
      <c r="D484" t="s">
        <v>35</v>
      </c>
      <c r="E484" s="6">
        <v>46057.451388888891</v>
      </c>
      <c r="F484" s="6">
        <v>46057.458333333336</v>
      </c>
      <c r="G484" s="6">
        <v>46057.465277777781</v>
      </c>
      <c r="H484" s="6">
        <v>46057.49722222222</v>
      </c>
      <c r="I484" s="6">
        <v>46057.504166666666</v>
      </c>
      <c r="J484" s="6">
        <v>46057.506944444445</v>
      </c>
      <c r="K484">
        <v>1.33</v>
      </c>
      <c r="L484" s="6">
        <v>46057.513888888891</v>
      </c>
      <c r="M484" s="7">
        <f>F484-E484</f>
        <v>6.9444444452528842E-3</v>
      </c>
      <c r="N484">
        <f>HOUR(M484)</f>
        <v>0</v>
      </c>
      <c r="O484">
        <f>MINUTE(M484)</f>
        <v>10</v>
      </c>
      <c r="P484">
        <f>N484*60+O484</f>
        <v>10</v>
      </c>
      <c r="Q484" s="7">
        <f>G484-F484</f>
        <v>6.9444444452528842E-3</v>
      </c>
      <c r="R484">
        <f>HOUR(Q484)</f>
        <v>0</v>
      </c>
      <c r="S484">
        <f>MINUTE(Q484)</f>
        <v>10</v>
      </c>
      <c r="T484">
        <f>R484*60+S484</f>
        <v>10</v>
      </c>
      <c r="U484" s="7">
        <f>H484-G484</f>
        <v>3.1944444439432118E-2</v>
      </c>
      <c r="V484">
        <f>HOUR(U484)</f>
        <v>0</v>
      </c>
      <c r="W484">
        <f>MINUTE(U484)</f>
        <v>46</v>
      </c>
      <c r="X484">
        <f>V484*60+W484</f>
        <v>46</v>
      </c>
      <c r="Y484" s="7">
        <f>I484-H484</f>
        <v>6.9444444452528842E-3</v>
      </c>
      <c r="Z484">
        <f>HOUR(Y484)</f>
        <v>0</v>
      </c>
      <c r="AA484">
        <f>MINUTE(Y484)</f>
        <v>10</v>
      </c>
      <c r="AB484">
        <f>Z484*60+AA484</f>
        <v>10</v>
      </c>
    </row>
    <row r="485" spans="1:28" x14ac:dyDescent="0.25">
      <c r="A485">
        <v>483</v>
      </c>
      <c r="B485" t="s">
        <v>33</v>
      </c>
      <c r="C485">
        <v>1</v>
      </c>
      <c r="D485" t="s">
        <v>32</v>
      </c>
      <c r="E485" s="6">
        <v>46057.482638888891</v>
      </c>
      <c r="F485" s="6">
        <v>46057.506944444445</v>
      </c>
      <c r="G485" s="6">
        <v>46057.524305555555</v>
      </c>
      <c r="H485" s="6">
        <v>46057.548611111109</v>
      </c>
      <c r="I485" s="6">
        <v>46057.552083333336</v>
      </c>
      <c r="J485" s="6">
        <v>46057.555555555555</v>
      </c>
      <c r="K485">
        <v>1.75</v>
      </c>
      <c r="L485" s="6">
        <v>46057.556250000001</v>
      </c>
      <c r="M485" s="7">
        <f>F485-E485</f>
        <v>2.4305555554747116E-2</v>
      </c>
      <c r="N485">
        <f>HOUR(M485)</f>
        <v>0</v>
      </c>
      <c r="O485">
        <f>MINUTE(M485)</f>
        <v>35</v>
      </c>
      <c r="P485">
        <f>N485*60+O485</f>
        <v>35</v>
      </c>
      <c r="Q485" s="7">
        <f>G485-F485</f>
        <v>1.7361111109494232E-2</v>
      </c>
      <c r="R485">
        <f>HOUR(Q485)</f>
        <v>0</v>
      </c>
      <c r="S485">
        <f>MINUTE(Q485)</f>
        <v>25</v>
      </c>
      <c r="T485">
        <f>R485*60+S485</f>
        <v>25</v>
      </c>
      <c r="U485" s="7">
        <f>H485-G485</f>
        <v>2.4305555554747116E-2</v>
      </c>
      <c r="V485">
        <f>HOUR(U485)</f>
        <v>0</v>
      </c>
      <c r="W485">
        <f>MINUTE(U485)</f>
        <v>35</v>
      </c>
      <c r="X485">
        <f>V485*60+W485</f>
        <v>35</v>
      </c>
      <c r="Y485" s="7">
        <f>I485-H485</f>
        <v>3.4722222262644209E-3</v>
      </c>
      <c r="Z485">
        <f>HOUR(Y485)</f>
        <v>0</v>
      </c>
      <c r="AA485">
        <f>MINUTE(Y485)</f>
        <v>5</v>
      </c>
      <c r="AB485">
        <f>Z485*60+AA485</f>
        <v>5</v>
      </c>
    </row>
    <row r="486" spans="1:28" x14ac:dyDescent="0.25">
      <c r="A486">
        <v>484</v>
      </c>
      <c r="B486" t="s">
        <v>31</v>
      </c>
      <c r="C486">
        <v>1</v>
      </c>
      <c r="D486" t="s">
        <v>30</v>
      </c>
      <c r="E486" s="6">
        <v>46057.291666666664</v>
      </c>
      <c r="F486" s="6">
        <v>46057.340277777781</v>
      </c>
      <c r="G486" s="6">
        <v>46057.361111111109</v>
      </c>
      <c r="H486" s="6">
        <v>46057.402777777781</v>
      </c>
      <c r="I486" s="6">
        <v>46057.409722222219</v>
      </c>
      <c r="J486" s="6">
        <v>46057.413194444445</v>
      </c>
      <c r="K486">
        <v>2.92</v>
      </c>
      <c r="L486" s="6">
        <v>46057.420138888891</v>
      </c>
      <c r="M486" s="7">
        <f>F486-E486</f>
        <v>4.8611111116770189E-2</v>
      </c>
      <c r="N486">
        <f>HOUR(M486)</f>
        <v>1</v>
      </c>
      <c r="O486">
        <f>MINUTE(M486)</f>
        <v>10</v>
      </c>
      <c r="P486">
        <f>N486*60+O486</f>
        <v>70</v>
      </c>
      <c r="Q486" s="7">
        <f>G486-F486</f>
        <v>2.0833333328482695E-2</v>
      </c>
      <c r="R486">
        <f>HOUR(Q486)</f>
        <v>0</v>
      </c>
      <c r="S486">
        <f>MINUTE(Q486)</f>
        <v>30</v>
      </c>
      <c r="T486">
        <f>R486*60+S486</f>
        <v>30</v>
      </c>
      <c r="U486" s="7">
        <f>H486-G486</f>
        <v>4.1666666671517305E-2</v>
      </c>
      <c r="V486">
        <f>HOUR(U486)</f>
        <v>1</v>
      </c>
      <c r="W486">
        <f>MINUTE(U486)</f>
        <v>0</v>
      </c>
      <c r="X486">
        <f>V486*60+W486</f>
        <v>60</v>
      </c>
      <c r="Y486" s="7">
        <f>I486-H486</f>
        <v>6.9444444379769266E-3</v>
      </c>
      <c r="Z486">
        <f>HOUR(Y486)</f>
        <v>0</v>
      </c>
      <c r="AA486">
        <f>MINUTE(Y486)</f>
        <v>10</v>
      </c>
      <c r="AB486">
        <f>Z486*60+AA486</f>
        <v>10</v>
      </c>
    </row>
    <row r="487" spans="1:28" x14ac:dyDescent="0.25">
      <c r="A487">
        <v>485</v>
      </c>
      <c r="B487" t="s">
        <v>33</v>
      </c>
      <c r="C487">
        <v>1</v>
      </c>
      <c r="D487" t="s">
        <v>30</v>
      </c>
      <c r="E487" s="6">
        <v>46057.604166666664</v>
      </c>
      <c r="F487" s="6">
        <v>46057.614583333336</v>
      </c>
      <c r="G487" s="6">
        <v>46057.625</v>
      </c>
      <c r="H487" s="6">
        <v>46057.642361111109</v>
      </c>
      <c r="I487" s="6">
        <v>46057.649305555555</v>
      </c>
      <c r="J487" s="6">
        <v>46057.650694444441</v>
      </c>
      <c r="K487">
        <v>1.1200000000000001</v>
      </c>
      <c r="L487" s="6">
        <v>46057.652083333334</v>
      </c>
      <c r="M487" s="7">
        <f>F487-E487</f>
        <v>1.0416666671517305E-2</v>
      </c>
      <c r="N487">
        <f>HOUR(M487)</f>
        <v>0</v>
      </c>
      <c r="O487">
        <f>MINUTE(M487)</f>
        <v>15</v>
      </c>
      <c r="P487">
        <f>N487*60+O487</f>
        <v>15</v>
      </c>
      <c r="Q487" s="7">
        <f>G487-F487</f>
        <v>1.0416666664241347E-2</v>
      </c>
      <c r="R487">
        <f>HOUR(Q487)</f>
        <v>0</v>
      </c>
      <c r="S487">
        <f>MINUTE(Q487)</f>
        <v>15</v>
      </c>
      <c r="T487">
        <f>R487*60+S487</f>
        <v>15</v>
      </c>
      <c r="U487" s="7">
        <f>H487-G487</f>
        <v>1.7361111109494232E-2</v>
      </c>
      <c r="V487">
        <f>HOUR(U487)</f>
        <v>0</v>
      </c>
      <c r="W487">
        <f>MINUTE(U487)</f>
        <v>25</v>
      </c>
      <c r="X487">
        <f>V487*60+W487</f>
        <v>25</v>
      </c>
      <c r="Y487" s="7">
        <f>I487-H487</f>
        <v>6.9444444452528842E-3</v>
      </c>
      <c r="Z487">
        <f>HOUR(Y487)</f>
        <v>0</v>
      </c>
      <c r="AA487">
        <f>MINUTE(Y487)</f>
        <v>10</v>
      </c>
      <c r="AB487">
        <f>Z487*60+AA487</f>
        <v>10</v>
      </c>
    </row>
    <row r="488" spans="1:28" x14ac:dyDescent="0.25">
      <c r="A488">
        <v>486</v>
      </c>
      <c r="B488" t="s">
        <v>29</v>
      </c>
      <c r="C488">
        <v>1</v>
      </c>
      <c r="D488" t="s">
        <v>36</v>
      </c>
      <c r="E488" s="6">
        <v>46058.319444444445</v>
      </c>
      <c r="F488" s="6">
        <v>46058.322916666664</v>
      </c>
      <c r="G488" s="6">
        <v>46058.326388888891</v>
      </c>
      <c r="H488" s="6">
        <v>46058.357638888891</v>
      </c>
      <c r="I488" s="6">
        <v>46058.364583333336</v>
      </c>
      <c r="J488" s="6">
        <v>46058.368055555555</v>
      </c>
      <c r="K488">
        <v>1.17</v>
      </c>
      <c r="L488" s="6">
        <v>46058.371527777781</v>
      </c>
      <c r="M488" s="7">
        <f>F488-E488</f>
        <v>3.4722222189884633E-3</v>
      </c>
      <c r="N488">
        <f>HOUR(M488)</f>
        <v>0</v>
      </c>
      <c r="O488">
        <f>MINUTE(M488)</f>
        <v>5</v>
      </c>
      <c r="P488">
        <f>N488*60+O488</f>
        <v>5</v>
      </c>
      <c r="Q488" s="7">
        <f>G488-F488</f>
        <v>3.4722222262644209E-3</v>
      </c>
      <c r="R488">
        <f>HOUR(Q488)</f>
        <v>0</v>
      </c>
      <c r="S488">
        <f>MINUTE(Q488)</f>
        <v>5</v>
      </c>
      <c r="T488">
        <f>R488*60+S488</f>
        <v>5</v>
      </c>
      <c r="U488" s="7">
        <f>H488-G488</f>
        <v>3.125E-2</v>
      </c>
      <c r="V488">
        <f>HOUR(U488)</f>
        <v>0</v>
      </c>
      <c r="W488">
        <f>MINUTE(U488)</f>
        <v>45</v>
      </c>
      <c r="X488">
        <f>V488*60+W488</f>
        <v>45</v>
      </c>
      <c r="Y488" s="7">
        <f>I488-H488</f>
        <v>6.9444444452528842E-3</v>
      </c>
      <c r="Z488">
        <f>HOUR(Y488)</f>
        <v>0</v>
      </c>
      <c r="AA488">
        <f>MINUTE(Y488)</f>
        <v>10</v>
      </c>
      <c r="AB488">
        <f>Z488*60+AA488</f>
        <v>10</v>
      </c>
    </row>
    <row r="489" spans="1:28" x14ac:dyDescent="0.25">
      <c r="A489">
        <v>487</v>
      </c>
      <c r="B489" t="s">
        <v>31</v>
      </c>
      <c r="C489">
        <v>1</v>
      </c>
      <c r="D489" t="s">
        <v>30</v>
      </c>
      <c r="E489" s="6">
        <v>46057.291666666664</v>
      </c>
      <c r="F489" s="6">
        <v>46057.322916666664</v>
      </c>
      <c r="G489" s="6">
        <v>46057.347222222219</v>
      </c>
      <c r="H489" s="6">
        <v>46057.427083333336</v>
      </c>
      <c r="I489" s="6">
        <v>46057.434027777781</v>
      </c>
      <c r="J489" s="6">
        <v>46057.4375</v>
      </c>
      <c r="K489">
        <v>3.5</v>
      </c>
      <c r="L489" s="6">
        <v>46057.444444444445</v>
      </c>
      <c r="M489" s="7">
        <f>F489-E489</f>
        <v>3.125E-2</v>
      </c>
      <c r="N489">
        <f>HOUR(M489)</f>
        <v>0</v>
      </c>
      <c r="O489">
        <f>MINUTE(M489)</f>
        <v>45</v>
      </c>
      <c r="P489">
        <f>N489*60+O489</f>
        <v>45</v>
      </c>
      <c r="Q489" s="7">
        <f>G489-F489</f>
        <v>2.4305555554747116E-2</v>
      </c>
      <c r="R489">
        <f>HOUR(Q489)</f>
        <v>0</v>
      </c>
      <c r="S489">
        <f>MINUTE(Q489)</f>
        <v>35</v>
      </c>
      <c r="T489">
        <f>R489*60+S489</f>
        <v>35</v>
      </c>
      <c r="U489" s="7">
        <f>H489-G489</f>
        <v>7.9861111116770189E-2</v>
      </c>
      <c r="V489">
        <f>HOUR(U489)</f>
        <v>1</v>
      </c>
      <c r="W489">
        <f>MINUTE(U489)</f>
        <v>55</v>
      </c>
      <c r="X489">
        <f>V489*60+W489</f>
        <v>115</v>
      </c>
      <c r="Y489" s="7">
        <f>I489-H489</f>
        <v>6.9444444452528842E-3</v>
      </c>
      <c r="Z489">
        <f>HOUR(Y489)</f>
        <v>0</v>
      </c>
      <c r="AA489">
        <f>MINUTE(Y489)</f>
        <v>10</v>
      </c>
      <c r="AB489">
        <f>Z489*60+AA489</f>
        <v>10</v>
      </c>
    </row>
    <row r="490" spans="1:28" x14ac:dyDescent="0.25">
      <c r="A490">
        <v>488</v>
      </c>
      <c r="B490" t="s">
        <v>33</v>
      </c>
      <c r="C490">
        <v>1</v>
      </c>
      <c r="D490" t="s">
        <v>36</v>
      </c>
      <c r="E490" s="6">
        <v>46057.29583333333</v>
      </c>
      <c r="F490" s="6">
        <v>46057.333333333336</v>
      </c>
      <c r="G490" s="6">
        <v>46057.361111111109</v>
      </c>
      <c r="H490" s="6">
        <v>46057.438194444447</v>
      </c>
      <c r="I490" s="6">
        <v>46057.440972222219</v>
      </c>
      <c r="J490" s="6">
        <v>46057.444444444445</v>
      </c>
      <c r="K490">
        <v>3.57</v>
      </c>
      <c r="L490" s="6">
        <v>46057.451388888891</v>
      </c>
      <c r="M490" s="7">
        <f>F490-E490</f>
        <v>3.7500000005820766E-2</v>
      </c>
      <c r="N490">
        <f>HOUR(M490)</f>
        <v>0</v>
      </c>
      <c r="O490">
        <f>MINUTE(M490)</f>
        <v>54</v>
      </c>
      <c r="P490">
        <f>N490*60+O490</f>
        <v>54</v>
      </c>
      <c r="Q490" s="7">
        <f>G490-F490</f>
        <v>2.7777777773735579E-2</v>
      </c>
      <c r="R490">
        <f>HOUR(Q490)</f>
        <v>0</v>
      </c>
      <c r="S490">
        <f>MINUTE(Q490)</f>
        <v>40</v>
      </c>
      <c r="T490">
        <f>R490*60+S490</f>
        <v>40</v>
      </c>
      <c r="U490" s="7">
        <f>H490-G490</f>
        <v>7.7083333337213844E-2</v>
      </c>
      <c r="V490">
        <f>HOUR(U490)</f>
        <v>1</v>
      </c>
      <c r="W490">
        <f>MINUTE(U490)</f>
        <v>51</v>
      </c>
      <c r="X490">
        <f>V490*60+W490</f>
        <v>111</v>
      </c>
      <c r="Y490" s="7">
        <f>I490-H490</f>
        <v>2.7777777722803876E-3</v>
      </c>
      <c r="Z490">
        <f>HOUR(Y490)</f>
        <v>0</v>
      </c>
      <c r="AA490">
        <f>MINUTE(Y490)</f>
        <v>4</v>
      </c>
      <c r="AB490">
        <f>Z490*60+AA490</f>
        <v>4</v>
      </c>
    </row>
    <row r="491" spans="1:28" x14ac:dyDescent="0.25">
      <c r="A491">
        <v>489</v>
      </c>
      <c r="B491" t="s">
        <v>33</v>
      </c>
      <c r="C491">
        <v>1</v>
      </c>
      <c r="D491" t="s">
        <v>30</v>
      </c>
      <c r="E491" s="6">
        <v>46065.590277777781</v>
      </c>
      <c r="F491" s="6">
        <v>46065.597222222219</v>
      </c>
      <c r="G491" s="6">
        <v>46065.631944444445</v>
      </c>
      <c r="H491" s="6">
        <v>46065.819444444445</v>
      </c>
      <c r="I491" s="6">
        <v>46065.826388888891</v>
      </c>
      <c r="J491" s="6">
        <v>46065.829861111109</v>
      </c>
      <c r="K491">
        <v>5.75</v>
      </c>
      <c r="L491" s="6">
        <v>46065.836805555555</v>
      </c>
      <c r="M491" s="7">
        <f>F491-E491</f>
        <v>6.9444444379769266E-3</v>
      </c>
      <c r="N491">
        <f>HOUR(M491)</f>
        <v>0</v>
      </c>
      <c r="O491">
        <f>MINUTE(M491)</f>
        <v>10</v>
      </c>
      <c r="P491">
        <f>N491*60+O491</f>
        <v>10</v>
      </c>
      <c r="Q491" s="7">
        <f>G491-F491</f>
        <v>3.4722222226264421E-2</v>
      </c>
      <c r="R491">
        <f>HOUR(Q491)</f>
        <v>0</v>
      </c>
      <c r="S491">
        <f>MINUTE(Q491)</f>
        <v>50</v>
      </c>
      <c r="T491">
        <f>R491*60+S491</f>
        <v>50</v>
      </c>
      <c r="U491" s="7">
        <f>H491-G491</f>
        <v>0.1875</v>
      </c>
      <c r="V491">
        <f>HOUR(U491)</f>
        <v>4</v>
      </c>
      <c r="W491">
        <f>MINUTE(U491)</f>
        <v>30</v>
      </c>
      <c r="X491">
        <f>V491*60+W491</f>
        <v>270</v>
      </c>
      <c r="Y491" s="7">
        <f>I491-H491</f>
        <v>6.9444444452528842E-3</v>
      </c>
      <c r="Z491">
        <f>HOUR(Y491)</f>
        <v>0</v>
      </c>
      <c r="AA491">
        <f>MINUTE(Y491)</f>
        <v>10</v>
      </c>
      <c r="AB491">
        <f>Z491*60+AA491</f>
        <v>10</v>
      </c>
    </row>
    <row r="492" spans="1:28" x14ac:dyDescent="0.25">
      <c r="A492">
        <v>490</v>
      </c>
      <c r="B492" t="s">
        <v>29</v>
      </c>
      <c r="C492">
        <v>1</v>
      </c>
      <c r="D492" t="s">
        <v>35</v>
      </c>
      <c r="E492" s="6">
        <v>46057.465277777781</v>
      </c>
      <c r="F492" s="6">
        <v>46057.472222222219</v>
      </c>
      <c r="G492" s="6">
        <v>46057.479166666664</v>
      </c>
      <c r="H492" s="6">
        <v>46057.486111111109</v>
      </c>
      <c r="I492" s="6">
        <v>46057.486805555556</v>
      </c>
      <c r="J492" s="6">
        <v>46057.487500000003</v>
      </c>
      <c r="K492">
        <v>0.53</v>
      </c>
      <c r="L492" s="6">
        <v>46057.494444444441</v>
      </c>
      <c r="M492" s="7">
        <f>F492-E492</f>
        <v>6.9444444379769266E-3</v>
      </c>
      <c r="N492">
        <f>HOUR(M492)</f>
        <v>0</v>
      </c>
      <c r="O492">
        <f>MINUTE(M492)</f>
        <v>10</v>
      </c>
      <c r="P492">
        <f>N492*60+O492</f>
        <v>10</v>
      </c>
      <c r="Q492" s="7">
        <f>G492-F492</f>
        <v>6.9444444452528842E-3</v>
      </c>
      <c r="R492">
        <f>HOUR(Q492)</f>
        <v>0</v>
      </c>
      <c r="S492">
        <f>MINUTE(Q492)</f>
        <v>10</v>
      </c>
      <c r="T492">
        <f>R492*60+S492</f>
        <v>10</v>
      </c>
      <c r="U492" s="7">
        <f>H492-G492</f>
        <v>6.9444444452528842E-3</v>
      </c>
      <c r="V492">
        <f>HOUR(U492)</f>
        <v>0</v>
      </c>
      <c r="W492">
        <f>MINUTE(U492)</f>
        <v>10</v>
      </c>
      <c r="X492">
        <f>V492*60+W492</f>
        <v>10</v>
      </c>
      <c r="Y492" s="7">
        <f>I492-H492</f>
        <v>6.944444467080757E-4</v>
      </c>
      <c r="Z492">
        <f>HOUR(Y492)</f>
        <v>0</v>
      </c>
      <c r="AA492">
        <f>MINUTE(Y492)</f>
        <v>1</v>
      </c>
      <c r="AB492">
        <f>Z492*60+AA492</f>
        <v>1</v>
      </c>
    </row>
    <row r="493" spans="1:28" x14ac:dyDescent="0.25">
      <c r="A493">
        <v>491</v>
      </c>
      <c r="B493" t="s">
        <v>29</v>
      </c>
      <c r="C493">
        <v>1</v>
      </c>
      <c r="D493" t="s">
        <v>30</v>
      </c>
      <c r="E493" s="6">
        <v>46056.909722222219</v>
      </c>
      <c r="F493" s="6">
        <v>46056.916666666664</v>
      </c>
      <c r="G493" s="6">
        <v>46056.927083333336</v>
      </c>
      <c r="H493" s="6">
        <v>46056.9375</v>
      </c>
      <c r="I493" s="6">
        <v>46057.045138888891</v>
      </c>
      <c r="J493" s="6">
        <v>46057.048611111109</v>
      </c>
      <c r="K493">
        <v>3.33</v>
      </c>
      <c r="L493" s="6">
        <v>46057.055555555555</v>
      </c>
      <c r="M493" s="7">
        <f>F493-E493</f>
        <v>6.9444444452528842E-3</v>
      </c>
      <c r="N493">
        <f>HOUR(M493)</f>
        <v>0</v>
      </c>
      <c r="O493">
        <f>MINUTE(M493)</f>
        <v>10</v>
      </c>
      <c r="P493">
        <f>N493*60+O493</f>
        <v>10</v>
      </c>
      <c r="Q493" s="7">
        <f>G493-F493</f>
        <v>1.0416666671517305E-2</v>
      </c>
      <c r="R493">
        <f>HOUR(Q493)</f>
        <v>0</v>
      </c>
      <c r="S493">
        <f>MINUTE(Q493)</f>
        <v>15</v>
      </c>
      <c r="T493">
        <f>R493*60+S493</f>
        <v>15</v>
      </c>
      <c r="U493" s="7">
        <f>H493-G493</f>
        <v>1.0416666664241347E-2</v>
      </c>
      <c r="V493">
        <f>HOUR(U493)</f>
        <v>0</v>
      </c>
      <c r="W493">
        <f>MINUTE(U493)</f>
        <v>15</v>
      </c>
      <c r="X493">
        <f>V493*60+W493</f>
        <v>15</v>
      </c>
      <c r="Y493" s="7">
        <f>I493-H493</f>
        <v>0.10763888889050577</v>
      </c>
      <c r="Z493">
        <f>HOUR(Y493)</f>
        <v>2</v>
      </c>
      <c r="AA493">
        <f>MINUTE(Y493)</f>
        <v>35</v>
      </c>
      <c r="AB493">
        <f>Z493*60+AA493</f>
        <v>155</v>
      </c>
    </row>
    <row r="494" spans="1:28" x14ac:dyDescent="0.25">
      <c r="A494">
        <v>492</v>
      </c>
      <c r="B494" t="s">
        <v>33</v>
      </c>
      <c r="C494">
        <v>1</v>
      </c>
      <c r="D494" t="s">
        <v>30</v>
      </c>
      <c r="E494" s="6">
        <v>46056.909722222219</v>
      </c>
      <c r="F494" s="6">
        <v>46056.916666666664</v>
      </c>
      <c r="G494" s="6">
        <v>46056.927083333336</v>
      </c>
      <c r="H494" s="6">
        <v>46056.9375</v>
      </c>
      <c r="I494" s="6">
        <v>46057.045138888891</v>
      </c>
      <c r="J494" s="6">
        <v>46057.048611111109</v>
      </c>
      <c r="K494">
        <v>3.33</v>
      </c>
      <c r="L494" s="6">
        <v>46057.055555555555</v>
      </c>
      <c r="M494" s="7">
        <f>F494-E494</f>
        <v>6.9444444452528842E-3</v>
      </c>
      <c r="N494">
        <f>HOUR(M494)</f>
        <v>0</v>
      </c>
      <c r="O494">
        <f>MINUTE(M494)</f>
        <v>10</v>
      </c>
      <c r="P494">
        <f>N494*60+O494</f>
        <v>10</v>
      </c>
      <c r="Q494" s="7">
        <f>G494-F494</f>
        <v>1.0416666671517305E-2</v>
      </c>
      <c r="R494">
        <f>HOUR(Q494)</f>
        <v>0</v>
      </c>
      <c r="S494">
        <f>MINUTE(Q494)</f>
        <v>15</v>
      </c>
      <c r="T494">
        <f>R494*60+S494</f>
        <v>15</v>
      </c>
      <c r="U494" s="7">
        <f>H494-G494</f>
        <v>1.0416666664241347E-2</v>
      </c>
      <c r="V494">
        <f>HOUR(U494)</f>
        <v>0</v>
      </c>
      <c r="W494">
        <f>MINUTE(U494)</f>
        <v>15</v>
      </c>
      <c r="X494">
        <f>V494*60+W494</f>
        <v>15</v>
      </c>
      <c r="Y494" s="7">
        <f>I494-H494</f>
        <v>0.10763888889050577</v>
      </c>
      <c r="Z494">
        <f>HOUR(Y494)</f>
        <v>2</v>
      </c>
      <c r="AA494">
        <f>MINUTE(Y494)</f>
        <v>35</v>
      </c>
      <c r="AB494">
        <f>Z494*60+AA494</f>
        <v>155</v>
      </c>
    </row>
    <row r="495" spans="1:28" x14ac:dyDescent="0.25">
      <c r="A495">
        <v>493</v>
      </c>
      <c r="B495" t="s">
        <v>29</v>
      </c>
      <c r="C495">
        <v>1</v>
      </c>
      <c r="D495" t="s">
        <v>30</v>
      </c>
      <c r="E495" s="6">
        <v>46056.956944444442</v>
      </c>
      <c r="F495" s="6">
        <v>46056.958333333336</v>
      </c>
      <c r="G495" s="6">
        <v>46056.961805555555</v>
      </c>
      <c r="H495" s="6">
        <v>46056.975694444445</v>
      </c>
      <c r="I495" s="6">
        <v>46056.979166666664</v>
      </c>
      <c r="J495" s="6">
        <v>46056.980555555558</v>
      </c>
      <c r="K495">
        <v>0.56999999999999995</v>
      </c>
      <c r="L495" s="6">
        <v>46056.982638888891</v>
      </c>
      <c r="M495" s="7">
        <f>F495-E495</f>
        <v>1.3888888934161514E-3</v>
      </c>
      <c r="N495">
        <f>HOUR(M495)</f>
        <v>0</v>
      </c>
      <c r="O495">
        <f>MINUTE(M495)</f>
        <v>2</v>
      </c>
      <c r="P495">
        <f>N495*60+O495</f>
        <v>2</v>
      </c>
      <c r="Q495" s="7">
        <f>G495-F495</f>
        <v>3.4722222189884633E-3</v>
      </c>
      <c r="R495">
        <f>HOUR(Q495)</f>
        <v>0</v>
      </c>
      <c r="S495">
        <f>MINUTE(Q495)</f>
        <v>5</v>
      </c>
      <c r="T495">
        <f>R495*60+S495</f>
        <v>5</v>
      </c>
      <c r="U495" s="7">
        <f>H495-G495</f>
        <v>1.3888888890505768E-2</v>
      </c>
      <c r="V495">
        <f>HOUR(U495)</f>
        <v>0</v>
      </c>
      <c r="W495">
        <f>MINUTE(U495)</f>
        <v>20</v>
      </c>
      <c r="X495">
        <f>V495*60+W495</f>
        <v>20</v>
      </c>
      <c r="Y495" s="7">
        <f>I495-H495</f>
        <v>3.4722222189884633E-3</v>
      </c>
      <c r="Z495">
        <f>HOUR(Y495)</f>
        <v>0</v>
      </c>
      <c r="AA495">
        <f>MINUTE(Y495)</f>
        <v>5</v>
      </c>
      <c r="AB495">
        <f>Z495*60+AA495</f>
        <v>5</v>
      </c>
    </row>
    <row r="496" spans="1:28" x14ac:dyDescent="0.25">
      <c r="A496">
        <v>494</v>
      </c>
      <c r="B496" t="s">
        <v>31</v>
      </c>
      <c r="C496">
        <v>1</v>
      </c>
      <c r="D496" t="s">
        <v>30</v>
      </c>
      <c r="E496" s="6">
        <v>46057.45</v>
      </c>
      <c r="F496" s="6">
        <v>46057.451388888891</v>
      </c>
      <c r="G496" s="6">
        <v>46057.458333333336</v>
      </c>
      <c r="H496" s="6">
        <v>46057.50277777778</v>
      </c>
      <c r="I496" s="6">
        <v>46057.569444444445</v>
      </c>
      <c r="J496" s="6">
        <v>46057.572916666664</v>
      </c>
      <c r="K496">
        <v>2.95</v>
      </c>
      <c r="L496" s="6">
        <v>46057.576388888891</v>
      </c>
      <c r="M496" s="7">
        <f>F496-E496</f>
        <v>1.3888888934161514E-3</v>
      </c>
      <c r="N496">
        <f>HOUR(M496)</f>
        <v>0</v>
      </c>
      <c r="O496">
        <f>MINUTE(M496)</f>
        <v>2</v>
      </c>
      <c r="P496">
        <f>N496*60+O496</f>
        <v>2</v>
      </c>
      <c r="Q496" s="7">
        <f>G496-F496</f>
        <v>6.9444444452528842E-3</v>
      </c>
      <c r="R496">
        <f>HOUR(Q496)</f>
        <v>0</v>
      </c>
      <c r="S496">
        <f>MINUTE(Q496)</f>
        <v>10</v>
      </c>
      <c r="T496">
        <f>R496*60+S496</f>
        <v>10</v>
      </c>
      <c r="U496" s="7">
        <f>H496-G496</f>
        <v>4.4444444443797693E-2</v>
      </c>
      <c r="V496">
        <f>HOUR(U496)</f>
        <v>1</v>
      </c>
      <c r="W496">
        <f>MINUTE(U496)</f>
        <v>4</v>
      </c>
      <c r="X496">
        <f>V496*60+W496</f>
        <v>64</v>
      </c>
      <c r="Y496" s="7">
        <f>I496-H496</f>
        <v>6.6666666665696539E-2</v>
      </c>
      <c r="Z496">
        <f>HOUR(Y496)</f>
        <v>1</v>
      </c>
      <c r="AA496">
        <f>MINUTE(Y496)</f>
        <v>36</v>
      </c>
      <c r="AB496">
        <f>Z496*60+AA496</f>
        <v>96</v>
      </c>
    </row>
    <row r="497" spans="1:28" x14ac:dyDescent="0.25">
      <c r="A497">
        <v>495</v>
      </c>
      <c r="B497" t="s">
        <v>29</v>
      </c>
      <c r="C497">
        <v>1</v>
      </c>
      <c r="D497" t="s">
        <v>30</v>
      </c>
      <c r="E497" s="6">
        <v>46057.611111111109</v>
      </c>
      <c r="F497" s="6">
        <v>46057.625</v>
      </c>
      <c r="G497" s="6">
        <v>46057.638888888891</v>
      </c>
      <c r="H497" s="6">
        <v>46057.659722222219</v>
      </c>
      <c r="I497" s="6">
        <v>46057.660416666666</v>
      </c>
      <c r="J497" s="6">
        <v>46057.661111111112</v>
      </c>
      <c r="K497">
        <v>1.2</v>
      </c>
      <c r="L497" s="6">
        <v>46057.668055555558</v>
      </c>
      <c r="M497" s="7">
        <f>F497-E497</f>
        <v>1.3888888890505768E-2</v>
      </c>
      <c r="N497">
        <f>HOUR(M497)</f>
        <v>0</v>
      </c>
      <c r="O497">
        <f>MINUTE(M497)</f>
        <v>20</v>
      </c>
      <c r="P497">
        <f>N497*60+O497</f>
        <v>20</v>
      </c>
      <c r="Q497" s="7">
        <f>G497-F497</f>
        <v>1.3888888890505768E-2</v>
      </c>
      <c r="R497">
        <f>HOUR(Q497)</f>
        <v>0</v>
      </c>
      <c r="S497">
        <f>MINUTE(Q497)</f>
        <v>20</v>
      </c>
      <c r="T497">
        <f>R497*60+S497</f>
        <v>20</v>
      </c>
      <c r="U497" s="7">
        <f>H497-G497</f>
        <v>2.0833333328482695E-2</v>
      </c>
      <c r="V497">
        <f>HOUR(U497)</f>
        <v>0</v>
      </c>
      <c r="W497">
        <f>MINUTE(U497)</f>
        <v>30</v>
      </c>
      <c r="X497">
        <f>V497*60+W497</f>
        <v>30</v>
      </c>
      <c r="Y497" s="7">
        <f>I497-H497</f>
        <v>6.944444467080757E-4</v>
      </c>
      <c r="Z497">
        <f>HOUR(Y497)</f>
        <v>0</v>
      </c>
      <c r="AA497">
        <f>MINUTE(Y497)</f>
        <v>1</v>
      </c>
      <c r="AB497">
        <f>Z497*60+AA497</f>
        <v>1</v>
      </c>
    </row>
    <row r="498" spans="1:28" x14ac:dyDescent="0.25">
      <c r="A498">
        <v>496</v>
      </c>
      <c r="B498" t="s">
        <v>29</v>
      </c>
      <c r="C498">
        <v>1</v>
      </c>
      <c r="D498" t="s">
        <v>36</v>
      </c>
      <c r="E498" s="6">
        <v>46066.368055555555</v>
      </c>
      <c r="F498" s="6">
        <v>46066.385416666664</v>
      </c>
      <c r="G498" s="6">
        <v>46066.392361111109</v>
      </c>
      <c r="H498" s="6">
        <v>46066.402777777781</v>
      </c>
      <c r="I498" s="6">
        <v>46066.409722222219</v>
      </c>
      <c r="J498" s="6">
        <v>46066.416666666664</v>
      </c>
      <c r="K498">
        <v>1.17</v>
      </c>
      <c r="L498" s="6">
        <v>46066.423611111109</v>
      </c>
      <c r="M498" s="7">
        <f>F498-E498</f>
        <v>1.7361111109494232E-2</v>
      </c>
      <c r="N498">
        <f>HOUR(M498)</f>
        <v>0</v>
      </c>
      <c r="O498">
        <f>MINUTE(M498)</f>
        <v>25</v>
      </c>
      <c r="P498">
        <f>N498*60+O498</f>
        <v>25</v>
      </c>
      <c r="Q498" s="7">
        <f>G498-F498</f>
        <v>6.9444444452528842E-3</v>
      </c>
      <c r="R498">
        <f>HOUR(Q498)</f>
        <v>0</v>
      </c>
      <c r="S498">
        <f>MINUTE(Q498)</f>
        <v>10</v>
      </c>
      <c r="T498">
        <f>R498*60+S498</f>
        <v>10</v>
      </c>
      <c r="U498" s="7">
        <f>H498-G498</f>
        <v>1.0416666671517305E-2</v>
      </c>
      <c r="V498">
        <f>HOUR(U498)</f>
        <v>0</v>
      </c>
      <c r="W498">
        <f>MINUTE(U498)</f>
        <v>15</v>
      </c>
      <c r="X498">
        <f>V498*60+W498</f>
        <v>15</v>
      </c>
      <c r="Y498" s="7">
        <f>I498-H498</f>
        <v>6.9444444379769266E-3</v>
      </c>
      <c r="Z498">
        <f>HOUR(Y498)</f>
        <v>0</v>
      </c>
      <c r="AA498">
        <f>MINUTE(Y498)</f>
        <v>10</v>
      </c>
      <c r="AB498">
        <f>Z498*60+AA498</f>
        <v>10</v>
      </c>
    </row>
    <row r="499" spans="1:28" x14ac:dyDescent="0.25">
      <c r="A499">
        <v>497</v>
      </c>
      <c r="B499" t="s">
        <v>33</v>
      </c>
      <c r="C499">
        <v>1</v>
      </c>
      <c r="D499" t="s">
        <v>32</v>
      </c>
      <c r="E499" s="6">
        <v>46071.333333333336</v>
      </c>
      <c r="F499" s="6">
        <v>46071.34375</v>
      </c>
      <c r="G499" s="6">
        <v>46071.354166666664</v>
      </c>
      <c r="H499" s="6">
        <v>46071.416666666664</v>
      </c>
      <c r="I499" s="6">
        <v>46071.430555555555</v>
      </c>
      <c r="J499" s="6">
        <v>46071.434027777781</v>
      </c>
      <c r="K499">
        <v>2.42</v>
      </c>
      <c r="L499" s="6">
        <v>46071.435416666667</v>
      </c>
      <c r="M499" s="7">
        <f>F499-E499</f>
        <v>1.0416666664241347E-2</v>
      </c>
      <c r="N499">
        <f>HOUR(M499)</f>
        <v>0</v>
      </c>
      <c r="O499">
        <f>MINUTE(M499)</f>
        <v>15</v>
      </c>
      <c r="P499">
        <f>N499*60+O499</f>
        <v>15</v>
      </c>
      <c r="Q499" s="7">
        <f>G499-F499</f>
        <v>1.0416666664241347E-2</v>
      </c>
      <c r="R499">
        <f>HOUR(Q499)</f>
        <v>0</v>
      </c>
      <c r="S499">
        <f>MINUTE(Q499)</f>
        <v>15</v>
      </c>
      <c r="T499">
        <f>R499*60+S499</f>
        <v>15</v>
      </c>
      <c r="U499" s="7">
        <f>H499-G499</f>
        <v>6.25E-2</v>
      </c>
      <c r="V499">
        <f>HOUR(U499)</f>
        <v>1</v>
      </c>
      <c r="W499">
        <f>MINUTE(U499)</f>
        <v>30</v>
      </c>
      <c r="X499">
        <f>V499*60+W499</f>
        <v>90</v>
      </c>
      <c r="Y499" s="7">
        <f>I499-H499</f>
        <v>1.3888888890505768E-2</v>
      </c>
      <c r="Z499">
        <f>HOUR(Y499)</f>
        <v>0</v>
      </c>
      <c r="AA499">
        <f>MINUTE(Y499)</f>
        <v>20</v>
      </c>
      <c r="AB499">
        <f>Z499*60+AA499</f>
        <v>20</v>
      </c>
    </row>
    <row r="500" spans="1:28" x14ac:dyDescent="0.25">
      <c r="A500">
        <v>498</v>
      </c>
      <c r="B500" t="s">
        <v>31</v>
      </c>
      <c r="C500">
        <v>1</v>
      </c>
      <c r="D500" t="s">
        <v>35</v>
      </c>
      <c r="E500" s="6">
        <v>46058.291666666664</v>
      </c>
      <c r="F500" s="6">
        <v>46058.326388888891</v>
      </c>
      <c r="G500" s="6">
        <v>46058.347222222219</v>
      </c>
      <c r="H500" s="6">
        <v>46058.444444444445</v>
      </c>
      <c r="I500" s="6">
        <v>46058.458333333336</v>
      </c>
      <c r="J500" s="6">
        <v>46058.465277777781</v>
      </c>
      <c r="K500">
        <v>4.17</v>
      </c>
      <c r="L500" s="6">
        <v>46058.466666666667</v>
      </c>
      <c r="M500" s="7">
        <f>F500-E500</f>
        <v>3.4722222226264421E-2</v>
      </c>
      <c r="N500">
        <f>HOUR(M500)</f>
        <v>0</v>
      </c>
      <c r="O500">
        <f>MINUTE(M500)</f>
        <v>50</v>
      </c>
      <c r="P500">
        <f>N500*60+O500</f>
        <v>50</v>
      </c>
      <c r="Q500" s="7">
        <f>G500-F500</f>
        <v>2.0833333328482695E-2</v>
      </c>
      <c r="R500">
        <f>HOUR(Q500)</f>
        <v>0</v>
      </c>
      <c r="S500">
        <f>MINUTE(Q500)</f>
        <v>30</v>
      </c>
      <c r="T500">
        <f>R500*60+S500</f>
        <v>30</v>
      </c>
      <c r="U500" s="7">
        <f>H500-G500</f>
        <v>9.7222222226264421E-2</v>
      </c>
      <c r="V500">
        <f>HOUR(U500)</f>
        <v>2</v>
      </c>
      <c r="W500">
        <f>MINUTE(U500)</f>
        <v>20</v>
      </c>
      <c r="X500">
        <f>V500*60+W500</f>
        <v>140</v>
      </c>
      <c r="Y500" s="7">
        <f>I500-H500</f>
        <v>1.3888888890505768E-2</v>
      </c>
      <c r="Z500">
        <f>HOUR(Y500)</f>
        <v>0</v>
      </c>
      <c r="AA500">
        <f>MINUTE(Y500)</f>
        <v>20</v>
      </c>
      <c r="AB500">
        <f>Z500*60+AA500</f>
        <v>20</v>
      </c>
    </row>
    <row r="501" spans="1:28" x14ac:dyDescent="0.25">
      <c r="A501">
        <v>499</v>
      </c>
      <c r="B501" t="s">
        <v>33</v>
      </c>
      <c r="C501">
        <v>1</v>
      </c>
      <c r="D501" t="s">
        <v>34</v>
      </c>
      <c r="E501" s="6">
        <v>46058.298611111109</v>
      </c>
      <c r="F501" s="6">
        <v>46058.322916666664</v>
      </c>
      <c r="G501" s="6">
        <v>46058.326388888891</v>
      </c>
      <c r="H501" s="6">
        <v>46058.40625</v>
      </c>
      <c r="I501" s="6">
        <v>46058.413194444445</v>
      </c>
      <c r="J501" s="6">
        <v>46058.430555555555</v>
      </c>
      <c r="K501">
        <v>3.17</v>
      </c>
      <c r="L501" s="6">
        <v>46058.434027777781</v>
      </c>
      <c r="M501" s="7">
        <f>F501-E501</f>
        <v>2.4305555554747116E-2</v>
      </c>
      <c r="N501">
        <f>HOUR(M501)</f>
        <v>0</v>
      </c>
      <c r="O501">
        <f>MINUTE(M501)</f>
        <v>35</v>
      </c>
      <c r="P501">
        <f>N501*60+O501</f>
        <v>35</v>
      </c>
      <c r="Q501" s="7">
        <f>G501-F501</f>
        <v>3.4722222262644209E-3</v>
      </c>
      <c r="R501">
        <f>HOUR(Q501)</f>
        <v>0</v>
      </c>
      <c r="S501">
        <f>MINUTE(Q501)</f>
        <v>5</v>
      </c>
      <c r="T501">
        <f>R501*60+S501</f>
        <v>5</v>
      </c>
      <c r="U501" s="7">
        <f>H501-G501</f>
        <v>7.9861111109494232E-2</v>
      </c>
      <c r="V501">
        <f>HOUR(U501)</f>
        <v>1</v>
      </c>
      <c r="W501">
        <f>MINUTE(U501)</f>
        <v>55</v>
      </c>
      <c r="X501">
        <f>V501*60+W501</f>
        <v>115</v>
      </c>
      <c r="Y501" s="7">
        <f>I501-H501</f>
        <v>6.9444444452528842E-3</v>
      </c>
      <c r="Z501">
        <f>HOUR(Y501)</f>
        <v>0</v>
      </c>
      <c r="AA501">
        <f>MINUTE(Y501)</f>
        <v>10</v>
      </c>
      <c r="AB501">
        <f>Z501*60+AA501</f>
        <v>10</v>
      </c>
    </row>
    <row r="502" spans="1:28" x14ac:dyDescent="0.25">
      <c r="A502">
        <v>500</v>
      </c>
      <c r="B502" t="s">
        <v>29</v>
      </c>
      <c r="C502">
        <v>1</v>
      </c>
      <c r="D502" t="s">
        <v>35</v>
      </c>
      <c r="E502" s="6">
        <v>46058.486111111109</v>
      </c>
      <c r="F502" s="6">
        <v>46058.503472222219</v>
      </c>
      <c r="G502" s="6">
        <v>46058.53125</v>
      </c>
      <c r="H502" s="6">
        <v>46058.597222222219</v>
      </c>
      <c r="I502" s="6">
        <v>46058.614583333336</v>
      </c>
      <c r="J502" s="6">
        <v>46058.618055555555</v>
      </c>
      <c r="K502">
        <v>3.17</v>
      </c>
      <c r="L502" s="6">
        <v>46058.625</v>
      </c>
      <c r="M502" s="7">
        <f>F502-E502</f>
        <v>1.7361111109494232E-2</v>
      </c>
      <c r="N502">
        <f>HOUR(M502)</f>
        <v>0</v>
      </c>
      <c r="O502">
        <f>MINUTE(M502)</f>
        <v>25</v>
      </c>
      <c r="P502">
        <f>N502*60+O502</f>
        <v>25</v>
      </c>
      <c r="Q502" s="7">
        <f>G502-F502</f>
        <v>2.7777777781011537E-2</v>
      </c>
      <c r="R502">
        <f>HOUR(Q502)</f>
        <v>0</v>
      </c>
      <c r="S502">
        <f>MINUTE(Q502)</f>
        <v>40</v>
      </c>
      <c r="T502">
        <f>R502*60+S502</f>
        <v>40</v>
      </c>
      <c r="U502" s="7">
        <f>H502-G502</f>
        <v>6.5972222218988463E-2</v>
      </c>
      <c r="V502">
        <f>HOUR(U502)</f>
        <v>1</v>
      </c>
      <c r="W502">
        <f>MINUTE(U502)</f>
        <v>35</v>
      </c>
      <c r="X502">
        <f>V502*60+W502</f>
        <v>95</v>
      </c>
      <c r="Y502" s="7">
        <f>I502-H502</f>
        <v>1.7361111116770189E-2</v>
      </c>
      <c r="Z502">
        <f>HOUR(Y502)</f>
        <v>0</v>
      </c>
      <c r="AA502">
        <f>MINUTE(Y502)</f>
        <v>25</v>
      </c>
      <c r="AB502">
        <f>Z502*60+AA502</f>
        <v>25</v>
      </c>
    </row>
    <row r="503" spans="1:28" x14ac:dyDescent="0.25">
      <c r="A503">
        <v>501</v>
      </c>
      <c r="B503" t="s">
        <v>31</v>
      </c>
      <c r="C503">
        <v>1</v>
      </c>
      <c r="D503" t="s">
        <v>36</v>
      </c>
      <c r="E503" s="6">
        <v>46058.3125</v>
      </c>
      <c r="F503" s="6">
        <v>46058.322916666664</v>
      </c>
      <c r="G503" s="6">
        <v>46058.340277777781</v>
      </c>
      <c r="H503" s="6">
        <v>46058.423611111109</v>
      </c>
      <c r="I503" s="6">
        <v>46058.430555555555</v>
      </c>
      <c r="J503" s="6">
        <v>46058.434027777781</v>
      </c>
      <c r="K503">
        <v>2.92</v>
      </c>
      <c r="L503" s="6">
        <v>46058.440972222219</v>
      </c>
      <c r="M503" s="7">
        <f>F503-E503</f>
        <v>1.0416666664241347E-2</v>
      </c>
      <c r="N503">
        <f>HOUR(M503)</f>
        <v>0</v>
      </c>
      <c r="O503">
        <f>MINUTE(M503)</f>
        <v>15</v>
      </c>
      <c r="P503">
        <f>N503*60+O503</f>
        <v>15</v>
      </c>
      <c r="Q503" s="7">
        <f>G503-F503</f>
        <v>1.7361111116770189E-2</v>
      </c>
      <c r="R503">
        <f>HOUR(Q503)</f>
        <v>0</v>
      </c>
      <c r="S503">
        <f>MINUTE(Q503)</f>
        <v>25</v>
      </c>
      <c r="T503">
        <f>R503*60+S503</f>
        <v>25</v>
      </c>
      <c r="U503" s="7">
        <f>H503-G503</f>
        <v>8.3333333328482695E-2</v>
      </c>
      <c r="V503">
        <f>HOUR(U503)</f>
        <v>2</v>
      </c>
      <c r="W503">
        <f>MINUTE(U503)</f>
        <v>0</v>
      </c>
      <c r="X503">
        <f>V503*60+W503</f>
        <v>120</v>
      </c>
      <c r="Y503" s="7">
        <f>I503-H503</f>
        <v>6.9444444452528842E-3</v>
      </c>
      <c r="Z503">
        <f>HOUR(Y503)</f>
        <v>0</v>
      </c>
      <c r="AA503">
        <f>MINUTE(Y503)</f>
        <v>10</v>
      </c>
      <c r="AB503">
        <f>Z503*60+AA503</f>
        <v>10</v>
      </c>
    </row>
    <row r="504" spans="1:28" x14ac:dyDescent="0.25">
      <c r="A504">
        <v>502</v>
      </c>
      <c r="B504" t="s">
        <v>29</v>
      </c>
      <c r="C504">
        <v>1</v>
      </c>
      <c r="D504" t="s">
        <v>30</v>
      </c>
      <c r="E504" s="6">
        <v>46078.75</v>
      </c>
      <c r="F504" s="6">
        <v>46078.770833333336</v>
      </c>
      <c r="G504" s="6">
        <v>46078.774305555555</v>
      </c>
      <c r="H504" s="6">
        <v>46078.791666666664</v>
      </c>
      <c r="I504" s="6">
        <v>46078.792361111111</v>
      </c>
      <c r="J504" s="6">
        <v>46078.805555555555</v>
      </c>
      <c r="K504">
        <v>1.33</v>
      </c>
      <c r="L504" s="6">
        <v>46078.8125</v>
      </c>
      <c r="M504" s="7">
        <f>F504-E504</f>
        <v>2.0833333335758653E-2</v>
      </c>
      <c r="N504">
        <f>HOUR(M504)</f>
        <v>0</v>
      </c>
      <c r="O504">
        <f>MINUTE(M504)</f>
        <v>30</v>
      </c>
      <c r="P504">
        <f>N504*60+O504</f>
        <v>30</v>
      </c>
      <c r="Q504" s="7">
        <f>G504-F504</f>
        <v>3.4722222189884633E-3</v>
      </c>
      <c r="R504">
        <f>HOUR(Q504)</f>
        <v>0</v>
      </c>
      <c r="S504">
        <f>MINUTE(Q504)</f>
        <v>5</v>
      </c>
      <c r="T504">
        <f>R504*60+S504</f>
        <v>5</v>
      </c>
      <c r="U504" s="7">
        <f>H504-G504</f>
        <v>1.7361111109494232E-2</v>
      </c>
      <c r="V504">
        <f>HOUR(U504)</f>
        <v>0</v>
      </c>
      <c r="W504">
        <f>MINUTE(U504)</f>
        <v>25</v>
      </c>
      <c r="X504">
        <f>V504*60+W504</f>
        <v>25</v>
      </c>
      <c r="Y504" s="7">
        <f>I504-H504</f>
        <v>6.944444467080757E-4</v>
      </c>
      <c r="Z504">
        <f>HOUR(Y504)</f>
        <v>0</v>
      </c>
      <c r="AA504">
        <f>MINUTE(Y504)</f>
        <v>1</v>
      </c>
      <c r="AB504">
        <f>Z504*60+AA504</f>
        <v>1</v>
      </c>
    </row>
    <row r="505" spans="1:28" x14ac:dyDescent="0.25">
      <c r="A505">
        <v>503</v>
      </c>
      <c r="B505" t="s">
        <v>33</v>
      </c>
      <c r="C505">
        <v>1</v>
      </c>
      <c r="D505" t="s">
        <v>35</v>
      </c>
      <c r="E505" s="6">
        <v>46058.635416666664</v>
      </c>
      <c r="F505" s="6">
        <v>46058.645833333336</v>
      </c>
      <c r="G505" s="6">
        <v>46058.6875</v>
      </c>
      <c r="H505" s="6">
        <v>46058.791666666664</v>
      </c>
      <c r="I505" s="6">
        <v>46058.809027777781</v>
      </c>
      <c r="J505" s="6">
        <v>46058.815972222219</v>
      </c>
      <c r="K505">
        <v>4.33</v>
      </c>
      <c r="L505" s="6">
        <v>46058.822916666664</v>
      </c>
      <c r="M505" s="7">
        <f>F505-E505</f>
        <v>1.0416666671517305E-2</v>
      </c>
      <c r="N505">
        <f>HOUR(M505)</f>
        <v>0</v>
      </c>
      <c r="O505">
        <f>MINUTE(M505)</f>
        <v>15</v>
      </c>
      <c r="P505">
        <f>N505*60+O505</f>
        <v>15</v>
      </c>
      <c r="Q505" s="7">
        <f>G505-F505</f>
        <v>4.1666666664241347E-2</v>
      </c>
      <c r="R505">
        <f>HOUR(Q505)</f>
        <v>1</v>
      </c>
      <c r="S505">
        <f>MINUTE(Q505)</f>
        <v>0</v>
      </c>
      <c r="T505">
        <f>R505*60+S505</f>
        <v>60</v>
      </c>
      <c r="U505" s="7">
        <f>H505-G505</f>
        <v>0.10416666666424135</v>
      </c>
      <c r="V505">
        <f>HOUR(U505)</f>
        <v>2</v>
      </c>
      <c r="W505">
        <f>MINUTE(U505)</f>
        <v>30</v>
      </c>
      <c r="X505">
        <f>V505*60+W505</f>
        <v>150</v>
      </c>
      <c r="Y505" s="7">
        <f>I505-H505</f>
        <v>1.7361111116770189E-2</v>
      </c>
      <c r="Z505">
        <f>HOUR(Y505)</f>
        <v>0</v>
      </c>
      <c r="AA505">
        <f>MINUTE(Y505)</f>
        <v>25</v>
      </c>
      <c r="AB505">
        <f>Z505*60+AA505</f>
        <v>25</v>
      </c>
    </row>
    <row r="506" spans="1:28" x14ac:dyDescent="0.25">
      <c r="A506">
        <v>504</v>
      </c>
      <c r="B506" t="s">
        <v>33</v>
      </c>
      <c r="C506">
        <v>1</v>
      </c>
      <c r="D506" t="s">
        <v>34</v>
      </c>
      <c r="E506" s="6">
        <v>46057.861805555556</v>
      </c>
      <c r="F506" s="6">
        <v>46057.868055555555</v>
      </c>
      <c r="G506" s="6">
        <v>46057.885416666664</v>
      </c>
      <c r="H506" s="6">
        <v>46057.895833333336</v>
      </c>
      <c r="I506" s="6">
        <v>46057.902777777781</v>
      </c>
      <c r="J506" s="6">
        <v>46057.90902777778</v>
      </c>
      <c r="K506">
        <v>1.1299999999999999</v>
      </c>
      <c r="L506" s="6">
        <v>46057.909722222219</v>
      </c>
      <c r="M506" s="7">
        <f>F506-E506</f>
        <v>6.2499999985448085E-3</v>
      </c>
      <c r="N506">
        <f>HOUR(M506)</f>
        <v>0</v>
      </c>
      <c r="O506">
        <f>MINUTE(M506)</f>
        <v>9</v>
      </c>
      <c r="P506">
        <f>N506*60+O506</f>
        <v>9</v>
      </c>
      <c r="Q506" s="7">
        <f>G506-F506</f>
        <v>1.7361111109494232E-2</v>
      </c>
      <c r="R506">
        <f>HOUR(Q506)</f>
        <v>0</v>
      </c>
      <c r="S506">
        <f>MINUTE(Q506)</f>
        <v>25</v>
      </c>
      <c r="T506">
        <f>R506*60+S506</f>
        <v>25</v>
      </c>
      <c r="U506" s="7">
        <f>H506-G506</f>
        <v>1.0416666671517305E-2</v>
      </c>
      <c r="V506">
        <f>HOUR(U506)</f>
        <v>0</v>
      </c>
      <c r="W506">
        <f>MINUTE(U506)</f>
        <v>15</v>
      </c>
      <c r="X506">
        <f>V506*60+W506</f>
        <v>15</v>
      </c>
      <c r="Y506" s="7">
        <f>I506-H506</f>
        <v>6.9444444452528842E-3</v>
      </c>
      <c r="Z506">
        <f>HOUR(Y506)</f>
        <v>0</v>
      </c>
      <c r="AA506">
        <f>MINUTE(Y506)</f>
        <v>10</v>
      </c>
      <c r="AB506">
        <f>Z506*60+AA506</f>
        <v>10</v>
      </c>
    </row>
    <row r="507" spans="1:28" x14ac:dyDescent="0.25">
      <c r="A507">
        <v>505</v>
      </c>
      <c r="B507" t="s">
        <v>31</v>
      </c>
      <c r="C507">
        <v>1</v>
      </c>
      <c r="D507" t="s">
        <v>34</v>
      </c>
      <c r="E507" s="6">
        <v>46057.977083333331</v>
      </c>
      <c r="F507" s="6">
        <v>46057.979166666664</v>
      </c>
      <c r="G507" s="6">
        <v>46057.980555555558</v>
      </c>
      <c r="H507" s="6">
        <v>46057.998611111114</v>
      </c>
      <c r="I507" s="6">
        <v>46058.005555555559</v>
      </c>
      <c r="J507" s="6">
        <v>46058.006944444445</v>
      </c>
      <c r="K507">
        <v>0.72</v>
      </c>
      <c r="L507" s="6">
        <v>46058.013888888891</v>
      </c>
      <c r="M507" s="7">
        <f>F507-E507</f>
        <v>2.0833333328482695E-3</v>
      </c>
      <c r="N507">
        <f>HOUR(M507)</f>
        <v>0</v>
      </c>
      <c r="O507">
        <f>MINUTE(M507)</f>
        <v>3</v>
      </c>
      <c r="P507">
        <f>N507*60+O507</f>
        <v>3</v>
      </c>
      <c r="Q507" s="7">
        <f>G507-F507</f>
        <v>1.3888888934161514E-3</v>
      </c>
      <c r="R507">
        <f>HOUR(Q507)</f>
        <v>0</v>
      </c>
      <c r="S507">
        <f>MINUTE(Q507)</f>
        <v>2</v>
      </c>
      <c r="T507">
        <f>R507*60+S507</f>
        <v>2</v>
      </c>
      <c r="U507" s="7">
        <f>H507-G507</f>
        <v>1.8055555556202307E-2</v>
      </c>
      <c r="V507">
        <f>HOUR(U507)</f>
        <v>0</v>
      </c>
      <c r="W507">
        <f>MINUTE(U507)</f>
        <v>26</v>
      </c>
      <c r="X507">
        <f>V507*60+W507</f>
        <v>26</v>
      </c>
      <c r="Y507" s="7">
        <f>I507-H507</f>
        <v>6.9444444452528842E-3</v>
      </c>
      <c r="Z507">
        <f>HOUR(Y507)</f>
        <v>0</v>
      </c>
      <c r="AA507">
        <f>MINUTE(Y507)</f>
        <v>10</v>
      </c>
      <c r="AB507">
        <f>Z507*60+AA507</f>
        <v>10</v>
      </c>
    </row>
    <row r="508" spans="1:28" x14ac:dyDescent="0.25">
      <c r="A508">
        <v>506</v>
      </c>
      <c r="B508" t="s">
        <v>31</v>
      </c>
      <c r="C508">
        <v>1</v>
      </c>
      <c r="D508" t="s">
        <v>35</v>
      </c>
      <c r="E508" s="6">
        <v>46058.652777777781</v>
      </c>
      <c r="F508" s="6">
        <v>46058.680555555555</v>
      </c>
      <c r="G508" s="6">
        <v>46058.694444444445</v>
      </c>
      <c r="H508" s="6">
        <v>46058.760416666664</v>
      </c>
      <c r="I508" s="6">
        <v>46058.763888888891</v>
      </c>
      <c r="J508" s="6">
        <v>46058.767361111109</v>
      </c>
      <c r="K508">
        <v>2.75</v>
      </c>
      <c r="L508" s="6">
        <v>46058.770833333336</v>
      </c>
      <c r="M508" s="7">
        <f>F508-E508</f>
        <v>2.7777777773735579E-2</v>
      </c>
      <c r="N508">
        <f>HOUR(M508)</f>
        <v>0</v>
      </c>
      <c r="O508">
        <f>MINUTE(M508)</f>
        <v>40</v>
      </c>
      <c r="P508">
        <f>N508*60+O508</f>
        <v>40</v>
      </c>
      <c r="Q508" s="7">
        <f>G508-F508</f>
        <v>1.3888888890505768E-2</v>
      </c>
      <c r="R508">
        <f>HOUR(Q508)</f>
        <v>0</v>
      </c>
      <c r="S508">
        <f>MINUTE(Q508)</f>
        <v>20</v>
      </c>
      <c r="T508">
        <f>R508*60+S508</f>
        <v>20</v>
      </c>
      <c r="U508" s="7">
        <f>H508-G508</f>
        <v>6.5972222218988463E-2</v>
      </c>
      <c r="V508">
        <f>HOUR(U508)</f>
        <v>1</v>
      </c>
      <c r="W508">
        <f>MINUTE(U508)</f>
        <v>35</v>
      </c>
      <c r="X508">
        <f>V508*60+W508</f>
        <v>95</v>
      </c>
      <c r="Y508" s="7">
        <f>I508-H508</f>
        <v>3.4722222262644209E-3</v>
      </c>
      <c r="Z508">
        <f>HOUR(Y508)</f>
        <v>0</v>
      </c>
      <c r="AA508">
        <f>MINUTE(Y508)</f>
        <v>5</v>
      </c>
      <c r="AB508">
        <f>Z508*60+AA508</f>
        <v>5</v>
      </c>
    </row>
    <row r="509" spans="1:28" x14ac:dyDescent="0.25">
      <c r="A509">
        <v>507</v>
      </c>
      <c r="B509" t="s">
        <v>31</v>
      </c>
      <c r="C509">
        <v>1</v>
      </c>
      <c r="D509" t="s">
        <v>34</v>
      </c>
      <c r="E509" s="6">
        <v>46058.472222222219</v>
      </c>
      <c r="F509" s="6">
        <v>46058.482638888891</v>
      </c>
      <c r="G509" s="6">
        <v>46058.506944444445</v>
      </c>
      <c r="H509" s="6">
        <v>46058.579861111109</v>
      </c>
      <c r="I509" s="6">
        <v>46058.586805555555</v>
      </c>
      <c r="J509" s="6">
        <v>46058.600694444445</v>
      </c>
      <c r="K509">
        <v>3.08</v>
      </c>
      <c r="L509" s="6">
        <v>46058.604166666664</v>
      </c>
      <c r="M509" s="7">
        <f>F509-E509</f>
        <v>1.0416666671517305E-2</v>
      </c>
      <c r="N509">
        <f>HOUR(M509)</f>
        <v>0</v>
      </c>
      <c r="O509">
        <f>MINUTE(M509)</f>
        <v>15</v>
      </c>
      <c r="P509">
        <f>N509*60+O509</f>
        <v>15</v>
      </c>
      <c r="Q509" s="7">
        <f>G509-F509</f>
        <v>2.4305555554747116E-2</v>
      </c>
      <c r="R509">
        <f>HOUR(Q509)</f>
        <v>0</v>
      </c>
      <c r="S509">
        <f>MINUTE(Q509)</f>
        <v>35</v>
      </c>
      <c r="T509">
        <f>R509*60+S509</f>
        <v>35</v>
      </c>
      <c r="U509" s="7">
        <f>H509-G509</f>
        <v>7.2916666664241347E-2</v>
      </c>
      <c r="V509">
        <f>HOUR(U509)</f>
        <v>1</v>
      </c>
      <c r="W509">
        <f>MINUTE(U509)</f>
        <v>45</v>
      </c>
      <c r="X509">
        <f>V509*60+W509</f>
        <v>105</v>
      </c>
      <c r="Y509" s="7">
        <f>I509-H509</f>
        <v>6.9444444452528842E-3</v>
      </c>
      <c r="Z509">
        <f>HOUR(Y509)</f>
        <v>0</v>
      </c>
      <c r="AA509">
        <f>MINUTE(Y509)</f>
        <v>10</v>
      </c>
      <c r="AB509">
        <f>Z509*60+AA509</f>
        <v>10</v>
      </c>
    </row>
    <row r="510" spans="1:28" x14ac:dyDescent="0.25">
      <c r="A510">
        <v>508</v>
      </c>
      <c r="B510" t="s">
        <v>31</v>
      </c>
      <c r="C510">
        <v>1</v>
      </c>
      <c r="D510" t="s">
        <v>32</v>
      </c>
      <c r="E510" s="6">
        <v>46058.392361111109</v>
      </c>
      <c r="F510" s="6">
        <v>46058.395833333336</v>
      </c>
      <c r="G510" s="6">
        <v>46058.409722222219</v>
      </c>
      <c r="H510" s="6">
        <v>46058.486111111109</v>
      </c>
      <c r="I510" s="6">
        <v>46058.493055555555</v>
      </c>
      <c r="J510" s="6">
        <v>46058.513888888891</v>
      </c>
      <c r="K510">
        <v>2.92</v>
      </c>
      <c r="L510" s="6">
        <v>46058.520833333336</v>
      </c>
      <c r="M510" s="7">
        <f>F510-E510</f>
        <v>3.4722222262644209E-3</v>
      </c>
      <c r="N510">
        <f>HOUR(M510)</f>
        <v>0</v>
      </c>
      <c r="O510">
        <f>MINUTE(M510)</f>
        <v>5</v>
      </c>
      <c r="P510">
        <f>N510*60+O510</f>
        <v>5</v>
      </c>
      <c r="Q510" s="7">
        <f>G510-F510</f>
        <v>1.3888888883229811E-2</v>
      </c>
      <c r="R510">
        <f>HOUR(Q510)</f>
        <v>0</v>
      </c>
      <c r="S510">
        <f>MINUTE(Q510)</f>
        <v>20</v>
      </c>
      <c r="T510">
        <f>R510*60+S510</f>
        <v>20</v>
      </c>
      <c r="U510" s="7">
        <f>H510-G510</f>
        <v>7.6388888890505768E-2</v>
      </c>
      <c r="V510">
        <f>HOUR(U510)</f>
        <v>1</v>
      </c>
      <c r="W510">
        <f>MINUTE(U510)</f>
        <v>50</v>
      </c>
      <c r="X510">
        <f>V510*60+W510</f>
        <v>110</v>
      </c>
      <c r="Y510" s="7">
        <f>I510-H510</f>
        <v>6.9444444452528842E-3</v>
      </c>
      <c r="Z510">
        <f>HOUR(Y510)</f>
        <v>0</v>
      </c>
      <c r="AA510">
        <f>MINUTE(Y510)</f>
        <v>10</v>
      </c>
      <c r="AB510">
        <f>Z510*60+AA510</f>
        <v>10</v>
      </c>
    </row>
    <row r="511" spans="1:28" x14ac:dyDescent="0.25">
      <c r="A511">
        <v>509</v>
      </c>
      <c r="B511" t="s">
        <v>33</v>
      </c>
      <c r="C511">
        <v>1</v>
      </c>
      <c r="D511" t="s">
        <v>36</v>
      </c>
      <c r="E511" s="6">
        <v>46058.458333333336</v>
      </c>
      <c r="F511" s="6">
        <v>46058.465277777781</v>
      </c>
      <c r="G511" s="6">
        <v>46058.472222222219</v>
      </c>
      <c r="H511" s="6">
        <v>46058.486111111109</v>
      </c>
      <c r="I511" s="6">
        <v>46058.493055555555</v>
      </c>
      <c r="J511" s="6">
        <v>46058.5</v>
      </c>
      <c r="K511">
        <v>1</v>
      </c>
      <c r="L511" s="6">
        <v>46058.506944444445</v>
      </c>
      <c r="M511" s="7">
        <f>F511-E511</f>
        <v>6.9444444452528842E-3</v>
      </c>
      <c r="N511">
        <f>HOUR(M511)</f>
        <v>0</v>
      </c>
      <c r="O511">
        <f>MINUTE(M511)</f>
        <v>10</v>
      </c>
      <c r="P511">
        <f>N511*60+O511</f>
        <v>10</v>
      </c>
      <c r="Q511" s="7">
        <f>G511-F511</f>
        <v>6.9444444379769266E-3</v>
      </c>
      <c r="R511">
        <f>HOUR(Q511)</f>
        <v>0</v>
      </c>
      <c r="S511">
        <f>MINUTE(Q511)</f>
        <v>10</v>
      </c>
      <c r="T511">
        <f>R511*60+S511</f>
        <v>10</v>
      </c>
      <c r="U511" s="7">
        <f>H511-G511</f>
        <v>1.3888888890505768E-2</v>
      </c>
      <c r="V511">
        <f>HOUR(U511)</f>
        <v>0</v>
      </c>
      <c r="W511">
        <f>MINUTE(U511)</f>
        <v>20</v>
      </c>
      <c r="X511">
        <f>V511*60+W511</f>
        <v>20</v>
      </c>
      <c r="Y511" s="7">
        <f>I511-H511</f>
        <v>6.9444444452528842E-3</v>
      </c>
      <c r="Z511">
        <f>HOUR(Y511)</f>
        <v>0</v>
      </c>
      <c r="AA511">
        <f>MINUTE(Y511)</f>
        <v>10</v>
      </c>
      <c r="AB511">
        <f>Z511*60+AA511</f>
        <v>10</v>
      </c>
    </row>
    <row r="512" spans="1:28" x14ac:dyDescent="0.25">
      <c r="A512">
        <v>510</v>
      </c>
      <c r="B512" t="s">
        <v>29</v>
      </c>
      <c r="C512">
        <v>1</v>
      </c>
      <c r="D512" t="s">
        <v>30</v>
      </c>
      <c r="E512" s="6">
        <v>46058.555555555555</v>
      </c>
      <c r="F512" s="6">
        <v>46058.5625</v>
      </c>
      <c r="G512" s="6">
        <v>46058.565972222219</v>
      </c>
      <c r="H512" s="6">
        <v>46058.583333333336</v>
      </c>
      <c r="I512" s="6">
        <v>46058.586805555555</v>
      </c>
      <c r="J512" s="6">
        <v>46058.588888888888</v>
      </c>
      <c r="K512">
        <v>0.8</v>
      </c>
      <c r="L512" s="6">
        <v>46058.595833333333</v>
      </c>
      <c r="M512" s="7">
        <f>F512-E512</f>
        <v>6.9444444452528842E-3</v>
      </c>
      <c r="N512">
        <f>HOUR(M512)</f>
        <v>0</v>
      </c>
      <c r="O512">
        <f>MINUTE(M512)</f>
        <v>10</v>
      </c>
      <c r="P512">
        <f>N512*60+O512</f>
        <v>10</v>
      </c>
      <c r="Q512" s="7">
        <f>G512-F512</f>
        <v>3.4722222189884633E-3</v>
      </c>
      <c r="R512">
        <f>HOUR(Q512)</f>
        <v>0</v>
      </c>
      <c r="S512">
        <f>MINUTE(Q512)</f>
        <v>5</v>
      </c>
      <c r="T512">
        <f>R512*60+S512</f>
        <v>5</v>
      </c>
      <c r="U512" s="7">
        <f>H512-G512</f>
        <v>1.7361111116770189E-2</v>
      </c>
      <c r="V512">
        <f>HOUR(U512)</f>
        <v>0</v>
      </c>
      <c r="W512">
        <f>MINUTE(U512)</f>
        <v>25</v>
      </c>
      <c r="X512">
        <f>V512*60+W512</f>
        <v>25</v>
      </c>
      <c r="Y512" s="7">
        <f>I512-H512</f>
        <v>3.4722222189884633E-3</v>
      </c>
      <c r="Z512">
        <f>HOUR(Y512)</f>
        <v>0</v>
      </c>
      <c r="AA512">
        <f>MINUTE(Y512)</f>
        <v>5</v>
      </c>
      <c r="AB512">
        <f>Z512*60+AA512</f>
        <v>5</v>
      </c>
    </row>
    <row r="513" spans="1:28" x14ac:dyDescent="0.25">
      <c r="A513">
        <v>511</v>
      </c>
      <c r="B513" t="s">
        <v>31</v>
      </c>
      <c r="C513">
        <v>1</v>
      </c>
      <c r="D513" t="s">
        <v>30</v>
      </c>
      <c r="E513" s="6">
        <v>46058.457638888889</v>
      </c>
      <c r="F513" s="6">
        <v>46058.489583333336</v>
      </c>
      <c r="G513" s="6">
        <v>46058.503472222219</v>
      </c>
      <c r="H513" s="6">
        <v>46058.583333333336</v>
      </c>
      <c r="I513" s="6">
        <v>46058.590277777781</v>
      </c>
      <c r="J513" s="6">
        <v>46058.763888888891</v>
      </c>
      <c r="K513">
        <v>7.35</v>
      </c>
      <c r="L513" s="6">
        <v>46058.770833333336</v>
      </c>
      <c r="M513" s="7">
        <f>F513-E513</f>
        <v>3.1944444446708076E-2</v>
      </c>
      <c r="N513">
        <f>HOUR(M513)</f>
        <v>0</v>
      </c>
      <c r="O513">
        <f>MINUTE(M513)</f>
        <v>46</v>
      </c>
      <c r="P513">
        <f>N513*60+O513</f>
        <v>46</v>
      </c>
      <c r="Q513" s="7">
        <f>G513-F513</f>
        <v>1.3888888883229811E-2</v>
      </c>
      <c r="R513">
        <f>HOUR(Q513)</f>
        <v>0</v>
      </c>
      <c r="S513">
        <f>MINUTE(Q513)</f>
        <v>20</v>
      </c>
      <c r="T513">
        <f>R513*60+S513</f>
        <v>20</v>
      </c>
      <c r="U513" s="7">
        <f>H513-G513</f>
        <v>7.9861111116770189E-2</v>
      </c>
      <c r="V513">
        <f>HOUR(U513)</f>
        <v>1</v>
      </c>
      <c r="W513">
        <f>MINUTE(U513)</f>
        <v>55</v>
      </c>
      <c r="X513">
        <f>V513*60+W513</f>
        <v>115</v>
      </c>
      <c r="Y513" s="7">
        <f>I513-H513</f>
        <v>6.9444444452528842E-3</v>
      </c>
      <c r="Z513">
        <f>HOUR(Y513)</f>
        <v>0</v>
      </c>
      <c r="AA513">
        <f>MINUTE(Y513)</f>
        <v>10</v>
      </c>
      <c r="AB513">
        <f>Z513*60+AA513</f>
        <v>10</v>
      </c>
    </row>
    <row r="514" spans="1:28" x14ac:dyDescent="0.25">
      <c r="A514">
        <v>512</v>
      </c>
      <c r="B514" t="s">
        <v>33</v>
      </c>
      <c r="C514">
        <v>1</v>
      </c>
      <c r="D514" t="s">
        <v>32</v>
      </c>
      <c r="E514" s="6">
        <v>46058.5625</v>
      </c>
      <c r="F514" s="6">
        <v>46058.572916666664</v>
      </c>
      <c r="G514" s="6">
        <v>46058.614583333336</v>
      </c>
      <c r="H514" s="6">
        <v>46058.75</v>
      </c>
      <c r="I514" s="6">
        <v>46058.784722222219</v>
      </c>
      <c r="J514" s="6">
        <v>46058.90625</v>
      </c>
      <c r="K514">
        <v>8.25</v>
      </c>
      <c r="L514" s="6">
        <v>46058.909722222219</v>
      </c>
      <c r="M514" s="7">
        <f>F514-E514</f>
        <v>1.0416666664241347E-2</v>
      </c>
      <c r="N514">
        <f>HOUR(M514)</f>
        <v>0</v>
      </c>
      <c r="O514">
        <f>MINUTE(M514)</f>
        <v>15</v>
      </c>
      <c r="P514">
        <f>N514*60+O514</f>
        <v>15</v>
      </c>
      <c r="Q514" s="7">
        <f>G514-F514</f>
        <v>4.1666666671517305E-2</v>
      </c>
      <c r="R514">
        <f>HOUR(Q514)</f>
        <v>1</v>
      </c>
      <c r="S514">
        <f>MINUTE(Q514)</f>
        <v>0</v>
      </c>
      <c r="T514">
        <f>R514*60+S514</f>
        <v>60</v>
      </c>
      <c r="U514" s="7">
        <f>H514-G514</f>
        <v>0.13541666666424135</v>
      </c>
      <c r="V514">
        <f>HOUR(U514)</f>
        <v>3</v>
      </c>
      <c r="W514">
        <f>MINUTE(U514)</f>
        <v>15</v>
      </c>
      <c r="X514">
        <f>V514*60+W514</f>
        <v>195</v>
      </c>
      <c r="Y514" s="7">
        <f>I514-H514</f>
        <v>3.4722222218988463E-2</v>
      </c>
      <c r="Z514">
        <f>HOUR(Y514)</f>
        <v>0</v>
      </c>
      <c r="AA514">
        <f>MINUTE(Y514)</f>
        <v>50</v>
      </c>
      <c r="AB514">
        <f>Z514*60+AA514</f>
        <v>50</v>
      </c>
    </row>
    <row r="515" spans="1:28" x14ac:dyDescent="0.25">
      <c r="A515">
        <v>513</v>
      </c>
      <c r="B515" t="s">
        <v>29</v>
      </c>
      <c r="C515">
        <v>1</v>
      </c>
      <c r="D515" t="s">
        <v>30</v>
      </c>
      <c r="E515" s="6">
        <v>46058.670138888891</v>
      </c>
      <c r="F515" s="6">
        <v>46058.677083333336</v>
      </c>
      <c r="G515" s="6">
        <v>46058.715277777781</v>
      </c>
      <c r="H515" s="6">
        <v>46058.861111111109</v>
      </c>
      <c r="I515" s="6">
        <v>46058.868055555555</v>
      </c>
      <c r="J515" s="6">
        <v>46058.875</v>
      </c>
      <c r="K515">
        <v>4.92</v>
      </c>
      <c r="L515" s="6">
        <v>46058.881944444445</v>
      </c>
      <c r="M515" s="7">
        <f>F515-E515</f>
        <v>6.9444444452528842E-3</v>
      </c>
      <c r="N515">
        <f>HOUR(M515)</f>
        <v>0</v>
      </c>
      <c r="O515">
        <f>MINUTE(M515)</f>
        <v>10</v>
      </c>
      <c r="P515">
        <f>N515*60+O515</f>
        <v>10</v>
      </c>
      <c r="Q515" s="7">
        <f>G515-F515</f>
        <v>3.8194444445252884E-2</v>
      </c>
      <c r="R515">
        <f>HOUR(Q515)</f>
        <v>0</v>
      </c>
      <c r="S515">
        <f>MINUTE(Q515)</f>
        <v>55</v>
      </c>
      <c r="T515">
        <f>R515*60+S515</f>
        <v>55</v>
      </c>
      <c r="U515" s="7">
        <f>H515-G515</f>
        <v>0.14583333332848269</v>
      </c>
      <c r="V515">
        <f>HOUR(U515)</f>
        <v>3</v>
      </c>
      <c r="W515">
        <f>MINUTE(U515)</f>
        <v>30</v>
      </c>
      <c r="X515">
        <f>V515*60+W515</f>
        <v>210</v>
      </c>
      <c r="Y515" s="7">
        <f>I515-H515</f>
        <v>6.9444444452528842E-3</v>
      </c>
      <c r="Z515">
        <f>HOUR(Y515)</f>
        <v>0</v>
      </c>
      <c r="AA515">
        <f>MINUTE(Y515)</f>
        <v>10</v>
      </c>
      <c r="AB515">
        <f>Z515*60+AA515</f>
        <v>10</v>
      </c>
    </row>
    <row r="516" spans="1:28" x14ac:dyDescent="0.25">
      <c r="A516">
        <v>514</v>
      </c>
      <c r="B516" t="s">
        <v>33</v>
      </c>
      <c r="C516">
        <v>1</v>
      </c>
      <c r="D516" t="s">
        <v>36</v>
      </c>
      <c r="E516" s="6">
        <v>46058.621527777781</v>
      </c>
      <c r="F516" s="6">
        <v>46058.625</v>
      </c>
      <c r="G516" s="6">
        <v>46058.628472222219</v>
      </c>
      <c r="H516" s="6">
        <v>46058.635416666664</v>
      </c>
      <c r="I516" s="6">
        <v>46058.638888888891</v>
      </c>
      <c r="J516" s="6">
        <v>46058.645833333336</v>
      </c>
      <c r="K516">
        <v>0.57999999999999996</v>
      </c>
      <c r="L516" s="6">
        <v>46058.652777777781</v>
      </c>
      <c r="M516" s="7">
        <f>F516-E516</f>
        <v>3.4722222189884633E-3</v>
      </c>
      <c r="N516">
        <f>HOUR(M516)</f>
        <v>0</v>
      </c>
      <c r="O516">
        <f>MINUTE(M516)</f>
        <v>5</v>
      </c>
      <c r="P516">
        <f>N516*60+O516</f>
        <v>5</v>
      </c>
      <c r="Q516" s="7">
        <f>G516-F516</f>
        <v>3.4722222189884633E-3</v>
      </c>
      <c r="R516">
        <f>HOUR(Q516)</f>
        <v>0</v>
      </c>
      <c r="S516">
        <f>MINUTE(Q516)</f>
        <v>5</v>
      </c>
      <c r="T516">
        <f>R516*60+S516</f>
        <v>5</v>
      </c>
      <c r="U516" s="7">
        <f>H516-G516</f>
        <v>6.9444444452528842E-3</v>
      </c>
      <c r="V516">
        <f>HOUR(U516)</f>
        <v>0</v>
      </c>
      <c r="W516">
        <f>MINUTE(U516)</f>
        <v>10</v>
      </c>
      <c r="X516">
        <f>V516*60+W516</f>
        <v>10</v>
      </c>
      <c r="Y516" s="7">
        <f>I516-H516</f>
        <v>3.4722222262644209E-3</v>
      </c>
      <c r="Z516">
        <f>HOUR(Y516)</f>
        <v>0</v>
      </c>
      <c r="AA516">
        <f>MINUTE(Y516)</f>
        <v>5</v>
      </c>
      <c r="AB516">
        <f>Z516*60+AA516</f>
        <v>5</v>
      </c>
    </row>
    <row r="517" spans="1:28" x14ac:dyDescent="0.25">
      <c r="A517">
        <v>515</v>
      </c>
      <c r="B517" t="s">
        <v>33</v>
      </c>
      <c r="C517">
        <v>1</v>
      </c>
      <c r="D517" t="s">
        <v>32</v>
      </c>
      <c r="E517" s="6">
        <v>46063.288194444445</v>
      </c>
      <c r="F517" s="6">
        <v>46063.290277777778</v>
      </c>
      <c r="G517" s="6">
        <v>46063.291666666664</v>
      </c>
      <c r="H517" s="6">
        <v>46063.303472222222</v>
      </c>
      <c r="I517" s="6">
        <v>46063.308333333334</v>
      </c>
      <c r="J517" s="6">
        <v>46063.3125</v>
      </c>
      <c r="K517">
        <v>0.57999999999999996</v>
      </c>
      <c r="L517" s="6">
        <v>46063.319444444445</v>
      </c>
      <c r="M517" s="7">
        <f>F517-E517</f>
        <v>2.0833333328482695E-3</v>
      </c>
      <c r="N517">
        <f>HOUR(M517)</f>
        <v>0</v>
      </c>
      <c r="O517">
        <f>MINUTE(M517)</f>
        <v>3</v>
      </c>
      <c r="P517">
        <f>N517*60+O517</f>
        <v>3</v>
      </c>
      <c r="Q517" s="7">
        <f>G517-F517</f>
        <v>1.3888888861401938E-3</v>
      </c>
      <c r="R517">
        <f>HOUR(Q517)</f>
        <v>0</v>
      </c>
      <c r="S517">
        <f>MINUTE(Q517)</f>
        <v>2</v>
      </c>
      <c r="T517">
        <f>R517*60+S517</f>
        <v>2</v>
      </c>
      <c r="U517" s="7">
        <f>H517-G517</f>
        <v>1.1805555557657499E-2</v>
      </c>
      <c r="V517">
        <f>HOUR(U517)</f>
        <v>0</v>
      </c>
      <c r="W517">
        <f>MINUTE(U517)</f>
        <v>17</v>
      </c>
      <c r="X517">
        <f>V517*60+W517</f>
        <v>17</v>
      </c>
      <c r="Y517" s="7">
        <f>I517-H517</f>
        <v>4.8611111124046147E-3</v>
      </c>
      <c r="Z517">
        <f>HOUR(Y517)</f>
        <v>0</v>
      </c>
      <c r="AA517">
        <f>MINUTE(Y517)</f>
        <v>7</v>
      </c>
      <c r="AB517">
        <f>Z517*60+AA517</f>
        <v>7</v>
      </c>
    </row>
    <row r="518" spans="1:28" x14ac:dyDescent="0.25">
      <c r="A518">
        <v>516</v>
      </c>
      <c r="B518" t="s">
        <v>33</v>
      </c>
      <c r="C518">
        <v>1</v>
      </c>
      <c r="D518" t="s">
        <v>34</v>
      </c>
      <c r="E518" s="6">
        <v>46059.333333333336</v>
      </c>
      <c r="F518" s="6">
        <v>46059.340277777781</v>
      </c>
      <c r="G518" s="6">
        <v>46059.361111111109</v>
      </c>
      <c r="H518" s="6">
        <v>46059.388888888891</v>
      </c>
      <c r="I518" s="6">
        <v>46059.395833333336</v>
      </c>
      <c r="J518" s="6">
        <v>46059.416666666664</v>
      </c>
      <c r="K518">
        <v>2</v>
      </c>
      <c r="L518" s="6">
        <v>46059.423611111109</v>
      </c>
      <c r="M518" s="7">
        <f>F518-E518</f>
        <v>6.9444444452528842E-3</v>
      </c>
      <c r="N518">
        <f>HOUR(M518)</f>
        <v>0</v>
      </c>
      <c r="O518">
        <f>MINUTE(M518)</f>
        <v>10</v>
      </c>
      <c r="P518">
        <f>N518*60+O518</f>
        <v>10</v>
      </c>
      <c r="Q518" s="7">
        <f>G518-F518</f>
        <v>2.0833333328482695E-2</v>
      </c>
      <c r="R518">
        <f>HOUR(Q518)</f>
        <v>0</v>
      </c>
      <c r="S518">
        <f>MINUTE(Q518)</f>
        <v>30</v>
      </c>
      <c r="T518">
        <f>R518*60+S518</f>
        <v>30</v>
      </c>
      <c r="U518" s="7">
        <f>H518-G518</f>
        <v>2.7777777781011537E-2</v>
      </c>
      <c r="V518">
        <f>HOUR(U518)</f>
        <v>0</v>
      </c>
      <c r="W518">
        <f>MINUTE(U518)</f>
        <v>40</v>
      </c>
      <c r="X518">
        <f>V518*60+W518</f>
        <v>40</v>
      </c>
      <c r="Y518" s="7">
        <f>I518-H518</f>
        <v>6.9444444452528842E-3</v>
      </c>
      <c r="Z518">
        <f>HOUR(Y518)</f>
        <v>0</v>
      </c>
      <c r="AA518">
        <f>MINUTE(Y518)</f>
        <v>10</v>
      </c>
      <c r="AB518">
        <f>Z518*60+AA518</f>
        <v>10</v>
      </c>
    </row>
    <row r="519" spans="1:28" x14ac:dyDescent="0.25">
      <c r="A519">
        <v>517</v>
      </c>
      <c r="B519" t="s">
        <v>31</v>
      </c>
      <c r="C519">
        <v>1</v>
      </c>
      <c r="D519" t="s">
        <v>36</v>
      </c>
      <c r="E519" s="6">
        <v>46059.295138888891</v>
      </c>
      <c r="F519" s="6">
        <v>46059.319444444445</v>
      </c>
      <c r="G519" s="6">
        <v>46059.333333333336</v>
      </c>
      <c r="H519" s="6">
        <v>46059.456944444442</v>
      </c>
      <c r="I519" s="6">
        <v>46059.470138888886</v>
      </c>
      <c r="J519" s="6">
        <v>46059.475694444445</v>
      </c>
      <c r="K519">
        <v>4.33</v>
      </c>
      <c r="L519" s="6">
        <v>46059.482638888891</v>
      </c>
      <c r="M519" s="7">
        <f>F519-E519</f>
        <v>2.4305555554747116E-2</v>
      </c>
      <c r="N519">
        <f>HOUR(M519)</f>
        <v>0</v>
      </c>
      <c r="O519">
        <f>MINUTE(M519)</f>
        <v>35</v>
      </c>
      <c r="P519">
        <f>N519*60+O519</f>
        <v>35</v>
      </c>
      <c r="Q519" s="7">
        <f>G519-F519</f>
        <v>1.3888888890505768E-2</v>
      </c>
      <c r="R519">
        <f>HOUR(Q519)</f>
        <v>0</v>
      </c>
      <c r="S519">
        <f>MINUTE(Q519)</f>
        <v>20</v>
      </c>
      <c r="T519">
        <f>R519*60+S519</f>
        <v>20</v>
      </c>
      <c r="U519" s="7">
        <f>H519-G519</f>
        <v>0.12361111110658385</v>
      </c>
      <c r="V519">
        <f>HOUR(U519)</f>
        <v>2</v>
      </c>
      <c r="W519">
        <f>MINUTE(U519)</f>
        <v>58</v>
      </c>
      <c r="X519">
        <f>V519*60+W519</f>
        <v>178</v>
      </c>
      <c r="Y519" s="7">
        <f>I519-H519</f>
        <v>1.3194444443797693E-2</v>
      </c>
      <c r="Z519">
        <f>HOUR(Y519)</f>
        <v>0</v>
      </c>
      <c r="AA519">
        <f>MINUTE(Y519)</f>
        <v>19</v>
      </c>
      <c r="AB519">
        <f>Z519*60+AA519</f>
        <v>19</v>
      </c>
    </row>
    <row r="520" spans="1:28" x14ac:dyDescent="0.25">
      <c r="A520">
        <v>518</v>
      </c>
      <c r="B520" t="s">
        <v>29</v>
      </c>
      <c r="C520">
        <v>1</v>
      </c>
      <c r="D520" t="s">
        <v>35</v>
      </c>
      <c r="E520" s="6">
        <v>46059.482638888891</v>
      </c>
      <c r="F520" s="6">
        <v>46059.493055555555</v>
      </c>
      <c r="G520" s="6">
        <v>46059.604166666664</v>
      </c>
      <c r="H520" s="6">
        <v>46059.673611111109</v>
      </c>
      <c r="I520" s="6">
        <v>46059.680555555555</v>
      </c>
      <c r="J520" s="6">
        <v>46059.708333333336</v>
      </c>
      <c r="K520">
        <v>5.42</v>
      </c>
      <c r="L520" s="6">
        <v>46059.715277777781</v>
      </c>
      <c r="M520" s="7">
        <f>F520-E520</f>
        <v>1.0416666664241347E-2</v>
      </c>
      <c r="N520">
        <f>HOUR(M520)</f>
        <v>0</v>
      </c>
      <c r="O520">
        <f>MINUTE(M520)</f>
        <v>15</v>
      </c>
      <c r="P520">
        <f>N520*60+O520</f>
        <v>15</v>
      </c>
      <c r="Q520" s="7">
        <f>G520-F520</f>
        <v>0.11111111110949423</v>
      </c>
      <c r="R520">
        <f>HOUR(Q520)</f>
        <v>2</v>
      </c>
      <c r="S520">
        <f>MINUTE(Q520)</f>
        <v>40</v>
      </c>
      <c r="T520">
        <f>R520*60+S520</f>
        <v>160</v>
      </c>
      <c r="U520" s="7">
        <f>H520-G520</f>
        <v>6.9444444445252884E-2</v>
      </c>
      <c r="V520">
        <f>HOUR(U520)</f>
        <v>1</v>
      </c>
      <c r="W520">
        <f>MINUTE(U520)</f>
        <v>40</v>
      </c>
      <c r="X520">
        <f>V520*60+W520</f>
        <v>100</v>
      </c>
      <c r="Y520" s="7">
        <f>I520-H520</f>
        <v>6.9444444452528842E-3</v>
      </c>
      <c r="Z520">
        <f>HOUR(Y520)</f>
        <v>0</v>
      </c>
      <c r="AA520">
        <f>MINUTE(Y520)</f>
        <v>10</v>
      </c>
      <c r="AB520">
        <f>Z520*60+AA520</f>
        <v>10</v>
      </c>
    </row>
    <row r="521" spans="1:28" x14ac:dyDescent="0.25">
      <c r="A521">
        <v>519</v>
      </c>
      <c r="B521" t="s">
        <v>33</v>
      </c>
      <c r="C521">
        <v>1</v>
      </c>
      <c r="D521" t="s">
        <v>35</v>
      </c>
      <c r="E521" s="6">
        <v>46059.777777777781</v>
      </c>
      <c r="F521" s="6">
        <v>46059.791666666664</v>
      </c>
      <c r="G521" s="6">
        <v>46059.798611111109</v>
      </c>
      <c r="H521" s="6">
        <v>46059.893055555556</v>
      </c>
      <c r="I521" s="6">
        <v>46059.9</v>
      </c>
      <c r="J521" s="6">
        <v>46059.913194444445</v>
      </c>
      <c r="K521">
        <v>3.25</v>
      </c>
      <c r="L521" s="6">
        <v>46059.916666666664</v>
      </c>
      <c r="M521" s="7">
        <f>F521-E521</f>
        <v>1.3888888883229811E-2</v>
      </c>
      <c r="N521">
        <f>HOUR(M521)</f>
        <v>0</v>
      </c>
      <c r="O521">
        <f>MINUTE(M521)</f>
        <v>20</v>
      </c>
      <c r="P521">
        <f>N521*60+O521</f>
        <v>20</v>
      </c>
      <c r="Q521" s="7">
        <f>G521-F521</f>
        <v>6.9444444452528842E-3</v>
      </c>
      <c r="R521">
        <f>HOUR(Q521)</f>
        <v>0</v>
      </c>
      <c r="S521">
        <f>MINUTE(Q521)</f>
        <v>10</v>
      </c>
      <c r="T521">
        <f>R521*60+S521</f>
        <v>10</v>
      </c>
      <c r="U521" s="7">
        <f>H521-G521</f>
        <v>9.4444444446708076E-2</v>
      </c>
      <c r="V521">
        <f>HOUR(U521)</f>
        <v>2</v>
      </c>
      <c r="W521">
        <f>MINUTE(U521)</f>
        <v>16</v>
      </c>
      <c r="X521">
        <f>V521*60+W521</f>
        <v>136</v>
      </c>
      <c r="Y521" s="7">
        <f>I521-H521</f>
        <v>6.9444444452528842E-3</v>
      </c>
      <c r="Z521">
        <f>HOUR(Y521)</f>
        <v>0</v>
      </c>
      <c r="AA521">
        <f>MINUTE(Y521)</f>
        <v>10</v>
      </c>
      <c r="AB521">
        <f>Z521*60+AA521</f>
        <v>10</v>
      </c>
    </row>
    <row r="522" spans="1:28" x14ac:dyDescent="0.25">
      <c r="A522">
        <v>520</v>
      </c>
      <c r="B522" t="s">
        <v>29</v>
      </c>
      <c r="C522">
        <v>1</v>
      </c>
      <c r="D522" t="s">
        <v>30</v>
      </c>
      <c r="E522" s="6">
        <v>46059.333333333336</v>
      </c>
      <c r="F522" s="6">
        <v>46059.340277777781</v>
      </c>
      <c r="G522" s="6">
        <v>46059.354166666664</v>
      </c>
      <c r="H522" s="6">
        <v>46059.496527777781</v>
      </c>
      <c r="I522" s="6">
        <v>46059.527777777781</v>
      </c>
      <c r="J522" s="6">
        <v>46059.53125</v>
      </c>
      <c r="K522">
        <v>4.75</v>
      </c>
      <c r="L522" s="6">
        <v>46059.531944444447</v>
      </c>
      <c r="M522" s="7">
        <f>F522-E522</f>
        <v>6.9444444452528842E-3</v>
      </c>
      <c r="N522">
        <f>HOUR(M522)</f>
        <v>0</v>
      </c>
      <c r="O522">
        <f>MINUTE(M522)</f>
        <v>10</v>
      </c>
      <c r="P522">
        <f>N522*60+O522</f>
        <v>10</v>
      </c>
      <c r="Q522" s="7">
        <f>G522-F522</f>
        <v>1.3888888883229811E-2</v>
      </c>
      <c r="R522">
        <f>HOUR(Q522)</f>
        <v>0</v>
      </c>
      <c r="S522">
        <f>MINUTE(Q522)</f>
        <v>20</v>
      </c>
      <c r="T522">
        <f>R522*60+S522</f>
        <v>20</v>
      </c>
      <c r="U522" s="7">
        <f>H522-G522</f>
        <v>0.14236111111677019</v>
      </c>
      <c r="V522">
        <f>HOUR(U522)</f>
        <v>3</v>
      </c>
      <c r="W522">
        <f>MINUTE(U522)</f>
        <v>25</v>
      </c>
      <c r="X522">
        <f>V522*60+W522</f>
        <v>205</v>
      </c>
      <c r="Y522" s="7">
        <f>I522-H522</f>
        <v>3.125E-2</v>
      </c>
      <c r="Z522">
        <f>HOUR(Y522)</f>
        <v>0</v>
      </c>
      <c r="AA522">
        <f>MINUTE(Y522)</f>
        <v>45</v>
      </c>
      <c r="AB522">
        <f>Z522*60+AA522</f>
        <v>45</v>
      </c>
    </row>
    <row r="523" spans="1:28" x14ac:dyDescent="0.25">
      <c r="A523">
        <v>521</v>
      </c>
      <c r="B523" t="s">
        <v>33</v>
      </c>
      <c r="C523">
        <v>1</v>
      </c>
      <c r="D523" t="s">
        <v>35</v>
      </c>
      <c r="E523" s="6">
        <v>46058.909722222219</v>
      </c>
      <c r="F523" s="6">
        <v>46058.920138888891</v>
      </c>
      <c r="G523" s="6">
        <v>46058.936111111114</v>
      </c>
      <c r="H523" s="6">
        <v>46058.96875</v>
      </c>
      <c r="I523" s="6">
        <v>46058.975694444445</v>
      </c>
      <c r="J523" s="6">
        <v>46058.977777777778</v>
      </c>
      <c r="K523">
        <v>1.63</v>
      </c>
      <c r="L523" s="6">
        <v>46058.984722222223</v>
      </c>
      <c r="M523" s="7">
        <f>F523-E523</f>
        <v>1.0416666671517305E-2</v>
      </c>
      <c r="N523">
        <f>HOUR(M523)</f>
        <v>0</v>
      </c>
      <c r="O523">
        <f>MINUTE(M523)</f>
        <v>15</v>
      </c>
      <c r="P523">
        <f>N523*60+O523</f>
        <v>15</v>
      </c>
      <c r="Q523" s="7">
        <f>G523-F523</f>
        <v>1.5972222223354038E-2</v>
      </c>
      <c r="R523">
        <f>HOUR(Q523)</f>
        <v>0</v>
      </c>
      <c r="S523">
        <f>MINUTE(Q523)</f>
        <v>23</v>
      </c>
      <c r="T523">
        <f>R523*60+S523</f>
        <v>23</v>
      </c>
      <c r="U523" s="7">
        <f>H523-G523</f>
        <v>3.2638888886140194E-2</v>
      </c>
      <c r="V523">
        <f>HOUR(U523)</f>
        <v>0</v>
      </c>
      <c r="W523">
        <f>MINUTE(U523)</f>
        <v>47</v>
      </c>
      <c r="X523">
        <f>V523*60+W523</f>
        <v>47</v>
      </c>
      <c r="Y523" s="7">
        <f>I523-H523</f>
        <v>6.9444444452528842E-3</v>
      </c>
      <c r="Z523">
        <f>HOUR(Y523)</f>
        <v>0</v>
      </c>
      <c r="AA523">
        <f>MINUTE(Y523)</f>
        <v>10</v>
      </c>
      <c r="AB523">
        <f>Z523*60+AA523</f>
        <v>10</v>
      </c>
    </row>
    <row r="524" spans="1:28" x14ac:dyDescent="0.25">
      <c r="A524">
        <v>522</v>
      </c>
      <c r="B524" t="s">
        <v>29</v>
      </c>
      <c r="C524">
        <v>1</v>
      </c>
      <c r="D524" t="s">
        <v>30</v>
      </c>
      <c r="E524" s="6">
        <v>46058.958333333336</v>
      </c>
      <c r="F524" s="6">
        <v>46058.965277777781</v>
      </c>
      <c r="G524" s="6">
        <v>46058.975694444445</v>
      </c>
      <c r="H524" s="6">
        <v>46058.989583333336</v>
      </c>
      <c r="I524" s="6">
        <v>46058.993055555555</v>
      </c>
      <c r="J524" s="6">
        <v>46058.996527777781</v>
      </c>
      <c r="K524">
        <v>0.92</v>
      </c>
      <c r="L524" s="6">
        <v>46059</v>
      </c>
      <c r="M524" s="7">
        <f>F524-E524</f>
        <v>6.9444444452528842E-3</v>
      </c>
      <c r="N524">
        <f>HOUR(M524)</f>
        <v>0</v>
      </c>
      <c r="O524">
        <f>MINUTE(M524)</f>
        <v>10</v>
      </c>
      <c r="P524">
        <f>N524*60+O524</f>
        <v>10</v>
      </c>
      <c r="Q524" s="7">
        <f>G524-F524</f>
        <v>1.0416666664241347E-2</v>
      </c>
      <c r="R524">
        <f>HOUR(Q524)</f>
        <v>0</v>
      </c>
      <c r="S524">
        <f>MINUTE(Q524)</f>
        <v>15</v>
      </c>
      <c r="T524">
        <f>R524*60+S524</f>
        <v>15</v>
      </c>
      <c r="U524" s="7">
        <f>H524-G524</f>
        <v>1.3888888890505768E-2</v>
      </c>
      <c r="V524">
        <f>HOUR(U524)</f>
        <v>0</v>
      </c>
      <c r="W524">
        <f>MINUTE(U524)</f>
        <v>20</v>
      </c>
      <c r="X524">
        <f>V524*60+W524</f>
        <v>20</v>
      </c>
      <c r="Y524" s="7">
        <f>I524-H524</f>
        <v>3.4722222189884633E-3</v>
      </c>
      <c r="Z524">
        <f>HOUR(Y524)</f>
        <v>0</v>
      </c>
      <c r="AA524">
        <f>MINUTE(Y524)</f>
        <v>5</v>
      </c>
      <c r="AB524">
        <f>Z524*60+AA524</f>
        <v>5</v>
      </c>
    </row>
    <row r="525" spans="1:28" x14ac:dyDescent="0.25">
      <c r="A525">
        <v>523</v>
      </c>
      <c r="B525" t="s">
        <v>33</v>
      </c>
      <c r="C525">
        <v>1</v>
      </c>
      <c r="D525" t="s">
        <v>30</v>
      </c>
      <c r="E525" s="6">
        <v>46059.013888888891</v>
      </c>
      <c r="F525" s="6">
        <v>46059.020833333336</v>
      </c>
      <c r="G525" s="6">
        <v>46059.03125</v>
      </c>
      <c r="H525" s="6">
        <v>46059.09375</v>
      </c>
      <c r="I525" s="6">
        <v>46059.100694444445</v>
      </c>
      <c r="J525" s="6">
        <v>46059.708333333336</v>
      </c>
      <c r="K525">
        <v>16.670000000000002</v>
      </c>
      <c r="L525" s="6">
        <v>46059.715277777781</v>
      </c>
      <c r="M525" s="7">
        <f>F525-E525</f>
        <v>6.9444444452528842E-3</v>
      </c>
      <c r="N525">
        <f>HOUR(M525)</f>
        <v>0</v>
      </c>
      <c r="O525">
        <f>MINUTE(M525)</f>
        <v>10</v>
      </c>
      <c r="P525">
        <f>N525*60+O525</f>
        <v>10</v>
      </c>
      <c r="Q525" s="7">
        <f>G525-F525</f>
        <v>1.0416666664241347E-2</v>
      </c>
      <c r="R525">
        <f>HOUR(Q525)</f>
        <v>0</v>
      </c>
      <c r="S525">
        <f>MINUTE(Q525)</f>
        <v>15</v>
      </c>
      <c r="T525">
        <f>R525*60+S525</f>
        <v>15</v>
      </c>
      <c r="U525" s="7">
        <f>H525-G525</f>
        <v>6.25E-2</v>
      </c>
      <c r="V525">
        <f>HOUR(U525)</f>
        <v>1</v>
      </c>
      <c r="W525">
        <f>MINUTE(U525)</f>
        <v>30</v>
      </c>
      <c r="X525">
        <f>V525*60+W525</f>
        <v>90</v>
      </c>
      <c r="Y525" s="7">
        <f>I525-H525</f>
        <v>6.9444444452528842E-3</v>
      </c>
      <c r="Z525">
        <f>HOUR(Y525)</f>
        <v>0</v>
      </c>
      <c r="AA525">
        <f>MINUTE(Y525)</f>
        <v>10</v>
      </c>
      <c r="AB525">
        <f>Z525*60+AA525</f>
        <v>10</v>
      </c>
    </row>
    <row r="526" spans="1:28" x14ac:dyDescent="0.25">
      <c r="A526">
        <v>524</v>
      </c>
      <c r="B526" t="s">
        <v>33</v>
      </c>
      <c r="C526">
        <v>1</v>
      </c>
      <c r="D526" t="s">
        <v>35</v>
      </c>
      <c r="E526" s="6">
        <v>46059.131944444445</v>
      </c>
      <c r="F526" s="6">
        <v>46059.135416666664</v>
      </c>
      <c r="G526" s="6">
        <v>46059.145833333336</v>
      </c>
      <c r="H526" s="6">
        <v>46059.194444444445</v>
      </c>
      <c r="I526" s="6">
        <v>46059.211805555555</v>
      </c>
      <c r="J526" s="6">
        <v>46059.215277777781</v>
      </c>
      <c r="K526">
        <v>2</v>
      </c>
      <c r="L526" s="6">
        <v>46059.222222222219</v>
      </c>
      <c r="M526" s="7">
        <f>F526-E526</f>
        <v>3.4722222189884633E-3</v>
      </c>
      <c r="N526">
        <f>HOUR(M526)</f>
        <v>0</v>
      </c>
      <c r="O526">
        <f>MINUTE(M526)</f>
        <v>5</v>
      </c>
      <c r="P526">
        <f>N526*60+O526</f>
        <v>5</v>
      </c>
      <c r="Q526" s="7">
        <f>G526-F526</f>
        <v>1.0416666671517305E-2</v>
      </c>
      <c r="R526">
        <f>HOUR(Q526)</f>
        <v>0</v>
      </c>
      <c r="S526">
        <f>MINUTE(Q526)</f>
        <v>15</v>
      </c>
      <c r="T526">
        <f>R526*60+S526</f>
        <v>15</v>
      </c>
      <c r="U526" s="7">
        <f>H526-G526</f>
        <v>4.8611111109494232E-2</v>
      </c>
      <c r="V526">
        <f>HOUR(U526)</f>
        <v>1</v>
      </c>
      <c r="W526">
        <f>MINUTE(U526)</f>
        <v>10</v>
      </c>
      <c r="X526">
        <f>V526*60+W526</f>
        <v>70</v>
      </c>
      <c r="Y526" s="7">
        <f>I526-H526</f>
        <v>1.7361111109494232E-2</v>
      </c>
      <c r="Z526">
        <f>HOUR(Y526)</f>
        <v>0</v>
      </c>
      <c r="AA526">
        <f>MINUTE(Y526)</f>
        <v>25</v>
      </c>
      <c r="AB526">
        <f>Z526*60+AA526</f>
        <v>25</v>
      </c>
    </row>
    <row r="527" spans="1:28" x14ac:dyDescent="0.25">
      <c r="A527">
        <v>525</v>
      </c>
      <c r="B527" t="s">
        <v>29</v>
      </c>
      <c r="C527">
        <v>1</v>
      </c>
      <c r="D527" t="s">
        <v>32</v>
      </c>
      <c r="E527" s="6">
        <v>46059.444444444445</v>
      </c>
      <c r="F527" s="6">
        <v>46059.451388888891</v>
      </c>
      <c r="G527" s="6">
        <v>46059.458333333336</v>
      </c>
      <c r="H527" s="6">
        <v>46059.481249999997</v>
      </c>
      <c r="I527" s="6">
        <v>46059.488194444442</v>
      </c>
      <c r="J527" s="6">
        <v>46059.489583333336</v>
      </c>
      <c r="K527">
        <v>1.08</v>
      </c>
      <c r="L527" s="6">
        <v>46059.496527777781</v>
      </c>
      <c r="M527" s="7">
        <f>F527-E527</f>
        <v>6.9444444452528842E-3</v>
      </c>
      <c r="N527">
        <f>HOUR(M527)</f>
        <v>0</v>
      </c>
      <c r="O527">
        <f>MINUTE(M527)</f>
        <v>10</v>
      </c>
      <c r="P527">
        <f>N527*60+O527</f>
        <v>10</v>
      </c>
      <c r="Q527" s="7">
        <f>G527-F527</f>
        <v>6.9444444452528842E-3</v>
      </c>
      <c r="R527">
        <f>HOUR(Q527)</f>
        <v>0</v>
      </c>
      <c r="S527">
        <f>MINUTE(Q527)</f>
        <v>10</v>
      </c>
      <c r="T527">
        <f>R527*60+S527</f>
        <v>10</v>
      </c>
      <c r="U527" s="7">
        <f>H527-G527</f>
        <v>2.2916666661330964E-2</v>
      </c>
      <c r="V527">
        <f>HOUR(U527)</f>
        <v>0</v>
      </c>
      <c r="W527">
        <f>MINUTE(U527)</f>
        <v>33</v>
      </c>
      <c r="X527">
        <f>V527*60+W527</f>
        <v>33</v>
      </c>
      <c r="Y527" s="7">
        <f>I527-H527</f>
        <v>6.9444444452528842E-3</v>
      </c>
      <c r="Z527">
        <f>HOUR(Y527)</f>
        <v>0</v>
      </c>
      <c r="AA527">
        <f>MINUTE(Y527)</f>
        <v>10</v>
      </c>
      <c r="AB527">
        <f>Z527*60+AA527</f>
        <v>10</v>
      </c>
    </row>
    <row r="528" spans="1:28" x14ac:dyDescent="0.25">
      <c r="A528">
        <v>526</v>
      </c>
      <c r="B528" t="s">
        <v>33</v>
      </c>
      <c r="C528">
        <v>1</v>
      </c>
      <c r="D528" t="s">
        <v>30</v>
      </c>
      <c r="E528" s="6">
        <v>46059.390277777777</v>
      </c>
      <c r="F528" s="6">
        <v>46059.390972222223</v>
      </c>
      <c r="G528" s="6">
        <v>46059.409722222219</v>
      </c>
      <c r="H528" s="6">
        <v>46059.423611111109</v>
      </c>
      <c r="I528" s="6">
        <v>46059.652777777781</v>
      </c>
      <c r="J528" s="6">
        <v>46059.65625</v>
      </c>
      <c r="K528">
        <v>6.38</v>
      </c>
      <c r="L528" s="6">
        <v>46059.659722222219</v>
      </c>
      <c r="M528" s="7">
        <f>F528-E528</f>
        <v>6.944444467080757E-4</v>
      </c>
      <c r="N528">
        <f>HOUR(M528)</f>
        <v>0</v>
      </c>
      <c r="O528">
        <f>MINUTE(M528)</f>
        <v>1</v>
      </c>
      <c r="P528">
        <f>N528*60+O528</f>
        <v>1</v>
      </c>
      <c r="Q528" s="7">
        <f>G528-F528</f>
        <v>1.8749999995634425E-2</v>
      </c>
      <c r="R528">
        <f>HOUR(Q528)</f>
        <v>0</v>
      </c>
      <c r="S528">
        <f>MINUTE(Q528)</f>
        <v>27</v>
      </c>
      <c r="T528">
        <f>R528*60+S528</f>
        <v>27</v>
      </c>
      <c r="U528" s="7">
        <f>H528-G528</f>
        <v>1.3888888890505768E-2</v>
      </c>
      <c r="V528">
        <f>HOUR(U528)</f>
        <v>0</v>
      </c>
      <c r="W528">
        <f>MINUTE(U528)</f>
        <v>20</v>
      </c>
      <c r="X528">
        <f>V528*60+W528</f>
        <v>20</v>
      </c>
      <c r="Y528" s="7">
        <f>I528-H528</f>
        <v>0.22916666667151731</v>
      </c>
      <c r="Z528">
        <f>HOUR(Y528)</f>
        <v>5</v>
      </c>
      <c r="AA528">
        <f>MINUTE(Y528)</f>
        <v>30</v>
      </c>
      <c r="AB528">
        <f>Z528*60+AA528</f>
        <v>330</v>
      </c>
    </row>
    <row r="529" spans="1:28" x14ac:dyDescent="0.25">
      <c r="A529">
        <v>527</v>
      </c>
      <c r="B529" t="s">
        <v>31</v>
      </c>
      <c r="C529">
        <v>1</v>
      </c>
      <c r="D529" t="s">
        <v>30</v>
      </c>
      <c r="E529" s="6">
        <v>46059.871527777781</v>
      </c>
      <c r="F529" s="6">
        <v>46059.881944444445</v>
      </c>
      <c r="G529" s="6">
        <v>46059.899305555555</v>
      </c>
      <c r="H529" s="6">
        <v>46059.979166666664</v>
      </c>
      <c r="I529" s="6">
        <v>46059.982638888891</v>
      </c>
      <c r="J529" s="6">
        <v>46059.989583333336</v>
      </c>
      <c r="K529">
        <v>2.83</v>
      </c>
      <c r="L529" s="6">
        <v>46059.996527777781</v>
      </c>
      <c r="M529" s="7">
        <f>F529-E529</f>
        <v>1.0416666664241347E-2</v>
      </c>
      <c r="N529">
        <f>HOUR(M529)</f>
        <v>0</v>
      </c>
      <c r="O529">
        <f>MINUTE(M529)</f>
        <v>15</v>
      </c>
      <c r="P529">
        <f>N529*60+O529</f>
        <v>15</v>
      </c>
      <c r="Q529" s="7">
        <f>G529-F529</f>
        <v>1.7361111109494232E-2</v>
      </c>
      <c r="R529">
        <f>HOUR(Q529)</f>
        <v>0</v>
      </c>
      <c r="S529">
        <f>MINUTE(Q529)</f>
        <v>25</v>
      </c>
      <c r="T529">
        <f>R529*60+S529</f>
        <v>25</v>
      </c>
      <c r="U529" s="7">
        <f>H529-G529</f>
        <v>7.9861111109494232E-2</v>
      </c>
      <c r="V529">
        <f>HOUR(U529)</f>
        <v>1</v>
      </c>
      <c r="W529">
        <f>MINUTE(U529)</f>
        <v>55</v>
      </c>
      <c r="X529">
        <f>V529*60+W529</f>
        <v>115</v>
      </c>
      <c r="Y529" s="7">
        <f>I529-H529</f>
        <v>3.4722222262644209E-3</v>
      </c>
      <c r="Z529">
        <f>HOUR(Y529)</f>
        <v>0</v>
      </c>
      <c r="AA529">
        <f>MINUTE(Y529)</f>
        <v>5</v>
      </c>
      <c r="AB529">
        <f>Z529*60+AA529</f>
        <v>5</v>
      </c>
    </row>
    <row r="530" spans="1:28" x14ac:dyDescent="0.25">
      <c r="A530">
        <v>528</v>
      </c>
      <c r="B530" t="s">
        <v>33</v>
      </c>
      <c r="C530">
        <v>1</v>
      </c>
      <c r="D530" t="s">
        <v>32</v>
      </c>
      <c r="E530" s="6">
        <v>46059.659722222219</v>
      </c>
      <c r="F530" s="6">
        <v>46059.666666666664</v>
      </c>
      <c r="G530" s="6">
        <v>46059.670138888891</v>
      </c>
      <c r="H530" s="6">
        <v>46059.680555555555</v>
      </c>
      <c r="I530" s="6">
        <v>46059.6875</v>
      </c>
      <c r="J530" s="6">
        <v>46059.690972222219</v>
      </c>
      <c r="K530">
        <v>0.75</v>
      </c>
      <c r="L530" s="6">
        <v>46059.693055555559</v>
      </c>
      <c r="M530" s="7">
        <f>F530-E530</f>
        <v>6.9444444452528842E-3</v>
      </c>
      <c r="N530">
        <f>HOUR(M530)</f>
        <v>0</v>
      </c>
      <c r="O530">
        <f>MINUTE(M530)</f>
        <v>10</v>
      </c>
      <c r="P530">
        <f>N530*60+O530</f>
        <v>10</v>
      </c>
      <c r="Q530" s="7">
        <f>G530-F530</f>
        <v>3.4722222262644209E-3</v>
      </c>
      <c r="R530">
        <f>HOUR(Q530)</f>
        <v>0</v>
      </c>
      <c r="S530">
        <f>MINUTE(Q530)</f>
        <v>5</v>
      </c>
      <c r="T530">
        <f>R530*60+S530</f>
        <v>5</v>
      </c>
      <c r="U530" s="7">
        <f>H530-G530</f>
        <v>1.0416666664241347E-2</v>
      </c>
      <c r="V530">
        <f>HOUR(U530)</f>
        <v>0</v>
      </c>
      <c r="W530">
        <f>MINUTE(U530)</f>
        <v>15</v>
      </c>
      <c r="X530">
        <f>V530*60+W530</f>
        <v>15</v>
      </c>
      <c r="Y530" s="7">
        <f>I530-H530</f>
        <v>6.9444444452528842E-3</v>
      </c>
      <c r="Z530">
        <f>HOUR(Y530)</f>
        <v>0</v>
      </c>
      <c r="AA530">
        <f>MINUTE(Y530)</f>
        <v>10</v>
      </c>
      <c r="AB530">
        <f>Z530*60+AA530</f>
        <v>10</v>
      </c>
    </row>
    <row r="531" spans="1:28" x14ac:dyDescent="0.25">
      <c r="A531">
        <v>529</v>
      </c>
      <c r="B531" t="s">
        <v>33</v>
      </c>
      <c r="C531">
        <v>1</v>
      </c>
      <c r="D531" t="s">
        <v>36</v>
      </c>
      <c r="E531" s="6">
        <v>46059.685416666667</v>
      </c>
      <c r="F531" s="6">
        <v>46059.6875</v>
      </c>
      <c r="G531" s="6">
        <v>46059.697916666664</v>
      </c>
      <c r="H531" s="6">
        <v>46059.798611111109</v>
      </c>
      <c r="I531" s="6">
        <v>46059.805555555555</v>
      </c>
      <c r="J531" s="6">
        <v>46059.822916666664</v>
      </c>
      <c r="K531">
        <v>3.3</v>
      </c>
      <c r="L531" s="6">
        <v>46059.823611111111</v>
      </c>
      <c r="M531" s="7">
        <f>F531-E531</f>
        <v>2.0833333328482695E-3</v>
      </c>
      <c r="N531">
        <f>HOUR(M531)</f>
        <v>0</v>
      </c>
      <c r="O531">
        <f>MINUTE(M531)</f>
        <v>3</v>
      </c>
      <c r="P531">
        <f>N531*60+O531</f>
        <v>3</v>
      </c>
      <c r="Q531" s="7">
        <f>G531-F531</f>
        <v>1.0416666664241347E-2</v>
      </c>
      <c r="R531">
        <f>HOUR(Q531)</f>
        <v>0</v>
      </c>
      <c r="S531">
        <f>MINUTE(Q531)</f>
        <v>15</v>
      </c>
      <c r="T531">
        <f>R531*60+S531</f>
        <v>15</v>
      </c>
      <c r="U531" s="7">
        <f>H531-G531</f>
        <v>0.10069444444525288</v>
      </c>
      <c r="V531">
        <f>HOUR(U531)</f>
        <v>2</v>
      </c>
      <c r="W531">
        <f>MINUTE(U531)</f>
        <v>25</v>
      </c>
      <c r="X531">
        <f>V531*60+W531</f>
        <v>145</v>
      </c>
      <c r="Y531" s="7">
        <f>I531-H531</f>
        <v>6.9444444452528842E-3</v>
      </c>
      <c r="Z531">
        <f>HOUR(Y531)</f>
        <v>0</v>
      </c>
      <c r="AA531">
        <f>MINUTE(Y531)</f>
        <v>10</v>
      </c>
      <c r="AB531">
        <f>Z531*60+AA531</f>
        <v>10</v>
      </c>
    </row>
    <row r="532" spans="1:28" x14ac:dyDescent="0.25">
      <c r="A532">
        <v>530</v>
      </c>
      <c r="B532" t="s">
        <v>33</v>
      </c>
      <c r="C532">
        <v>1</v>
      </c>
      <c r="D532" t="s">
        <v>30</v>
      </c>
      <c r="E532" s="6">
        <v>46059.729166666664</v>
      </c>
      <c r="F532" s="6">
        <v>46059.736111111109</v>
      </c>
      <c r="G532" s="6">
        <v>46059.770833333336</v>
      </c>
      <c r="H532" s="6">
        <v>46059.87222222222</v>
      </c>
      <c r="I532" s="6">
        <v>46059.879166666666</v>
      </c>
      <c r="J532" s="6">
        <v>46059.881944444445</v>
      </c>
      <c r="K532">
        <v>3.67</v>
      </c>
      <c r="L532" s="6">
        <v>46059.888888888891</v>
      </c>
      <c r="M532" s="7">
        <f>F532-E532</f>
        <v>6.9444444452528842E-3</v>
      </c>
      <c r="N532">
        <f>HOUR(M532)</f>
        <v>0</v>
      </c>
      <c r="O532">
        <f>MINUTE(M532)</f>
        <v>10</v>
      </c>
      <c r="P532">
        <f>N532*60+O532</f>
        <v>10</v>
      </c>
      <c r="Q532" s="7">
        <f>G532-F532</f>
        <v>3.4722222226264421E-2</v>
      </c>
      <c r="R532">
        <f>HOUR(Q532)</f>
        <v>0</v>
      </c>
      <c r="S532">
        <f>MINUTE(Q532)</f>
        <v>50</v>
      </c>
      <c r="T532">
        <f>R532*60+S532</f>
        <v>50</v>
      </c>
      <c r="U532" s="7">
        <f>H532-G532</f>
        <v>0.101388888884685</v>
      </c>
      <c r="V532">
        <f>HOUR(U532)</f>
        <v>2</v>
      </c>
      <c r="W532">
        <f>MINUTE(U532)</f>
        <v>26</v>
      </c>
      <c r="X532">
        <f>V532*60+W532</f>
        <v>146</v>
      </c>
      <c r="Y532" s="7">
        <f>I532-H532</f>
        <v>6.9444444452528842E-3</v>
      </c>
      <c r="Z532">
        <f>HOUR(Y532)</f>
        <v>0</v>
      </c>
      <c r="AA532">
        <f>MINUTE(Y532)</f>
        <v>10</v>
      </c>
      <c r="AB532">
        <f>Z532*60+AA532</f>
        <v>10</v>
      </c>
    </row>
    <row r="533" spans="1:28" x14ac:dyDescent="0.25">
      <c r="A533">
        <v>531</v>
      </c>
      <c r="B533" t="s">
        <v>31</v>
      </c>
      <c r="C533">
        <v>1</v>
      </c>
      <c r="D533" t="s">
        <v>35</v>
      </c>
      <c r="E533" s="6">
        <v>46060.329861111109</v>
      </c>
      <c r="F533" s="6">
        <v>46060.333333333336</v>
      </c>
      <c r="G533" s="6">
        <v>46060.364583333336</v>
      </c>
      <c r="H533" s="6">
        <v>46060.527777777781</v>
      </c>
      <c r="I533" s="6">
        <v>46060.541666666664</v>
      </c>
      <c r="J533" s="6">
        <v>46060.545138888891</v>
      </c>
      <c r="K533">
        <v>5.17</v>
      </c>
      <c r="L533" s="6">
        <v>46060.548611111109</v>
      </c>
      <c r="M533" s="7">
        <f>F533-E533</f>
        <v>3.4722222262644209E-3</v>
      </c>
      <c r="N533">
        <f>HOUR(M533)</f>
        <v>0</v>
      </c>
      <c r="O533">
        <f>MINUTE(M533)</f>
        <v>5</v>
      </c>
      <c r="P533">
        <f>N533*60+O533</f>
        <v>5</v>
      </c>
      <c r="Q533" s="7">
        <f>G533-F533</f>
        <v>3.125E-2</v>
      </c>
      <c r="R533">
        <f>HOUR(Q533)</f>
        <v>0</v>
      </c>
      <c r="S533">
        <f>MINUTE(Q533)</f>
        <v>45</v>
      </c>
      <c r="T533">
        <f>R533*60+S533</f>
        <v>45</v>
      </c>
      <c r="U533" s="7">
        <f>H533-G533</f>
        <v>0.16319444444525288</v>
      </c>
      <c r="V533">
        <f>HOUR(U533)</f>
        <v>3</v>
      </c>
      <c r="W533">
        <f>MINUTE(U533)</f>
        <v>55</v>
      </c>
      <c r="X533">
        <f>V533*60+W533</f>
        <v>235</v>
      </c>
      <c r="Y533" s="7">
        <f>I533-H533</f>
        <v>1.3888888883229811E-2</v>
      </c>
      <c r="Z533">
        <f>HOUR(Y533)</f>
        <v>0</v>
      </c>
      <c r="AA533">
        <f>MINUTE(Y533)</f>
        <v>20</v>
      </c>
      <c r="AB533">
        <f>Z533*60+AA533</f>
        <v>20</v>
      </c>
    </row>
    <row r="534" spans="1:28" x14ac:dyDescent="0.25">
      <c r="A534">
        <v>532</v>
      </c>
      <c r="B534" t="s">
        <v>29</v>
      </c>
      <c r="C534">
        <v>1</v>
      </c>
      <c r="D534" t="s">
        <v>35</v>
      </c>
      <c r="E534" s="6">
        <v>46059.961805555555</v>
      </c>
      <c r="F534" s="6">
        <v>46059.962500000001</v>
      </c>
      <c r="G534" s="6">
        <v>46059.96875</v>
      </c>
      <c r="H534" s="6">
        <v>46060.104166666664</v>
      </c>
      <c r="I534" s="6">
        <v>46060.111111111109</v>
      </c>
      <c r="J534" s="6">
        <v>46060.166666666664</v>
      </c>
      <c r="K534">
        <v>4.92</v>
      </c>
      <c r="L534" s="6">
        <v>46060.173611111109</v>
      </c>
      <c r="M534" s="7">
        <f>F534-E534</f>
        <v>6.944444467080757E-4</v>
      </c>
      <c r="N534">
        <f>HOUR(M534)</f>
        <v>0</v>
      </c>
      <c r="O534">
        <f>MINUTE(M534)</f>
        <v>1</v>
      </c>
      <c r="P534">
        <f>N534*60+O534</f>
        <v>1</v>
      </c>
      <c r="Q534" s="7">
        <f>G534-F534</f>
        <v>6.2499999985448085E-3</v>
      </c>
      <c r="R534">
        <f>HOUR(Q534)</f>
        <v>0</v>
      </c>
      <c r="S534">
        <f>MINUTE(Q534)</f>
        <v>9</v>
      </c>
      <c r="T534">
        <f>R534*60+S534</f>
        <v>9</v>
      </c>
      <c r="U534" s="7">
        <f>H534-G534</f>
        <v>0.13541666666424135</v>
      </c>
      <c r="V534">
        <f>HOUR(U534)</f>
        <v>3</v>
      </c>
      <c r="W534">
        <f>MINUTE(U534)</f>
        <v>15</v>
      </c>
      <c r="X534">
        <f>V534*60+W534</f>
        <v>195</v>
      </c>
      <c r="Y534" s="7">
        <f>I534-H534</f>
        <v>6.9444444452528842E-3</v>
      </c>
      <c r="Z534">
        <f>HOUR(Y534)</f>
        <v>0</v>
      </c>
      <c r="AA534">
        <f>MINUTE(Y534)</f>
        <v>10</v>
      </c>
      <c r="AB534">
        <f>Z534*60+AA534</f>
        <v>10</v>
      </c>
    </row>
    <row r="535" spans="1:28" x14ac:dyDescent="0.25">
      <c r="A535">
        <v>533</v>
      </c>
      <c r="B535" t="s">
        <v>33</v>
      </c>
      <c r="C535">
        <v>1</v>
      </c>
      <c r="D535" t="s">
        <v>34</v>
      </c>
      <c r="E535" s="6">
        <v>46060.125</v>
      </c>
      <c r="F535" s="6">
        <v>46060.131944444445</v>
      </c>
      <c r="G535" s="6">
        <v>46060.138888888891</v>
      </c>
      <c r="H535" s="6">
        <v>46060.211111111108</v>
      </c>
      <c r="I535" s="6">
        <v>46060.909722222219</v>
      </c>
      <c r="J535" s="6">
        <v>46060.913194444445</v>
      </c>
      <c r="K535">
        <v>18.920000000000002</v>
      </c>
      <c r="L535" s="6">
        <v>46060.920138888891</v>
      </c>
      <c r="M535" s="7">
        <f>F535-E535</f>
        <v>6.9444444452528842E-3</v>
      </c>
      <c r="N535">
        <f>HOUR(M535)</f>
        <v>0</v>
      </c>
      <c r="O535">
        <f>MINUTE(M535)</f>
        <v>10</v>
      </c>
      <c r="P535">
        <f>N535*60+O535</f>
        <v>10</v>
      </c>
      <c r="Q535" s="7">
        <f>G535-F535</f>
        <v>6.9444444452528842E-3</v>
      </c>
      <c r="R535">
        <f>HOUR(Q535)</f>
        <v>0</v>
      </c>
      <c r="S535">
        <f>MINUTE(Q535)</f>
        <v>10</v>
      </c>
      <c r="T535">
        <f>R535*60+S535</f>
        <v>10</v>
      </c>
      <c r="U535" s="7">
        <f>H535-G535</f>
        <v>7.2222222217533272E-2</v>
      </c>
      <c r="V535">
        <f>HOUR(U535)</f>
        <v>1</v>
      </c>
      <c r="W535">
        <f>MINUTE(U535)</f>
        <v>44</v>
      </c>
      <c r="X535">
        <f>V535*60+W535</f>
        <v>104</v>
      </c>
      <c r="Y535" s="7">
        <f>I535-H535</f>
        <v>0.69861111111094942</v>
      </c>
      <c r="Z535">
        <f>HOUR(Y535)</f>
        <v>16</v>
      </c>
      <c r="AA535">
        <f>MINUTE(Y535)</f>
        <v>46</v>
      </c>
      <c r="AB535">
        <f>Z535*60+AA535</f>
        <v>1006</v>
      </c>
    </row>
    <row r="536" spans="1:28" x14ac:dyDescent="0.25">
      <c r="A536">
        <v>534</v>
      </c>
      <c r="B536" t="s">
        <v>31</v>
      </c>
      <c r="C536">
        <v>1</v>
      </c>
      <c r="D536" t="s">
        <v>35</v>
      </c>
      <c r="E536" s="6">
        <v>46060.388888888891</v>
      </c>
      <c r="F536" s="6">
        <v>46060.392361111109</v>
      </c>
      <c r="G536" s="6">
        <v>46060.399305555555</v>
      </c>
      <c r="H536" s="6">
        <v>46060.5</v>
      </c>
      <c r="I536" s="6">
        <v>46060.506944444445</v>
      </c>
      <c r="J536" s="6">
        <v>46060.527777777781</v>
      </c>
      <c r="K536">
        <v>3.33</v>
      </c>
      <c r="L536" s="6">
        <v>46060.534722222219</v>
      </c>
      <c r="M536" s="7">
        <f>F536-E536</f>
        <v>3.4722222189884633E-3</v>
      </c>
      <c r="N536">
        <f>HOUR(M536)</f>
        <v>0</v>
      </c>
      <c r="O536">
        <f>MINUTE(M536)</f>
        <v>5</v>
      </c>
      <c r="P536">
        <f>N536*60+O536</f>
        <v>5</v>
      </c>
      <c r="Q536" s="7">
        <f>G536-F536</f>
        <v>6.9444444452528842E-3</v>
      </c>
      <c r="R536">
        <f>HOUR(Q536)</f>
        <v>0</v>
      </c>
      <c r="S536">
        <f>MINUTE(Q536)</f>
        <v>10</v>
      </c>
      <c r="T536">
        <f>R536*60+S536</f>
        <v>10</v>
      </c>
      <c r="U536" s="7">
        <f>H536-G536</f>
        <v>0.10069444444525288</v>
      </c>
      <c r="V536">
        <f>HOUR(U536)</f>
        <v>2</v>
      </c>
      <c r="W536">
        <f>MINUTE(U536)</f>
        <v>25</v>
      </c>
      <c r="X536">
        <f>V536*60+W536</f>
        <v>145</v>
      </c>
      <c r="Y536" s="7">
        <f>I536-H536</f>
        <v>6.9444444452528842E-3</v>
      </c>
      <c r="Z536">
        <f>HOUR(Y536)</f>
        <v>0</v>
      </c>
      <c r="AA536">
        <f>MINUTE(Y536)</f>
        <v>10</v>
      </c>
      <c r="AB536">
        <f>Z536*60+AA536</f>
        <v>10</v>
      </c>
    </row>
    <row r="537" spans="1:28" x14ac:dyDescent="0.25">
      <c r="A537">
        <v>535</v>
      </c>
      <c r="B537" t="s">
        <v>29</v>
      </c>
      <c r="C537">
        <v>1</v>
      </c>
      <c r="D537" t="s">
        <v>35</v>
      </c>
      <c r="E537" s="6">
        <v>46060.388888888891</v>
      </c>
      <c r="F537" s="6">
        <v>46060.392361111109</v>
      </c>
      <c r="G537" s="6">
        <v>46060.399305555555</v>
      </c>
      <c r="H537" s="6">
        <v>46060.5</v>
      </c>
      <c r="I537" s="6">
        <v>46060.506944444445</v>
      </c>
      <c r="J537" s="6">
        <v>46060.527777777781</v>
      </c>
      <c r="K537">
        <v>3.33</v>
      </c>
      <c r="L537" s="6">
        <v>46060.534722222219</v>
      </c>
      <c r="M537" s="7">
        <f>F537-E537</f>
        <v>3.4722222189884633E-3</v>
      </c>
      <c r="N537">
        <f>HOUR(M537)</f>
        <v>0</v>
      </c>
      <c r="O537">
        <f>MINUTE(M537)</f>
        <v>5</v>
      </c>
      <c r="P537">
        <f>N537*60+O537</f>
        <v>5</v>
      </c>
      <c r="Q537" s="7">
        <f>G537-F537</f>
        <v>6.9444444452528842E-3</v>
      </c>
      <c r="R537">
        <f>HOUR(Q537)</f>
        <v>0</v>
      </c>
      <c r="S537">
        <f>MINUTE(Q537)</f>
        <v>10</v>
      </c>
      <c r="T537">
        <f>R537*60+S537</f>
        <v>10</v>
      </c>
      <c r="U537" s="7">
        <f>H537-G537</f>
        <v>0.10069444444525288</v>
      </c>
      <c r="V537">
        <f>HOUR(U537)</f>
        <v>2</v>
      </c>
      <c r="W537">
        <f>MINUTE(U537)</f>
        <v>25</v>
      </c>
      <c r="X537">
        <f>V537*60+W537</f>
        <v>145</v>
      </c>
      <c r="Y537" s="7">
        <f>I537-H537</f>
        <v>6.9444444452528842E-3</v>
      </c>
      <c r="Z537">
        <f>HOUR(Y537)</f>
        <v>0</v>
      </c>
      <c r="AA537">
        <f>MINUTE(Y537)</f>
        <v>10</v>
      </c>
      <c r="AB537">
        <f>Z537*60+AA537</f>
        <v>10</v>
      </c>
    </row>
    <row r="538" spans="1:28" x14ac:dyDescent="0.25">
      <c r="A538">
        <v>536</v>
      </c>
      <c r="B538" t="s">
        <v>29</v>
      </c>
      <c r="C538">
        <v>1</v>
      </c>
      <c r="D538" t="s">
        <v>30</v>
      </c>
      <c r="E538" s="6">
        <v>46060.434027777781</v>
      </c>
      <c r="F538" s="6">
        <v>46060.4375</v>
      </c>
      <c r="G538" s="6">
        <v>46060.465277777781</v>
      </c>
      <c r="H538" s="6">
        <v>46060.486111111109</v>
      </c>
      <c r="I538" s="6">
        <v>46060.493055555555</v>
      </c>
      <c r="J538" s="6">
        <v>46060.5</v>
      </c>
      <c r="K538">
        <v>1.58</v>
      </c>
      <c r="L538" s="6">
        <v>46060.503472222219</v>
      </c>
      <c r="M538" s="7">
        <f>F538-E538</f>
        <v>3.4722222189884633E-3</v>
      </c>
      <c r="N538">
        <f>HOUR(M538)</f>
        <v>0</v>
      </c>
      <c r="O538">
        <f>MINUTE(M538)</f>
        <v>5</v>
      </c>
      <c r="P538">
        <f>N538*60+O538</f>
        <v>5</v>
      </c>
      <c r="Q538" s="7">
        <f>G538-F538</f>
        <v>2.7777777781011537E-2</v>
      </c>
      <c r="R538">
        <f>HOUR(Q538)</f>
        <v>0</v>
      </c>
      <c r="S538">
        <f>MINUTE(Q538)</f>
        <v>40</v>
      </c>
      <c r="T538">
        <f>R538*60+S538</f>
        <v>40</v>
      </c>
      <c r="U538" s="7">
        <f>H538-G538</f>
        <v>2.0833333328482695E-2</v>
      </c>
      <c r="V538">
        <f>HOUR(U538)</f>
        <v>0</v>
      </c>
      <c r="W538">
        <f>MINUTE(U538)</f>
        <v>30</v>
      </c>
      <c r="X538">
        <f>V538*60+W538</f>
        <v>30</v>
      </c>
      <c r="Y538" s="7">
        <f>I538-H538</f>
        <v>6.9444444452528842E-3</v>
      </c>
      <c r="Z538">
        <f>HOUR(Y538)</f>
        <v>0</v>
      </c>
      <c r="AA538">
        <f>MINUTE(Y538)</f>
        <v>10</v>
      </c>
      <c r="AB538">
        <f>Z538*60+AA538</f>
        <v>10</v>
      </c>
    </row>
    <row r="539" spans="1:28" x14ac:dyDescent="0.25">
      <c r="A539">
        <v>537</v>
      </c>
      <c r="B539" t="s">
        <v>29</v>
      </c>
      <c r="C539">
        <v>1</v>
      </c>
      <c r="D539" t="s">
        <v>36</v>
      </c>
      <c r="E539" s="6">
        <v>46060.395833333336</v>
      </c>
      <c r="F539" s="6">
        <v>46060.399305555555</v>
      </c>
      <c r="G539" s="6">
        <v>46060.402777777781</v>
      </c>
      <c r="H539" s="6">
        <v>46060.413194444445</v>
      </c>
      <c r="I539" s="6">
        <v>46060.416666666664</v>
      </c>
      <c r="J539" s="6">
        <v>46060.430555555555</v>
      </c>
      <c r="K539">
        <v>0.83</v>
      </c>
      <c r="L539" s="6">
        <v>46060.4375</v>
      </c>
      <c r="M539" s="7">
        <f>F539-E539</f>
        <v>3.4722222189884633E-3</v>
      </c>
      <c r="N539">
        <f>HOUR(M539)</f>
        <v>0</v>
      </c>
      <c r="O539">
        <f>MINUTE(M539)</f>
        <v>5</v>
      </c>
      <c r="P539">
        <f>N539*60+O539</f>
        <v>5</v>
      </c>
      <c r="Q539" s="7">
        <f>G539-F539</f>
        <v>3.4722222262644209E-3</v>
      </c>
      <c r="R539">
        <f>HOUR(Q539)</f>
        <v>0</v>
      </c>
      <c r="S539">
        <f>MINUTE(Q539)</f>
        <v>5</v>
      </c>
      <c r="T539">
        <f>R539*60+S539</f>
        <v>5</v>
      </c>
      <c r="U539" s="7">
        <f>H539-G539</f>
        <v>1.0416666664241347E-2</v>
      </c>
      <c r="V539">
        <f>HOUR(U539)</f>
        <v>0</v>
      </c>
      <c r="W539">
        <f>MINUTE(U539)</f>
        <v>15</v>
      </c>
      <c r="X539">
        <f>V539*60+W539</f>
        <v>15</v>
      </c>
      <c r="Y539" s="7">
        <f>I539-H539</f>
        <v>3.4722222189884633E-3</v>
      </c>
      <c r="Z539">
        <f>HOUR(Y539)</f>
        <v>0</v>
      </c>
      <c r="AA539">
        <f>MINUTE(Y539)</f>
        <v>5</v>
      </c>
      <c r="AB539">
        <f>Z539*60+AA539</f>
        <v>5</v>
      </c>
    </row>
    <row r="540" spans="1:28" x14ac:dyDescent="0.25">
      <c r="A540">
        <v>538</v>
      </c>
      <c r="B540" t="s">
        <v>31</v>
      </c>
      <c r="C540">
        <v>1</v>
      </c>
      <c r="D540" t="s">
        <v>30</v>
      </c>
      <c r="E540" s="6">
        <v>46060.643750000003</v>
      </c>
      <c r="F540" s="6">
        <v>46060.645833333336</v>
      </c>
      <c r="G540" s="6">
        <v>46060.664583333331</v>
      </c>
      <c r="H540" s="6">
        <v>46060.725694444445</v>
      </c>
      <c r="I540" s="6">
        <v>46060.756944444445</v>
      </c>
      <c r="J540" s="6">
        <v>46060.760416666664</v>
      </c>
      <c r="K540">
        <v>2.8</v>
      </c>
      <c r="L540" s="6">
        <v>46060.767361111109</v>
      </c>
      <c r="M540" s="7">
        <f>F540-E540</f>
        <v>2.0833333328482695E-3</v>
      </c>
      <c r="N540">
        <f>HOUR(M540)</f>
        <v>0</v>
      </c>
      <c r="O540">
        <f>MINUTE(M540)</f>
        <v>3</v>
      </c>
      <c r="P540">
        <f>N540*60+O540</f>
        <v>3</v>
      </c>
      <c r="Q540" s="7">
        <f>G540-F540</f>
        <v>1.8749999995634425E-2</v>
      </c>
      <c r="R540">
        <f>HOUR(Q540)</f>
        <v>0</v>
      </c>
      <c r="S540">
        <f>MINUTE(Q540)</f>
        <v>27</v>
      </c>
      <c r="T540">
        <f>R540*60+S540</f>
        <v>27</v>
      </c>
      <c r="U540" s="7">
        <f>H540-G540</f>
        <v>6.1111111113859806E-2</v>
      </c>
      <c r="V540">
        <f>HOUR(U540)</f>
        <v>1</v>
      </c>
      <c r="W540">
        <f>MINUTE(U540)</f>
        <v>28</v>
      </c>
      <c r="X540">
        <f>V540*60+W540</f>
        <v>88</v>
      </c>
      <c r="Y540" s="7">
        <f>I540-H540</f>
        <v>3.125E-2</v>
      </c>
      <c r="Z540">
        <f>HOUR(Y540)</f>
        <v>0</v>
      </c>
      <c r="AA540">
        <f>MINUTE(Y540)</f>
        <v>45</v>
      </c>
      <c r="AB540">
        <f>Z540*60+AA540</f>
        <v>45</v>
      </c>
    </row>
    <row r="541" spans="1:28" x14ac:dyDescent="0.25">
      <c r="A541">
        <v>539</v>
      </c>
      <c r="B541" t="s">
        <v>33</v>
      </c>
      <c r="C541">
        <v>1</v>
      </c>
      <c r="D541" t="s">
        <v>30</v>
      </c>
      <c r="E541" s="6">
        <v>46060.916666666664</v>
      </c>
      <c r="F541" s="6">
        <v>46060.930555555555</v>
      </c>
      <c r="G541" s="6">
        <v>46060.940972222219</v>
      </c>
      <c r="H541" s="6">
        <v>46060.963888888888</v>
      </c>
      <c r="I541" s="6">
        <v>46060.970833333333</v>
      </c>
      <c r="J541" s="6">
        <v>46060.986111111109</v>
      </c>
      <c r="K541">
        <v>1.67</v>
      </c>
      <c r="L541" s="6">
        <v>46060.993055555555</v>
      </c>
      <c r="M541" s="7">
        <f>F541-E541</f>
        <v>1.3888888890505768E-2</v>
      </c>
      <c r="N541">
        <f>HOUR(M541)</f>
        <v>0</v>
      </c>
      <c r="O541">
        <f>MINUTE(M541)</f>
        <v>20</v>
      </c>
      <c r="P541">
        <f>N541*60+O541</f>
        <v>20</v>
      </c>
      <c r="Q541" s="7">
        <f>G541-F541</f>
        <v>1.0416666664241347E-2</v>
      </c>
      <c r="R541">
        <f>HOUR(Q541)</f>
        <v>0</v>
      </c>
      <c r="S541">
        <f>MINUTE(Q541)</f>
        <v>15</v>
      </c>
      <c r="T541">
        <f>R541*60+S541</f>
        <v>15</v>
      </c>
      <c r="U541" s="7">
        <f>H541-G541</f>
        <v>2.2916666668606922E-2</v>
      </c>
      <c r="V541">
        <f>HOUR(U541)</f>
        <v>0</v>
      </c>
      <c r="W541">
        <f>MINUTE(U541)</f>
        <v>33</v>
      </c>
      <c r="X541">
        <f>V541*60+W541</f>
        <v>33</v>
      </c>
      <c r="Y541" s="7">
        <f>I541-H541</f>
        <v>6.9444444452528842E-3</v>
      </c>
      <c r="Z541">
        <f>HOUR(Y541)</f>
        <v>0</v>
      </c>
      <c r="AA541">
        <f>MINUTE(Y541)</f>
        <v>10</v>
      </c>
      <c r="AB541">
        <f>Z541*60+AA541</f>
        <v>10</v>
      </c>
    </row>
    <row r="542" spans="1:28" x14ac:dyDescent="0.25">
      <c r="A542">
        <v>540</v>
      </c>
      <c r="B542" t="s">
        <v>33</v>
      </c>
      <c r="C542">
        <v>1</v>
      </c>
      <c r="D542" t="s">
        <v>35</v>
      </c>
      <c r="E542" s="6">
        <v>46060.597222222219</v>
      </c>
      <c r="F542" s="6">
        <v>46060.600694444445</v>
      </c>
      <c r="G542" s="6">
        <v>46060.611111111109</v>
      </c>
      <c r="H542" s="6">
        <v>46060.722222222219</v>
      </c>
      <c r="I542" s="6">
        <v>46060.729166666664</v>
      </c>
      <c r="J542" s="6">
        <v>46060.743055555555</v>
      </c>
      <c r="K542">
        <v>3.5</v>
      </c>
      <c r="L542" s="6">
        <v>46060.75</v>
      </c>
      <c r="M542" s="7">
        <f>F542-E542</f>
        <v>3.4722222262644209E-3</v>
      </c>
      <c r="N542">
        <f>HOUR(M542)</f>
        <v>0</v>
      </c>
      <c r="O542">
        <f>MINUTE(M542)</f>
        <v>5</v>
      </c>
      <c r="P542">
        <f>N542*60+O542</f>
        <v>5</v>
      </c>
      <c r="Q542" s="7">
        <f>G542-F542</f>
        <v>1.0416666664241347E-2</v>
      </c>
      <c r="R542">
        <f>HOUR(Q542)</f>
        <v>0</v>
      </c>
      <c r="S542">
        <f>MINUTE(Q542)</f>
        <v>15</v>
      </c>
      <c r="T542">
        <f>R542*60+S542</f>
        <v>15</v>
      </c>
      <c r="U542" s="7">
        <f>H542-G542</f>
        <v>0.11111111110949423</v>
      </c>
      <c r="V542">
        <f>HOUR(U542)</f>
        <v>2</v>
      </c>
      <c r="W542">
        <f>MINUTE(U542)</f>
        <v>40</v>
      </c>
      <c r="X542">
        <f>V542*60+W542</f>
        <v>160</v>
      </c>
      <c r="Y542" s="7">
        <f>I542-H542</f>
        <v>6.9444444452528842E-3</v>
      </c>
      <c r="Z542">
        <f>HOUR(Y542)</f>
        <v>0</v>
      </c>
      <c r="AA542">
        <f>MINUTE(Y542)</f>
        <v>10</v>
      </c>
      <c r="AB542">
        <f>Z542*60+AA542</f>
        <v>10</v>
      </c>
    </row>
    <row r="543" spans="1:28" x14ac:dyDescent="0.25">
      <c r="A543">
        <v>541</v>
      </c>
      <c r="B543" t="s">
        <v>33</v>
      </c>
      <c r="C543">
        <v>1</v>
      </c>
      <c r="D543" t="s">
        <v>36</v>
      </c>
      <c r="E543" s="6">
        <v>46060.506944444445</v>
      </c>
      <c r="F543" s="6">
        <v>46060.513888888891</v>
      </c>
      <c r="G543" s="6">
        <v>46060.545138888891</v>
      </c>
      <c r="H543" s="6">
        <v>46060.659722222219</v>
      </c>
      <c r="I543" s="6">
        <v>46060.666666666664</v>
      </c>
      <c r="J543" s="6">
        <v>46060.847222222219</v>
      </c>
      <c r="K543">
        <v>8.17</v>
      </c>
      <c r="L543" s="6">
        <v>46060.854166666664</v>
      </c>
      <c r="M543" s="7">
        <f>F543-E543</f>
        <v>6.9444444452528842E-3</v>
      </c>
      <c r="N543">
        <f>HOUR(M543)</f>
        <v>0</v>
      </c>
      <c r="O543">
        <f>MINUTE(M543)</f>
        <v>10</v>
      </c>
      <c r="P543">
        <f>N543*60+O543</f>
        <v>10</v>
      </c>
      <c r="Q543" s="7">
        <f>G543-F543</f>
        <v>3.125E-2</v>
      </c>
      <c r="R543">
        <f>HOUR(Q543)</f>
        <v>0</v>
      </c>
      <c r="S543">
        <f>MINUTE(Q543)</f>
        <v>45</v>
      </c>
      <c r="T543">
        <f>R543*60+S543</f>
        <v>45</v>
      </c>
      <c r="U543" s="7">
        <f>H543-G543</f>
        <v>0.11458333332848269</v>
      </c>
      <c r="V543">
        <f>HOUR(U543)</f>
        <v>2</v>
      </c>
      <c r="W543">
        <f>MINUTE(U543)</f>
        <v>45</v>
      </c>
      <c r="X543">
        <f>V543*60+W543</f>
        <v>165</v>
      </c>
      <c r="Y543" s="7">
        <f>I543-H543</f>
        <v>6.9444444452528842E-3</v>
      </c>
      <c r="Z543">
        <f>HOUR(Y543)</f>
        <v>0</v>
      </c>
      <c r="AA543">
        <f>MINUTE(Y543)</f>
        <v>10</v>
      </c>
      <c r="AB543">
        <f>Z543*60+AA543</f>
        <v>10</v>
      </c>
    </row>
    <row r="544" spans="1:28" x14ac:dyDescent="0.25">
      <c r="A544">
        <v>542</v>
      </c>
      <c r="B544" t="s">
        <v>31</v>
      </c>
      <c r="C544">
        <v>1</v>
      </c>
      <c r="D544" t="s">
        <v>30</v>
      </c>
      <c r="E544" s="6">
        <v>46061.34375</v>
      </c>
      <c r="F544" s="6">
        <v>46061.357638888891</v>
      </c>
      <c r="G544" s="6">
        <v>46061.364583333336</v>
      </c>
      <c r="H544" s="6">
        <v>46061.388888888891</v>
      </c>
      <c r="I544" s="6">
        <v>46061.392361111109</v>
      </c>
      <c r="J544" s="6">
        <v>46061.395833333336</v>
      </c>
      <c r="K544">
        <v>1.25</v>
      </c>
      <c r="L544" s="6">
        <v>46061.402777777781</v>
      </c>
      <c r="M544" s="7">
        <f>F544-E544</f>
        <v>1.3888888890505768E-2</v>
      </c>
      <c r="N544">
        <f>HOUR(M544)</f>
        <v>0</v>
      </c>
      <c r="O544">
        <f>MINUTE(M544)</f>
        <v>20</v>
      </c>
      <c r="P544">
        <f>N544*60+O544</f>
        <v>20</v>
      </c>
      <c r="Q544" s="7">
        <f>G544-F544</f>
        <v>6.9444444452528842E-3</v>
      </c>
      <c r="R544">
        <f>HOUR(Q544)</f>
        <v>0</v>
      </c>
      <c r="S544">
        <f>MINUTE(Q544)</f>
        <v>10</v>
      </c>
      <c r="T544">
        <f>R544*60+S544</f>
        <v>10</v>
      </c>
      <c r="U544" s="7">
        <f>H544-G544</f>
        <v>2.4305555554747116E-2</v>
      </c>
      <c r="V544">
        <f>HOUR(U544)</f>
        <v>0</v>
      </c>
      <c r="W544">
        <f>MINUTE(U544)</f>
        <v>35</v>
      </c>
      <c r="X544">
        <f>V544*60+W544</f>
        <v>35</v>
      </c>
      <c r="Y544" s="7">
        <f>I544-H544</f>
        <v>3.4722222189884633E-3</v>
      </c>
      <c r="Z544">
        <f>HOUR(Y544)</f>
        <v>0</v>
      </c>
      <c r="AA544">
        <f>MINUTE(Y544)</f>
        <v>5</v>
      </c>
      <c r="AB544">
        <f>Z544*60+AA544</f>
        <v>5</v>
      </c>
    </row>
    <row r="545" spans="1:28" x14ac:dyDescent="0.25">
      <c r="A545">
        <v>543</v>
      </c>
      <c r="B545" t="s">
        <v>33</v>
      </c>
      <c r="C545">
        <v>1</v>
      </c>
      <c r="D545" t="s">
        <v>30</v>
      </c>
      <c r="E545" s="6">
        <v>46061.466666666667</v>
      </c>
      <c r="F545" s="6">
        <v>46061.470138888886</v>
      </c>
      <c r="G545" s="6">
        <v>46061.479166666664</v>
      </c>
      <c r="H545" s="6">
        <v>46061.506944444445</v>
      </c>
      <c r="I545" s="6">
        <v>46061.513888888891</v>
      </c>
      <c r="J545" s="6">
        <v>46061.520833333336</v>
      </c>
      <c r="K545">
        <v>1.3</v>
      </c>
      <c r="L545" s="6">
        <v>46061.527777777781</v>
      </c>
      <c r="M545" s="7">
        <f>F545-E545</f>
        <v>3.4722222189884633E-3</v>
      </c>
      <c r="N545">
        <f>HOUR(M545)</f>
        <v>0</v>
      </c>
      <c r="O545">
        <f>MINUTE(M545)</f>
        <v>5</v>
      </c>
      <c r="P545">
        <f>N545*60+O545</f>
        <v>5</v>
      </c>
      <c r="Q545" s="7">
        <f>G545-F545</f>
        <v>9.0277777781011537E-3</v>
      </c>
      <c r="R545">
        <f>HOUR(Q545)</f>
        <v>0</v>
      </c>
      <c r="S545">
        <f>MINUTE(Q545)</f>
        <v>13</v>
      </c>
      <c r="T545">
        <f>R545*60+S545</f>
        <v>13</v>
      </c>
      <c r="U545" s="7">
        <f>H545-G545</f>
        <v>2.7777777781011537E-2</v>
      </c>
      <c r="V545">
        <f>HOUR(U545)</f>
        <v>0</v>
      </c>
      <c r="W545">
        <f>MINUTE(U545)</f>
        <v>40</v>
      </c>
      <c r="X545">
        <f>V545*60+W545</f>
        <v>40</v>
      </c>
      <c r="Y545" s="7">
        <f>I545-H545</f>
        <v>6.9444444452528842E-3</v>
      </c>
      <c r="Z545">
        <f>HOUR(Y545)</f>
        <v>0</v>
      </c>
      <c r="AA545">
        <f>MINUTE(Y545)</f>
        <v>10</v>
      </c>
      <c r="AB545">
        <f>Z545*60+AA545</f>
        <v>10</v>
      </c>
    </row>
    <row r="546" spans="1:28" x14ac:dyDescent="0.25">
      <c r="A546">
        <v>544</v>
      </c>
      <c r="B546" t="s">
        <v>29</v>
      </c>
      <c r="C546">
        <v>1</v>
      </c>
      <c r="D546" t="s">
        <v>30</v>
      </c>
      <c r="E546" s="6">
        <v>46060.652777777781</v>
      </c>
      <c r="F546" s="6">
        <v>46060.659722222219</v>
      </c>
      <c r="G546" s="6">
        <v>46060.692361111112</v>
      </c>
      <c r="H546" s="6">
        <v>46060.729166666664</v>
      </c>
      <c r="I546" s="6">
        <v>46060.736111111109</v>
      </c>
      <c r="J546" s="6">
        <v>46060.763888888891</v>
      </c>
      <c r="K546">
        <v>2.67</v>
      </c>
      <c r="L546" s="6">
        <v>46060.770833333336</v>
      </c>
      <c r="M546" s="7">
        <f>F546-E546</f>
        <v>6.9444444379769266E-3</v>
      </c>
      <c r="N546">
        <f>HOUR(M546)</f>
        <v>0</v>
      </c>
      <c r="O546">
        <f>MINUTE(M546)</f>
        <v>10</v>
      </c>
      <c r="P546">
        <f>N546*60+O546</f>
        <v>10</v>
      </c>
      <c r="Q546" s="7">
        <f>G546-F546</f>
        <v>3.2638888893416151E-2</v>
      </c>
      <c r="R546">
        <f>HOUR(Q546)</f>
        <v>0</v>
      </c>
      <c r="S546">
        <f>MINUTE(Q546)</f>
        <v>47</v>
      </c>
      <c r="T546">
        <f>R546*60+S546</f>
        <v>47</v>
      </c>
      <c r="U546" s="7">
        <f>H546-G546</f>
        <v>3.6805555551836733E-2</v>
      </c>
      <c r="V546">
        <f>HOUR(U546)</f>
        <v>0</v>
      </c>
      <c r="W546">
        <f>MINUTE(U546)</f>
        <v>53</v>
      </c>
      <c r="X546">
        <f>V546*60+W546</f>
        <v>53</v>
      </c>
      <c r="Y546" s="7">
        <f>I546-H546</f>
        <v>6.9444444452528842E-3</v>
      </c>
      <c r="Z546">
        <f>HOUR(Y546)</f>
        <v>0</v>
      </c>
      <c r="AA546">
        <f>MINUTE(Y546)</f>
        <v>10</v>
      </c>
      <c r="AB546">
        <f>Z546*60+AA546</f>
        <v>10</v>
      </c>
    </row>
    <row r="547" spans="1:28" x14ac:dyDescent="0.25">
      <c r="A547">
        <v>545</v>
      </c>
      <c r="B547" t="s">
        <v>29</v>
      </c>
      <c r="C547">
        <v>1</v>
      </c>
      <c r="D547" t="s">
        <v>32</v>
      </c>
      <c r="E547" s="6">
        <v>46060.861111111109</v>
      </c>
      <c r="F547" s="6">
        <v>46060.864583333336</v>
      </c>
      <c r="G547" s="6">
        <v>46060.875</v>
      </c>
      <c r="H547" s="6">
        <v>46060.9375</v>
      </c>
      <c r="I547" s="6">
        <v>46060.944444444445</v>
      </c>
      <c r="J547" s="6">
        <v>46060.947916666664</v>
      </c>
      <c r="K547">
        <v>2.08</v>
      </c>
      <c r="L547" s="6">
        <v>46060.954861111109</v>
      </c>
      <c r="M547" s="7">
        <f>F547-E547</f>
        <v>3.4722222262644209E-3</v>
      </c>
      <c r="N547">
        <f>HOUR(M547)</f>
        <v>0</v>
      </c>
      <c r="O547">
        <f>MINUTE(M547)</f>
        <v>5</v>
      </c>
      <c r="P547">
        <f>N547*60+O547</f>
        <v>5</v>
      </c>
      <c r="Q547" s="7">
        <f>G547-F547</f>
        <v>1.0416666664241347E-2</v>
      </c>
      <c r="R547">
        <f>HOUR(Q547)</f>
        <v>0</v>
      </c>
      <c r="S547">
        <f>MINUTE(Q547)</f>
        <v>15</v>
      </c>
      <c r="T547">
        <f>R547*60+S547</f>
        <v>15</v>
      </c>
      <c r="U547" s="7">
        <f>H547-G547</f>
        <v>6.25E-2</v>
      </c>
      <c r="V547">
        <f>HOUR(U547)</f>
        <v>1</v>
      </c>
      <c r="W547">
        <f>MINUTE(U547)</f>
        <v>30</v>
      </c>
      <c r="X547">
        <f>V547*60+W547</f>
        <v>90</v>
      </c>
      <c r="Y547" s="7">
        <f>I547-H547</f>
        <v>6.9444444452528842E-3</v>
      </c>
      <c r="Z547">
        <f>HOUR(Y547)</f>
        <v>0</v>
      </c>
      <c r="AA547">
        <f>MINUTE(Y547)</f>
        <v>10</v>
      </c>
      <c r="AB547">
        <f>Z547*60+AA547</f>
        <v>10</v>
      </c>
    </row>
    <row r="548" spans="1:28" x14ac:dyDescent="0.25">
      <c r="A548">
        <v>546</v>
      </c>
      <c r="B548" t="s">
        <v>31</v>
      </c>
      <c r="C548">
        <v>1</v>
      </c>
      <c r="D548" t="s">
        <v>30</v>
      </c>
      <c r="E548" s="6">
        <v>46060.815972222219</v>
      </c>
      <c r="F548" s="6">
        <v>46060.819444444445</v>
      </c>
      <c r="G548" s="6">
        <v>46060.822916666664</v>
      </c>
      <c r="H548" s="6">
        <v>46060.89166666667</v>
      </c>
      <c r="I548" s="6">
        <v>46060.898611111108</v>
      </c>
      <c r="J548" s="6">
        <v>46060.902777777781</v>
      </c>
      <c r="K548">
        <v>2.08</v>
      </c>
      <c r="L548" s="6">
        <v>46060.909722222219</v>
      </c>
      <c r="M548" s="7">
        <f>F548-E548</f>
        <v>3.4722222262644209E-3</v>
      </c>
      <c r="N548">
        <f>HOUR(M548)</f>
        <v>0</v>
      </c>
      <c r="O548">
        <f>MINUTE(M548)</f>
        <v>5</v>
      </c>
      <c r="P548">
        <f>N548*60+O548</f>
        <v>5</v>
      </c>
      <c r="Q548" s="7">
        <f>G548-F548</f>
        <v>3.4722222189884633E-3</v>
      </c>
      <c r="R548">
        <f>HOUR(Q548)</f>
        <v>0</v>
      </c>
      <c r="S548">
        <f>MINUTE(Q548)</f>
        <v>5</v>
      </c>
      <c r="T548">
        <f>R548*60+S548</f>
        <v>5</v>
      </c>
      <c r="U548" s="7">
        <f>H548-G548</f>
        <v>6.8750000005820766E-2</v>
      </c>
      <c r="V548">
        <f>HOUR(U548)</f>
        <v>1</v>
      </c>
      <c r="W548">
        <f>MINUTE(U548)</f>
        <v>39</v>
      </c>
      <c r="X548">
        <f>V548*60+W548</f>
        <v>99</v>
      </c>
      <c r="Y548" s="7">
        <f>I548-H548</f>
        <v>6.9444444379769266E-3</v>
      </c>
      <c r="Z548">
        <f>HOUR(Y548)</f>
        <v>0</v>
      </c>
      <c r="AA548">
        <f>MINUTE(Y548)</f>
        <v>10</v>
      </c>
      <c r="AB548">
        <f>Z548*60+AA548</f>
        <v>10</v>
      </c>
    </row>
    <row r="549" spans="1:28" x14ac:dyDescent="0.25">
      <c r="A549">
        <v>547</v>
      </c>
      <c r="B549" t="s">
        <v>29</v>
      </c>
      <c r="C549">
        <v>1</v>
      </c>
      <c r="D549" t="s">
        <v>30</v>
      </c>
      <c r="E549" s="6">
        <v>46061.052083333336</v>
      </c>
      <c r="F549" s="6">
        <v>46061.069444444445</v>
      </c>
      <c r="G549" s="6">
        <v>46061.083333333336</v>
      </c>
      <c r="H549" s="6">
        <v>46061.097222222219</v>
      </c>
      <c r="I549" s="6">
        <v>46061.100694444445</v>
      </c>
      <c r="J549" s="6">
        <v>46061.102083333331</v>
      </c>
      <c r="K549">
        <v>1.2</v>
      </c>
      <c r="L549" s="6">
        <v>46061.104166666664</v>
      </c>
      <c r="M549" s="7">
        <f>F549-E549</f>
        <v>1.7361111109494232E-2</v>
      </c>
      <c r="N549">
        <f>HOUR(M549)</f>
        <v>0</v>
      </c>
      <c r="O549">
        <f>MINUTE(M549)</f>
        <v>25</v>
      </c>
      <c r="P549">
        <f>N549*60+O549</f>
        <v>25</v>
      </c>
      <c r="Q549" s="7">
        <f>G549-F549</f>
        <v>1.3888888890505768E-2</v>
      </c>
      <c r="R549">
        <f>HOUR(Q549)</f>
        <v>0</v>
      </c>
      <c r="S549">
        <f>MINUTE(Q549)</f>
        <v>20</v>
      </c>
      <c r="T549">
        <f>R549*60+S549</f>
        <v>20</v>
      </c>
      <c r="U549" s="7">
        <f>H549-G549</f>
        <v>1.3888888883229811E-2</v>
      </c>
      <c r="V549">
        <f>HOUR(U549)</f>
        <v>0</v>
      </c>
      <c r="W549">
        <f>MINUTE(U549)</f>
        <v>20</v>
      </c>
      <c r="X549">
        <f>V549*60+W549</f>
        <v>20</v>
      </c>
      <c r="Y549" s="7">
        <f>I549-H549</f>
        <v>3.4722222262644209E-3</v>
      </c>
      <c r="Z549">
        <f>HOUR(Y549)</f>
        <v>0</v>
      </c>
      <c r="AA549">
        <f>MINUTE(Y549)</f>
        <v>5</v>
      </c>
      <c r="AB549">
        <f>Z549*60+AA549</f>
        <v>5</v>
      </c>
    </row>
    <row r="550" spans="1:28" x14ac:dyDescent="0.25">
      <c r="A550">
        <v>548</v>
      </c>
      <c r="B550" t="s">
        <v>29</v>
      </c>
      <c r="C550">
        <v>1</v>
      </c>
      <c r="D550" t="s">
        <v>36</v>
      </c>
      <c r="E550" s="6">
        <v>46061.409722222219</v>
      </c>
      <c r="F550" s="6">
        <v>46061.416666666664</v>
      </c>
      <c r="G550" s="6">
        <v>46061.434027777781</v>
      </c>
      <c r="H550" s="6">
        <v>46061.458333333336</v>
      </c>
      <c r="I550" s="6">
        <v>46061.465277777781</v>
      </c>
      <c r="J550" s="6">
        <v>46061.470138888886</v>
      </c>
      <c r="K550">
        <v>1.45</v>
      </c>
      <c r="L550" s="6">
        <v>46061.477083333331</v>
      </c>
      <c r="M550" s="7">
        <f>F550-E550</f>
        <v>6.9444444452528842E-3</v>
      </c>
      <c r="N550">
        <f>HOUR(M550)</f>
        <v>0</v>
      </c>
      <c r="O550">
        <f>MINUTE(M550)</f>
        <v>10</v>
      </c>
      <c r="P550">
        <f>N550*60+O550</f>
        <v>10</v>
      </c>
      <c r="Q550" s="7">
        <f>G550-F550</f>
        <v>1.7361111116770189E-2</v>
      </c>
      <c r="R550">
        <f>HOUR(Q550)</f>
        <v>0</v>
      </c>
      <c r="S550">
        <f>MINUTE(Q550)</f>
        <v>25</v>
      </c>
      <c r="T550">
        <f>R550*60+S550</f>
        <v>25</v>
      </c>
      <c r="U550" s="7">
        <f>H550-G550</f>
        <v>2.4305555554747116E-2</v>
      </c>
      <c r="V550">
        <f>HOUR(U550)</f>
        <v>0</v>
      </c>
      <c r="W550">
        <f>MINUTE(U550)</f>
        <v>35</v>
      </c>
      <c r="X550">
        <f>V550*60+W550</f>
        <v>35</v>
      </c>
      <c r="Y550" s="7">
        <f>I550-H550</f>
        <v>6.9444444452528842E-3</v>
      </c>
      <c r="Z550">
        <f>HOUR(Y550)</f>
        <v>0</v>
      </c>
      <c r="AA550">
        <f>MINUTE(Y550)</f>
        <v>10</v>
      </c>
      <c r="AB550">
        <f>Z550*60+AA550</f>
        <v>10</v>
      </c>
    </row>
    <row r="551" spans="1:28" x14ac:dyDescent="0.25">
      <c r="A551">
        <v>549</v>
      </c>
      <c r="B551" t="s">
        <v>29</v>
      </c>
      <c r="C551">
        <v>1</v>
      </c>
      <c r="D551" t="s">
        <v>30</v>
      </c>
      <c r="E551" s="6">
        <v>46061.631944444445</v>
      </c>
      <c r="F551" s="6">
        <v>46061.645833333336</v>
      </c>
      <c r="G551" s="6">
        <v>46061.65625</v>
      </c>
      <c r="H551" s="6">
        <v>46061.666666666664</v>
      </c>
      <c r="I551" s="6">
        <v>46061.673611111109</v>
      </c>
      <c r="J551" s="6">
        <v>46061.680555555555</v>
      </c>
      <c r="K551">
        <v>1.17</v>
      </c>
      <c r="L551" s="6">
        <v>46061.6875</v>
      </c>
      <c r="M551" s="7">
        <f>F551-E551</f>
        <v>1.3888888890505768E-2</v>
      </c>
      <c r="N551">
        <f>HOUR(M551)</f>
        <v>0</v>
      </c>
      <c r="O551">
        <f>MINUTE(M551)</f>
        <v>20</v>
      </c>
      <c r="P551">
        <f>N551*60+O551</f>
        <v>20</v>
      </c>
      <c r="Q551" s="7">
        <f>G551-F551</f>
        <v>1.0416666664241347E-2</v>
      </c>
      <c r="R551">
        <f>HOUR(Q551)</f>
        <v>0</v>
      </c>
      <c r="S551">
        <f>MINUTE(Q551)</f>
        <v>15</v>
      </c>
      <c r="T551">
        <f>R551*60+S551</f>
        <v>15</v>
      </c>
      <c r="U551" s="7">
        <f>H551-G551</f>
        <v>1.0416666664241347E-2</v>
      </c>
      <c r="V551">
        <f>HOUR(U551)</f>
        <v>0</v>
      </c>
      <c r="W551">
        <f>MINUTE(U551)</f>
        <v>15</v>
      </c>
      <c r="X551">
        <f>V551*60+W551</f>
        <v>15</v>
      </c>
      <c r="Y551" s="7">
        <f>I551-H551</f>
        <v>6.9444444452528842E-3</v>
      </c>
      <c r="Z551">
        <f>HOUR(Y551)</f>
        <v>0</v>
      </c>
      <c r="AA551">
        <f>MINUTE(Y551)</f>
        <v>10</v>
      </c>
      <c r="AB551">
        <f>Z551*60+AA551</f>
        <v>10</v>
      </c>
    </row>
    <row r="552" spans="1:28" x14ac:dyDescent="0.25">
      <c r="A552">
        <v>550</v>
      </c>
      <c r="B552" t="s">
        <v>31</v>
      </c>
      <c r="C552">
        <v>1</v>
      </c>
      <c r="D552" t="s">
        <v>30</v>
      </c>
      <c r="E552" s="6">
        <v>46061.84375</v>
      </c>
      <c r="F552" s="6">
        <v>46061.847222222219</v>
      </c>
      <c r="G552" s="6">
        <v>46061.854166666664</v>
      </c>
      <c r="H552" s="6">
        <v>46061.872916666667</v>
      </c>
      <c r="I552" s="6">
        <v>46061.879861111112</v>
      </c>
      <c r="J552" s="6">
        <v>46061.888888888891</v>
      </c>
      <c r="K552">
        <v>1.08</v>
      </c>
      <c r="L552" s="6">
        <v>46061.895833333336</v>
      </c>
      <c r="M552" s="7">
        <f>F552-E552</f>
        <v>3.4722222189884633E-3</v>
      </c>
      <c r="N552">
        <f>HOUR(M552)</f>
        <v>0</v>
      </c>
      <c r="O552">
        <f>MINUTE(M552)</f>
        <v>5</v>
      </c>
      <c r="P552">
        <f>N552*60+O552</f>
        <v>5</v>
      </c>
      <c r="Q552" s="7">
        <f>G552-F552</f>
        <v>6.9444444452528842E-3</v>
      </c>
      <c r="R552">
        <f>HOUR(Q552)</f>
        <v>0</v>
      </c>
      <c r="S552">
        <f>MINUTE(Q552)</f>
        <v>10</v>
      </c>
      <c r="T552">
        <f>R552*60+S552</f>
        <v>10</v>
      </c>
      <c r="U552" s="7">
        <f>H552-G552</f>
        <v>1.8750000002910383E-2</v>
      </c>
      <c r="V552">
        <f>HOUR(U552)</f>
        <v>0</v>
      </c>
      <c r="W552">
        <f>MINUTE(U552)</f>
        <v>27</v>
      </c>
      <c r="X552">
        <f>V552*60+W552</f>
        <v>27</v>
      </c>
      <c r="Y552" s="7">
        <f>I552-H552</f>
        <v>6.9444444452528842E-3</v>
      </c>
      <c r="Z552">
        <f>HOUR(Y552)</f>
        <v>0</v>
      </c>
      <c r="AA552">
        <f>MINUTE(Y552)</f>
        <v>10</v>
      </c>
      <c r="AB552">
        <f>Z552*60+AA552</f>
        <v>10</v>
      </c>
    </row>
    <row r="553" spans="1:28" x14ac:dyDescent="0.25">
      <c r="A553">
        <v>551</v>
      </c>
      <c r="B553" t="s">
        <v>31</v>
      </c>
      <c r="C553">
        <v>1</v>
      </c>
      <c r="D553" t="s">
        <v>32</v>
      </c>
      <c r="E553" s="6">
        <v>46062.510416666664</v>
      </c>
      <c r="F553" s="6">
        <v>46062.520833333336</v>
      </c>
      <c r="G553" s="6">
        <v>46062.534722222219</v>
      </c>
      <c r="H553" s="6">
        <v>46062.5625</v>
      </c>
      <c r="I553" s="6">
        <v>46062.569444444445</v>
      </c>
      <c r="J553" s="6">
        <v>46062.829861111109</v>
      </c>
      <c r="K553">
        <v>7.67</v>
      </c>
      <c r="L553" s="6">
        <v>46062.836805555555</v>
      </c>
      <c r="M553" s="7">
        <f>F553-E553</f>
        <v>1.0416666671517305E-2</v>
      </c>
      <c r="N553">
        <f>HOUR(M553)</f>
        <v>0</v>
      </c>
      <c r="O553">
        <f>MINUTE(M553)</f>
        <v>15</v>
      </c>
      <c r="P553">
        <f>N553*60+O553</f>
        <v>15</v>
      </c>
      <c r="Q553" s="7">
        <f>G553-F553</f>
        <v>1.3888888883229811E-2</v>
      </c>
      <c r="R553">
        <f>HOUR(Q553)</f>
        <v>0</v>
      </c>
      <c r="S553">
        <f>MINUTE(Q553)</f>
        <v>20</v>
      </c>
      <c r="T553">
        <f>R553*60+S553</f>
        <v>20</v>
      </c>
      <c r="U553" s="7">
        <f>H553-G553</f>
        <v>2.7777777781011537E-2</v>
      </c>
      <c r="V553">
        <f>HOUR(U553)</f>
        <v>0</v>
      </c>
      <c r="W553">
        <f>MINUTE(U553)</f>
        <v>40</v>
      </c>
      <c r="X553">
        <f>V553*60+W553</f>
        <v>40</v>
      </c>
      <c r="Y553" s="7">
        <f>I553-H553</f>
        <v>6.9444444452528842E-3</v>
      </c>
      <c r="Z553">
        <f>HOUR(Y553)</f>
        <v>0</v>
      </c>
      <c r="AA553">
        <f>MINUTE(Y553)</f>
        <v>10</v>
      </c>
      <c r="AB553">
        <f>Z553*60+AA553</f>
        <v>10</v>
      </c>
    </row>
    <row r="554" spans="1:28" x14ac:dyDescent="0.25">
      <c r="A554">
        <v>552</v>
      </c>
      <c r="B554" t="s">
        <v>29</v>
      </c>
      <c r="C554">
        <v>1</v>
      </c>
      <c r="D554" t="s">
        <v>30</v>
      </c>
      <c r="E554" s="6">
        <v>46061.915972222225</v>
      </c>
      <c r="F554" s="6">
        <v>46061.927083333336</v>
      </c>
      <c r="G554" s="6">
        <v>46061.9375</v>
      </c>
      <c r="H554" s="6">
        <v>46061.949305555558</v>
      </c>
      <c r="I554" s="6">
        <v>46061.952777777777</v>
      </c>
      <c r="J554" s="6">
        <v>46061.958333333336</v>
      </c>
      <c r="K554">
        <v>1.02</v>
      </c>
      <c r="L554" s="6">
        <v>46061.965277777781</v>
      </c>
      <c r="M554" s="7">
        <f>F554-E554</f>
        <v>1.1111111110949423E-2</v>
      </c>
      <c r="N554">
        <f>HOUR(M554)</f>
        <v>0</v>
      </c>
      <c r="O554">
        <f>MINUTE(M554)</f>
        <v>16</v>
      </c>
      <c r="P554">
        <f>N554*60+O554</f>
        <v>16</v>
      </c>
      <c r="Q554" s="7">
        <f>G554-F554</f>
        <v>1.0416666664241347E-2</v>
      </c>
      <c r="R554">
        <f>HOUR(Q554)</f>
        <v>0</v>
      </c>
      <c r="S554">
        <f>MINUTE(Q554)</f>
        <v>15</v>
      </c>
      <c r="T554">
        <f>R554*60+S554</f>
        <v>15</v>
      </c>
      <c r="U554" s="7">
        <f>H554-G554</f>
        <v>1.1805555557657499E-2</v>
      </c>
      <c r="V554">
        <f>HOUR(U554)</f>
        <v>0</v>
      </c>
      <c r="W554">
        <f>MINUTE(U554)</f>
        <v>17</v>
      </c>
      <c r="X554">
        <f>V554*60+W554</f>
        <v>17</v>
      </c>
      <c r="Y554" s="7">
        <f>I554-H554</f>
        <v>3.4722222189884633E-3</v>
      </c>
      <c r="Z554">
        <f>HOUR(Y554)</f>
        <v>0</v>
      </c>
      <c r="AA554">
        <f>MINUTE(Y554)</f>
        <v>5</v>
      </c>
      <c r="AB554">
        <f>Z554*60+AA554</f>
        <v>5</v>
      </c>
    </row>
    <row r="555" spans="1:28" x14ac:dyDescent="0.25">
      <c r="A555">
        <v>553</v>
      </c>
      <c r="B555" t="s">
        <v>31</v>
      </c>
      <c r="C555">
        <v>1</v>
      </c>
      <c r="D555" t="s">
        <v>32</v>
      </c>
      <c r="E555" s="6">
        <v>46062.291666666664</v>
      </c>
      <c r="F555" s="6">
        <v>46062.361111111109</v>
      </c>
      <c r="G555" s="6">
        <v>46062.378472222219</v>
      </c>
      <c r="H555" s="6">
        <v>46062.416666666664</v>
      </c>
      <c r="I555" s="6">
        <v>46062.444444444445</v>
      </c>
      <c r="J555" s="6">
        <v>46062.451388888891</v>
      </c>
      <c r="K555">
        <v>3.83</v>
      </c>
      <c r="L555" s="6">
        <v>46062.461805555555</v>
      </c>
      <c r="M555" s="7">
        <f>F555-E555</f>
        <v>6.9444444445252884E-2</v>
      </c>
      <c r="N555">
        <f>HOUR(M555)</f>
        <v>1</v>
      </c>
      <c r="O555">
        <f>MINUTE(M555)</f>
        <v>40</v>
      </c>
      <c r="P555">
        <f>N555*60+O555</f>
        <v>100</v>
      </c>
      <c r="Q555" s="7">
        <f>G555-F555</f>
        <v>1.7361111109494232E-2</v>
      </c>
      <c r="R555">
        <f>HOUR(Q555)</f>
        <v>0</v>
      </c>
      <c r="S555">
        <f>MINUTE(Q555)</f>
        <v>25</v>
      </c>
      <c r="T555">
        <f>R555*60+S555</f>
        <v>25</v>
      </c>
      <c r="U555" s="7">
        <f>H555-G555</f>
        <v>3.8194444445252884E-2</v>
      </c>
      <c r="V555">
        <f>HOUR(U555)</f>
        <v>0</v>
      </c>
      <c r="W555">
        <f>MINUTE(U555)</f>
        <v>55</v>
      </c>
      <c r="X555">
        <f>V555*60+W555</f>
        <v>55</v>
      </c>
      <c r="Y555" s="7">
        <f>I555-H555</f>
        <v>2.7777777781011537E-2</v>
      </c>
      <c r="Z555">
        <f>HOUR(Y555)</f>
        <v>0</v>
      </c>
      <c r="AA555">
        <f>MINUTE(Y555)</f>
        <v>40</v>
      </c>
      <c r="AB555">
        <f>Z555*60+AA555</f>
        <v>40</v>
      </c>
    </row>
    <row r="556" spans="1:28" x14ac:dyDescent="0.25">
      <c r="A556">
        <v>554</v>
      </c>
      <c r="B556" t="s">
        <v>29</v>
      </c>
      <c r="C556">
        <v>1</v>
      </c>
      <c r="D556" t="s">
        <v>34</v>
      </c>
      <c r="E556" s="6">
        <v>46061.559027777781</v>
      </c>
      <c r="F556" s="6">
        <v>46061.565972222219</v>
      </c>
      <c r="G556" s="6">
        <v>46061.579861111109</v>
      </c>
      <c r="H556" s="6">
        <v>46061.624305555553</v>
      </c>
      <c r="I556" s="6">
        <v>46061.631249999999</v>
      </c>
      <c r="J556" s="6">
        <v>46061.631944444445</v>
      </c>
      <c r="K556">
        <v>1.75</v>
      </c>
      <c r="L556" s="6">
        <v>46061.638888888891</v>
      </c>
      <c r="M556" s="7">
        <f>F556-E556</f>
        <v>6.9444444379769266E-3</v>
      </c>
      <c r="N556">
        <f>HOUR(M556)</f>
        <v>0</v>
      </c>
      <c r="O556">
        <f>MINUTE(M556)</f>
        <v>10</v>
      </c>
      <c r="P556">
        <f>N556*60+O556</f>
        <v>10</v>
      </c>
      <c r="Q556" s="7">
        <f>G556-F556</f>
        <v>1.3888888890505768E-2</v>
      </c>
      <c r="R556">
        <f>HOUR(Q556)</f>
        <v>0</v>
      </c>
      <c r="S556">
        <f>MINUTE(Q556)</f>
        <v>20</v>
      </c>
      <c r="T556">
        <f>R556*60+S556</f>
        <v>20</v>
      </c>
      <c r="U556" s="7">
        <f>H556-G556</f>
        <v>4.4444444443797693E-2</v>
      </c>
      <c r="V556">
        <f>HOUR(U556)</f>
        <v>1</v>
      </c>
      <c r="W556">
        <f>MINUTE(U556)</f>
        <v>4</v>
      </c>
      <c r="X556">
        <f>V556*60+W556</f>
        <v>64</v>
      </c>
      <c r="Y556" s="7">
        <f>I556-H556</f>
        <v>6.9444444452528842E-3</v>
      </c>
      <c r="Z556">
        <f>HOUR(Y556)</f>
        <v>0</v>
      </c>
      <c r="AA556">
        <f>MINUTE(Y556)</f>
        <v>10</v>
      </c>
      <c r="AB556">
        <f>Z556*60+AA556</f>
        <v>10</v>
      </c>
    </row>
    <row r="557" spans="1:28" x14ac:dyDescent="0.25">
      <c r="A557">
        <v>555</v>
      </c>
      <c r="B557" t="s">
        <v>29</v>
      </c>
      <c r="C557">
        <v>1</v>
      </c>
      <c r="D557" t="s">
        <v>36</v>
      </c>
      <c r="E557" s="6">
        <v>46061.663194444445</v>
      </c>
      <c r="F557" s="6">
        <v>46061.664583333331</v>
      </c>
      <c r="G557" s="6">
        <v>46061.666666666664</v>
      </c>
      <c r="H557" s="6">
        <v>46061.670138888891</v>
      </c>
      <c r="I557" s="6">
        <v>46061.677083333336</v>
      </c>
      <c r="J557" s="6">
        <v>46061.680555555555</v>
      </c>
      <c r="K557">
        <v>0.42</v>
      </c>
      <c r="L557" s="6">
        <v>46061.6875</v>
      </c>
      <c r="M557" s="7">
        <f>F557-E557</f>
        <v>1.3888888861401938E-3</v>
      </c>
      <c r="N557">
        <f>HOUR(M557)</f>
        <v>0</v>
      </c>
      <c r="O557">
        <f>MINUTE(M557)</f>
        <v>2</v>
      </c>
      <c r="P557">
        <f>N557*60+O557</f>
        <v>2</v>
      </c>
      <c r="Q557" s="7">
        <f>G557-F557</f>
        <v>2.0833333328482695E-3</v>
      </c>
      <c r="R557">
        <f>HOUR(Q557)</f>
        <v>0</v>
      </c>
      <c r="S557">
        <f>MINUTE(Q557)</f>
        <v>3</v>
      </c>
      <c r="T557">
        <f>R557*60+S557</f>
        <v>3</v>
      </c>
      <c r="U557" s="7">
        <f>H557-G557</f>
        <v>3.4722222262644209E-3</v>
      </c>
      <c r="V557">
        <f>HOUR(U557)</f>
        <v>0</v>
      </c>
      <c r="W557">
        <f>MINUTE(U557)</f>
        <v>5</v>
      </c>
      <c r="X557">
        <f>V557*60+W557</f>
        <v>5</v>
      </c>
      <c r="Y557" s="7">
        <f>I557-H557</f>
        <v>6.9444444452528842E-3</v>
      </c>
      <c r="Z557">
        <f>HOUR(Y557)</f>
        <v>0</v>
      </c>
      <c r="AA557">
        <f>MINUTE(Y557)</f>
        <v>10</v>
      </c>
      <c r="AB557">
        <f>Z557*60+AA557</f>
        <v>10</v>
      </c>
    </row>
    <row r="558" spans="1:28" x14ac:dyDescent="0.25">
      <c r="A558">
        <v>556</v>
      </c>
      <c r="B558" t="s">
        <v>33</v>
      </c>
      <c r="C558">
        <v>1</v>
      </c>
      <c r="D558" t="s">
        <v>30</v>
      </c>
      <c r="E558" s="6">
        <v>46062.284722222219</v>
      </c>
      <c r="F558" s="6">
        <v>46062.326388888891</v>
      </c>
      <c r="G558" s="6">
        <v>46062.357638888891</v>
      </c>
      <c r="H558" s="6">
        <v>46062.427083333336</v>
      </c>
      <c r="I558" s="6">
        <v>46062.493055555555</v>
      </c>
      <c r="J558" s="6">
        <v>46062.503472222219</v>
      </c>
      <c r="K558">
        <v>5.25</v>
      </c>
      <c r="L558" s="6">
        <v>46062.510416666664</v>
      </c>
      <c r="M558" s="7">
        <f>F558-E558</f>
        <v>4.1666666671517305E-2</v>
      </c>
      <c r="N558">
        <f>HOUR(M558)</f>
        <v>1</v>
      </c>
      <c r="O558">
        <f>MINUTE(M558)</f>
        <v>0</v>
      </c>
      <c r="P558">
        <f>N558*60+O558</f>
        <v>60</v>
      </c>
      <c r="Q558" s="7">
        <f>G558-F558</f>
        <v>3.125E-2</v>
      </c>
      <c r="R558">
        <f>HOUR(Q558)</f>
        <v>0</v>
      </c>
      <c r="S558">
        <f>MINUTE(Q558)</f>
        <v>45</v>
      </c>
      <c r="T558">
        <f>R558*60+S558</f>
        <v>45</v>
      </c>
      <c r="U558" s="7">
        <f>H558-G558</f>
        <v>6.9444444445252884E-2</v>
      </c>
      <c r="V558">
        <f>HOUR(U558)</f>
        <v>1</v>
      </c>
      <c r="W558">
        <f>MINUTE(U558)</f>
        <v>40</v>
      </c>
      <c r="X558">
        <f>V558*60+W558</f>
        <v>100</v>
      </c>
      <c r="Y558" s="7">
        <f>I558-H558</f>
        <v>6.5972222218988463E-2</v>
      </c>
      <c r="Z558">
        <f>HOUR(Y558)</f>
        <v>1</v>
      </c>
      <c r="AA558">
        <f>MINUTE(Y558)</f>
        <v>35</v>
      </c>
      <c r="AB558">
        <f>Z558*60+AA558</f>
        <v>95</v>
      </c>
    </row>
    <row r="559" spans="1:28" x14ac:dyDescent="0.25">
      <c r="A559">
        <v>557</v>
      </c>
      <c r="B559" t="s">
        <v>31</v>
      </c>
      <c r="C559">
        <v>1</v>
      </c>
      <c r="D559" t="s">
        <v>30</v>
      </c>
      <c r="E559" s="6">
        <v>46062.027777777781</v>
      </c>
      <c r="F559" s="6">
        <v>46062.034722222219</v>
      </c>
      <c r="G559" s="6">
        <v>46062.041666666664</v>
      </c>
      <c r="H559" s="6">
        <v>46062.048611111109</v>
      </c>
      <c r="I559" s="6">
        <v>46062.055555555555</v>
      </c>
      <c r="J559" s="6">
        <v>46062.059027777781</v>
      </c>
      <c r="K559">
        <v>0.75</v>
      </c>
      <c r="L559" s="6">
        <v>46062.061111111114</v>
      </c>
      <c r="M559" s="7">
        <f>F559-E559</f>
        <v>6.9444444379769266E-3</v>
      </c>
      <c r="N559">
        <f>HOUR(M559)</f>
        <v>0</v>
      </c>
      <c r="O559">
        <f>MINUTE(M559)</f>
        <v>10</v>
      </c>
      <c r="P559">
        <f>N559*60+O559</f>
        <v>10</v>
      </c>
      <c r="Q559" s="7">
        <f>G559-F559</f>
        <v>6.9444444452528842E-3</v>
      </c>
      <c r="R559">
        <f>HOUR(Q559)</f>
        <v>0</v>
      </c>
      <c r="S559">
        <f>MINUTE(Q559)</f>
        <v>10</v>
      </c>
      <c r="T559">
        <f>R559*60+S559</f>
        <v>10</v>
      </c>
      <c r="U559" s="7">
        <f>H559-G559</f>
        <v>6.9444444452528842E-3</v>
      </c>
      <c r="V559">
        <f>HOUR(U559)</f>
        <v>0</v>
      </c>
      <c r="W559">
        <f>MINUTE(U559)</f>
        <v>10</v>
      </c>
      <c r="X559">
        <f>V559*60+W559</f>
        <v>10</v>
      </c>
      <c r="Y559" s="7">
        <f>I559-H559</f>
        <v>6.9444444452528842E-3</v>
      </c>
      <c r="Z559">
        <f>HOUR(Y559)</f>
        <v>0</v>
      </c>
      <c r="AA559">
        <f>MINUTE(Y559)</f>
        <v>10</v>
      </c>
      <c r="AB559">
        <f>Z559*60+AA559</f>
        <v>10</v>
      </c>
    </row>
    <row r="560" spans="1:28" x14ac:dyDescent="0.25">
      <c r="A560">
        <v>558</v>
      </c>
      <c r="B560" t="s">
        <v>31</v>
      </c>
      <c r="C560">
        <v>1</v>
      </c>
      <c r="D560" t="s">
        <v>36</v>
      </c>
      <c r="E560" s="6">
        <v>46062.104166666664</v>
      </c>
      <c r="F560" s="6">
        <v>46062.111111111109</v>
      </c>
      <c r="G560" s="6">
        <v>46062.145833333336</v>
      </c>
      <c r="H560" s="6">
        <v>46062.197916666664</v>
      </c>
      <c r="I560" s="6">
        <v>46062.208333333336</v>
      </c>
      <c r="J560" s="6">
        <v>46062.673611111109</v>
      </c>
      <c r="K560">
        <v>13.67</v>
      </c>
      <c r="L560" s="6">
        <v>46062.680555555555</v>
      </c>
      <c r="M560" s="7">
        <f>F560-E560</f>
        <v>6.9444444452528842E-3</v>
      </c>
      <c r="N560">
        <f>HOUR(M560)</f>
        <v>0</v>
      </c>
      <c r="O560">
        <f>MINUTE(M560)</f>
        <v>10</v>
      </c>
      <c r="P560">
        <f>N560*60+O560</f>
        <v>10</v>
      </c>
      <c r="Q560" s="7">
        <f>G560-F560</f>
        <v>3.4722222226264421E-2</v>
      </c>
      <c r="R560">
        <f>HOUR(Q560)</f>
        <v>0</v>
      </c>
      <c r="S560">
        <f>MINUTE(Q560)</f>
        <v>50</v>
      </c>
      <c r="T560">
        <f>R560*60+S560</f>
        <v>50</v>
      </c>
      <c r="U560" s="7">
        <f>H560-G560</f>
        <v>5.2083333328482695E-2</v>
      </c>
      <c r="V560">
        <f>HOUR(U560)</f>
        <v>1</v>
      </c>
      <c r="W560">
        <f>MINUTE(U560)</f>
        <v>15</v>
      </c>
      <c r="X560">
        <f>V560*60+W560</f>
        <v>75</v>
      </c>
      <c r="Y560" s="7">
        <f>I560-H560</f>
        <v>1.0416666671517305E-2</v>
      </c>
      <c r="Z560">
        <f>HOUR(Y560)</f>
        <v>0</v>
      </c>
      <c r="AA560">
        <f>MINUTE(Y560)</f>
        <v>15</v>
      </c>
      <c r="AB560">
        <f>Z560*60+AA560</f>
        <v>15</v>
      </c>
    </row>
    <row r="561" spans="1:28" x14ac:dyDescent="0.25">
      <c r="A561">
        <v>559</v>
      </c>
      <c r="B561" t="s">
        <v>33</v>
      </c>
      <c r="C561">
        <v>1</v>
      </c>
      <c r="D561" t="s">
        <v>30</v>
      </c>
      <c r="E561" s="6">
        <v>46062.9</v>
      </c>
      <c r="F561" s="6">
        <v>46062.906944444447</v>
      </c>
      <c r="G561" s="6">
        <v>46062.909722222219</v>
      </c>
      <c r="H561" s="6">
        <v>46062.958333333336</v>
      </c>
      <c r="I561" s="6">
        <v>46062.965277777781</v>
      </c>
      <c r="J561" s="6">
        <v>46062.979166666664</v>
      </c>
      <c r="K561">
        <v>1.9</v>
      </c>
      <c r="L561" s="6">
        <v>46062.986111111109</v>
      </c>
      <c r="M561" s="7">
        <f>F561-E561</f>
        <v>6.9444444452528842E-3</v>
      </c>
      <c r="N561">
        <f>HOUR(M561)</f>
        <v>0</v>
      </c>
      <c r="O561">
        <f>MINUTE(M561)</f>
        <v>10</v>
      </c>
      <c r="P561">
        <f>N561*60+O561</f>
        <v>10</v>
      </c>
      <c r="Q561" s="7">
        <f>G561-F561</f>
        <v>2.7777777722803876E-3</v>
      </c>
      <c r="R561">
        <f>HOUR(Q561)</f>
        <v>0</v>
      </c>
      <c r="S561">
        <f>MINUTE(Q561)</f>
        <v>4</v>
      </c>
      <c r="T561">
        <f>R561*60+S561</f>
        <v>4</v>
      </c>
      <c r="U561" s="7">
        <f>H561-G561</f>
        <v>4.8611111116770189E-2</v>
      </c>
      <c r="V561">
        <f>HOUR(U561)</f>
        <v>1</v>
      </c>
      <c r="W561">
        <f>MINUTE(U561)</f>
        <v>10</v>
      </c>
      <c r="X561">
        <f>V561*60+W561</f>
        <v>70</v>
      </c>
      <c r="Y561" s="7">
        <f>I561-H561</f>
        <v>6.9444444452528842E-3</v>
      </c>
      <c r="Z561">
        <f>HOUR(Y561)</f>
        <v>0</v>
      </c>
      <c r="AA561">
        <f>MINUTE(Y561)</f>
        <v>10</v>
      </c>
      <c r="AB561">
        <f>Z561*60+AA561</f>
        <v>10</v>
      </c>
    </row>
    <row r="562" spans="1:28" x14ac:dyDescent="0.25">
      <c r="A562">
        <v>560</v>
      </c>
      <c r="B562" t="s">
        <v>33</v>
      </c>
      <c r="C562">
        <v>1</v>
      </c>
      <c r="D562" t="s">
        <v>30</v>
      </c>
      <c r="E562" s="6">
        <v>46062.524305555555</v>
      </c>
      <c r="F562" s="6">
        <v>46062.545138888891</v>
      </c>
      <c r="G562" s="6">
        <v>46062.618055555555</v>
      </c>
      <c r="H562" s="6">
        <v>46062.763888888891</v>
      </c>
      <c r="I562" s="6">
        <v>46062.791666666664</v>
      </c>
      <c r="J562" s="6">
        <v>46062.798611111109</v>
      </c>
      <c r="K562">
        <v>6.58</v>
      </c>
      <c r="L562" s="6">
        <v>46062.805555555555</v>
      </c>
      <c r="M562" s="7">
        <f>F562-E562</f>
        <v>2.0833333335758653E-2</v>
      </c>
      <c r="N562">
        <f>HOUR(M562)</f>
        <v>0</v>
      </c>
      <c r="O562">
        <f>MINUTE(M562)</f>
        <v>30</v>
      </c>
      <c r="P562">
        <f>N562*60+O562</f>
        <v>30</v>
      </c>
      <c r="Q562" s="7">
        <f>G562-F562</f>
        <v>7.2916666664241347E-2</v>
      </c>
      <c r="R562">
        <f>HOUR(Q562)</f>
        <v>1</v>
      </c>
      <c r="S562">
        <f>MINUTE(Q562)</f>
        <v>45</v>
      </c>
      <c r="T562">
        <f>R562*60+S562</f>
        <v>105</v>
      </c>
      <c r="U562" s="7">
        <f>H562-G562</f>
        <v>0.14583333333575865</v>
      </c>
      <c r="V562">
        <f>HOUR(U562)</f>
        <v>3</v>
      </c>
      <c r="W562">
        <f>MINUTE(U562)</f>
        <v>30</v>
      </c>
      <c r="X562">
        <f>V562*60+W562</f>
        <v>210</v>
      </c>
      <c r="Y562" s="7">
        <f>I562-H562</f>
        <v>2.7777777773735579E-2</v>
      </c>
      <c r="Z562">
        <f>HOUR(Y562)</f>
        <v>0</v>
      </c>
      <c r="AA562">
        <f>MINUTE(Y562)</f>
        <v>40</v>
      </c>
      <c r="AB562">
        <f>Z562*60+AA562</f>
        <v>40</v>
      </c>
    </row>
    <row r="563" spans="1:28" x14ac:dyDescent="0.25">
      <c r="A563">
        <v>561</v>
      </c>
      <c r="B563" t="s">
        <v>33</v>
      </c>
      <c r="C563">
        <v>1</v>
      </c>
      <c r="D563" t="s">
        <v>36</v>
      </c>
      <c r="E563" s="6">
        <v>46062.722222222219</v>
      </c>
      <c r="F563" s="6">
        <v>46062.725694444445</v>
      </c>
      <c r="G563" s="6">
        <v>46062.741666666669</v>
      </c>
      <c r="H563" s="6">
        <v>46062.777777777781</v>
      </c>
      <c r="I563" s="6">
        <v>46062.791666666664</v>
      </c>
      <c r="J563" s="6">
        <v>46062.833333333336</v>
      </c>
      <c r="K563">
        <v>2.67</v>
      </c>
      <c r="L563" s="6">
        <v>46062.84375</v>
      </c>
      <c r="M563" s="7">
        <f>F563-E563</f>
        <v>3.4722222262644209E-3</v>
      </c>
      <c r="N563">
        <f>HOUR(M563)</f>
        <v>0</v>
      </c>
      <c r="O563">
        <f>MINUTE(M563)</f>
        <v>5</v>
      </c>
      <c r="P563">
        <f>N563*60+O563</f>
        <v>5</v>
      </c>
      <c r="Q563" s="7">
        <f>G563-F563</f>
        <v>1.5972222223354038E-2</v>
      </c>
      <c r="R563">
        <f>HOUR(Q563)</f>
        <v>0</v>
      </c>
      <c r="S563">
        <f>MINUTE(Q563)</f>
        <v>23</v>
      </c>
      <c r="T563">
        <f>R563*60+S563</f>
        <v>23</v>
      </c>
      <c r="U563" s="7">
        <f>H563-G563</f>
        <v>3.6111111112404615E-2</v>
      </c>
      <c r="V563">
        <f>HOUR(U563)</f>
        <v>0</v>
      </c>
      <c r="W563">
        <f>MINUTE(U563)</f>
        <v>52</v>
      </c>
      <c r="X563">
        <f>V563*60+W563</f>
        <v>52</v>
      </c>
      <c r="Y563" s="7">
        <f>I563-H563</f>
        <v>1.3888888883229811E-2</v>
      </c>
      <c r="Z563">
        <f>HOUR(Y563)</f>
        <v>0</v>
      </c>
      <c r="AA563">
        <f>MINUTE(Y563)</f>
        <v>20</v>
      </c>
      <c r="AB563">
        <f>Z563*60+AA563</f>
        <v>20</v>
      </c>
    </row>
    <row r="564" spans="1:28" x14ac:dyDescent="0.25">
      <c r="A564">
        <v>562</v>
      </c>
      <c r="B564" t="s">
        <v>33</v>
      </c>
      <c r="C564">
        <v>1</v>
      </c>
      <c r="D564" t="s">
        <v>30</v>
      </c>
      <c r="E564" s="6">
        <v>46063.423611111109</v>
      </c>
      <c r="F564" s="6">
        <v>46063.440972222219</v>
      </c>
      <c r="G564" s="6">
        <v>46063.447916666664</v>
      </c>
      <c r="H564" s="6">
        <v>46063.469444444447</v>
      </c>
      <c r="I564" s="6">
        <v>46063.476388888892</v>
      </c>
      <c r="J564" s="6">
        <v>46063.5</v>
      </c>
      <c r="K564">
        <v>1.83</v>
      </c>
      <c r="L564" s="6">
        <v>46063.506944444445</v>
      </c>
      <c r="M564" s="7">
        <f>F564-E564</f>
        <v>1.7361111109494232E-2</v>
      </c>
      <c r="N564">
        <f>HOUR(M564)</f>
        <v>0</v>
      </c>
      <c r="O564">
        <f>MINUTE(M564)</f>
        <v>25</v>
      </c>
      <c r="P564">
        <f>N564*60+O564</f>
        <v>25</v>
      </c>
      <c r="Q564" s="7">
        <f>G564-F564</f>
        <v>6.9444444452528842E-3</v>
      </c>
      <c r="R564">
        <f>HOUR(Q564)</f>
        <v>0</v>
      </c>
      <c r="S564">
        <f>MINUTE(Q564)</f>
        <v>10</v>
      </c>
      <c r="T564">
        <f>R564*60+S564</f>
        <v>10</v>
      </c>
      <c r="U564" s="7">
        <f>H564-G564</f>
        <v>2.1527777782466728E-2</v>
      </c>
      <c r="V564">
        <f>HOUR(U564)</f>
        <v>0</v>
      </c>
      <c r="W564">
        <f>MINUTE(U564)</f>
        <v>31</v>
      </c>
      <c r="X564">
        <f>V564*60+W564</f>
        <v>31</v>
      </c>
      <c r="Y564" s="7">
        <f>I564-H564</f>
        <v>6.9444444452528842E-3</v>
      </c>
      <c r="Z564">
        <f>HOUR(Y564)</f>
        <v>0</v>
      </c>
      <c r="AA564">
        <f>MINUTE(Y564)</f>
        <v>10</v>
      </c>
      <c r="AB564">
        <f>Z564*60+AA564</f>
        <v>10</v>
      </c>
    </row>
    <row r="565" spans="1:28" x14ac:dyDescent="0.25">
      <c r="A565">
        <v>563</v>
      </c>
      <c r="B565" t="s">
        <v>31</v>
      </c>
      <c r="C565">
        <v>1</v>
      </c>
      <c r="D565" t="s">
        <v>37</v>
      </c>
      <c r="E565" s="6">
        <v>46063.291666666664</v>
      </c>
      <c r="F565" s="6">
        <v>46063.326388888891</v>
      </c>
      <c r="G565" s="6">
        <v>46063.333333333336</v>
      </c>
      <c r="H565" s="6">
        <v>46063.4375</v>
      </c>
      <c r="I565" s="6">
        <v>46063.444444444445</v>
      </c>
      <c r="J565" s="6">
        <v>46063.458333333336</v>
      </c>
      <c r="K565">
        <v>4</v>
      </c>
      <c r="L565" s="6">
        <v>46063.465277777781</v>
      </c>
      <c r="M565" s="7">
        <f>F565-E565</f>
        <v>3.4722222226264421E-2</v>
      </c>
      <c r="N565">
        <f>HOUR(M565)</f>
        <v>0</v>
      </c>
      <c r="O565">
        <f>MINUTE(M565)</f>
        <v>50</v>
      </c>
      <c r="P565">
        <f>N565*60+O565</f>
        <v>50</v>
      </c>
      <c r="Q565" s="7">
        <f>G565-F565</f>
        <v>6.9444444452528842E-3</v>
      </c>
      <c r="R565">
        <f>HOUR(Q565)</f>
        <v>0</v>
      </c>
      <c r="S565">
        <f>MINUTE(Q565)</f>
        <v>10</v>
      </c>
      <c r="T565">
        <f>R565*60+S565</f>
        <v>10</v>
      </c>
      <c r="U565" s="7">
        <f>H565-G565</f>
        <v>0.10416666666424135</v>
      </c>
      <c r="V565">
        <f>HOUR(U565)</f>
        <v>2</v>
      </c>
      <c r="W565">
        <f>MINUTE(U565)</f>
        <v>30</v>
      </c>
      <c r="X565">
        <f>V565*60+W565</f>
        <v>150</v>
      </c>
      <c r="Y565" s="7">
        <f>I565-H565</f>
        <v>6.9444444452528842E-3</v>
      </c>
      <c r="Z565">
        <f>HOUR(Y565)</f>
        <v>0</v>
      </c>
      <c r="AA565">
        <f>MINUTE(Y565)</f>
        <v>10</v>
      </c>
      <c r="AB565">
        <f>Z565*60+AA565</f>
        <v>10</v>
      </c>
    </row>
    <row r="566" spans="1:28" x14ac:dyDescent="0.25">
      <c r="A566">
        <v>564</v>
      </c>
      <c r="B566" t="s">
        <v>31</v>
      </c>
      <c r="C566">
        <v>1</v>
      </c>
      <c r="D566" t="s">
        <v>32</v>
      </c>
      <c r="E566" s="6">
        <v>46063.331944444442</v>
      </c>
      <c r="F566" s="6">
        <v>46063.333333333336</v>
      </c>
      <c r="G566" s="6">
        <v>46063.357638888891</v>
      </c>
      <c r="H566" s="6">
        <v>46063.472222222219</v>
      </c>
      <c r="I566" s="6">
        <v>46063.493055555555</v>
      </c>
      <c r="J566" s="6">
        <v>46063.5</v>
      </c>
      <c r="K566">
        <v>4.03</v>
      </c>
      <c r="L566" s="6">
        <v>46063.500694444447</v>
      </c>
      <c r="M566" s="7">
        <f>F566-E566</f>
        <v>1.3888888934161514E-3</v>
      </c>
      <c r="N566">
        <f>HOUR(M566)</f>
        <v>0</v>
      </c>
      <c r="O566">
        <f>MINUTE(M566)</f>
        <v>2</v>
      </c>
      <c r="P566">
        <f>N566*60+O566</f>
        <v>2</v>
      </c>
      <c r="Q566" s="7">
        <f>G566-F566</f>
        <v>2.4305555554747116E-2</v>
      </c>
      <c r="R566">
        <f>HOUR(Q566)</f>
        <v>0</v>
      </c>
      <c r="S566">
        <f>MINUTE(Q566)</f>
        <v>35</v>
      </c>
      <c r="T566">
        <f>R566*60+S566</f>
        <v>35</v>
      </c>
      <c r="U566" s="7">
        <f>H566-G566</f>
        <v>0.11458333332848269</v>
      </c>
      <c r="V566">
        <f>HOUR(U566)</f>
        <v>2</v>
      </c>
      <c r="W566">
        <f>MINUTE(U566)</f>
        <v>45</v>
      </c>
      <c r="X566">
        <f>V566*60+W566</f>
        <v>165</v>
      </c>
      <c r="Y566" s="7">
        <f>I566-H566</f>
        <v>2.0833333335758653E-2</v>
      </c>
      <c r="Z566">
        <f>HOUR(Y566)</f>
        <v>0</v>
      </c>
      <c r="AA566">
        <f>MINUTE(Y566)</f>
        <v>30</v>
      </c>
      <c r="AB566">
        <f>Z566*60+AA566</f>
        <v>30</v>
      </c>
    </row>
    <row r="567" spans="1:28" x14ac:dyDescent="0.25">
      <c r="A567">
        <v>565</v>
      </c>
      <c r="B567" t="s">
        <v>33</v>
      </c>
      <c r="C567">
        <v>1</v>
      </c>
      <c r="D567" t="s">
        <v>35</v>
      </c>
      <c r="E567" s="6">
        <v>46063.534722222219</v>
      </c>
      <c r="F567" s="6">
        <v>46063.552083333336</v>
      </c>
      <c r="G567" s="6">
        <v>46063.565972222219</v>
      </c>
      <c r="H567" s="6">
        <v>46063.621527777781</v>
      </c>
      <c r="I567" s="6">
        <v>46063.625</v>
      </c>
      <c r="J567" s="6">
        <v>46063.625694444447</v>
      </c>
      <c r="K567">
        <v>2.1800000000000002</v>
      </c>
      <c r="L567" s="6">
        <v>46063.626388888886</v>
      </c>
      <c r="M567" s="7">
        <f>F567-E567</f>
        <v>1.7361111116770189E-2</v>
      </c>
      <c r="N567">
        <f>HOUR(M567)</f>
        <v>0</v>
      </c>
      <c r="O567">
        <f>MINUTE(M567)</f>
        <v>25</v>
      </c>
      <c r="P567">
        <f>N567*60+O567</f>
        <v>25</v>
      </c>
      <c r="Q567" s="7">
        <f>G567-F567</f>
        <v>1.3888888883229811E-2</v>
      </c>
      <c r="R567">
        <f>HOUR(Q567)</f>
        <v>0</v>
      </c>
      <c r="S567">
        <f>MINUTE(Q567)</f>
        <v>20</v>
      </c>
      <c r="T567">
        <f>R567*60+S567</f>
        <v>20</v>
      </c>
      <c r="U567" s="7">
        <f>H567-G567</f>
        <v>5.5555555562023073E-2</v>
      </c>
      <c r="V567">
        <f>HOUR(U567)</f>
        <v>1</v>
      </c>
      <c r="W567">
        <f>MINUTE(U567)</f>
        <v>20</v>
      </c>
      <c r="X567">
        <f>V567*60+W567</f>
        <v>80</v>
      </c>
      <c r="Y567" s="7">
        <f>I567-H567</f>
        <v>3.4722222189884633E-3</v>
      </c>
      <c r="Z567">
        <f>HOUR(Y567)</f>
        <v>0</v>
      </c>
      <c r="AA567">
        <f>MINUTE(Y567)</f>
        <v>5</v>
      </c>
      <c r="AB567">
        <f>Z567*60+AA567</f>
        <v>5</v>
      </c>
    </row>
    <row r="568" spans="1:28" x14ac:dyDescent="0.25">
      <c r="A568">
        <v>566</v>
      </c>
      <c r="B568" t="s">
        <v>31</v>
      </c>
      <c r="C568">
        <v>1</v>
      </c>
      <c r="D568" t="s">
        <v>30</v>
      </c>
      <c r="E568" s="6">
        <v>46063.46875</v>
      </c>
      <c r="F568" s="6">
        <v>46063.479166666664</v>
      </c>
      <c r="G568" s="6">
        <v>46063.5</v>
      </c>
      <c r="H568" s="6">
        <v>46063.627083333333</v>
      </c>
      <c r="I568" s="6">
        <v>46063.645833333336</v>
      </c>
      <c r="J568" s="6">
        <v>46063.652777777781</v>
      </c>
      <c r="K568">
        <v>4.42</v>
      </c>
      <c r="L568" s="6">
        <v>46063.659722222219</v>
      </c>
      <c r="M568" s="7">
        <f>F568-E568</f>
        <v>1.0416666664241347E-2</v>
      </c>
      <c r="N568">
        <f>HOUR(M568)</f>
        <v>0</v>
      </c>
      <c r="O568">
        <f>MINUTE(M568)</f>
        <v>15</v>
      </c>
      <c r="P568">
        <f>N568*60+O568</f>
        <v>15</v>
      </c>
      <c r="Q568" s="7">
        <f>G568-F568</f>
        <v>2.0833333335758653E-2</v>
      </c>
      <c r="R568">
        <f>HOUR(Q568)</f>
        <v>0</v>
      </c>
      <c r="S568">
        <f>MINUTE(Q568)</f>
        <v>30</v>
      </c>
      <c r="T568">
        <f>R568*60+S568</f>
        <v>30</v>
      </c>
      <c r="U568" s="7">
        <f>H568-G568</f>
        <v>0.12708333333284827</v>
      </c>
      <c r="V568">
        <f>HOUR(U568)</f>
        <v>3</v>
      </c>
      <c r="W568">
        <f>MINUTE(U568)</f>
        <v>3</v>
      </c>
      <c r="X568">
        <f>V568*60+W568</f>
        <v>183</v>
      </c>
      <c r="Y568" s="7">
        <f>I568-H568</f>
        <v>1.8750000002910383E-2</v>
      </c>
      <c r="Z568">
        <f>HOUR(Y568)</f>
        <v>0</v>
      </c>
      <c r="AA568">
        <f>MINUTE(Y568)</f>
        <v>27</v>
      </c>
      <c r="AB568">
        <f>Z568*60+AA568</f>
        <v>27</v>
      </c>
    </row>
    <row r="569" spans="1:28" x14ac:dyDescent="0.25">
      <c r="A569">
        <v>567</v>
      </c>
      <c r="B569" t="s">
        <v>29</v>
      </c>
      <c r="C569">
        <v>1</v>
      </c>
      <c r="D569" t="s">
        <v>35</v>
      </c>
      <c r="E569" s="6">
        <v>46066.295138888891</v>
      </c>
      <c r="F569" s="6">
        <v>46066.315972222219</v>
      </c>
      <c r="G569" s="6">
        <v>46066.361111111109</v>
      </c>
      <c r="H569" s="6">
        <v>46066.371527777781</v>
      </c>
      <c r="I569" s="6">
        <v>46066.378472222219</v>
      </c>
      <c r="J569" s="6">
        <v>46066.392361111109</v>
      </c>
      <c r="K569">
        <v>2.33</v>
      </c>
      <c r="L569" s="6">
        <v>46066.399305555555</v>
      </c>
      <c r="M569" s="7">
        <f>F569-E569</f>
        <v>2.0833333328482695E-2</v>
      </c>
      <c r="N569">
        <f>HOUR(M569)</f>
        <v>0</v>
      </c>
      <c r="O569">
        <f>MINUTE(M569)</f>
        <v>30</v>
      </c>
      <c r="P569">
        <f>N569*60+O569</f>
        <v>30</v>
      </c>
      <c r="Q569" s="7">
        <f>G569-F569</f>
        <v>4.5138888890505768E-2</v>
      </c>
      <c r="R569">
        <f>HOUR(Q569)</f>
        <v>1</v>
      </c>
      <c r="S569">
        <f>MINUTE(Q569)</f>
        <v>5</v>
      </c>
      <c r="T569">
        <f>R569*60+S569</f>
        <v>65</v>
      </c>
      <c r="U569" s="7">
        <f>H569-G569</f>
        <v>1.0416666671517305E-2</v>
      </c>
      <c r="V569">
        <f>HOUR(U569)</f>
        <v>0</v>
      </c>
      <c r="W569">
        <f>MINUTE(U569)</f>
        <v>15</v>
      </c>
      <c r="X569">
        <f>V569*60+W569</f>
        <v>15</v>
      </c>
      <c r="Y569" s="7">
        <f>I569-H569</f>
        <v>6.9444444379769266E-3</v>
      </c>
      <c r="Z569">
        <f>HOUR(Y569)</f>
        <v>0</v>
      </c>
      <c r="AA569">
        <f>MINUTE(Y569)</f>
        <v>10</v>
      </c>
      <c r="AB569">
        <f>Z569*60+AA569</f>
        <v>10</v>
      </c>
    </row>
    <row r="570" spans="1:28" x14ac:dyDescent="0.25">
      <c r="A570">
        <v>568</v>
      </c>
      <c r="B570" t="s">
        <v>33</v>
      </c>
      <c r="C570">
        <v>1</v>
      </c>
      <c r="D570" t="s">
        <v>35</v>
      </c>
      <c r="E570" s="6">
        <v>46080.322916666664</v>
      </c>
      <c r="F570" s="6">
        <v>46080.333333333336</v>
      </c>
      <c r="G570" s="6">
        <v>46080.375</v>
      </c>
      <c r="H570" s="6">
        <v>46080.597222222219</v>
      </c>
      <c r="I570" s="6">
        <v>46080.694444444445</v>
      </c>
      <c r="J570" s="6">
        <v>46080.701388888891</v>
      </c>
      <c r="K570">
        <v>9.08</v>
      </c>
      <c r="L570" s="6">
        <v>46080.708333333336</v>
      </c>
      <c r="M570" s="7">
        <f>F570-E570</f>
        <v>1.0416666671517305E-2</v>
      </c>
      <c r="N570">
        <f>HOUR(M570)</f>
        <v>0</v>
      </c>
      <c r="O570">
        <f>MINUTE(M570)</f>
        <v>15</v>
      </c>
      <c r="P570">
        <f>N570*60+O570</f>
        <v>15</v>
      </c>
      <c r="Q570" s="7">
        <f>G570-F570</f>
        <v>4.1666666664241347E-2</v>
      </c>
      <c r="R570">
        <f>HOUR(Q570)</f>
        <v>1</v>
      </c>
      <c r="S570">
        <f>MINUTE(Q570)</f>
        <v>0</v>
      </c>
      <c r="T570">
        <f>R570*60+S570</f>
        <v>60</v>
      </c>
      <c r="U570" s="7">
        <f>H570-G570</f>
        <v>0.22222222221898846</v>
      </c>
      <c r="V570">
        <f>HOUR(U570)</f>
        <v>5</v>
      </c>
      <c r="W570">
        <f>MINUTE(U570)</f>
        <v>20</v>
      </c>
      <c r="X570">
        <f>V570*60+W570</f>
        <v>320</v>
      </c>
      <c r="Y570" s="7">
        <f>I570-H570</f>
        <v>9.7222222226264421E-2</v>
      </c>
      <c r="Z570">
        <f>HOUR(Y570)</f>
        <v>2</v>
      </c>
      <c r="AA570">
        <f>MINUTE(Y570)</f>
        <v>20</v>
      </c>
      <c r="AB570">
        <f>Z570*60+AA570</f>
        <v>140</v>
      </c>
    </row>
    <row r="571" spans="1:28" x14ac:dyDescent="0.25">
      <c r="A571">
        <v>569</v>
      </c>
      <c r="B571" t="s">
        <v>33</v>
      </c>
      <c r="C571">
        <v>1</v>
      </c>
      <c r="D571" t="s">
        <v>32</v>
      </c>
      <c r="E571" s="6">
        <v>46063.333333333336</v>
      </c>
      <c r="F571" s="6">
        <v>46063.347222222219</v>
      </c>
      <c r="G571" s="6">
        <v>46063.354166666664</v>
      </c>
      <c r="H571" s="6">
        <v>46063.371527777781</v>
      </c>
      <c r="I571" s="6">
        <v>46063.378472222219</v>
      </c>
      <c r="J571" s="6">
        <v>46063.381944444445</v>
      </c>
      <c r="K571">
        <v>1.17</v>
      </c>
      <c r="L571" s="6">
        <v>46063.388888888891</v>
      </c>
      <c r="M571" s="7">
        <f>F571-E571</f>
        <v>1.3888888883229811E-2</v>
      </c>
      <c r="N571">
        <f>HOUR(M571)</f>
        <v>0</v>
      </c>
      <c r="O571">
        <f>MINUTE(M571)</f>
        <v>20</v>
      </c>
      <c r="P571">
        <f>N571*60+O571</f>
        <v>20</v>
      </c>
      <c r="Q571" s="7">
        <f>G571-F571</f>
        <v>6.9444444452528842E-3</v>
      </c>
      <c r="R571">
        <f>HOUR(Q571)</f>
        <v>0</v>
      </c>
      <c r="S571">
        <f>MINUTE(Q571)</f>
        <v>10</v>
      </c>
      <c r="T571">
        <f>R571*60+S571</f>
        <v>10</v>
      </c>
      <c r="U571" s="7">
        <f>H571-G571</f>
        <v>1.7361111116770189E-2</v>
      </c>
      <c r="V571">
        <f>HOUR(U571)</f>
        <v>0</v>
      </c>
      <c r="W571">
        <f>MINUTE(U571)</f>
        <v>25</v>
      </c>
      <c r="X571">
        <f>V571*60+W571</f>
        <v>25</v>
      </c>
      <c r="Y571" s="7">
        <f>I571-H571</f>
        <v>6.9444444379769266E-3</v>
      </c>
      <c r="Z571">
        <f>HOUR(Y571)</f>
        <v>0</v>
      </c>
      <c r="AA571">
        <f>MINUTE(Y571)</f>
        <v>10</v>
      </c>
      <c r="AB571">
        <f>Z571*60+AA571</f>
        <v>10</v>
      </c>
    </row>
    <row r="572" spans="1:28" x14ac:dyDescent="0.25">
      <c r="A572">
        <v>570</v>
      </c>
      <c r="B572" t="s">
        <v>33</v>
      </c>
      <c r="C572">
        <v>1</v>
      </c>
      <c r="D572" t="s">
        <v>30</v>
      </c>
      <c r="E572" s="6">
        <v>46063.548611111109</v>
      </c>
      <c r="F572" s="6">
        <v>46063.576388888891</v>
      </c>
      <c r="G572" s="6">
        <v>46063.579861111109</v>
      </c>
      <c r="H572" s="6">
        <v>46063.652777777781</v>
      </c>
      <c r="I572" s="6">
        <v>46063.659722222219</v>
      </c>
      <c r="J572" s="6">
        <v>46063.666666666664</v>
      </c>
      <c r="K572">
        <v>2.83</v>
      </c>
      <c r="L572" s="6">
        <v>46063.673611111109</v>
      </c>
      <c r="M572" s="7">
        <f>F572-E572</f>
        <v>2.7777777781011537E-2</v>
      </c>
      <c r="N572">
        <f>HOUR(M572)</f>
        <v>0</v>
      </c>
      <c r="O572">
        <f>MINUTE(M572)</f>
        <v>40</v>
      </c>
      <c r="P572">
        <f>N572*60+O572</f>
        <v>40</v>
      </c>
      <c r="Q572" s="7">
        <f>G572-F572</f>
        <v>3.4722222189884633E-3</v>
      </c>
      <c r="R572">
        <f>HOUR(Q572)</f>
        <v>0</v>
      </c>
      <c r="S572">
        <f>MINUTE(Q572)</f>
        <v>5</v>
      </c>
      <c r="T572">
        <f>R572*60+S572</f>
        <v>5</v>
      </c>
      <c r="U572" s="7">
        <f>H572-G572</f>
        <v>7.2916666671517305E-2</v>
      </c>
      <c r="V572">
        <f>HOUR(U572)</f>
        <v>1</v>
      </c>
      <c r="W572">
        <f>MINUTE(U572)</f>
        <v>45</v>
      </c>
      <c r="X572">
        <f>V572*60+W572</f>
        <v>105</v>
      </c>
      <c r="Y572" s="7">
        <f>I572-H572</f>
        <v>6.9444444379769266E-3</v>
      </c>
      <c r="Z572">
        <f>HOUR(Y572)</f>
        <v>0</v>
      </c>
      <c r="AA572">
        <f>MINUTE(Y572)</f>
        <v>10</v>
      </c>
      <c r="AB572">
        <f>Z572*60+AA572</f>
        <v>10</v>
      </c>
    </row>
    <row r="573" spans="1:28" x14ac:dyDescent="0.25">
      <c r="A573">
        <v>571</v>
      </c>
      <c r="B573" t="s">
        <v>31</v>
      </c>
      <c r="C573">
        <v>1</v>
      </c>
      <c r="D573" t="s">
        <v>30</v>
      </c>
      <c r="E573" s="6">
        <v>46062.708333333336</v>
      </c>
      <c r="F573" s="6">
        <v>46062.71875</v>
      </c>
      <c r="G573" s="6">
        <v>46062.729166666664</v>
      </c>
      <c r="H573" s="6">
        <v>46062.736111111109</v>
      </c>
      <c r="I573" s="6">
        <v>46062.857638888891</v>
      </c>
      <c r="J573" s="6">
        <v>46062.861111111109</v>
      </c>
      <c r="K573">
        <v>3.67</v>
      </c>
      <c r="L573" s="6">
        <v>46062.864583333336</v>
      </c>
      <c r="M573" s="7">
        <f>F573-E573</f>
        <v>1.0416666664241347E-2</v>
      </c>
      <c r="N573">
        <f>HOUR(M573)</f>
        <v>0</v>
      </c>
      <c r="O573">
        <f>MINUTE(M573)</f>
        <v>15</v>
      </c>
      <c r="P573">
        <f>N573*60+O573</f>
        <v>15</v>
      </c>
      <c r="Q573" s="7">
        <f>G573-F573</f>
        <v>1.0416666664241347E-2</v>
      </c>
      <c r="R573">
        <f>HOUR(Q573)</f>
        <v>0</v>
      </c>
      <c r="S573">
        <f>MINUTE(Q573)</f>
        <v>15</v>
      </c>
      <c r="T573">
        <f>R573*60+S573</f>
        <v>15</v>
      </c>
      <c r="U573" s="7">
        <f>H573-G573</f>
        <v>6.9444444452528842E-3</v>
      </c>
      <c r="V573">
        <f>HOUR(U573)</f>
        <v>0</v>
      </c>
      <c r="W573">
        <f>MINUTE(U573)</f>
        <v>10</v>
      </c>
      <c r="X573">
        <f>V573*60+W573</f>
        <v>10</v>
      </c>
      <c r="Y573" s="7">
        <f>I573-H573</f>
        <v>0.12152777778101154</v>
      </c>
      <c r="Z573">
        <f>HOUR(Y573)</f>
        <v>2</v>
      </c>
      <c r="AA573">
        <f>MINUTE(Y573)</f>
        <v>55</v>
      </c>
      <c r="AB573">
        <f>Z573*60+AA573</f>
        <v>175</v>
      </c>
    </row>
    <row r="574" spans="1:28" x14ac:dyDescent="0.25">
      <c r="A574">
        <v>572</v>
      </c>
      <c r="B574" t="s">
        <v>33</v>
      </c>
      <c r="C574">
        <v>1</v>
      </c>
      <c r="D574" t="s">
        <v>34</v>
      </c>
      <c r="E574" s="6">
        <v>46085.336805555555</v>
      </c>
      <c r="F574" s="6">
        <v>46085.340277777781</v>
      </c>
      <c r="G574" s="6">
        <v>46085.347222222219</v>
      </c>
      <c r="H574" s="6">
        <v>46085.385416666664</v>
      </c>
      <c r="I574" s="6">
        <v>46085.392361111109</v>
      </c>
      <c r="J574" s="6">
        <v>46085.395833333336</v>
      </c>
      <c r="K574">
        <v>1.42</v>
      </c>
      <c r="L574" s="6">
        <v>46085.399305555555</v>
      </c>
      <c r="M574" s="7">
        <f>F574-E574</f>
        <v>3.4722222262644209E-3</v>
      </c>
      <c r="N574">
        <f>HOUR(M574)</f>
        <v>0</v>
      </c>
      <c r="O574">
        <f>MINUTE(M574)</f>
        <v>5</v>
      </c>
      <c r="P574">
        <f>N574*60+O574</f>
        <v>5</v>
      </c>
      <c r="Q574" s="7">
        <f>G574-F574</f>
        <v>6.9444444379769266E-3</v>
      </c>
      <c r="R574">
        <f>HOUR(Q574)</f>
        <v>0</v>
      </c>
      <c r="S574">
        <f>MINUTE(Q574)</f>
        <v>10</v>
      </c>
      <c r="T574">
        <f>R574*60+S574</f>
        <v>10</v>
      </c>
      <c r="U574" s="7">
        <f>H574-G574</f>
        <v>3.8194444445252884E-2</v>
      </c>
      <c r="V574">
        <f>HOUR(U574)</f>
        <v>0</v>
      </c>
      <c r="W574">
        <f>MINUTE(U574)</f>
        <v>55</v>
      </c>
      <c r="X574">
        <f>V574*60+W574</f>
        <v>55</v>
      </c>
      <c r="Y574" s="7">
        <f>I574-H574</f>
        <v>6.9444444452528842E-3</v>
      </c>
      <c r="Z574">
        <f>HOUR(Y574)</f>
        <v>0</v>
      </c>
      <c r="AA574">
        <f>MINUTE(Y574)</f>
        <v>10</v>
      </c>
      <c r="AB574">
        <f>Z574*60+AA574</f>
        <v>10</v>
      </c>
    </row>
    <row r="575" spans="1:28" x14ac:dyDescent="0.25">
      <c r="A575">
        <v>573</v>
      </c>
      <c r="B575" t="s">
        <v>29</v>
      </c>
      <c r="C575">
        <v>1</v>
      </c>
      <c r="D575" t="s">
        <v>30</v>
      </c>
      <c r="E575" s="6">
        <v>46063.291666666664</v>
      </c>
      <c r="F575" s="6">
        <v>46063.326388888891</v>
      </c>
      <c r="G575" s="6">
        <v>46063.333333333336</v>
      </c>
      <c r="H575" s="6">
        <v>46063.361805555556</v>
      </c>
      <c r="I575" s="6">
        <v>46063.368750000001</v>
      </c>
      <c r="J575" s="6">
        <v>46063.409722222219</v>
      </c>
      <c r="K575">
        <v>2.83</v>
      </c>
      <c r="L575" s="6">
        <v>46063.416666666664</v>
      </c>
      <c r="M575" s="7">
        <f>F575-E575</f>
        <v>3.4722222226264421E-2</v>
      </c>
      <c r="N575">
        <f>HOUR(M575)</f>
        <v>0</v>
      </c>
      <c r="O575">
        <f>MINUTE(M575)</f>
        <v>50</v>
      </c>
      <c r="P575">
        <f>N575*60+O575</f>
        <v>50</v>
      </c>
      <c r="Q575" s="7">
        <f>G575-F575</f>
        <v>6.9444444452528842E-3</v>
      </c>
      <c r="R575">
        <f>HOUR(Q575)</f>
        <v>0</v>
      </c>
      <c r="S575">
        <f>MINUTE(Q575)</f>
        <v>10</v>
      </c>
      <c r="T575">
        <f>R575*60+S575</f>
        <v>10</v>
      </c>
      <c r="U575" s="7">
        <f>H575-G575</f>
        <v>2.8472222220443655E-2</v>
      </c>
      <c r="V575">
        <f>HOUR(U575)</f>
        <v>0</v>
      </c>
      <c r="W575">
        <f>MINUTE(U575)</f>
        <v>41</v>
      </c>
      <c r="X575">
        <f>V575*60+W575</f>
        <v>41</v>
      </c>
      <c r="Y575" s="7">
        <f>I575-H575</f>
        <v>6.9444444452528842E-3</v>
      </c>
      <c r="Z575">
        <f>HOUR(Y575)</f>
        <v>0</v>
      </c>
      <c r="AA575">
        <f>MINUTE(Y575)</f>
        <v>10</v>
      </c>
      <c r="AB575">
        <f>Z575*60+AA575</f>
        <v>10</v>
      </c>
    </row>
    <row r="576" spans="1:28" x14ac:dyDescent="0.25">
      <c r="A576">
        <v>574</v>
      </c>
      <c r="B576" t="s">
        <v>29</v>
      </c>
      <c r="C576">
        <v>1</v>
      </c>
      <c r="D576" t="s">
        <v>32</v>
      </c>
      <c r="E576" s="6">
        <v>46063.336805555555</v>
      </c>
      <c r="F576" s="6">
        <v>46063.34375</v>
      </c>
      <c r="G576" s="6">
        <v>46063.361111111109</v>
      </c>
      <c r="H576" s="6">
        <v>46063.416666666664</v>
      </c>
      <c r="I576" s="6">
        <v>46063.423611111109</v>
      </c>
      <c r="J576" s="6">
        <v>46063.427083333336</v>
      </c>
      <c r="K576">
        <v>2.17</v>
      </c>
      <c r="L576" s="6">
        <v>46063.430555555555</v>
      </c>
      <c r="M576" s="7">
        <f>F576-E576</f>
        <v>6.9444444452528842E-3</v>
      </c>
      <c r="N576">
        <f>HOUR(M576)</f>
        <v>0</v>
      </c>
      <c r="O576">
        <f>MINUTE(M576)</f>
        <v>10</v>
      </c>
      <c r="P576">
        <f>N576*60+O576</f>
        <v>10</v>
      </c>
      <c r="Q576" s="7">
        <f>G576-F576</f>
        <v>1.7361111109494232E-2</v>
      </c>
      <c r="R576">
        <f>HOUR(Q576)</f>
        <v>0</v>
      </c>
      <c r="S576">
        <f>MINUTE(Q576)</f>
        <v>25</v>
      </c>
      <c r="T576">
        <f>R576*60+S576</f>
        <v>25</v>
      </c>
      <c r="U576" s="7">
        <f>H576-G576</f>
        <v>5.5555555554747116E-2</v>
      </c>
      <c r="V576">
        <f>HOUR(U576)</f>
        <v>1</v>
      </c>
      <c r="W576">
        <f>MINUTE(U576)</f>
        <v>20</v>
      </c>
      <c r="X576">
        <f>V576*60+W576</f>
        <v>80</v>
      </c>
      <c r="Y576" s="7">
        <f>I576-H576</f>
        <v>6.9444444452528842E-3</v>
      </c>
      <c r="Z576">
        <f>HOUR(Y576)</f>
        <v>0</v>
      </c>
      <c r="AA576">
        <f>MINUTE(Y576)</f>
        <v>10</v>
      </c>
      <c r="AB576">
        <f>Z576*60+AA576</f>
        <v>10</v>
      </c>
    </row>
    <row r="577" spans="1:28" x14ac:dyDescent="0.25">
      <c r="A577">
        <v>575</v>
      </c>
      <c r="B577" t="s">
        <v>33</v>
      </c>
      <c r="C577">
        <v>1</v>
      </c>
      <c r="D577" t="s">
        <v>30</v>
      </c>
      <c r="E577" s="6">
        <v>46063.486111111109</v>
      </c>
      <c r="F577" s="6">
        <v>46063.486805555556</v>
      </c>
      <c r="G577" s="6">
        <v>46063.487500000003</v>
      </c>
      <c r="H577" s="6">
        <v>46063.488194444442</v>
      </c>
      <c r="I577" s="6">
        <v>46063.488888888889</v>
      </c>
      <c r="J577" s="6">
        <v>46063.489583333336</v>
      </c>
      <c r="K577">
        <v>0.08</v>
      </c>
      <c r="L577" s="6">
        <v>46063.496527777781</v>
      </c>
      <c r="M577" s="7">
        <f>F577-E577</f>
        <v>6.944444467080757E-4</v>
      </c>
      <c r="N577">
        <f>HOUR(M577)</f>
        <v>0</v>
      </c>
      <c r="O577">
        <f>MINUTE(M577)</f>
        <v>1</v>
      </c>
      <c r="P577">
        <f>N577*60+O577</f>
        <v>1</v>
      </c>
      <c r="Q577" s="7">
        <f>G577-F577</f>
        <v>6.944444467080757E-4</v>
      </c>
      <c r="R577">
        <f>HOUR(Q577)</f>
        <v>0</v>
      </c>
      <c r="S577">
        <f>MINUTE(Q577)</f>
        <v>1</v>
      </c>
      <c r="T577">
        <f>R577*60+S577</f>
        <v>1</v>
      </c>
      <c r="U577" s="7">
        <f>H577-G577</f>
        <v>6.9444443943211809E-4</v>
      </c>
      <c r="V577">
        <f>HOUR(U577)</f>
        <v>0</v>
      </c>
      <c r="W577">
        <f>MINUTE(U577)</f>
        <v>1</v>
      </c>
      <c r="X577">
        <f>V577*60+W577</f>
        <v>1</v>
      </c>
      <c r="Y577" s="7">
        <f>I577-H577</f>
        <v>6.944444467080757E-4</v>
      </c>
      <c r="Z577">
        <f>HOUR(Y577)</f>
        <v>0</v>
      </c>
      <c r="AA577">
        <f>MINUTE(Y577)</f>
        <v>1</v>
      </c>
      <c r="AB577">
        <f>Z577*60+AA577</f>
        <v>1</v>
      </c>
    </row>
    <row r="578" spans="1:28" x14ac:dyDescent="0.25">
      <c r="A578">
        <v>576</v>
      </c>
      <c r="B578" t="s">
        <v>31</v>
      </c>
      <c r="C578">
        <v>1</v>
      </c>
      <c r="D578" t="s">
        <v>34</v>
      </c>
      <c r="E578" s="6">
        <v>46064.340277777781</v>
      </c>
      <c r="F578" s="6">
        <v>46064.347222222219</v>
      </c>
      <c r="G578" s="6">
        <v>46064.361111111109</v>
      </c>
      <c r="H578" s="6">
        <v>46064.384722222225</v>
      </c>
      <c r="I578" s="6">
        <v>46064.4375</v>
      </c>
      <c r="J578" s="6">
        <v>46064.444444444445</v>
      </c>
      <c r="K578">
        <v>2.5</v>
      </c>
      <c r="L578" s="6">
        <v>46064.445138888892</v>
      </c>
      <c r="M578" s="7">
        <f>F578-E578</f>
        <v>6.9444444379769266E-3</v>
      </c>
      <c r="N578">
        <f>HOUR(M578)</f>
        <v>0</v>
      </c>
      <c r="O578">
        <f>MINUTE(M578)</f>
        <v>10</v>
      </c>
      <c r="P578">
        <f>N578*60+O578</f>
        <v>10</v>
      </c>
      <c r="Q578" s="7">
        <f>G578-F578</f>
        <v>1.3888888890505768E-2</v>
      </c>
      <c r="R578">
        <f>HOUR(Q578)</f>
        <v>0</v>
      </c>
      <c r="S578">
        <f>MINUTE(Q578)</f>
        <v>20</v>
      </c>
      <c r="T578">
        <f>R578*60+S578</f>
        <v>20</v>
      </c>
      <c r="U578" s="7">
        <f>H578-G578</f>
        <v>2.3611111115314998E-2</v>
      </c>
      <c r="V578">
        <f>HOUR(U578)</f>
        <v>0</v>
      </c>
      <c r="W578">
        <f>MINUTE(U578)</f>
        <v>34</v>
      </c>
      <c r="X578">
        <f>V578*60+W578</f>
        <v>34</v>
      </c>
      <c r="Y578" s="7">
        <f>I578-H578</f>
        <v>5.2777777775190771E-2</v>
      </c>
      <c r="Z578">
        <f>HOUR(Y578)</f>
        <v>1</v>
      </c>
      <c r="AA578">
        <f>MINUTE(Y578)</f>
        <v>16</v>
      </c>
      <c r="AB578">
        <f>Z578*60+AA578</f>
        <v>76</v>
      </c>
    </row>
    <row r="579" spans="1:28" x14ac:dyDescent="0.25">
      <c r="A579">
        <v>577</v>
      </c>
      <c r="B579" t="s">
        <v>31</v>
      </c>
      <c r="C579">
        <v>1</v>
      </c>
      <c r="D579" t="s">
        <v>30</v>
      </c>
      <c r="E579" s="6">
        <v>46063.586805555555</v>
      </c>
      <c r="F579" s="6">
        <v>46063.59375</v>
      </c>
      <c r="G579" s="6">
        <v>46063.629861111112</v>
      </c>
      <c r="H579" s="6">
        <v>46063.754861111112</v>
      </c>
      <c r="I579" s="6">
        <v>46063.761805555558</v>
      </c>
      <c r="J579" s="6">
        <v>46063.767361111109</v>
      </c>
      <c r="K579">
        <v>4.33</v>
      </c>
      <c r="L579" s="6">
        <v>46063.774305555555</v>
      </c>
      <c r="M579" s="7">
        <f>F579-E579</f>
        <v>6.9444444452528842E-3</v>
      </c>
      <c r="N579">
        <f>HOUR(M579)</f>
        <v>0</v>
      </c>
      <c r="O579">
        <f>MINUTE(M579)</f>
        <v>10</v>
      </c>
      <c r="P579">
        <f>N579*60+O579</f>
        <v>10</v>
      </c>
      <c r="Q579" s="7">
        <f>G579-F579</f>
        <v>3.6111111112404615E-2</v>
      </c>
      <c r="R579">
        <f>HOUR(Q579)</f>
        <v>0</v>
      </c>
      <c r="S579">
        <f>MINUTE(Q579)</f>
        <v>52</v>
      </c>
      <c r="T579">
        <f>R579*60+S579</f>
        <v>52</v>
      </c>
      <c r="U579" s="7">
        <f>H579-G579</f>
        <v>0.125</v>
      </c>
      <c r="V579">
        <f>HOUR(U579)</f>
        <v>3</v>
      </c>
      <c r="W579">
        <f>MINUTE(U579)</f>
        <v>0</v>
      </c>
      <c r="X579">
        <f>V579*60+W579</f>
        <v>180</v>
      </c>
      <c r="Y579" s="7">
        <f>I579-H579</f>
        <v>6.9444444452528842E-3</v>
      </c>
      <c r="Z579">
        <f>HOUR(Y579)</f>
        <v>0</v>
      </c>
      <c r="AA579">
        <f>MINUTE(Y579)</f>
        <v>10</v>
      </c>
      <c r="AB579">
        <f>Z579*60+AA579</f>
        <v>10</v>
      </c>
    </row>
    <row r="580" spans="1:28" x14ac:dyDescent="0.25">
      <c r="A580">
        <v>578</v>
      </c>
      <c r="B580" t="s">
        <v>31</v>
      </c>
      <c r="C580">
        <v>1</v>
      </c>
      <c r="D580" t="s">
        <v>32</v>
      </c>
      <c r="E580" s="6">
        <v>46063.576388888891</v>
      </c>
      <c r="F580" s="6">
        <v>46063.583333333336</v>
      </c>
      <c r="G580" s="6">
        <v>46063.604166666664</v>
      </c>
      <c r="H580" s="6">
        <v>46063.6875</v>
      </c>
      <c r="I580" s="6">
        <v>46063.694444444445</v>
      </c>
      <c r="J580" s="6">
        <v>46063.708333333336</v>
      </c>
      <c r="K580">
        <v>3.17</v>
      </c>
      <c r="L580" s="6">
        <v>46063.715277777781</v>
      </c>
      <c r="M580" s="7">
        <f>F580-E580</f>
        <v>6.9444444452528842E-3</v>
      </c>
      <c r="N580">
        <f>HOUR(M580)</f>
        <v>0</v>
      </c>
      <c r="O580">
        <f>MINUTE(M580)</f>
        <v>10</v>
      </c>
      <c r="P580">
        <f>N580*60+O580</f>
        <v>10</v>
      </c>
      <c r="Q580" s="7">
        <f>G580-F580</f>
        <v>2.0833333328482695E-2</v>
      </c>
      <c r="R580">
        <f>HOUR(Q580)</f>
        <v>0</v>
      </c>
      <c r="S580">
        <f>MINUTE(Q580)</f>
        <v>30</v>
      </c>
      <c r="T580">
        <f>R580*60+S580</f>
        <v>30</v>
      </c>
      <c r="U580" s="7">
        <f>H580-G580</f>
        <v>8.3333333335758653E-2</v>
      </c>
      <c r="V580">
        <f>HOUR(U580)</f>
        <v>2</v>
      </c>
      <c r="W580">
        <f>MINUTE(U580)</f>
        <v>0</v>
      </c>
      <c r="X580">
        <f>V580*60+W580</f>
        <v>120</v>
      </c>
      <c r="Y580" s="7">
        <f>I580-H580</f>
        <v>6.9444444452528842E-3</v>
      </c>
      <c r="Z580">
        <f>HOUR(Y580)</f>
        <v>0</v>
      </c>
      <c r="AA580">
        <f>MINUTE(Y580)</f>
        <v>10</v>
      </c>
      <c r="AB580">
        <f>Z580*60+AA580</f>
        <v>10</v>
      </c>
    </row>
    <row r="581" spans="1:28" x14ac:dyDescent="0.25">
      <c r="A581">
        <v>579</v>
      </c>
      <c r="B581" t="s">
        <v>29</v>
      </c>
      <c r="C581">
        <v>1</v>
      </c>
      <c r="D581" t="s">
        <v>30</v>
      </c>
      <c r="E581" s="6">
        <v>46063.690972222219</v>
      </c>
      <c r="F581" s="6">
        <v>46063.694444444445</v>
      </c>
      <c r="G581" s="6">
        <v>46063.708333333336</v>
      </c>
      <c r="H581" s="6">
        <v>46063.75</v>
      </c>
      <c r="I581" s="6">
        <v>46063.750694444447</v>
      </c>
      <c r="J581" s="6">
        <v>46063.751388888886</v>
      </c>
      <c r="K581">
        <v>1.45</v>
      </c>
      <c r="L581" s="6">
        <v>46063.758333333331</v>
      </c>
      <c r="M581" s="7">
        <f>F581-E581</f>
        <v>3.4722222262644209E-3</v>
      </c>
      <c r="N581">
        <f>HOUR(M581)</f>
        <v>0</v>
      </c>
      <c r="O581">
        <f>MINUTE(M581)</f>
        <v>5</v>
      </c>
      <c r="P581">
        <f>N581*60+O581</f>
        <v>5</v>
      </c>
      <c r="Q581" s="7">
        <f>G581-F581</f>
        <v>1.3888888890505768E-2</v>
      </c>
      <c r="R581">
        <f>HOUR(Q581)</f>
        <v>0</v>
      </c>
      <c r="S581">
        <f>MINUTE(Q581)</f>
        <v>20</v>
      </c>
      <c r="T581">
        <f>R581*60+S581</f>
        <v>20</v>
      </c>
      <c r="U581" s="7">
        <f>H581-G581</f>
        <v>4.1666666664241347E-2</v>
      </c>
      <c r="V581">
        <f>HOUR(U581)</f>
        <v>1</v>
      </c>
      <c r="W581">
        <f>MINUTE(U581)</f>
        <v>0</v>
      </c>
      <c r="X581">
        <f>V581*60+W581</f>
        <v>60</v>
      </c>
      <c r="Y581" s="7">
        <f>I581-H581</f>
        <v>6.944444467080757E-4</v>
      </c>
      <c r="Z581">
        <f>HOUR(Y581)</f>
        <v>0</v>
      </c>
      <c r="AA581">
        <f>MINUTE(Y581)</f>
        <v>1</v>
      </c>
      <c r="AB581">
        <f>Z581*60+AA581</f>
        <v>1</v>
      </c>
    </row>
    <row r="582" spans="1:28" x14ac:dyDescent="0.25">
      <c r="A582">
        <v>580</v>
      </c>
      <c r="B582" t="s">
        <v>29</v>
      </c>
      <c r="C582">
        <v>1</v>
      </c>
      <c r="D582" t="s">
        <v>36</v>
      </c>
      <c r="E582" s="6">
        <v>46064.520833333336</v>
      </c>
      <c r="F582" s="6">
        <v>46064.534722222219</v>
      </c>
      <c r="G582" s="6">
        <v>46064.541666666664</v>
      </c>
      <c r="H582" s="6">
        <v>46064.569444444445</v>
      </c>
      <c r="I582" s="6">
        <v>46064.576388888891</v>
      </c>
      <c r="J582" s="6">
        <v>46064.583333333336</v>
      </c>
      <c r="K582">
        <v>1.5</v>
      </c>
      <c r="L582" s="6">
        <v>46064.590277777781</v>
      </c>
      <c r="M582" s="7">
        <f>F582-E582</f>
        <v>1.3888888883229811E-2</v>
      </c>
      <c r="N582">
        <f>HOUR(M582)</f>
        <v>0</v>
      </c>
      <c r="O582">
        <f>MINUTE(M582)</f>
        <v>20</v>
      </c>
      <c r="P582">
        <f>N582*60+O582</f>
        <v>20</v>
      </c>
      <c r="Q582" s="7">
        <f>G582-F582</f>
        <v>6.9444444452528842E-3</v>
      </c>
      <c r="R582">
        <f>HOUR(Q582)</f>
        <v>0</v>
      </c>
      <c r="S582">
        <f>MINUTE(Q582)</f>
        <v>10</v>
      </c>
      <c r="T582">
        <f>R582*60+S582</f>
        <v>10</v>
      </c>
      <c r="U582" s="7">
        <f>H582-G582</f>
        <v>2.7777777781011537E-2</v>
      </c>
      <c r="V582">
        <f>HOUR(U582)</f>
        <v>0</v>
      </c>
      <c r="W582">
        <f>MINUTE(U582)</f>
        <v>40</v>
      </c>
      <c r="X582">
        <f>V582*60+W582</f>
        <v>40</v>
      </c>
      <c r="Y582" s="7">
        <f>I582-H582</f>
        <v>6.9444444452528842E-3</v>
      </c>
      <c r="Z582">
        <f>HOUR(Y582)</f>
        <v>0</v>
      </c>
      <c r="AA582">
        <f>MINUTE(Y582)</f>
        <v>10</v>
      </c>
      <c r="AB582">
        <f>Z582*60+AA582</f>
        <v>10</v>
      </c>
    </row>
    <row r="583" spans="1:28" x14ac:dyDescent="0.25">
      <c r="A583">
        <v>581</v>
      </c>
      <c r="B583" t="s">
        <v>29</v>
      </c>
      <c r="C583">
        <v>1</v>
      </c>
      <c r="D583" t="s">
        <v>37</v>
      </c>
      <c r="E583" s="6">
        <v>46066.4375</v>
      </c>
      <c r="F583" s="6">
        <v>46066.444444444445</v>
      </c>
      <c r="G583" s="6">
        <v>46066.472222222219</v>
      </c>
      <c r="H583" s="6">
        <v>46066.527777777781</v>
      </c>
      <c r="I583" s="6">
        <v>46066.614583333336</v>
      </c>
      <c r="J583" s="6">
        <v>46066.618055555555</v>
      </c>
      <c r="K583">
        <v>4.33</v>
      </c>
      <c r="L583" s="6">
        <v>46066.621527777781</v>
      </c>
      <c r="M583" s="7">
        <f>F583-E583</f>
        <v>6.9444444452528842E-3</v>
      </c>
      <c r="N583">
        <f>HOUR(M583)</f>
        <v>0</v>
      </c>
      <c r="O583">
        <f>MINUTE(M583)</f>
        <v>10</v>
      </c>
      <c r="P583">
        <f>N583*60+O583</f>
        <v>10</v>
      </c>
      <c r="Q583" s="7">
        <f>G583-F583</f>
        <v>2.7777777773735579E-2</v>
      </c>
      <c r="R583">
        <f>HOUR(Q583)</f>
        <v>0</v>
      </c>
      <c r="S583">
        <f>MINUTE(Q583)</f>
        <v>40</v>
      </c>
      <c r="T583">
        <f>R583*60+S583</f>
        <v>40</v>
      </c>
      <c r="U583" s="7">
        <f>H583-G583</f>
        <v>5.5555555562023073E-2</v>
      </c>
      <c r="V583">
        <f>HOUR(U583)</f>
        <v>1</v>
      </c>
      <c r="W583">
        <f>MINUTE(U583)</f>
        <v>20</v>
      </c>
      <c r="X583">
        <f>V583*60+W583</f>
        <v>80</v>
      </c>
      <c r="Y583" s="7">
        <f>I583-H583</f>
        <v>8.6805555554747116E-2</v>
      </c>
      <c r="Z583">
        <f>HOUR(Y583)</f>
        <v>2</v>
      </c>
      <c r="AA583">
        <f>MINUTE(Y583)</f>
        <v>5</v>
      </c>
      <c r="AB583">
        <f>Z583*60+AA583</f>
        <v>125</v>
      </c>
    </row>
    <row r="584" spans="1:28" x14ac:dyDescent="0.25">
      <c r="A584">
        <v>582</v>
      </c>
      <c r="B584" t="s">
        <v>29</v>
      </c>
      <c r="C584">
        <v>1</v>
      </c>
      <c r="D584" t="s">
        <v>32</v>
      </c>
      <c r="E584" s="6">
        <v>46084.309027777781</v>
      </c>
      <c r="F584" s="6">
        <v>46084.352083333331</v>
      </c>
      <c r="G584" s="6">
        <v>46084.361111111109</v>
      </c>
      <c r="H584" s="6">
        <v>46084.399305555555</v>
      </c>
      <c r="I584" s="6">
        <v>46084.402777777781</v>
      </c>
      <c r="J584" s="6">
        <v>46084.418749999997</v>
      </c>
      <c r="K584">
        <v>2.63</v>
      </c>
      <c r="L584" s="6">
        <v>46084.419444444444</v>
      </c>
      <c r="M584" s="7">
        <f>F584-E584</f>
        <v>4.3055555550381541E-2</v>
      </c>
      <c r="N584">
        <f>HOUR(M584)</f>
        <v>1</v>
      </c>
      <c r="O584">
        <f>MINUTE(M584)</f>
        <v>2</v>
      </c>
      <c r="P584">
        <f>N584*60+O584</f>
        <v>62</v>
      </c>
      <c r="Q584" s="7">
        <f>G584-F584</f>
        <v>9.0277777781011537E-3</v>
      </c>
      <c r="R584">
        <f>HOUR(Q584)</f>
        <v>0</v>
      </c>
      <c r="S584">
        <f>MINUTE(Q584)</f>
        <v>13</v>
      </c>
      <c r="T584">
        <f>R584*60+S584</f>
        <v>13</v>
      </c>
      <c r="U584" s="7">
        <f>H584-G584</f>
        <v>3.8194444445252884E-2</v>
      </c>
      <c r="V584">
        <f>HOUR(U584)</f>
        <v>0</v>
      </c>
      <c r="W584">
        <f>MINUTE(U584)</f>
        <v>55</v>
      </c>
      <c r="X584">
        <f>V584*60+W584</f>
        <v>55</v>
      </c>
      <c r="Y584" s="7">
        <f>I584-H584</f>
        <v>3.4722222262644209E-3</v>
      </c>
      <c r="Z584">
        <f>HOUR(Y584)</f>
        <v>0</v>
      </c>
      <c r="AA584">
        <f>MINUTE(Y584)</f>
        <v>5</v>
      </c>
      <c r="AB584">
        <f>Z584*60+AA584</f>
        <v>5</v>
      </c>
    </row>
    <row r="585" spans="1:28" x14ac:dyDescent="0.25">
      <c r="A585">
        <v>583</v>
      </c>
      <c r="B585" t="s">
        <v>29</v>
      </c>
      <c r="C585">
        <v>1</v>
      </c>
      <c r="D585" t="s">
        <v>36</v>
      </c>
      <c r="E585" s="6">
        <v>46065.361111111109</v>
      </c>
      <c r="F585" s="6">
        <v>46065.368055555555</v>
      </c>
      <c r="G585" s="6">
        <v>46065.371527777781</v>
      </c>
      <c r="H585" s="6">
        <v>46065.402777777781</v>
      </c>
      <c r="I585" s="6">
        <v>46065.40625</v>
      </c>
      <c r="J585" s="6">
        <v>46065.409722222219</v>
      </c>
      <c r="K585">
        <v>1.17</v>
      </c>
      <c r="L585" s="6">
        <v>46065.413194444445</v>
      </c>
      <c r="M585" s="7">
        <f>F585-E585</f>
        <v>6.9444444452528842E-3</v>
      </c>
      <c r="N585">
        <f>HOUR(M585)</f>
        <v>0</v>
      </c>
      <c r="O585">
        <f>MINUTE(M585)</f>
        <v>10</v>
      </c>
      <c r="P585">
        <f>N585*60+O585</f>
        <v>10</v>
      </c>
      <c r="Q585" s="7">
        <f>G585-F585</f>
        <v>3.4722222262644209E-3</v>
      </c>
      <c r="R585">
        <f>HOUR(Q585)</f>
        <v>0</v>
      </c>
      <c r="S585">
        <f>MINUTE(Q585)</f>
        <v>5</v>
      </c>
      <c r="T585">
        <f>R585*60+S585</f>
        <v>5</v>
      </c>
      <c r="U585" s="7">
        <f>H585-G585</f>
        <v>3.125E-2</v>
      </c>
      <c r="V585">
        <f>HOUR(U585)</f>
        <v>0</v>
      </c>
      <c r="W585">
        <f>MINUTE(U585)</f>
        <v>45</v>
      </c>
      <c r="X585">
        <f>V585*60+W585</f>
        <v>45</v>
      </c>
      <c r="Y585" s="7">
        <f>I585-H585</f>
        <v>3.4722222189884633E-3</v>
      </c>
      <c r="Z585">
        <f>HOUR(Y585)</f>
        <v>0</v>
      </c>
      <c r="AA585">
        <f>MINUTE(Y585)</f>
        <v>5</v>
      </c>
      <c r="AB585">
        <f>Z585*60+AA585</f>
        <v>5</v>
      </c>
    </row>
    <row r="586" spans="1:28" x14ac:dyDescent="0.25">
      <c r="A586">
        <v>584</v>
      </c>
      <c r="B586" t="s">
        <v>33</v>
      </c>
      <c r="C586">
        <v>1</v>
      </c>
      <c r="D586" t="s">
        <v>36</v>
      </c>
      <c r="E586" s="6">
        <v>46065.309027777781</v>
      </c>
      <c r="F586" s="6">
        <v>46065.315972222219</v>
      </c>
      <c r="G586" s="6">
        <v>46065.319444444445</v>
      </c>
      <c r="H586" s="6">
        <v>46065.333333333336</v>
      </c>
      <c r="I586" s="6">
        <v>46065.340277777781</v>
      </c>
      <c r="J586" s="6">
        <v>46065.341666666667</v>
      </c>
      <c r="K586">
        <v>0.78</v>
      </c>
      <c r="L586" s="6">
        <v>46065.348611111112</v>
      </c>
      <c r="M586" s="7">
        <f>F586-E586</f>
        <v>6.9444444379769266E-3</v>
      </c>
      <c r="N586">
        <f>HOUR(M586)</f>
        <v>0</v>
      </c>
      <c r="O586">
        <f>MINUTE(M586)</f>
        <v>10</v>
      </c>
      <c r="P586">
        <f>N586*60+O586</f>
        <v>10</v>
      </c>
      <c r="Q586" s="7">
        <f>G586-F586</f>
        <v>3.4722222262644209E-3</v>
      </c>
      <c r="R586">
        <f>HOUR(Q586)</f>
        <v>0</v>
      </c>
      <c r="S586">
        <f>MINUTE(Q586)</f>
        <v>5</v>
      </c>
      <c r="T586">
        <f>R586*60+S586</f>
        <v>5</v>
      </c>
      <c r="U586" s="7">
        <f>H586-G586</f>
        <v>1.3888888890505768E-2</v>
      </c>
      <c r="V586">
        <f>HOUR(U586)</f>
        <v>0</v>
      </c>
      <c r="W586">
        <f>MINUTE(U586)</f>
        <v>20</v>
      </c>
      <c r="X586">
        <f>V586*60+W586</f>
        <v>20</v>
      </c>
      <c r="Y586" s="7">
        <f>I586-H586</f>
        <v>6.9444444452528842E-3</v>
      </c>
      <c r="Z586">
        <f>HOUR(Y586)</f>
        <v>0</v>
      </c>
      <c r="AA586">
        <f>MINUTE(Y586)</f>
        <v>10</v>
      </c>
      <c r="AB586">
        <f>Z586*60+AA586</f>
        <v>10</v>
      </c>
    </row>
    <row r="587" spans="1:28" x14ac:dyDescent="0.25">
      <c r="A587">
        <v>585</v>
      </c>
      <c r="B587" t="s">
        <v>33</v>
      </c>
      <c r="C587">
        <v>1</v>
      </c>
      <c r="D587" t="s">
        <v>35</v>
      </c>
      <c r="E587" s="6">
        <v>46064.329861111109</v>
      </c>
      <c r="F587" s="6">
        <v>46064.34375</v>
      </c>
      <c r="G587" s="6">
        <v>46064.354166666664</v>
      </c>
      <c r="H587" s="6">
        <v>46064.385416666664</v>
      </c>
      <c r="I587" s="6">
        <v>46064.392361111109</v>
      </c>
      <c r="J587" s="6">
        <v>46064.402777777781</v>
      </c>
      <c r="K587">
        <v>1.75</v>
      </c>
      <c r="L587" s="6">
        <v>46064.409722222219</v>
      </c>
      <c r="M587" s="7">
        <f>F587-E587</f>
        <v>1.3888888890505768E-2</v>
      </c>
      <c r="N587">
        <f>HOUR(M587)</f>
        <v>0</v>
      </c>
      <c r="O587">
        <f>MINUTE(M587)</f>
        <v>20</v>
      </c>
      <c r="P587">
        <f>N587*60+O587</f>
        <v>20</v>
      </c>
      <c r="Q587" s="7">
        <f>G587-F587</f>
        <v>1.0416666664241347E-2</v>
      </c>
      <c r="R587">
        <f>HOUR(Q587)</f>
        <v>0</v>
      </c>
      <c r="S587">
        <f>MINUTE(Q587)</f>
        <v>15</v>
      </c>
      <c r="T587">
        <f>R587*60+S587</f>
        <v>15</v>
      </c>
      <c r="U587" s="7">
        <f>H587-G587</f>
        <v>3.125E-2</v>
      </c>
      <c r="V587">
        <f>HOUR(U587)</f>
        <v>0</v>
      </c>
      <c r="W587">
        <f>MINUTE(U587)</f>
        <v>45</v>
      </c>
      <c r="X587">
        <f>V587*60+W587</f>
        <v>45</v>
      </c>
      <c r="Y587" s="7">
        <f>I587-H587</f>
        <v>6.9444444452528842E-3</v>
      </c>
      <c r="Z587">
        <f>HOUR(Y587)</f>
        <v>0</v>
      </c>
      <c r="AA587">
        <f>MINUTE(Y587)</f>
        <v>10</v>
      </c>
      <c r="AB587">
        <f>Z587*60+AA587</f>
        <v>10</v>
      </c>
    </row>
    <row r="588" spans="1:28" x14ac:dyDescent="0.25">
      <c r="A588">
        <v>586</v>
      </c>
      <c r="B588" t="s">
        <v>29</v>
      </c>
      <c r="C588">
        <v>1</v>
      </c>
      <c r="D588" t="s">
        <v>34</v>
      </c>
      <c r="E588" s="6">
        <v>46064.291666666664</v>
      </c>
      <c r="F588" s="6">
        <v>46064.322916666664</v>
      </c>
      <c r="G588" s="6">
        <v>46064.340277777781</v>
      </c>
      <c r="H588" s="6">
        <v>46064.40625</v>
      </c>
      <c r="I588" s="6">
        <v>46064.420138888891</v>
      </c>
      <c r="J588" s="6">
        <v>46064.427083333336</v>
      </c>
      <c r="K588">
        <v>3.25</v>
      </c>
      <c r="L588" s="6">
        <v>46064.430555555555</v>
      </c>
      <c r="M588" s="7">
        <f>F588-E588</f>
        <v>3.125E-2</v>
      </c>
      <c r="N588">
        <f>HOUR(M588)</f>
        <v>0</v>
      </c>
      <c r="O588">
        <f>MINUTE(M588)</f>
        <v>45</v>
      </c>
      <c r="P588">
        <f>N588*60+O588</f>
        <v>45</v>
      </c>
      <c r="Q588" s="7">
        <f>G588-F588</f>
        <v>1.7361111116770189E-2</v>
      </c>
      <c r="R588">
        <f>HOUR(Q588)</f>
        <v>0</v>
      </c>
      <c r="S588">
        <f>MINUTE(Q588)</f>
        <v>25</v>
      </c>
      <c r="T588">
        <f>R588*60+S588</f>
        <v>25</v>
      </c>
      <c r="U588" s="7">
        <f>H588-G588</f>
        <v>6.5972222218988463E-2</v>
      </c>
      <c r="V588">
        <f>HOUR(U588)</f>
        <v>1</v>
      </c>
      <c r="W588">
        <f>MINUTE(U588)</f>
        <v>35</v>
      </c>
      <c r="X588">
        <f>V588*60+W588</f>
        <v>95</v>
      </c>
      <c r="Y588" s="7">
        <f>I588-H588</f>
        <v>1.3888888890505768E-2</v>
      </c>
      <c r="Z588">
        <f>HOUR(Y588)</f>
        <v>0</v>
      </c>
      <c r="AA588">
        <f>MINUTE(Y588)</f>
        <v>20</v>
      </c>
      <c r="AB588">
        <f>Z588*60+AA588</f>
        <v>20</v>
      </c>
    </row>
    <row r="589" spans="1:28" x14ac:dyDescent="0.25">
      <c r="A589">
        <v>587</v>
      </c>
      <c r="B589" t="s">
        <v>29</v>
      </c>
      <c r="C589">
        <v>1</v>
      </c>
      <c r="D589" t="s">
        <v>34</v>
      </c>
      <c r="E589" s="6">
        <v>46063.708333333336</v>
      </c>
      <c r="F589" s="6">
        <v>46063.725694444445</v>
      </c>
      <c r="G589" s="6">
        <v>46063.739583333336</v>
      </c>
      <c r="H589" s="6">
        <v>46063.822916666664</v>
      </c>
      <c r="I589" s="6">
        <v>46063.826388888891</v>
      </c>
      <c r="J589" s="6">
        <v>46063.82916666667</v>
      </c>
      <c r="K589">
        <v>2.9</v>
      </c>
      <c r="L589" s="6">
        <v>46063.836111111108</v>
      </c>
      <c r="M589" s="7">
        <f>F589-E589</f>
        <v>1.7361111109494232E-2</v>
      </c>
      <c r="N589">
        <f>HOUR(M589)</f>
        <v>0</v>
      </c>
      <c r="O589">
        <f>MINUTE(M589)</f>
        <v>25</v>
      </c>
      <c r="P589">
        <f>N589*60+O589</f>
        <v>25</v>
      </c>
      <c r="Q589" s="7">
        <f>G589-F589</f>
        <v>1.3888888890505768E-2</v>
      </c>
      <c r="R589">
        <f>HOUR(Q589)</f>
        <v>0</v>
      </c>
      <c r="S589">
        <f>MINUTE(Q589)</f>
        <v>20</v>
      </c>
      <c r="T589">
        <f>R589*60+S589</f>
        <v>20</v>
      </c>
      <c r="U589" s="7">
        <f>H589-G589</f>
        <v>8.3333333328482695E-2</v>
      </c>
      <c r="V589">
        <f>HOUR(U589)</f>
        <v>2</v>
      </c>
      <c r="W589">
        <f>MINUTE(U589)</f>
        <v>0</v>
      </c>
      <c r="X589">
        <f>V589*60+W589</f>
        <v>120</v>
      </c>
      <c r="Y589" s="7">
        <f>I589-H589</f>
        <v>3.4722222262644209E-3</v>
      </c>
      <c r="Z589">
        <f>HOUR(Y589)</f>
        <v>0</v>
      </c>
      <c r="AA589">
        <f>MINUTE(Y589)</f>
        <v>5</v>
      </c>
      <c r="AB589">
        <f>Z589*60+AA589</f>
        <v>5</v>
      </c>
    </row>
    <row r="590" spans="1:28" x14ac:dyDescent="0.25">
      <c r="A590">
        <v>588</v>
      </c>
      <c r="B590" t="s">
        <v>29</v>
      </c>
      <c r="C590">
        <v>1</v>
      </c>
      <c r="D590" t="s">
        <v>32</v>
      </c>
      <c r="E590" s="6">
        <v>46063.743055555555</v>
      </c>
      <c r="F590" s="6">
        <v>46063.75</v>
      </c>
      <c r="G590" s="6">
        <v>46063.753472222219</v>
      </c>
      <c r="H590" s="6">
        <v>46063.770833333336</v>
      </c>
      <c r="I590" s="6">
        <v>46063.775694444441</v>
      </c>
      <c r="J590" s="6">
        <v>46063.776388888888</v>
      </c>
      <c r="K590">
        <v>0.8</v>
      </c>
      <c r="L590" s="6">
        <v>46063.777777777781</v>
      </c>
      <c r="M590" s="7">
        <f>F590-E590</f>
        <v>6.9444444452528842E-3</v>
      </c>
      <c r="N590">
        <f>HOUR(M590)</f>
        <v>0</v>
      </c>
      <c r="O590">
        <f>MINUTE(M590)</f>
        <v>10</v>
      </c>
      <c r="P590">
        <f>N590*60+O590</f>
        <v>10</v>
      </c>
      <c r="Q590" s="7">
        <f>G590-F590</f>
        <v>3.4722222189884633E-3</v>
      </c>
      <c r="R590">
        <f>HOUR(Q590)</f>
        <v>0</v>
      </c>
      <c r="S590">
        <f>MINUTE(Q590)</f>
        <v>5</v>
      </c>
      <c r="T590">
        <f>R590*60+S590</f>
        <v>5</v>
      </c>
      <c r="U590" s="7">
        <f>H590-G590</f>
        <v>1.7361111116770189E-2</v>
      </c>
      <c r="V590">
        <f>HOUR(U590)</f>
        <v>0</v>
      </c>
      <c r="W590">
        <f>MINUTE(U590)</f>
        <v>25</v>
      </c>
      <c r="X590">
        <f>V590*60+W590</f>
        <v>25</v>
      </c>
      <c r="Y590" s="7">
        <f>I590-H590</f>
        <v>4.8611111051286571E-3</v>
      </c>
      <c r="Z590">
        <f>HOUR(Y590)</f>
        <v>0</v>
      </c>
      <c r="AA590">
        <f>MINUTE(Y590)</f>
        <v>7</v>
      </c>
      <c r="AB590">
        <f>Z590*60+AA590</f>
        <v>7</v>
      </c>
    </row>
    <row r="591" spans="1:28" x14ac:dyDescent="0.25">
      <c r="A591">
        <v>589</v>
      </c>
      <c r="B591" t="s">
        <v>33</v>
      </c>
      <c r="C591">
        <v>1</v>
      </c>
      <c r="D591" t="s">
        <v>35</v>
      </c>
      <c r="E591" s="6">
        <v>46063.666666666664</v>
      </c>
      <c r="F591" s="6">
        <v>46063.673611111109</v>
      </c>
      <c r="G591" s="6">
        <v>46063.6875</v>
      </c>
      <c r="H591" s="6">
        <v>46063.777777777781</v>
      </c>
      <c r="I591" s="6">
        <v>46063.784722222219</v>
      </c>
      <c r="J591" s="6">
        <v>46063.815972222219</v>
      </c>
      <c r="K591">
        <v>3.58</v>
      </c>
      <c r="L591" s="6">
        <v>46063.822916666664</v>
      </c>
      <c r="M591" s="7">
        <f>F591-E591</f>
        <v>6.9444444452528842E-3</v>
      </c>
      <c r="N591">
        <f>HOUR(M591)</f>
        <v>0</v>
      </c>
      <c r="O591">
        <f>MINUTE(M591)</f>
        <v>10</v>
      </c>
      <c r="P591">
        <f>N591*60+O591</f>
        <v>10</v>
      </c>
      <c r="Q591" s="7">
        <f>G591-F591</f>
        <v>1.3888888890505768E-2</v>
      </c>
      <c r="R591">
        <f>HOUR(Q591)</f>
        <v>0</v>
      </c>
      <c r="S591">
        <f>MINUTE(Q591)</f>
        <v>20</v>
      </c>
      <c r="T591">
        <f>R591*60+S591</f>
        <v>20</v>
      </c>
      <c r="U591" s="7">
        <f>H591-G591</f>
        <v>9.0277777781011537E-2</v>
      </c>
      <c r="V591">
        <f>HOUR(U591)</f>
        <v>2</v>
      </c>
      <c r="W591">
        <f>MINUTE(U591)</f>
        <v>10</v>
      </c>
      <c r="X591">
        <f>V591*60+W591</f>
        <v>130</v>
      </c>
      <c r="Y591" s="7">
        <f>I591-H591</f>
        <v>6.9444444379769266E-3</v>
      </c>
      <c r="Z591">
        <f>HOUR(Y591)</f>
        <v>0</v>
      </c>
      <c r="AA591">
        <f>MINUTE(Y591)</f>
        <v>10</v>
      </c>
      <c r="AB591">
        <f>Z591*60+AA591</f>
        <v>10</v>
      </c>
    </row>
    <row r="592" spans="1:28" x14ac:dyDescent="0.25">
      <c r="A592">
        <v>590</v>
      </c>
      <c r="B592" t="s">
        <v>31</v>
      </c>
      <c r="C592">
        <v>1</v>
      </c>
      <c r="D592" t="s">
        <v>35</v>
      </c>
      <c r="E592" s="6">
        <v>46064.295138888891</v>
      </c>
      <c r="F592" s="6">
        <v>46064.319444444445</v>
      </c>
      <c r="G592" s="6">
        <v>46064.34375</v>
      </c>
      <c r="H592" s="6">
        <v>46064.440972222219</v>
      </c>
      <c r="I592" s="6">
        <v>46064.447916666664</v>
      </c>
      <c r="J592" s="6">
        <v>46064.451388888891</v>
      </c>
      <c r="K592">
        <v>3.75</v>
      </c>
      <c r="L592" s="6">
        <v>46064.458333333336</v>
      </c>
      <c r="M592" s="7">
        <f>F592-E592</f>
        <v>2.4305555554747116E-2</v>
      </c>
      <c r="N592">
        <f>HOUR(M592)</f>
        <v>0</v>
      </c>
      <c r="O592">
        <f>MINUTE(M592)</f>
        <v>35</v>
      </c>
      <c r="P592">
        <f>N592*60+O592</f>
        <v>35</v>
      </c>
      <c r="Q592" s="7">
        <f>G592-F592</f>
        <v>2.4305555554747116E-2</v>
      </c>
      <c r="R592">
        <f>HOUR(Q592)</f>
        <v>0</v>
      </c>
      <c r="S592">
        <f>MINUTE(Q592)</f>
        <v>35</v>
      </c>
      <c r="T592">
        <f>R592*60+S592</f>
        <v>35</v>
      </c>
      <c r="U592" s="7">
        <f>H592-G592</f>
        <v>9.7222222218988463E-2</v>
      </c>
      <c r="V592">
        <f>HOUR(U592)</f>
        <v>2</v>
      </c>
      <c r="W592">
        <f>MINUTE(U592)</f>
        <v>20</v>
      </c>
      <c r="X592">
        <f>V592*60+W592</f>
        <v>140</v>
      </c>
      <c r="Y592" s="7">
        <f>I592-H592</f>
        <v>6.9444444452528842E-3</v>
      </c>
      <c r="Z592">
        <f>HOUR(Y592)</f>
        <v>0</v>
      </c>
      <c r="AA592">
        <f>MINUTE(Y592)</f>
        <v>10</v>
      </c>
      <c r="AB592">
        <f>Z592*60+AA592</f>
        <v>10</v>
      </c>
    </row>
    <row r="593" spans="1:28" x14ac:dyDescent="0.25">
      <c r="A593">
        <v>591</v>
      </c>
      <c r="B593" t="s">
        <v>33</v>
      </c>
      <c r="C593">
        <v>1</v>
      </c>
      <c r="D593" t="s">
        <v>30</v>
      </c>
      <c r="E593" s="6">
        <v>46063.84375</v>
      </c>
      <c r="F593" s="6">
        <v>46063.854166666664</v>
      </c>
      <c r="G593" s="6">
        <v>46063.864583333336</v>
      </c>
      <c r="H593" s="6">
        <v>46063.954861111109</v>
      </c>
      <c r="I593" s="6">
        <v>46063.965277777781</v>
      </c>
      <c r="J593" s="6">
        <v>46063.975694444445</v>
      </c>
      <c r="K593">
        <v>3.17</v>
      </c>
      <c r="L593" s="6">
        <v>46063.982638888891</v>
      </c>
      <c r="M593" s="7">
        <f>F593-E593</f>
        <v>1.0416666664241347E-2</v>
      </c>
      <c r="N593">
        <f>HOUR(M593)</f>
        <v>0</v>
      </c>
      <c r="O593">
        <f>MINUTE(M593)</f>
        <v>15</v>
      </c>
      <c r="P593">
        <f>N593*60+O593</f>
        <v>15</v>
      </c>
      <c r="Q593" s="7">
        <f>G593-F593</f>
        <v>1.0416666671517305E-2</v>
      </c>
      <c r="R593">
        <f>HOUR(Q593)</f>
        <v>0</v>
      </c>
      <c r="S593">
        <f>MINUTE(Q593)</f>
        <v>15</v>
      </c>
      <c r="T593">
        <f>R593*60+S593</f>
        <v>15</v>
      </c>
      <c r="U593" s="7">
        <f>H593-G593</f>
        <v>9.0277777773735579E-2</v>
      </c>
      <c r="V593">
        <f>HOUR(U593)</f>
        <v>2</v>
      </c>
      <c r="W593">
        <f>MINUTE(U593)</f>
        <v>10</v>
      </c>
      <c r="X593">
        <f>V593*60+W593</f>
        <v>130</v>
      </c>
      <c r="Y593" s="7">
        <f>I593-H593</f>
        <v>1.0416666671517305E-2</v>
      </c>
      <c r="Z593">
        <f>HOUR(Y593)</f>
        <v>0</v>
      </c>
      <c r="AA593">
        <f>MINUTE(Y593)</f>
        <v>15</v>
      </c>
      <c r="AB593">
        <f>Z593*60+AA593</f>
        <v>15</v>
      </c>
    </row>
    <row r="594" spans="1:28" x14ac:dyDescent="0.25">
      <c r="A594">
        <v>592</v>
      </c>
      <c r="B594" t="s">
        <v>29</v>
      </c>
      <c r="C594">
        <v>1</v>
      </c>
      <c r="D594" t="s">
        <v>35</v>
      </c>
      <c r="E594" s="6">
        <v>46063.873611111114</v>
      </c>
      <c r="F594" s="6">
        <v>46063.881944444445</v>
      </c>
      <c r="G594" s="6">
        <v>46063.895833333336</v>
      </c>
      <c r="H594" s="6">
        <v>46063.916666666664</v>
      </c>
      <c r="I594" s="6">
        <v>46063.923611111109</v>
      </c>
      <c r="J594" s="6">
        <v>46063.930555555555</v>
      </c>
      <c r="K594">
        <v>1.37</v>
      </c>
      <c r="L594" s="6">
        <v>46063.9375</v>
      </c>
      <c r="M594" s="7">
        <f>F594-E594</f>
        <v>8.333333331393078E-3</v>
      </c>
      <c r="N594">
        <f>HOUR(M594)</f>
        <v>0</v>
      </c>
      <c r="O594">
        <f>MINUTE(M594)</f>
        <v>12</v>
      </c>
      <c r="P594">
        <f>N594*60+O594</f>
        <v>12</v>
      </c>
      <c r="Q594" s="7">
        <f>G594-F594</f>
        <v>1.3888888890505768E-2</v>
      </c>
      <c r="R594">
        <f>HOUR(Q594)</f>
        <v>0</v>
      </c>
      <c r="S594">
        <f>MINUTE(Q594)</f>
        <v>20</v>
      </c>
      <c r="T594">
        <f>R594*60+S594</f>
        <v>20</v>
      </c>
      <c r="U594" s="7">
        <f>H594-G594</f>
        <v>2.0833333328482695E-2</v>
      </c>
      <c r="V594">
        <f>HOUR(U594)</f>
        <v>0</v>
      </c>
      <c r="W594">
        <f>MINUTE(U594)</f>
        <v>30</v>
      </c>
      <c r="X594">
        <f>V594*60+W594</f>
        <v>30</v>
      </c>
      <c r="Y594" s="7">
        <f>I594-H594</f>
        <v>6.9444444452528842E-3</v>
      </c>
      <c r="Z594">
        <f>HOUR(Y594)</f>
        <v>0</v>
      </c>
      <c r="AA594">
        <f>MINUTE(Y594)</f>
        <v>10</v>
      </c>
      <c r="AB594">
        <f>Z594*60+AA594</f>
        <v>10</v>
      </c>
    </row>
    <row r="595" spans="1:28" x14ac:dyDescent="0.25">
      <c r="A595">
        <v>593</v>
      </c>
      <c r="B595" t="s">
        <v>31</v>
      </c>
      <c r="C595">
        <v>1</v>
      </c>
      <c r="D595" t="s">
        <v>34</v>
      </c>
      <c r="E595" s="6">
        <v>46064.454861111109</v>
      </c>
      <c r="F595" s="6">
        <v>46064.479166666664</v>
      </c>
      <c r="G595" s="6">
        <v>46064.53125</v>
      </c>
      <c r="H595" s="6">
        <v>46064.751388888886</v>
      </c>
      <c r="I595" s="6">
        <v>46064.763888888891</v>
      </c>
      <c r="J595" s="6">
        <v>46064.767361111109</v>
      </c>
      <c r="K595">
        <v>7.5</v>
      </c>
      <c r="L595" s="6">
        <v>46064.774305555555</v>
      </c>
      <c r="M595" s="7">
        <f>F595-E595</f>
        <v>2.4305555554747116E-2</v>
      </c>
      <c r="N595">
        <f>HOUR(M595)</f>
        <v>0</v>
      </c>
      <c r="O595">
        <f>MINUTE(M595)</f>
        <v>35</v>
      </c>
      <c r="P595">
        <f>N595*60+O595</f>
        <v>35</v>
      </c>
      <c r="Q595" s="7">
        <f>G595-F595</f>
        <v>5.2083333335758653E-2</v>
      </c>
      <c r="R595">
        <f>HOUR(Q595)</f>
        <v>1</v>
      </c>
      <c r="S595">
        <f>MINUTE(Q595)</f>
        <v>15</v>
      </c>
      <c r="T595">
        <f>R595*60+S595</f>
        <v>75</v>
      </c>
      <c r="U595" s="7">
        <f>H595-G595</f>
        <v>0.22013888888614019</v>
      </c>
      <c r="V595">
        <f>HOUR(U595)</f>
        <v>5</v>
      </c>
      <c r="W595">
        <f>MINUTE(U595)</f>
        <v>17</v>
      </c>
      <c r="X595">
        <f>V595*60+W595</f>
        <v>317</v>
      </c>
      <c r="Y595" s="7">
        <f>I595-H595</f>
        <v>1.2500000004365575E-2</v>
      </c>
      <c r="Z595">
        <f>HOUR(Y595)</f>
        <v>0</v>
      </c>
      <c r="AA595">
        <f>MINUTE(Y595)</f>
        <v>18</v>
      </c>
      <c r="AB595">
        <f>Z595*60+AA595</f>
        <v>18</v>
      </c>
    </row>
    <row r="596" spans="1:28" x14ac:dyDescent="0.25">
      <c r="A596">
        <v>594</v>
      </c>
      <c r="B596" t="s">
        <v>31</v>
      </c>
      <c r="C596">
        <v>1</v>
      </c>
      <c r="D596" t="s">
        <v>34</v>
      </c>
      <c r="E596" s="6">
        <v>46063.970138888886</v>
      </c>
      <c r="F596" s="6">
        <v>46063.975694444445</v>
      </c>
      <c r="G596" s="6">
        <v>46063.982638888891</v>
      </c>
      <c r="H596" s="6">
        <v>46064.072916666664</v>
      </c>
      <c r="I596" s="6">
        <v>46064.076388888891</v>
      </c>
      <c r="J596" s="6">
        <v>46064.083333333336</v>
      </c>
      <c r="K596">
        <v>2.72</v>
      </c>
      <c r="L596" s="6">
        <v>46064.090277777781</v>
      </c>
      <c r="M596" s="7">
        <f>F596-E596</f>
        <v>5.5555555591126904E-3</v>
      </c>
      <c r="N596">
        <f>HOUR(M596)</f>
        <v>0</v>
      </c>
      <c r="O596">
        <f>MINUTE(M596)</f>
        <v>8</v>
      </c>
      <c r="P596">
        <f>N596*60+O596</f>
        <v>8</v>
      </c>
      <c r="Q596" s="7">
        <f>G596-F596</f>
        <v>6.9444444452528842E-3</v>
      </c>
      <c r="R596">
        <f>HOUR(Q596)</f>
        <v>0</v>
      </c>
      <c r="S596">
        <f>MINUTE(Q596)</f>
        <v>10</v>
      </c>
      <c r="T596">
        <f>R596*60+S596</f>
        <v>10</v>
      </c>
      <c r="U596" s="7">
        <f>H596-G596</f>
        <v>9.0277777773735579E-2</v>
      </c>
      <c r="V596">
        <f>HOUR(U596)</f>
        <v>2</v>
      </c>
      <c r="W596">
        <f>MINUTE(U596)</f>
        <v>10</v>
      </c>
      <c r="X596">
        <f>V596*60+W596</f>
        <v>130</v>
      </c>
      <c r="Y596" s="7">
        <f>I596-H596</f>
        <v>3.4722222262644209E-3</v>
      </c>
      <c r="Z596">
        <f>HOUR(Y596)</f>
        <v>0</v>
      </c>
      <c r="AA596">
        <f>MINUTE(Y596)</f>
        <v>5</v>
      </c>
      <c r="AB596">
        <f>Z596*60+AA596</f>
        <v>5</v>
      </c>
    </row>
    <row r="597" spans="1:28" x14ac:dyDescent="0.25">
      <c r="A597">
        <v>595</v>
      </c>
      <c r="B597" t="s">
        <v>31</v>
      </c>
      <c r="C597">
        <v>1</v>
      </c>
      <c r="D597" t="s">
        <v>35</v>
      </c>
      <c r="E597" s="6">
        <v>46064.003472222219</v>
      </c>
      <c r="F597" s="6">
        <v>46064.010416666664</v>
      </c>
      <c r="G597" s="6">
        <v>46064.020833333336</v>
      </c>
      <c r="H597" s="6">
        <v>46064.030555555553</v>
      </c>
      <c r="I597" s="6">
        <v>46064.038194444445</v>
      </c>
      <c r="J597" s="6">
        <v>46064.041666666664</v>
      </c>
      <c r="K597">
        <v>0.92</v>
      </c>
      <c r="L597" s="6">
        <v>46064.048611111109</v>
      </c>
      <c r="M597" s="7">
        <f>F597-E597</f>
        <v>6.9444444452528842E-3</v>
      </c>
      <c r="N597">
        <f>HOUR(M597)</f>
        <v>0</v>
      </c>
      <c r="O597">
        <f>MINUTE(M597)</f>
        <v>10</v>
      </c>
      <c r="P597">
        <f>N597*60+O597</f>
        <v>10</v>
      </c>
      <c r="Q597" s="7">
        <f>G597-F597</f>
        <v>1.0416666671517305E-2</v>
      </c>
      <c r="R597">
        <f>HOUR(Q597)</f>
        <v>0</v>
      </c>
      <c r="S597">
        <f>MINUTE(Q597)</f>
        <v>15</v>
      </c>
      <c r="T597">
        <f>R597*60+S597</f>
        <v>15</v>
      </c>
      <c r="U597" s="7">
        <f>H597-G597</f>
        <v>9.7222222175332718E-3</v>
      </c>
      <c r="V597">
        <f>HOUR(U597)</f>
        <v>0</v>
      </c>
      <c r="W597">
        <f>MINUTE(U597)</f>
        <v>14</v>
      </c>
      <c r="X597">
        <f>V597*60+W597</f>
        <v>14</v>
      </c>
      <c r="Y597" s="7">
        <f>I597-H597</f>
        <v>7.6388888919609599E-3</v>
      </c>
      <c r="Z597">
        <f>HOUR(Y597)</f>
        <v>0</v>
      </c>
      <c r="AA597">
        <f>MINUTE(Y597)</f>
        <v>11</v>
      </c>
      <c r="AB597">
        <f>Z597*60+AA597</f>
        <v>11</v>
      </c>
    </row>
    <row r="598" spans="1:28" x14ac:dyDescent="0.25">
      <c r="A598">
        <v>596</v>
      </c>
      <c r="B598" t="s">
        <v>33</v>
      </c>
      <c r="C598">
        <v>1</v>
      </c>
      <c r="D598" t="s">
        <v>32</v>
      </c>
      <c r="E598" s="6">
        <v>46064.454861111109</v>
      </c>
      <c r="F598" s="6">
        <v>46064.486111111109</v>
      </c>
      <c r="G598" s="6">
        <v>46064.5</v>
      </c>
      <c r="H598" s="6">
        <v>46064.513888888891</v>
      </c>
      <c r="I598" s="6">
        <v>46064.520833333336</v>
      </c>
      <c r="J598" s="6">
        <v>46064.527777777781</v>
      </c>
      <c r="K598">
        <v>1.75</v>
      </c>
      <c r="L598" s="6">
        <v>46064.534722222219</v>
      </c>
      <c r="M598" s="7">
        <f>F598-E598</f>
        <v>3.125E-2</v>
      </c>
      <c r="N598">
        <f>HOUR(M598)</f>
        <v>0</v>
      </c>
      <c r="O598">
        <f>MINUTE(M598)</f>
        <v>45</v>
      </c>
      <c r="P598">
        <f>N598*60+O598</f>
        <v>45</v>
      </c>
      <c r="Q598" s="7">
        <f>G598-F598</f>
        <v>1.3888888890505768E-2</v>
      </c>
      <c r="R598">
        <f>HOUR(Q598)</f>
        <v>0</v>
      </c>
      <c r="S598">
        <f>MINUTE(Q598)</f>
        <v>20</v>
      </c>
      <c r="T598">
        <f>R598*60+S598</f>
        <v>20</v>
      </c>
      <c r="U598" s="7">
        <f>H598-G598</f>
        <v>1.3888888890505768E-2</v>
      </c>
      <c r="V598">
        <f>HOUR(U598)</f>
        <v>0</v>
      </c>
      <c r="W598">
        <f>MINUTE(U598)</f>
        <v>20</v>
      </c>
      <c r="X598">
        <f>V598*60+W598</f>
        <v>20</v>
      </c>
      <c r="Y598" s="7">
        <f>I598-H598</f>
        <v>6.9444444452528842E-3</v>
      </c>
      <c r="Z598">
        <f>HOUR(Y598)</f>
        <v>0</v>
      </c>
      <c r="AA598">
        <f>MINUTE(Y598)</f>
        <v>10</v>
      </c>
      <c r="AB598">
        <f>Z598*60+AA598</f>
        <v>10</v>
      </c>
    </row>
    <row r="599" spans="1:28" x14ac:dyDescent="0.25">
      <c r="A599">
        <v>597</v>
      </c>
      <c r="B599" t="s">
        <v>31</v>
      </c>
      <c r="C599">
        <v>1</v>
      </c>
      <c r="D599" t="s">
        <v>30</v>
      </c>
      <c r="E599" s="6">
        <v>46064.701388888891</v>
      </c>
      <c r="F599" s="6">
        <v>46064.708333333336</v>
      </c>
      <c r="G599" s="6">
        <v>46064.71875</v>
      </c>
      <c r="H599" s="6">
        <v>46064.781944444447</v>
      </c>
      <c r="I599" s="6">
        <v>46064.833333333336</v>
      </c>
      <c r="J599" s="6">
        <v>46064.840277777781</v>
      </c>
      <c r="K599">
        <v>3.33</v>
      </c>
      <c r="L599" s="6">
        <v>46064.84375</v>
      </c>
      <c r="M599" s="7">
        <f>F599-E599</f>
        <v>6.9444444452528842E-3</v>
      </c>
      <c r="N599">
        <f>HOUR(M599)</f>
        <v>0</v>
      </c>
      <c r="O599">
        <f>MINUTE(M599)</f>
        <v>10</v>
      </c>
      <c r="P599">
        <f>N599*60+O599</f>
        <v>10</v>
      </c>
      <c r="Q599" s="7">
        <f>G599-F599</f>
        <v>1.0416666664241347E-2</v>
      </c>
      <c r="R599">
        <f>HOUR(Q599)</f>
        <v>0</v>
      </c>
      <c r="S599">
        <f>MINUTE(Q599)</f>
        <v>15</v>
      </c>
      <c r="T599">
        <f>R599*60+S599</f>
        <v>15</v>
      </c>
      <c r="U599" s="7">
        <f>H599-G599</f>
        <v>6.3194444446708076E-2</v>
      </c>
      <c r="V599">
        <f>HOUR(U599)</f>
        <v>1</v>
      </c>
      <c r="W599">
        <f>MINUTE(U599)</f>
        <v>31</v>
      </c>
      <c r="X599">
        <f>V599*60+W599</f>
        <v>91</v>
      </c>
      <c r="Y599" s="7">
        <f>I599-H599</f>
        <v>5.1388888889050577E-2</v>
      </c>
      <c r="Z599">
        <f>HOUR(Y599)</f>
        <v>1</v>
      </c>
      <c r="AA599">
        <f>MINUTE(Y599)</f>
        <v>14</v>
      </c>
      <c r="AB599">
        <f>Z599*60+AA599</f>
        <v>74</v>
      </c>
    </row>
    <row r="600" spans="1:28" x14ac:dyDescent="0.25">
      <c r="A600">
        <v>598</v>
      </c>
      <c r="B600" t="s">
        <v>31</v>
      </c>
      <c r="C600">
        <v>1</v>
      </c>
      <c r="D600" t="s">
        <v>35</v>
      </c>
      <c r="E600" s="6">
        <v>46064.45</v>
      </c>
      <c r="F600" s="6">
        <v>46064.465277777781</v>
      </c>
      <c r="G600" s="6">
        <v>46064.486111111109</v>
      </c>
      <c r="H600" s="6">
        <v>46064.506944444445</v>
      </c>
      <c r="I600" s="6">
        <v>46064.513888888891</v>
      </c>
      <c r="J600" s="6">
        <v>46064.652777777781</v>
      </c>
      <c r="K600">
        <v>4.87</v>
      </c>
      <c r="L600" s="6">
        <v>46064.659722222219</v>
      </c>
      <c r="M600" s="7">
        <f>F600-E600</f>
        <v>1.527777778392192E-2</v>
      </c>
      <c r="N600">
        <f>HOUR(M600)</f>
        <v>0</v>
      </c>
      <c r="O600">
        <f>MINUTE(M600)</f>
        <v>22</v>
      </c>
      <c r="P600">
        <f>N600*60+O600</f>
        <v>22</v>
      </c>
      <c r="Q600" s="7">
        <f>G600-F600</f>
        <v>2.0833333328482695E-2</v>
      </c>
      <c r="R600">
        <f>HOUR(Q600)</f>
        <v>0</v>
      </c>
      <c r="S600">
        <f>MINUTE(Q600)</f>
        <v>30</v>
      </c>
      <c r="T600">
        <f>R600*60+S600</f>
        <v>30</v>
      </c>
      <c r="U600" s="7">
        <f>H600-G600</f>
        <v>2.0833333335758653E-2</v>
      </c>
      <c r="V600">
        <f>HOUR(U600)</f>
        <v>0</v>
      </c>
      <c r="W600">
        <f>MINUTE(U600)</f>
        <v>30</v>
      </c>
      <c r="X600">
        <f>V600*60+W600</f>
        <v>30</v>
      </c>
      <c r="Y600" s="7">
        <f>I600-H600</f>
        <v>6.9444444452528842E-3</v>
      </c>
      <c r="Z600">
        <f>HOUR(Y600)</f>
        <v>0</v>
      </c>
      <c r="AA600">
        <f>MINUTE(Y600)</f>
        <v>10</v>
      </c>
      <c r="AB600">
        <f>Z600*60+AA600</f>
        <v>10</v>
      </c>
    </row>
    <row r="601" spans="1:28" x14ac:dyDescent="0.25">
      <c r="A601">
        <v>599</v>
      </c>
      <c r="B601" t="s">
        <v>31</v>
      </c>
      <c r="C601">
        <v>1</v>
      </c>
      <c r="D601" t="s">
        <v>32</v>
      </c>
      <c r="E601" s="6">
        <v>46064.569444444445</v>
      </c>
      <c r="F601" s="6">
        <v>46064.583333333336</v>
      </c>
      <c r="G601" s="6">
        <v>46064.597222222219</v>
      </c>
      <c r="H601" s="6">
        <v>46064.756944444445</v>
      </c>
      <c r="I601" s="6">
        <v>46064.763888888891</v>
      </c>
      <c r="J601" s="6">
        <v>46064.765277777777</v>
      </c>
      <c r="K601">
        <v>4.7</v>
      </c>
      <c r="L601" s="6">
        <v>46064.772222222222</v>
      </c>
      <c r="M601" s="7">
        <f>F601-E601</f>
        <v>1.3888888890505768E-2</v>
      </c>
      <c r="N601">
        <f>HOUR(M601)</f>
        <v>0</v>
      </c>
      <c r="O601">
        <f>MINUTE(M601)</f>
        <v>20</v>
      </c>
      <c r="P601">
        <f>N601*60+O601</f>
        <v>20</v>
      </c>
      <c r="Q601" s="7">
        <f>G601-F601</f>
        <v>1.3888888883229811E-2</v>
      </c>
      <c r="R601">
        <f>HOUR(Q601)</f>
        <v>0</v>
      </c>
      <c r="S601">
        <f>MINUTE(Q601)</f>
        <v>20</v>
      </c>
      <c r="T601">
        <f>R601*60+S601</f>
        <v>20</v>
      </c>
      <c r="U601" s="7">
        <f>H601-G601</f>
        <v>0.15972222222626442</v>
      </c>
      <c r="V601">
        <f>HOUR(U601)</f>
        <v>3</v>
      </c>
      <c r="W601">
        <f>MINUTE(U601)</f>
        <v>50</v>
      </c>
      <c r="X601">
        <f>V601*60+W601</f>
        <v>230</v>
      </c>
      <c r="Y601" s="7">
        <f>I601-H601</f>
        <v>6.9444444452528842E-3</v>
      </c>
      <c r="Z601">
        <f>HOUR(Y601)</f>
        <v>0</v>
      </c>
      <c r="AA601">
        <f>MINUTE(Y601)</f>
        <v>10</v>
      </c>
      <c r="AB601">
        <f>Z601*60+AA601</f>
        <v>10</v>
      </c>
    </row>
    <row r="602" spans="1:28" x14ac:dyDescent="0.25">
      <c r="A602">
        <v>600</v>
      </c>
      <c r="B602" t="s">
        <v>31</v>
      </c>
      <c r="C602">
        <v>1</v>
      </c>
      <c r="D602" t="s">
        <v>30</v>
      </c>
      <c r="E602" s="6">
        <v>46064.513888888891</v>
      </c>
      <c r="F602" s="6">
        <v>46064.520833333336</v>
      </c>
      <c r="G602" s="6">
        <v>46064.548611111109</v>
      </c>
      <c r="H602" s="6">
        <v>46064.635416666664</v>
      </c>
      <c r="I602" s="6">
        <v>46064.642361111109</v>
      </c>
      <c r="J602" s="6">
        <v>46064.652777777781</v>
      </c>
      <c r="K602">
        <v>3.33</v>
      </c>
      <c r="L602" s="6">
        <v>46064.659722222219</v>
      </c>
      <c r="M602" s="7">
        <f>F602-E602</f>
        <v>6.9444444452528842E-3</v>
      </c>
      <c r="N602">
        <f>HOUR(M602)</f>
        <v>0</v>
      </c>
      <c r="O602">
        <f>MINUTE(M602)</f>
        <v>10</v>
      </c>
      <c r="P602">
        <f>N602*60+O602</f>
        <v>10</v>
      </c>
      <c r="Q602" s="7">
        <f>G602-F602</f>
        <v>2.7777777773735579E-2</v>
      </c>
      <c r="R602">
        <f>HOUR(Q602)</f>
        <v>0</v>
      </c>
      <c r="S602">
        <f>MINUTE(Q602)</f>
        <v>40</v>
      </c>
      <c r="T602">
        <f>R602*60+S602</f>
        <v>40</v>
      </c>
      <c r="U602" s="7">
        <f>H602-G602</f>
        <v>8.6805555554747116E-2</v>
      </c>
      <c r="V602">
        <f>HOUR(U602)</f>
        <v>2</v>
      </c>
      <c r="W602">
        <f>MINUTE(U602)</f>
        <v>5</v>
      </c>
      <c r="X602">
        <f>V602*60+W602</f>
        <v>125</v>
      </c>
      <c r="Y602" s="7">
        <f>I602-H602</f>
        <v>6.9444444452528842E-3</v>
      </c>
      <c r="Z602">
        <f>HOUR(Y602)</f>
        <v>0</v>
      </c>
      <c r="AA602">
        <f>MINUTE(Y602)</f>
        <v>10</v>
      </c>
      <c r="AB602">
        <f>Z602*60+AA602</f>
        <v>10</v>
      </c>
    </row>
    <row r="603" spans="1:28" x14ac:dyDescent="0.25">
      <c r="A603">
        <v>601</v>
      </c>
      <c r="B603" t="s">
        <v>29</v>
      </c>
      <c r="C603">
        <v>1</v>
      </c>
      <c r="D603" t="s">
        <v>32</v>
      </c>
      <c r="E603" s="6">
        <v>46065.322916666664</v>
      </c>
      <c r="F603" s="6">
        <v>46065.333333333336</v>
      </c>
      <c r="G603" s="6">
        <v>46065.34375</v>
      </c>
      <c r="H603" s="6">
        <v>46065.361111111109</v>
      </c>
      <c r="I603" s="6">
        <v>46065.368055555555</v>
      </c>
      <c r="J603" s="6">
        <v>46065.371527777781</v>
      </c>
      <c r="K603">
        <v>1.17</v>
      </c>
      <c r="L603" s="6">
        <v>46065.378472222219</v>
      </c>
      <c r="M603" s="7">
        <f>F603-E603</f>
        <v>1.0416666671517305E-2</v>
      </c>
      <c r="N603">
        <f>HOUR(M603)</f>
        <v>0</v>
      </c>
      <c r="O603">
        <f>MINUTE(M603)</f>
        <v>15</v>
      </c>
      <c r="P603">
        <f>N603*60+O603</f>
        <v>15</v>
      </c>
      <c r="Q603" s="7">
        <f>G603-F603</f>
        <v>1.0416666664241347E-2</v>
      </c>
      <c r="R603">
        <f>HOUR(Q603)</f>
        <v>0</v>
      </c>
      <c r="S603">
        <f>MINUTE(Q603)</f>
        <v>15</v>
      </c>
      <c r="T603">
        <f>R603*60+S603</f>
        <v>15</v>
      </c>
      <c r="U603" s="7">
        <f>H603-G603</f>
        <v>1.7361111109494232E-2</v>
      </c>
      <c r="V603">
        <f>HOUR(U603)</f>
        <v>0</v>
      </c>
      <c r="W603">
        <f>MINUTE(U603)</f>
        <v>25</v>
      </c>
      <c r="X603">
        <f>V603*60+W603</f>
        <v>25</v>
      </c>
      <c r="Y603" s="7">
        <f>I603-H603</f>
        <v>6.9444444452528842E-3</v>
      </c>
      <c r="Z603">
        <f>HOUR(Y603)</f>
        <v>0</v>
      </c>
      <c r="AA603">
        <f>MINUTE(Y603)</f>
        <v>10</v>
      </c>
      <c r="AB603">
        <f>Z603*60+AA603</f>
        <v>10</v>
      </c>
    </row>
    <row r="604" spans="1:28" x14ac:dyDescent="0.25">
      <c r="A604">
        <v>602</v>
      </c>
      <c r="B604" t="s">
        <v>33</v>
      </c>
      <c r="C604">
        <v>1</v>
      </c>
      <c r="D604" t="s">
        <v>32</v>
      </c>
      <c r="E604" s="6">
        <v>46065.409722222219</v>
      </c>
      <c r="F604" s="6">
        <v>46065.416666666664</v>
      </c>
      <c r="G604" s="6">
        <v>46065.440972222219</v>
      </c>
      <c r="H604" s="6">
        <v>46065.482638888891</v>
      </c>
      <c r="I604" s="6">
        <v>46065.489583333336</v>
      </c>
      <c r="J604" s="6">
        <v>46065.5</v>
      </c>
      <c r="K604">
        <v>2.17</v>
      </c>
      <c r="L604" s="6">
        <v>46065.506944444445</v>
      </c>
      <c r="M604" s="7">
        <f>F604-E604</f>
        <v>6.9444444452528842E-3</v>
      </c>
      <c r="N604">
        <f>HOUR(M604)</f>
        <v>0</v>
      </c>
      <c r="O604">
        <f>MINUTE(M604)</f>
        <v>10</v>
      </c>
      <c r="P604">
        <f>N604*60+O604</f>
        <v>10</v>
      </c>
      <c r="Q604" s="7">
        <f>G604-F604</f>
        <v>2.4305555554747116E-2</v>
      </c>
      <c r="R604">
        <f>HOUR(Q604)</f>
        <v>0</v>
      </c>
      <c r="S604">
        <f>MINUTE(Q604)</f>
        <v>35</v>
      </c>
      <c r="T604">
        <f>R604*60+S604</f>
        <v>35</v>
      </c>
      <c r="U604" s="7">
        <f>H604-G604</f>
        <v>4.1666666671517305E-2</v>
      </c>
      <c r="V604">
        <f>HOUR(U604)</f>
        <v>1</v>
      </c>
      <c r="W604">
        <f>MINUTE(U604)</f>
        <v>0</v>
      </c>
      <c r="X604">
        <f>V604*60+W604</f>
        <v>60</v>
      </c>
      <c r="Y604" s="7">
        <f>I604-H604</f>
        <v>6.9444444452528842E-3</v>
      </c>
      <c r="Z604">
        <f>HOUR(Y604)</f>
        <v>0</v>
      </c>
      <c r="AA604">
        <f>MINUTE(Y604)</f>
        <v>10</v>
      </c>
      <c r="AB604">
        <f>Z604*60+AA604</f>
        <v>10</v>
      </c>
    </row>
    <row r="605" spans="1:28" x14ac:dyDescent="0.25">
      <c r="A605">
        <v>603</v>
      </c>
      <c r="B605" t="s">
        <v>33</v>
      </c>
      <c r="C605">
        <v>1</v>
      </c>
      <c r="D605" t="s">
        <v>30</v>
      </c>
      <c r="E605" s="6">
        <v>46066.645833333336</v>
      </c>
      <c r="F605" s="6">
        <v>46066.65625</v>
      </c>
      <c r="G605" s="6">
        <v>46066.680555555555</v>
      </c>
      <c r="H605" s="6">
        <v>46066.902777777781</v>
      </c>
      <c r="I605" s="6">
        <v>46066.90625</v>
      </c>
      <c r="J605" s="6">
        <v>46066.909722222219</v>
      </c>
      <c r="K605">
        <v>6.33</v>
      </c>
      <c r="L605" s="6">
        <v>46066.913194444445</v>
      </c>
      <c r="M605" s="7">
        <f>F605-E605</f>
        <v>1.0416666664241347E-2</v>
      </c>
      <c r="N605">
        <f>HOUR(M605)</f>
        <v>0</v>
      </c>
      <c r="O605">
        <f>MINUTE(M605)</f>
        <v>15</v>
      </c>
      <c r="P605">
        <f>N605*60+O605</f>
        <v>15</v>
      </c>
      <c r="Q605" s="7">
        <f>G605-F605</f>
        <v>2.4305555554747116E-2</v>
      </c>
      <c r="R605">
        <f>HOUR(Q605)</f>
        <v>0</v>
      </c>
      <c r="S605">
        <f>MINUTE(Q605)</f>
        <v>35</v>
      </c>
      <c r="T605">
        <f>R605*60+S605</f>
        <v>35</v>
      </c>
      <c r="U605" s="7">
        <f>H605-G605</f>
        <v>0.22222222222626442</v>
      </c>
      <c r="V605">
        <f>HOUR(U605)</f>
        <v>5</v>
      </c>
      <c r="W605">
        <f>MINUTE(U605)</f>
        <v>20</v>
      </c>
      <c r="X605">
        <f>V605*60+W605</f>
        <v>320</v>
      </c>
      <c r="Y605" s="7">
        <f>I605-H605</f>
        <v>3.4722222189884633E-3</v>
      </c>
      <c r="Z605">
        <f>HOUR(Y605)</f>
        <v>0</v>
      </c>
      <c r="AA605">
        <f>MINUTE(Y605)</f>
        <v>5</v>
      </c>
      <c r="AB605">
        <f>Z605*60+AA605</f>
        <v>5</v>
      </c>
    </row>
    <row r="606" spans="1:28" x14ac:dyDescent="0.25">
      <c r="A606">
        <v>604</v>
      </c>
      <c r="B606" t="s">
        <v>31</v>
      </c>
      <c r="C606">
        <v>1</v>
      </c>
      <c r="D606" t="s">
        <v>35</v>
      </c>
      <c r="E606" s="6">
        <v>46065.295138888891</v>
      </c>
      <c r="F606" s="6">
        <v>46065.319444444445</v>
      </c>
      <c r="G606" s="6">
        <v>46065.34375</v>
      </c>
      <c r="H606" s="6">
        <v>46065.428472222222</v>
      </c>
      <c r="I606" s="6">
        <v>46065.435416666667</v>
      </c>
      <c r="J606" s="6">
        <v>46065.436111111114</v>
      </c>
      <c r="K606">
        <v>3.38</v>
      </c>
      <c r="L606" s="6">
        <v>46065.443055555559</v>
      </c>
      <c r="M606" s="7">
        <f>F606-E606</f>
        <v>2.4305555554747116E-2</v>
      </c>
      <c r="N606">
        <f>HOUR(M606)</f>
        <v>0</v>
      </c>
      <c r="O606">
        <f>MINUTE(M606)</f>
        <v>35</v>
      </c>
      <c r="P606">
        <f>N606*60+O606</f>
        <v>35</v>
      </c>
      <c r="Q606" s="7">
        <f>G606-F606</f>
        <v>2.4305555554747116E-2</v>
      </c>
      <c r="R606">
        <f>HOUR(Q606)</f>
        <v>0</v>
      </c>
      <c r="S606">
        <f>MINUTE(Q606)</f>
        <v>35</v>
      </c>
      <c r="T606">
        <f>R606*60+S606</f>
        <v>35</v>
      </c>
      <c r="U606" s="7">
        <f>H606-G606</f>
        <v>8.4722222221898846E-2</v>
      </c>
      <c r="V606">
        <f>HOUR(U606)</f>
        <v>2</v>
      </c>
      <c r="W606">
        <f>MINUTE(U606)</f>
        <v>2</v>
      </c>
      <c r="X606">
        <f>V606*60+W606</f>
        <v>122</v>
      </c>
      <c r="Y606" s="7">
        <f>I606-H606</f>
        <v>6.9444444452528842E-3</v>
      </c>
      <c r="Z606">
        <f>HOUR(Y606)</f>
        <v>0</v>
      </c>
      <c r="AA606">
        <f>MINUTE(Y606)</f>
        <v>10</v>
      </c>
      <c r="AB606">
        <f>Z606*60+AA606</f>
        <v>10</v>
      </c>
    </row>
    <row r="607" spans="1:28" x14ac:dyDescent="0.25">
      <c r="A607">
        <v>605</v>
      </c>
      <c r="B607" t="s">
        <v>31</v>
      </c>
      <c r="C607">
        <v>1</v>
      </c>
      <c r="D607" t="s">
        <v>30</v>
      </c>
      <c r="E607" s="6">
        <v>46064.847222222219</v>
      </c>
      <c r="F607" s="6">
        <v>46064.854166666664</v>
      </c>
      <c r="G607" s="6">
        <v>46064.864583333336</v>
      </c>
      <c r="H607" s="6">
        <v>46064.923611111109</v>
      </c>
      <c r="I607" s="6">
        <v>46064.930555555555</v>
      </c>
      <c r="J607" s="6">
        <v>46064.931944444441</v>
      </c>
      <c r="K607">
        <v>2.0299999999999998</v>
      </c>
      <c r="L607" s="6">
        <v>46064.934027777781</v>
      </c>
      <c r="M607" s="7">
        <f>F607-E607</f>
        <v>6.9444444452528842E-3</v>
      </c>
      <c r="N607">
        <f>HOUR(M607)</f>
        <v>0</v>
      </c>
      <c r="O607">
        <f>MINUTE(M607)</f>
        <v>10</v>
      </c>
      <c r="P607">
        <f>N607*60+O607</f>
        <v>10</v>
      </c>
      <c r="Q607" s="7">
        <f>G607-F607</f>
        <v>1.0416666671517305E-2</v>
      </c>
      <c r="R607">
        <f>HOUR(Q607)</f>
        <v>0</v>
      </c>
      <c r="S607">
        <f>MINUTE(Q607)</f>
        <v>15</v>
      </c>
      <c r="T607">
        <f>R607*60+S607</f>
        <v>15</v>
      </c>
      <c r="U607" s="7">
        <f>H607-G607</f>
        <v>5.9027777773735579E-2</v>
      </c>
      <c r="V607">
        <f>HOUR(U607)</f>
        <v>1</v>
      </c>
      <c r="W607">
        <f>MINUTE(U607)</f>
        <v>25</v>
      </c>
      <c r="X607">
        <f>V607*60+W607</f>
        <v>85</v>
      </c>
      <c r="Y607" s="7">
        <f>I607-H607</f>
        <v>6.9444444452528842E-3</v>
      </c>
      <c r="Z607">
        <f>HOUR(Y607)</f>
        <v>0</v>
      </c>
      <c r="AA607">
        <f>MINUTE(Y607)</f>
        <v>10</v>
      </c>
      <c r="AB607">
        <f>Z607*60+AA607</f>
        <v>10</v>
      </c>
    </row>
    <row r="608" spans="1:28" x14ac:dyDescent="0.25">
      <c r="A608">
        <v>606</v>
      </c>
      <c r="B608" t="s">
        <v>33</v>
      </c>
      <c r="C608">
        <v>1</v>
      </c>
      <c r="D608" t="s">
        <v>36</v>
      </c>
      <c r="E608" s="6">
        <v>46064.614583333336</v>
      </c>
      <c r="F608" s="6">
        <v>46064.628472222219</v>
      </c>
      <c r="G608" s="6">
        <v>46064.635416666664</v>
      </c>
      <c r="H608" s="6">
        <v>46064.659722222219</v>
      </c>
      <c r="I608" s="6">
        <v>46064.663194444445</v>
      </c>
      <c r="J608" s="6">
        <v>46064.666666666664</v>
      </c>
      <c r="K608">
        <v>1.25</v>
      </c>
      <c r="L608" s="6">
        <v>46064.673611111109</v>
      </c>
      <c r="M608" s="7">
        <f>F608-E608</f>
        <v>1.3888888883229811E-2</v>
      </c>
      <c r="N608">
        <f>HOUR(M608)</f>
        <v>0</v>
      </c>
      <c r="O608">
        <f>MINUTE(M608)</f>
        <v>20</v>
      </c>
      <c r="P608">
        <f>N608*60+O608</f>
        <v>20</v>
      </c>
      <c r="Q608" s="7">
        <f>G608-F608</f>
        <v>6.9444444452528842E-3</v>
      </c>
      <c r="R608">
        <f>HOUR(Q608)</f>
        <v>0</v>
      </c>
      <c r="S608">
        <f>MINUTE(Q608)</f>
        <v>10</v>
      </c>
      <c r="T608">
        <f>R608*60+S608</f>
        <v>10</v>
      </c>
      <c r="U608" s="7">
        <f>H608-G608</f>
        <v>2.4305555554747116E-2</v>
      </c>
      <c r="V608">
        <f>HOUR(U608)</f>
        <v>0</v>
      </c>
      <c r="W608">
        <f>MINUTE(U608)</f>
        <v>35</v>
      </c>
      <c r="X608">
        <f>V608*60+W608</f>
        <v>35</v>
      </c>
      <c r="Y608" s="7">
        <f>I608-H608</f>
        <v>3.4722222262644209E-3</v>
      </c>
      <c r="Z608">
        <f>HOUR(Y608)</f>
        <v>0</v>
      </c>
      <c r="AA608">
        <f>MINUTE(Y608)</f>
        <v>5</v>
      </c>
      <c r="AB608">
        <f>Z608*60+AA608</f>
        <v>5</v>
      </c>
    </row>
    <row r="609" spans="1:28" x14ac:dyDescent="0.25">
      <c r="A609">
        <v>607</v>
      </c>
      <c r="B609" t="s">
        <v>31</v>
      </c>
      <c r="C609">
        <v>1</v>
      </c>
      <c r="D609" t="s">
        <v>30</v>
      </c>
      <c r="E609" s="6">
        <v>46065.291666666664</v>
      </c>
      <c r="F609" s="6">
        <v>46065.333333333336</v>
      </c>
      <c r="G609" s="6">
        <v>46065.347222222219</v>
      </c>
      <c r="H609" s="6">
        <v>46065.418749999997</v>
      </c>
      <c r="I609" s="6">
        <v>46065.423611111109</v>
      </c>
      <c r="J609" s="6">
        <v>46065.430555555555</v>
      </c>
      <c r="K609">
        <v>3.33</v>
      </c>
      <c r="L609" s="6">
        <v>46065.4375</v>
      </c>
      <c r="M609" s="7">
        <f>F609-E609</f>
        <v>4.1666666671517305E-2</v>
      </c>
      <c r="N609">
        <f>HOUR(M609)</f>
        <v>1</v>
      </c>
      <c r="O609">
        <f>MINUTE(M609)</f>
        <v>0</v>
      </c>
      <c r="P609">
        <f>N609*60+O609</f>
        <v>60</v>
      </c>
      <c r="Q609" s="7">
        <f>G609-F609</f>
        <v>1.3888888883229811E-2</v>
      </c>
      <c r="R609">
        <f>HOUR(Q609)</f>
        <v>0</v>
      </c>
      <c r="S609">
        <f>MINUTE(Q609)</f>
        <v>20</v>
      </c>
      <c r="T609">
        <f>R609*60+S609</f>
        <v>20</v>
      </c>
      <c r="U609" s="7">
        <f>H609-G609</f>
        <v>7.1527777778101154E-2</v>
      </c>
      <c r="V609">
        <f>HOUR(U609)</f>
        <v>1</v>
      </c>
      <c r="W609">
        <f>MINUTE(U609)</f>
        <v>43</v>
      </c>
      <c r="X609">
        <f>V609*60+W609</f>
        <v>103</v>
      </c>
      <c r="Y609" s="7">
        <f>I609-H609</f>
        <v>4.8611111124046147E-3</v>
      </c>
      <c r="Z609">
        <f>HOUR(Y609)</f>
        <v>0</v>
      </c>
      <c r="AA609">
        <f>MINUTE(Y609)</f>
        <v>7</v>
      </c>
      <c r="AB609">
        <f>Z609*60+AA609</f>
        <v>7</v>
      </c>
    </row>
    <row r="610" spans="1:28" x14ac:dyDescent="0.25">
      <c r="A610">
        <v>608</v>
      </c>
      <c r="B610" t="s">
        <v>31</v>
      </c>
      <c r="C610">
        <v>1</v>
      </c>
      <c r="D610" t="s">
        <v>36</v>
      </c>
      <c r="E610" s="6">
        <v>46065.291666666664</v>
      </c>
      <c r="F610" s="6">
        <v>46065.333333333336</v>
      </c>
      <c r="G610" s="6">
        <v>46065.354166666664</v>
      </c>
      <c r="H610" s="6">
        <v>46065.4375</v>
      </c>
      <c r="I610" s="6">
        <v>46065.444444444445</v>
      </c>
      <c r="J610" s="6">
        <v>46065.451388888891</v>
      </c>
      <c r="K610">
        <v>3.83</v>
      </c>
      <c r="L610" s="6">
        <v>46065.458333333336</v>
      </c>
      <c r="M610" s="7">
        <f>F610-E610</f>
        <v>4.1666666671517305E-2</v>
      </c>
      <c r="N610">
        <f>HOUR(M610)</f>
        <v>1</v>
      </c>
      <c r="O610">
        <f>MINUTE(M610)</f>
        <v>0</v>
      </c>
      <c r="P610">
        <f>N610*60+O610</f>
        <v>60</v>
      </c>
      <c r="Q610" s="7">
        <f>G610-F610</f>
        <v>2.0833333328482695E-2</v>
      </c>
      <c r="R610">
        <f>HOUR(Q610)</f>
        <v>0</v>
      </c>
      <c r="S610">
        <f>MINUTE(Q610)</f>
        <v>30</v>
      </c>
      <c r="T610">
        <f>R610*60+S610</f>
        <v>30</v>
      </c>
      <c r="U610" s="7">
        <f>H610-G610</f>
        <v>8.3333333335758653E-2</v>
      </c>
      <c r="V610">
        <f>HOUR(U610)</f>
        <v>2</v>
      </c>
      <c r="W610">
        <f>MINUTE(U610)</f>
        <v>0</v>
      </c>
      <c r="X610">
        <f>V610*60+W610</f>
        <v>120</v>
      </c>
      <c r="Y610" s="7">
        <f>I610-H610</f>
        <v>6.9444444452528842E-3</v>
      </c>
      <c r="Z610">
        <f>HOUR(Y610)</f>
        <v>0</v>
      </c>
      <c r="AA610">
        <f>MINUTE(Y610)</f>
        <v>10</v>
      </c>
      <c r="AB610">
        <f>Z610*60+AA610</f>
        <v>10</v>
      </c>
    </row>
    <row r="611" spans="1:28" x14ac:dyDescent="0.25">
      <c r="A611">
        <v>609</v>
      </c>
      <c r="B611" t="s">
        <v>33</v>
      </c>
      <c r="C611">
        <v>1</v>
      </c>
      <c r="D611" t="s">
        <v>36</v>
      </c>
      <c r="E611" s="6">
        <v>46065.475694444445</v>
      </c>
      <c r="F611" s="6">
        <v>46065.5</v>
      </c>
      <c r="G611" s="6">
        <v>46065.506249999999</v>
      </c>
      <c r="H611" s="6">
        <v>46065.540972222225</v>
      </c>
      <c r="I611" s="6">
        <v>46065.541666666664</v>
      </c>
      <c r="J611" s="6">
        <v>46065.545138888891</v>
      </c>
      <c r="K611">
        <v>1.67</v>
      </c>
      <c r="L611" s="6">
        <v>46065.54583333333</v>
      </c>
      <c r="M611" s="7">
        <f>F611-E611</f>
        <v>2.4305555554747116E-2</v>
      </c>
      <c r="N611">
        <f>HOUR(M611)</f>
        <v>0</v>
      </c>
      <c r="O611">
        <f>MINUTE(M611)</f>
        <v>35</v>
      </c>
      <c r="P611">
        <f>N611*60+O611</f>
        <v>35</v>
      </c>
      <c r="Q611" s="7">
        <f>G611-F611</f>
        <v>6.2499999985448085E-3</v>
      </c>
      <c r="R611">
        <f>HOUR(Q611)</f>
        <v>0</v>
      </c>
      <c r="S611">
        <f>MINUTE(Q611)</f>
        <v>9</v>
      </c>
      <c r="T611">
        <f>R611*60+S611</f>
        <v>9</v>
      </c>
      <c r="U611" s="7">
        <f>H611-G611</f>
        <v>3.4722222226264421E-2</v>
      </c>
      <c r="V611">
        <f>HOUR(U611)</f>
        <v>0</v>
      </c>
      <c r="W611">
        <f>MINUTE(U611)</f>
        <v>50</v>
      </c>
      <c r="X611">
        <f>V611*60+W611</f>
        <v>50</v>
      </c>
      <c r="Y611" s="7">
        <f>I611-H611</f>
        <v>6.9444443943211809E-4</v>
      </c>
      <c r="Z611">
        <f>HOUR(Y611)</f>
        <v>0</v>
      </c>
      <c r="AA611">
        <f>MINUTE(Y611)</f>
        <v>1</v>
      </c>
      <c r="AB611">
        <f>Z611*60+AA611</f>
        <v>1</v>
      </c>
    </row>
    <row r="612" spans="1:28" x14ac:dyDescent="0.25">
      <c r="A612">
        <v>610</v>
      </c>
      <c r="B612" t="s">
        <v>33</v>
      </c>
      <c r="C612">
        <v>1</v>
      </c>
      <c r="D612" t="s">
        <v>35</v>
      </c>
      <c r="E612" s="6">
        <v>46065.493055555555</v>
      </c>
      <c r="F612" s="6">
        <v>46065.5</v>
      </c>
      <c r="G612" s="6">
        <v>46065.505555555559</v>
      </c>
      <c r="H612" s="6">
        <v>46065.561111111114</v>
      </c>
      <c r="I612" s="6">
        <v>46065.568055555559</v>
      </c>
      <c r="J612" s="6">
        <v>46065.595138888886</v>
      </c>
      <c r="K612">
        <v>2.4500000000000002</v>
      </c>
      <c r="L612" s="6">
        <v>46065.600694444445</v>
      </c>
      <c r="M612" s="7">
        <f>F612-E612</f>
        <v>6.9444444452528842E-3</v>
      </c>
      <c r="N612">
        <f>HOUR(M612)</f>
        <v>0</v>
      </c>
      <c r="O612">
        <f>MINUTE(M612)</f>
        <v>10</v>
      </c>
      <c r="P612">
        <f>N612*60+O612</f>
        <v>10</v>
      </c>
      <c r="Q612" s="7">
        <f>G612-F612</f>
        <v>5.5555555591126904E-3</v>
      </c>
      <c r="R612">
        <f>HOUR(Q612)</f>
        <v>0</v>
      </c>
      <c r="S612">
        <f>MINUTE(Q612)</f>
        <v>8</v>
      </c>
      <c r="T612">
        <f>R612*60+S612</f>
        <v>8</v>
      </c>
      <c r="U612" s="7">
        <f>H612-G612</f>
        <v>5.5555555554747116E-2</v>
      </c>
      <c r="V612">
        <f>HOUR(U612)</f>
        <v>1</v>
      </c>
      <c r="W612">
        <f>MINUTE(U612)</f>
        <v>20</v>
      </c>
      <c r="X612">
        <f>V612*60+W612</f>
        <v>80</v>
      </c>
      <c r="Y612" s="7">
        <f>I612-H612</f>
        <v>6.9444444452528842E-3</v>
      </c>
      <c r="Z612">
        <f>HOUR(Y612)</f>
        <v>0</v>
      </c>
      <c r="AA612">
        <f>MINUTE(Y612)</f>
        <v>10</v>
      </c>
      <c r="AB612">
        <f>Z612*60+AA612</f>
        <v>10</v>
      </c>
    </row>
    <row r="613" spans="1:28" x14ac:dyDescent="0.25">
      <c r="A613">
        <v>611</v>
      </c>
      <c r="B613" t="s">
        <v>33</v>
      </c>
      <c r="C613">
        <v>1</v>
      </c>
      <c r="D613" t="s">
        <v>30</v>
      </c>
      <c r="E613" s="6">
        <v>46064.685416666667</v>
      </c>
      <c r="F613" s="6">
        <v>46064.701388888891</v>
      </c>
      <c r="G613" s="6">
        <v>46064.725694444445</v>
      </c>
      <c r="H613" s="6">
        <v>46064.753472222219</v>
      </c>
      <c r="I613" s="6">
        <v>46064.760416666664</v>
      </c>
      <c r="J613" s="6">
        <v>46064.767361111109</v>
      </c>
      <c r="K613">
        <v>1.97</v>
      </c>
      <c r="L613" s="6">
        <v>46064.774305555555</v>
      </c>
      <c r="M613" s="7">
        <f>F613-E613</f>
        <v>1.5972222223354038E-2</v>
      </c>
      <c r="N613">
        <f>HOUR(M613)</f>
        <v>0</v>
      </c>
      <c r="O613">
        <f>MINUTE(M613)</f>
        <v>23</v>
      </c>
      <c r="P613">
        <f>N613*60+O613</f>
        <v>23</v>
      </c>
      <c r="Q613" s="7">
        <f>G613-F613</f>
        <v>2.4305555554747116E-2</v>
      </c>
      <c r="R613">
        <f>HOUR(Q613)</f>
        <v>0</v>
      </c>
      <c r="S613">
        <f>MINUTE(Q613)</f>
        <v>35</v>
      </c>
      <c r="T613">
        <f>R613*60+S613</f>
        <v>35</v>
      </c>
      <c r="U613" s="7">
        <f>H613-G613</f>
        <v>2.7777777773735579E-2</v>
      </c>
      <c r="V613">
        <f>HOUR(U613)</f>
        <v>0</v>
      </c>
      <c r="W613">
        <f>MINUTE(U613)</f>
        <v>40</v>
      </c>
      <c r="X613">
        <f>V613*60+W613</f>
        <v>40</v>
      </c>
      <c r="Y613" s="7">
        <f>I613-H613</f>
        <v>6.9444444452528842E-3</v>
      </c>
      <c r="Z613">
        <f>HOUR(Y613)</f>
        <v>0</v>
      </c>
      <c r="AA613">
        <f>MINUTE(Y613)</f>
        <v>10</v>
      </c>
      <c r="AB613">
        <f>Z613*60+AA613</f>
        <v>10</v>
      </c>
    </row>
    <row r="614" spans="1:28" x14ac:dyDescent="0.25">
      <c r="A614">
        <v>612</v>
      </c>
      <c r="B614" t="s">
        <v>29</v>
      </c>
      <c r="C614">
        <v>1</v>
      </c>
      <c r="D614" t="s">
        <v>36</v>
      </c>
      <c r="E614" s="6">
        <v>46064.732638888891</v>
      </c>
      <c r="F614" s="6">
        <v>46064.739583333336</v>
      </c>
      <c r="G614" s="6">
        <v>46064.75</v>
      </c>
      <c r="H614" s="6">
        <v>46064.79791666667</v>
      </c>
      <c r="I614" s="6">
        <v>46064.804861111108</v>
      </c>
      <c r="J614" s="6">
        <v>46064.809027777781</v>
      </c>
      <c r="K614">
        <v>1.83</v>
      </c>
      <c r="L614" s="6">
        <v>46064.815972222219</v>
      </c>
      <c r="M614" s="7">
        <f>F614-E614</f>
        <v>6.9444444452528842E-3</v>
      </c>
      <c r="N614">
        <f>HOUR(M614)</f>
        <v>0</v>
      </c>
      <c r="O614">
        <f>MINUTE(M614)</f>
        <v>10</v>
      </c>
      <c r="P614">
        <f>N614*60+O614</f>
        <v>10</v>
      </c>
      <c r="Q614" s="7">
        <f>G614-F614</f>
        <v>1.0416666664241347E-2</v>
      </c>
      <c r="R614">
        <f>HOUR(Q614)</f>
        <v>0</v>
      </c>
      <c r="S614">
        <f>MINUTE(Q614)</f>
        <v>15</v>
      </c>
      <c r="T614">
        <f>R614*60+S614</f>
        <v>15</v>
      </c>
      <c r="U614" s="7">
        <f>H614-G614</f>
        <v>4.7916666670062114E-2</v>
      </c>
      <c r="V614">
        <f>HOUR(U614)</f>
        <v>1</v>
      </c>
      <c r="W614">
        <f>MINUTE(U614)</f>
        <v>9</v>
      </c>
      <c r="X614">
        <f>V614*60+W614</f>
        <v>69</v>
      </c>
      <c r="Y614" s="7">
        <f>I614-H614</f>
        <v>6.9444444379769266E-3</v>
      </c>
      <c r="Z614">
        <f>HOUR(Y614)</f>
        <v>0</v>
      </c>
      <c r="AA614">
        <f>MINUTE(Y614)</f>
        <v>10</v>
      </c>
      <c r="AB614">
        <f>Z614*60+AA614</f>
        <v>10</v>
      </c>
    </row>
    <row r="615" spans="1:28" x14ac:dyDescent="0.25">
      <c r="A615">
        <v>613</v>
      </c>
      <c r="B615" t="s">
        <v>29</v>
      </c>
      <c r="C615">
        <v>1</v>
      </c>
      <c r="D615" t="s">
        <v>34</v>
      </c>
      <c r="E615" s="6">
        <v>46065.263888888891</v>
      </c>
      <c r="F615" s="6">
        <v>46065.277777777781</v>
      </c>
      <c r="G615" s="6">
        <v>46065.28125</v>
      </c>
      <c r="H615" s="6">
        <v>46065.298611111109</v>
      </c>
      <c r="I615" s="6">
        <v>46065.305555555555</v>
      </c>
      <c r="J615" s="6">
        <v>46065.3125</v>
      </c>
      <c r="K615">
        <v>1.17</v>
      </c>
      <c r="L615" s="6">
        <v>46065.319444444445</v>
      </c>
      <c r="M615" s="7">
        <f>F615-E615</f>
        <v>1.3888888890505768E-2</v>
      </c>
      <c r="N615">
        <f>HOUR(M615)</f>
        <v>0</v>
      </c>
      <c r="O615">
        <f>MINUTE(M615)</f>
        <v>20</v>
      </c>
      <c r="P615">
        <f>N615*60+O615</f>
        <v>20</v>
      </c>
      <c r="Q615" s="7">
        <f>G615-F615</f>
        <v>3.4722222189884633E-3</v>
      </c>
      <c r="R615">
        <f>HOUR(Q615)</f>
        <v>0</v>
      </c>
      <c r="S615">
        <f>MINUTE(Q615)</f>
        <v>5</v>
      </c>
      <c r="T615">
        <f>R615*60+S615</f>
        <v>5</v>
      </c>
      <c r="U615" s="7">
        <f>H615-G615</f>
        <v>1.7361111109494232E-2</v>
      </c>
      <c r="V615">
        <f>HOUR(U615)</f>
        <v>0</v>
      </c>
      <c r="W615">
        <f>MINUTE(U615)</f>
        <v>25</v>
      </c>
      <c r="X615">
        <f>V615*60+W615</f>
        <v>25</v>
      </c>
      <c r="Y615" s="7">
        <f>I615-H615</f>
        <v>6.9444444452528842E-3</v>
      </c>
      <c r="Z615">
        <f>HOUR(Y615)</f>
        <v>0</v>
      </c>
      <c r="AA615">
        <f>MINUTE(Y615)</f>
        <v>10</v>
      </c>
      <c r="AB615">
        <f>Z615*60+AA615</f>
        <v>10</v>
      </c>
    </row>
    <row r="616" spans="1:28" x14ac:dyDescent="0.25">
      <c r="A616">
        <v>614</v>
      </c>
      <c r="B616" t="s">
        <v>29</v>
      </c>
      <c r="C616">
        <v>1</v>
      </c>
      <c r="D616" t="s">
        <v>32</v>
      </c>
      <c r="E616" s="6">
        <v>46066.267361111109</v>
      </c>
      <c r="F616" s="6">
        <v>46066.284722222219</v>
      </c>
      <c r="G616" s="6">
        <v>46066.288194444445</v>
      </c>
      <c r="H616" s="6">
        <v>46066.295138888891</v>
      </c>
      <c r="I616" s="6">
        <v>46066.302083333336</v>
      </c>
      <c r="J616" s="6">
        <v>46066.315972222219</v>
      </c>
      <c r="K616">
        <v>1.17</v>
      </c>
      <c r="L616" s="6">
        <v>46066.322916666664</v>
      </c>
      <c r="M616" s="7">
        <f>F616-E616</f>
        <v>1.7361111109494232E-2</v>
      </c>
      <c r="N616">
        <f>HOUR(M616)</f>
        <v>0</v>
      </c>
      <c r="O616">
        <f>MINUTE(M616)</f>
        <v>25</v>
      </c>
      <c r="P616">
        <f>N616*60+O616</f>
        <v>25</v>
      </c>
      <c r="Q616" s="7">
        <f>G616-F616</f>
        <v>3.4722222262644209E-3</v>
      </c>
      <c r="R616">
        <f>HOUR(Q616)</f>
        <v>0</v>
      </c>
      <c r="S616">
        <f>MINUTE(Q616)</f>
        <v>5</v>
      </c>
      <c r="T616">
        <f>R616*60+S616</f>
        <v>5</v>
      </c>
      <c r="U616" s="7">
        <f>H616-G616</f>
        <v>6.9444444452528842E-3</v>
      </c>
      <c r="V616">
        <f>HOUR(U616)</f>
        <v>0</v>
      </c>
      <c r="W616">
        <f>MINUTE(U616)</f>
        <v>10</v>
      </c>
      <c r="X616">
        <f>V616*60+W616</f>
        <v>10</v>
      </c>
      <c r="Y616" s="7">
        <f>I616-H616</f>
        <v>6.9444444452528842E-3</v>
      </c>
      <c r="Z616">
        <f>HOUR(Y616)</f>
        <v>0</v>
      </c>
      <c r="AA616">
        <f>MINUTE(Y616)</f>
        <v>10</v>
      </c>
      <c r="AB616">
        <f>Z616*60+AA616</f>
        <v>10</v>
      </c>
    </row>
    <row r="617" spans="1:28" x14ac:dyDescent="0.25">
      <c r="A617">
        <v>615</v>
      </c>
      <c r="B617" t="s">
        <v>31</v>
      </c>
      <c r="C617">
        <v>1</v>
      </c>
      <c r="D617" t="s">
        <v>30</v>
      </c>
      <c r="E617" s="6">
        <v>46064.953472222223</v>
      </c>
      <c r="F617" s="6">
        <v>46064.958333333336</v>
      </c>
      <c r="G617" s="6">
        <v>46064.965277777781</v>
      </c>
      <c r="H617" s="6">
        <v>46064.975694444445</v>
      </c>
      <c r="I617" s="6">
        <v>46065.027777777781</v>
      </c>
      <c r="J617" s="6">
        <v>46065.034722222219</v>
      </c>
      <c r="K617">
        <v>1.95</v>
      </c>
      <c r="L617" s="6">
        <v>46065.041666666664</v>
      </c>
      <c r="M617" s="7">
        <f>F617-E617</f>
        <v>4.8611111124046147E-3</v>
      </c>
      <c r="N617">
        <f>HOUR(M617)</f>
        <v>0</v>
      </c>
      <c r="O617">
        <f>MINUTE(M617)</f>
        <v>7</v>
      </c>
      <c r="P617">
        <f>N617*60+O617</f>
        <v>7</v>
      </c>
      <c r="Q617" s="7">
        <f>G617-F617</f>
        <v>6.9444444452528842E-3</v>
      </c>
      <c r="R617">
        <f>HOUR(Q617)</f>
        <v>0</v>
      </c>
      <c r="S617">
        <f>MINUTE(Q617)</f>
        <v>10</v>
      </c>
      <c r="T617">
        <f>R617*60+S617</f>
        <v>10</v>
      </c>
      <c r="U617" s="7">
        <f>H617-G617</f>
        <v>1.0416666664241347E-2</v>
      </c>
      <c r="V617">
        <f>HOUR(U617)</f>
        <v>0</v>
      </c>
      <c r="W617">
        <f>MINUTE(U617)</f>
        <v>15</v>
      </c>
      <c r="X617">
        <f>V617*60+W617</f>
        <v>15</v>
      </c>
      <c r="Y617" s="7">
        <f>I617-H617</f>
        <v>5.2083333335758653E-2</v>
      </c>
      <c r="Z617">
        <f>HOUR(Y617)</f>
        <v>1</v>
      </c>
      <c r="AA617">
        <f>MINUTE(Y617)</f>
        <v>15</v>
      </c>
      <c r="AB617">
        <f>Z617*60+AA617</f>
        <v>75</v>
      </c>
    </row>
    <row r="618" spans="1:28" x14ac:dyDescent="0.25">
      <c r="A618">
        <v>616</v>
      </c>
      <c r="B618" t="s">
        <v>33</v>
      </c>
      <c r="C618">
        <v>1</v>
      </c>
      <c r="D618" t="s">
        <v>30</v>
      </c>
      <c r="E618" s="6">
        <v>46065.42083333333</v>
      </c>
      <c r="F618" s="6">
        <v>46065.422222222223</v>
      </c>
      <c r="G618" s="6">
        <v>46065.427083333336</v>
      </c>
      <c r="H618" s="6">
        <v>46065.436111111114</v>
      </c>
      <c r="I618" s="6">
        <v>46065.4375</v>
      </c>
      <c r="J618" s="6">
        <v>46065.438888888886</v>
      </c>
      <c r="K618">
        <v>0.43</v>
      </c>
      <c r="L618" s="6">
        <v>46065.440972222219</v>
      </c>
      <c r="M618" s="7">
        <f>F618-E618</f>
        <v>1.3888888934161514E-3</v>
      </c>
      <c r="N618">
        <f>HOUR(M618)</f>
        <v>0</v>
      </c>
      <c r="O618">
        <f>MINUTE(M618)</f>
        <v>2</v>
      </c>
      <c r="P618">
        <f>N618*60+O618</f>
        <v>2</v>
      </c>
      <c r="Q618" s="7">
        <f>G618-F618</f>
        <v>4.8611111124046147E-3</v>
      </c>
      <c r="R618">
        <f>HOUR(Q618)</f>
        <v>0</v>
      </c>
      <c r="S618">
        <f>MINUTE(Q618)</f>
        <v>7</v>
      </c>
      <c r="T618">
        <f>R618*60+S618</f>
        <v>7</v>
      </c>
      <c r="U618" s="7">
        <f>H618-G618</f>
        <v>9.0277777781011537E-3</v>
      </c>
      <c r="V618">
        <f>HOUR(U618)</f>
        <v>0</v>
      </c>
      <c r="W618">
        <f>MINUTE(U618)</f>
        <v>13</v>
      </c>
      <c r="X618">
        <f>V618*60+W618</f>
        <v>13</v>
      </c>
      <c r="Y618" s="7">
        <f>I618-H618</f>
        <v>1.3888888861401938E-3</v>
      </c>
      <c r="Z618">
        <f>HOUR(Y618)</f>
        <v>0</v>
      </c>
      <c r="AA618">
        <f>MINUTE(Y618)</f>
        <v>2</v>
      </c>
      <c r="AB618">
        <f>Z618*60+AA618</f>
        <v>2</v>
      </c>
    </row>
    <row r="619" spans="1:28" x14ac:dyDescent="0.25">
      <c r="A619">
        <v>617</v>
      </c>
      <c r="B619" t="s">
        <v>31</v>
      </c>
      <c r="C619">
        <v>1</v>
      </c>
      <c r="D619" t="s">
        <v>30</v>
      </c>
      <c r="E619" s="6">
        <v>46065.489583333336</v>
      </c>
      <c r="F619" s="6">
        <v>46065.493055555555</v>
      </c>
      <c r="G619" s="6">
        <v>46065.49722222222</v>
      </c>
      <c r="H619" s="6">
        <v>46065.580555555556</v>
      </c>
      <c r="I619" s="6">
        <v>46065.587500000001</v>
      </c>
      <c r="J619" s="6">
        <v>46065.822916666664</v>
      </c>
      <c r="K619">
        <v>8</v>
      </c>
      <c r="L619" s="6">
        <v>46065.829861111109</v>
      </c>
      <c r="M619" s="7">
        <f>F619-E619</f>
        <v>3.4722222189884633E-3</v>
      </c>
      <c r="N619">
        <f>HOUR(M619)</f>
        <v>0</v>
      </c>
      <c r="O619">
        <f>MINUTE(M619)</f>
        <v>5</v>
      </c>
      <c r="P619">
        <f>N619*60+O619</f>
        <v>5</v>
      </c>
      <c r="Q619" s="7">
        <f>G619-F619</f>
        <v>4.166666665696539E-3</v>
      </c>
      <c r="R619">
        <f>HOUR(Q619)</f>
        <v>0</v>
      </c>
      <c r="S619">
        <f>MINUTE(Q619)</f>
        <v>6</v>
      </c>
      <c r="T619">
        <f>R619*60+S619</f>
        <v>6</v>
      </c>
      <c r="U619" s="7">
        <f>H619-G619</f>
        <v>8.3333333335758653E-2</v>
      </c>
      <c r="V619">
        <f>HOUR(U619)</f>
        <v>2</v>
      </c>
      <c r="W619">
        <f>MINUTE(U619)</f>
        <v>0</v>
      </c>
      <c r="X619">
        <f>V619*60+W619</f>
        <v>120</v>
      </c>
      <c r="Y619" s="7">
        <f>I619-H619</f>
        <v>6.9444444452528842E-3</v>
      </c>
      <c r="Z619">
        <f>HOUR(Y619)</f>
        <v>0</v>
      </c>
      <c r="AA619">
        <f>MINUTE(Y619)</f>
        <v>10</v>
      </c>
      <c r="AB619">
        <f>Z619*60+AA619</f>
        <v>10</v>
      </c>
    </row>
    <row r="620" spans="1:28" x14ac:dyDescent="0.25">
      <c r="A620">
        <v>618</v>
      </c>
      <c r="B620" t="s">
        <v>29</v>
      </c>
      <c r="C620">
        <v>1</v>
      </c>
      <c r="D620" t="s">
        <v>32</v>
      </c>
      <c r="E620" s="6">
        <v>46072.305555555555</v>
      </c>
      <c r="F620" s="6">
        <v>46072.315972222219</v>
      </c>
      <c r="G620" s="6">
        <v>46072.322916666664</v>
      </c>
      <c r="H620" s="6">
        <v>46072.395833333336</v>
      </c>
      <c r="I620" s="6">
        <v>46072.402777777781</v>
      </c>
      <c r="J620" s="6">
        <v>46072.415277777778</v>
      </c>
      <c r="K620">
        <v>2.63</v>
      </c>
      <c r="L620" s="6">
        <v>46072.422222222223</v>
      </c>
      <c r="M620" s="7">
        <f>F620-E620</f>
        <v>1.0416666664241347E-2</v>
      </c>
      <c r="N620">
        <f>HOUR(M620)</f>
        <v>0</v>
      </c>
      <c r="O620">
        <f>MINUTE(M620)</f>
        <v>15</v>
      </c>
      <c r="P620">
        <f>N620*60+O620</f>
        <v>15</v>
      </c>
      <c r="Q620" s="7">
        <f>G620-F620</f>
        <v>6.9444444452528842E-3</v>
      </c>
      <c r="R620">
        <f>HOUR(Q620)</f>
        <v>0</v>
      </c>
      <c r="S620">
        <f>MINUTE(Q620)</f>
        <v>10</v>
      </c>
      <c r="T620">
        <f>R620*60+S620</f>
        <v>10</v>
      </c>
      <c r="U620" s="7">
        <f>H620-G620</f>
        <v>7.2916666671517305E-2</v>
      </c>
      <c r="V620">
        <f>HOUR(U620)</f>
        <v>1</v>
      </c>
      <c r="W620">
        <f>MINUTE(U620)</f>
        <v>45</v>
      </c>
      <c r="X620">
        <f>V620*60+W620</f>
        <v>105</v>
      </c>
      <c r="Y620" s="7">
        <f>I620-H620</f>
        <v>6.9444444452528842E-3</v>
      </c>
      <c r="Z620">
        <f>HOUR(Y620)</f>
        <v>0</v>
      </c>
      <c r="AA620">
        <f>MINUTE(Y620)</f>
        <v>10</v>
      </c>
      <c r="AB620">
        <f>Z620*60+AA620</f>
        <v>10</v>
      </c>
    </row>
    <row r="621" spans="1:28" x14ac:dyDescent="0.25">
      <c r="A621">
        <v>619</v>
      </c>
      <c r="B621" t="s">
        <v>31</v>
      </c>
      <c r="C621">
        <v>1</v>
      </c>
      <c r="D621" t="s">
        <v>32</v>
      </c>
      <c r="E621" s="6">
        <v>46072.434027777781</v>
      </c>
      <c r="F621" s="6">
        <v>46072.440972222219</v>
      </c>
      <c r="G621" s="6">
        <v>46072.447916666664</v>
      </c>
      <c r="H621" s="6">
        <v>46072.479166666664</v>
      </c>
      <c r="I621" s="6">
        <v>46072.486111111109</v>
      </c>
      <c r="J621" s="6">
        <v>46072.5</v>
      </c>
      <c r="K621">
        <v>1.58</v>
      </c>
      <c r="L621" s="6">
        <v>46072.506944444445</v>
      </c>
      <c r="M621" s="7">
        <f>F621-E621</f>
        <v>6.9444444379769266E-3</v>
      </c>
      <c r="N621">
        <f>HOUR(M621)</f>
        <v>0</v>
      </c>
      <c r="O621">
        <f>MINUTE(M621)</f>
        <v>10</v>
      </c>
      <c r="P621">
        <f>N621*60+O621</f>
        <v>10</v>
      </c>
      <c r="Q621" s="7">
        <f>G621-F621</f>
        <v>6.9444444452528842E-3</v>
      </c>
      <c r="R621">
        <f>HOUR(Q621)</f>
        <v>0</v>
      </c>
      <c r="S621">
        <f>MINUTE(Q621)</f>
        <v>10</v>
      </c>
      <c r="T621">
        <f>R621*60+S621</f>
        <v>10</v>
      </c>
      <c r="U621" s="7">
        <f>H621-G621</f>
        <v>3.125E-2</v>
      </c>
      <c r="V621">
        <f>HOUR(U621)</f>
        <v>0</v>
      </c>
      <c r="W621">
        <f>MINUTE(U621)</f>
        <v>45</v>
      </c>
      <c r="X621">
        <f>V621*60+W621</f>
        <v>45</v>
      </c>
      <c r="Y621" s="7">
        <f>I621-H621</f>
        <v>6.9444444452528842E-3</v>
      </c>
      <c r="Z621">
        <f>HOUR(Y621)</f>
        <v>0</v>
      </c>
      <c r="AA621">
        <f>MINUTE(Y621)</f>
        <v>10</v>
      </c>
      <c r="AB621">
        <f>Z621*60+AA621</f>
        <v>10</v>
      </c>
    </row>
    <row r="622" spans="1:28" x14ac:dyDescent="0.25">
      <c r="A622">
        <v>620</v>
      </c>
      <c r="B622" t="s">
        <v>29</v>
      </c>
      <c r="C622">
        <v>1</v>
      </c>
      <c r="D622" t="s">
        <v>32</v>
      </c>
      <c r="E622" s="6">
        <v>46077.427083333336</v>
      </c>
      <c r="F622" s="6">
        <v>46077.430555555555</v>
      </c>
      <c r="G622" s="6">
        <v>46077.434027777781</v>
      </c>
      <c r="H622" s="6">
        <v>46077.486111111109</v>
      </c>
      <c r="I622" s="6">
        <v>46077.493055555555</v>
      </c>
      <c r="J622" s="6">
        <v>46077.506944444445</v>
      </c>
      <c r="K622">
        <v>1.92</v>
      </c>
      <c r="L622" s="6">
        <v>46077.513888888891</v>
      </c>
      <c r="M622" s="7">
        <f>F622-E622</f>
        <v>3.4722222189884633E-3</v>
      </c>
      <c r="N622">
        <f>HOUR(M622)</f>
        <v>0</v>
      </c>
      <c r="O622">
        <f>MINUTE(M622)</f>
        <v>5</v>
      </c>
      <c r="P622">
        <f>N622*60+O622</f>
        <v>5</v>
      </c>
      <c r="Q622" s="7">
        <f>G622-F622</f>
        <v>3.4722222262644209E-3</v>
      </c>
      <c r="R622">
        <f>HOUR(Q622)</f>
        <v>0</v>
      </c>
      <c r="S622">
        <f>MINUTE(Q622)</f>
        <v>5</v>
      </c>
      <c r="T622">
        <f>R622*60+S622</f>
        <v>5</v>
      </c>
      <c r="U622" s="7">
        <f>H622-G622</f>
        <v>5.2083333328482695E-2</v>
      </c>
      <c r="V622">
        <f>HOUR(U622)</f>
        <v>1</v>
      </c>
      <c r="W622">
        <f>MINUTE(U622)</f>
        <v>15</v>
      </c>
      <c r="X622">
        <f>V622*60+W622</f>
        <v>75</v>
      </c>
      <c r="Y622" s="7">
        <f>I622-H622</f>
        <v>6.9444444452528842E-3</v>
      </c>
      <c r="Z622">
        <f>HOUR(Y622)</f>
        <v>0</v>
      </c>
      <c r="AA622">
        <f>MINUTE(Y622)</f>
        <v>10</v>
      </c>
      <c r="AB622">
        <f>Z622*60+AA622</f>
        <v>10</v>
      </c>
    </row>
    <row r="623" spans="1:28" x14ac:dyDescent="0.25">
      <c r="A623">
        <v>621</v>
      </c>
      <c r="B623" t="s">
        <v>33</v>
      </c>
      <c r="C623">
        <v>1</v>
      </c>
      <c r="D623" t="s">
        <v>30</v>
      </c>
      <c r="E623" s="6">
        <v>46065.493055555555</v>
      </c>
      <c r="F623" s="6">
        <v>46065.5</v>
      </c>
      <c r="G623" s="6">
        <v>46065.506944444445</v>
      </c>
      <c r="H623" s="6">
        <v>46065.520833333336</v>
      </c>
      <c r="I623" s="6">
        <v>46065.527777777781</v>
      </c>
      <c r="J623" s="6">
        <v>46065.53125</v>
      </c>
      <c r="K623">
        <v>0.92</v>
      </c>
      <c r="L623" s="6">
        <v>46065.538194444445</v>
      </c>
      <c r="M623" s="7">
        <f>F623-E623</f>
        <v>6.9444444452528842E-3</v>
      </c>
      <c r="N623">
        <f>HOUR(M623)</f>
        <v>0</v>
      </c>
      <c r="O623">
        <f>MINUTE(M623)</f>
        <v>10</v>
      </c>
      <c r="P623">
        <f>N623*60+O623</f>
        <v>10</v>
      </c>
      <c r="Q623" s="7">
        <f>G623-F623</f>
        <v>6.9444444452528842E-3</v>
      </c>
      <c r="R623">
        <f>HOUR(Q623)</f>
        <v>0</v>
      </c>
      <c r="S623">
        <f>MINUTE(Q623)</f>
        <v>10</v>
      </c>
      <c r="T623">
        <f>R623*60+S623</f>
        <v>10</v>
      </c>
      <c r="U623" s="7">
        <f>H623-G623</f>
        <v>1.3888888890505768E-2</v>
      </c>
      <c r="V623">
        <f>HOUR(U623)</f>
        <v>0</v>
      </c>
      <c r="W623">
        <f>MINUTE(U623)</f>
        <v>20</v>
      </c>
      <c r="X623">
        <f>V623*60+W623</f>
        <v>20</v>
      </c>
      <c r="Y623" s="7">
        <f>I623-H623</f>
        <v>6.9444444452528842E-3</v>
      </c>
      <c r="Z623">
        <f>HOUR(Y623)</f>
        <v>0</v>
      </c>
      <c r="AA623">
        <f>MINUTE(Y623)</f>
        <v>10</v>
      </c>
      <c r="AB623">
        <f>Z623*60+AA623</f>
        <v>10</v>
      </c>
    </row>
    <row r="624" spans="1:28" x14ac:dyDescent="0.25">
      <c r="A624">
        <v>622</v>
      </c>
      <c r="B624" t="s">
        <v>33</v>
      </c>
      <c r="C624">
        <v>1</v>
      </c>
      <c r="D624" t="s">
        <v>32</v>
      </c>
      <c r="E624" s="6">
        <v>46066.350694444445</v>
      </c>
      <c r="F624" s="6">
        <v>46066.354166666664</v>
      </c>
      <c r="G624" s="6">
        <v>46066.375</v>
      </c>
      <c r="H624" s="6">
        <v>46066.524305555555</v>
      </c>
      <c r="I624" s="6">
        <v>46066.527777777781</v>
      </c>
      <c r="J624" s="6">
        <v>46066.541666666664</v>
      </c>
      <c r="K624">
        <v>4.58</v>
      </c>
      <c r="L624" s="6">
        <v>46066.548611111109</v>
      </c>
      <c r="M624" s="7">
        <f>F624-E624</f>
        <v>3.4722222189884633E-3</v>
      </c>
      <c r="N624">
        <f>HOUR(M624)</f>
        <v>0</v>
      </c>
      <c r="O624">
        <f>MINUTE(M624)</f>
        <v>5</v>
      </c>
      <c r="P624">
        <f>N624*60+O624</f>
        <v>5</v>
      </c>
      <c r="Q624" s="7">
        <f>G624-F624</f>
        <v>2.0833333335758653E-2</v>
      </c>
      <c r="R624">
        <f>HOUR(Q624)</f>
        <v>0</v>
      </c>
      <c r="S624">
        <f>MINUTE(Q624)</f>
        <v>30</v>
      </c>
      <c r="T624">
        <f>R624*60+S624</f>
        <v>30</v>
      </c>
      <c r="U624" s="7">
        <f>H624-G624</f>
        <v>0.14930555555474712</v>
      </c>
      <c r="V624">
        <f>HOUR(U624)</f>
        <v>3</v>
      </c>
      <c r="W624">
        <f>MINUTE(U624)</f>
        <v>35</v>
      </c>
      <c r="X624">
        <f>V624*60+W624</f>
        <v>215</v>
      </c>
      <c r="Y624" s="7">
        <f>I624-H624</f>
        <v>3.4722222262644209E-3</v>
      </c>
      <c r="Z624">
        <f>HOUR(Y624)</f>
        <v>0</v>
      </c>
      <c r="AA624">
        <f>MINUTE(Y624)</f>
        <v>5</v>
      </c>
      <c r="AB624">
        <f>Z624*60+AA624</f>
        <v>5</v>
      </c>
    </row>
    <row r="625" spans="1:28" x14ac:dyDescent="0.25">
      <c r="A625">
        <v>623</v>
      </c>
      <c r="B625" t="s">
        <v>33</v>
      </c>
      <c r="C625">
        <v>1</v>
      </c>
      <c r="D625" t="s">
        <v>35</v>
      </c>
      <c r="E625" s="6">
        <v>46066.638888888891</v>
      </c>
      <c r="F625" s="6">
        <v>46066.645833333336</v>
      </c>
      <c r="G625" s="6">
        <v>46066.652777777781</v>
      </c>
      <c r="H625" s="6">
        <v>46066.71875</v>
      </c>
      <c r="I625" s="6">
        <v>46066.729166666664</v>
      </c>
      <c r="J625" s="6">
        <v>46066.739583333336</v>
      </c>
      <c r="K625">
        <v>2.42</v>
      </c>
      <c r="L625" s="6">
        <v>46066.746527777781</v>
      </c>
      <c r="M625" s="7">
        <f>F625-E625</f>
        <v>6.9444444452528842E-3</v>
      </c>
      <c r="N625">
        <f>HOUR(M625)</f>
        <v>0</v>
      </c>
      <c r="O625">
        <f>MINUTE(M625)</f>
        <v>10</v>
      </c>
      <c r="P625">
        <f>N625*60+O625</f>
        <v>10</v>
      </c>
      <c r="Q625" s="7">
        <f>G625-F625</f>
        <v>6.9444444452528842E-3</v>
      </c>
      <c r="R625">
        <f>HOUR(Q625)</f>
        <v>0</v>
      </c>
      <c r="S625">
        <f>MINUTE(Q625)</f>
        <v>10</v>
      </c>
      <c r="T625">
        <f>R625*60+S625</f>
        <v>10</v>
      </c>
      <c r="U625" s="7">
        <f>H625-G625</f>
        <v>6.5972222218988463E-2</v>
      </c>
      <c r="V625">
        <f>HOUR(U625)</f>
        <v>1</v>
      </c>
      <c r="W625">
        <f>MINUTE(U625)</f>
        <v>35</v>
      </c>
      <c r="X625">
        <f>V625*60+W625</f>
        <v>95</v>
      </c>
      <c r="Y625" s="7">
        <f>I625-H625</f>
        <v>1.0416666664241347E-2</v>
      </c>
      <c r="Z625">
        <f>HOUR(Y625)</f>
        <v>0</v>
      </c>
      <c r="AA625">
        <f>MINUTE(Y625)</f>
        <v>15</v>
      </c>
      <c r="AB625">
        <f>Z625*60+AA625</f>
        <v>15</v>
      </c>
    </row>
    <row r="626" spans="1:28" x14ac:dyDescent="0.25">
      <c r="A626">
        <v>624</v>
      </c>
      <c r="B626" t="s">
        <v>29</v>
      </c>
      <c r="C626">
        <v>1</v>
      </c>
      <c r="D626" t="s">
        <v>32</v>
      </c>
      <c r="E626" s="6">
        <v>46065.753472222219</v>
      </c>
      <c r="F626" s="6">
        <v>46065.754861111112</v>
      </c>
      <c r="G626" s="6">
        <v>46065.756944444445</v>
      </c>
      <c r="H626" s="6">
        <v>46065.774305555555</v>
      </c>
      <c r="I626" s="6">
        <v>46065.775694444441</v>
      </c>
      <c r="J626" s="6">
        <v>46065.777777777781</v>
      </c>
      <c r="K626">
        <v>0.57999999999999996</v>
      </c>
      <c r="L626" s="6">
        <v>46065.779166666667</v>
      </c>
      <c r="M626" s="7">
        <f>F626-E626</f>
        <v>1.3888888934161514E-3</v>
      </c>
      <c r="N626">
        <f>HOUR(M626)</f>
        <v>0</v>
      </c>
      <c r="O626">
        <f>MINUTE(M626)</f>
        <v>2</v>
      </c>
      <c r="P626">
        <f>N626*60+O626</f>
        <v>2</v>
      </c>
      <c r="Q626" s="7">
        <f>G626-F626</f>
        <v>2.0833333328482695E-3</v>
      </c>
      <c r="R626">
        <f>HOUR(Q626)</f>
        <v>0</v>
      </c>
      <c r="S626">
        <f>MINUTE(Q626)</f>
        <v>3</v>
      </c>
      <c r="T626">
        <f>R626*60+S626</f>
        <v>3</v>
      </c>
      <c r="U626" s="7">
        <f>H626-G626</f>
        <v>1.7361111109494232E-2</v>
      </c>
      <c r="V626">
        <f>HOUR(U626)</f>
        <v>0</v>
      </c>
      <c r="W626">
        <f>MINUTE(U626)</f>
        <v>25</v>
      </c>
      <c r="X626">
        <f>V626*60+W626</f>
        <v>25</v>
      </c>
      <c r="Y626" s="7">
        <f>I626-H626</f>
        <v>1.3888888861401938E-3</v>
      </c>
      <c r="Z626">
        <f>HOUR(Y626)</f>
        <v>0</v>
      </c>
      <c r="AA626">
        <f>MINUTE(Y626)</f>
        <v>2</v>
      </c>
      <c r="AB626">
        <f>Z626*60+AA626</f>
        <v>2</v>
      </c>
    </row>
    <row r="627" spans="1:28" x14ac:dyDescent="0.25">
      <c r="A627">
        <v>625</v>
      </c>
      <c r="B627" t="s">
        <v>29</v>
      </c>
      <c r="C627">
        <v>1</v>
      </c>
      <c r="D627" t="s">
        <v>30</v>
      </c>
      <c r="E627" s="6">
        <v>46066.423611111109</v>
      </c>
      <c r="F627" s="6">
        <v>46066.4375</v>
      </c>
      <c r="G627" s="6">
        <v>46066.46875</v>
      </c>
      <c r="H627" s="6">
        <v>46066.583333333336</v>
      </c>
      <c r="I627" s="6">
        <v>46066.590277777781</v>
      </c>
      <c r="J627" s="6">
        <v>46066.604166666664</v>
      </c>
      <c r="K627">
        <v>4.33</v>
      </c>
      <c r="L627" s="6">
        <v>46066.611111111109</v>
      </c>
      <c r="M627" s="7">
        <f>F627-E627</f>
        <v>1.3888888890505768E-2</v>
      </c>
      <c r="N627">
        <f>HOUR(M627)</f>
        <v>0</v>
      </c>
      <c r="O627">
        <f>MINUTE(M627)</f>
        <v>20</v>
      </c>
      <c r="P627">
        <f>N627*60+O627</f>
        <v>20</v>
      </c>
      <c r="Q627" s="7">
        <f>G627-F627</f>
        <v>3.125E-2</v>
      </c>
      <c r="R627">
        <f>HOUR(Q627)</f>
        <v>0</v>
      </c>
      <c r="S627">
        <f>MINUTE(Q627)</f>
        <v>45</v>
      </c>
      <c r="T627">
        <f>R627*60+S627</f>
        <v>45</v>
      </c>
      <c r="U627" s="7">
        <f>H627-G627</f>
        <v>0.11458333333575865</v>
      </c>
      <c r="V627">
        <f>HOUR(U627)</f>
        <v>2</v>
      </c>
      <c r="W627">
        <f>MINUTE(U627)</f>
        <v>45</v>
      </c>
      <c r="X627">
        <f>V627*60+W627</f>
        <v>165</v>
      </c>
      <c r="Y627" s="7">
        <f>I627-H627</f>
        <v>6.9444444452528842E-3</v>
      </c>
      <c r="Z627">
        <f>HOUR(Y627)</f>
        <v>0</v>
      </c>
      <c r="AA627">
        <f>MINUTE(Y627)</f>
        <v>10</v>
      </c>
      <c r="AB627">
        <f>Z627*60+AA627</f>
        <v>10</v>
      </c>
    </row>
    <row r="628" spans="1:28" x14ac:dyDescent="0.25">
      <c r="A628">
        <v>626</v>
      </c>
      <c r="B628" t="s">
        <v>29</v>
      </c>
      <c r="C628">
        <v>1</v>
      </c>
      <c r="D628" t="s">
        <v>35</v>
      </c>
      <c r="E628" s="6">
        <v>46066.291666666664</v>
      </c>
      <c r="F628" s="6">
        <v>46066.333333333336</v>
      </c>
      <c r="G628" s="6">
        <v>46066.34375</v>
      </c>
      <c r="H628" s="6">
        <v>46066.364583333336</v>
      </c>
      <c r="I628" s="6">
        <v>46066.375</v>
      </c>
      <c r="J628" s="6">
        <v>46066.416666666664</v>
      </c>
      <c r="K628">
        <v>3</v>
      </c>
      <c r="L628" s="6">
        <v>46066.423611111109</v>
      </c>
      <c r="M628" s="7">
        <f>F628-E628</f>
        <v>4.1666666671517305E-2</v>
      </c>
      <c r="N628">
        <f>HOUR(M628)</f>
        <v>1</v>
      </c>
      <c r="O628">
        <f>MINUTE(M628)</f>
        <v>0</v>
      </c>
      <c r="P628">
        <f>N628*60+O628</f>
        <v>60</v>
      </c>
      <c r="Q628" s="7">
        <f>G628-F628</f>
        <v>1.0416666664241347E-2</v>
      </c>
      <c r="R628">
        <f>HOUR(Q628)</f>
        <v>0</v>
      </c>
      <c r="S628">
        <f>MINUTE(Q628)</f>
        <v>15</v>
      </c>
      <c r="T628">
        <f>R628*60+S628</f>
        <v>15</v>
      </c>
      <c r="U628" s="7">
        <f>H628-G628</f>
        <v>2.0833333335758653E-2</v>
      </c>
      <c r="V628">
        <f>HOUR(U628)</f>
        <v>0</v>
      </c>
      <c r="W628">
        <f>MINUTE(U628)</f>
        <v>30</v>
      </c>
      <c r="X628">
        <f>V628*60+W628</f>
        <v>30</v>
      </c>
      <c r="Y628" s="7">
        <f>I628-H628</f>
        <v>1.0416666664241347E-2</v>
      </c>
      <c r="Z628">
        <f>HOUR(Y628)</f>
        <v>0</v>
      </c>
      <c r="AA628">
        <f>MINUTE(Y628)</f>
        <v>15</v>
      </c>
      <c r="AB628">
        <f>Z628*60+AA628</f>
        <v>15</v>
      </c>
    </row>
    <row r="629" spans="1:28" x14ac:dyDescent="0.25">
      <c r="A629">
        <v>627</v>
      </c>
      <c r="B629" t="s">
        <v>31</v>
      </c>
      <c r="C629">
        <v>1</v>
      </c>
      <c r="D629" t="s">
        <v>30</v>
      </c>
      <c r="E629" s="6">
        <v>46065.576388888891</v>
      </c>
      <c r="F629" s="6">
        <v>46065.583333333336</v>
      </c>
      <c r="G629" s="6">
        <v>46065.599999999999</v>
      </c>
      <c r="H629" s="6">
        <v>46065.683333333334</v>
      </c>
      <c r="I629" s="6">
        <v>46065.690972222219</v>
      </c>
      <c r="J629" s="6">
        <v>46065.697916666664</v>
      </c>
      <c r="K629">
        <v>2.92</v>
      </c>
      <c r="L629" s="6">
        <v>46065.704861111109</v>
      </c>
      <c r="M629" s="7">
        <f>F629-E629</f>
        <v>6.9444444452528842E-3</v>
      </c>
      <c r="N629">
        <f>HOUR(M629)</f>
        <v>0</v>
      </c>
      <c r="O629">
        <f>MINUTE(M629)</f>
        <v>10</v>
      </c>
      <c r="P629">
        <f>N629*60+O629</f>
        <v>10</v>
      </c>
      <c r="Q629" s="7">
        <f>G629-F629</f>
        <v>1.6666666662786156E-2</v>
      </c>
      <c r="R629">
        <f>HOUR(Q629)</f>
        <v>0</v>
      </c>
      <c r="S629">
        <f>MINUTE(Q629)</f>
        <v>24</v>
      </c>
      <c r="T629">
        <f>R629*60+S629</f>
        <v>24</v>
      </c>
      <c r="U629" s="7">
        <f>H629-G629</f>
        <v>8.3333333335758653E-2</v>
      </c>
      <c r="V629">
        <f>HOUR(U629)</f>
        <v>2</v>
      </c>
      <c r="W629">
        <f>MINUTE(U629)</f>
        <v>0</v>
      </c>
      <c r="X629">
        <f>V629*60+W629</f>
        <v>120</v>
      </c>
      <c r="Y629" s="7">
        <f>I629-H629</f>
        <v>7.6388888846850023E-3</v>
      </c>
      <c r="Z629">
        <f>HOUR(Y629)</f>
        <v>0</v>
      </c>
      <c r="AA629">
        <f>MINUTE(Y629)</f>
        <v>11</v>
      </c>
      <c r="AB629">
        <f>Z629*60+AA629</f>
        <v>11</v>
      </c>
    </row>
    <row r="630" spans="1:28" x14ac:dyDescent="0.25">
      <c r="A630">
        <v>628</v>
      </c>
      <c r="B630" t="s">
        <v>33</v>
      </c>
      <c r="C630">
        <v>1</v>
      </c>
      <c r="D630" t="s">
        <v>35</v>
      </c>
      <c r="E630" s="6">
        <v>46066.479166666664</v>
      </c>
      <c r="F630" s="6">
        <v>46066.489583333336</v>
      </c>
      <c r="G630" s="6">
        <v>46066.524305555555</v>
      </c>
      <c r="H630" s="6">
        <v>46066.583333333336</v>
      </c>
      <c r="I630" s="6">
        <v>46066.59375</v>
      </c>
      <c r="J630" s="6">
        <v>46066.604166666664</v>
      </c>
      <c r="K630">
        <v>3</v>
      </c>
      <c r="L630" s="6">
        <v>46066.611111111109</v>
      </c>
      <c r="M630" s="7">
        <f>F630-E630</f>
        <v>1.0416666671517305E-2</v>
      </c>
      <c r="N630">
        <f>HOUR(M630)</f>
        <v>0</v>
      </c>
      <c r="O630">
        <f>MINUTE(M630)</f>
        <v>15</v>
      </c>
      <c r="P630">
        <f>N630*60+O630</f>
        <v>15</v>
      </c>
      <c r="Q630" s="7">
        <f>G630-F630</f>
        <v>3.4722222218988463E-2</v>
      </c>
      <c r="R630">
        <f>HOUR(Q630)</f>
        <v>0</v>
      </c>
      <c r="S630">
        <f>MINUTE(Q630)</f>
        <v>50</v>
      </c>
      <c r="T630">
        <f>R630*60+S630</f>
        <v>50</v>
      </c>
      <c r="U630" s="7">
        <f>H630-G630</f>
        <v>5.9027777781011537E-2</v>
      </c>
      <c r="V630">
        <f>HOUR(U630)</f>
        <v>1</v>
      </c>
      <c r="W630">
        <f>MINUTE(U630)</f>
        <v>25</v>
      </c>
      <c r="X630">
        <f>V630*60+W630</f>
        <v>85</v>
      </c>
      <c r="Y630" s="7">
        <f>I630-H630</f>
        <v>1.0416666664241347E-2</v>
      </c>
      <c r="Z630">
        <f>HOUR(Y630)</f>
        <v>0</v>
      </c>
      <c r="AA630">
        <f>MINUTE(Y630)</f>
        <v>15</v>
      </c>
      <c r="AB630">
        <f>Z630*60+AA630</f>
        <v>15</v>
      </c>
    </row>
    <row r="631" spans="1:28" x14ac:dyDescent="0.25">
      <c r="A631">
        <v>629</v>
      </c>
      <c r="B631" t="s">
        <v>31</v>
      </c>
      <c r="C631">
        <v>1</v>
      </c>
      <c r="D631" t="s">
        <v>37</v>
      </c>
      <c r="E631" s="6">
        <v>46065.621527777781</v>
      </c>
      <c r="F631" s="6">
        <v>46065.62222222222</v>
      </c>
      <c r="G631" s="6">
        <v>46065.625</v>
      </c>
      <c r="H631" s="6">
        <v>46065.729166666664</v>
      </c>
      <c r="I631" s="6">
        <v>46065.770833333336</v>
      </c>
      <c r="J631" s="6">
        <v>46065.777777777781</v>
      </c>
      <c r="K631">
        <v>3.75</v>
      </c>
      <c r="L631" s="6">
        <v>46065.77847222222</v>
      </c>
      <c r="M631" s="7">
        <f>F631-E631</f>
        <v>6.9444443943211809E-4</v>
      </c>
      <c r="N631">
        <f>HOUR(M631)</f>
        <v>0</v>
      </c>
      <c r="O631">
        <f>MINUTE(M631)</f>
        <v>1</v>
      </c>
      <c r="P631">
        <f>N631*60+O631</f>
        <v>1</v>
      </c>
      <c r="Q631" s="7">
        <f>G631-F631</f>
        <v>2.7777777795563452E-3</v>
      </c>
      <c r="R631">
        <f>HOUR(Q631)</f>
        <v>0</v>
      </c>
      <c r="S631">
        <f>MINUTE(Q631)</f>
        <v>4</v>
      </c>
      <c r="T631">
        <f>R631*60+S631</f>
        <v>4</v>
      </c>
      <c r="U631" s="7">
        <f>H631-G631</f>
        <v>0.10416666666424135</v>
      </c>
      <c r="V631">
        <f>HOUR(U631)</f>
        <v>2</v>
      </c>
      <c r="W631">
        <f>MINUTE(U631)</f>
        <v>30</v>
      </c>
      <c r="X631">
        <f>V631*60+W631</f>
        <v>150</v>
      </c>
      <c r="Y631" s="7">
        <f>I631-H631</f>
        <v>4.1666666671517305E-2</v>
      </c>
      <c r="Z631">
        <f>HOUR(Y631)</f>
        <v>1</v>
      </c>
      <c r="AA631">
        <f>MINUTE(Y631)</f>
        <v>0</v>
      </c>
      <c r="AB631">
        <f>Z631*60+AA631</f>
        <v>60</v>
      </c>
    </row>
    <row r="632" spans="1:28" x14ac:dyDescent="0.25">
      <c r="A632">
        <v>630</v>
      </c>
      <c r="B632" t="s">
        <v>29</v>
      </c>
      <c r="C632">
        <v>1</v>
      </c>
      <c r="D632" t="s">
        <v>30</v>
      </c>
      <c r="E632" s="6">
        <v>46065.881944444445</v>
      </c>
      <c r="F632" s="6">
        <v>46065.888888888891</v>
      </c>
      <c r="G632" s="6">
        <v>46065.895833333336</v>
      </c>
      <c r="H632" s="6">
        <v>46065.90625</v>
      </c>
      <c r="I632" s="6">
        <v>46065.923611111109</v>
      </c>
      <c r="J632" s="6">
        <v>46065.928472222222</v>
      </c>
      <c r="K632">
        <v>1.1200000000000001</v>
      </c>
      <c r="L632" s="6">
        <v>46065.929166666669</v>
      </c>
      <c r="M632" s="7">
        <f>F632-E632</f>
        <v>6.9444444452528842E-3</v>
      </c>
      <c r="N632">
        <f>HOUR(M632)</f>
        <v>0</v>
      </c>
      <c r="O632">
        <f>MINUTE(M632)</f>
        <v>10</v>
      </c>
      <c r="P632">
        <f>N632*60+O632</f>
        <v>10</v>
      </c>
      <c r="Q632" s="7">
        <f>G632-F632</f>
        <v>6.9444444452528842E-3</v>
      </c>
      <c r="R632">
        <f>HOUR(Q632)</f>
        <v>0</v>
      </c>
      <c r="S632">
        <f>MINUTE(Q632)</f>
        <v>10</v>
      </c>
      <c r="T632">
        <f>R632*60+S632</f>
        <v>10</v>
      </c>
      <c r="U632" s="7">
        <f>H632-G632</f>
        <v>1.0416666664241347E-2</v>
      </c>
      <c r="V632">
        <f>HOUR(U632)</f>
        <v>0</v>
      </c>
      <c r="W632">
        <f>MINUTE(U632)</f>
        <v>15</v>
      </c>
      <c r="X632">
        <f>V632*60+W632</f>
        <v>15</v>
      </c>
      <c r="Y632" s="7">
        <f>I632-H632</f>
        <v>1.7361111109494232E-2</v>
      </c>
      <c r="Z632">
        <f>HOUR(Y632)</f>
        <v>0</v>
      </c>
      <c r="AA632">
        <f>MINUTE(Y632)</f>
        <v>25</v>
      </c>
      <c r="AB632">
        <f>Z632*60+AA632</f>
        <v>25</v>
      </c>
    </row>
    <row r="633" spans="1:28" x14ac:dyDescent="0.25">
      <c r="A633">
        <v>631</v>
      </c>
      <c r="B633" t="s">
        <v>31</v>
      </c>
      <c r="C633">
        <v>1</v>
      </c>
      <c r="D633" t="s">
        <v>35</v>
      </c>
      <c r="E633" s="6">
        <v>46066.652777777781</v>
      </c>
      <c r="F633" s="6">
        <v>46066.673611111109</v>
      </c>
      <c r="G633" s="6">
        <v>46066.690972222219</v>
      </c>
      <c r="H633" s="6">
        <v>46066.815972222219</v>
      </c>
      <c r="I633" s="6">
        <v>46066.822916666664</v>
      </c>
      <c r="J633" s="6">
        <v>46066.826388888891</v>
      </c>
      <c r="K633">
        <v>4.17</v>
      </c>
      <c r="L633" s="6">
        <v>46066.833333333336</v>
      </c>
      <c r="M633" s="7">
        <f>F633-E633</f>
        <v>2.0833333328482695E-2</v>
      </c>
      <c r="N633">
        <f>HOUR(M633)</f>
        <v>0</v>
      </c>
      <c r="O633">
        <f>MINUTE(M633)</f>
        <v>30</v>
      </c>
      <c r="P633">
        <f>N633*60+O633</f>
        <v>30</v>
      </c>
      <c r="Q633" s="7">
        <f>G633-F633</f>
        <v>1.7361111109494232E-2</v>
      </c>
      <c r="R633">
        <f>HOUR(Q633)</f>
        <v>0</v>
      </c>
      <c r="S633">
        <f>MINUTE(Q633)</f>
        <v>25</v>
      </c>
      <c r="T633">
        <f>R633*60+S633</f>
        <v>25</v>
      </c>
      <c r="U633" s="7">
        <f>H633-G633</f>
        <v>0.125</v>
      </c>
      <c r="V633">
        <f>HOUR(U633)</f>
        <v>3</v>
      </c>
      <c r="W633">
        <f>MINUTE(U633)</f>
        <v>0</v>
      </c>
      <c r="X633">
        <f>V633*60+W633</f>
        <v>180</v>
      </c>
      <c r="Y633" s="7">
        <f>I633-H633</f>
        <v>6.9444444452528842E-3</v>
      </c>
      <c r="Z633">
        <f>HOUR(Y633)</f>
        <v>0</v>
      </c>
      <c r="AA633">
        <f>MINUTE(Y633)</f>
        <v>10</v>
      </c>
      <c r="AB633">
        <f>Z633*60+AA633</f>
        <v>10</v>
      </c>
    </row>
    <row r="634" spans="1:28" x14ac:dyDescent="0.25">
      <c r="A634">
        <v>632</v>
      </c>
      <c r="B634" t="s">
        <v>29</v>
      </c>
      <c r="C634">
        <v>1</v>
      </c>
      <c r="D634" t="s">
        <v>34</v>
      </c>
      <c r="E634" s="6">
        <v>46065.913194444445</v>
      </c>
      <c r="F634" s="6">
        <v>46065.927083333336</v>
      </c>
      <c r="G634" s="6">
        <v>46065.930555555555</v>
      </c>
      <c r="H634" s="6">
        <v>46065.989583333336</v>
      </c>
      <c r="I634" s="6">
        <v>46065.993055555555</v>
      </c>
      <c r="J634" s="6">
        <v>46065.996527777781</v>
      </c>
      <c r="K634">
        <v>2</v>
      </c>
      <c r="L634" s="6">
        <v>46066.003472222219</v>
      </c>
      <c r="M634" s="7">
        <f>F634-E634</f>
        <v>1.3888888890505768E-2</v>
      </c>
      <c r="N634">
        <f>HOUR(M634)</f>
        <v>0</v>
      </c>
      <c r="O634">
        <f>MINUTE(M634)</f>
        <v>20</v>
      </c>
      <c r="P634">
        <f>N634*60+O634</f>
        <v>20</v>
      </c>
      <c r="Q634" s="7">
        <f>G634-F634</f>
        <v>3.4722222189884633E-3</v>
      </c>
      <c r="R634">
        <f>HOUR(Q634)</f>
        <v>0</v>
      </c>
      <c r="S634">
        <f>MINUTE(Q634)</f>
        <v>5</v>
      </c>
      <c r="T634">
        <f>R634*60+S634</f>
        <v>5</v>
      </c>
      <c r="U634" s="7">
        <f>H634-G634</f>
        <v>5.9027777781011537E-2</v>
      </c>
      <c r="V634">
        <f>HOUR(U634)</f>
        <v>1</v>
      </c>
      <c r="W634">
        <f>MINUTE(U634)</f>
        <v>25</v>
      </c>
      <c r="X634">
        <f>V634*60+W634</f>
        <v>85</v>
      </c>
      <c r="Y634" s="7">
        <f>I634-H634</f>
        <v>3.4722222189884633E-3</v>
      </c>
      <c r="Z634">
        <f>HOUR(Y634)</f>
        <v>0</v>
      </c>
      <c r="AA634">
        <f>MINUTE(Y634)</f>
        <v>5</v>
      </c>
      <c r="AB634">
        <f>Z634*60+AA634</f>
        <v>5</v>
      </c>
    </row>
    <row r="635" spans="1:28" x14ac:dyDescent="0.25">
      <c r="A635">
        <v>633</v>
      </c>
      <c r="B635" t="s">
        <v>31</v>
      </c>
      <c r="C635">
        <v>1</v>
      </c>
      <c r="D635" t="s">
        <v>35</v>
      </c>
      <c r="E635" s="6">
        <v>46066.013888888891</v>
      </c>
      <c r="F635" s="6">
        <v>46066.020833333336</v>
      </c>
      <c r="G635" s="6">
        <v>46066.027777777781</v>
      </c>
      <c r="H635" s="6">
        <v>46066.0625</v>
      </c>
      <c r="I635" s="6">
        <v>46066.065972222219</v>
      </c>
      <c r="J635" s="6">
        <v>46066.068055555559</v>
      </c>
      <c r="K635">
        <v>1.3</v>
      </c>
      <c r="L635" s="6">
        <v>46066.069444444445</v>
      </c>
      <c r="M635" s="7">
        <f>F635-E635</f>
        <v>6.9444444452528842E-3</v>
      </c>
      <c r="N635">
        <f>HOUR(M635)</f>
        <v>0</v>
      </c>
      <c r="O635">
        <f>MINUTE(M635)</f>
        <v>10</v>
      </c>
      <c r="P635">
        <f>N635*60+O635</f>
        <v>10</v>
      </c>
      <c r="Q635" s="7">
        <f>G635-F635</f>
        <v>6.9444444452528842E-3</v>
      </c>
      <c r="R635">
        <f>HOUR(Q635)</f>
        <v>0</v>
      </c>
      <c r="S635">
        <f>MINUTE(Q635)</f>
        <v>10</v>
      </c>
      <c r="T635">
        <f>R635*60+S635</f>
        <v>10</v>
      </c>
      <c r="U635" s="7">
        <f>H635-G635</f>
        <v>3.4722222218988463E-2</v>
      </c>
      <c r="V635">
        <f>HOUR(U635)</f>
        <v>0</v>
      </c>
      <c r="W635">
        <f>MINUTE(U635)</f>
        <v>50</v>
      </c>
      <c r="X635">
        <f>V635*60+W635</f>
        <v>50</v>
      </c>
      <c r="Y635" s="7">
        <f>I635-H635</f>
        <v>3.4722222189884633E-3</v>
      </c>
      <c r="Z635">
        <f>HOUR(Y635)</f>
        <v>0</v>
      </c>
      <c r="AA635">
        <f>MINUTE(Y635)</f>
        <v>5</v>
      </c>
      <c r="AB635">
        <f>Z635*60+AA635</f>
        <v>5</v>
      </c>
    </row>
    <row r="636" spans="1:28" x14ac:dyDescent="0.25">
      <c r="A636">
        <v>634</v>
      </c>
      <c r="B636" t="s">
        <v>31</v>
      </c>
      <c r="C636">
        <v>1</v>
      </c>
      <c r="D636" t="s">
        <v>30</v>
      </c>
      <c r="E636" s="6">
        <v>46066.673611111109</v>
      </c>
      <c r="F636" s="6">
        <v>46066.677083333336</v>
      </c>
      <c r="G636" s="6">
        <v>46066.694444444445</v>
      </c>
      <c r="H636" s="6">
        <v>46066.818055555559</v>
      </c>
      <c r="I636" s="6">
        <v>46066.824999999997</v>
      </c>
      <c r="J636" s="6">
        <v>46066.836805555555</v>
      </c>
      <c r="K636">
        <v>3.92</v>
      </c>
      <c r="L636" s="6">
        <v>46066.84375</v>
      </c>
      <c r="M636" s="7">
        <f>F636-E636</f>
        <v>3.4722222262644209E-3</v>
      </c>
      <c r="N636">
        <f>HOUR(M636)</f>
        <v>0</v>
      </c>
      <c r="O636">
        <f>MINUTE(M636)</f>
        <v>5</v>
      </c>
      <c r="P636">
        <f>N636*60+O636</f>
        <v>5</v>
      </c>
      <c r="Q636" s="7">
        <f>G636-F636</f>
        <v>1.7361111109494232E-2</v>
      </c>
      <c r="R636">
        <f>HOUR(Q636)</f>
        <v>0</v>
      </c>
      <c r="S636">
        <f>MINUTE(Q636)</f>
        <v>25</v>
      </c>
      <c r="T636">
        <f>R636*60+S636</f>
        <v>25</v>
      </c>
      <c r="U636" s="7">
        <f>H636-G636</f>
        <v>0.12361111111385981</v>
      </c>
      <c r="V636">
        <f>HOUR(U636)</f>
        <v>2</v>
      </c>
      <c r="W636">
        <f>MINUTE(U636)</f>
        <v>58</v>
      </c>
      <c r="X636">
        <f>V636*60+W636</f>
        <v>178</v>
      </c>
      <c r="Y636" s="7">
        <f>I636-H636</f>
        <v>6.9444444379769266E-3</v>
      </c>
      <c r="Z636">
        <f>HOUR(Y636)</f>
        <v>0</v>
      </c>
      <c r="AA636">
        <f>MINUTE(Y636)</f>
        <v>10</v>
      </c>
      <c r="AB636">
        <f>Z636*60+AA636</f>
        <v>10</v>
      </c>
    </row>
    <row r="637" spans="1:28" x14ac:dyDescent="0.25">
      <c r="A637">
        <v>635</v>
      </c>
      <c r="B637" t="s">
        <v>33</v>
      </c>
      <c r="C637">
        <v>1</v>
      </c>
      <c r="D637" t="s">
        <v>32</v>
      </c>
      <c r="E637" s="6">
        <v>46078.333333333336</v>
      </c>
      <c r="F637" s="6">
        <v>46078.34375</v>
      </c>
      <c r="G637" s="6">
        <v>46078.354166666664</v>
      </c>
      <c r="H637" s="6">
        <v>46078.472222222219</v>
      </c>
      <c r="I637" s="6">
        <v>46078.479166666664</v>
      </c>
      <c r="J637" s="6">
        <v>46078.489583333336</v>
      </c>
      <c r="K637">
        <v>3.75</v>
      </c>
      <c r="L637" s="6">
        <v>46078.496527777781</v>
      </c>
      <c r="M637" s="7">
        <f>F637-E637</f>
        <v>1.0416666664241347E-2</v>
      </c>
      <c r="N637">
        <f>HOUR(M637)</f>
        <v>0</v>
      </c>
      <c r="O637">
        <f>MINUTE(M637)</f>
        <v>15</v>
      </c>
      <c r="P637">
        <f>N637*60+O637</f>
        <v>15</v>
      </c>
      <c r="Q637" s="7">
        <f>G637-F637</f>
        <v>1.0416666664241347E-2</v>
      </c>
      <c r="R637">
        <f>HOUR(Q637)</f>
        <v>0</v>
      </c>
      <c r="S637">
        <f>MINUTE(Q637)</f>
        <v>15</v>
      </c>
      <c r="T637">
        <f>R637*60+S637</f>
        <v>15</v>
      </c>
      <c r="U637" s="7">
        <f>H637-G637</f>
        <v>0.11805555555474712</v>
      </c>
      <c r="V637">
        <f>HOUR(U637)</f>
        <v>2</v>
      </c>
      <c r="W637">
        <f>MINUTE(U637)</f>
        <v>50</v>
      </c>
      <c r="X637">
        <f>V637*60+W637</f>
        <v>170</v>
      </c>
      <c r="Y637" s="7">
        <f>I637-H637</f>
        <v>6.9444444452528842E-3</v>
      </c>
      <c r="Z637">
        <f>HOUR(Y637)</f>
        <v>0</v>
      </c>
      <c r="AA637">
        <f>MINUTE(Y637)</f>
        <v>10</v>
      </c>
      <c r="AB637">
        <f>Z637*60+AA637</f>
        <v>10</v>
      </c>
    </row>
    <row r="638" spans="1:28" x14ac:dyDescent="0.25">
      <c r="A638">
        <v>636</v>
      </c>
      <c r="B638" t="s">
        <v>29</v>
      </c>
      <c r="C638">
        <v>1</v>
      </c>
      <c r="D638" t="s">
        <v>30</v>
      </c>
      <c r="E638" s="6">
        <v>46067.708333333336</v>
      </c>
      <c r="F638" s="6">
        <v>46067.725694444445</v>
      </c>
      <c r="G638" s="6">
        <v>46067.730555555558</v>
      </c>
      <c r="H638" s="6">
        <v>46067.744444444441</v>
      </c>
      <c r="I638" s="6">
        <v>46067.751388888886</v>
      </c>
      <c r="J638" s="6">
        <v>46067.763888888891</v>
      </c>
      <c r="K638">
        <v>1.33</v>
      </c>
      <c r="L638" s="6">
        <v>46067.772222222222</v>
      </c>
      <c r="M638" s="7">
        <f>F638-E638</f>
        <v>1.7361111109494232E-2</v>
      </c>
      <c r="N638">
        <f>HOUR(M638)</f>
        <v>0</v>
      </c>
      <c r="O638">
        <f>MINUTE(M638)</f>
        <v>25</v>
      </c>
      <c r="P638">
        <f>N638*60+O638</f>
        <v>25</v>
      </c>
      <c r="Q638" s="7">
        <f>G638-F638</f>
        <v>4.8611111124046147E-3</v>
      </c>
      <c r="R638">
        <f>HOUR(Q638)</f>
        <v>0</v>
      </c>
      <c r="S638">
        <f>MINUTE(Q638)</f>
        <v>7</v>
      </c>
      <c r="T638">
        <f>R638*60+S638</f>
        <v>7</v>
      </c>
      <c r="U638" s="7">
        <f>H638-G638</f>
        <v>1.3888888883229811E-2</v>
      </c>
      <c r="V638">
        <f>HOUR(U638)</f>
        <v>0</v>
      </c>
      <c r="W638">
        <f>MINUTE(U638)</f>
        <v>20</v>
      </c>
      <c r="X638">
        <f>V638*60+W638</f>
        <v>20</v>
      </c>
      <c r="Y638" s="7">
        <f>I638-H638</f>
        <v>6.9444444452528842E-3</v>
      </c>
      <c r="Z638">
        <f>HOUR(Y638)</f>
        <v>0</v>
      </c>
      <c r="AA638">
        <f>MINUTE(Y638)</f>
        <v>10</v>
      </c>
      <c r="AB638">
        <f>Z638*60+AA638</f>
        <v>10</v>
      </c>
    </row>
    <row r="639" spans="1:28" x14ac:dyDescent="0.25">
      <c r="A639">
        <v>637</v>
      </c>
      <c r="B639" t="s">
        <v>33</v>
      </c>
      <c r="C639">
        <v>1</v>
      </c>
      <c r="D639" t="s">
        <v>34</v>
      </c>
      <c r="E639" s="6">
        <v>46067.363888888889</v>
      </c>
      <c r="F639" s="6">
        <v>46067.370138888888</v>
      </c>
      <c r="G639" s="6">
        <v>46067.381944444445</v>
      </c>
      <c r="H639" s="6">
        <v>46067.414583333331</v>
      </c>
      <c r="I639" s="6">
        <v>46067.421527777777</v>
      </c>
      <c r="J639" s="6">
        <v>46067.423611111109</v>
      </c>
      <c r="K639">
        <v>1.43</v>
      </c>
      <c r="L639" s="6">
        <v>46067.430555555555</v>
      </c>
      <c r="M639" s="7">
        <f>F639-E639</f>
        <v>6.2499999985448085E-3</v>
      </c>
      <c r="N639">
        <f>HOUR(M639)</f>
        <v>0</v>
      </c>
      <c r="O639">
        <f>MINUTE(M639)</f>
        <v>9</v>
      </c>
      <c r="P639">
        <f>N639*60+O639</f>
        <v>9</v>
      </c>
      <c r="Q639" s="7">
        <f>G639-F639</f>
        <v>1.1805555557657499E-2</v>
      </c>
      <c r="R639">
        <f>HOUR(Q639)</f>
        <v>0</v>
      </c>
      <c r="S639">
        <f>MINUTE(Q639)</f>
        <v>17</v>
      </c>
      <c r="T639">
        <f>R639*60+S639</f>
        <v>17</v>
      </c>
      <c r="U639" s="7">
        <f>H639-G639</f>
        <v>3.2638888886140194E-2</v>
      </c>
      <c r="V639">
        <f>HOUR(U639)</f>
        <v>0</v>
      </c>
      <c r="W639">
        <f>MINUTE(U639)</f>
        <v>47</v>
      </c>
      <c r="X639">
        <f>V639*60+W639</f>
        <v>47</v>
      </c>
      <c r="Y639" s="7">
        <f>I639-H639</f>
        <v>6.9444444452528842E-3</v>
      </c>
      <c r="Z639">
        <f>HOUR(Y639)</f>
        <v>0</v>
      </c>
      <c r="AA639">
        <f>MINUTE(Y639)</f>
        <v>10</v>
      </c>
      <c r="AB639">
        <f>Z639*60+AA639</f>
        <v>10</v>
      </c>
    </row>
    <row r="640" spans="1:28" x14ac:dyDescent="0.25">
      <c r="A640">
        <v>638</v>
      </c>
      <c r="B640" t="s">
        <v>33</v>
      </c>
      <c r="C640">
        <v>1</v>
      </c>
      <c r="D640" t="s">
        <v>37</v>
      </c>
      <c r="E640" s="6">
        <v>46067.472222222219</v>
      </c>
      <c r="F640" s="6">
        <v>46067.475694444445</v>
      </c>
      <c r="G640" s="6">
        <v>46067.479166666664</v>
      </c>
      <c r="H640" s="6">
        <v>46067.541666666664</v>
      </c>
      <c r="I640" s="6">
        <v>46067.545138888891</v>
      </c>
      <c r="J640" s="6">
        <v>46067.548611111109</v>
      </c>
      <c r="K640">
        <v>1.83</v>
      </c>
      <c r="L640" s="6">
        <v>46067.552083333336</v>
      </c>
      <c r="M640" s="7">
        <f>F640-E640</f>
        <v>3.4722222262644209E-3</v>
      </c>
      <c r="N640">
        <f>HOUR(M640)</f>
        <v>0</v>
      </c>
      <c r="O640">
        <f>MINUTE(M640)</f>
        <v>5</v>
      </c>
      <c r="P640">
        <f>N640*60+O640</f>
        <v>5</v>
      </c>
      <c r="Q640" s="7">
        <f>G640-F640</f>
        <v>3.4722222189884633E-3</v>
      </c>
      <c r="R640">
        <f>HOUR(Q640)</f>
        <v>0</v>
      </c>
      <c r="S640">
        <f>MINUTE(Q640)</f>
        <v>5</v>
      </c>
      <c r="T640">
        <f>R640*60+S640</f>
        <v>5</v>
      </c>
      <c r="U640" s="7">
        <f>H640-G640</f>
        <v>6.25E-2</v>
      </c>
      <c r="V640">
        <f>HOUR(U640)</f>
        <v>1</v>
      </c>
      <c r="W640">
        <f>MINUTE(U640)</f>
        <v>30</v>
      </c>
      <c r="X640">
        <f>V640*60+W640</f>
        <v>90</v>
      </c>
      <c r="Y640" s="7">
        <f>I640-H640</f>
        <v>3.4722222262644209E-3</v>
      </c>
      <c r="Z640">
        <f>HOUR(Y640)</f>
        <v>0</v>
      </c>
      <c r="AA640">
        <f>MINUTE(Y640)</f>
        <v>5</v>
      </c>
      <c r="AB640">
        <f>Z640*60+AA640</f>
        <v>5</v>
      </c>
    </row>
    <row r="641" spans="1:28" x14ac:dyDescent="0.25">
      <c r="A641">
        <v>639</v>
      </c>
      <c r="B641" t="s">
        <v>31</v>
      </c>
      <c r="C641">
        <v>1</v>
      </c>
      <c r="D641" t="s">
        <v>36</v>
      </c>
      <c r="E641" s="6">
        <v>46067.354166666664</v>
      </c>
      <c r="F641" s="6">
        <v>46067.361111111109</v>
      </c>
      <c r="G641" s="6">
        <v>46067.375</v>
      </c>
      <c r="H641" s="6">
        <v>46067.409722222219</v>
      </c>
      <c r="I641" s="6">
        <v>46067.416666666664</v>
      </c>
      <c r="J641" s="6">
        <v>46067.427083333336</v>
      </c>
      <c r="K641">
        <v>1.75</v>
      </c>
      <c r="L641" s="6">
        <v>46067.434027777781</v>
      </c>
      <c r="M641" s="7">
        <f>F641-E641</f>
        <v>6.9444444452528842E-3</v>
      </c>
      <c r="N641">
        <f>HOUR(M641)</f>
        <v>0</v>
      </c>
      <c r="O641">
        <f>MINUTE(M641)</f>
        <v>10</v>
      </c>
      <c r="P641">
        <f>N641*60+O641</f>
        <v>10</v>
      </c>
      <c r="Q641" s="7">
        <f>G641-F641</f>
        <v>1.3888888890505768E-2</v>
      </c>
      <c r="R641">
        <f>HOUR(Q641)</f>
        <v>0</v>
      </c>
      <c r="S641">
        <f>MINUTE(Q641)</f>
        <v>20</v>
      </c>
      <c r="T641">
        <f>R641*60+S641</f>
        <v>20</v>
      </c>
      <c r="U641" s="7">
        <f>H641-G641</f>
        <v>3.4722222218988463E-2</v>
      </c>
      <c r="V641">
        <f>HOUR(U641)</f>
        <v>0</v>
      </c>
      <c r="W641">
        <f>MINUTE(U641)</f>
        <v>50</v>
      </c>
      <c r="X641">
        <f>V641*60+W641</f>
        <v>50</v>
      </c>
      <c r="Y641" s="7">
        <f>I641-H641</f>
        <v>6.9444444452528842E-3</v>
      </c>
      <c r="Z641">
        <f>HOUR(Y641)</f>
        <v>0</v>
      </c>
      <c r="AA641">
        <f>MINUTE(Y641)</f>
        <v>10</v>
      </c>
      <c r="AB641">
        <f>Z641*60+AA641</f>
        <v>10</v>
      </c>
    </row>
    <row r="642" spans="1:28" x14ac:dyDescent="0.25">
      <c r="A642">
        <v>640</v>
      </c>
      <c r="B642" t="s">
        <v>29</v>
      </c>
      <c r="C642">
        <v>1</v>
      </c>
      <c r="D642" t="s">
        <v>36</v>
      </c>
      <c r="E642" s="6">
        <v>46069.288194444445</v>
      </c>
      <c r="F642" s="6">
        <v>46069.319444444445</v>
      </c>
      <c r="G642" s="6">
        <v>46069.340277777781</v>
      </c>
      <c r="H642" s="6">
        <v>46069.451388888891</v>
      </c>
      <c r="I642" s="6">
        <v>46069.458333333336</v>
      </c>
      <c r="J642" s="6">
        <v>46069.465277777781</v>
      </c>
      <c r="K642">
        <v>4.25</v>
      </c>
      <c r="L642" s="6">
        <v>46069.472222222219</v>
      </c>
      <c r="M642" s="7">
        <f>F642-E642</f>
        <v>3.125E-2</v>
      </c>
      <c r="N642">
        <f>HOUR(M642)</f>
        <v>0</v>
      </c>
      <c r="O642">
        <f>MINUTE(M642)</f>
        <v>45</v>
      </c>
      <c r="P642">
        <f>N642*60+O642</f>
        <v>45</v>
      </c>
      <c r="Q642" s="7">
        <f>G642-F642</f>
        <v>2.0833333335758653E-2</v>
      </c>
      <c r="R642">
        <f>HOUR(Q642)</f>
        <v>0</v>
      </c>
      <c r="S642">
        <f>MINUTE(Q642)</f>
        <v>30</v>
      </c>
      <c r="T642">
        <f>R642*60+S642</f>
        <v>30</v>
      </c>
      <c r="U642" s="7">
        <f>H642-G642</f>
        <v>0.11111111110949423</v>
      </c>
      <c r="V642">
        <f>HOUR(U642)</f>
        <v>2</v>
      </c>
      <c r="W642">
        <f>MINUTE(U642)</f>
        <v>40</v>
      </c>
      <c r="X642">
        <f>V642*60+W642</f>
        <v>160</v>
      </c>
      <c r="Y642" s="7">
        <f>I642-H642</f>
        <v>6.9444444452528842E-3</v>
      </c>
      <c r="Z642">
        <f>HOUR(Y642)</f>
        <v>0</v>
      </c>
      <c r="AA642">
        <f>MINUTE(Y642)</f>
        <v>10</v>
      </c>
      <c r="AB642">
        <f>Z642*60+AA642</f>
        <v>10</v>
      </c>
    </row>
    <row r="643" spans="1:28" x14ac:dyDescent="0.25">
      <c r="A643">
        <v>641</v>
      </c>
      <c r="B643" t="s">
        <v>29</v>
      </c>
      <c r="C643">
        <v>1</v>
      </c>
      <c r="D643" t="s">
        <v>32</v>
      </c>
      <c r="E643" s="6">
        <v>46069.510416666664</v>
      </c>
      <c r="F643" s="6">
        <v>46069.520833333336</v>
      </c>
      <c r="G643" s="6">
        <v>46069.5625</v>
      </c>
      <c r="H643" s="6">
        <v>46069.625</v>
      </c>
      <c r="I643" s="6">
        <v>46069.635416666664</v>
      </c>
      <c r="J643" s="6">
        <v>46069.666666666664</v>
      </c>
      <c r="K643">
        <v>3.75</v>
      </c>
      <c r="L643" s="6">
        <v>46069.673611111109</v>
      </c>
      <c r="M643" s="7">
        <f>F643-E643</f>
        <v>1.0416666671517305E-2</v>
      </c>
      <c r="N643">
        <f>HOUR(M643)</f>
        <v>0</v>
      </c>
      <c r="O643">
        <f>MINUTE(M643)</f>
        <v>15</v>
      </c>
      <c r="P643">
        <f>N643*60+O643</f>
        <v>15</v>
      </c>
      <c r="Q643" s="7">
        <f>G643-F643</f>
        <v>4.1666666664241347E-2</v>
      </c>
      <c r="R643">
        <f>HOUR(Q643)</f>
        <v>1</v>
      </c>
      <c r="S643">
        <f>MINUTE(Q643)</f>
        <v>0</v>
      </c>
      <c r="T643">
        <f>R643*60+S643</f>
        <v>60</v>
      </c>
      <c r="U643" s="7">
        <f>H643-G643</f>
        <v>6.25E-2</v>
      </c>
      <c r="V643">
        <f>HOUR(U643)</f>
        <v>1</v>
      </c>
      <c r="W643">
        <f>MINUTE(U643)</f>
        <v>30</v>
      </c>
      <c r="X643">
        <f>V643*60+W643</f>
        <v>90</v>
      </c>
      <c r="Y643" s="7">
        <f>I643-H643</f>
        <v>1.0416666664241347E-2</v>
      </c>
      <c r="Z643">
        <f>HOUR(Y643)</f>
        <v>0</v>
      </c>
      <c r="AA643">
        <f>MINUTE(Y643)</f>
        <v>15</v>
      </c>
      <c r="AB643">
        <f>Z643*60+AA643</f>
        <v>15</v>
      </c>
    </row>
    <row r="644" spans="1:28" x14ac:dyDescent="0.25">
      <c r="A644">
        <v>642</v>
      </c>
      <c r="B644" t="s">
        <v>29</v>
      </c>
      <c r="C644">
        <v>1</v>
      </c>
      <c r="D644" t="s">
        <v>32</v>
      </c>
      <c r="E644" s="6">
        <v>46069.291666666664</v>
      </c>
      <c r="F644" s="6">
        <v>46069.322916666664</v>
      </c>
      <c r="G644" s="6">
        <v>46069.34375</v>
      </c>
      <c r="H644" s="6">
        <v>46069.4375</v>
      </c>
      <c r="I644" s="6">
        <v>46069.444444444445</v>
      </c>
      <c r="J644" s="6">
        <v>46069.451388888891</v>
      </c>
      <c r="K644">
        <v>3.83</v>
      </c>
      <c r="L644" s="6">
        <v>46069.458333333336</v>
      </c>
      <c r="M644" s="7">
        <f>F644-E644</f>
        <v>3.125E-2</v>
      </c>
      <c r="N644">
        <f>HOUR(M644)</f>
        <v>0</v>
      </c>
      <c r="O644">
        <f>MINUTE(M644)</f>
        <v>45</v>
      </c>
      <c r="P644">
        <f>N644*60+O644</f>
        <v>45</v>
      </c>
      <c r="Q644" s="7">
        <f>G644-F644</f>
        <v>2.0833333335758653E-2</v>
      </c>
      <c r="R644">
        <f>HOUR(Q644)</f>
        <v>0</v>
      </c>
      <c r="S644">
        <f>MINUTE(Q644)</f>
        <v>30</v>
      </c>
      <c r="T644">
        <f>R644*60+S644</f>
        <v>30</v>
      </c>
      <c r="U644" s="7">
        <f>H644-G644</f>
        <v>9.375E-2</v>
      </c>
      <c r="V644">
        <f>HOUR(U644)</f>
        <v>2</v>
      </c>
      <c r="W644">
        <f>MINUTE(U644)</f>
        <v>15</v>
      </c>
      <c r="X644">
        <f>V644*60+W644</f>
        <v>135</v>
      </c>
      <c r="Y644" s="7">
        <f>I644-H644</f>
        <v>6.9444444452528842E-3</v>
      </c>
      <c r="Z644">
        <f>HOUR(Y644)</f>
        <v>0</v>
      </c>
      <c r="AA644">
        <f>MINUTE(Y644)</f>
        <v>10</v>
      </c>
      <c r="AB644">
        <f>Z644*60+AA644</f>
        <v>10</v>
      </c>
    </row>
    <row r="645" spans="1:28" x14ac:dyDescent="0.25">
      <c r="A645">
        <v>643</v>
      </c>
      <c r="B645" t="s">
        <v>29</v>
      </c>
      <c r="C645">
        <v>1</v>
      </c>
      <c r="D645" t="s">
        <v>30</v>
      </c>
      <c r="E645" s="6">
        <v>46067.520833333336</v>
      </c>
      <c r="F645" s="6">
        <v>46067.53125</v>
      </c>
      <c r="G645" s="6">
        <v>46067.534722222219</v>
      </c>
      <c r="H645" s="6">
        <v>46067.545138888891</v>
      </c>
      <c r="I645" s="6">
        <v>46067.552083333336</v>
      </c>
      <c r="J645" s="6">
        <v>46067.555555555555</v>
      </c>
      <c r="K645">
        <v>0.83</v>
      </c>
      <c r="L645" s="6">
        <v>46067.5625</v>
      </c>
      <c r="M645" s="7">
        <f>F645-E645</f>
        <v>1.0416666664241347E-2</v>
      </c>
      <c r="N645">
        <f>HOUR(M645)</f>
        <v>0</v>
      </c>
      <c r="O645">
        <f>MINUTE(M645)</f>
        <v>15</v>
      </c>
      <c r="P645">
        <f>N645*60+O645</f>
        <v>15</v>
      </c>
      <c r="Q645" s="7">
        <f>G645-F645</f>
        <v>3.4722222189884633E-3</v>
      </c>
      <c r="R645">
        <f>HOUR(Q645)</f>
        <v>0</v>
      </c>
      <c r="S645">
        <f>MINUTE(Q645)</f>
        <v>5</v>
      </c>
      <c r="T645">
        <f>R645*60+S645</f>
        <v>5</v>
      </c>
      <c r="U645" s="7">
        <f>H645-G645</f>
        <v>1.0416666671517305E-2</v>
      </c>
      <c r="V645">
        <f>HOUR(U645)</f>
        <v>0</v>
      </c>
      <c r="W645">
        <f>MINUTE(U645)</f>
        <v>15</v>
      </c>
      <c r="X645">
        <f>V645*60+W645</f>
        <v>15</v>
      </c>
      <c r="Y645" s="7">
        <f>I645-H645</f>
        <v>6.9444444452528842E-3</v>
      </c>
      <c r="Z645">
        <f>HOUR(Y645)</f>
        <v>0</v>
      </c>
      <c r="AA645">
        <f>MINUTE(Y645)</f>
        <v>10</v>
      </c>
      <c r="AB645">
        <f>Z645*60+AA645</f>
        <v>10</v>
      </c>
    </row>
    <row r="646" spans="1:28" x14ac:dyDescent="0.25">
      <c r="A646">
        <v>644</v>
      </c>
      <c r="B646" t="s">
        <v>31</v>
      </c>
      <c r="C646">
        <v>1</v>
      </c>
      <c r="D646" t="s">
        <v>30</v>
      </c>
      <c r="E646" s="6">
        <v>46066.902777777781</v>
      </c>
      <c r="F646" s="6">
        <v>46066.909722222219</v>
      </c>
      <c r="G646" s="6">
        <v>46066.916666666664</v>
      </c>
      <c r="H646" s="6">
        <v>46066.965277777781</v>
      </c>
      <c r="I646" s="6">
        <v>46066.966666666667</v>
      </c>
      <c r="J646" s="6">
        <v>46066.96875</v>
      </c>
      <c r="K646">
        <v>1.58</v>
      </c>
      <c r="L646" s="6">
        <v>46066.975694444445</v>
      </c>
      <c r="M646" s="7">
        <f>F646-E646</f>
        <v>6.9444444379769266E-3</v>
      </c>
      <c r="N646">
        <f>HOUR(M646)</f>
        <v>0</v>
      </c>
      <c r="O646">
        <f>MINUTE(M646)</f>
        <v>10</v>
      </c>
      <c r="P646">
        <f>N646*60+O646</f>
        <v>10</v>
      </c>
      <c r="Q646" s="7">
        <f>G646-F646</f>
        <v>6.9444444452528842E-3</v>
      </c>
      <c r="R646">
        <f>HOUR(Q646)</f>
        <v>0</v>
      </c>
      <c r="S646">
        <f>MINUTE(Q646)</f>
        <v>10</v>
      </c>
      <c r="T646">
        <f>R646*60+S646</f>
        <v>10</v>
      </c>
      <c r="U646" s="7">
        <f>H646-G646</f>
        <v>4.8611111116770189E-2</v>
      </c>
      <c r="V646">
        <f>HOUR(U646)</f>
        <v>1</v>
      </c>
      <c r="W646">
        <f>MINUTE(U646)</f>
        <v>10</v>
      </c>
      <c r="X646">
        <f>V646*60+W646</f>
        <v>70</v>
      </c>
      <c r="Y646" s="7">
        <f>I646-H646</f>
        <v>1.3888888861401938E-3</v>
      </c>
      <c r="Z646">
        <f>HOUR(Y646)</f>
        <v>0</v>
      </c>
      <c r="AA646">
        <f>MINUTE(Y646)</f>
        <v>2</v>
      </c>
      <c r="AB646">
        <f>Z646*60+AA646</f>
        <v>2</v>
      </c>
    </row>
    <row r="647" spans="1:28" x14ac:dyDescent="0.25">
      <c r="A647">
        <v>645</v>
      </c>
      <c r="B647" t="s">
        <v>31</v>
      </c>
      <c r="C647">
        <v>1</v>
      </c>
      <c r="D647" t="s">
        <v>35</v>
      </c>
      <c r="E647" s="6">
        <v>46067.229166666664</v>
      </c>
      <c r="F647" s="6">
        <v>46067.236111111109</v>
      </c>
      <c r="G647" s="6">
        <v>46067.243055555555</v>
      </c>
      <c r="H647" s="6">
        <v>46067.489583333336</v>
      </c>
      <c r="I647" s="6">
        <v>46067.729166666664</v>
      </c>
      <c r="J647" s="6">
        <v>46067.736111111109</v>
      </c>
      <c r="K647">
        <v>12.17</v>
      </c>
      <c r="L647" s="6">
        <v>46067.743055555555</v>
      </c>
      <c r="M647" s="7">
        <f>F647-E647</f>
        <v>6.9444444452528842E-3</v>
      </c>
      <c r="N647">
        <f>HOUR(M647)</f>
        <v>0</v>
      </c>
      <c r="O647">
        <f>MINUTE(M647)</f>
        <v>10</v>
      </c>
      <c r="P647">
        <f>N647*60+O647</f>
        <v>10</v>
      </c>
      <c r="Q647" s="7">
        <f>G647-F647</f>
        <v>6.9444444452528842E-3</v>
      </c>
      <c r="R647">
        <f>HOUR(Q647)</f>
        <v>0</v>
      </c>
      <c r="S647">
        <f>MINUTE(Q647)</f>
        <v>10</v>
      </c>
      <c r="T647">
        <f>R647*60+S647</f>
        <v>10</v>
      </c>
      <c r="U647" s="7">
        <f>H647-G647</f>
        <v>0.24652777778101154</v>
      </c>
      <c r="V647">
        <f>HOUR(U647)</f>
        <v>5</v>
      </c>
      <c r="W647">
        <f>MINUTE(U647)</f>
        <v>55</v>
      </c>
      <c r="X647">
        <f>V647*60+W647</f>
        <v>355</v>
      </c>
      <c r="Y647" s="7">
        <f>I647-H647</f>
        <v>0.23958333332848269</v>
      </c>
      <c r="Z647">
        <f>HOUR(Y647)</f>
        <v>5</v>
      </c>
      <c r="AA647">
        <f>MINUTE(Y647)</f>
        <v>45</v>
      </c>
      <c r="AB647">
        <f>Z647*60+AA647</f>
        <v>345</v>
      </c>
    </row>
    <row r="648" spans="1:28" x14ac:dyDescent="0.25">
      <c r="A648">
        <v>646</v>
      </c>
      <c r="B648" t="s">
        <v>31</v>
      </c>
      <c r="C648">
        <v>1</v>
      </c>
      <c r="D648" t="s">
        <v>35</v>
      </c>
      <c r="E648" s="6">
        <v>46067.229166666664</v>
      </c>
      <c r="F648" s="6">
        <v>46067.236111111109</v>
      </c>
      <c r="G648" s="6">
        <v>46067.243055555555</v>
      </c>
      <c r="H648" s="6">
        <v>46067.489583333336</v>
      </c>
      <c r="I648" s="6">
        <v>46067.729166666664</v>
      </c>
      <c r="J648" s="6">
        <v>46067.736111111109</v>
      </c>
      <c r="K648">
        <v>12.17</v>
      </c>
      <c r="L648" s="6">
        <v>46067.743055555555</v>
      </c>
      <c r="M648" s="7">
        <f>F648-E648</f>
        <v>6.9444444452528842E-3</v>
      </c>
      <c r="N648">
        <f>HOUR(M648)</f>
        <v>0</v>
      </c>
      <c r="O648">
        <f>MINUTE(M648)</f>
        <v>10</v>
      </c>
      <c r="P648">
        <f>N648*60+O648</f>
        <v>10</v>
      </c>
      <c r="Q648" s="7">
        <f>G648-F648</f>
        <v>6.9444444452528842E-3</v>
      </c>
      <c r="R648">
        <f>HOUR(Q648)</f>
        <v>0</v>
      </c>
      <c r="S648">
        <f>MINUTE(Q648)</f>
        <v>10</v>
      </c>
      <c r="T648">
        <f>R648*60+S648</f>
        <v>10</v>
      </c>
      <c r="U648" s="7">
        <f>H648-G648</f>
        <v>0.24652777778101154</v>
      </c>
      <c r="V648">
        <f>HOUR(U648)</f>
        <v>5</v>
      </c>
      <c r="W648">
        <f>MINUTE(U648)</f>
        <v>55</v>
      </c>
      <c r="X648">
        <f>V648*60+W648</f>
        <v>355</v>
      </c>
      <c r="Y648" s="7">
        <f>I648-H648</f>
        <v>0.23958333332848269</v>
      </c>
      <c r="Z648">
        <f>HOUR(Y648)</f>
        <v>5</v>
      </c>
      <c r="AA648">
        <f>MINUTE(Y648)</f>
        <v>45</v>
      </c>
      <c r="AB648">
        <f>Z648*60+AA648</f>
        <v>345</v>
      </c>
    </row>
    <row r="649" spans="1:28" x14ac:dyDescent="0.25">
      <c r="A649">
        <v>647</v>
      </c>
      <c r="B649" t="s">
        <v>33</v>
      </c>
      <c r="C649">
        <v>1</v>
      </c>
      <c r="D649" t="s">
        <v>30</v>
      </c>
      <c r="E649" s="6">
        <v>46067.458333333336</v>
      </c>
      <c r="F649" s="6">
        <v>46067.465277777781</v>
      </c>
      <c r="G649" s="6">
        <v>46067.479166666664</v>
      </c>
      <c r="H649" s="6">
        <v>46067.510416666664</v>
      </c>
      <c r="I649" s="6">
        <v>46067.517361111109</v>
      </c>
      <c r="J649" s="6">
        <v>46067.527777777781</v>
      </c>
      <c r="K649">
        <v>1.67</v>
      </c>
      <c r="L649" s="6">
        <v>46067.534722222219</v>
      </c>
      <c r="M649" s="7">
        <f>F649-E649</f>
        <v>6.9444444452528842E-3</v>
      </c>
      <c r="N649">
        <f>HOUR(M649)</f>
        <v>0</v>
      </c>
      <c r="O649">
        <f>MINUTE(M649)</f>
        <v>10</v>
      </c>
      <c r="P649">
        <f>N649*60+O649</f>
        <v>10</v>
      </c>
      <c r="Q649" s="7">
        <f>G649-F649</f>
        <v>1.3888888883229811E-2</v>
      </c>
      <c r="R649">
        <f>HOUR(Q649)</f>
        <v>0</v>
      </c>
      <c r="S649">
        <f>MINUTE(Q649)</f>
        <v>20</v>
      </c>
      <c r="T649">
        <f>R649*60+S649</f>
        <v>20</v>
      </c>
      <c r="U649" s="7">
        <f>H649-G649</f>
        <v>3.125E-2</v>
      </c>
      <c r="V649">
        <f>HOUR(U649)</f>
        <v>0</v>
      </c>
      <c r="W649">
        <f>MINUTE(U649)</f>
        <v>45</v>
      </c>
      <c r="X649">
        <f>V649*60+W649</f>
        <v>45</v>
      </c>
      <c r="Y649" s="7">
        <f>I649-H649</f>
        <v>6.9444444452528842E-3</v>
      </c>
      <c r="Z649">
        <f>HOUR(Y649)</f>
        <v>0</v>
      </c>
      <c r="AA649">
        <f>MINUTE(Y649)</f>
        <v>10</v>
      </c>
      <c r="AB649">
        <f>Z649*60+AA649</f>
        <v>10</v>
      </c>
    </row>
    <row r="650" spans="1:28" x14ac:dyDescent="0.25">
      <c r="A650">
        <v>648</v>
      </c>
      <c r="B650" t="s">
        <v>31</v>
      </c>
      <c r="C650">
        <v>1</v>
      </c>
      <c r="D650" t="s">
        <v>30</v>
      </c>
      <c r="E650" s="6">
        <v>46067.690972222219</v>
      </c>
      <c r="F650" s="6">
        <v>46067.708333333336</v>
      </c>
      <c r="G650" s="6">
        <v>46067.722916666666</v>
      </c>
      <c r="H650" s="6">
        <v>46067.791666666664</v>
      </c>
      <c r="I650" s="6">
        <v>46067.798611111109</v>
      </c>
      <c r="J650" s="6">
        <v>46067.8125</v>
      </c>
      <c r="K650">
        <v>2.92</v>
      </c>
      <c r="L650" s="6">
        <v>46067.819444444445</v>
      </c>
      <c r="M650" s="7">
        <f>F650-E650</f>
        <v>1.7361111116770189E-2</v>
      </c>
      <c r="N650">
        <f>HOUR(M650)</f>
        <v>0</v>
      </c>
      <c r="O650">
        <f>MINUTE(M650)</f>
        <v>25</v>
      </c>
      <c r="P650">
        <f>N650*60+O650</f>
        <v>25</v>
      </c>
      <c r="Q650" s="7">
        <f>G650-F650</f>
        <v>1.4583333329937886E-2</v>
      </c>
      <c r="R650">
        <f>HOUR(Q650)</f>
        <v>0</v>
      </c>
      <c r="S650">
        <f>MINUTE(Q650)</f>
        <v>21</v>
      </c>
      <c r="T650">
        <f>R650*60+S650</f>
        <v>21</v>
      </c>
      <c r="U650" s="7">
        <f>H650-G650</f>
        <v>6.8749999998544808E-2</v>
      </c>
      <c r="V650">
        <f>HOUR(U650)</f>
        <v>1</v>
      </c>
      <c r="W650">
        <f>MINUTE(U650)</f>
        <v>39</v>
      </c>
      <c r="X650">
        <f>V650*60+W650</f>
        <v>99</v>
      </c>
      <c r="Y650" s="7">
        <f>I650-H650</f>
        <v>6.9444444452528842E-3</v>
      </c>
      <c r="Z650">
        <f>HOUR(Y650)</f>
        <v>0</v>
      </c>
      <c r="AA650">
        <f>MINUTE(Y650)</f>
        <v>10</v>
      </c>
      <c r="AB650">
        <f>Z650*60+AA650</f>
        <v>10</v>
      </c>
    </row>
    <row r="651" spans="1:28" x14ac:dyDescent="0.25">
      <c r="A651">
        <v>649</v>
      </c>
      <c r="B651" t="s">
        <v>31</v>
      </c>
      <c r="C651">
        <v>1</v>
      </c>
      <c r="D651" t="s">
        <v>30</v>
      </c>
      <c r="E651" s="6">
        <v>46067.611111111109</v>
      </c>
      <c r="F651" s="6">
        <v>46067.618055555555</v>
      </c>
      <c r="G651" s="6">
        <v>46067.628472222219</v>
      </c>
      <c r="H651" s="6">
        <v>46067.722222222219</v>
      </c>
      <c r="I651" s="6">
        <v>46067.729166666664</v>
      </c>
      <c r="J651" s="6">
        <v>46067.770833333336</v>
      </c>
      <c r="K651">
        <v>3.83</v>
      </c>
      <c r="L651" s="6">
        <v>46067.774305555555</v>
      </c>
      <c r="M651" s="7">
        <f>F651-E651</f>
        <v>6.9444444452528842E-3</v>
      </c>
      <c r="N651">
        <f>HOUR(M651)</f>
        <v>0</v>
      </c>
      <c r="O651">
        <f>MINUTE(M651)</f>
        <v>10</v>
      </c>
      <c r="P651">
        <f>N651*60+O651</f>
        <v>10</v>
      </c>
      <c r="Q651" s="7">
        <f>G651-F651</f>
        <v>1.0416666664241347E-2</v>
      </c>
      <c r="R651">
        <f>HOUR(Q651)</f>
        <v>0</v>
      </c>
      <c r="S651">
        <f>MINUTE(Q651)</f>
        <v>15</v>
      </c>
      <c r="T651">
        <f>R651*60+S651</f>
        <v>15</v>
      </c>
      <c r="U651" s="7">
        <f>H651-G651</f>
        <v>9.375E-2</v>
      </c>
      <c r="V651">
        <f>HOUR(U651)</f>
        <v>2</v>
      </c>
      <c r="W651">
        <f>MINUTE(U651)</f>
        <v>15</v>
      </c>
      <c r="X651">
        <f>V651*60+W651</f>
        <v>135</v>
      </c>
      <c r="Y651" s="7">
        <f>I651-H651</f>
        <v>6.9444444452528842E-3</v>
      </c>
      <c r="Z651">
        <f>HOUR(Y651)</f>
        <v>0</v>
      </c>
      <c r="AA651">
        <f>MINUTE(Y651)</f>
        <v>10</v>
      </c>
      <c r="AB651">
        <f>Z651*60+AA651</f>
        <v>10</v>
      </c>
    </row>
    <row r="652" spans="1:28" x14ac:dyDescent="0.25">
      <c r="A652">
        <v>650</v>
      </c>
      <c r="B652" t="s">
        <v>33</v>
      </c>
      <c r="C652">
        <v>1</v>
      </c>
      <c r="D652" t="s">
        <v>37</v>
      </c>
      <c r="E652" s="6">
        <v>46072.511805555558</v>
      </c>
      <c r="F652" s="6">
        <v>46072.517361111109</v>
      </c>
      <c r="G652" s="6">
        <v>46072.618055555555</v>
      </c>
      <c r="H652" s="6">
        <v>46072.708333333336</v>
      </c>
      <c r="I652" s="6">
        <v>46072.753472222219</v>
      </c>
      <c r="J652" s="6">
        <v>46072.760416666664</v>
      </c>
      <c r="K652">
        <v>5.97</v>
      </c>
      <c r="L652" s="6">
        <v>46072.767361111109</v>
      </c>
      <c r="M652" s="7">
        <f>F652-E652</f>
        <v>5.5555555518367328E-3</v>
      </c>
      <c r="N652">
        <f>HOUR(M652)</f>
        <v>0</v>
      </c>
      <c r="O652">
        <f>MINUTE(M652)</f>
        <v>8</v>
      </c>
      <c r="P652">
        <f>N652*60+O652</f>
        <v>8</v>
      </c>
      <c r="Q652" s="7">
        <f>G652-F652</f>
        <v>0.10069444444525288</v>
      </c>
      <c r="R652">
        <f>HOUR(Q652)</f>
        <v>2</v>
      </c>
      <c r="S652">
        <f>MINUTE(Q652)</f>
        <v>25</v>
      </c>
      <c r="T652">
        <f>R652*60+S652</f>
        <v>145</v>
      </c>
      <c r="U652" s="7">
        <f>H652-G652</f>
        <v>9.0277777781011537E-2</v>
      </c>
      <c r="V652">
        <f>HOUR(U652)</f>
        <v>2</v>
      </c>
      <c r="W652">
        <f>MINUTE(U652)</f>
        <v>10</v>
      </c>
      <c r="X652">
        <f>V652*60+W652</f>
        <v>130</v>
      </c>
      <c r="Y652" s="7">
        <f>I652-H652</f>
        <v>4.5138888883229811E-2</v>
      </c>
      <c r="Z652">
        <f>HOUR(Y652)</f>
        <v>1</v>
      </c>
      <c r="AA652">
        <f>MINUTE(Y652)</f>
        <v>5</v>
      </c>
      <c r="AB652">
        <f>Z652*60+AA652</f>
        <v>65</v>
      </c>
    </row>
    <row r="653" spans="1:28" x14ac:dyDescent="0.25">
      <c r="A653">
        <v>651</v>
      </c>
      <c r="B653" t="s">
        <v>33</v>
      </c>
      <c r="C653">
        <v>1</v>
      </c>
      <c r="D653" t="s">
        <v>35</v>
      </c>
      <c r="E653" s="6">
        <v>46068.364583333336</v>
      </c>
      <c r="F653" s="6">
        <v>46068.375</v>
      </c>
      <c r="G653" s="6">
        <v>46068.388888888891</v>
      </c>
      <c r="H653" s="6">
        <v>46068.409722222219</v>
      </c>
      <c r="I653" s="6">
        <v>46068.416666666664</v>
      </c>
      <c r="J653" s="6">
        <v>46068.418055555558</v>
      </c>
      <c r="K653">
        <v>1.28</v>
      </c>
      <c r="L653" s="6">
        <v>46068.425000000003</v>
      </c>
      <c r="M653" s="7">
        <f>F653-E653</f>
        <v>1.0416666664241347E-2</v>
      </c>
      <c r="N653">
        <f>HOUR(M653)</f>
        <v>0</v>
      </c>
      <c r="O653">
        <f>MINUTE(M653)</f>
        <v>15</v>
      </c>
      <c r="P653">
        <f>N653*60+O653</f>
        <v>15</v>
      </c>
      <c r="Q653" s="7">
        <f>G653-F653</f>
        <v>1.3888888890505768E-2</v>
      </c>
      <c r="R653">
        <f>HOUR(Q653)</f>
        <v>0</v>
      </c>
      <c r="S653">
        <f>MINUTE(Q653)</f>
        <v>20</v>
      </c>
      <c r="T653">
        <f>R653*60+S653</f>
        <v>20</v>
      </c>
      <c r="U653" s="7">
        <f>H653-G653</f>
        <v>2.0833333328482695E-2</v>
      </c>
      <c r="V653">
        <f>HOUR(U653)</f>
        <v>0</v>
      </c>
      <c r="W653">
        <f>MINUTE(U653)</f>
        <v>30</v>
      </c>
      <c r="X653">
        <f>V653*60+W653</f>
        <v>30</v>
      </c>
      <c r="Y653" s="7">
        <f>I653-H653</f>
        <v>6.9444444452528842E-3</v>
      </c>
      <c r="Z653">
        <f>HOUR(Y653)</f>
        <v>0</v>
      </c>
      <c r="AA653">
        <f>MINUTE(Y653)</f>
        <v>10</v>
      </c>
      <c r="AB653">
        <f>Z653*60+AA653</f>
        <v>10</v>
      </c>
    </row>
    <row r="654" spans="1:28" x14ac:dyDescent="0.25">
      <c r="A654">
        <v>652</v>
      </c>
      <c r="B654" t="s">
        <v>33</v>
      </c>
      <c r="C654">
        <v>1</v>
      </c>
      <c r="D654" t="s">
        <v>30</v>
      </c>
      <c r="E654" s="6">
        <v>46067.809027777781</v>
      </c>
      <c r="F654" s="6">
        <v>46067.819444444445</v>
      </c>
      <c r="G654" s="6">
        <v>46067.826388888891</v>
      </c>
      <c r="H654" s="6">
        <v>46067.868055555555</v>
      </c>
      <c r="I654" s="6">
        <v>46067.871527777781</v>
      </c>
      <c r="J654" s="6">
        <v>46067.874305555553</v>
      </c>
      <c r="K654">
        <v>1.57</v>
      </c>
      <c r="L654" s="6">
        <v>46067.881249999999</v>
      </c>
      <c r="M654" s="7">
        <f>F654-E654</f>
        <v>1.0416666664241347E-2</v>
      </c>
      <c r="N654">
        <f>HOUR(M654)</f>
        <v>0</v>
      </c>
      <c r="O654">
        <f>MINUTE(M654)</f>
        <v>15</v>
      </c>
      <c r="P654">
        <f>N654*60+O654</f>
        <v>15</v>
      </c>
      <c r="Q654" s="7">
        <f>G654-F654</f>
        <v>6.9444444452528842E-3</v>
      </c>
      <c r="R654">
        <f>HOUR(Q654)</f>
        <v>0</v>
      </c>
      <c r="S654">
        <f>MINUTE(Q654)</f>
        <v>10</v>
      </c>
      <c r="T654">
        <f>R654*60+S654</f>
        <v>10</v>
      </c>
      <c r="U654" s="7">
        <f>H654-G654</f>
        <v>4.1666666664241347E-2</v>
      </c>
      <c r="V654">
        <f>HOUR(U654)</f>
        <v>1</v>
      </c>
      <c r="W654">
        <f>MINUTE(U654)</f>
        <v>0</v>
      </c>
      <c r="X654">
        <f>V654*60+W654</f>
        <v>60</v>
      </c>
      <c r="Y654" s="7">
        <f>I654-H654</f>
        <v>3.4722222262644209E-3</v>
      </c>
      <c r="Z654">
        <f>HOUR(Y654)</f>
        <v>0</v>
      </c>
      <c r="AA654">
        <f>MINUTE(Y654)</f>
        <v>5</v>
      </c>
      <c r="AB654">
        <f>Z654*60+AA654</f>
        <v>5</v>
      </c>
    </row>
    <row r="655" spans="1:28" x14ac:dyDescent="0.25">
      <c r="A655">
        <v>653</v>
      </c>
      <c r="B655" t="s">
        <v>29</v>
      </c>
      <c r="C655">
        <v>1</v>
      </c>
      <c r="D655" t="s">
        <v>30</v>
      </c>
      <c r="E655" s="6">
        <v>46067.888888888891</v>
      </c>
      <c r="F655" s="6">
        <v>46067.895833333336</v>
      </c>
      <c r="G655" s="6">
        <v>46067.90625</v>
      </c>
      <c r="H655" s="6">
        <v>46067.942361111112</v>
      </c>
      <c r="I655" s="6">
        <v>46067.949305555558</v>
      </c>
      <c r="J655" s="6">
        <v>46067.951388888891</v>
      </c>
      <c r="K655">
        <v>1.5</v>
      </c>
      <c r="L655" s="6">
        <v>46067.954861111109</v>
      </c>
      <c r="M655" s="7">
        <f>F655-E655</f>
        <v>6.9444444452528842E-3</v>
      </c>
      <c r="N655">
        <f>HOUR(M655)</f>
        <v>0</v>
      </c>
      <c r="O655">
        <f>MINUTE(M655)</f>
        <v>10</v>
      </c>
      <c r="P655">
        <f>N655*60+O655</f>
        <v>10</v>
      </c>
      <c r="Q655" s="7">
        <f>G655-F655</f>
        <v>1.0416666664241347E-2</v>
      </c>
      <c r="R655">
        <f>HOUR(Q655)</f>
        <v>0</v>
      </c>
      <c r="S655">
        <f>MINUTE(Q655)</f>
        <v>15</v>
      </c>
      <c r="T655">
        <f>R655*60+S655</f>
        <v>15</v>
      </c>
      <c r="U655" s="7">
        <f>H655-G655</f>
        <v>3.6111111112404615E-2</v>
      </c>
      <c r="V655">
        <f>HOUR(U655)</f>
        <v>0</v>
      </c>
      <c r="W655">
        <f>MINUTE(U655)</f>
        <v>52</v>
      </c>
      <c r="X655">
        <f>V655*60+W655</f>
        <v>52</v>
      </c>
      <c r="Y655" s="7">
        <f>I655-H655</f>
        <v>6.9444444452528842E-3</v>
      </c>
      <c r="Z655">
        <f>HOUR(Y655)</f>
        <v>0</v>
      </c>
      <c r="AA655">
        <f>MINUTE(Y655)</f>
        <v>10</v>
      </c>
      <c r="AB655">
        <f>Z655*60+AA655</f>
        <v>10</v>
      </c>
    </row>
    <row r="656" spans="1:28" x14ac:dyDescent="0.25">
      <c r="A656">
        <v>654</v>
      </c>
      <c r="B656" t="s">
        <v>33</v>
      </c>
      <c r="C656">
        <v>1</v>
      </c>
      <c r="D656" t="s">
        <v>30</v>
      </c>
      <c r="E656" s="6">
        <v>46068.416666666664</v>
      </c>
      <c r="F656" s="6">
        <v>46068.423611111109</v>
      </c>
      <c r="G656" s="6">
        <v>46068.46875</v>
      </c>
      <c r="H656" s="6">
        <v>46068.555555555555</v>
      </c>
      <c r="I656" s="6">
        <v>46068.569444444445</v>
      </c>
      <c r="J656" s="6">
        <v>46068.756944444445</v>
      </c>
      <c r="K656">
        <v>8.17</v>
      </c>
      <c r="L656" s="6">
        <v>46068.760416666664</v>
      </c>
      <c r="M656" s="7">
        <f>F656-E656</f>
        <v>6.9444444452528842E-3</v>
      </c>
      <c r="N656">
        <f>HOUR(M656)</f>
        <v>0</v>
      </c>
      <c r="O656">
        <f>MINUTE(M656)</f>
        <v>10</v>
      </c>
      <c r="P656">
        <f>N656*60+O656</f>
        <v>10</v>
      </c>
      <c r="Q656" s="7">
        <f>G656-F656</f>
        <v>4.5138888890505768E-2</v>
      </c>
      <c r="R656">
        <f>HOUR(Q656)</f>
        <v>1</v>
      </c>
      <c r="S656">
        <f>MINUTE(Q656)</f>
        <v>5</v>
      </c>
      <c r="T656">
        <f>R656*60+S656</f>
        <v>65</v>
      </c>
      <c r="U656" s="7">
        <f>H656-G656</f>
        <v>8.6805555554747116E-2</v>
      </c>
      <c r="V656">
        <f>HOUR(U656)</f>
        <v>2</v>
      </c>
      <c r="W656">
        <f>MINUTE(U656)</f>
        <v>5</v>
      </c>
      <c r="X656">
        <f>V656*60+W656</f>
        <v>125</v>
      </c>
      <c r="Y656" s="7">
        <f>I656-H656</f>
        <v>1.3888888890505768E-2</v>
      </c>
      <c r="Z656">
        <f>HOUR(Y656)</f>
        <v>0</v>
      </c>
      <c r="AA656">
        <f>MINUTE(Y656)</f>
        <v>20</v>
      </c>
      <c r="AB656">
        <f>Z656*60+AA656</f>
        <v>20</v>
      </c>
    </row>
    <row r="657" spans="1:28" x14ac:dyDescent="0.25">
      <c r="A657">
        <v>655</v>
      </c>
      <c r="B657" t="s">
        <v>29</v>
      </c>
      <c r="C657">
        <v>1</v>
      </c>
      <c r="D657" t="s">
        <v>30</v>
      </c>
      <c r="E657" s="6">
        <v>46068.03125</v>
      </c>
      <c r="F657" s="6">
        <v>46068.038194444445</v>
      </c>
      <c r="G657" s="6">
        <v>46068.048611111109</v>
      </c>
      <c r="H657" s="6">
        <v>46068.083333333336</v>
      </c>
      <c r="I657" s="6">
        <v>46068.090277777781</v>
      </c>
      <c r="J657" s="6">
        <v>46068.09375</v>
      </c>
      <c r="K657">
        <v>1.5</v>
      </c>
      <c r="L657" s="6">
        <v>46068.094444444447</v>
      </c>
      <c r="M657" s="7">
        <f>F657-E657</f>
        <v>6.9444444452528842E-3</v>
      </c>
      <c r="N657">
        <f>HOUR(M657)</f>
        <v>0</v>
      </c>
      <c r="O657">
        <f>MINUTE(M657)</f>
        <v>10</v>
      </c>
      <c r="P657">
        <f>N657*60+O657</f>
        <v>10</v>
      </c>
      <c r="Q657" s="7">
        <f>G657-F657</f>
        <v>1.0416666664241347E-2</v>
      </c>
      <c r="R657">
        <f>HOUR(Q657)</f>
        <v>0</v>
      </c>
      <c r="S657">
        <f>MINUTE(Q657)</f>
        <v>15</v>
      </c>
      <c r="T657">
        <f>R657*60+S657</f>
        <v>15</v>
      </c>
      <c r="U657" s="7">
        <f>H657-G657</f>
        <v>3.4722222226264421E-2</v>
      </c>
      <c r="V657">
        <f>HOUR(U657)</f>
        <v>0</v>
      </c>
      <c r="W657">
        <f>MINUTE(U657)</f>
        <v>50</v>
      </c>
      <c r="X657">
        <f>V657*60+W657</f>
        <v>50</v>
      </c>
      <c r="Y657" s="7">
        <f>I657-H657</f>
        <v>6.9444444452528842E-3</v>
      </c>
      <c r="Z657">
        <f>HOUR(Y657)</f>
        <v>0</v>
      </c>
      <c r="AA657">
        <f>MINUTE(Y657)</f>
        <v>10</v>
      </c>
      <c r="AB657">
        <f>Z657*60+AA657</f>
        <v>10</v>
      </c>
    </row>
    <row r="658" spans="1:28" x14ac:dyDescent="0.25">
      <c r="A658">
        <v>656</v>
      </c>
      <c r="B658" t="s">
        <v>29</v>
      </c>
      <c r="C658">
        <v>1</v>
      </c>
      <c r="D658" t="s">
        <v>34</v>
      </c>
      <c r="E658" s="6">
        <v>46068.072916666664</v>
      </c>
      <c r="F658" s="6">
        <v>46068.076388888891</v>
      </c>
      <c r="G658" s="6">
        <v>46068.090277777781</v>
      </c>
      <c r="H658" s="6">
        <v>46068.138888888891</v>
      </c>
      <c r="I658" s="6">
        <v>46068.145833333336</v>
      </c>
      <c r="J658" s="6">
        <v>46068.149305555555</v>
      </c>
      <c r="K658">
        <v>1.83</v>
      </c>
      <c r="L658" s="6">
        <v>46068.15625</v>
      </c>
      <c r="M658" s="7">
        <f>F658-E658</f>
        <v>3.4722222262644209E-3</v>
      </c>
      <c r="N658">
        <f>HOUR(M658)</f>
        <v>0</v>
      </c>
      <c r="O658">
        <f>MINUTE(M658)</f>
        <v>5</v>
      </c>
      <c r="P658">
        <f>N658*60+O658</f>
        <v>5</v>
      </c>
      <c r="Q658" s="7">
        <f>G658-F658</f>
        <v>1.3888888890505768E-2</v>
      </c>
      <c r="R658">
        <f>HOUR(Q658)</f>
        <v>0</v>
      </c>
      <c r="S658">
        <f>MINUTE(Q658)</f>
        <v>20</v>
      </c>
      <c r="T658">
        <f>R658*60+S658</f>
        <v>20</v>
      </c>
      <c r="U658" s="7">
        <f>H658-G658</f>
        <v>4.8611111109494232E-2</v>
      </c>
      <c r="V658">
        <f>HOUR(U658)</f>
        <v>1</v>
      </c>
      <c r="W658">
        <f>MINUTE(U658)</f>
        <v>10</v>
      </c>
      <c r="X658">
        <f>V658*60+W658</f>
        <v>70</v>
      </c>
      <c r="Y658" s="7">
        <f>I658-H658</f>
        <v>6.9444444452528842E-3</v>
      </c>
      <c r="Z658">
        <f>HOUR(Y658)</f>
        <v>0</v>
      </c>
      <c r="AA658">
        <f>MINUTE(Y658)</f>
        <v>10</v>
      </c>
      <c r="AB658">
        <f>Z658*60+AA658</f>
        <v>10</v>
      </c>
    </row>
    <row r="659" spans="1:28" x14ac:dyDescent="0.25">
      <c r="A659">
        <v>657</v>
      </c>
      <c r="B659" t="s">
        <v>29</v>
      </c>
      <c r="C659">
        <v>1</v>
      </c>
      <c r="D659" t="s">
        <v>30</v>
      </c>
      <c r="E659" s="6">
        <v>46068.475694444445</v>
      </c>
      <c r="F659" s="6">
        <v>46068.482638888891</v>
      </c>
      <c r="G659" s="6">
        <v>46068.489583333336</v>
      </c>
      <c r="H659" s="6">
        <v>46068.520833333336</v>
      </c>
      <c r="I659" s="6">
        <v>46068.524305555555</v>
      </c>
      <c r="J659" s="6">
        <v>46068.527777777781</v>
      </c>
      <c r="K659">
        <v>1.25</v>
      </c>
      <c r="L659" s="6">
        <v>46068.53125</v>
      </c>
      <c r="M659" s="7">
        <f>F659-E659</f>
        <v>6.9444444452528842E-3</v>
      </c>
      <c r="N659">
        <f>HOUR(M659)</f>
        <v>0</v>
      </c>
      <c r="O659">
        <f>MINUTE(M659)</f>
        <v>10</v>
      </c>
      <c r="P659">
        <f>N659*60+O659</f>
        <v>10</v>
      </c>
      <c r="Q659" s="7">
        <f>G659-F659</f>
        <v>6.9444444452528842E-3</v>
      </c>
      <c r="R659">
        <f>HOUR(Q659)</f>
        <v>0</v>
      </c>
      <c r="S659">
        <f>MINUTE(Q659)</f>
        <v>10</v>
      </c>
      <c r="T659">
        <f>R659*60+S659</f>
        <v>10</v>
      </c>
      <c r="U659" s="7">
        <f>H659-G659</f>
        <v>3.125E-2</v>
      </c>
      <c r="V659">
        <f>HOUR(U659)</f>
        <v>0</v>
      </c>
      <c r="W659">
        <f>MINUTE(U659)</f>
        <v>45</v>
      </c>
      <c r="X659">
        <f>V659*60+W659</f>
        <v>45</v>
      </c>
      <c r="Y659" s="7">
        <f>I659-H659</f>
        <v>3.4722222189884633E-3</v>
      </c>
      <c r="Z659">
        <f>HOUR(Y659)</f>
        <v>0</v>
      </c>
      <c r="AA659">
        <f>MINUTE(Y659)</f>
        <v>5</v>
      </c>
      <c r="AB659">
        <f>Z659*60+AA659</f>
        <v>5</v>
      </c>
    </row>
    <row r="660" spans="1:28" x14ac:dyDescent="0.25">
      <c r="A660">
        <v>658</v>
      </c>
      <c r="B660" t="s">
        <v>29</v>
      </c>
      <c r="C660">
        <v>1</v>
      </c>
      <c r="D660" t="s">
        <v>34</v>
      </c>
      <c r="E660" s="6">
        <v>46068.423611111109</v>
      </c>
      <c r="F660" s="6">
        <v>46068.434027777781</v>
      </c>
      <c r="G660" s="6">
        <v>46068.454861111109</v>
      </c>
      <c r="H660" s="6">
        <v>46068.482638888891</v>
      </c>
      <c r="I660" s="6">
        <v>46068.489583333336</v>
      </c>
      <c r="J660" s="6">
        <v>46068.493055555555</v>
      </c>
      <c r="K660">
        <v>1.67</v>
      </c>
      <c r="L660" s="6">
        <v>46068.5</v>
      </c>
      <c r="M660" s="7">
        <f>F660-E660</f>
        <v>1.0416666671517305E-2</v>
      </c>
      <c r="N660">
        <f>HOUR(M660)</f>
        <v>0</v>
      </c>
      <c r="O660">
        <f>MINUTE(M660)</f>
        <v>15</v>
      </c>
      <c r="P660">
        <f>N660*60+O660</f>
        <v>15</v>
      </c>
      <c r="Q660" s="7">
        <f>G660-F660</f>
        <v>2.0833333328482695E-2</v>
      </c>
      <c r="R660">
        <f>HOUR(Q660)</f>
        <v>0</v>
      </c>
      <c r="S660">
        <f>MINUTE(Q660)</f>
        <v>30</v>
      </c>
      <c r="T660">
        <f>R660*60+S660</f>
        <v>30</v>
      </c>
      <c r="U660" s="7">
        <f>H660-G660</f>
        <v>2.7777777781011537E-2</v>
      </c>
      <c r="V660">
        <f>HOUR(U660)</f>
        <v>0</v>
      </c>
      <c r="W660">
        <f>MINUTE(U660)</f>
        <v>40</v>
      </c>
      <c r="X660">
        <f>V660*60+W660</f>
        <v>40</v>
      </c>
      <c r="Y660" s="7">
        <f>I660-H660</f>
        <v>6.9444444452528842E-3</v>
      </c>
      <c r="Z660">
        <f>HOUR(Y660)</f>
        <v>0</v>
      </c>
      <c r="AA660">
        <f>MINUTE(Y660)</f>
        <v>10</v>
      </c>
      <c r="AB660">
        <f>Z660*60+AA660</f>
        <v>10</v>
      </c>
    </row>
    <row r="661" spans="1:28" x14ac:dyDescent="0.25">
      <c r="A661">
        <v>659</v>
      </c>
      <c r="B661" t="s">
        <v>31</v>
      </c>
      <c r="C661">
        <v>1</v>
      </c>
      <c r="D661" t="s">
        <v>37</v>
      </c>
      <c r="E661" s="6">
        <v>46069.527777777781</v>
      </c>
      <c r="F661" s="6">
        <v>46069.552083333336</v>
      </c>
      <c r="G661" s="6">
        <v>46069.572916666664</v>
      </c>
      <c r="H661" s="6">
        <v>46069.684027777781</v>
      </c>
      <c r="I661" s="6">
        <v>46069.690972222219</v>
      </c>
      <c r="J661" s="6">
        <v>46069.697916666664</v>
      </c>
      <c r="K661">
        <v>4.08</v>
      </c>
      <c r="L661" s="6">
        <v>46069.704861111109</v>
      </c>
      <c r="M661" s="7">
        <f>F661-E661</f>
        <v>2.4305555554747116E-2</v>
      </c>
      <c r="N661">
        <f>HOUR(M661)</f>
        <v>0</v>
      </c>
      <c r="O661">
        <f>MINUTE(M661)</f>
        <v>35</v>
      </c>
      <c r="P661">
        <f>N661*60+O661</f>
        <v>35</v>
      </c>
      <c r="Q661" s="7">
        <f>G661-F661</f>
        <v>2.0833333328482695E-2</v>
      </c>
      <c r="R661">
        <f>HOUR(Q661)</f>
        <v>0</v>
      </c>
      <c r="S661">
        <f>MINUTE(Q661)</f>
        <v>30</v>
      </c>
      <c r="T661">
        <f>R661*60+S661</f>
        <v>30</v>
      </c>
      <c r="U661" s="7">
        <f>H661-G661</f>
        <v>0.11111111111677019</v>
      </c>
      <c r="V661">
        <f>HOUR(U661)</f>
        <v>2</v>
      </c>
      <c r="W661">
        <f>MINUTE(U661)</f>
        <v>40</v>
      </c>
      <c r="X661">
        <f>V661*60+W661</f>
        <v>160</v>
      </c>
      <c r="Y661" s="7">
        <f>I661-H661</f>
        <v>6.9444444379769266E-3</v>
      </c>
      <c r="Z661">
        <f>HOUR(Y661)</f>
        <v>0</v>
      </c>
      <c r="AA661">
        <f>MINUTE(Y661)</f>
        <v>10</v>
      </c>
      <c r="AB661">
        <f>Z661*60+AA661</f>
        <v>10</v>
      </c>
    </row>
    <row r="662" spans="1:28" x14ac:dyDescent="0.25">
      <c r="A662">
        <v>660</v>
      </c>
      <c r="B662" t="s">
        <v>33</v>
      </c>
      <c r="C662">
        <v>1</v>
      </c>
      <c r="D662" t="s">
        <v>36</v>
      </c>
      <c r="E662" s="6">
        <v>46069.291666666664</v>
      </c>
      <c r="F662" s="6">
        <v>46069.326388888891</v>
      </c>
      <c r="G662" s="6">
        <v>46069.333333333336</v>
      </c>
      <c r="H662" s="6">
        <v>46069.361111111109</v>
      </c>
      <c r="I662" s="6">
        <v>46069.368055555555</v>
      </c>
      <c r="J662" s="6">
        <v>46069.370833333334</v>
      </c>
      <c r="K662">
        <v>1.9</v>
      </c>
      <c r="L662" s="6">
        <v>46069.37777777778</v>
      </c>
      <c r="M662" s="7">
        <f>F662-E662</f>
        <v>3.4722222226264421E-2</v>
      </c>
      <c r="N662">
        <f>HOUR(M662)</f>
        <v>0</v>
      </c>
      <c r="O662">
        <f>MINUTE(M662)</f>
        <v>50</v>
      </c>
      <c r="P662">
        <f>N662*60+O662</f>
        <v>50</v>
      </c>
      <c r="Q662" s="7">
        <f>G662-F662</f>
        <v>6.9444444452528842E-3</v>
      </c>
      <c r="R662">
        <f>HOUR(Q662)</f>
        <v>0</v>
      </c>
      <c r="S662">
        <f>MINUTE(Q662)</f>
        <v>10</v>
      </c>
      <c r="T662">
        <f>R662*60+S662</f>
        <v>10</v>
      </c>
      <c r="U662" s="7">
        <f>H662-G662</f>
        <v>2.7777777773735579E-2</v>
      </c>
      <c r="V662">
        <f>HOUR(U662)</f>
        <v>0</v>
      </c>
      <c r="W662">
        <f>MINUTE(U662)</f>
        <v>40</v>
      </c>
      <c r="X662">
        <f>V662*60+W662</f>
        <v>40</v>
      </c>
      <c r="Y662" s="7">
        <f>I662-H662</f>
        <v>6.9444444452528842E-3</v>
      </c>
      <c r="Z662">
        <f>HOUR(Y662)</f>
        <v>0</v>
      </c>
      <c r="AA662">
        <f>MINUTE(Y662)</f>
        <v>10</v>
      </c>
      <c r="AB662">
        <f>Z662*60+AA662</f>
        <v>10</v>
      </c>
    </row>
    <row r="663" spans="1:28" x14ac:dyDescent="0.25">
      <c r="A663">
        <v>661</v>
      </c>
      <c r="B663" t="s">
        <v>33</v>
      </c>
      <c r="C663">
        <v>1</v>
      </c>
      <c r="D663" t="s">
        <v>36</v>
      </c>
      <c r="E663" s="6">
        <v>46069.597222222219</v>
      </c>
      <c r="F663" s="6">
        <v>46069.625</v>
      </c>
      <c r="G663" s="6">
        <v>46069.666666666664</v>
      </c>
      <c r="H663" s="6">
        <v>46069.746527777781</v>
      </c>
      <c r="I663" s="6">
        <v>46069.770833333336</v>
      </c>
      <c r="J663" s="6">
        <v>46069.777777777781</v>
      </c>
      <c r="K663">
        <v>4.33</v>
      </c>
      <c r="L663" s="6">
        <v>46069.78125</v>
      </c>
      <c r="M663" s="7">
        <f>F663-E663</f>
        <v>2.7777777781011537E-2</v>
      </c>
      <c r="N663">
        <f>HOUR(M663)</f>
        <v>0</v>
      </c>
      <c r="O663">
        <f>MINUTE(M663)</f>
        <v>40</v>
      </c>
      <c r="P663">
        <f>N663*60+O663</f>
        <v>40</v>
      </c>
      <c r="Q663" s="7">
        <f>G663-F663</f>
        <v>4.1666666664241347E-2</v>
      </c>
      <c r="R663">
        <f>HOUR(Q663)</f>
        <v>1</v>
      </c>
      <c r="S663">
        <f>MINUTE(Q663)</f>
        <v>0</v>
      </c>
      <c r="T663">
        <f>R663*60+S663</f>
        <v>60</v>
      </c>
      <c r="U663" s="7">
        <f>H663-G663</f>
        <v>7.9861111116770189E-2</v>
      </c>
      <c r="V663">
        <f>HOUR(U663)</f>
        <v>1</v>
      </c>
      <c r="W663">
        <f>MINUTE(U663)</f>
        <v>55</v>
      </c>
      <c r="X663">
        <f>V663*60+W663</f>
        <v>115</v>
      </c>
      <c r="Y663" s="7">
        <f>I663-H663</f>
        <v>2.4305555554747116E-2</v>
      </c>
      <c r="Z663">
        <f>HOUR(Y663)</f>
        <v>0</v>
      </c>
      <c r="AA663">
        <f>MINUTE(Y663)</f>
        <v>35</v>
      </c>
      <c r="AB663">
        <f>Z663*60+AA663</f>
        <v>35</v>
      </c>
    </row>
    <row r="664" spans="1:28" x14ac:dyDescent="0.25">
      <c r="A664">
        <v>662</v>
      </c>
      <c r="B664" t="s">
        <v>31</v>
      </c>
      <c r="C664">
        <v>1</v>
      </c>
      <c r="D664" t="s">
        <v>30</v>
      </c>
      <c r="E664" s="6">
        <v>46069.333333333336</v>
      </c>
      <c r="F664" s="6">
        <v>46069.340277777781</v>
      </c>
      <c r="G664" s="6">
        <v>46069.361111111109</v>
      </c>
      <c r="H664" s="6">
        <v>46069.440972222219</v>
      </c>
      <c r="I664" s="6">
        <v>46069.447916666664</v>
      </c>
      <c r="J664" s="6">
        <v>46069.465277777781</v>
      </c>
      <c r="K664">
        <v>3.17</v>
      </c>
      <c r="L664" s="6">
        <v>46069.472222222219</v>
      </c>
      <c r="M664" s="7">
        <f>F664-E664</f>
        <v>6.9444444452528842E-3</v>
      </c>
      <c r="N664">
        <f>HOUR(M664)</f>
        <v>0</v>
      </c>
      <c r="O664">
        <f>MINUTE(M664)</f>
        <v>10</v>
      </c>
      <c r="P664">
        <f>N664*60+O664</f>
        <v>10</v>
      </c>
      <c r="Q664" s="7">
        <f>G664-F664</f>
        <v>2.0833333328482695E-2</v>
      </c>
      <c r="R664">
        <f>HOUR(Q664)</f>
        <v>0</v>
      </c>
      <c r="S664">
        <f>MINUTE(Q664)</f>
        <v>30</v>
      </c>
      <c r="T664">
        <f>R664*60+S664</f>
        <v>30</v>
      </c>
      <c r="U664" s="7">
        <f>H664-G664</f>
        <v>7.9861111109494232E-2</v>
      </c>
      <c r="V664">
        <f>HOUR(U664)</f>
        <v>1</v>
      </c>
      <c r="W664">
        <f>MINUTE(U664)</f>
        <v>55</v>
      </c>
      <c r="X664">
        <f>V664*60+W664</f>
        <v>115</v>
      </c>
      <c r="Y664" s="7">
        <f>I664-H664</f>
        <v>6.9444444452528842E-3</v>
      </c>
      <c r="Z664">
        <f>HOUR(Y664)</f>
        <v>0</v>
      </c>
      <c r="AA664">
        <f>MINUTE(Y664)</f>
        <v>10</v>
      </c>
      <c r="AB664">
        <f>Z664*60+AA664</f>
        <v>10</v>
      </c>
    </row>
    <row r="665" spans="1:28" x14ac:dyDescent="0.25">
      <c r="A665">
        <v>663</v>
      </c>
      <c r="B665" t="s">
        <v>29</v>
      </c>
      <c r="C665">
        <v>1</v>
      </c>
      <c r="D665" t="s">
        <v>35</v>
      </c>
      <c r="E665" s="6">
        <v>46068.71875</v>
      </c>
      <c r="F665" s="6">
        <v>46068.722222222219</v>
      </c>
      <c r="G665" s="6">
        <v>46068.746527777781</v>
      </c>
      <c r="H665" s="6">
        <v>46068.763888888891</v>
      </c>
      <c r="I665" s="6">
        <v>46068.767361111109</v>
      </c>
      <c r="J665" s="6">
        <v>46068.770833333336</v>
      </c>
      <c r="K665">
        <v>1.25</v>
      </c>
      <c r="L665" s="6">
        <v>46068.777777777781</v>
      </c>
      <c r="M665" s="7">
        <f>F665-E665</f>
        <v>3.4722222189884633E-3</v>
      </c>
      <c r="N665">
        <f>HOUR(M665)</f>
        <v>0</v>
      </c>
      <c r="O665">
        <f>MINUTE(M665)</f>
        <v>5</v>
      </c>
      <c r="P665">
        <f>N665*60+O665</f>
        <v>5</v>
      </c>
      <c r="Q665" s="7">
        <f>G665-F665</f>
        <v>2.4305555562023073E-2</v>
      </c>
      <c r="R665">
        <f>HOUR(Q665)</f>
        <v>0</v>
      </c>
      <c r="S665">
        <f>MINUTE(Q665)</f>
        <v>35</v>
      </c>
      <c r="T665">
        <f>R665*60+S665</f>
        <v>35</v>
      </c>
      <c r="U665" s="7">
        <f>H665-G665</f>
        <v>1.7361111109494232E-2</v>
      </c>
      <c r="V665">
        <f>HOUR(U665)</f>
        <v>0</v>
      </c>
      <c r="W665">
        <f>MINUTE(U665)</f>
        <v>25</v>
      </c>
      <c r="X665">
        <f>V665*60+W665</f>
        <v>25</v>
      </c>
      <c r="Y665" s="7">
        <f>I665-H665</f>
        <v>3.4722222189884633E-3</v>
      </c>
      <c r="Z665">
        <f>HOUR(Y665)</f>
        <v>0</v>
      </c>
      <c r="AA665">
        <f>MINUTE(Y665)</f>
        <v>5</v>
      </c>
      <c r="AB665">
        <f>Z665*60+AA665</f>
        <v>5</v>
      </c>
    </row>
    <row r="666" spans="1:28" x14ac:dyDescent="0.25">
      <c r="A666">
        <v>664</v>
      </c>
      <c r="B666" t="s">
        <v>29</v>
      </c>
      <c r="C666">
        <v>1</v>
      </c>
      <c r="D666" t="s">
        <v>30</v>
      </c>
      <c r="E666" s="6">
        <v>46068.836805555555</v>
      </c>
      <c r="F666" s="6">
        <v>46068.840277777781</v>
      </c>
      <c r="G666" s="6">
        <v>46068.854166666664</v>
      </c>
      <c r="H666" s="6">
        <v>46068.875</v>
      </c>
      <c r="I666" s="6">
        <v>46068.895833333336</v>
      </c>
      <c r="J666" s="6">
        <v>46068.896527777775</v>
      </c>
      <c r="K666">
        <v>1.43</v>
      </c>
      <c r="L666" s="6">
        <v>46068.90347222222</v>
      </c>
      <c r="M666" s="7">
        <f>F666-E666</f>
        <v>3.4722222262644209E-3</v>
      </c>
      <c r="N666">
        <f>HOUR(M666)</f>
        <v>0</v>
      </c>
      <c r="O666">
        <f>MINUTE(M666)</f>
        <v>5</v>
      </c>
      <c r="P666">
        <f>N666*60+O666</f>
        <v>5</v>
      </c>
      <c r="Q666" s="7">
        <f>G666-F666</f>
        <v>1.3888888883229811E-2</v>
      </c>
      <c r="R666">
        <f>HOUR(Q666)</f>
        <v>0</v>
      </c>
      <c r="S666">
        <f>MINUTE(Q666)</f>
        <v>20</v>
      </c>
      <c r="T666">
        <f>R666*60+S666</f>
        <v>20</v>
      </c>
      <c r="U666" s="7">
        <f>H666-G666</f>
        <v>2.0833333335758653E-2</v>
      </c>
      <c r="V666">
        <f>HOUR(U666)</f>
        <v>0</v>
      </c>
      <c r="W666">
        <f>MINUTE(U666)</f>
        <v>30</v>
      </c>
      <c r="X666">
        <f>V666*60+W666</f>
        <v>30</v>
      </c>
      <c r="Y666" s="7">
        <f>I666-H666</f>
        <v>2.0833333335758653E-2</v>
      </c>
      <c r="Z666">
        <f>HOUR(Y666)</f>
        <v>0</v>
      </c>
      <c r="AA666">
        <f>MINUTE(Y666)</f>
        <v>30</v>
      </c>
      <c r="AB666">
        <f>Z666*60+AA666</f>
        <v>30</v>
      </c>
    </row>
    <row r="667" spans="1:28" x14ac:dyDescent="0.25">
      <c r="A667">
        <v>665</v>
      </c>
      <c r="B667" t="s">
        <v>31</v>
      </c>
      <c r="C667">
        <v>1</v>
      </c>
      <c r="D667" t="s">
        <v>30</v>
      </c>
      <c r="E667" s="6">
        <v>46068.868055555555</v>
      </c>
      <c r="F667" s="6">
        <v>46068.871527777781</v>
      </c>
      <c r="G667" s="6">
        <v>46068.875</v>
      </c>
      <c r="H667" s="6">
        <v>46068.909722222219</v>
      </c>
      <c r="I667" s="6">
        <v>46068.916666666664</v>
      </c>
      <c r="J667" s="6">
        <v>46069.1875</v>
      </c>
      <c r="K667">
        <v>7.67</v>
      </c>
      <c r="L667" s="6">
        <v>46069.188888888886</v>
      </c>
      <c r="M667" s="7">
        <f>F667-E667</f>
        <v>3.4722222262644209E-3</v>
      </c>
      <c r="N667">
        <f>HOUR(M667)</f>
        <v>0</v>
      </c>
      <c r="O667">
        <f>MINUTE(M667)</f>
        <v>5</v>
      </c>
      <c r="P667">
        <f>N667*60+O667</f>
        <v>5</v>
      </c>
      <c r="Q667" s="7">
        <f>G667-F667</f>
        <v>3.4722222189884633E-3</v>
      </c>
      <c r="R667">
        <f>HOUR(Q667)</f>
        <v>0</v>
      </c>
      <c r="S667">
        <f>MINUTE(Q667)</f>
        <v>5</v>
      </c>
      <c r="T667">
        <f>R667*60+S667</f>
        <v>5</v>
      </c>
      <c r="U667" s="7">
        <f>H667-G667</f>
        <v>3.4722222218988463E-2</v>
      </c>
      <c r="V667">
        <f>HOUR(U667)</f>
        <v>0</v>
      </c>
      <c r="W667">
        <f>MINUTE(U667)</f>
        <v>50</v>
      </c>
      <c r="X667">
        <f>V667*60+W667</f>
        <v>50</v>
      </c>
      <c r="Y667" s="7">
        <f>I667-H667</f>
        <v>6.9444444452528842E-3</v>
      </c>
      <c r="Z667">
        <f>HOUR(Y667)</f>
        <v>0</v>
      </c>
      <c r="AA667">
        <f>MINUTE(Y667)</f>
        <v>10</v>
      </c>
      <c r="AB667">
        <f>Z667*60+AA667</f>
        <v>10</v>
      </c>
    </row>
    <row r="668" spans="1:28" x14ac:dyDescent="0.25">
      <c r="A668">
        <v>666</v>
      </c>
      <c r="B668" t="s">
        <v>33</v>
      </c>
      <c r="C668">
        <v>1</v>
      </c>
      <c r="D668" t="s">
        <v>30</v>
      </c>
      <c r="E668" s="6">
        <v>46069.024305555555</v>
      </c>
      <c r="F668" s="6">
        <v>46069.027777777781</v>
      </c>
      <c r="G668" s="6">
        <v>46069.03125</v>
      </c>
      <c r="H668" s="6">
        <v>46069.069444444445</v>
      </c>
      <c r="I668" s="6">
        <v>46069.072916666664</v>
      </c>
      <c r="J668" s="6">
        <v>46069.076388888891</v>
      </c>
      <c r="K668">
        <v>1.25</v>
      </c>
      <c r="L668" s="6">
        <v>46069.079861111109</v>
      </c>
      <c r="M668" s="7">
        <f>F668-E668</f>
        <v>3.4722222262644209E-3</v>
      </c>
      <c r="N668">
        <f>HOUR(M668)</f>
        <v>0</v>
      </c>
      <c r="O668">
        <f>MINUTE(M668)</f>
        <v>5</v>
      </c>
      <c r="P668">
        <f>N668*60+O668</f>
        <v>5</v>
      </c>
      <c r="Q668" s="7">
        <f>G668-F668</f>
        <v>3.4722222189884633E-3</v>
      </c>
      <c r="R668">
        <f>HOUR(Q668)</f>
        <v>0</v>
      </c>
      <c r="S668">
        <f>MINUTE(Q668)</f>
        <v>5</v>
      </c>
      <c r="T668">
        <f>R668*60+S668</f>
        <v>5</v>
      </c>
      <c r="U668" s="7">
        <f>H668-G668</f>
        <v>3.8194444445252884E-2</v>
      </c>
      <c r="V668">
        <f>HOUR(U668)</f>
        <v>0</v>
      </c>
      <c r="W668">
        <f>MINUTE(U668)</f>
        <v>55</v>
      </c>
      <c r="X668">
        <f>V668*60+W668</f>
        <v>55</v>
      </c>
      <c r="Y668" s="7">
        <f>I668-H668</f>
        <v>3.4722222189884633E-3</v>
      </c>
      <c r="Z668">
        <f>HOUR(Y668)</f>
        <v>0</v>
      </c>
      <c r="AA668">
        <f>MINUTE(Y668)</f>
        <v>5</v>
      </c>
      <c r="AB668">
        <f>Z668*60+AA668</f>
        <v>5</v>
      </c>
    </row>
    <row r="669" spans="1:28" x14ac:dyDescent="0.25">
      <c r="A669">
        <v>667</v>
      </c>
      <c r="B669" t="s">
        <v>33</v>
      </c>
      <c r="C669">
        <v>1</v>
      </c>
      <c r="D669" t="s">
        <v>30</v>
      </c>
      <c r="E669" s="6">
        <v>46069.091666666667</v>
      </c>
      <c r="F669" s="6">
        <v>46069.097222222219</v>
      </c>
      <c r="G669" s="6">
        <v>46069.125</v>
      </c>
      <c r="H669" s="6">
        <v>46069.140277777777</v>
      </c>
      <c r="I669" s="6">
        <v>46069.159722222219</v>
      </c>
      <c r="J669" s="6">
        <v>46069.166666666664</v>
      </c>
      <c r="K669">
        <v>1.8</v>
      </c>
      <c r="L669" s="6">
        <v>46069.170138888891</v>
      </c>
      <c r="M669" s="7">
        <f>F669-E669</f>
        <v>5.5555555518367328E-3</v>
      </c>
      <c r="N669">
        <f>HOUR(M669)</f>
        <v>0</v>
      </c>
      <c r="O669">
        <f>MINUTE(M669)</f>
        <v>8</v>
      </c>
      <c r="P669">
        <f>N669*60+O669</f>
        <v>8</v>
      </c>
      <c r="Q669" s="7">
        <f>G669-F669</f>
        <v>2.7777777781011537E-2</v>
      </c>
      <c r="R669">
        <f>HOUR(Q669)</f>
        <v>0</v>
      </c>
      <c r="S669">
        <f>MINUTE(Q669)</f>
        <v>40</v>
      </c>
      <c r="T669">
        <f>R669*60+S669</f>
        <v>40</v>
      </c>
      <c r="U669" s="7">
        <f>H669-G669</f>
        <v>1.5277777776645962E-2</v>
      </c>
      <c r="V669">
        <f>HOUR(U669)</f>
        <v>0</v>
      </c>
      <c r="W669">
        <f>MINUTE(U669)</f>
        <v>22</v>
      </c>
      <c r="X669">
        <f>V669*60+W669</f>
        <v>22</v>
      </c>
      <c r="Y669" s="7">
        <f>I669-H669</f>
        <v>1.9444444442342501E-2</v>
      </c>
      <c r="Z669">
        <f>HOUR(Y669)</f>
        <v>0</v>
      </c>
      <c r="AA669">
        <f>MINUTE(Y669)</f>
        <v>28</v>
      </c>
      <c r="AB669">
        <f>Z669*60+AA669</f>
        <v>28</v>
      </c>
    </row>
    <row r="670" spans="1:28" x14ac:dyDescent="0.25">
      <c r="A670">
        <v>668</v>
      </c>
      <c r="B670" t="s">
        <v>31</v>
      </c>
      <c r="C670">
        <v>1</v>
      </c>
      <c r="D670" t="s">
        <v>30</v>
      </c>
      <c r="E670" s="6">
        <v>46068.975694444445</v>
      </c>
      <c r="F670" s="6">
        <v>46068.979166666664</v>
      </c>
      <c r="G670" s="6">
        <v>46068.986111111109</v>
      </c>
      <c r="H670" s="6">
        <v>46069.013888888891</v>
      </c>
      <c r="I670" s="6">
        <v>46069.020833333336</v>
      </c>
      <c r="J670" s="6">
        <v>46069.024305555555</v>
      </c>
      <c r="K670">
        <v>1.17</v>
      </c>
      <c r="L670" s="6">
        <v>46069.027777777781</v>
      </c>
      <c r="M670" s="7">
        <f>F670-E670</f>
        <v>3.4722222189884633E-3</v>
      </c>
      <c r="N670">
        <f>HOUR(M670)</f>
        <v>0</v>
      </c>
      <c r="O670">
        <f>MINUTE(M670)</f>
        <v>5</v>
      </c>
      <c r="P670">
        <f>N670*60+O670</f>
        <v>5</v>
      </c>
      <c r="Q670" s="7">
        <f>G670-F670</f>
        <v>6.9444444452528842E-3</v>
      </c>
      <c r="R670">
        <f>HOUR(Q670)</f>
        <v>0</v>
      </c>
      <c r="S670">
        <f>MINUTE(Q670)</f>
        <v>10</v>
      </c>
      <c r="T670">
        <f>R670*60+S670</f>
        <v>10</v>
      </c>
      <c r="U670" s="7">
        <f>H670-G670</f>
        <v>2.7777777781011537E-2</v>
      </c>
      <c r="V670">
        <f>HOUR(U670)</f>
        <v>0</v>
      </c>
      <c r="W670">
        <f>MINUTE(U670)</f>
        <v>40</v>
      </c>
      <c r="X670">
        <f>V670*60+W670</f>
        <v>40</v>
      </c>
      <c r="Y670" s="7">
        <f>I670-H670</f>
        <v>6.9444444452528842E-3</v>
      </c>
      <c r="Z670">
        <f>HOUR(Y670)</f>
        <v>0</v>
      </c>
      <c r="AA670">
        <f>MINUTE(Y670)</f>
        <v>10</v>
      </c>
      <c r="AB670">
        <f>Z670*60+AA670</f>
        <v>10</v>
      </c>
    </row>
    <row r="671" spans="1:28" x14ac:dyDescent="0.25">
      <c r="A671">
        <v>669</v>
      </c>
      <c r="B671" t="s">
        <v>31</v>
      </c>
      <c r="C671">
        <v>1</v>
      </c>
      <c r="D671" t="s">
        <v>34</v>
      </c>
      <c r="E671" s="6">
        <v>46069.201388888891</v>
      </c>
      <c r="F671" s="6">
        <v>46069.204861111109</v>
      </c>
      <c r="G671" s="6">
        <v>46069.211805555555</v>
      </c>
      <c r="H671" s="6">
        <v>46069.288194444445</v>
      </c>
      <c r="I671" s="6">
        <v>46069.295138888891</v>
      </c>
      <c r="J671" s="6">
        <v>46069.29583333333</v>
      </c>
      <c r="K671">
        <v>2.27</v>
      </c>
      <c r="L671" s="6">
        <v>46069.302777777775</v>
      </c>
      <c r="M671" s="7">
        <f>F671-E671</f>
        <v>3.4722222189884633E-3</v>
      </c>
      <c r="N671">
        <f>HOUR(M671)</f>
        <v>0</v>
      </c>
      <c r="O671">
        <f>MINUTE(M671)</f>
        <v>5</v>
      </c>
      <c r="P671">
        <f>N671*60+O671</f>
        <v>5</v>
      </c>
      <c r="Q671" s="7">
        <f>G671-F671</f>
        <v>6.9444444452528842E-3</v>
      </c>
      <c r="R671">
        <f>HOUR(Q671)</f>
        <v>0</v>
      </c>
      <c r="S671">
        <f>MINUTE(Q671)</f>
        <v>10</v>
      </c>
      <c r="T671">
        <f>R671*60+S671</f>
        <v>10</v>
      </c>
      <c r="U671" s="7">
        <f>H671-G671</f>
        <v>7.6388888890505768E-2</v>
      </c>
      <c r="V671">
        <f>HOUR(U671)</f>
        <v>1</v>
      </c>
      <c r="W671">
        <f>MINUTE(U671)</f>
        <v>50</v>
      </c>
      <c r="X671">
        <f>V671*60+W671</f>
        <v>110</v>
      </c>
      <c r="Y671" s="7">
        <f>I671-H671</f>
        <v>6.9444444452528842E-3</v>
      </c>
      <c r="Z671">
        <f>HOUR(Y671)</f>
        <v>0</v>
      </c>
      <c r="AA671">
        <f>MINUTE(Y671)</f>
        <v>10</v>
      </c>
      <c r="AB671">
        <f>Z671*60+AA671</f>
        <v>10</v>
      </c>
    </row>
    <row r="672" spans="1:28" x14ac:dyDescent="0.25">
      <c r="A672">
        <v>670</v>
      </c>
      <c r="B672" t="s">
        <v>33</v>
      </c>
      <c r="C672">
        <v>1</v>
      </c>
      <c r="D672" t="s">
        <v>35</v>
      </c>
      <c r="E672" s="6">
        <v>46069.618055555555</v>
      </c>
      <c r="F672" s="6">
        <v>46069.631944444445</v>
      </c>
      <c r="G672" s="6">
        <v>46069.645833333336</v>
      </c>
      <c r="H672" s="6">
        <v>46069.729166666664</v>
      </c>
      <c r="I672" s="6">
        <v>46069.732638888891</v>
      </c>
      <c r="J672" s="6">
        <v>46069.736111111109</v>
      </c>
      <c r="K672">
        <v>2.83</v>
      </c>
      <c r="L672" s="6">
        <v>46069.739583333336</v>
      </c>
      <c r="M672" s="7">
        <f>F672-E672</f>
        <v>1.3888888890505768E-2</v>
      </c>
      <c r="N672">
        <f>HOUR(M672)</f>
        <v>0</v>
      </c>
      <c r="O672">
        <f>MINUTE(M672)</f>
        <v>20</v>
      </c>
      <c r="P672">
        <f>N672*60+O672</f>
        <v>20</v>
      </c>
      <c r="Q672" s="7">
        <f>G672-F672</f>
        <v>1.3888888890505768E-2</v>
      </c>
      <c r="R672">
        <f>HOUR(Q672)</f>
        <v>0</v>
      </c>
      <c r="S672">
        <f>MINUTE(Q672)</f>
        <v>20</v>
      </c>
      <c r="T672">
        <f>R672*60+S672</f>
        <v>20</v>
      </c>
      <c r="U672" s="7">
        <f>H672-G672</f>
        <v>8.3333333328482695E-2</v>
      </c>
      <c r="V672">
        <f>HOUR(U672)</f>
        <v>2</v>
      </c>
      <c r="W672">
        <f>MINUTE(U672)</f>
        <v>0</v>
      </c>
      <c r="X672">
        <f>V672*60+W672</f>
        <v>120</v>
      </c>
      <c r="Y672" s="7">
        <f>I672-H672</f>
        <v>3.4722222262644209E-3</v>
      </c>
      <c r="Z672">
        <f>HOUR(Y672)</f>
        <v>0</v>
      </c>
      <c r="AA672">
        <f>MINUTE(Y672)</f>
        <v>5</v>
      </c>
      <c r="AB672">
        <f>Z672*60+AA672</f>
        <v>5</v>
      </c>
    </row>
    <row r="673" spans="1:28" x14ac:dyDescent="0.25">
      <c r="A673">
        <v>671</v>
      </c>
      <c r="B673" t="s">
        <v>33</v>
      </c>
      <c r="C673">
        <v>1</v>
      </c>
      <c r="D673" t="s">
        <v>30</v>
      </c>
      <c r="E673" s="6">
        <v>46069.413194444445</v>
      </c>
      <c r="F673" s="6">
        <v>46069.4375</v>
      </c>
      <c r="G673" s="6">
        <v>46069.447916666664</v>
      </c>
      <c r="H673" s="6">
        <v>46069.520833333336</v>
      </c>
      <c r="I673" s="6">
        <v>46069.521527777775</v>
      </c>
      <c r="J673" s="6">
        <v>46069.522222222222</v>
      </c>
      <c r="K673">
        <v>2.62</v>
      </c>
      <c r="L673" s="6">
        <v>46069.522916666669</v>
      </c>
      <c r="M673" s="7">
        <f>F673-E673</f>
        <v>2.4305555554747116E-2</v>
      </c>
      <c r="N673">
        <f>HOUR(M673)</f>
        <v>0</v>
      </c>
      <c r="O673">
        <f>MINUTE(M673)</f>
        <v>35</v>
      </c>
      <c r="P673">
        <f>N673*60+O673</f>
        <v>35</v>
      </c>
      <c r="Q673" s="7">
        <f>G673-F673</f>
        <v>1.0416666664241347E-2</v>
      </c>
      <c r="R673">
        <f>HOUR(Q673)</f>
        <v>0</v>
      </c>
      <c r="S673">
        <f>MINUTE(Q673)</f>
        <v>15</v>
      </c>
      <c r="T673">
        <f>R673*60+S673</f>
        <v>15</v>
      </c>
      <c r="U673" s="7">
        <f>H673-G673</f>
        <v>7.2916666671517305E-2</v>
      </c>
      <c r="V673">
        <f>HOUR(U673)</f>
        <v>1</v>
      </c>
      <c r="W673">
        <f>MINUTE(U673)</f>
        <v>45</v>
      </c>
      <c r="X673">
        <f>V673*60+W673</f>
        <v>105</v>
      </c>
      <c r="Y673" s="7">
        <f>I673-H673</f>
        <v>6.9444443943211809E-4</v>
      </c>
      <c r="Z673">
        <f>HOUR(Y673)</f>
        <v>0</v>
      </c>
      <c r="AA673">
        <f>MINUTE(Y673)</f>
        <v>1</v>
      </c>
      <c r="AB673">
        <f>Z673*60+AA673</f>
        <v>1</v>
      </c>
    </row>
    <row r="674" spans="1:28" x14ac:dyDescent="0.25">
      <c r="A674">
        <v>672</v>
      </c>
      <c r="B674" t="s">
        <v>29</v>
      </c>
      <c r="C674">
        <v>1</v>
      </c>
      <c r="D674" t="s">
        <v>30</v>
      </c>
      <c r="E674" s="6">
        <v>46069.385416666664</v>
      </c>
      <c r="F674" s="6">
        <v>46069.395833333336</v>
      </c>
      <c r="G674" s="6">
        <v>46069.40625</v>
      </c>
      <c r="H674" s="6">
        <v>46069.427083333336</v>
      </c>
      <c r="I674" s="6">
        <v>46069.429861111108</v>
      </c>
      <c r="J674" s="6">
        <v>46069.431250000001</v>
      </c>
      <c r="K674">
        <v>1.1000000000000001</v>
      </c>
      <c r="L674" s="6">
        <v>46069.438194444447</v>
      </c>
      <c r="M674" s="7">
        <f>F674-E674</f>
        <v>1.0416666671517305E-2</v>
      </c>
      <c r="N674">
        <f>HOUR(M674)</f>
        <v>0</v>
      </c>
      <c r="O674">
        <f>MINUTE(M674)</f>
        <v>15</v>
      </c>
      <c r="P674">
        <f>N674*60+O674</f>
        <v>15</v>
      </c>
      <c r="Q674" s="7">
        <f>G674-F674</f>
        <v>1.0416666664241347E-2</v>
      </c>
      <c r="R674">
        <f>HOUR(Q674)</f>
        <v>0</v>
      </c>
      <c r="S674">
        <f>MINUTE(Q674)</f>
        <v>15</v>
      </c>
      <c r="T674">
        <f>R674*60+S674</f>
        <v>15</v>
      </c>
      <c r="U674" s="7">
        <f>H674-G674</f>
        <v>2.0833333335758653E-2</v>
      </c>
      <c r="V674">
        <f>HOUR(U674)</f>
        <v>0</v>
      </c>
      <c r="W674">
        <f>MINUTE(U674)</f>
        <v>30</v>
      </c>
      <c r="X674">
        <f>V674*60+W674</f>
        <v>30</v>
      </c>
      <c r="Y674" s="7">
        <f>I674-H674</f>
        <v>2.7777777722803876E-3</v>
      </c>
      <c r="Z674">
        <f>HOUR(Y674)</f>
        <v>0</v>
      </c>
      <c r="AA674">
        <f>MINUTE(Y674)</f>
        <v>4</v>
      </c>
      <c r="AB674">
        <f>Z674*60+AA674</f>
        <v>4</v>
      </c>
    </row>
    <row r="675" spans="1:28" x14ac:dyDescent="0.25">
      <c r="A675">
        <v>673</v>
      </c>
      <c r="B675" t="s">
        <v>31</v>
      </c>
      <c r="C675">
        <v>1</v>
      </c>
      <c r="D675" t="s">
        <v>30</v>
      </c>
      <c r="E675" s="6">
        <v>46069.486111111109</v>
      </c>
      <c r="F675" s="6">
        <v>46069.5</v>
      </c>
      <c r="G675" s="6">
        <v>46069.513888888891</v>
      </c>
      <c r="H675" s="6">
        <v>46069.599305555559</v>
      </c>
      <c r="I675" s="6">
        <v>46069.666666666664</v>
      </c>
      <c r="J675" s="6">
        <v>46069.6875</v>
      </c>
      <c r="K675">
        <v>4.83</v>
      </c>
      <c r="L675" s="6">
        <v>46069.694444444445</v>
      </c>
      <c r="M675" s="7">
        <f>F675-E675</f>
        <v>1.3888888890505768E-2</v>
      </c>
      <c r="N675">
        <f>HOUR(M675)</f>
        <v>0</v>
      </c>
      <c r="O675">
        <f>MINUTE(M675)</f>
        <v>20</v>
      </c>
      <c r="P675">
        <f>N675*60+O675</f>
        <v>20</v>
      </c>
      <c r="Q675" s="7">
        <f>G675-F675</f>
        <v>1.3888888890505768E-2</v>
      </c>
      <c r="R675">
        <f>HOUR(Q675)</f>
        <v>0</v>
      </c>
      <c r="S675">
        <f>MINUTE(Q675)</f>
        <v>20</v>
      </c>
      <c r="T675">
        <f>R675*60+S675</f>
        <v>20</v>
      </c>
      <c r="U675" s="7">
        <f>H675-G675</f>
        <v>8.5416666668606922E-2</v>
      </c>
      <c r="V675">
        <f>HOUR(U675)</f>
        <v>2</v>
      </c>
      <c r="W675">
        <f>MINUTE(U675)</f>
        <v>3</v>
      </c>
      <c r="X675">
        <f>V675*60+W675</f>
        <v>123</v>
      </c>
      <c r="Y675" s="7">
        <f>I675-H675</f>
        <v>6.7361111105128657E-2</v>
      </c>
      <c r="Z675">
        <f>HOUR(Y675)</f>
        <v>1</v>
      </c>
      <c r="AA675">
        <f>MINUTE(Y675)</f>
        <v>37</v>
      </c>
      <c r="AB675">
        <f>Z675*60+AA675</f>
        <v>97</v>
      </c>
    </row>
    <row r="676" spans="1:28" x14ac:dyDescent="0.25">
      <c r="A676">
        <v>674</v>
      </c>
      <c r="B676" t="s">
        <v>31</v>
      </c>
      <c r="C676">
        <v>1</v>
      </c>
      <c r="D676" t="s">
        <v>30</v>
      </c>
      <c r="E676" s="6">
        <v>46069.732638888891</v>
      </c>
      <c r="F676" s="6">
        <v>46069.743055555555</v>
      </c>
      <c r="G676" s="6">
        <v>46069.75</v>
      </c>
      <c r="H676" s="6">
        <v>46069.79791666667</v>
      </c>
      <c r="I676" s="6">
        <v>46069.804861111108</v>
      </c>
      <c r="J676" s="6">
        <v>46069.840277777781</v>
      </c>
      <c r="K676">
        <v>2.58</v>
      </c>
      <c r="L676" s="6">
        <v>46069.847222222219</v>
      </c>
      <c r="M676" s="7">
        <f>F676-E676</f>
        <v>1.0416666664241347E-2</v>
      </c>
      <c r="N676">
        <f>HOUR(M676)</f>
        <v>0</v>
      </c>
      <c r="O676">
        <f>MINUTE(M676)</f>
        <v>15</v>
      </c>
      <c r="P676">
        <f>N676*60+O676</f>
        <v>15</v>
      </c>
      <c r="Q676" s="7">
        <f>G676-F676</f>
        <v>6.9444444452528842E-3</v>
      </c>
      <c r="R676">
        <f>HOUR(Q676)</f>
        <v>0</v>
      </c>
      <c r="S676">
        <f>MINUTE(Q676)</f>
        <v>10</v>
      </c>
      <c r="T676">
        <f>R676*60+S676</f>
        <v>10</v>
      </c>
      <c r="U676" s="7">
        <f>H676-G676</f>
        <v>4.7916666670062114E-2</v>
      </c>
      <c r="V676">
        <f>HOUR(U676)</f>
        <v>1</v>
      </c>
      <c r="W676">
        <f>MINUTE(U676)</f>
        <v>9</v>
      </c>
      <c r="X676">
        <f>V676*60+W676</f>
        <v>69</v>
      </c>
      <c r="Y676" s="7">
        <f>I676-H676</f>
        <v>6.9444444379769266E-3</v>
      </c>
      <c r="Z676">
        <f>HOUR(Y676)</f>
        <v>0</v>
      </c>
      <c r="AA676">
        <f>MINUTE(Y676)</f>
        <v>10</v>
      </c>
      <c r="AB676">
        <f>Z676*60+AA676</f>
        <v>10</v>
      </c>
    </row>
    <row r="677" spans="1:28" x14ac:dyDescent="0.25">
      <c r="A677">
        <v>675</v>
      </c>
      <c r="B677" t="s">
        <v>31</v>
      </c>
      <c r="C677">
        <v>1</v>
      </c>
      <c r="D677" t="s">
        <v>30</v>
      </c>
      <c r="E677" s="6">
        <v>46070.291666666664</v>
      </c>
      <c r="F677" s="6">
        <v>46070.333333333336</v>
      </c>
      <c r="G677" s="6">
        <v>46070.375</v>
      </c>
      <c r="H677" s="6">
        <v>46070.458333333336</v>
      </c>
      <c r="I677" s="6">
        <v>46070.472222222219</v>
      </c>
      <c r="J677" s="6">
        <v>46070.479166666664</v>
      </c>
      <c r="K677">
        <v>4.5</v>
      </c>
      <c r="L677" s="6">
        <v>46070.486111111109</v>
      </c>
      <c r="M677" s="7">
        <f>F677-E677</f>
        <v>4.1666666671517305E-2</v>
      </c>
      <c r="N677">
        <f>HOUR(M677)</f>
        <v>1</v>
      </c>
      <c r="O677">
        <f>MINUTE(M677)</f>
        <v>0</v>
      </c>
      <c r="P677">
        <f>N677*60+O677</f>
        <v>60</v>
      </c>
      <c r="Q677" s="7">
        <f>G677-F677</f>
        <v>4.1666666664241347E-2</v>
      </c>
      <c r="R677">
        <f>HOUR(Q677)</f>
        <v>1</v>
      </c>
      <c r="S677">
        <f>MINUTE(Q677)</f>
        <v>0</v>
      </c>
      <c r="T677">
        <f>R677*60+S677</f>
        <v>60</v>
      </c>
      <c r="U677" s="7">
        <f>H677-G677</f>
        <v>8.3333333335758653E-2</v>
      </c>
      <c r="V677">
        <f>HOUR(U677)</f>
        <v>2</v>
      </c>
      <c r="W677">
        <f>MINUTE(U677)</f>
        <v>0</v>
      </c>
      <c r="X677">
        <f>V677*60+W677</f>
        <v>120</v>
      </c>
      <c r="Y677" s="7">
        <f>I677-H677</f>
        <v>1.3888888883229811E-2</v>
      </c>
      <c r="Z677">
        <f>HOUR(Y677)</f>
        <v>0</v>
      </c>
      <c r="AA677">
        <f>MINUTE(Y677)</f>
        <v>20</v>
      </c>
      <c r="AB677">
        <f>Z677*60+AA677</f>
        <v>20</v>
      </c>
    </row>
    <row r="678" spans="1:28" x14ac:dyDescent="0.25">
      <c r="A678">
        <v>676</v>
      </c>
      <c r="B678" t="s">
        <v>29</v>
      </c>
      <c r="C678">
        <v>1</v>
      </c>
      <c r="D678" t="s">
        <v>36</v>
      </c>
      <c r="E678" s="6">
        <v>46070.322916666664</v>
      </c>
      <c r="F678" s="6">
        <v>46070.329861111109</v>
      </c>
      <c r="G678" s="6">
        <v>46070.364583333336</v>
      </c>
      <c r="H678" s="6">
        <v>46070.444444444445</v>
      </c>
      <c r="I678" s="6">
        <v>46070.451388888891</v>
      </c>
      <c r="J678" s="6">
        <v>46070.454861111109</v>
      </c>
      <c r="K678">
        <v>3.17</v>
      </c>
      <c r="L678" s="6">
        <v>46070.455555555556</v>
      </c>
      <c r="M678" s="7">
        <f>F678-E678</f>
        <v>6.9444444452528842E-3</v>
      </c>
      <c r="N678">
        <f>HOUR(M678)</f>
        <v>0</v>
      </c>
      <c r="O678">
        <f>MINUTE(M678)</f>
        <v>10</v>
      </c>
      <c r="P678">
        <f>N678*60+O678</f>
        <v>10</v>
      </c>
      <c r="Q678" s="7">
        <f>G678-F678</f>
        <v>3.4722222226264421E-2</v>
      </c>
      <c r="R678">
        <f>HOUR(Q678)</f>
        <v>0</v>
      </c>
      <c r="S678">
        <f>MINUTE(Q678)</f>
        <v>50</v>
      </c>
      <c r="T678">
        <f>R678*60+S678</f>
        <v>50</v>
      </c>
      <c r="U678" s="7">
        <f>H678-G678</f>
        <v>7.9861111109494232E-2</v>
      </c>
      <c r="V678">
        <f>HOUR(U678)</f>
        <v>1</v>
      </c>
      <c r="W678">
        <f>MINUTE(U678)</f>
        <v>55</v>
      </c>
      <c r="X678">
        <f>V678*60+W678</f>
        <v>115</v>
      </c>
      <c r="Y678" s="7">
        <f>I678-H678</f>
        <v>6.9444444452528842E-3</v>
      </c>
      <c r="Z678">
        <f>HOUR(Y678)</f>
        <v>0</v>
      </c>
      <c r="AA678">
        <f>MINUTE(Y678)</f>
        <v>10</v>
      </c>
      <c r="AB678">
        <f>Z678*60+AA678</f>
        <v>10</v>
      </c>
    </row>
    <row r="679" spans="1:28" x14ac:dyDescent="0.25">
      <c r="A679">
        <v>677</v>
      </c>
      <c r="B679" t="s">
        <v>33</v>
      </c>
      <c r="C679">
        <v>1</v>
      </c>
      <c r="D679" t="s">
        <v>32</v>
      </c>
      <c r="E679" s="6">
        <v>46070.458333333336</v>
      </c>
      <c r="F679" s="6">
        <v>46070.472222222219</v>
      </c>
      <c r="G679" s="6">
        <v>46070.486111111109</v>
      </c>
      <c r="H679" s="6">
        <v>46070.527777777781</v>
      </c>
      <c r="I679" s="6">
        <v>46070.534722222219</v>
      </c>
      <c r="J679" s="6">
        <v>46070.541666666664</v>
      </c>
      <c r="K679">
        <v>2</v>
      </c>
      <c r="L679" s="6">
        <v>46070.548611111109</v>
      </c>
      <c r="M679" s="7">
        <f>F679-E679</f>
        <v>1.3888888883229811E-2</v>
      </c>
      <c r="N679">
        <f>HOUR(M679)</f>
        <v>0</v>
      </c>
      <c r="O679">
        <f>MINUTE(M679)</f>
        <v>20</v>
      </c>
      <c r="P679">
        <f>N679*60+O679</f>
        <v>20</v>
      </c>
      <c r="Q679" s="7">
        <f>G679-F679</f>
        <v>1.3888888890505768E-2</v>
      </c>
      <c r="R679">
        <f>HOUR(Q679)</f>
        <v>0</v>
      </c>
      <c r="S679">
        <f>MINUTE(Q679)</f>
        <v>20</v>
      </c>
      <c r="T679">
        <f>R679*60+S679</f>
        <v>20</v>
      </c>
      <c r="U679" s="7">
        <f>H679-G679</f>
        <v>4.1666666671517305E-2</v>
      </c>
      <c r="V679">
        <f>HOUR(U679)</f>
        <v>1</v>
      </c>
      <c r="W679">
        <f>MINUTE(U679)</f>
        <v>0</v>
      </c>
      <c r="X679">
        <f>V679*60+W679</f>
        <v>60</v>
      </c>
      <c r="Y679" s="7">
        <f>I679-H679</f>
        <v>6.9444444379769266E-3</v>
      </c>
      <c r="Z679">
        <f>HOUR(Y679)</f>
        <v>0</v>
      </c>
      <c r="AA679">
        <f>MINUTE(Y679)</f>
        <v>10</v>
      </c>
      <c r="AB679">
        <f>Z679*60+AA679</f>
        <v>10</v>
      </c>
    </row>
    <row r="680" spans="1:28" x14ac:dyDescent="0.25">
      <c r="A680">
        <v>678</v>
      </c>
      <c r="B680" t="s">
        <v>31</v>
      </c>
      <c r="C680">
        <v>1</v>
      </c>
      <c r="D680" t="s">
        <v>34</v>
      </c>
      <c r="E680" s="6">
        <v>46070.694444444445</v>
      </c>
      <c r="F680" s="6">
        <v>46070.697916666664</v>
      </c>
      <c r="G680" s="6">
        <v>46070.722222222219</v>
      </c>
      <c r="H680" s="6">
        <v>46070.840277777781</v>
      </c>
      <c r="I680" s="6">
        <v>46070.854166666664</v>
      </c>
      <c r="J680" s="6">
        <v>46070.857638888891</v>
      </c>
      <c r="K680">
        <v>3.92</v>
      </c>
      <c r="L680" s="6">
        <v>46070.864583333336</v>
      </c>
      <c r="M680" s="7">
        <f>F680-E680</f>
        <v>3.4722222189884633E-3</v>
      </c>
      <c r="N680">
        <f>HOUR(M680)</f>
        <v>0</v>
      </c>
      <c r="O680">
        <f>MINUTE(M680)</f>
        <v>5</v>
      </c>
      <c r="P680">
        <f>N680*60+O680</f>
        <v>5</v>
      </c>
      <c r="Q680" s="7">
        <f>G680-F680</f>
        <v>2.4305555554747116E-2</v>
      </c>
      <c r="R680">
        <f>HOUR(Q680)</f>
        <v>0</v>
      </c>
      <c r="S680">
        <f>MINUTE(Q680)</f>
        <v>35</v>
      </c>
      <c r="T680">
        <f>R680*60+S680</f>
        <v>35</v>
      </c>
      <c r="U680" s="7">
        <f>H680-G680</f>
        <v>0.11805555556202307</v>
      </c>
      <c r="V680">
        <f>HOUR(U680)</f>
        <v>2</v>
      </c>
      <c r="W680">
        <f>MINUTE(U680)</f>
        <v>50</v>
      </c>
      <c r="X680">
        <f>V680*60+W680</f>
        <v>170</v>
      </c>
      <c r="Y680" s="7">
        <f>I680-H680</f>
        <v>1.3888888883229811E-2</v>
      </c>
      <c r="Z680">
        <f>HOUR(Y680)</f>
        <v>0</v>
      </c>
      <c r="AA680">
        <f>MINUTE(Y680)</f>
        <v>20</v>
      </c>
      <c r="AB680">
        <f>Z680*60+AA680</f>
        <v>20</v>
      </c>
    </row>
    <row r="681" spans="1:28" x14ac:dyDescent="0.25">
      <c r="A681">
        <v>679</v>
      </c>
      <c r="B681" t="s">
        <v>31</v>
      </c>
      <c r="C681">
        <v>1</v>
      </c>
      <c r="D681" t="s">
        <v>35</v>
      </c>
      <c r="E681" s="6">
        <v>46070.565972222219</v>
      </c>
      <c r="F681" s="6">
        <v>46070.583333333336</v>
      </c>
      <c r="G681" s="6">
        <v>46070.618055555555</v>
      </c>
      <c r="H681" s="6">
        <v>46070.729166666664</v>
      </c>
      <c r="I681" s="6">
        <v>46070.743055555555</v>
      </c>
      <c r="J681" s="6">
        <v>46070.753472222219</v>
      </c>
      <c r="K681">
        <v>4.5</v>
      </c>
      <c r="L681" s="6">
        <v>46070.756944444445</v>
      </c>
      <c r="M681" s="7">
        <f>F681-E681</f>
        <v>1.7361111116770189E-2</v>
      </c>
      <c r="N681">
        <f>HOUR(M681)</f>
        <v>0</v>
      </c>
      <c r="O681">
        <f>MINUTE(M681)</f>
        <v>25</v>
      </c>
      <c r="P681">
        <f>N681*60+O681</f>
        <v>25</v>
      </c>
      <c r="Q681" s="7">
        <f>G681-F681</f>
        <v>3.4722222218988463E-2</v>
      </c>
      <c r="R681">
        <f>HOUR(Q681)</f>
        <v>0</v>
      </c>
      <c r="S681">
        <f>MINUTE(Q681)</f>
        <v>50</v>
      </c>
      <c r="T681">
        <f>R681*60+S681</f>
        <v>50</v>
      </c>
      <c r="U681" s="7">
        <f>H681-G681</f>
        <v>0.11111111110949423</v>
      </c>
      <c r="V681">
        <f>HOUR(U681)</f>
        <v>2</v>
      </c>
      <c r="W681">
        <f>MINUTE(U681)</f>
        <v>40</v>
      </c>
      <c r="X681">
        <f>V681*60+W681</f>
        <v>160</v>
      </c>
      <c r="Y681" s="7">
        <f>I681-H681</f>
        <v>1.3888888890505768E-2</v>
      </c>
      <c r="Z681">
        <f>HOUR(Y681)</f>
        <v>0</v>
      </c>
      <c r="AA681">
        <f>MINUTE(Y681)</f>
        <v>20</v>
      </c>
      <c r="AB681">
        <f>Z681*60+AA681</f>
        <v>20</v>
      </c>
    </row>
    <row r="682" spans="1:28" x14ac:dyDescent="0.25">
      <c r="A682">
        <v>680</v>
      </c>
      <c r="B682" t="s">
        <v>29</v>
      </c>
      <c r="C682">
        <v>1</v>
      </c>
      <c r="D682" t="s">
        <v>36</v>
      </c>
      <c r="E682" s="6">
        <v>46070.420138888891</v>
      </c>
      <c r="F682" s="6">
        <v>46070.430555555555</v>
      </c>
      <c r="G682" s="6">
        <v>46070.451388888891</v>
      </c>
      <c r="H682" s="6">
        <v>46070.520833333336</v>
      </c>
      <c r="I682" s="6">
        <v>46070.527777777781</v>
      </c>
      <c r="J682" s="6">
        <v>46070.541666666664</v>
      </c>
      <c r="K682">
        <v>2.92</v>
      </c>
      <c r="L682" s="6">
        <v>46070.548611111109</v>
      </c>
      <c r="M682" s="7">
        <f>F682-E682</f>
        <v>1.0416666664241347E-2</v>
      </c>
      <c r="N682">
        <f>HOUR(M682)</f>
        <v>0</v>
      </c>
      <c r="O682">
        <f>MINUTE(M682)</f>
        <v>15</v>
      </c>
      <c r="P682">
        <f>N682*60+O682</f>
        <v>15</v>
      </c>
      <c r="Q682" s="7">
        <f>G682-F682</f>
        <v>2.0833333335758653E-2</v>
      </c>
      <c r="R682">
        <f>HOUR(Q682)</f>
        <v>0</v>
      </c>
      <c r="S682">
        <f>MINUTE(Q682)</f>
        <v>30</v>
      </c>
      <c r="T682">
        <f>R682*60+S682</f>
        <v>30</v>
      </c>
      <c r="U682" s="7">
        <f>H682-G682</f>
        <v>6.9444444445252884E-2</v>
      </c>
      <c r="V682">
        <f>HOUR(U682)</f>
        <v>1</v>
      </c>
      <c r="W682">
        <f>MINUTE(U682)</f>
        <v>40</v>
      </c>
      <c r="X682">
        <f>V682*60+W682</f>
        <v>100</v>
      </c>
      <c r="Y682" s="7">
        <f>I682-H682</f>
        <v>6.9444444452528842E-3</v>
      </c>
      <c r="Z682">
        <f>HOUR(Y682)</f>
        <v>0</v>
      </c>
      <c r="AA682">
        <f>MINUTE(Y682)</f>
        <v>10</v>
      </c>
      <c r="AB682">
        <f>Z682*60+AA682</f>
        <v>10</v>
      </c>
    </row>
    <row r="683" spans="1:28" x14ac:dyDescent="0.25">
      <c r="A683">
        <v>681</v>
      </c>
      <c r="B683" t="s">
        <v>33</v>
      </c>
      <c r="C683">
        <v>1</v>
      </c>
      <c r="D683" t="s">
        <v>34</v>
      </c>
      <c r="E683" s="6">
        <v>46070.345833333333</v>
      </c>
      <c r="F683" s="6">
        <v>46070.353472222225</v>
      </c>
      <c r="G683" s="6">
        <v>46070.371527777781</v>
      </c>
      <c r="H683" s="6">
        <v>46070.4375</v>
      </c>
      <c r="I683" s="6">
        <v>46070.447916666664</v>
      </c>
      <c r="J683" s="6">
        <v>46070.458333333336</v>
      </c>
      <c r="K683">
        <v>2.7</v>
      </c>
      <c r="L683" s="6">
        <v>46070.461805555555</v>
      </c>
      <c r="M683" s="7">
        <f>F683-E683</f>
        <v>7.6388888919609599E-3</v>
      </c>
      <c r="N683">
        <f>HOUR(M683)</f>
        <v>0</v>
      </c>
      <c r="O683">
        <f>MINUTE(M683)</f>
        <v>11</v>
      </c>
      <c r="P683">
        <f>N683*60+O683</f>
        <v>11</v>
      </c>
      <c r="Q683" s="7">
        <f>G683-F683</f>
        <v>1.8055555556202307E-2</v>
      </c>
      <c r="R683">
        <f>HOUR(Q683)</f>
        <v>0</v>
      </c>
      <c r="S683">
        <f>MINUTE(Q683)</f>
        <v>26</v>
      </c>
      <c r="T683">
        <f>R683*60+S683</f>
        <v>26</v>
      </c>
      <c r="U683" s="7">
        <f>H683-G683</f>
        <v>6.5972222218988463E-2</v>
      </c>
      <c r="V683">
        <f>HOUR(U683)</f>
        <v>1</v>
      </c>
      <c r="W683">
        <f>MINUTE(U683)</f>
        <v>35</v>
      </c>
      <c r="X683">
        <f>V683*60+W683</f>
        <v>95</v>
      </c>
      <c r="Y683" s="7">
        <f>I683-H683</f>
        <v>1.0416666664241347E-2</v>
      </c>
      <c r="Z683">
        <f>HOUR(Y683)</f>
        <v>0</v>
      </c>
      <c r="AA683">
        <f>MINUTE(Y683)</f>
        <v>15</v>
      </c>
      <c r="AB683">
        <f>Z683*60+AA683</f>
        <v>15</v>
      </c>
    </row>
    <row r="684" spans="1:28" x14ac:dyDescent="0.25">
      <c r="A684">
        <v>682</v>
      </c>
      <c r="B684" t="s">
        <v>33</v>
      </c>
      <c r="C684">
        <v>1</v>
      </c>
      <c r="D684" t="s">
        <v>30</v>
      </c>
      <c r="E684" s="6">
        <v>46070.621527777781</v>
      </c>
      <c r="F684" s="6">
        <v>46070.635416666664</v>
      </c>
      <c r="G684" s="6">
        <v>46070.659722222219</v>
      </c>
      <c r="H684" s="6">
        <v>46070.694444444445</v>
      </c>
      <c r="I684" s="6">
        <v>46070.701388888891</v>
      </c>
      <c r="J684" s="6">
        <v>46070.708333333336</v>
      </c>
      <c r="K684">
        <v>2.08</v>
      </c>
      <c r="L684" s="6">
        <v>46070.715277777781</v>
      </c>
      <c r="M684" s="7">
        <f>F684-E684</f>
        <v>1.3888888883229811E-2</v>
      </c>
      <c r="N684">
        <f>HOUR(M684)</f>
        <v>0</v>
      </c>
      <c r="O684">
        <f>MINUTE(M684)</f>
        <v>20</v>
      </c>
      <c r="P684">
        <f>N684*60+O684</f>
        <v>20</v>
      </c>
      <c r="Q684" s="7">
        <f>G684-F684</f>
        <v>2.4305555554747116E-2</v>
      </c>
      <c r="R684">
        <f>HOUR(Q684)</f>
        <v>0</v>
      </c>
      <c r="S684">
        <f>MINUTE(Q684)</f>
        <v>35</v>
      </c>
      <c r="T684">
        <f>R684*60+S684</f>
        <v>35</v>
      </c>
      <c r="U684" s="7">
        <f>H684-G684</f>
        <v>3.4722222226264421E-2</v>
      </c>
      <c r="V684">
        <f>HOUR(U684)</f>
        <v>0</v>
      </c>
      <c r="W684">
        <f>MINUTE(U684)</f>
        <v>50</v>
      </c>
      <c r="X684">
        <f>V684*60+W684</f>
        <v>50</v>
      </c>
      <c r="Y684" s="7">
        <f>I684-H684</f>
        <v>6.9444444452528842E-3</v>
      </c>
      <c r="Z684">
        <f>HOUR(Y684)</f>
        <v>0</v>
      </c>
      <c r="AA684">
        <f>MINUTE(Y684)</f>
        <v>10</v>
      </c>
      <c r="AB684">
        <f>Z684*60+AA684</f>
        <v>10</v>
      </c>
    </row>
    <row r="685" spans="1:28" x14ac:dyDescent="0.25">
      <c r="A685">
        <v>683</v>
      </c>
      <c r="B685" t="s">
        <v>31</v>
      </c>
      <c r="C685">
        <v>1</v>
      </c>
      <c r="D685" t="s">
        <v>32</v>
      </c>
      <c r="E685" s="6">
        <v>46070.291666666664</v>
      </c>
      <c r="F685" s="6">
        <v>46070.333333333336</v>
      </c>
      <c r="G685" s="6">
        <v>46070.340277777781</v>
      </c>
      <c r="H685" s="6">
        <v>46070.385416666664</v>
      </c>
      <c r="I685" s="6">
        <v>46070.392361111109</v>
      </c>
      <c r="J685" s="6">
        <v>46070.413194444445</v>
      </c>
      <c r="K685">
        <v>2.92</v>
      </c>
      <c r="L685" s="6">
        <v>46070.420138888891</v>
      </c>
      <c r="M685" s="7">
        <f>F685-E685</f>
        <v>4.1666666671517305E-2</v>
      </c>
      <c r="N685">
        <f>HOUR(M685)</f>
        <v>1</v>
      </c>
      <c r="O685">
        <f>MINUTE(M685)</f>
        <v>0</v>
      </c>
      <c r="P685">
        <f>N685*60+O685</f>
        <v>60</v>
      </c>
      <c r="Q685" s="7">
        <f>G685-F685</f>
        <v>6.9444444452528842E-3</v>
      </c>
      <c r="R685">
        <f>HOUR(Q685)</f>
        <v>0</v>
      </c>
      <c r="S685">
        <f>MINUTE(Q685)</f>
        <v>10</v>
      </c>
      <c r="T685">
        <f>R685*60+S685</f>
        <v>10</v>
      </c>
      <c r="U685" s="7">
        <f>H685-G685</f>
        <v>4.5138888883229811E-2</v>
      </c>
      <c r="V685">
        <f>HOUR(U685)</f>
        <v>1</v>
      </c>
      <c r="W685">
        <f>MINUTE(U685)</f>
        <v>5</v>
      </c>
      <c r="X685">
        <f>V685*60+W685</f>
        <v>65</v>
      </c>
      <c r="Y685" s="7">
        <f>I685-H685</f>
        <v>6.9444444452528842E-3</v>
      </c>
      <c r="Z685">
        <f>HOUR(Y685)</f>
        <v>0</v>
      </c>
      <c r="AA685">
        <f>MINUTE(Y685)</f>
        <v>10</v>
      </c>
      <c r="AB685">
        <f>Z685*60+AA685</f>
        <v>10</v>
      </c>
    </row>
    <row r="686" spans="1:28" x14ac:dyDescent="0.25">
      <c r="A686">
        <v>684</v>
      </c>
      <c r="B686" t="s">
        <v>33</v>
      </c>
      <c r="C686">
        <v>1</v>
      </c>
      <c r="D686" t="s">
        <v>30</v>
      </c>
      <c r="E686" s="6">
        <v>46099.319444444445</v>
      </c>
      <c r="F686" s="6">
        <v>46099.326388888891</v>
      </c>
      <c r="G686" s="6">
        <v>46099.329861111109</v>
      </c>
      <c r="H686" s="6">
        <v>46099.388888888891</v>
      </c>
      <c r="I686" s="6">
        <v>46099.395833333336</v>
      </c>
      <c r="J686" s="6">
        <v>46099.402777777781</v>
      </c>
      <c r="K686">
        <v>2</v>
      </c>
      <c r="L686" s="6">
        <v>46099.409722222219</v>
      </c>
      <c r="M686" s="7">
        <f>F686-E686</f>
        <v>6.9444444452528842E-3</v>
      </c>
      <c r="N686">
        <f>HOUR(M686)</f>
        <v>0</v>
      </c>
      <c r="O686">
        <f>MINUTE(M686)</f>
        <v>10</v>
      </c>
      <c r="P686">
        <f>N686*60+O686</f>
        <v>10</v>
      </c>
      <c r="Q686" s="7">
        <f>G686-F686</f>
        <v>3.4722222189884633E-3</v>
      </c>
      <c r="R686">
        <f>HOUR(Q686)</f>
        <v>0</v>
      </c>
      <c r="S686">
        <f>MINUTE(Q686)</f>
        <v>5</v>
      </c>
      <c r="T686">
        <f>R686*60+S686</f>
        <v>5</v>
      </c>
      <c r="U686" s="7">
        <f>H686-G686</f>
        <v>5.9027777781011537E-2</v>
      </c>
      <c r="V686">
        <f>HOUR(U686)</f>
        <v>1</v>
      </c>
      <c r="W686">
        <f>MINUTE(U686)</f>
        <v>25</v>
      </c>
      <c r="X686">
        <f>V686*60+W686</f>
        <v>85</v>
      </c>
      <c r="Y686" s="7">
        <f>I686-H686</f>
        <v>6.9444444452528842E-3</v>
      </c>
      <c r="Z686">
        <f>HOUR(Y686)</f>
        <v>0</v>
      </c>
      <c r="AA686">
        <f>MINUTE(Y686)</f>
        <v>10</v>
      </c>
      <c r="AB686">
        <f>Z686*60+AA686</f>
        <v>10</v>
      </c>
    </row>
    <row r="687" spans="1:28" x14ac:dyDescent="0.25">
      <c r="A687">
        <v>685</v>
      </c>
      <c r="B687" t="s">
        <v>31</v>
      </c>
      <c r="C687">
        <v>1</v>
      </c>
      <c r="D687" t="s">
        <v>36</v>
      </c>
      <c r="E687" s="6">
        <v>46070.59375</v>
      </c>
      <c r="F687" s="6">
        <v>46070.600694444445</v>
      </c>
      <c r="G687" s="6">
        <v>46070.618055555555</v>
      </c>
      <c r="H687" s="6">
        <v>46070.6875</v>
      </c>
      <c r="I687" s="6">
        <v>46070.694444444445</v>
      </c>
      <c r="J687" s="6">
        <v>46070.708333333336</v>
      </c>
      <c r="K687">
        <v>2.75</v>
      </c>
      <c r="L687" s="6">
        <v>46070.709722222222</v>
      </c>
      <c r="M687" s="7">
        <f>F687-E687</f>
        <v>6.9444444452528842E-3</v>
      </c>
      <c r="N687">
        <f>HOUR(M687)</f>
        <v>0</v>
      </c>
      <c r="O687">
        <f>MINUTE(M687)</f>
        <v>10</v>
      </c>
      <c r="P687">
        <f>N687*60+O687</f>
        <v>10</v>
      </c>
      <c r="Q687" s="7">
        <f>G687-F687</f>
        <v>1.7361111109494232E-2</v>
      </c>
      <c r="R687">
        <f>HOUR(Q687)</f>
        <v>0</v>
      </c>
      <c r="S687">
        <f>MINUTE(Q687)</f>
        <v>25</v>
      </c>
      <c r="T687">
        <f>R687*60+S687</f>
        <v>25</v>
      </c>
      <c r="U687" s="7">
        <f>H687-G687</f>
        <v>6.9444444445252884E-2</v>
      </c>
      <c r="V687">
        <f>HOUR(U687)</f>
        <v>1</v>
      </c>
      <c r="W687">
        <f>MINUTE(U687)</f>
        <v>40</v>
      </c>
      <c r="X687">
        <f>V687*60+W687</f>
        <v>100</v>
      </c>
      <c r="Y687" s="7">
        <f>I687-H687</f>
        <v>6.9444444452528842E-3</v>
      </c>
      <c r="Z687">
        <f>HOUR(Y687)</f>
        <v>0</v>
      </c>
      <c r="AA687">
        <f>MINUTE(Y687)</f>
        <v>10</v>
      </c>
      <c r="AB687">
        <f>Z687*60+AA687</f>
        <v>10</v>
      </c>
    </row>
    <row r="688" spans="1:28" x14ac:dyDescent="0.25">
      <c r="A688">
        <v>686</v>
      </c>
      <c r="B688" t="s">
        <v>31</v>
      </c>
      <c r="C688">
        <v>1</v>
      </c>
      <c r="D688" t="s">
        <v>30</v>
      </c>
      <c r="E688" s="6">
        <v>46069.904861111114</v>
      </c>
      <c r="F688" s="6">
        <v>46069.90625</v>
      </c>
      <c r="G688" s="6">
        <v>46069.909722222219</v>
      </c>
      <c r="H688" s="6">
        <v>46069.968055555553</v>
      </c>
      <c r="I688" s="6">
        <v>46069.979166666664</v>
      </c>
      <c r="J688" s="6">
        <v>46070.003472222219</v>
      </c>
      <c r="K688">
        <v>2.37</v>
      </c>
      <c r="L688" s="6">
        <v>46070.010416666664</v>
      </c>
      <c r="M688" s="7">
        <f>F688-E688</f>
        <v>1.3888888861401938E-3</v>
      </c>
      <c r="N688">
        <f>HOUR(M688)</f>
        <v>0</v>
      </c>
      <c r="O688">
        <f>MINUTE(M688)</f>
        <v>2</v>
      </c>
      <c r="P688">
        <f>N688*60+O688</f>
        <v>2</v>
      </c>
      <c r="Q688" s="7">
        <f>G688-F688</f>
        <v>3.4722222189884633E-3</v>
      </c>
      <c r="R688">
        <f>HOUR(Q688)</f>
        <v>0</v>
      </c>
      <c r="S688">
        <f>MINUTE(Q688)</f>
        <v>5</v>
      </c>
      <c r="T688">
        <f>R688*60+S688</f>
        <v>5</v>
      </c>
      <c r="U688" s="7">
        <f>H688-G688</f>
        <v>5.8333333334303461E-2</v>
      </c>
      <c r="V688">
        <f>HOUR(U688)</f>
        <v>1</v>
      </c>
      <c r="W688">
        <f>MINUTE(U688)</f>
        <v>24</v>
      </c>
      <c r="X688">
        <f>V688*60+W688</f>
        <v>84</v>
      </c>
      <c r="Y688" s="7">
        <f>I688-H688</f>
        <v>1.1111111110949423E-2</v>
      </c>
      <c r="Z688">
        <f>HOUR(Y688)</f>
        <v>0</v>
      </c>
      <c r="AA688">
        <f>MINUTE(Y688)</f>
        <v>16</v>
      </c>
      <c r="AB688">
        <f>Z688*60+AA688</f>
        <v>16</v>
      </c>
    </row>
    <row r="689" spans="1:28" x14ac:dyDescent="0.25">
      <c r="A689">
        <v>687</v>
      </c>
      <c r="B689" t="s">
        <v>33</v>
      </c>
      <c r="C689">
        <v>1</v>
      </c>
      <c r="D689" t="s">
        <v>30</v>
      </c>
      <c r="E689" s="6">
        <v>46069.899305555555</v>
      </c>
      <c r="F689" s="6">
        <v>46069.90625</v>
      </c>
      <c r="G689" s="6">
        <v>46069.927083333336</v>
      </c>
      <c r="H689" s="6">
        <v>46069.961805555555</v>
      </c>
      <c r="I689" s="6">
        <v>46069.96875</v>
      </c>
      <c r="J689" s="6">
        <v>46069.979166666664</v>
      </c>
      <c r="K689">
        <v>1.92</v>
      </c>
      <c r="L689" s="6">
        <v>46069.979861111111</v>
      </c>
      <c r="M689" s="7">
        <f>F689-E689</f>
        <v>6.9444444452528842E-3</v>
      </c>
      <c r="N689">
        <f>HOUR(M689)</f>
        <v>0</v>
      </c>
      <c r="O689">
        <f>MINUTE(M689)</f>
        <v>10</v>
      </c>
      <c r="P689">
        <f>N689*60+O689</f>
        <v>10</v>
      </c>
      <c r="Q689" s="7">
        <f>G689-F689</f>
        <v>2.0833333335758653E-2</v>
      </c>
      <c r="R689">
        <f>HOUR(Q689)</f>
        <v>0</v>
      </c>
      <c r="S689">
        <f>MINUTE(Q689)</f>
        <v>30</v>
      </c>
      <c r="T689">
        <f>R689*60+S689</f>
        <v>30</v>
      </c>
      <c r="U689" s="7">
        <f>H689-G689</f>
        <v>3.4722222218988463E-2</v>
      </c>
      <c r="V689">
        <f>HOUR(U689)</f>
        <v>0</v>
      </c>
      <c r="W689">
        <f>MINUTE(U689)</f>
        <v>50</v>
      </c>
      <c r="X689">
        <f>V689*60+W689</f>
        <v>50</v>
      </c>
      <c r="Y689" s="7">
        <f>I689-H689</f>
        <v>6.9444444452528842E-3</v>
      </c>
      <c r="Z689">
        <f>HOUR(Y689)</f>
        <v>0</v>
      </c>
      <c r="AA689">
        <f>MINUTE(Y689)</f>
        <v>10</v>
      </c>
      <c r="AB689">
        <f>Z689*60+AA689</f>
        <v>10</v>
      </c>
    </row>
    <row r="690" spans="1:28" x14ac:dyDescent="0.25">
      <c r="A690">
        <v>688</v>
      </c>
      <c r="B690" t="s">
        <v>29</v>
      </c>
      <c r="C690">
        <v>1</v>
      </c>
      <c r="D690" t="s">
        <v>36</v>
      </c>
      <c r="E690" s="6">
        <v>46070.336805555555</v>
      </c>
      <c r="F690" s="6">
        <v>46070.350694444445</v>
      </c>
      <c r="G690" s="6">
        <v>46070.354166666664</v>
      </c>
      <c r="H690" s="6">
        <v>46070.364583333336</v>
      </c>
      <c r="I690" s="6">
        <v>46070.371527777781</v>
      </c>
      <c r="J690" s="6">
        <v>46070.381944444445</v>
      </c>
      <c r="K690">
        <v>1.08</v>
      </c>
      <c r="L690" s="6">
        <v>46070.388888888891</v>
      </c>
      <c r="M690" s="7">
        <f>F690-E690</f>
        <v>1.3888888890505768E-2</v>
      </c>
      <c r="N690">
        <f>HOUR(M690)</f>
        <v>0</v>
      </c>
      <c r="O690">
        <f>MINUTE(M690)</f>
        <v>20</v>
      </c>
      <c r="P690">
        <f>N690*60+O690</f>
        <v>20</v>
      </c>
      <c r="Q690" s="7">
        <f>G690-F690</f>
        <v>3.4722222189884633E-3</v>
      </c>
      <c r="R690">
        <f>HOUR(Q690)</f>
        <v>0</v>
      </c>
      <c r="S690">
        <f>MINUTE(Q690)</f>
        <v>5</v>
      </c>
      <c r="T690">
        <f>R690*60+S690</f>
        <v>5</v>
      </c>
      <c r="U690" s="7">
        <f>H690-G690</f>
        <v>1.0416666671517305E-2</v>
      </c>
      <c r="V690">
        <f>HOUR(U690)</f>
        <v>0</v>
      </c>
      <c r="W690">
        <f>MINUTE(U690)</f>
        <v>15</v>
      </c>
      <c r="X690">
        <f>V690*60+W690</f>
        <v>15</v>
      </c>
      <c r="Y690" s="7">
        <f>I690-H690</f>
        <v>6.9444444452528842E-3</v>
      </c>
      <c r="Z690">
        <f>HOUR(Y690)</f>
        <v>0</v>
      </c>
      <c r="AA690">
        <f>MINUTE(Y690)</f>
        <v>10</v>
      </c>
      <c r="AB690">
        <f>Z690*60+AA690</f>
        <v>10</v>
      </c>
    </row>
    <row r="691" spans="1:28" x14ac:dyDescent="0.25">
      <c r="A691">
        <v>689</v>
      </c>
      <c r="B691" t="s">
        <v>29</v>
      </c>
      <c r="C691">
        <v>1</v>
      </c>
      <c r="D691" t="s">
        <v>30</v>
      </c>
      <c r="E691" s="6">
        <v>46070.496527777781</v>
      </c>
      <c r="F691" s="6">
        <v>46070.503472222219</v>
      </c>
      <c r="G691" s="6">
        <v>46070.513888888891</v>
      </c>
      <c r="H691" s="6">
        <v>46070.555555555555</v>
      </c>
      <c r="I691" s="6">
        <v>46070.5625</v>
      </c>
      <c r="J691" s="6">
        <v>46070.586805555555</v>
      </c>
      <c r="K691">
        <v>2.17</v>
      </c>
      <c r="L691" s="6">
        <v>46070.59375</v>
      </c>
      <c r="M691" s="7">
        <f>F691-E691</f>
        <v>6.9444444379769266E-3</v>
      </c>
      <c r="N691">
        <f>HOUR(M691)</f>
        <v>0</v>
      </c>
      <c r="O691">
        <f>MINUTE(M691)</f>
        <v>10</v>
      </c>
      <c r="P691">
        <f>N691*60+O691</f>
        <v>10</v>
      </c>
      <c r="Q691" s="7">
        <f>G691-F691</f>
        <v>1.0416666671517305E-2</v>
      </c>
      <c r="R691">
        <f>HOUR(Q691)</f>
        <v>0</v>
      </c>
      <c r="S691">
        <f>MINUTE(Q691)</f>
        <v>15</v>
      </c>
      <c r="T691">
        <f>R691*60+S691</f>
        <v>15</v>
      </c>
      <c r="U691" s="7">
        <f>H691-G691</f>
        <v>4.1666666664241347E-2</v>
      </c>
      <c r="V691">
        <f>HOUR(U691)</f>
        <v>1</v>
      </c>
      <c r="W691">
        <f>MINUTE(U691)</f>
        <v>0</v>
      </c>
      <c r="X691">
        <f>V691*60+W691</f>
        <v>60</v>
      </c>
      <c r="Y691" s="7">
        <f>I691-H691</f>
        <v>6.9444444452528842E-3</v>
      </c>
      <c r="Z691">
        <f>HOUR(Y691)</f>
        <v>0</v>
      </c>
      <c r="AA691">
        <f>MINUTE(Y691)</f>
        <v>10</v>
      </c>
      <c r="AB691">
        <f>Z691*60+AA691</f>
        <v>10</v>
      </c>
    </row>
    <row r="692" spans="1:28" x14ac:dyDescent="0.25">
      <c r="A692">
        <v>690</v>
      </c>
      <c r="B692" t="s">
        <v>29</v>
      </c>
      <c r="C692">
        <v>1</v>
      </c>
      <c r="D692" t="s">
        <v>30</v>
      </c>
      <c r="E692" s="6">
        <v>46070.506944444445</v>
      </c>
      <c r="F692" s="6">
        <v>46070.513888888891</v>
      </c>
      <c r="G692" s="6">
        <v>46070.541666666664</v>
      </c>
      <c r="H692" s="6">
        <v>46070.597222222219</v>
      </c>
      <c r="I692" s="6">
        <v>46070.604166666664</v>
      </c>
      <c r="J692" s="6">
        <v>46070.607638888891</v>
      </c>
      <c r="K692">
        <v>2.42</v>
      </c>
      <c r="L692" s="6">
        <v>46070.60833333333</v>
      </c>
      <c r="M692" s="7">
        <f>F692-E692</f>
        <v>6.9444444452528842E-3</v>
      </c>
      <c r="N692">
        <f>HOUR(M692)</f>
        <v>0</v>
      </c>
      <c r="O692">
        <f>MINUTE(M692)</f>
        <v>10</v>
      </c>
      <c r="P692">
        <f>N692*60+O692</f>
        <v>10</v>
      </c>
      <c r="Q692" s="7">
        <f>G692-F692</f>
        <v>2.7777777773735579E-2</v>
      </c>
      <c r="R692">
        <f>HOUR(Q692)</f>
        <v>0</v>
      </c>
      <c r="S692">
        <f>MINUTE(Q692)</f>
        <v>40</v>
      </c>
      <c r="T692">
        <f>R692*60+S692</f>
        <v>40</v>
      </c>
      <c r="U692" s="7">
        <f>H692-G692</f>
        <v>5.5555555554747116E-2</v>
      </c>
      <c r="V692">
        <f>HOUR(U692)</f>
        <v>1</v>
      </c>
      <c r="W692">
        <f>MINUTE(U692)</f>
        <v>20</v>
      </c>
      <c r="X692">
        <f>V692*60+W692</f>
        <v>80</v>
      </c>
      <c r="Y692" s="7">
        <f>I692-H692</f>
        <v>6.9444444452528842E-3</v>
      </c>
      <c r="Z692">
        <f>HOUR(Y692)</f>
        <v>0</v>
      </c>
      <c r="AA692">
        <f>MINUTE(Y692)</f>
        <v>10</v>
      </c>
      <c r="AB692">
        <f>Z692*60+AA692</f>
        <v>10</v>
      </c>
    </row>
    <row r="693" spans="1:28" x14ac:dyDescent="0.25">
      <c r="A693">
        <v>691</v>
      </c>
      <c r="B693" t="s">
        <v>31</v>
      </c>
      <c r="C693">
        <v>1</v>
      </c>
      <c r="D693" t="s">
        <v>32</v>
      </c>
      <c r="E693" s="6">
        <v>46070.628472222219</v>
      </c>
      <c r="F693" s="6">
        <v>46070.642361111109</v>
      </c>
      <c r="G693" s="6">
        <v>46070.659722222219</v>
      </c>
      <c r="H693" s="6">
        <v>46070.756944444445</v>
      </c>
      <c r="I693" s="6">
        <v>46070.767361111109</v>
      </c>
      <c r="J693" s="6">
        <v>46070.774305555555</v>
      </c>
      <c r="K693">
        <v>3.5</v>
      </c>
      <c r="L693" s="6">
        <v>46070.777777777781</v>
      </c>
      <c r="M693" s="7">
        <f>F693-E693</f>
        <v>1.3888888890505768E-2</v>
      </c>
      <c r="N693">
        <f>HOUR(M693)</f>
        <v>0</v>
      </c>
      <c r="O693">
        <f>MINUTE(M693)</f>
        <v>20</v>
      </c>
      <c r="P693">
        <f>N693*60+O693</f>
        <v>20</v>
      </c>
      <c r="Q693" s="7">
        <f>G693-F693</f>
        <v>1.7361111109494232E-2</v>
      </c>
      <c r="R693">
        <f>HOUR(Q693)</f>
        <v>0</v>
      </c>
      <c r="S693">
        <f>MINUTE(Q693)</f>
        <v>25</v>
      </c>
      <c r="T693">
        <f>R693*60+S693</f>
        <v>25</v>
      </c>
      <c r="U693" s="7">
        <f>H693-G693</f>
        <v>9.7222222226264421E-2</v>
      </c>
      <c r="V693">
        <f>HOUR(U693)</f>
        <v>2</v>
      </c>
      <c r="W693">
        <f>MINUTE(U693)</f>
        <v>20</v>
      </c>
      <c r="X693">
        <f>V693*60+W693</f>
        <v>140</v>
      </c>
      <c r="Y693" s="7">
        <f>I693-H693</f>
        <v>1.0416666664241347E-2</v>
      </c>
      <c r="Z693">
        <f>HOUR(Y693)</f>
        <v>0</v>
      </c>
      <c r="AA693">
        <f>MINUTE(Y693)</f>
        <v>15</v>
      </c>
      <c r="AB693">
        <f>Z693*60+AA693</f>
        <v>15</v>
      </c>
    </row>
    <row r="694" spans="1:28" x14ac:dyDescent="0.25">
      <c r="A694">
        <v>692</v>
      </c>
      <c r="B694" t="s">
        <v>29</v>
      </c>
      <c r="C694">
        <v>1</v>
      </c>
      <c r="D694" t="s">
        <v>35</v>
      </c>
      <c r="E694" s="6">
        <v>46071.395833333336</v>
      </c>
      <c r="F694" s="6">
        <v>46071.416666666664</v>
      </c>
      <c r="G694" s="6">
        <v>46071.423611111109</v>
      </c>
      <c r="H694" s="6">
        <v>46071.429861111108</v>
      </c>
      <c r="I694" s="6">
        <v>46071.431944444441</v>
      </c>
      <c r="J694" s="6">
        <v>46071.4375</v>
      </c>
      <c r="K694">
        <v>1</v>
      </c>
      <c r="L694" s="6">
        <v>46071.444444444445</v>
      </c>
      <c r="M694" s="7">
        <f>F694-E694</f>
        <v>2.0833333328482695E-2</v>
      </c>
      <c r="N694">
        <f>HOUR(M694)</f>
        <v>0</v>
      </c>
      <c r="O694">
        <f>MINUTE(M694)</f>
        <v>30</v>
      </c>
      <c r="P694">
        <f>N694*60+O694</f>
        <v>30</v>
      </c>
      <c r="Q694" s="7">
        <f>G694-F694</f>
        <v>6.9444444452528842E-3</v>
      </c>
      <c r="R694">
        <f>HOUR(Q694)</f>
        <v>0</v>
      </c>
      <c r="S694">
        <f>MINUTE(Q694)</f>
        <v>10</v>
      </c>
      <c r="T694">
        <f>R694*60+S694</f>
        <v>10</v>
      </c>
      <c r="U694" s="7">
        <f>H694-G694</f>
        <v>6.2499999985448085E-3</v>
      </c>
      <c r="V694">
        <f>HOUR(U694)</f>
        <v>0</v>
      </c>
      <c r="W694">
        <f>MINUTE(U694)</f>
        <v>9</v>
      </c>
      <c r="X694">
        <f>V694*60+W694</f>
        <v>9</v>
      </c>
      <c r="Y694" s="7">
        <f>I694-H694</f>
        <v>2.0833333328482695E-3</v>
      </c>
      <c r="Z694">
        <f>HOUR(Y694)</f>
        <v>0</v>
      </c>
      <c r="AA694">
        <f>MINUTE(Y694)</f>
        <v>3</v>
      </c>
      <c r="AB694">
        <f>Z694*60+AA694</f>
        <v>3</v>
      </c>
    </row>
    <row r="695" spans="1:28" x14ac:dyDescent="0.25">
      <c r="A695">
        <v>693</v>
      </c>
      <c r="B695" t="s">
        <v>29</v>
      </c>
      <c r="C695">
        <v>1</v>
      </c>
      <c r="D695" t="s">
        <v>34</v>
      </c>
      <c r="E695" s="6">
        <v>46071.291666666664</v>
      </c>
      <c r="F695" s="6">
        <v>46071.322916666664</v>
      </c>
      <c r="G695" s="6">
        <v>46071.347222222219</v>
      </c>
      <c r="H695" s="6">
        <v>46071.368055555555</v>
      </c>
      <c r="I695" s="6">
        <v>46071.375</v>
      </c>
      <c r="J695" s="6">
        <v>46071.378472222219</v>
      </c>
      <c r="K695">
        <v>2.08</v>
      </c>
      <c r="L695" s="6">
        <v>46071.381944444445</v>
      </c>
      <c r="M695" s="7">
        <f>F695-E695</f>
        <v>3.125E-2</v>
      </c>
      <c r="N695">
        <f>HOUR(M695)</f>
        <v>0</v>
      </c>
      <c r="O695">
        <f>MINUTE(M695)</f>
        <v>45</v>
      </c>
      <c r="P695">
        <f>N695*60+O695</f>
        <v>45</v>
      </c>
      <c r="Q695" s="7">
        <f>G695-F695</f>
        <v>2.4305555554747116E-2</v>
      </c>
      <c r="R695">
        <f>HOUR(Q695)</f>
        <v>0</v>
      </c>
      <c r="S695">
        <f>MINUTE(Q695)</f>
        <v>35</v>
      </c>
      <c r="T695">
        <f>R695*60+S695</f>
        <v>35</v>
      </c>
      <c r="U695" s="7">
        <f>H695-G695</f>
        <v>2.0833333335758653E-2</v>
      </c>
      <c r="V695">
        <f>HOUR(U695)</f>
        <v>0</v>
      </c>
      <c r="W695">
        <f>MINUTE(U695)</f>
        <v>30</v>
      </c>
      <c r="X695">
        <f>V695*60+W695</f>
        <v>30</v>
      </c>
      <c r="Y695" s="7">
        <f>I695-H695</f>
        <v>6.9444444452528842E-3</v>
      </c>
      <c r="Z695">
        <f>HOUR(Y695)</f>
        <v>0</v>
      </c>
      <c r="AA695">
        <f>MINUTE(Y695)</f>
        <v>10</v>
      </c>
      <c r="AB695">
        <f>Z695*60+AA695</f>
        <v>10</v>
      </c>
    </row>
    <row r="696" spans="1:28" x14ac:dyDescent="0.25">
      <c r="A696">
        <v>694</v>
      </c>
      <c r="B696" t="s">
        <v>33</v>
      </c>
      <c r="C696">
        <v>1</v>
      </c>
      <c r="D696" t="s">
        <v>32</v>
      </c>
      <c r="E696" s="6">
        <v>46071.541666666664</v>
      </c>
      <c r="F696" s="6">
        <v>46071.5625</v>
      </c>
      <c r="G696" s="6">
        <v>46071.583333333336</v>
      </c>
      <c r="H696" s="6">
        <v>46071.597222222219</v>
      </c>
      <c r="I696" s="6">
        <v>46071.609722222223</v>
      </c>
      <c r="J696" s="6">
        <v>46071.616666666669</v>
      </c>
      <c r="K696">
        <v>1.8</v>
      </c>
      <c r="L696" s="6">
        <v>46071.623611111114</v>
      </c>
      <c r="M696" s="7">
        <f>F696-E696</f>
        <v>2.0833333335758653E-2</v>
      </c>
      <c r="N696">
        <f>HOUR(M696)</f>
        <v>0</v>
      </c>
      <c r="O696">
        <f>MINUTE(M696)</f>
        <v>30</v>
      </c>
      <c r="P696">
        <f>N696*60+O696</f>
        <v>30</v>
      </c>
      <c r="Q696" s="7">
        <f>G696-F696</f>
        <v>2.0833333335758653E-2</v>
      </c>
      <c r="R696">
        <f>HOUR(Q696)</f>
        <v>0</v>
      </c>
      <c r="S696">
        <f>MINUTE(Q696)</f>
        <v>30</v>
      </c>
      <c r="T696">
        <f>R696*60+S696</f>
        <v>30</v>
      </c>
      <c r="U696" s="7">
        <f>H696-G696</f>
        <v>1.3888888883229811E-2</v>
      </c>
      <c r="V696">
        <f>HOUR(U696)</f>
        <v>0</v>
      </c>
      <c r="W696">
        <f>MINUTE(U696)</f>
        <v>20</v>
      </c>
      <c r="X696">
        <f>V696*60+W696</f>
        <v>20</v>
      </c>
      <c r="Y696" s="7">
        <f>I696-H696</f>
        <v>1.2500000004365575E-2</v>
      </c>
      <c r="Z696">
        <f>HOUR(Y696)</f>
        <v>0</v>
      </c>
      <c r="AA696">
        <f>MINUTE(Y696)</f>
        <v>18</v>
      </c>
      <c r="AB696">
        <f>Z696*60+AA696</f>
        <v>18</v>
      </c>
    </row>
    <row r="697" spans="1:28" x14ac:dyDescent="0.25">
      <c r="A697">
        <v>695</v>
      </c>
      <c r="B697" t="s">
        <v>29</v>
      </c>
      <c r="C697">
        <v>1</v>
      </c>
      <c r="D697" t="s">
        <v>30</v>
      </c>
      <c r="E697" s="6">
        <v>46071.479166666664</v>
      </c>
      <c r="F697" s="6">
        <v>46071.489583333336</v>
      </c>
      <c r="G697" s="6">
        <v>46071.53402777778</v>
      </c>
      <c r="H697" s="6">
        <v>46071.65902777778</v>
      </c>
      <c r="I697" s="6">
        <v>46071.665972222225</v>
      </c>
      <c r="J697" s="6">
        <v>46071.673611111109</v>
      </c>
      <c r="K697">
        <v>4.67</v>
      </c>
      <c r="L697" s="6">
        <v>46071.680555555555</v>
      </c>
      <c r="M697" s="7">
        <f>F697-E697</f>
        <v>1.0416666671517305E-2</v>
      </c>
      <c r="N697">
        <f>HOUR(M697)</f>
        <v>0</v>
      </c>
      <c r="O697">
        <f>MINUTE(M697)</f>
        <v>15</v>
      </c>
      <c r="P697">
        <f>N697*60+O697</f>
        <v>15</v>
      </c>
      <c r="Q697" s="7">
        <f>G697-F697</f>
        <v>4.4444444443797693E-2</v>
      </c>
      <c r="R697">
        <f>HOUR(Q697)</f>
        <v>1</v>
      </c>
      <c r="S697">
        <f>MINUTE(Q697)</f>
        <v>4</v>
      </c>
      <c r="T697">
        <f>R697*60+S697</f>
        <v>64</v>
      </c>
      <c r="U697" s="7">
        <f>H697-G697</f>
        <v>0.125</v>
      </c>
      <c r="V697">
        <f>HOUR(U697)</f>
        <v>3</v>
      </c>
      <c r="W697">
        <f>MINUTE(U697)</f>
        <v>0</v>
      </c>
      <c r="X697">
        <f>V697*60+W697</f>
        <v>180</v>
      </c>
      <c r="Y697" s="7">
        <f>I697-H697</f>
        <v>6.9444444452528842E-3</v>
      </c>
      <c r="Z697">
        <f>HOUR(Y697)</f>
        <v>0</v>
      </c>
      <c r="AA697">
        <f>MINUTE(Y697)</f>
        <v>10</v>
      </c>
      <c r="AB697">
        <f>Z697*60+AA697</f>
        <v>10</v>
      </c>
    </row>
    <row r="698" spans="1:28" x14ac:dyDescent="0.25">
      <c r="A698">
        <v>696</v>
      </c>
      <c r="B698" t="s">
        <v>31</v>
      </c>
      <c r="C698">
        <v>1</v>
      </c>
      <c r="D698" t="s">
        <v>34</v>
      </c>
      <c r="E698" s="6">
        <v>46071.298611111109</v>
      </c>
      <c r="F698" s="6">
        <v>46071.326388888891</v>
      </c>
      <c r="G698" s="6">
        <v>46071.347222222219</v>
      </c>
      <c r="H698" s="6">
        <v>46071.479166666664</v>
      </c>
      <c r="I698" s="6">
        <v>46071.486111111109</v>
      </c>
      <c r="J698" s="6">
        <v>46071.493055555555</v>
      </c>
      <c r="K698">
        <v>4.67</v>
      </c>
      <c r="L698" s="6">
        <v>46071.5</v>
      </c>
      <c r="M698" s="7">
        <f>F698-E698</f>
        <v>2.7777777781011537E-2</v>
      </c>
      <c r="N698">
        <f>HOUR(M698)</f>
        <v>0</v>
      </c>
      <c r="O698">
        <f>MINUTE(M698)</f>
        <v>40</v>
      </c>
      <c r="P698">
        <f>N698*60+O698</f>
        <v>40</v>
      </c>
      <c r="Q698" s="7">
        <f>G698-F698</f>
        <v>2.0833333328482695E-2</v>
      </c>
      <c r="R698">
        <f>HOUR(Q698)</f>
        <v>0</v>
      </c>
      <c r="S698">
        <f>MINUTE(Q698)</f>
        <v>30</v>
      </c>
      <c r="T698">
        <f>R698*60+S698</f>
        <v>30</v>
      </c>
      <c r="U698" s="7">
        <f>H698-G698</f>
        <v>0.13194444444525288</v>
      </c>
      <c r="V698">
        <f>HOUR(U698)</f>
        <v>3</v>
      </c>
      <c r="W698">
        <f>MINUTE(U698)</f>
        <v>10</v>
      </c>
      <c r="X698">
        <f>V698*60+W698</f>
        <v>190</v>
      </c>
      <c r="Y698" s="7">
        <f>I698-H698</f>
        <v>6.9444444452528842E-3</v>
      </c>
      <c r="Z698">
        <f>HOUR(Y698)</f>
        <v>0</v>
      </c>
      <c r="AA698">
        <f>MINUTE(Y698)</f>
        <v>10</v>
      </c>
      <c r="AB698">
        <f>Z698*60+AA698</f>
        <v>10</v>
      </c>
    </row>
    <row r="699" spans="1:28" x14ac:dyDescent="0.25">
      <c r="A699">
        <v>697</v>
      </c>
      <c r="B699" t="s">
        <v>31</v>
      </c>
      <c r="C699">
        <v>1</v>
      </c>
      <c r="D699" t="s">
        <v>37</v>
      </c>
      <c r="E699" s="6">
        <v>46071.621527777781</v>
      </c>
      <c r="F699" s="6">
        <v>46071.635416666664</v>
      </c>
      <c r="G699" s="6">
        <v>46071.645833333336</v>
      </c>
      <c r="H699" s="6">
        <v>46071.708333333336</v>
      </c>
      <c r="I699" s="6">
        <v>46071.715277777781</v>
      </c>
      <c r="J699" s="6">
        <v>46071.722222222219</v>
      </c>
      <c r="K699">
        <v>2.42</v>
      </c>
      <c r="L699" s="6">
        <v>46071.729166666664</v>
      </c>
      <c r="M699" s="7">
        <f>F699-E699</f>
        <v>1.3888888883229811E-2</v>
      </c>
      <c r="N699">
        <f>HOUR(M699)</f>
        <v>0</v>
      </c>
      <c r="O699">
        <f>MINUTE(M699)</f>
        <v>20</v>
      </c>
      <c r="P699">
        <f>N699*60+O699</f>
        <v>20</v>
      </c>
      <c r="Q699" s="7">
        <f>G699-F699</f>
        <v>1.0416666671517305E-2</v>
      </c>
      <c r="R699">
        <f>HOUR(Q699)</f>
        <v>0</v>
      </c>
      <c r="S699">
        <f>MINUTE(Q699)</f>
        <v>15</v>
      </c>
      <c r="T699">
        <f>R699*60+S699</f>
        <v>15</v>
      </c>
      <c r="U699" s="7">
        <f>H699-G699</f>
        <v>6.25E-2</v>
      </c>
      <c r="V699">
        <f>HOUR(U699)</f>
        <v>1</v>
      </c>
      <c r="W699">
        <f>MINUTE(U699)</f>
        <v>30</v>
      </c>
      <c r="X699">
        <f>V699*60+W699</f>
        <v>90</v>
      </c>
      <c r="Y699" s="7">
        <f>I699-H699</f>
        <v>6.9444444452528842E-3</v>
      </c>
      <c r="Z699">
        <f>HOUR(Y699)</f>
        <v>0</v>
      </c>
      <c r="AA699">
        <f>MINUTE(Y699)</f>
        <v>10</v>
      </c>
      <c r="AB699">
        <f>Z699*60+AA699</f>
        <v>10</v>
      </c>
    </row>
    <row r="700" spans="1:28" x14ac:dyDescent="0.25">
      <c r="A700">
        <v>698</v>
      </c>
      <c r="B700" t="s">
        <v>31</v>
      </c>
      <c r="C700">
        <v>1</v>
      </c>
      <c r="D700" t="s">
        <v>36</v>
      </c>
      <c r="E700" s="6">
        <v>46071.315972222219</v>
      </c>
      <c r="F700" s="6">
        <v>46071.326388888891</v>
      </c>
      <c r="G700" s="6">
        <v>46071.350694444445</v>
      </c>
      <c r="H700" s="6">
        <v>46071.357638888891</v>
      </c>
      <c r="I700" s="6">
        <v>46071.423611111109</v>
      </c>
      <c r="J700" s="6">
        <v>46071.4375</v>
      </c>
      <c r="K700">
        <v>2.92</v>
      </c>
      <c r="L700" s="6">
        <v>46071.444444444445</v>
      </c>
      <c r="M700" s="7">
        <f>F700-E700</f>
        <v>1.0416666671517305E-2</v>
      </c>
      <c r="N700">
        <f>HOUR(M700)</f>
        <v>0</v>
      </c>
      <c r="O700">
        <f>MINUTE(M700)</f>
        <v>15</v>
      </c>
      <c r="P700">
        <f>N700*60+O700</f>
        <v>15</v>
      </c>
      <c r="Q700" s="7">
        <f>G700-F700</f>
        <v>2.4305555554747116E-2</v>
      </c>
      <c r="R700">
        <f>HOUR(Q700)</f>
        <v>0</v>
      </c>
      <c r="S700">
        <f>MINUTE(Q700)</f>
        <v>35</v>
      </c>
      <c r="T700">
        <f>R700*60+S700</f>
        <v>35</v>
      </c>
      <c r="U700" s="7">
        <f>H700-G700</f>
        <v>6.9444444452528842E-3</v>
      </c>
      <c r="V700">
        <f>HOUR(U700)</f>
        <v>0</v>
      </c>
      <c r="W700">
        <f>MINUTE(U700)</f>
        <v>10</v>
      </c>
      <c r="X700">
        <f>V700*60+W700</f>
        <v>10</v>
      </c>
      <c r="Y700" s="7">
        <f>I700-H700</f>
        <v>6.5972222218988463E-2</v>
      </c>
      <c r="Z700">
        <f>HOUR(Y700)</f>
        <v>1</v>
      </c>
      <c r="AA700">
        <f>MINUTE(Y700)</f>
        <v>35</v>
      </c>
      <c r="AB700">
        <f>Z700*60+AA700</f>
        <v>95</v>
      </c>
    </row>
    <row r="701" spans="1:28" x14ac:dyDescent="0.25">
      <c r="A701">
        <v>699</v>
      </c>
      <c r="B701" t="s">
        <v>29</v>
      </c>
      <c r="C701">
        <v>1</v>
      </c>
      <c r="D701" t="s">
        <v>32</v>
      </c>
      <c r="E701" s="6">
        <v>46071.729166666664</v>
      </c>
      <c r="F701" s="6">
        <v>46071.732638888891</v>
      </c>
      <c r="G701" s="6">
        <v>46071.736111111109</v>
      </c>
      <c r="H701" s="6">
        <v>46071.760416666664</v>
      </c>
      <c r="I701" s="6">
        <v>46071.767361111109</v>
      </c>
      <c r="J701" s="6">
        <v>46071.777777777781</v>
      </c>
      <c r="K701">
        <v>1.17</v>
      </c>
      <c r="L701" s="6">
        <v>46071.78125</v>
      </c>
      <c r="M701" s="7">
        <f>F701-E701</f>
        <v>3.4722222262644209E-3</v>
      </c>
      <c r="N701">
        <f>HOUR(M701)</f>
        <v>0</v>
      </c>
      <c r="O701">
        <f>MINUTE(M701)</f>
        <v>5</v>
      </c>
      <c r="P701">
        <f>N701*60+O701</f>
        <v>5</v>
      </c>
      <c r="Q701" s="7">
        <f>G701-F701</f>
        <v>3.4722222189884633E-3</v>
      </c>
      <c r="R701">
        <f>HOUR(Q701)</f>
        <v>0</v>
      </c>
      <c r="S701">
        <f>MINUTE(Q701)</f>
        <v>5</v>
      </c>
      <c r="T701">
        <f>R701*60+S701</f>
        <v>5</v>
      </c>
      <c r="U701" s="7">
        <f>H701-G701</f>
        <v>2.4305555554747116E-2</v>
      </c>
      <c r="V701">
        <f>HOUR(U701)</f>
        <v>0</v>
      </c>
      <c r="W701">
        <f>MINUTE(U701)</f>
        <v>35</v>
      </c>
      <c r="X701">
        <f>V701*60+W701</f>
        <v>35</v>
      </c>
      <c r="Y701" s="7">
        <f>I701-H701</f>
        <v>6.9444444452528842E-3</v>
      </c>
      <c r="Z701">
        <f>HOUR(Y701)</f>
        <v>0</v>
      </c>
      <c r="AA701">
        <f>MINUTE(Y701)</f>
        <v>10</v>
      </c>
      <c r="AB701">
        <f>Z701*60+AA701</f>
        <v>10</v>
      </c>
    </row>
    <row r="702" spans="1:28" x14ac:dyDescent="0.25">
      <c r="A702">
        <v>700</v>
      </c>
      <c r="B702" t="s">
        <v>31</v>
      </c>
      <c r="C702">
        <v>1</v>
      </c>
      <c r="D702" t="s">
        <v>30</v>
      </c>
      <c r="E702" s="6">
        <v>46070.923611111109</v>
      </c>
      <c r="F702" s="6">
        <v>46070.927083333336</v>
      </c>
      <c r="G702" s="6">
        <v>46070.940972222219</v>
      </c>
      <c r="H702" s="6">
        <v>46070.990972222222</v>
      </c>
      <c r="I702" s="6">
        <v>46070.997916666667</v>
      </c>
      <c r="J702" s="6">
        <v>46071.006944444445</v>
      </c>
      <c r="K702">
        <v>2</v>
      </c>
      <c r="L702" s="6">
        <v>46071.013888888891</v>
      </c>
      <c r="M702" s="7">
        <f>F702-E702</f>
        <v>3.4722222262644209E-3</v>
      </c>
      <c r="N702">
        <f>HOUR(M702)</f>
        <v>0</v>
      </c>
      <c r="O702">
        <f>MINUTE(M702)</f>
        <v>5</v>
      </c>
      <c r="P702">
        <f>N702*60+O702</f>
        <v>5</v>
      </c>
      <c r="Q702" s="7">
        <f>G702-F702</f>
        <v>1.3888888883229811E-2</v>
      </c>
      <c r="R702">
        <f>HOUR(Q702)</f>
        <v>0</v>
      </c>
      <c r="S702">
        <f>MINUTE(Q702)</f>
        <v>20</v>
      </c>
      <c r="T702">
        <f>R702*60+S702</f>
        <v>20</v>
      </c>
      <c r="U702" s="7">
        <f>H702-G702</f>
        <v>5.0000000002910383E-2</v>
      </c>
      <c r="V702">
        <f>HOUR(U702)</f>
        <v>1</v>
      </c>
      <c r="W702">
        <f>MINUTE(U702)</f>
        <v>12</v>
      </c>
      <c r="X702">
        <f>V702*60+W702</f>
        <v>72</v>
      </c>
      <c r="Y702" s="7">
        <f>I702-H702</f>
        <v>6.9444444452528842E-3</v>
      </c>
      <c r="Z702">
        <f>HOUR(Y702)</f>
        <v>0</v>
      </c>
      <c r="AA702">
        <f>MINUTE(Y702)</f>
        <v>10</v>
      </c>
      <c r="AB702">
        <f>Z702*60+AA702</f>
        <v>10</v>
      </c>
    </row>
    <row r="703" spans="1:28" x14ac:dyDescent="0.25">
      <c r="A703">
        <v>701</v>
      </c>
      <c r="B703" t="s">
        <v>29</v>
      </c>
      <c r="C703">
        <v>1</v>
      </c>
      <c r="D703" t="s">
        <v>30</v>
      </c>
      <c r="E703" s="6">
        <v>46070.923611111109</v>
      </c>
      <c r="F703" s="6">
        <v>46070.951388888891</v>
      </c>
      <c r="G703" s="6">
        <v>46070.979166666664</v>
      </c>
      <c r="H703" s="6">
        <v>46071.027777777781</v>
      </c>
      <c r="I703" s="6">
        <v>46071.034722222219</v>
      </c>
      <c r="J703" s="6">
        <v>46071.048611111109</v>
      </c>
      <c r="K703">
        <v>3</v>
      </c>
      <c r="L703" s="6">
        <v>46071.052083333336</v>
      </c>
      <c r="M703" s="7">
        <f>F703-E703</f>
        <v>2.7777777781011537E-2</v>
      </c>
      <c r="N703">
        <f>HOUR(M703)</f>
        <v>0</v>
      </c>
      <c r="O703">
        <f>MINUTE(M703)</f>
        <v>40</v>
      </c>
      <c r="P703">
        <f>N703*60+O703</f>
        <v>40</v>
      </c>
      <c r="Q703" s="7">
        <f>G703-F703</f>
        <v>2.7777777773735579E-2</v>
      </c>
      <c r="R703">
        <f>HOUR(Q703)</f>
        <v>0</v>
      </c>
      <c r="S703">
        <f>MINUTE(Q703)</f>
        <v>40</v>
      </c>
      <c r="T703">
        <f>R703*60+S703</f>
        <v>40</v>
      </c>
      <c r="U703" s="7">
        <f>H703-G703</f>
        <v>4.8611111116770189E-2</v>
      </c>
      <c r="V703">
        <f>HOUR(U703)</f>
        <v>1</v>
      </c>
      <c r="W703">
        <f>MINUTE(U703)</f>
        <v>10</v>
      </c>
      <c r="X703">
        <f>V703*60+W703</f>
        <v>70</v>
      </c>
      <c r="Y703" s="7">
        <f>I703-H703</f>
        <v>6.9444444379769266E-3</v>
      </c>
      <c r="Z703">
        <f>HOUR(Y703)</f>
        <v>0</v>
      </c>
      <c r="AA703">
        <f>MINUTE(Y703)</f>
        <v>10</v>
      </c>
      <c r="AB703">
        <f>Z703*60+AA703</f>
        <v>10</v>
      </c>
    </row>
    <row r="704" spans="1:28" x14ac:dyDescent="0.25">
      <c r="A704">
        <v>702</v>
      </c>
      <c r="B704" t="s">
        <v>33</v>
      </c>
      <c r="C704">
        <v>1</v>
      </c>
      <c r="D704" t="s">
        <v>30</v>
      </c>
      <c r="E704" s="6">
        <v>46071.327777777777</v>
      </c>
      <c r="F704" s="6">
        <v>46071.334722222222</v>
      </c>
      <c r="G704" s="6">
        <v>46071.354166666664</v>
      </c>
      <c r="H704" s="6">
        <v>46071.361111111109</v>
      </c>
      <c r="I704" s="6">
        <v>46071.375</v>
      </c>
      <c r="J704" s="6">
        <v>46071.597222222219</v>
      </c>
      <c r="K704">
        <v>6.47</v>
      </c>
      <c r="L704" s="6">
        <v>46071.604166666664</v>
      </c>
      <c r="M704" s="7">
        <f>F704-E704</f>
        <v>6.9444444452528842E-3</v>
      </c>
      <c r="N704">
        <f>HOUR(M704)</f>
        <v>0</v>
      </c>
      <c r="O704">
        <f>MINUTE(M704)</f>
        <v>10</v>
      </c>
      <c r="P704">
        <f>N704*60+O704</f>
        <v>10</v>
      </c>
      <c r="Q704" s="7">
        <f>G704-F704</f>
        <v>1.9444444442342501E-2</v>
      </c>
      <c r="R704">
        <f>HOUR(Q704)</f>
        <v>0</v>
      </c>
      <c r="S704">
        <f>MINUTE(Q704)</f>
        <v>28</v>
      </c>
      <c r="T704">
        <f>R704*60+S704</f>
        <v>28</v>
      </c>
      <c r="U704" s="7">
        <f>H704-G704</f>
        <v>6.9444444452528842E-3</v>
      </c>
      <c r="V704">
        <f>HOUR(U704)</f>
        <v>0</v>
      </c>
      <c r="W704">
        <f>MINUTE(U704)</f>
        <v>10</v>
      </c>
      <c r="X704">
        <f>V704*60+W704</f>
        <v>10</v>
      </c>
      <c r="Y704" s="7">
        <f>I704-H704</f>
        <v>1.3888888890505768E-2</v>
      </c>
      <c r="Z704">
        <f>HOUR(Y704)</f>
        <v>0</v>
      </c>
      <c r="AA704">
        <f>MINUTE(Y704)</f>
        <v>20</v>
      </c>
      <c r="AB704">
        <f>Z704*60+AA704</f>
        <v>20</v>
      </c>
    </row>
    <row r="705" spans="1:28" x14ac:dyDescent="0.25">
      <c r="A705">
        <v>703</v>
      </c>
      <c r="B705" t="s">
        <v>31</v>
      </c>
      <c r="C705">
        <v>1</v>
      </c>
      <c r="D705" t="s">
        <v>36</v>
      </c>
      <c r="E705" s="6">
        <v>46071.479166666664</v>
      </c>
      <c r="F705" s="6">
        <v>46071.5</v>
      </c>
      <c r="G705" s="6">
        <v>46071.520833333336</v>
      </c>
      <c r="H705" s="6">
        <v>46071.68472222222</v>
      </c>
      <c r="I705" s="6">
        <v>46071.691666666666</v>
      </c>
      <c r="J705" s="6">
        <v>46071.734027777777</v>
      </c>
      <c r="K705">
        <v>6.12</v>
      </c>
      <c r="L705" s="6">
        <v>46071.736111111109</v>
      </c>
      <c r="M705" s="7">
        <f>F705-E705</f>
        <v>2.0833333335758653E-2</v>
      </c>
      <c r="N705">
        <f>HOUR(M705)</f>
        <v>0</v>
      </c>
      <c r="O705">
        <f>MINUTE(M705)</f>
        <v>30</v>
      </c>
      <c r="P705">
        <f>N705*60+O705</f>
        <v>30</v>
      </c>
      <c r="Q705" s="7">
        <f>G705-F705</f>
        <v>2.0833333335758653E-2</v>
      </c>
      <c r="R705">
        <f>HOUR(Q705)</f>
        <v>0</v>
      </c>
      <c r="S705">
        <f>MINUTE(Q705)</f>
        <v>30</v>
      </c>
      <c r="T705">
        <f>R705*60+S705</f>
        <v>30</v>
      </c>
      <c r="U705" s="7">
        <f>H705-G705</f>
        <v>0.163888888884685</v>
      </c>
      <c r="V705">
        <f>HOUR(U705)</f>
        <v>3</v>
      </c>
      <c r="W705">
        <f>MINUTE(U705)</f>
        <v>56</v>
      </c>
      <c r="X705">
        <f>V705*60+W705</f>
        <v>236</v>
      </c>
      <c r="Y705" s="7">
        <f>I705-H705</f>
        <v>6.9444444452528842E-3</v>
      </c>
      <c r="Z705">
        <f>HOUR(Y705)</f>
        <v>0</v>
      </c>
      <c r="AA705">
        <f>MINUTE(Y705)</f>
        <v>10</v>
      </c>
      <c r="AB705">
        <f>Z705*60+AA705</f>
        <v>10</v>
      </c>
    </row>
    <row r="706" spans="1:28" x14ac:dyDescent="0.25">
      <c r="A706">
        <v>704</v>
      </c>
      <c r="B706" t="s">
        <v>29</v>
      </c>
      <c r="C706">
        <v>1</v>
      </c>
      <c r="D706" t="s">
        <v>32</v>
      </c>
      <c r="E706" s="6">
        <v>46072.576388888891</v>
      </c>
      <c r="F706" s="6">
        <v>46072.59375</v>
      </c>
      <c r="G706" s="6">
        <v>46072.600694444445</v>
      </c>
      <c r="H706" s="6">
        <v>46072.635416666664</v>
      </c>
      <c r="I706" s="6">
        <v>46072.642361111109</v>
      </c>
      <c r="J706" s="6">
        <v>46072.659722222219</v>
      </c>
      <c r="K706">
        <v>2</v>
      </c>
      <c r="L706" s="6">
        <v>46072.666666666664</v>
      </c>
      <c r="M706" s="7">
        <f>F706-E706</f>
        <v>1.7361111109494232E-2</v>
      </c>
      <c r="N706">
        <f>HOUR(M706)</f>
        <v>0</v>
      </c>
      <c r="O706">
        <f>MINUTE(M706)</f>
        <v>25</v>
      </c>
      <c r="P706">
        <f>N706*60+O706</f>
        <v>25</v>
      </c>
      <c r="Q706" s="7">
        <f>G706-F706</f>
        <v>6.9444444452528842E-3</v>
      </c>
      <c r="R706">
        <f>HOUR(Q706)</f>
        <v>0</v>
      </c>
      <c r="S706">
        <f>MINUTE(Q706)</f>
        <v>10</v>
      </c>
      <c r="T706">
        <f>R706*60+S706</f>
        <v>10</v>
      </c>
      <c r="U706" s="7">
        <f>H706-G706</f>
        <v>3.4722222218988463E-2</v>
      </c>
      <c r="V706">
        <f>HOUR(U706)</f>
        <v>0</v>
      </c>
      <c r="W706">
        <f>MINUTE(U706)</f>
        <v>50</v>
      </c>
      <c r="X706">
        <f>V706*60+W706</f>
        <v>50</v>
      </c>
      <c r="Y706" s="7">
        <f>I706-H706</f>
        <v>6.9444444452528842E-3</v>
      </c>
      <c r="Z706">
        <f>HOUR(Y706)</f>
        <v>0</v>
      </c>
      <c r="AA706">
        <f>MINUTE(Y706)</f>
        <v>10</v>
      </c>
      <c r="AB706">
        <f>Z706*60+AA706</f>
        <v>10</v>
      </c>
    </row>
    <row r="707" spans="1:28" x14ac:dyDescent="0.25">
      <c r="A707">
        <v>705</v>
      </c>
      <c r="B707" t="s">
        <v>29</v>
      </c>
      <c r="C707">
        <v>1</v>
      </c>
      <c r="D707" t="s">
        <v>30</v>
      </c>
      <c r="E707" s="6">
        <v>46072.440972222219</v>
      </c>
      <c r="F707" s="6">
        <v>46072.472222222219</v>
      </c>
      <c r="G707" s="6">
        <v>46072.475694444445</v>
      </c>
      <c r="H707" s="6">
        <v>46072.486111111109</v>
      </c>
      <c r="I707" s="6">
        <v>46072.489583333336</v>
      </c>
      <c r="J707" s="6">
        <v>46072.534722222219</v>
      </c>
      <c r="K707">
        <v>2.25</v>
      </c>
      <c r="L707" s="6">
        <v>46072.541666666664</v>
      </c>
      <c r="M707" s="7">
        <f>F707-E707</f>
        <v>3.125E-2</v>
      </c>
      <c r="N707">
        <f>HOUR(M707)</f>
        <v>0</v>
      </c>
      <c r="O707">
        <f>MINUTE(M707)</f>
        <v>45</v>
      </c>
      <c r="P707">
        <f>N707*60+O707</f>
        <v>45</v>
      </c>
      <c r="Q707" s="7">
        <f>G707-F707</f>
        <v>3.4722222262644209E-3</v>
      </c>
      <c r="R707">
        <f>HOUR(Q707)</f>
        <v>0</v>
      </c>
      <c r="S707">
        <f>MINUTE(Q707)</f>
        <v>5</v>
      </c>
      <c r="T707">
        <f>R707*60+S707</f>
        <v>5</v>
      </c>
      <c r="U707" s="7">
        <f>H707-G707</f>
        <v>1.0416666664241347E-2</v>
      </c>
      <c r="V707">
        <f>HOUR(U707)</f>
        <v>0</v>
      </c>
      <c r="W707">
        <f>MINUTE(U707)</f>
        <v>15</v>
      </c>
      <c r="X707">
        <f>V707*60+W707</f>
        <v>15</v>
      </c>
      <c r="Y707" s="7">
        <f>I707-H707</f>
        <v>3.4722222262644209E-3</v>
      </c>
      <c r="Z707">
        <f>HOUR(Y707)</f>
        <v>0</v>
      </c>
      <c r="AA707">
        <f>MINUTE(Y707)</f>
        <v>5</v>
      </c>
      <c r="AB707">
        <f>Z707*60+AA707</f>
        <v>5</v>
      </c>
    </row>
    <row r="708" spans="1:28" x14ac:dyDescent="0.25">
      <c r="A708">
        <v>706</v>
      </c>
      <c r="B708" t="s">
        <v>33</v>
      </c>
      <c r="C708">
        <v>1</v>
      </c>
      <c r="D708" t="s">
        <v>35</v>
      </c>
      <c r="E708" s="6">
        <v>46072.680555555555</v>
      </c>
      <c r="F708" s="6">
        <v>46072.690972222219</v>
      </c>
      <c r="G708" s="6">
        <v>46072.701388888891</v>
      </c>
      <c r="H708" s="6">
        <v>46072.767361111109</v>
      </c>
      <c r="I708" s="6">
        <v>46072.770833333336</v>
      </c>
      <c r="J708" s="6">
        <v>46072.774305555555</v>
      </c>
      <c r="K708">
        <v>2.25</v>
      </c>
      <c r="L708" s="6">
        <v>46072.776388888888</v>
      </c>
      <c r="M708" s="7">
        <f>F708-E708</f>
        <v>1.0416666664241347E-2</v>
      </c>
      <c r="N708">
        <f>HOUR(M708)</f>
        <v>0</v>
      </c>
      <c r="O708">
        <f>MINUTE(M708)</f>
        <v>15</v>
      </c>
      <c r="P708">
        <f>N708*60+O708</f>
        <v>15</v>
      </c>
      <c r="Q708" s="7">
        <f>G708-F708</f>
        <v>1.0416666671517305E-2</v>
      </c>
      <c r="R708">
        <f>HOUR(Q708)</f>
        <v>0</v>
      </c>
      <c r="S708">
        <f>MINUTE(Q708)</f>
        <v>15</v>
      </c>
      <c r="T708">
        <f>R708*60+S708</f>
        <v>15</v>
      </c>
      <c r="U708" s="7">
        <f>H708-G708</f>
        <v>6.5972222218988463E-2</v>
      </c>
      <c r="V708">
        <f>HOUR(U708)</f>
        <v>1</v>
      </c>
      <c r="W708">
        <f>MINUTE(U708)</f>
        <v>35</v>
      </c>
      <c r="X708">
        <f>V708*60+W708</f>
        <v>95</v>
      </c>
      <c r="Y708" s="7">
        <f>I708-H708</f>
        <v>3.4722222262644209E-3</v>
      </c>
      <c r="Z708">
        <f>HOUR(Y708)</f>
        <v>0</v>
      </c>
      <c r="AA708">
        <f>MINUTE(Y708)</f>
        <v>5</v>
      </c>
      <c r="AB708">
        <f>Z708*60+AA708</f>
        <v>5</v>
      </c>
    </row>
    <row r="709" spans="1:28" x14ac:dyDescent="0.25">
      <c r="A709">
        <v>707</v>
      </c>
      <c r="B709" t="s">
        <v>33</v>
      </c>
      <c r="C709">
        <v>1</v>
      </c>
      <c r="D709" t="s">
        <v>34</v>
      </c>
      <c r="E709" s="6">
        <v>46072.284722222219</v>
      </c>
      <c r="F709" s="6">
        <v>46072.315972222219</v>
      </c>
      <c r="G709" s="6">
        <v>46072.340277777781</v>
      </c>
      <c r="H709" s="6">
        <v>46072.354166666664</v>
      </c>
      <c r="I709" s="6">
        <v>46072.361111111109</v>
      </c>
      <c r="J709" s="6">
        <v>46072.371527777781</v>
      </c>
      <c r="K709">
        <v>2.08</v>
      </c>
      <c r="L709" s="6">
        <v>46072.378472222219</v>
      </c>
      <c r="M709" s="7">
        <f>F709-E709</f>
        <v>3.125E-2</v>
      </c>
      <c r="N709">
        <f>HOUR(M709)</f>
        <v>0</v>
      </c>
      <c r="O709">
        <f>MINUTE(M709)</f>
        <v>45</v>
      </c>
      <c r="P709">
        <f>N709*60+O709</f>
        <v>45</v>
      </c>
      <c r="Q709" s="7">
        <f>G709-F709</f>
        <v>2.4305555562023073E-2</v>
      </c>
      <c r="R709">
        <f>HOUR(Q709)</f>
        <v>0</v>
      </c>
      <c r="S709">
        <f>MINUTE(Q709)</f>
        <v>35</v>
      </c>
      <c r="T709">
        <f>R709*60+S709</f>
        <v>35</v>
      </c>
      <c r="U709" s="7">
        <f>H709-G709</f>
        <v>1.3888888883229811E-2</v>
      </c>
      <c r="V709">
        <f>HOUR(U709)</f>
        <v>0</v>
      </c>
      <c r="W709">
        <f>MINUTE(U709)</f>
        <v>20</v>
      </c>
      <c r="X709">
        <f>V709*60+W709</f>
        <v>20</v>
      </c>
      <c r="Y709" s="7">
        <f>I709-H709</f>
        <v>6.9444444452528842E-3</v>
      </c>
      <c r="Z709">
        <f>HOUR(Y709)</f>
        <v>0</v>
      </c>
      <c r="AA709">
        <f>MINUTE(Y709)</f>
        <v>10</v>
      </c>
      <c r="AB709">
        <f>Z709*60+AA709</f>
        <v>10</v>
      </c>
    </row>
    <row r="710" spans="1:28" x14ac:dyDescent="0.25">
      <c r="A710">
        <v>708</v>
      </c>
      <c r="B710" t="s">
        <v>33</v>
      </c>
      <c r="C710">
        <v>1</v>
      </c>
      <c r="D710" t="s">
        <v>36</v>
      </c>
      <c r="E710" s="6">
        <v>46072.288194444445</v>
      </c>
      <c r="F710" s="6">
        <v>46072.3125</v>
      </c>
      <c r="G710" s="6">
        <v>46072.347222222219</v>
      </c>
      <c r="H710" s="6">
        <v>46072.395833333336</v>
      </c>
      <c r="I710" s="6">
        <v>46072.399305555555</v>
      </c>
      <c r="J710" s="6">
        <v>46072.40625</v>
      </c>
      <c r="K710">
        <v>2.83</v>
      </c>
      <c r="L710" s="6">
        <v>46072.413194444445</v>
      </c>
      <c r="M710" s="7">
        <f>F710-E710</f>
        <v>2.4305555554747116E-2</v>
      </c>
      <c r="N710">
        <f>HOUR(M710)</f>
        <v>0</v>
      </c>
      <c r="O710">
        <f>MINUTE(M710)</f>
        <v>35</v>
      </c>
      <c r="P710">
        <f>N710*60+O710</f>
        <v>35</v>
      </c>
      <c r="Q710" s="7">
        <f>G710-F710</f>
        <v>3.4722222218988463E-2</v>
      </c>
      <c r="R710">
        <f>HOUR(Q710)</f>
        <v>0</v>
      </c>
      <c r="S710">
        <f>MINUTE(Q710)</f>
        <v>50</v>
      </c>
      <c r="T710">
        <f>R710*60+S710</f>
        <v>50</v>
      </c>
      <c r="U710" s="7">
        <f>H710-G710</f>
        <v>4.8611111116770189E-2</v>
      </c>
      <c r="V710">
        <f>HOUR(U710)</f>
        <v>1</v>
      </c>
      <c r="W710">
        <f>MINUTE(U710)</f>
        <v>10</v>
      </c>
      <c r="X710">
        <f>V710*60+W710</f>
        <v>70</v>
      </c>
      <c r="Y710" s="7">
        <f>I710-H710</f>
        <v>3.4722222189884633E-3</v>
      </c>
      <c r="Z710">
        <f>HOUR(Y710)</f>
        <v>0</v>
      </c>
      <c r="AA710">
        <f>MINUTE(Y710)</f>
        <v>5</v>
      </c>
      <c r="AB710">
        <f>Z710*60+AA710</f>
        <v>5</v>
      </c>
    </row>
    <row r="711" spans="1:28" x14ac:dyDescent="0.25">
      <c r="A711">
        <v>709</v>
      </c>
      <c r="B711" t="s">
        <v>29</v>
      </c>
      <c r="C711">
        <v>1</v>
      </c>
      <c r="D711" t="s">
        <v>34</v>
      </c>
      <c r="E711" s="6">
        <v>46072.538194444445</v>
      </c>
      <c r="F711" s="6">
        <v>46072.552083333336</v>
      </c>
      <c r="G711" s="6">
        <v>46072.586805555555</v>
      </c>
      <c r="H711" s="6">
        <v>46072.666666666664</v>
      </c>
      <c r="I711" s="6">
        <v>46072.677083333336</v>
      </c>
      <c r="J711" s="6">
        <v>46072.690972222219</v>
      </c>
      <c r="K711">
        <v>3.67</v>
      </c>
      <c r="L711" s="6">
        <v>46072.697916666664</v>
      </c>
      <c r="M711" s="7">
        <f>F711-E711</f>
        <v>1.3888888890505768E-2</v>
      </c>
      <c r="N711">
        <f>HOUR(M711)</f>
        <v>0</v>
      </c>
      <c r="O711">
        <f>MINUTE(M711)</f>
        <v>20</v>
      </c>
      <c r="P711">
        <f>N711*60+O711</f>
        <v>20</v>
      </c>
      <c r="Q711" s="7">
        <f>G711-F711</f>
        <v>3.4722222218988463E-2</v>
      </c>
      <c r="R711">
        <f>HOUR(Q711)</f>
        <v>0</v>
      </c>
      <c r="S711">
        <f>MINUTE(Q711)</f>
        <v>50</v>
      </c>
      <c r="T711">
        <f>R711*60+S711</f>
        <v>50</v>
      </c>
      <c r="U711" s="7">
        <f>H711-G711</f>
        <v>7.9861111109494232E-2</v>
      </c>
      <c r="V711">
        <f>HOUR(U711)</f>
        <v>1</v>
      </c>
      <c r="W711">
        <f>MINUTE(U711)</f>
        <v>55</v>
      </c>
      <c r="X711">
        <f>V711*60+W711</f>
        <v>115</v>
      </c>
      <c r="Y711" s="7">
        <f>I711-H711</f>
        <v>1.0416666671517305E-2</v>
      </c>
      <c r="Z711">
        <f>HOUR(Y711)</f>
        <v>0</v>
      </c>
      <c r="AA711">
        <f>MINUTE(Y711)</f>
        <v>15</v>
      </c>
      <c r="AB711">
        <f>Z711*60+AA711</f>
        <v>15</v>
      </c>
    </row>
    <row r="712" spans="1:28" x14ac:dyDescent="0.25">
      <c r="A712">
        <v>710</v>
      </c>
      <c r="B712" t="s">
        <v>31</v>
      </c>
      <c r="C712">
        <v>1</v>
      </c>
      <c r="D712" t="s">
        <v>35</v>
      </c>
      <c r="E712" s="6">
        <v>46072.513888888891</v>
      </c>
      <c r="F712" s="6">
        <v>46072.520833333336</v>
      </c>
      <c r="G712" s="6">
        <v>46072.541666666664</v>
      </c>
      <c r="H712" s="6">
        <v>46072.604166666664</v>
      </c>
      <c r="I712" s="6">
        <v>46072.611111111109</v>
      </c>
      <c r="J712" s="6">
        <v>46072.621527777781</v>
      </c>
      <c r="K712">
        <v>2.58</v>
      </c>
      <c r="L712" s="6">
        <v>46072.62222222222</v>
      </c>
      <c r="M712" s="7">
        <f>F712-E712</f>
        <v>6.9444444452528842E-3</v>
      </c>
      <c r="N712">
        <f>HOUR(M712)</f>
        <v>0</v>
      </c>
      <c r="O712">
        <f>MINUTE(M712)</f>
        <v>10</v>
      </c>
      <c r="P712">
        <f>N712*60+O712</f>
        <v>10</v>
      </c>
      <c r="Q712" s="7">
        <f>G712-F712</f>
        <v>2.0833333328482695E-2</v>
      </c>
      <c r="R712">
        <f>HOUR(Q712)</f>
        <v>0</v>
      </c>
      <c r="S712">
        <f>MINUTE(Q712)</f>
        <v>30</v>
      </c>
      <c r="T712">
        <f>R712*60+S712</f>
        <v>30</v>
      </c>
      <c r="U712" s="7">
        <f>H712-G712</f>
        <v>6.25E-2</v>
      </c>
      <c r="V712">
        <f>HOUR(U712)</f>
        <v>1</v>
      </c>
      <c r="W712">
        <f>MINUTE(U712)</f>
        <v>30</v>
      </c>
      <c r="X712">
        <f>V712*60+W712</f>
        <v>90</v>
      </c>
      <c r="Y712" s="7">
        <f>I712-H712</f>
        <v>6.9444444452528842E-3</v>
      </c>
      <c r="Z712">
        <f>HOUR(Y712)</f>
        <v>0</v>
      </c>
      <c r="AA712">
        <f>MINUTE(Y712)</f>
        <v>10</v>
      </c>
      <c r="AB712">
        <f>Z712*60+AA712</f>
        <v>10</v>
      </c>
    </row>
    <row r="713" spans="1:28" x14ac:dyDescent="0.25">
      <c r="A713">
        <v>711</v>
      </c>
      <c r="B713" t="s">
        <v>33</v>
      </c>
      <c r="C713">
        <v>1</v>
      </c>
      <c r="D713" t="s">
        <v>34</v>
      </c>
      <c r="E713" s="6">
        <v>46072.291666666664</v>
      </c>
      <c r="F713" s="6">
        <v>46072.319444444445</v>
      </c>
      <c r="G713" s="6">
        <v>46072.371527777781</v>
      </c>
      <c r="H713" s="6">
        <v>46072.461805555555</v>
      </c>
      <c r="I713" s="6">
        <v>46072.46875</v>
      </c>
      <c r="J713" s="6">
        <v>46072.486111111109</v>
      </c>
      <c r="K713">
        <v>4.67</v>
      </c>
      <c r="L713" s="6">
        <v>46072.489583333336</v>
      </c>
      <c r="M713" s="7">
        <f>F713-E713</f>
        <v>2.7777777781011537E-2</v>
      </c>
      <c r="N713">
        <f>HOUR(M713)</f>
        <v>0</v>
      </c>
      <c r="O713">
        <f>MINUTE(M713)</f>
        <v>40</v>
      </c>
      <c r="P713">
        <f>N713*60+O713</f>
        <v>40</v>
      </c>
      <c r="Q713" s="7">
        <f>G713-F713</f>
        <v>5.2083333335758653E-2</v>
      </c>
      <c r="R713">
        <f>HOUR(Q713)</f>
        <v>1</v>
      </c>
      <c r="S713">
        <f>MINUTE(Q713)</f>
        <v>15</v>
      </c>
      <c r="T713">
        <f>R713*60+S713</f>
        <v>75</v>
      </c>
      <c r="U713" s="7">
        <f>H713-G713</f>
        <v>9.0277777773735579E-2</v>
      </c>
      <c r="V713">
        <f>HOUR(U713)</f>
        <v>2</v>
      </c>
      <c r="W713">
        <f>MINUTE(U713)</f>
        <v>10</v>
      </c>
      <c r="X713">
        <f>V713*60+W713</f>
        <v>130</v>
      </c>
      <c r="Y713" s="7">
        <f>I713-H713</f>
        <v>6.9444444452528842E-3</v>
      </c>
      <c r="Z713">
        <f>HOUR(Y713)</f>
        <v>0</v>
      </c>
      <c r="AA713">
        <f>MINUTE(Y713)</f>
        <v>10</v>
      </c>
      <c r="AB713">
        <f>Z713*60+AA713</f>
        <v>10</v>
      </c>
    </row>
    <row r="714" spans="1:28" x14ac:dyDescent="0.25">
      <c r="A714">
        <v>712</v>
      </c>
      <c r="B714" t="s">
        <v>31</v>
      </c>
      <c r="C714">
        <v>1</v>
      </c>
      <c r="D714" t="s">
        <v>32</v>
      </c>
      <c r="E714" s="6">
        <v>46072.625</v>
      </c>
      <c r="F714" s="6">
        <v>46072.635416666664</v>
      </c>
      <c r="G714" s="6">
        <v>46072.645833333336</v>
      </c>
      <c r="H714" s="6">
        <v>46072.673611111109</v>
      </c>
      <c r="I714" s="6">
        <v>46072.680555555555</v>
      </c>
      <c r="J714" s="6">
        <v>46072.6875</v>
      </c>
      <c r="K714">
        <v>1.5</v>
      </c>
      <c r="L714" s="6">
        <v>46072.694444444445</v>
      </c>
      <c r="M714" s="7">
        <f>F714-E714</f>
        <v>1.0416666664241347E-2</v>
      </c>
      <c r="N714">
        <f>HOUR(M714)</f>
        <v>0</v>
      </c>
      <c r="O714">
        <f>MINUTE(M714)</f>
        <v>15</v>
      </c>
      <c r="P714">
        <f>N714*60+O714</f>
        <v>15</v>
      </c>
      <c r="Q714" s="7">
        <f>G714-F714</f>
        <v>1.0416666671517305E-2</v>
      </c>
      <c r="R714">
        <f>HOUR(Q714)</f>
        <v>0</v>
      </c>
      <c r="S714">
        <f>MINUTE(Q714)</f>
        <v>15</v>
      </c>
      <c r="T714">
        <f>R714*60+S714</f>
        <v>15</v>
      </c>
      <c r="U714" s="7">
        <f>H714-G714</f>
        <v>2.7777777773735579E-2</v>
      </c>
      <c r="V714">
        <f>HOUR(U714)</f>
        <v>0</v>
      </c>
      <c r="W714">
        <f>MINUTE(U714)</f>
        <v>40</v>
      </c>
      <c r="X714">
        <f>V714*60+W714</f>
        <v>40</v>
      </c>
      <c r="Y714" s="7">
        <f>I714-H714</f>
        <v>6.9444444452528842E-3</v>
      </c>
      <c r="Z714">
        <f>HOUR(Y714)</f>
        <v>0</v>
      </c>
      <c r="AA714">
        <f>MINUTE(Y714)</f>
        <v>10</v>
      </c>
      <c r="AB714">
        <f>Z714*60+AA714</f>
        <v>10</v>
      </c>
    </row>
    <row r="715" spans="1:28" x14ac:dyDescent="0.25">
      <c r="A715">
        <v>713</v>
      </c>
      <c r="B715" t="s">
        <v>31</v>
      </c>
      <c r="C715">
        <v>1</v>
      </c>
      <c r="D715" t="s">
        <v>35</v>
      </c>
      <c r="E715" s="6">
        <v>46072.347222222219</v>
      </c>
      <c r="F715" s="6">
        <v>46072.354166666664</v>
      </c>
      <c r="G715" s="6">
        <v>46072.368055555555</v>
      </c>
      <c r="H715" s="6">
        <v>46072.4375</v>
      </c>
      <c r="I715" s="6">
        <v>46072.444444444445</v>
      </c>
      <c r="J715" s="6">
        <v>46072.451388888891</v>
      </c>
      <c r="K715">
        <v>2.5</v>
      </c>
      <c r="L715" s="6">
        <v>46072.458333333336</v>
      </c>
      <c r="M715" s="7">
        <f>F715-E715</f>
        <v>6.9444444452528842E-3</v>
      </c>
      <c r="N715">
        <f>HOUR(M715)</f>
        <v>0</v>
      </c>
      <c r="O715">
        <f>MINUTE(M715)</f>
        <v>10</v>
      </c>
      <c r="P715">
        <f>N715*60+O715</f>
        <v>10</v>
      </c>
      <c r="Q715" s="7">
        <f>G715-F715</f>
        <v>1.3888888890505768E-2</v>
      </c>
      <c r="R715">
        <f>HOUR(Q715)</f>
        <v>0</v>
      </c>
      <c r="S715">
        <f>MINUTE(Q715)</f>
        <v>20</v>
      </c>
      <c r="T715">
        <f>R715*60+S715</f>
        <v>20</v>
      </c>
      <c r="U715" s="7">
        <f>H715-G715</f>
        <v>6.9444444445252884E-2</v>
      </c>
      <c r="V715">
        <f>HOUR(U715)</f>
        <v>1</v>
      </c>
      <c r="W715">
        <f>MINUTE(U715)</f>
        <v>40</v>
      </c>
      <c r="X715">
        <f>V715*60+W715</f>
        <v>100</v>
      </c>
      <c r="Y715" s="7">
        <f>I715-H715</f>
        <v>6.9444444452528842E-3</v>
      </c>
      <c r="Z715">
        <f>HOUR(Y715)</f>
        <v>0</v>
      </c>
      <c r="AA715">
        <f>MINUTE(Y715)</f>
        <v>10</v>
      </c>
      <c r="AB715">
        <f>Z715*60+AA715</f>
        <v>10</v>
      </c>
    </row>
    <row r="716" spans="1:28" x14ac:dyDescent="0.25">
      <c r="A716">
        <v>714</v>
      </c>
      <c r="B716" t="s">
        <v>29</v>
      </c>
      <c r="C716">
        <v>1</v>
      </c>
      <c r="D716" t="s">
        <v>30</v>
      </c>
      <c r="E716" s="6">
        <v>46071.670138888891</v>
      </c>
      <c r="F716" s="6">
        <v>46071.673611111109</v>
      </c>
      <c r="G716" s="6">
        <v>46071.677083333336</v>
      </c>
      <c r="H716" s="6">
        <v>46071.677777777775</v>
      </c>
      <c r="I716" s="6">
        <v>46071.678472222222</v>
      </c>
      <c r="J716" s="6">
        <v>46071.679166666669</v>
      </c>
      <c r="K716">
        <v>0.22</v>
      </c>
      <c r="L716" s="6">
        <v>46071.679861111108</v>
      </c>
      <c r="M716" s="7">
        <f>F716-E716</f>
        <v>3.4722222189884633E-3</v>
      </c>
      <c r="N716">
        <f>HOUR(M716)</f>
        <v>0</v>
      </c>
      <c r="O716">
        <f>MINUTE(M716)</f>
        <v>5</v>
      </c>
      <c r="P716">
        <f>N716*60+O716</f>
        <v>5</v>
      </c>
      <c r="Q716" s="7">
        <f>G716-F716</f>
        <v>3.4722222262644209E-3</v>
      </c>
      <c r="R716">
        <f>HOUR(Q716)</f>
        <v>0</v>
      </c>
      <c r="S716">
        <f>MINUTE(Q716)</f>
        <v>5</v>
      </c>
      <c r="T716">
        <f>R716*60+S716</f>
        <v>5</v>
      </c>
      <c r="U716" s="7">
        <f>H716-G716</f>
        <v>6.9444443943211809E-4</v>
      </c>
      <c r="V716">
        <f>HOUR(U716)</f>
        <v>0</v>
      </c>
      <c r="W716">
        <f>MINUTE(U716)</f>
        <v>1</v>
      </c>
      <c r="X716">
        <f>V716*60+W716</f>
        <v>1</v>
      </c>
      <c r="Y716" s="7">
        <f>I716-H716</f>
        <v>6.944444467080757E-4</v>
      </c>
      <c r="Z716">
        <f>HOUR(Y716)</f>
        <v>0</v>
      </c>
      <c r="AA716">
        <f>MINUTE(Y716)</f>
        <v>1</v>
      </c>
      <c r="AB716">
        <f>Z716*60+AA716</f>
        <v>1</v>
      </c>
    </row>
    <row r="717" spans="1:28" x14ac:dyDescent="0.25">
      <c r="A717">
        <v>715</v>
      </c>
      <c r="B717" t="s">
        <v>29</v>
      </c>
      <c r="C717">
        <v>1</v>
      </c>
      <c r="D717" t="s">
        <v>30</v>
      </c>
      <c r="E717" s="6">
        <v>46073.628472222219</v>
      </c>
      <c r="F717" s="6">
        <v>46073.631944444445</v>
      </c>
      <c r="G717" s="6">
        <v>46073.635416666664</v>
      </c>
      <c r="H717" s="6">
        <v>46073.642361111109</v>
      </c>
      <c r="I717" s="6">
        <v>46073.643055555556</v>
      </c>
      <c r="J717" s="6">
        <v>46073.643750000003</v>
      </c>
      <c r="K717">
        <v>0.37</v>
      </c>
      <c r="L717" s="6">
        <v>46073.644444444442</v>
      </c>
      <c r="M717" s="7">
        <f>F717-E717</f>
        <v>3.4722222262644209E-3</v>
      </c>
      <c r="N717">
        <f>HOUR(M717)</f>
        <v>0</v>
      </c>
      <c r="O717">
        <f>MINUTE(M717)</f>
        <v>5</v>
      </c>
      <c r="P717">
        <f>N717*60+O717</f>
        <v>5</v>
      </c>
      <c r="Q717" s="7">
        <f>G717-F717</f>
        <v>3.4722222189884633E-3</v>
      </c>
      <c r="R717">
        <f>HOUR(Q717)</f>
        <v>0</v>
      </c>
      <c r="S717">
        <f>MINUTE(Q717)</f>
        <v>5</v>
      </c>
      <c r="T717">
        <f>R717*60+S717</f>
        <v>5</v>
      </c>
      <c r="U717" s="7">
        <f>H717-G717</f>
        <v>6.9444444452528842E-3</v>
      </c>
      <c r="V717">
        <f>HOUR(U717)</f>
        <v>0</v>
      </c>
      <c r="W717">
        <f>MINUTE(U717)</f>
        <v>10</v>
      </c>
      <c r="X717">
        <f>V717*60+W717</f>
        <v>10</v>
      </c>
      <c r="Y717" s="7">
        <f>I717-H717</f>
        <v>6.944444467080757E-4</v>
      </c>
      <c r="Z717">
        <f>HOUR(Y717)</f>
        <v>0</v>
      </c>
      <c r="AA717">
        <f>MINUTE(Y717)</f>
        <v>1</v>
      </c>
      <c r="AB717">
        <f>Z717*60+AA717</f>
        <v>1</v>
      </c>
    </row>
    <row r="718" spans="1:28" x14ac:dyDescent="0.25">
      <c r="A718">
        <v>716</v>
      </c>
      <c r="B718" t="s">
        <v>29</v>
      </c>
      <c r="C718">
        <v>1</v>
      </c>
      <c r="D718" t="s">
        <v>30</v>
      </c>
      <c r="E718" s="6">
        <v>46072.392361111109</v>
      </c>
      <c r="F718" s="6">
        <v>46072.402777777781</v>
      </c>
      <c r="G718" s="6">
        <v>46072.427083333336</v>
      </c>
      <c r="H718" s="6">
        <v>46072.451388888891</v>
      </c>
      <c r="I718" s="6">
        <v>46072.458333333336</v>
      </c>
      <c r="J718" s="6">
        <v>46072.461805555555</v>
      </c>
      <c r="K718">
        <v>1.67</v>
      </c>
      <c r="L718" s="6">
        <v>46072.465277777781</v>
      </c>
      <c r="M718" s="7">
        <f>F718-E718</f>
        <v>1.0416666671517305E-2</v>
      </c>
      <c r="N718">
        <f>HOUR(M718)</f>
        <v>0</v>
      </c>
      <c r="O718">
        <f>MINUTE(M718)</f>
        <v>15</v>
      </c>
      <c r="P718">
        <f>N718*60+O718</f>
        <v>15</v>
      </c>
      <c r="Q718" s="7">
        <f>G718-F718</f>
        <v>2.4305555554747116E-2</v>
      </c>
      <c r="R718">
        <f>HOUR(Q718)</f>
        <v>0</v>
      </c>
      <c r="S718">
        <f>MINUTE(Q718)</f>
        <v>35</v>
      </c>
      <c r="T718">
        <f>R718*60+S718</f>
        <v>35</v>
      </c>
      <c r="U718" s="7">
        <f>H718-G718</f>
        <v>2.4305555554747116E-2</v>
      </c>
      <c r="V718">
        <f>HOUR(U718)</f>
        <v>0</v>
      </c>
      <c r="W718">
        <f>MINUTE(U718)</f>
        <v>35</v>
      </c>
      <c r="X718">
        <f>V718*60+W718</f>
        <v>35</v>
      </c>
      <c r="Y718" s="7">
        <f>I718-H718</f>
        <v>6.9444444452528842E-3</v>
      </c>
      <c r="Z718">
        <f>HOUR(Y718)</f>
        <v>0</v>
      </c>
      <c r="AA718">
        <f>MINUTE(Y718)</f>
        <v>10</v>
      </c>
      <c r="AB718">
        <f>Z718*60+AA718</f>
        <v>10</v>
      </c>
    </row>
    <row r="719" spans="1:28" x14ac:dyDescent="0.25">
      <c r="A719">
        <v>717</v>
      </c>
      <c r="B719" t="s">
        <v>33</v>
      </c>
      <c r="C719">
        <v>1</v>
      </c>
      <c r="D719" t="s">
        <v>32</v>
      </c>
      <c r="E719" s="6">
        <v>46077.291666666664</v>
      </c>
      <c r="F719" s="6">
        <v>46077.340277777781</v>
      </c>
      <c r="G719" s="6">
        <v>46077.354166666664</v>
      </c>
      <c r="H719" s="6">
        <v>46077.395833333336</v>
      </c>
      <c r="I719" s="6">
        <v>46077.402777777781</v>
      </c>
      <c r="J719" s="6">
        <v>46077.40625</v>
      </c>
      <c r="K719">
        <v>2.75</v>
      </c>
      <c r="L719" s="6">
        <v>46077.413194444445</v>
      </c>
      <c r="M719" s="7">
        <f>F719-E719</f>
        <v>4.8611111116770189E-2</v>
      </c>
      <c r="N719">
        <f>HOUR(M719)</f>
        <v>1</v>
      </c>
      <c r="O719">
        <f>MINUTE(M719)</f>
        <v>10</v>
      </c>
      <c r="P719">
        <f>N719*60+O719</f>
        <v>70</v>
      </c>
      <c r="Q719" s="7">
        <f>G719-F719</f>
        <v>1.3888888883229811E-2</v>
      </c>
      <c r="R719">
        <f>HOUR(Q719)</f>
        <v>0</v>
      </c>
      <c r="S719">
        <f>MINUTE(Q719)</f>
        <v>20</v>
      </c>
      <c r="T719">
        <f>R719*60+S719</f>
        <v>20</v>
      </c>
      <c r="U719" s="7">
        <f>H719-G719</f>
        <v>4.1666666671517305E-2</v>
      </c>
      <c r="V719">
        <f>HOUR(U719)</f>
        <v>1</v>
      </c>
      <c r="W719">
        <f>MINUTE(U719)</f>
        <v>0</v>
      </c>
      <c r="X719">
        <f>V719*60+W719</f>
        <v>60</v>
      </c>
      <c r="Y719" s="7">
        <f>I719-H719</f>
        <v>6.9444444452528842E-3</v>
      </c>
      <c r="Z719">
        <f>HOUR(Y719)</f>
        <v>0</v>
      </c>
      <c r="AA719">
        <f>MINUTE(Y719)</f>
        <v>10</v>
      </c>
      <c r="AB719">
        <f>Z719*60+AA719</f>
        <v>10</v>
      </c>
    </row>
    <row r="720" spans="1:28" x14ac:dyDescent="0.25">
      <c r="A720">
        <v>718</v>
      </c>
      <c r="B720" t="s">
        <v>31</v>
      </c>
      <c r="C720">
        <v>1</v>
      </c>
      <c r="D720" t="s">
        <v>32</v>
      </c>
      <c r="E720" s="6">
        <v>46073.607638888891</v>
      </c>
      <c r="F720" s="6">
        <v>46073.611111111109</v>
      </c>
      <c r="G720" s="6">
        <v>46073.618055555555</v>
      </c>
      <c r="H720" s="6">
        <v>46073.638888888891</v>
      </c>
      <c r="I720" s="6">
        <v>46073.645833333336</v>
      </c>
      <c r="J720" s="6">
        <v>46073.649305555555</v>
      </c>
      <c r="K720">
        <v>1</v>
      </c>
      <c r="L720" s="6">
        <v>46073.652777777781</v>
      </c>
      <c r="M720" s="7">
        <f>F720-E720</f>
        <v>3.4722222189884633E-3</v>
      </c>
      <c r="N720">
        <f>HOUR(M720)</f>
        <v>0</v>
      </c>
      <c r="O720">
        <f>MINUTE(M720)</f>
        <v>5</v>
      </c>
      <c r="P720">
        <f>N720*60+O720</f>
        <v>5</v>
      </c>
      <c r="Q720" s="7">
        <f>G720-F720</f>
        <v>6.9444444452528842E-3</v>
      </c>
      <c r="R720">
        <f>HOUR(Q720)</f>
        <v>0</v>
      </c>
      <c r="S720">
        <f>MINUTE(Q720)</f>
        <v>10</v>
      </c>
      <c r="T720">
        <f>R720*60+S720</f>
        <v>10</v>
      </c>
      <c r="U720" s="7">
        <f>H720-G720</f>
        <v>2.0833333335758653E-2</v>
      </c>
      <c r="V720">
        <f>HOUR(U720)</f>
        <v>0</v>
      </c>
      <c r="W720">
        <f>MINUTE(U720)</f>
        <v>30</v>
      </c>
      <c r="X720">
        <f>V720*60+W720</f>
        <v>30</v>
      </c>
      <c r="Y720" s="7">
        <f>I720-H720</f>
        <v>6.9444444452528842E-3</v>
      </c>
      <c r="Z720">
        <f>HOUR(Y720)</f>
        <v>0</v>
      </c>
      <c r="AA720">
        <f>MINUTE(Y720)</f>
        <v>10</v>
      </c>
      <c r="AB720">
        <f>Z720*60+AA720</f>
        <v>10</v>
      </c>
    </row>
    <row r="721" spans="1:28" x14ac:dyDescent="0.25">
      <c r="A721">
        <v>719</v>
      </c>
      <c r="B721" t="s">
        <v>31</v>
      </c>
      <c r="C721">
        <v>1</v>
      </c>
      <c r="D721" t="s">
        <v>35</v>
      </c>
      <c r="E721" s="6">
        <v>46073.708333333336</v>
      </c>
      <c r="F721" s="6">
        <v>46073.722222222219</v>
      </c>
      <c r="G721" s="6">
        <v>46073.736111111109</v>
      </c>
      <c r="H721" s="6">
        <v>46073.798611111109</v>
      </c>
      <c r="I721" s="6">
        <v>46073.8125</v>
      </c>
      <c r="J721" s="6">
        <v>46073.819444444445</v>
      </c>
      <c r="K721">
        <v>2.67</v>
      </c>
      <c r="L721" s="6">
        <v>46073.822916666664</v>
      </c>
      <c r="M721" s="7">
        <f>F721-E721</f>
        <v>1.3888888883229811E-2</v>
      </c>
      <c r="N721">
        <f>HOUR(M721)</f>
        <v>0</v>
      </c>
      <c r="O721">
        <f>MINUTE(M721)</f>
        <v>20</v>
      </c>
      <c r="P721">
        <f>N721*60+O721</f>
        <v>20</v>
      </c>
      <c r="Q721" s="7">
        <f>G721-F721</f>
        <v>1.3888888890505768E-2</v>
      </c>
      <c r="R721">
        <f>HOUR(Q721)</f>
        <v>0</v>
      </c>
      <c r="S721">
        <f>MINUTE(Q721)</f>
        <v>20</v>
      </c>
      <c r="T721">
        <f>R721*60+S721</f>
        <v>20</v>
      </c>
      <c r="U721" s="7">
        <f>H721-G721</f>
        <v>6.25E-2</v>
      </c>
      <c r="V721">
        <f>HOUR(U721)</f>
        <v>1</v>
      </c>
      <c r="W721">
        <f>MINUTE(U721)</f>
        <v>30</v>
      </c>
      <c r="X721">
        <f>V721*60+W721</f>
        <v>90</v>
      </c>
      <c r="Y721" s="7">
        <f>I721-H721</f>
        <v>1.3888888890505768E-2</v>
      </c>
      <c r="Z721">
        <f>HOUR(Y721)</f>
        <v>0</v>
      </c>
      <c r="AA721">
        <f>MINUTE(Y721)</f>
        <v>20</v>
      </c>
      <c r="AB721">
        <f>Z721*60+AA721</f>
        <v>20</v>
      </c>
    </row>
    <row r="722" spans="1:28" x14ac:dyDescent="0.25">
      <c r="A722">
        <v>720</v>
      </c>
      <c r="B722" t="s">
        <v>29</v>
      </c>
      <c r="C722">
        <v>1</v>
      </c>
      <c r="D722" t="s">
        <v>37</v>
      </c>
      <c r="E722" s="6">
        <v>46073.423611111109</v>
      </c>
      <c r="F722" s="6">
        <v>46073.4375</v>
      </c>
      <c r="G722" s="6">
        <v>46073.444444444445</v>
      </c>
      <c r="H722" s="6">
        <v>46073.46597222222</v>
      </c>
      <c r="I722" s="6">
        <v>46073.472222222219</v>
      </c>
      <c r="J722" s="6">
        <v>46073.473611111112</v>
      </c>
      <c r="K722">
        <v>1.2</v>
      </c>
      <c r="L722" s="6">
        <v>46073.476388888892</v>
      </c>
      <c r="M722" s="7">
        <f>F722-E722</f>
        <v>1.3888888890505768E-2</v>
      </c>
      <c r="N722">
        <f>HOUR(M722)</f>
        <v>0</v>
      </c>
      <c r="O722">
        <f>MINUTE(M722)</f>
        <v>20</v>
      </c>
      <c r="P722">
        <f>N722*60+O722</f>
        <v>20</v>
      </c>
      <c r="Q722" s="7">
        <f>G722-F722</f>
        <v>6.9444444452528842E-3</v>
      </c>
      <c r="R722">
        <f>HOUR(Q722)</f>
        <v>0</v>
      </c>
      <c r="S722">
        <f>MINUTE(Q722)</f>
        <v>10</v>
      </c>
      <c r="T722">
        <f>R722*60+S722</f>
        <v>10</v>
      </c>
      <c r="U722" s="7">
        <f>H722-G722</f>
        <v>2.1527777775190771E-2</v>
      </c>
      <c r="V722">
        <f>HOUR(U722)</f>
        <v>0</v>
      </c>
      <c r="W722">
        <f>MINUTE(U722)</f>
        <v>31</v>
      </c>
      <c r="X722">
        <f>V722*60+W722</f>
        <v>31</v>
      </c>
      <c r="Y722" s="7">
        <f>I722-H722</f>
        <v>6.2499999985448085E-3</v>
      </c>
      <c r="Z722">
        <f>HOUR(Y722)</f>
        <v>0</v>
      </c>
      <c r="AA722">
        <f>MINUTE(Y722)</f>
        <v>9</v>
      </c>
      <c r="AB722">
        <f>Z722*60+AA722</f>
        <v>9</v>
      </c>
    </row>
    <row r="723" spans="1:28" x14ac:dyDescent="0.25">
      <c r="A723">
        <v>721</v>
      </c>
      <c r="B723" t="s">
        <v>33</v>
      </c>
      <c r="C723">
        <v>1</v>
      </c>
      <c r="D723" t="s">
        <v>36</v>
      </c>
      <c r="E723" s="6">
        <v>46073.288194444445</v>
      </c>
      <c r="F723" s="6">
        <v>46073.318055555559</v>
      </c>
      <c r="G723" s="6">
        <v>46073.395833333336</v>
      </c>
      <c r="H723" s="6">
        <v>46073.534722222219</v>
      </c>
      <c r="I723" s="6">
        <v>46073.541666666664</v>
      </c>
      <c r="J723" s="6">
        <v>46073.555555555555</v>
      </c>
      <c r="K723">
        <v>6.42</v>
      </c>
      <c r="L723" s="6">
        <v>46073.5625</v>
      </c>
      <c r="M723" s="7">
        <f>F723-E723</f>
        <v>2.9861111113859806E-2</v>
      </c>
      <c r="N723">
        <f>HOUR(M723)</f>
        <v>0</v>
      </c>
      <c r="O723">
        <f>MINUTE(M723)</f>
        <v>43</v>
      </c>
      <c r="P723">
        <f>N723*60+O723</f>
        <v>43</v>
      </c>
      <c r="Q723" s="7">
        <f>G723-F723</f>
        <v>7.7777777776645962E-2</v>
      </c>
      <c r="R723">
        <f>HOUR(Q723)</f>
        <v>1</v>
      </c>
      <c r="S723">
        <f>MINUTE(Q723)</f>
        <v>52</v>
      </c>
      <c r="T723">
        <f>R723*60+S723</f>
        <v>112</v>
      </c>
      <c r="U723" s="7">
        <f>H723-G723</f>
        <v>0.13888888888322981</v>
      </c>
      <c r="V723">
        <f>HOUR(U723)</f>
        <v>3</v>
      </c>
      <c r="W723">
        <f>MINUTE(U723)</f>
        <v>20</v>
      </c>
      <c r="X723">
        <f>V723*60+W723</f>
        <v>200</v>
      </c>
      <c r="Y723" s="7">
        <f>I723-H723</f>
        <v>6.9444444452528842E-3</v>
      </c>
      <c r="Z723">
        <f>HOUR(Y723)</f>
        <v>0</v>
      </c>
      <c r="AA723">
        <f>MINUTE(Y723)</f>
        <v>10</v>
      </c>
      <c r="AB723">
        <f>Z723*60+AA723</f>
        <v>10</v>
      </c>
    </row>
    <row r="724" spans="1:28" x14ac:dyDescent="0.25">
      <c r="A724">
        <v>722</v>
      </c>
      <c r="B724" t="s">
        <v>33</v>
      </c>
      <c r="C724">
        <v>1</v>
      </c>
      <c r="D724" t="s">
        <v>32</v>
      </c>
      <c r="E724" s="6">
        <v>46073.697916666664</v>
      </c>
      <c r="F724" s="6">
        <v>46073.708333333336</v>
      </c>
      <c r="G724" s="6">
        <v>46073.722222222219</v>
      </c>
      <c r="H724" s="6">
        <v>46073.770833333336</v>
      </c>
      <c r="I724" s="6">
        <v>46073.777777777781</v>
      </c>
      <c r="J724" s="6">
        <v>46073.77847222222</v>
      </c>
      <c r="K724">
        <v>1.93</v>
      </c>
      <c r="L724" s="6">
        <v>46073.785416666666</v>
      </c>
      <c r="M724" s="7">
        <f>F724-E724</f>
        <v>1.0416666671517305E-2</v>
      </c>
      <c r="N724">
        <f>HOUR(M724)</f>
        <v>0</v>
      </c>
      <c r="O724">
        <f>MINUTE(M724)</f>
        <v>15</v>
      </c>
      <c r="P724">
        <f>N724*60+O724</f>
        <v>15</v>
      </c>
      <c r="Q724" s="7">
        <f>G724-F724</f>
        <v>1.3888888883229811E-2</v>
      </c>
      <c r="R724">
        <f>HOUR(Q724)</f>
        <v>0</v>
      </c>
      <c r="S724">
        <f>MINUTE(Q724)</f>
        <v>20</v>
      </c>
      <c r="T724">
        <f>R724*60+S724</f>
        <v>20</v>
      </c>
      <c r="U724" s="7">
        <f>H724-G724</f>
        <v>4.8611111116770189E-2</v>
      </c>
      <c r="V724">
        <f>HOUR(U724)</f>
        <v>1</v>
      </c>
      <c r="W724">
        <f>MINUTE(U724)</f>
        <v>10</v>
      </c>
      <c r="X724">
        <f>V724*60+W724</f>
        <v>70</v>
      </c>
      <c r="Y724" s="7">
        <f>I724-H724</f>
        <v>6.9444444452528842E-3</v>
      </c>
      <c r="Z724">
        <f>HOUR(Y724)</f>
        <v>0</v>
      </c>
      <c r="AA724">
        <f>MINUTE(Y724)</f>
        <v>10</v>
      </c>
      <c r="AB724">
        <f>Z724*60+AA724</f>
        <v>10</v>
      </c>
    </row>
    <row r="725" spans="1:28" x14ac:dyDescent="0.25">
      <c r="A725">
        <v>723</v>
      </c>
      <c r="B725" t="s">
        <v>29</v>
      </c>
      <c r="C725">
        <v>1</v>
      </c>
      <c r="D725" t="s">
        <v>35</v>
      </c>
      <c r="E725" s="6">
        <v>46073.291666666664</v>
      </c>
      <c r="F725" s="6">
        <v>46073.333333333336</v>
      </c>
      <c r="G725" s="6">
        <v>46073.340277777781</v>
      </c>
      <c r="H725" s="6">
        <v>46073.364583333336</v>
      </c>
      <c r="I725" s="6">
        <v>46073.371527777781</v>
      </c>
      <c r="J725" s="6">
        <v>46073.375</v>
      </c>
      <c r="K725">
        <v>2</v>
      </c>
      <c r="L725" s="6">
        <v>46073.381944444445</v>
      </c>
      <c r="M725" s="7">
        <f>F725-E725</f>
        <v>4.1666666671517305E-2</v>
      </c>
      <c r="N725">
        <f>HOUR(M725)</f>
        <v>1</v>
      </c>
      <c r="O725">
        <f>MINUTE(M725)</f>
        <v>0</v>
      </c>
      <c r="P725">
        <f>N725*60+O725</f>
        <v>60</v>
      </c>
      <c r="Q725" s="7">
        <f>G725-F725</f>
        <v>6.9444444452528842E-3</v>
      </c>
      <c r="R725">
        <f>HOUR(Q725)</f>
        <v>0</v>
      </c>
      <c r="S725">
        <f>MINUTE(Q725)</f>
        <v>10</v>
      </c>
      <c r="T725">
        <f>R725*60+S725</f>
        <v>10</v>
      </c>
      <c r="U725" s="7">
        <f>H725-G725</f>
        <v>2.4305555554747116E-2</v>
      </c>
      <c r="V725">
        <f>HOUR(U725)</f>
        <v>0</v>
      </c>
      <c r="W725">
        <f>MINUTE(U725)</f>
        <v>35</v>
      </c>
      <c r="X725">
        <f>V725*60+W725</f>
        <v>35</v>
      </c>
      <c r="Y725" s="7">
        <f>I725-H725</f>
        <v>6.9444444452528842E-3</v>
      </c>
      <c r="Z725">
        <f>HOUR(Y725)</f>
        <v>0</v>
      </c>
      <c r="AA725">
        <f>MINUTE(Y725)</f>
        <v>10</v>
      </c>
      <c r="AB725">
        <f>Z725*60+AA725</f>
        <v>10</v>
      </c>
    </row>
    <row r="726" spans="1:28" x14ac:dyDescent="0.25">
      <c r="A726">
        <v>724</v>
      </c>
      <c r="B726" t="s">
        <v>29</v>
      </c>
      <c r="C726">
        <v>1</v>
      </c>
      <c r="D726" t="s">
        <v>32</v>
      </c>
      <c r="E726" s="6">
        <v>46073.520833333336</v>
      </c>
      <c r="F726" s="6">
        <v>46073.524305555555</v>
      </c>
      <c r="G726" s="6">
        <v>46073.525694444441</v>
      </c>
      <c r="H726" s="6">
        <v>46073.53125</v>
      </c>
      <c r="I726" s="6">
        <v>46073.538194444445</v>
      </c>
      <c r="J726" s="6">
        <v>46073.541666666664</v>
      </c>
      <c r="K726">
        <v>0.5</v>
      </c>
      <c r="L726" s="6">
        <v>46073.548611111109</v>
      </c>
      <c r="M726" s="7">
        <f>F726-E726</f>
        <v>3.4722222189884633E-3</v>
      </c>
      <c r="N726">
        <f>HOUR(M726)</f>
        <v>0</v>
      </c>
      <c r="O726">
        <f>MINUTE(M726)</f>
        <v>5</v>
      </c>
      <c r="P726">
        <f>N726*60+O726</f>
        <v>5</v>
      </c>
      <c r="Q726" s="7">
        <f>G726-F726</f>
        <v>1.3888888861401938E-3</v>
      </c>
      <c r="R726">
        <f>HOUR(Q726)</f>
        <v>0</v>
      </c>
      <c r="S726">
        <f>MINUTE(Q726)</f>
        <v>2</v>
      </c>
      <c r="T726">
        <f>R726*60+S726</f>
        <v>2</v>
      </c>
      <c r="U726" s="7">
        <f>H726-G726</f>
        <v>5.5555555591126904E-3</v>
      </c>
      <c r="V726">
        <f>HOUR(U726)</f>
        <v>0</v>
      </c>
      <c r="W726">
        <f>MINUTE(U726)</f>
        <v>8</v>
      </c>
      <c r="X726">
        <f>V726*60+W726</f>
        <v>8</v>
      </c>
      <c r="Y726" s="7">
        <f>I726-H726</f>
        <v>6.9444444452528842E-3</v>
      </c>
      <c r="Z726">
        <f>HOUR(Y726)</f>
        <v>0</v>
      </c>
      <c r="AA726">
        <f>MINUTE(Y726)</f>
        <v>10</v>
      </c>
      <c r="AB726">
        <f>Z726*60+AA726</f>
        <v>10</v>
      </c>
    </row>
    <row r="727" spans="1:28" x14ac:dyDescent="0.25">
      <c r="A727">
        <v>725</v>
      </c>
      <c r="B727" t="s">
        <v>33</v>
      </c>
      <c r="C727">
        <v>1</v>
      </c>
      <c r="D727" t="s">
        <v>30</v>
      </c>
      <c r="E727" s="6">
        <v>46073.555555555555</v>
      </c>
      <c r="F727" s="6">
        <v>46073.569444444445</v>
      </c>
      <c r="G727" s="6">
        <v>46073.604166666664</v>
      </c>
      <c r="H727" s="6">
        <v>46073.833333333336</v>
      </c>
      <c r="I727" s="6">
        <v>46073.840277777781</v>
      </c>
      <c r="J727" s="6">
        <v>46073.868055555555</v>
      </c>
      <c r="K727">
        <v>7.5</v>
      </c>
      <c r="L727" s="6">
        <v>46073.875</v>
      </c>
      <c r="M727" s="7">
        <f>F727-E727</f>
        <v>1.3888888890505768E-2</v>
      </c>
      <c r="N727">
        <f>HOUR(M727)</f>
        <v>0</v>
      </c>
      <c r="O727">
        <f>MINUTE(M727)</f>
        <v>20</v>
      </c>
      <c r="P727">
        <f>N727*60+O727</f>
        <v>20</v>
      </c>
      <c r="Q727" s="7">
        <f>G727-F727</f>
        <v>3.4722222218988463E-2</v>
      </c>
      <c r="R727">
        <f>HOUR(Q727)</f>
        <v>0</v>
      </c>
      <c r="S727">
        <f>MINUTE(Q727)</f>
        <v>50</v>
      </c>
      <c r="T727">
        <f>R727*60+S727</f>
        <v>50</v>
      </c>
      <c r="U727" s="7">
        <f>H727-G727</f>
        <v>0.22916666667151731</v>
      </c>
      <c r="V727">
        <f>HOUR(U727)</f>
        <v>5</v>
      </c>
      <c r="W727">
        <f>MINUTE(U727)</f>
        <v>30</v>
      </c>
      <c r="X727">
        <f>V727*60+W727</f>
        <v>330</v>
      </c>
      <c r="Y727" s="7">
        <f>I727-H727</f>
        <v>6.9444444452528842E-3</v>
      </c>
      <c r="Z727">
        <f>HOUR(Y727)</f>
        <v>0</v>
      </c>
      <c r="AA727">
        <f>MINUTE(Y727)</f>
        <v>10</v>
      </c>
      <c r="AB727">
        <f>Z727*60+AA727</f>
        <v>10</v>
      </c>
    </row>
    <row r="728" spans="1:28" x14ac:dyDescent="0.25">
      <c r="A728">
        <v>726</v>
      </c>
      <c r="B728" t="s">
        <v>33</v>
      </c>
      <c r="C728">
        <v>1</v>
      </c>
      <c r="D728" t="s">
        <v>32</v>
      </c>
      <c r="E728" s="6">
        <v>46073.625</v>
      </c>
      <c r="F728" s="6">
        <v>46073.631944444445</v>
      </c>
      <c r="G728" s="6">
        <v>46073.645833333336</v>
      </c>
      <c r="H728" s="6">
        <v>46073.694444444445</v>
      </c>
      <c r="I728" s="6">
        <v>46073.701388888891</v>
      </c>
      <c r="J728" s="6">
        <v>46073.708333333336</v>
      </c>
      <c r="K728">
        <v>2</v>
      </c>
      <c r="L728" s="6">
        <v>46073.715277777781</v>
      </c>
      <c r="M728" s="7">
        <f>F728-E728</f>
        <v>6.9444444452528842E-3</v>
      </c>
      <c r="N728">
        <f>HOUR(M728)</f>
        <v>0</v>
      </c>
      <c r="O728">
        <f>MINUTE(M728)</f>
        <v>10</v>
      </c>
      <c r="P728">
        <f>N728*60+O728</f>
        <v>10</v>
      </c>
      <c r="Q728" s="7">
        <f>G728-F728</f>
        <v>1.3888888890505768E-2</v>
      </c>
      <c r="R728">
        <f>HOUR(Q728)</f>
        <v>0</v>
      </c>
      <c r="S728">
        <f>MINUTE(Q728)</f>
        <v>20</v>
      </c>
      <c r="T728">
        <f>R728*60+S728</f>
        <v>20</v>
      </c>
      <c r="U728" s="7">
        <f>H728-G728</f>
        <v>4.8611111109494232E-2</v>
      </c>
      <c r="V728">
        <f>HOUR(U728)</f>
        <v>1</v>
      </c>
      <c r="W728">
        <f>MINUTE(U728)</f>
        <v>10</v>
      </c>
      <c r="X728">
        <f>V728*60+W728</f>
        <v>70</v>
      </c>
      <c r="Y728" s="7">
        <f>I728-H728</f>
        <v>6.9444444452528842E-3</v>
      </c>
      <c r="Z728">
        <f>HOUR(Y728)</f>
        <v>0</v>
      </c>
      <c r="AA728">
        <f>MINUTE(Y728)</f>
        <v>10</v>
      </c>
      <c r="AB728">
        <f>Z728*60+AA728</f>
        <v>10</v>
      </c>
    </row>
    <row r="729" spans="1:28" x14ac:dyDescent="0.25">
      <c r="A729">
        <v>727</v>
      </c>
      <c r="B729" t="s">
        <v>33</v>
      </c>
      <c r="C729">
        <v>1</v>
      </c>
      <c r="D729" t="s">
        <v>30</v>
      </c>
      <c r="E729" s="6">
        <v>46073.326388888891</v>
      </c>
      <c r="F729" s="6">
        <v>46073.336805555555</v>
      </c>
      <c r="G729" s="6">
        <v>46073.388888888891</v>
      </c>
      <c r="H729" s="6">
        <v>46073.458333333336</v>
      </c>
      <c r="I729" s="6">
        <v>46073.465277777781</v>
      </c>
      <c r="J729" s="6">
        <v>46073.479166666664</v>
      </c>
      <c r="K729">
        <v>3.67</v>
      </c>
      <c r="L729" s="6">
        <v>46073.486111111109</v>
      </c>
      <c r="M729" s="7">
        <f>F729-E729</f>
        <v>1.0416666664241347E-2</v>
      </c>
      <c r="N729">
        <f>HOUR(M729)</f>
        <v>0</v>
      </c>
      <c r="O729">
        <f>MINUTE(M729)</f>
        <v>15</v>
      </c>
      <c r="P729">
        <f>N729*60+O729</f>
        <v>15</v>
      </c>
      <c r="Q729" s="7">
        <f>G729-F729</f>
        <v>5.2083333335758653E-2</v>
      </c>
      <c r="R729">
        <f>HOUR(Q729)</f>
        <v>1</v>
      </c>
      <c r="S729">
        <f>MINUTE(Q729)</f>
        <v>15</v>
      </c>
      <c r="T729">
        <f>R729*60+S729</f>
        <v>75</v>
      </c>
      <c r="U729" s="7">
        <f>H729-G729</f>
        <v>6.9444444445252884E-2</v>
      </c>
      <c r="V729">
        <f>HOUR(U729)</f>
        <v>1</v>
      </c>
      <c r="W729">
        <f>MINUTE(U729)</f>
        <v>40</v>
      </c>
      <c r="X729">
        <f>V729*60+W729</f>
        <v>100</v>
      </c>
      <c r="Y729" s="7">
        <f>I729-H729</f>
        <v>6.9444444452528842E-3</v>
      </c>
      <c r="Z729">
        <f>HOUR(Y729)</f>
        <v>0</v>
      </c>
      <c r="AA729">
        <f>MINUTE(Y729)</f>
        <v>10</v>
      </c>
      <c r="AB729">
        <f>Z729*60+AA729</f>
        <v>10</v>
      </c>
    </row>
    <row r="730" spans="1:28" x14ac:dyDescent="0.25">
      <c r="A730">
        <v>728</v>
      </c>
      <c r="B730" t="s">
        <v>33</v>
      </c>
      <c r="C730">
        <v>1</v>
      </c>
      <c r="D730" t="s">
        <v>36</v>
      </c>
      <c r="E730" s="6">
        <v>46073.298611111109</v>
      </c>
      <c r="F730" s="6">
        <v>46073.319444444445</v>
      </c>
      <c r="G730" s="6">
        <v>46073.333333333336</v>
      </c>
      <c r="H730" s="6">
        <v>46073.513888888891</v>
      </c>
      <c r="I730" s="6">
        <v>46073.520833333336</v>
      </c>
      <c r="J730" s="6">
        <v>46073.521527777775</v>
      </c>
      <c r="K730">
        <v>5.35</v>
      </c>
      <c r="L730" s="6">
        <v>46073.522222222222</v>
      </c>
      <c r="M730" s="7">
        <f>F730-E730</f>
        <v>2.0833333335758653E-2</v>
      </c>
      <c r="N730">
        <f>HOUR(M730)</f>
        <v>0</v>
      </c>
      <c r="O730">
        <f>MINUTE(M730)</f>
        <v>30</v>
      </c>
      <c r="P730">
        <f>N730*60+O730</f>
        <v>30</v>
      </c>
      <c r="Q730" s="7">
        <f>G730-F730</f>
        <v>1.3888888890505768E-2</v>
      </c>
      <c r="R730">
        <f>HOUR(Q730)</f>
        <v>0</v>
      </c>
      <c r="S730">
        <f>MINUTE(Q730)</f>
        <v>20</v>
      </c>
      <c r="T730">
        <f>R730*60+S730</f>
        <v>20</v>
      </c>
      <c r="U730" s="7">
        <f>H730-G730</f>
        <v>0.18055555555474712</v>
      </c>
      <c r="V730">
        <f>HOUR(U730)</f>
        <v>4</v>
      </c>
      <c r="W730">
        <f>MINUTE(U730)</f>
        <v>20</v>
      </c>
      <c r="X730">
        <f>V730*60+W730</f>
        <v>260</v>
      </c>
      <c r="Y730" s="7">
        <f>I730-H730</f>
        <v>6.9444444452528842E-3</v>
      </c>
      <c r="Z730">
        <f>HOUR(Y730)</f>
        <v>0</v>
      </c>
      <c r="AA730">
        <f>MINUTE(Y730)</f>
        <v>10</v>
      </c>
      <c r="AB730">
        <f>Z730*60+AA730</f>
        <v>10</v>
      </c>
    </row>
    <row r="731" spans="1:28" x14ac:dyDescent="0.25">
      <c r="A731">
        <v>729</v>
      </c>
      <c r="B731" t="s">
        <v>31</v>
      </c>
      <c r="C731">
        <v>1</v>
      </c>
      <c r="D731" t="s">
        <v>32</v>
      </c>
      <c r="E731" s="6">
        <v>46073.291666666664</v>
      </c>
      <c r="F731" s="6">
        <v>46073.333333333336</v>
      </c>
      <c r="G731" s="6">
        <v>46073.347222222219</v>
      </c>
      <c r="H731" s="6">
        <v>46073.4375</v>
      </c>
      <c r="I731" s="6">
        <v>46073.444444444445</v>
      </c>
      <c r="J731" s="6">
        <v>46073.447916666664</v>
      </c>
      <c r="K731">
        <v>3.75</v>
      </c>
      <c r="L731" s="6">
        <v>46073.454861111109</v>
      </c>
      <c r="M731" s="7">
        <f>F731-E731</f>
        <v>4.1666666671517305E-2</v>
      </c>
      <c r="N731">
        <f>HOUR(M731)</f>
        <v>1</v>
      </c>
      <c r="O731">
        <f>MINUTE(M731)</f>
        <v>0</v>
      </c>
      <c r="P731">
        <f>N731*60+O731</f>
        <v>60</v>
      </c>
      <c r="Q731" s="7">
        <f>G731-F731</f>
        <v>1.3888888883229811E-2</v>
      </c>
      <c r="R731">
        <f>HOUR(Q731)</f>
        <v>0</v>
      </c>
      <c r="S731">
        <f>MINUTE(Q731)</f>
        <v>20</v>
      </c>
      <c r="T731">
        <f>R731*60+S731</f>
        <v>20</v>
      </c>
      <c r="U731" s="7">
        <f>H731-G731</f>
        <v>9.0277777781011537E-2</v>
      </c>
      <c r="V731">
        <f>HOUR(U731)</f>
        <v>2</v>
      </c>
      <c r="W731">
        <f>MINUTE(U731)</f>
        <v>10</v>
      </c>
      <c r="X731">
        <f>V731*60+W731</f>
        <v>130</v>
      </c>
      <c r="Y731" s="7">
        <f>I731-H731</f>
        <v>6.9444444452528842E-3</v>
      </c>
      <c r="Z731">
        <f>HOUR(Y731)</f>
        <v>0</v>
      </c>
      <c r="AA731">
        <f>MINUTE(Y731)</f>
        <v>10</v>
      </c>
      <c r="AB731">
        <f>Z731*60+AA731</f>
        <v>10</v>
      </c>
    </row>
    <row r="732" spans="1:28" x14ac:dyDescent="0.25">
      <c r="A732">
        <v>730</v>
      </c>
      <c r="B732" t="s">
        <v>31</v>
      </c>
      <c r="C732">
        <v>1</v>
      </c>
      <c r="D732" t="s">
        <v>30</v>
      </c>
      <c r="E732" s="6">
        <v>46073.513888888891</v>
      </c>
      <c r="F732" s="6">
        <v>46073.548611111109</v>
      </c>
      <c r="G732" s="6">
        <v>46073.572916666664</v>
      </c>
      <c r="H732" s="6">
        <v>46073.637499999997</v>
      </c>
      <c r="I732" s="6">
        <v>46073.644444444442</v>
      </c>
      <c r="J732" s="6">
        <v>46073.659722222219</v>
      </c>
      <c r="K732">
        <v>3.5</v>
      </c>
      <c r="L732" s="6">
        <v>46073.666666666664</v>
      </c>
      <c r="M732" s="7">
        <f>F732-E732</f>
        <v>3.4722222218988463E-2</v>
      </c>
      <c r="N732">
        <f>HOUR(M732)</f>
        <v>0</v>
      </c>
      <c r="O732">
        <f>MINUTE(M732)</f>
        <v>50</v>
      </c>
      <c r="P732">
        <f>N732*60+O732</f>
        <v>50</v>
      </c>
      <c r="Q732" s="7">
        <f>G732-F732</f>
        <v>2.4305555554747116E-2</v>
      </c>
      <c r="R732">
        <f>HOUR(Q732)</f>
        <v>0</v>
      </c>
      <c r="S732">
        <f>MINUTE(Q732)</f>
        <v>35</v>
      </c>
      <c r="T732">
        <f>R732*60+S732</f>
        <v>35</v>
      </c>
      <c r="U732" s="7">
        <f>H732-G732</f>
        <v>6.4583333332848269E-2</v>
      </c>
      <c r="V732">
        <f>HOUR(U732)</f>
        <v>1</v>
      </c>
      <c r="W732">
        <f>MINUTE(U732)</f>
        <v>33</v>
      </c>
      <c r="X732">
        <f>V732*60+W732</f>
        <v>93</v>
      </c>
      <c r="Y732" s="7">
        <f>I732-H732</f>
        <v>6.9444444452528842E-3</v>
      </c>
      <c r="Z732">
        <f>HOUR(Y732)</f>
        <v>0</v>
      </c>
      <c r="AA732">
        <f>MINUTE(Y732)</f>
        <v>10</v>
      </c>
      <c r="AB732">
        <f>Z732*60+AA732</f>
        <v>10</v>
      </c>
    </row>
    <row r="733" spans="1:28" x14ac:dyDescent="0.25">
      <c r="A733">
        <v>731</v>
      </c>
      <c r="B733" t="s">
        <v>29</v>
      </c>
      <c r="C733">
        <v>1</v>
      </c>
      <c r="D733" t="s">
        <v>32</v>
      </c>
      <c r="E733" s="6">
        <v>46074.444444444445</v>
      </c>
      <c r="F733" s="6">
        <v>46074.472222222219</v>
      </c>
      <c r="G733" s="6">
        <v>46074.489583333336</v>
      </c>
      <c r="H733" s="6">
        <v>46074.506944444445</v>
      </c>
      <c r="I733" s="6">
        <v>46074.510416666664</v>
      </c>
      <c r="J733" s="6">
        <v>46074.512499999997</v>
      </c>
      <c r="K733">
        <v>1.63</v>
      </c>
      <c r="L733" s="6">
        <v>46074.519444444442</v>
      </c>
      <c r="M733" s="7">
        <f>F733-E733</f>
        <v>2.7777777773735579E-2</v>
      </c>
      <c r="N733">
        <f>HOUR(M733)</f>
        <v>0</v>
      </c>
      <c r="O733">
        <f>MINUTE(M733)</f>
        <v>40</v>
      </c>
      <c r="P733">
        <f>N733*60+O733</f>
        <v>40</v>
      </c>
      <c r="Q733" s="7">
        <f>G733-F733</f>
        <v>1.7361111116770189E-2</v>
      </c>
      <c r="R733">
        <f>HOUR(Q733)</f>
        <v>0</v>
      </c>
      <c r="S733">
        <f>MINUTE(Q733)</f>
        <v>25</v>
      </c>
      <c r="T733">
        <f>R733*60+S733</f>
        <v>25</v>
      </c>
      <c r="U733" s="7">
        <f>H733-G733</f>
        <v>1.7361111109494232E-2</v>
      </c>
      <c r="V733">
        <f>HOUR(U733)</f>
        <v>0</v>
      </c>
      <c r="W733">
        <f>MINUTE(U733)</f>
        <v>25</v>
      </c>
      <c r="X733">
        <f>V733*60+W733</f>
        <v>25</v>
      </c>
      <c r="Y733" s="7">
        <f>I733-H733</f>
        <v>3.4722222189884633E-3</v>
      </c>
      <c r="Z733">
        <f>HOUR(Y733)</f>
        <v>0</v>
      </c>
      <c r="AA733">
        <f>MINUTE(Y733)</f>
        <v>5</v>
      </c>
      <c r="AB733">
        <f>Z733*60+AA733</f>
        <v>5</v>
      </c>
    </row>
    <row r="734" spans="1:28" x14ac:dyDescent="0.25">
      <c r="A734">
        <v>732</v>
      </c>
      <c r="B734" t="s">
        <v>31</v>
      </c>
      <c r="C734">
        <v>1</v>
      </c>
      <c r="D734" t="s">
        <v>34</v>
      </c>
      <c r="E734" s="6">
        <v>46074.381944444445</v>
      </c>
      <c r="F734" s="6">
        <v>46074.399305555555</v>
      </c>
      <c r="G734" s="6">
        <v>46074.423611111109</v>
      </c>
      <c r="H734" s="6">
        <v>46074.440972222219</v>
      </c>
      <c r="I734" s="6">
        <v>46074.444444444445</v>
      </c>
      <c r="J734" s="6">
        <v>46074.447916666664</v>
      </c>
      <c r="K734">
        <v>1.58</v>
      </c>
      <c r="L734" s="6">
        <v>46074.451388888891</v>
      </c>
      <c r="M734" s="7">
        <f>F734-E734</f>
        <v>1.7361111109494232E-2</v>
      </c>
      <c r="N734">
        <f>HOUR(M734)</f>
        <v>0</v>
      </c>
      <c r="O734">
        <f>MINUTE(M734)</f>
        <v>25</v>
      </c>
      <c r="P734">
        <f>N734*60+O734</f>
        <v>25</v>
      </c>
      <c r="Q734" s="7">
        <f>G734-F734</f>
        <v>2.4305555554747116E-2</v>
      </c>
      <c r="R734">
        <f>HOUR(Q734)</f>
        <v>0</v>
      </c>
      <c r="S734">
        <f>MINUTE(Q734)</f>
        <v>35</v>
      </c>
      <c r="T734">
        <f>R734*60+S734</f>
        <v>35</v>
      </c>
      <c r="U734" s="7">
        <f>H734-G734</f>
        <v>1.7361111109494232E-2</v>
      </c>
      <c r="V734">
        <f>HOUR(U734)</f>
        <v>0</v>
      </c>
      <c r="W734">
        <f>MINUTE(U734)</f>
        <v>25</v>
      </c>
      <c r="X734">
        <f>V734*60+W734</f>
        <v>25</v>
      </c>
      <c r="Y734" s="7">
        <f>I734-H734</f>
        <v>3.4722222262644209E-3</v>
      </c>
      <c r="Z734">
        <f>HOUR(Y734)</f>
        <v>0</v>
      </c>
      <c r="AA734">
        <f>MINUTE(Y734)</f>
        <v>5</v>
      </c>
      <c r="AB734">
        <f>Z734*60+AA734</f>
        <v>5</v>
      </c>
    </row>
    <row r="735" spans="1:28" x14ac:dyDescent="0.25">
      <c r="A735">
        <v>733</v>
      </c>
      <c r="B735" t="s">
        <v>33</v>
      </c>
      <c r="C735">
        <v>1</v>
      </c>
      <c r="D735" t="s">
        <v>34</v>
      </c>
      <c r="E735" s="6">
        <v>46074.580555555556</v>
      </c>
      <c r="F735" s="6">
        <v>46074.59375</v>
      </c>
      <c r="G735" s="6">
        <v>46074.611111111109</v>
      </c>
      <c r="H735" s="6">
        <v>46074.775694444441</v>
      </c>
      <c r="I735" s="6">
        <v>46074.782638888886</v>
      </c>
      <c r="J735" s="6">
        <v>46074.819444444445</v>
      </c>
      <c r="K735">
        <v>5.73</v>
      </c>
      <c r="L735" s="6">
        <v>46074.826388888891</v>
      </c>
      <c r="M735" s="7">
        <f>F735-E735</f>
        <v>1.3194444443797693E-2</v>
      </c>
      <c r="N735">
        <f>HOUR(M735)</f>
        <v>0</v>
      </c>
      <c r="O735">
        <f>MINUTE(M735)</f>
        <v>19</v>
      </c>
      <c r="P735">
        <f>N735*60+O735</f>
        <v>19</v>
      </c>
      <c r="Q735" s="7">
        <f>G735-F735</f>
        <v>1.7361111109494232E-2</v>
      </c>
      <c r="R735">
        <f>HOUR(Q735)</f>
        <v>0</v>
      </c>
      <c r="S735">
        <f>MINUTE(Q735)</f>
        <v>25</v>
      </c>
      <c r="T735">
        <f>R735*60+S735</f>
        <v>25</v>
      </c>
      <c r="U735" s="7">
        <f>H735-G735</f>
        <v>0.16458333333139308</v>
      </c>
      <c r="V735">
        <f>HOUR(U735)</f>
        <v>3</v>
      </c>
      <c r="W735">
        <f>MINUTE(U735)</f>
        <v>57</v>
      </c>
      <c r="X735">
        <f>V735*60+W735</f>
        <v>237</v>
      </c>
      <c r="Y735" s="7">
        <f>I735-H735</f>
        <v>6.9444444452528842E-3</v>
      </c>
      <c r="Z735">
        <f>HOUR(Y735)</f>
        <v>0</v>
      </c>
      <c r="AA735">
        <f>MINUTE(Y735)</f>
        <v>10</v>
      </c>
      <c r="AB735">
        <f>Z735*60+AA735</f>
        <v>10</v>
      </c>
    </row>
    <row r="736" spans="1:28" x14ac:dyDescent="0.25">
      <c r="A736">
        <v>734</v>
      </c>
      <c r="B736" t="s">
        <v>31</v>
      </c>
      <c r="C736">
        <v>1</v>
      </c>
      <c r="D736" t="s">
        <v>37</v>
      </c>
      <c r="E736" s="6">
        <v>46074.368055555555</v>
      </c>
      <c r="F736" s="6">
        <v>46074.385416666664</v>
      </c>
      <c r="G736" s="6">
        <v>46074.395833333336</v>
      </c>
      <c r="H736" s="6">
        <v>46074.427083333336</v>
      </c>
      <c r="I736" s="6">
        <v>46074.434027777781</v>
      </c>
      <c r="J736" s="6">
        <v>46074.4375</v>
      </c>
      <c r="K736">
        <v>1.67</v>
      </c>
      <c r="L736" s="6">
        <v>46074.444444444445</v>
      </c>
      <c r="M736" s="7">
        <f>F736-E736</f>
        <v>1.7361111109494232E-2</v>
      </c>
      <c r="N736">
        <f>HOUR(M736)</f>
        <v>0</v>
      </c>
      <c r="O736">
        <f>MINUTE(M736)</f>
        <v>25</v>
      </c>
      <c r="P736">
        <f>N736*60+O736</f>
        <v>25</v>
      </c>
      <c r="Q736" s="7">
        <f>G736-F736</f>
        <v>1.0416666671517305E-2</v>
      </c>
      <c r="R736">
        <f>HOUR(Q736)</f>
        <v>0</v>
      </c>
      <c r="S736">
        <f>MINUTE(Q736)</f>
        <v>15</v>
      </c>
      <c r="T736">
        <f>R736*60+S736</f>
        <v>15</v>
      </c>
      <c r="U736" s="7">
        <f>H736-G736</f>
        <v>3.125E-2</v>
      </c>
      <c r="V736">
        <f>HOUR(U736)</f>
        <v>0</v>
      </c>
      <c r="W736">
        <f>MINUTE(U736)</f>
        <v>45</v>
      </c>
      <c r="X736">
        <f>V736*60+W736</f>
        <v>45</v>
      </c>
      <c r="Y736" s="7">
        <f>I736-H736</f>
        <v>6.9444444452528842E-3</v>
      </c>
      <c r="Z736">
        <f>HOUR(Y736)</f>
        <v>0</v>
      </c>
      <c r="AA736">
        <f>MINUTE(Y736)</f>
        <v>10</v>
      </c>
      <c r="AB736">
        <f>Z736*60+AA736</f>
        <v>10</v>
      </c>
    </row>
    <row r="737" spans="1:28" x14ac:dyDescent="0.25">
      <c r="A737">
        <v>735</v>
      </c>
      <c r="B737" t="s">
        <v>33</v>
      </c>
      <c r="C737">
        <v>1</v>
      </c>
      <c r="D737" t="s">
        <v>30</v>
      </c>
      <c r="E737" s="6">
        <v>46073.885416666664</v>
      </c>
      <c r="F737" s="6">
        <v>46073.892361111109</v>
      </c>
      <c r="G737" s="6">
        <v>46073.916666666664</v>
      </c>
      <c r="H737" s="6">
        <v>46074.006944444445</v>
      </c>
      <c r="I737" s="6">
        <v>46074.013888888891</v>
      </c>
      <c r="J737" s="6">
        <v>46074.017361111109</v>
      </c>
      <c r="K737">
        <v>3.17</v>
      </c>
      <c r="L737" s="6">
        <v>46074.024305555555</v>
      </c>
      <c r="M737" s="7">
        <f>F737-E737</f>
        <v>6.9444444452528842E-3</v>
      </c>
      <c r="N737">
        <f>HOUR(M737)</f>
        <v>0</v>
      </c>
      <c r="O737">
        <f>MINUTE(M737)</f>
        <v>10</v>
      </c>
      <c r="P737">
        <f>N737*60+O737</f>
        <v>10</v>
      </c>
      <c r="Q737" s="7">
        <f>G737-F737</f>
        <v>2.4305555554747116E-2</v>
      </c>
      <c r="R737">
        <f>HOUR(Q737)</f>
        <v>0</v>
      </c>
      <c r="S737">
        <f>MINUTE(Q737)</f>
        <v>35</v>
      </c>
      <c r="T737">
        <f>R737*60+S737</f>
        <v>35</v>
      </c>
      <c r="U737" s="7">
        <f>H737-G737</f>
        <v>9.0277777781011537E-2</v>
      </c>
      <c r="V737">
        <f>HOUR(U737)</f>
        <v>2</v>
      </c>
      <c r="W737">
        <f>MINUTE(U737)</f>
        <v>10</v>
      </c>
      <c r="X737">
        <f>V737*60+W737</f>
        <v>130</v>
      </c>
      <c r="Y737" s="7">
        <f>I737-H737</f>
        <v>6.9444444452528842E-3</v>
      </c>
      <c r="Z737">
        <f>HOUR(Y737)</f>
        <v>0</v>
      </c>
      <c r="AA737">
        <f>MINUTE(Y737)</f>
        <v>10</v>
      </c>
      <c r="AB737">
        <f>Z737*60+AA737</f>
        <v>10</v>
      </c>
    </row>
    <row r="738" spans="1:28" x14ac:dyDescent="0.25">
      <c r="A738">
        <v>736</v>
      </c>
      <c r="B738" t="s">
        <v>31</v>
      </c>
      <c r="C738">
        <v>1</v>
      </c>
      <c r="D738" t="s">
        <v>32</v>
      </c>
      <c r="E738" s="6">
        <v>46076.333333333336</v>
      </c>
      <c r="F738" s="6">
        <v>46076.361111111109</v>
      </c>
      <c r="G738" s="6">
        <v>46076.40625</v>
      </c>
      <c r="H738" s="6">
        <v>46076.534722222219</v>
      </c>
      <c r="I738" s="6">
        <v>46076.541666666664</v>
      </c>
      <c r="J738" s="6">
        <v>46076.548611111109</v>
      </c>
      <c r="K738">
        <v>5.17</v>
      </c>
      <c r="L738" s="6">
        <v>46076.555555555555</v>
      </c>
      <c r="M738" s="7">
        <f>F738-E738</f>
        <v>2.7777777773735579E-2</v>
      </c>
      <c r="N738">
        <f>HOUR(M738)</f>
        <v>0</v>
      </c>
      <c r="O738">
        <f>MINUTE(M738)</f>
        <v>40</v>
      </c>
      <c r="P738">
        <f>N738*60+O738</f>
        <v>40</v>
      </c>
      <c r="Q738" s="7">
        <f>G738-F738</f>
        <v>4.5138888890505768E-2</v>
      </c>
      <c r="R738">
        <f>HOUR(Q738)</f>
        <v>1</v>
      </c>
      <c r="S738">
        <f>MINUTE(Q738)</f>
        <v>5</v>
      </c>
      <c r="T738">
        <f>R738*60+S738</f>
        <v>65</v>
      </c>
      <c r="U738" s="7">
        <f>H738-G738</f>
        <v>0.12847222221898846</v>
      </c>
      <c r="V738">
        <f>HOUR(U738)</f>
        <v>3</v>
      </c>
      <c r="W738">
        <f>MINUTE(U738)</f>
        <v>5</v>
      </c>
      <c r="X738">
        <f>V738*60+W738</f>
        <v>185</v>
      </c>
      <c r="Y738" s="7">
        <f>I738-H738</f>
        <v>6.9444444452528842E-3</v>
      </c>
      <c r="Z738">
        <f>HOUR(Y738)</f>
        <v>0</v>
      </c>
      <c r="AA738">
        <f>MINUTE(Y738)</f>
        <v>10</v>
      </c>
      <c r="AB738">
        <f>Z738*60+AA738</f>
        <v>10</v>
      </c>
    </row>
    <row r="739" spans="1:28" x14ac:dyDescent="0.25">
      <c r="A739">
        <v>737</v>
      </c>
      <c r="B739" t="s">
        <v>29</v>
      </c>
      <c r="C739">
        <v>1</v>
      </c>
      <c r="D739" t="s">
        <v>36</v>
      </c>
      <c r="E739" s="6">
        <v>46076.479166666664</v>
      </c>
      <c r="F739" s="6">
        <v>46076.489583333336</v>
      </c>
      <c r="G739" s="6">
        <v>46076.520833333336</v>
      </c>
      <c r="H739" s="6">
        <v>46076.604166666664</v>
      </c>
      <c r="I739" s="6">
        <v>46076.611111111109</v>
      </c>
      <c r="J739" s="6">
        <v>46076.628472222219</v>
      </c>
      <c r="K739">
        <v>3.58</v>
      </c>
      <c r="L739" s="6">
        <v>46076.635416666664</v>
      </c>
      <c r="M739" s="7">
        <f>F739-E739</f>
        <v>1.0416666671517305E-2</v>
      </c>
      <c r="N739">
        <f>HOUR(M739)</f>
        <v>0</v>
      </c>
      <c r="O739">
        <f>MINUTE(M739)</f>
        <v>15</v>
      </c>
      <c r="P739">
        <f>N739*60+O739</f>
        <v>15</v>
      </c>
      <c r="Q739" s="7">
        <f>G739-F739</f>
        <v>3.125E-2</v>
      </c>
      <c r="R739">
        <f>HOUR(Q739)</f>
        <v>0</v>
      </c>
      <c r="S739">
        <f>MINUTE(Q739)</f>
        <v>45</v>
      </c>
      <c r="T739">
        <f>R739*60+S739</f>
        <v>45</v>
      </c>
      <c r="U739" s="7">
        <f>H739-G739</f>
        <v>8.3333333328482695E-2</v>
      </c>
      <c r="V739">
        <f>HOUR(U739)</f>
        <v>2</v>
      </c>
      <c r="W739">
        <f>MINUTE(U739)</f>
        <v>0</v>
      </c>
      <c r="X739">
        <f>V739*60+W739</f>
        <v>120</v>
      </c>
      <c r="Y739" s="7">
        <f>I739-H739</f>
        <v>6.9444444452528842E-3</v>
      </c>
      <c r="Z739">
        <f>HOUR(Y739)</f>
        <v>0</v>
      </c>
      <c r="AA739">
        <f>MINUTE(Y739)</f>
        <v>10</v>
      </c>
      <c r="AB739">
        <f>Z739*60+AA739</f>
        <v>10</v>
      </c>
    </row>
    <row r="740" spans="1:28" x14ac:dyDescent="0.25">
      <c r="A740">
        <v>738</v>
      </c>
      <c r="B740" t="s">
        <v>31</v>
      </c>
      <c r="C740">
        <v>1</v>
      </c>
      <c r="D740" t="s">
        <v>30</v>
      </c>
      <c r="E740" s="6">
        <v>46073.7</v>
      </c>
      <c r="F740" s="6">
        <v>46073.706944444442</v>
      </c>
      <c r="G740" s="6">
        <v>46073.739583333336</v>
      </c>
      <c r="H740" s="6">
        <v>46073.800694444442</v>
      </c>
      <c r="I740" s="6">
        <v>46073.807638888888</v>
      </c>
      <c r="J740" s="6">
        <v>46073.815972222219</v>
      </c>
      <c r="K740">
        <v>2.78</v>
      </c>
      <c r="L740" s="6">
        <v>46073.822916666664</v>
      </c>
      <c r="M740" s="7">
        <f>F740-E740</f>
        <v>6.9444444452528842E-3</v>
      </c>
      <c r="N740">
        <f>HOUR(M740)</f>
        <v>0</v>
      </c>
      <c r="O740">
        <f>MINUTE(M740)</f>
        <v>10</v>
      </c>
      <c r="P740">
        <f>N740*60+O740</f>
        <v>10</v>
      </c>
      <c r="Q740" s="7">
        <f>G740-F740</f>
        <v>3.2638888893416151E-2</v>
      </c>
      <c r="R740">
        <f>HOUR(Q740)</f>
        <v>0</v>
      </c>
      <c r="S740">
        <f>MINUTE(Q740)</f>
        <v>47</v>
      </c>
      <c r="T740">
        <f>R740*60+S740</f>
        <v>47</v>
      </c>
      <c r="U740" s="7">
        <f>H740-G740</f>
        <v>6.1111111106583849E-2</v>
      </c>
      <c r="V740">
        <f>HOUR(U740)</f>
        <v>1</v>
      </c>
      <c r="W740">
        <f>MINUTE(U740)</f>
        <v>28</v>
      </c>
      <c r="X740">
        <f>V740*60+W740</f>
        <v>88</v>
      </c>
      <c r="Y740" s="7">
        <f>I740-H740</f>
        <v>6.9444444452528842E-3</v>
      </c>
      <c r="Z740">
        <f>HOUR(Y740)</f>
        <v>0</v>
      </c>
      <c r="AA740">
        <f>MINUTE(Y740)</f>
        <v>10</v>
      </c>
      <c r="AB740">
        <f>Z740*60+AA740</f>
        <v>10</v>
      </c>
    </row>
    <row r="741" spans="1:28" x14ac:dyDescent="0.25">
      <c r="A741">
        <v>739</v>
      </c>
      <c r="B741" t="s">
        <v>29</v>
      </c>
      <c r="C741">
        <v>1</v>
      </c>
      <c r="D741" t="s">
        <v>30</v>
      </c>
      <c r="E741" s="6">
        <v>46075.423611111109</v>
      </c>
      <c r="F741" s="6">
        <v>46075.427083333336</v>
      </c>
      <c r="G741" s="6">
        <v>46075.430555555555</v>
      </c>
      <c r="H741" s="6">
        <v>46075.4375</v>
      </c>
      <c r="I741" s="6">
        <v>46075.444444444445</v>
      </c>
      <c r="J741" s="6">
        <v>46075.445138888892</v>
      </c>
      <c r="K741">
        <v>0.52</v>
      </c>
      <c r="L741" s="6">
        <v>46075.445833333331</v>
      </c>
      <c r="M741" s="7">
        <f>F741-E741</f>
        <v>3.4722222262644209E-3</v>
      </c>
      <c r="N741">
        <f>HOUR(M741)</f>
        <v>0</v>
      </c>
      <c r="O741">
        <f>MINUTE(M741)</f>
        <v>5</v>
      </c>
      <c r="P741">
        <f>N741*60+O741</f>
        <v>5</v>
      </c>
      <c r="Q741" s="7">
        <f>G741-F741</f>
        <v>3.4722222189884633E-3</v>
      </c>
      <c r="R741">
        <f>HOUR(Q741)</f>
        <v>0</v>
      </c>
      <c r="S741">
        <f>MINUTE(Q741)</f>
        <v>5</v>
      </c>
      <c r="T741">
        <f>R741*60+S741</f>
        <v>5</v>
      </c>
      <c r="U741" s="7">
        <f>H741-G741</f>
        <v>6.9444444452528842E-3</v>
      </c>
      <c r="V741">
        <f>HOUR(U741)</f>
        <v>0</v>
      </c>
      <c r="W741">
        <f>MINUTE(U741)</f>
        <v>10</v>
      </c>
      <c r="X741">
        <f>V741*60+W741</f>
        <v>10</v>
      </c>
      <c r="Y741" s="7">
        <f>I741-H741</f>
        <v>6.9444444452528842E-3</v>
      </c>
      <c r="Z741">
        <f>HOUR(Y741)</f>
        <v>0</v>
      </c>
      <c r="AA741">
        <f>MINUTE(Y741)</f>
        <v>10</v>
      </c>
      <c r="AB741">
        <f>Z741*60+AA741</f>
        <v>10</v>
      </c>
    </row>
    <row r="742" spans="1:28" x14ac:dyDescent="0.25">
      <c r="A742">
        <v>740</v>
      </c>
      <c r="B742" t="s">
        <v>31</v>
      </c>
      <c r="C742">
        <v>1</v>
      </c>
      <c r="D742" t="s">
        <v>30</v>
      </c>
      <c r="E742" s="6">
        <v>46073.834722222222</v>
      </c>
      <c r="F742" s="6">
        <v>46073.847222222219</v>
      </c>
      <c r="G742" s="6">
        <v>46073.861111111109</v>
      </c>
      <c r="H742" s="6">
        <v>46073.944444444445</v>
      </c>
      <c r="I742" s="6">
        <v>46073.947916666664</v>
      </c>
      <c r="J742" s="6">
        <v>46073.948611111111</v>
      </c>
      <c r="K742">
        <v>2.73</v>
      </c>
      <c r="L742" s="6">
        <v>46073.955555555556</v>
      </c>
      <c r="M742" s="7">
        <f>F742-E742</f>
        <v>1.2499999997089617E-2</v>
      </c>
      <c r="N742">
        <f>HOUR(M742)</f>
        <v>0</v>
      </c>
      <c r="O742">
        <f>MINUTE(M742)</f>
        <v>18</v>
      </c>
      <c r="P742">
        <f>N742*60+O742</f>
        <v>18</v>
      </c>
      <c r="Q742" s="7">
        <f>G742-F742</f>
        <v>1.3888888890505768E-2</v>
      </c>
      <c r="R742">
        <f>HOUR(Q742)</f>
        <v>0</v>
      </c>
      <c r="S742">
        <f>MINUTE(Q742)</f>
        <v>20</v>
      </c>
      <c r="T742">
        <f>R742*60+S742</f>
        <v>20</v>
      </c>
      <c r="U742" s="7">
        <f>H742-G742</f>
        <v>8.3333333335758653E-2</v>
      </c>
      <c r="V742">
        <f>HOUR(U742)</f>
        <v>2</v>
      </c>
      <c r="W742">
        <f>MINUTE(U742)</f>
        <v>0</v>
      </c>
      <c r="X742">
        <f>V742*60+W742</f>
        <v>120</v>
      </c>
      <c r="Y742" s="7">
        <f>I742-H742</f>
        <v>3.4722222189884633E-3</v>
      </c>
      <c r="Z742">
        <f>HOUR(Y742)</f>
        <v>0</v>
      </c>
      <c r="AA742">
        <f>MINUTE(Y742)</f>
        <v>5</v>
      </c>
      <c r="AB742">
        <f>Z742*60+AA742</f>
        <v>5</v>
      </c>
    </row>
    <row r="743" spans="1:28" x14ac:dyDescent="0.25">
      <c r="A743">
        <v>741</v>
      </c>
      <c r="B743" t="s">
        <v>33</v>
      </c>
      <c r="C743">
        <v>1</v>
      </c>
      <c r="D743" t="s">
        <v>30</v>
      </c>
      <c r="E743" s="6">
        <v>46073.984027777777</v>
      </c>
      <c r="F743" s="6">
        <v>46073.986111111109</v>
      </c>
      <c r="G743" s="6">
        <v>46073.996527777781</v>
      </c>
      <c r="H743" s="6">
        <v>46074.013888888891</v>
      </c>
      <c r="I743" s="6">
        <v>46074.017361111109</v>
      </c>
      <c r="J743" s="6">
        <v>46074.020833333336</v>
      </c>
      <c r="K743">
        <v>0.88</v>
      </c>
      <c r="L743" s="6">
        <v>46074.027777777781</v>
      </c>
      <c r="M743" s="7">
        <f>F743-E743</f>
        <v>2.0833333328482695E-3</v>
      </c>
      <c r="N743">
        <f>HOUR(M743)</f>
        <v>0</v>
      </c>
      <c r="O743">
        <f>MINUTE(M743)</f>
        <v>3</v>
      </c>
      <c r="P743">
        <f>N743*60+O743</f>
        <v>3</v>
      </c>
      <c r="Q743" s="7">
        <f>G743-F743</f>
        <v>1.0416666671517305E-2</v>
      </c>
      <c r="R743">
        <f>HOUR(Q743)</f>
        <v>0</v>
      </c>
      <c r="S743">
        <f>MINUTE(Q743)</f>
        <v>15</v>
      </c>
      <c r="T743">
        <f>R743*60+S743</f>
        <v>15</v>
      </c>
      <c r="U743" s="7">
        <f>H743-G743</f>
        <v>1.7361111109494232E-2</v>
      </c>
      <c r="V743">
        <f>HOUR(U743)</f>
        <v>0</v>
      </c>
      <c r="W743">
        <f>MINUTE(U743)</f>
        <v>25</v>
      </c>
      <c r="X743">
        <f>V743*60+W743</f>
        <v>25</v>
      </c>
      <c r="Y743" s="7">
        <f>I743-H743</f>
        <v>3.4722222189884633E-3</v>
      </c>
      <c r="Z743">
        <f>HOUR(Y743)</f>
        <v>0</v>
      </c>
      <c r="AA743">
        <f>MINUTE(Y743)</f>
        <v>5</v>
      </c>
      <c r="AB743">
        <f>Z743*60+AA743</f>
        <v>5</v>
      </c>
    </row>
    <row r="744" spans="1:28" x14ac:dyDescent="0.25">
      <c r="A744">
        <v>742</v>
      </c>
      <c r="B744" t="s">
        <v>31</v>
      </c>
      <c r="C744">
        <v>1</v>
      </c>
      <c r="D744" t="s">
        <v>35</v>
      </c>
      <c r="E744" s="6">
        <v>46074.378472222219</v>
      </c>
      <c r="F744" s="6">
        <v>46074.385416666664</v>
      </c>
      <c r="G744" s="6">
        <v>46074.388888888891</v>
      </c>
      <c r="H744" s="6">
        <v>46074.399305555555</v>
      </c>
      <c r="I744" s="6">
        <v>46074.402777777781</v>
      </c>
      <c r="J744" s="6">
        <v>46074.40347222222</v>
      </c>
      <c r="K744">
        <v>0.6</v>
      </c>
      <c r="L744" s="6">
        <v>46074.404166666667</v>
      </c>
      <c r="M744" s="7">
        <f>F744-E744</f>
        <v>6.9444444452528842E-3</v>
      </c>
      <c r="N744">
        <f>HOUR(M744)</f>
        <v>0</v>
      </c>
      <c r="O744">
        <f>MINUTE(M744)</f>
        <v>10</v>
      </c>
      <c r="P744">
        <f>N744*60+O744</f>
        <v>10</v>
      </c>
      <c r="Q744" s="7">
        <f>G744-F744</f>
        <v>3.4722222262644209E-3</v>
      </c>
      <c r="R744">
        <f>HOUR(Q744)</f>
        <v>0</v>
      </c>
      <c r="S744">
        <f>MINUTE(Q744)</f>
        <v>5</v>
      </c>
      <c r="T744">
        <f>R744*60+S744</f>
        <v>5</v>
      </c>
      <c r="U744" s="7">
        <f>H744-G744</f>
        <v>1.0416666664241347E-2</v>
      </c>
      <c r="V744">
        <f>HOUR(U744)</f>
        <v>0</v>
      </c>
      <c r="W744">
        <f>MINUTE(U744)</f>
        <v>15</v>
      </c>
      <c r="X744">
        <f>V744*60+W744</f>
        <v>15</v>
      </c>
      <c r="Y744" s="7">
        <f>I744-H744</f>
        <v>3.4722222262644209E-3</v>
      </c>
      <c r="Z744">
        <f>HOUR(Y744)</f>
        <v>0</v>
      </c>
      <c r="AA744">
        <f>MINUTE(Y744)</f>
        <v>5</v>
      </c>
      <c r="AB744">
        <f>Z744*60+AA744</f>
        <v>5</v>
      </c>
    </row>
    <row r="745" spans="1:28" x14ac:dyDescent="0.25">
      <c r="A745">
        <v>743</v>
      </c>
      <c r="B745" t="s">
        <v>31</v>
      </c>
      <c r="C745">
        <v>1</v>
      </c>
      <c r="D745" t="s">
        <v>30</v>
      </c>
      <c r="E745" s="6">
        <v>46074.430555555555</v>
      </c>
      <c r="F745" s="6">
        <v>46074.451388888891</v>
      </c>
      <c r="G745" s="6">
        <v>46074.465277777781</v>
      </c>
      <c r="H745" s="6">
        <v>46074.555555555555</v>
      </c>
      <c r="I745" s="6">
        <v>46074.5625</v>
      </c>
      <c r="J745" s="6">
        <v>46074.604166666664</v>
      </c>
      <c r="K745">
        <v>4.17</v>
      </c>
      <c r="L745" s="6">
        <v>46074.611111111109</v>
      </c>
      <c r="M745" s="7">
        <f>F745-E745</f>
        <v>2.0833333335758653E-2</v>
      </c>
      <c r="N745">
        <f>HOUR(M745)</f>
        <v>0</v>
      </c>
      <c r="O745">
        <f>MINUTE(M745)</f>
        <v>30</v>
      </c>
      <c r="P745">
        <f>N745*60+O745</f>
        <v>30</v>
      </c>
      <c r="Q745" s="7">
        <f>G745-F745</f>
        <v>1.3888888890505768E-2</v>
      </c>
      <c r="R745">
        <f>HOUR(Q745)</f>
        <v>0</v>
      </c>
      <c r="S745">
        <f>MINUTE(Q745)</f>
        <v>20</v>
      </c>
      <c r="T745">
        <f>R745*60+S745</f>
        <v>20</v>
      </c>
      <c r="U745" s="7">
        <f>H745-G745</f>
        <v>9.0277777773735579E-2</v>
      </c>
      <c r="V745">
        <f>HOUR(U745)</f>
        <v>2</v>
      </c>
      <c r="W745">
        <f>MINUTE(U745)</f>
        <v>10</v>
      </c>
      <c r="X745">
        <f>V745*60+W745</f>
        <v>130</v>
      </c>
      <c r="Y745" s="7">
        <f>I745-H745</f>
        <v>6.9444444452528842E-3</v>
      </c>
      <c r="Z745">
        <f>HOUR(Y745)</f>
        <v>0</v>
      </c>
      <c r="AA745">
        <f>MINUTE(Y745)</f>
        <v>10</v>
      </c>
      <c r="AB745">
        <f>Z745*60+AA745</f>
        <v>10</v>
      </c>
    </row>
    <row r="746" spans="1:28" x14ac:dyDescent="0.25">
      <c r="A746">
        <v>744</v>
      </c>
      <c r="B746" t="s">
        <v>29</v>
      </c>
      <c r="C746">
        <v>1</v>
      </c>
      <c r="D746" t="s">
        <v>35</v>
      </c>
      <c r="E746" s="6">
        <v>46074.527777777781</v>
      </c>
      <c r="F746" s="6">
        <v>46074.534722222219</v>
      </c>
      <c r="G746" s="6">
        <v>46074.545138888891</v>
      </c>
      <c r="H746" s="6">
        <v>46074.548611111109</v>
      </c>
      <c r="I746" s="6">
        <v>46074.559027777781</v>
      </c>
      <c r="J746" s="6">
        <v>46074.5625</v>
      </c>
      <c r="K746">
        <v>0.83</v>
      </c>
      <c r="L746" s="6">
        <v>46074.569444444445</v>
      </c>
      <c r="M746" s="7">
        <f>F746-E746</f>
        <v>6.9444444379769266E-3</v>
      </c>
      <c r="N746">
        <f>HOUR(M746)</f>
        <v>0</v>
      </c>
      <c r="O746">
        <f>MINUTE(M746)</f>
        <v>10</v>
      </c>
      <c r="P746">
        <f>N746*60+O746</f>
        <v>10</v>
      </c>
      <c r="Q746" s="7">
        <f>G746-F746</f>
        <v>1.0416666671517305E-2</v>
      </c>
      <c r="R746">
        <f>HOUR(Q746)</f>
        <v>0</v>
      </c>
      <c r="S746">
        <f>MINUTE(Q746)</f>
        <v>15</v>
      </c>
      <c r="T746">
        <f>R746*60+S746</f>
        <v>15</v>
      </c>
      <c r="U746" s="7">
        <f>H746-G746</f>
        <v>3.4722222189884633E-3</v>
      </c>
      <c r="V746">
        <f>HOUR(U746)</f>
        <v>0</v>
      </c>
      <c r="W746">
        <f>MINUTE(U746)</f>
        <v>5</v>
      </c>
      <c r="X746">
        <f>V746*60+W746</f>
        <v>5</v>
      </c>
      <c r="Y746" s="7">
        <f>I746-H746</f>
        <v>1.0416666671517305E-2</v>
      </c>
      <c r="Z746">
        <f>HOUR(Y746)</f>
        <v>0</v>
      </c>
      <c r="AA746">
        <f>MINUTE(Y746)</f>
        <v>15</v>
      </c>
      <c r="AB746">
        <f>Z746*60+AA746</f>
        <v>15</v>
      </c>
    </row>
    <row r="747" spans="1:28" x14ac:dyDescent="0.25">
      <c r="A747">
        <v>745</v>
      </c>
      <c r="B747" t="s">
        <v>29</v>
      </c>
      <c r="C747">
        <v>1</v>
      </c>
      <c r="D747" t="s">
        <v>34</v>
      </c>
      <c r="E747" s="6">
        <v>46074.677083333336</v>
      </c>
      <c r="F747" s="6">
        <v>46074.727777777778</v>
      </c>
      <c r="G747" s="6">
        <v>46074.729166666664</v>
      </c>
      <c r="H747" s="6">
        <v>46074.743055555555</v>
      </c>
      <c r="I747" s="6">
        <v>46074.746527777781</v>
      </c>
      <c r="J747" s="6">
        <v>46074.75</v>
      </c>
      <c r="K747">
        <v>1.75</v>
      </c>
      <c r="L747" s="6">
        <v>46074.756944444445</v>
      </c>
      <c r="M747" s="7">
        <f>F747-E747</f>
        <v>5.0694444442342501E-2</v>
      </c>
      <c r="N747">
        <f>HOUR(M747)</f>
        <v>1</v>
      </c>
      <c r="O747">
        <f>MINUTE(M747)</f>
        <v>13</v>
      </c>
      <c r="P747">
        <f>N747*60+O747</f>
        <v>73</v>
      </c>
      <c r="Q747" s="7">
        <f>G747-F747</f>
        <v>1.3888888861401938E-3</v>
      </c>
      <c r="R747">
        <f>HOUR(Q747)</f>
        <v>0</v>
      </c>
      <c r="S747">
        <f>MINUTE(Q747)</f>
        <v>2</v>
      </c>
      <c r="T747">
        <f>R747*60+S747</f>
        <v>2</v>
      </c>
      <c r="U747" s="7">
        <f>H747-G747</f>
        <v>1.3888888890505768E-2</v>
      </c>
      <c r="V747">
        <f>HOUR(U747)</f>
        <v>0</v>
      </c>
      <c r="W747">
        <f>MINUTE(U747)</f>
        <v>20</v>
      </c>
      <c r="X747">
        <f>V747*60+W747</f>
        <v>20</v>
      </c>
      <c r="Y747" s="7">
        <f>I747-H747</f>
        <v>3.4722222262644209E-3</v>
      </c>
      <c r="Z747">
        <f>HOUR(Y747)</f>
        <v>0</v>
      </c>
      <c r="AA747">
        <f>MINUTE(Y747)</f>
        <v>5</v>
      </c>
      <c r="AB747">
        <f>Z747*60+AA747</f>
        <v>5</v>
      </c>
    </row>
    <row r="748" spans="1:28" x14ac:dyDescent="0.25">
      <c r="A748">
        <v>746</v>
      </c>
      <c r="B748" t="s">
        <v>33</v>
      </c>
      <c r="C748">
        <v>1</v>
      </c>
      <c r="D748" t="s">
        <v>30</v>
      </c>
      <c r="E748" s="6">
        <v>46074.899305555555</v>
      </c>
      <c r="F748" s="6">
        <v>46074.90625</v>
      </c>
      <c r="G748" s="6">
        <v>46074.930555555555</v>
      </c>
      <c r="H748" s="6">
        <v>46074.973611111112</v>
      </c>
      <c r="I748" s="6">
        <v>46074.982638888891</v>
      </c>
      <c r="J748" s="6">
        <v>46074.986111111109</v>
      </c>
      <c r="K748">
        <v>2.08</v>
      </c>
      <c r="L748" s="6">
        <v>46074.986805555556</v>
      </c>
      <c r="M748" s="7">
        <f>F748-E748</f>
        <v>6.9444444452528842E-3</v>
      </c>
      <c r="N748">
        <f>HOUR(M748)</f>
        <v>0</v>
      </c>
      <c r="O748">
        <f>MINUTE(M748)</f>
        <v>10</v>
      </c>
      <c r="P748">
        <f>N748*60+O748</f>
        <v>10</v>
      </c>
      <c r="Q748" s="7">
        <f>G748-F748</f>
        <v>2.4305555554747116E-2</v>
      </c>
      <c r="R748">
        <f>HOUR(Q748)</f>
        <v>0</v>
      </c>
      <c r="S748">
        <f>MINUTE(Q748)</f>
        <v>35</v>
      </c>
      <c r="T748">
        <f>R748*60+S748</f>
        <v>35</v>
      </c>
      <c r="U748" s="7">
        <f>H748-G748</f>
        <v>4.3055555557657499E-2</v>
      </c>
      <c r="V748">
        <f>HOUR(U748)</f>
        <v>1</v>
      </c>
      <c r="W748">
        <f>MINUTE(U748)</f>
        <v>2</v>
      </c>
      <c r="X748">
        <f>V748*60+W748</f>
        <v>62</v>
      </c>
      <c r="Y748" s="7">
        <f>I748-H748</f>
        <v>9.0277777781011537E-3</v>
      </c>
      <c r="Z748">
        <f>HOUR(Y748)</f>
        <v>0</v>
      </c>
      <c r="AA748">
        <f>MINUTE(Y748)</f>
        <v>13</v>
      </c>
      <c r="AB748">
        <f>Z748*60+AA748</f>
        <v>13</v>
      </c>
    </row>
    <row r="749" spans="1:28" x14ac:dyDescent="0.25">
      <c r="A749">
        <v>747</v>
      </c>
      <c r="B749" t="s">
        <v>29</v>
      </c>
      <c r="C749">
        <v>1</v>
      </c>
      <c r="D749" t="s">
        <v>30</v>
      </c>
      <c r="E749" s="6">
        <v>46074.8125</v>
      </c>
      <c r="F749" s="6">
        <v>46074.819444444445</v>
      </c>
      <c r="G749" s="6">
        <v>46074.84375</v>
      </c>
      <c r="H749" s="6">
        <v>46074.933333333334</v>
      </c>
      <c r="I749" s="6">
        <v>46074.9375</v>
      </c>
      <c r="J749" s="6">
        <v>46074.941666666666</v>
      </c>
      <c r="K749">
        <v>3.1</v>
      </c>
      <c r="L749" s="6">
        <v>46074.948611111111</v>
      </c>
      <c r="M749" s="7">
        <f>F749-E749</f>
        <v>6.9444444452528842E-3</v>
      </c>
      <c r="N749">
        <f>HOUR(M749)</f>
        <v>0</v>
      </c>
      <c r="O749">
        <f>MINUTE(M749)</f>
        <v>10</v>
      </c>
      <c r="P749">
        <f>N749*60+O749</f>
        <v>10</v>
      </c>
      <c r="Q749" s="7">
        <f>G749-F749</f>
        <v>2.4305555554747116E-2</v>
      </c>
      <c r="R749">
        <f>HOUR(Q749)</f>
        <v>0</v>
      </c>
      <c r="S749">
        <f>MINUTE(Q749)</f>
        <v>35</v>
      </c>
      <c r="T749">
        <f>R749*60+S749</f>
        <v>35</v>
      </c>
      <c r="U749" s="7">
        <f>H749-G749</f>
        <v>8.9583333334303461E-2</v>
      </c>
      <c r="V749">
        <f>HOUR(U749)</f>
        <v>2</v>
      </c>
      <c r="W749">
        <f>MINUTE(U749)</f>
        <v>9</v>
      </c>
      <c r="X749">
        <f>V749*60+W749</f>
        <v>129</v>
      </c>
      <c r="Y749" s="7">
        <f>I749-H749</f>
        <v>4.166666665696539E-3</v>
      </c>
      <c r="Z749">
        <f>HOUR(Y749)</f>
        <v>0</v>
      </c>
      <c r="AA749">
        <f>MINUTE(Y749)</f>
        <v>6</v>
      </c>
      <c r="AB749">
        <f>Z749*60+AA749</f>
        <v>6</v>
      </c>
    </row>
    <row r="750" spans="1:28" x14ac:dyDescent="0.25">
      <c r="A750">
        <v>748</v>
      </c>
      <c r="B750" t="s">
        <v>31</v>
      </c>
      <c r="C750">
        <v>1</v>
      </c>
      <c r="D750" t="s">
        <v>35</v>
      </c>
      <c r="E750" s="6">
        <v>46075.340277777781</v>
      </c>
      <c r="F750" s="6">
        <v>46075.354166666664</v>
      </c>
      <c r="G750" s="6">
        <v>46075.395833333336</v>
      </c>
      <c r="H750" s="6">
        <v>46075.436111111114</v>
      </c>
      <c r="I750" s="6">
        <v>46075.44027777778</v>
      </c>
      <c r="J750" s="6">
        <v>46075.440972222219</v>
      </c>
      <c r="K750">
        <v>2.42</v>
      </c>
      <c r="L750" s="6">
        <v>46075.447916666664</v>
      </c>
      <c r="M750" s="7">
        <f>F750-E750</f>
        <v>1.3888888883229811E-2</v>
      </c>
      <c r="N750">
        <f>HOUR(M750)</f>
        <v>0</v>
      </c>
      <c r="O750">
        <f>MINUTE(M750)</f>
        <v>20</v>
      </c>
      <c r="P750">
        <f>N750*60+O750</f>
        <v>20</v>
      </c>
      <c r="Q750" s="7">
        <f>G750-F750</f>
        <v>4.1666666671517305E-2</v>
      </c>
      <c r="R750">
        <f>HOUR(Q750)</f>
        <v>1</v>
      </c>
      <c r="S750">
        <f>MINUTE(Q750)</f>
        <v>0</v>
      </c>
      <c r="T750">
        <f>R750*60+S750</f>
        <v>60</v>
      </c>
      <c r="U750" s="7">
        <f>H750-G750</f>
        <v>4.0277777778101154E-2</v>
      </c>
      <c r="V750">
        <f>HOUR(U750)</f>
        <v>0</v>
      </c>
      <c r="W750">
        <f>MINUTE(U750)</f>
        <v>58</v>
      </c>
      <c r="X750">
        <f>V750*60+W750</f>
        <v>58</v>
      </c>
      <c r="Y750" s="7">
        <f>I750-H750</f>
        <v>4.166666665696539E-3</v>
      </c>
      <c r="Z750">
        <f>HOUR(Y750)</f>
        <v>0</v>
      </c>
      <c r="AA750">
        <f>MINUTE(Y750)</f>
        <v>6</v>
      </c>
      <c r="AB750">
        <f>Z750*60+AA750</f>
        <v>6</v>
      </c>
    </row>
    <row r="751" spans="1:28" x14ac:dyDescent="0.25">
      <c r="A751">
        <v>749</v>
      </c>
      <c r="B751" t="s">
        <v>33</v>
      </c>
      <c r="C751">
        <v>1</v>
      </c>
      <c r="D751" t="s">
        <v>35</v>
      </c>
      <c r="E751" s="6">
        <v>46074.666666666664</v>
      </c>
      <c r="F751" s="6">
        <v>46074.677083333336</v>
      </c>
      <c r="G751" s="6">
        <v>46074.715277777781</v>
      </c>
      <c r="H751" s="6">
        <v>46074.822916666664</v>
      </c>
      <c r="I751" s="6">
        <v>46074.833333333336</v>
      </c>
      <c r="J751" s="6">
        <v>46075.5625</v>
      </c>
      <c r="K751">
        <v>21.5</v>
      </c>
      <c r="L751" s="6">
        <v>46075.565972222219</v>
      </c>
      <c r="M751" s="7">
        <f>F751-E751</f>
        <v>1.0416666671517305E-2</v>
      </c>
      <c r="N751">
        <f>HOUR(M751)</f>
        <v>0</v>
      </c>
      <c r="O751">
        <f>MINUTE(M751)</f>
        <v>15</v>
      </c>
      <c r="P751">
        <f>N751*60+O751</f>
        <v>15</v>
      </c>
      <c r="Q751" s="7">
        <f>G751-F751</f>
        <v>3.8194444445252884E-2</v>
      </c>
      <c r="R751">
        <f>HOUR(Q751)</f>
        <v>0</v>
      </c>
      <c r="S751">
        <f>MINUTE(Q751)</f>
        <v>55</v>
      </c>
      <c r="T751">
        <f>R751*60+S751</f>
        <v>55</v>
      </c>
      <c r="U751" s="7">
        <f>H751-G751</f>
        <v>0.10763888888322981</v>
      </c>
      <c r="V751">
        <f>HOUR(U751)</f>
        <v>2</v>
      </c>
      <c r="W751">
        <f>MINUTE(U751)</f>
        <v>35</v>
      </c>
      <c r="X751">
        <f>V751*60+W751</f>
        <v>155</v>
      </c>
      <c r="Y751" s="7">
        <f>I751-H751</f>
        <v>1.0416666671517305E-2</v>
      </c>
      <c r="Z751">
        <f>HOUR(Y751)</f>
        <v>0</v>
      </c>
      <c r="AA751">
        <f>MINUTE(Y751)</f>
        <v>15</v>
      </c>
      <c r="AB751">
        <f>Z751*60+AA751</f>
        <v>15</v>
      </c>
    </row>
    <row r="752" spans="1:28" x14ac:dyDescent="0.25">
      <c r="A752">
        <v>750</v>
      </c>
      <c r="B752" t="s">
        <v>31</v>
      </c>
      <c r="C752">
        <v>1</v>
      </c>
      <c r="D752" t="s">
        <v>36</v>
      </c>
      <c r="E752" s="6">
        <v>46074.947916666664</v>
      </c>
      <c r="F752" s="6">
        <v>46074.954861111109</v>
      </c>
      <c r="G752" s="6">
        <v>46074.972222222219</v>
      </c>
      <c r="H752" s="6">
        <v>46075.003472222219</v>
      </c>
      <c r="I752" s="6">
        <v>46075.007638888892</v>
      </c>
      <c r="J752" s="6">
        <v>46075.009722222225</v>
      </c>
      <c r="K752">
        <v>1.48</v>
      </c>
      <c r="L752" s="6">
        <v>46075.01666666667</v>
      </c>
      <c r="M752" s="7">
        <f>F752-E752</f>
        <v>6.9444444452528842E-3</v>
      </c>
      <c r="N752">
        <f>HOUR(M752)</f>
        <v>0</v>
      </c>
      <c r="O752">
        <f>MINUTE(M752)</f>
        <v>10</v>
      </c>
      <c r="P752">
        <f>N752*60+O752</f>
        <v>10</v>
      </c>
      <c r="Q752" s="7">
        <f>G752-F752</f>
        <v>1.7361111109494232E-2</v>
      </c>
      <c r="R752">
        <f>HOUR(Q752)</f>
        <v>0</v>
      </c>
      <c r="S752">
        <f>MINUTE(Q752)</f>
        <v>25</v>
      </c>
      <c r="T752">
        <f>R752*60+S752</f>
        <v>25</v>
      </c>
      <c r="U752" s="7">
        <f>H752-G752</f>
        <v>3.125E-2</v>
      </c>
      <c r="V752">
        <f>HOUR(U752)</f>
        <v>0</v>
      </c>
      <c r="W752">
        <f>MINUTE(U752)</f>
        <v>45</v>
      </c>
      <c r="X752">
        <f>V752*60+W752</f>
        <v>45</v>
      </c>
      <c r="Y752" s="7">
        <f>I752-H752</f>
        <v>4.1666666729724966E-3</v>
      </c>
      <c r="Z752">
        <f>HOUR(Y752)</f>
        <v>0</v>
      </c>
      <c r="AA752">
        <f>MINUTE(Y752)</f>
        <v>6</v>
      </c>
      <c r="AB752">
        <f>Z752*60+AA752</f>
        <v>6</v>
      </c>
    </row>
    <row r="753" spans="1:28" x14ac:dyDescent="0.25">
      <c r="A753">
        <v>751</v>
      </c>
      <c r="B753" t="s">
        <v>29</v>
      </c>
      <c r="C753">
        <v>1</v>
      </c>
      <c r="D753" t="s">
        <v>30</v>
      </c>
      <c r="E753" s="6">
        <v>46075.479166666664</v>
      </c>
      <c r="F753" s="6">
        <v>46075.489583333336</v>
      </c>
      <c r="G753" s="6">
        <v>46075.5</v>
      </c>
      <c r="H753" s="6">
        <v>46075.505555555559</v>
      </c>
      <c r="I753" s="6">
        <v>46075.506944444445</v>
      </c>
      <c r="J753" s="6">
        <v>46075.524305555555</v>
      </c>
      <c r="K753">
        <v>1.08</v>
      </c>
      <c r="L753" s="6">
        <v>46075.53125</v>
      </c>
      <c r="M753" s="7">
        <f>F753-E753</f>
        <v>1.0416666671517305E-2</v>
      </c>
      <c r="N753">
        <f>HOUR(M753)</f>
        <v>0</v>
      </c>
      <c r="O753">
        <f>MINUTE(M753)</f>
        <v>15</v>
      </c>
      <c r="P753">
        <f>N753*60+O753</f>
        <v>15</v>
      </c>
      <c r="Q753" s="7">
        <f>G753-F753</f>
        <v>1.0416666664241347E-2</v>
      </c>
      <c r="R753">
        <f>HOUR(Q753)</f>
        <v>0</v>
      </c>
      <c r="S753">
        <f>MINUTE(Q753)</f>
        <v>15</v>
      </c>
      <c r="T753">
        <f>R753*60+S753</f>
        <v>15</v>
      </c>
      <c r="U753" s="7">
        <f>H753-G753</f>
        <v>5.5555555591126904E-3</v>
      </c>
      <c r="V753">
        <f>HOUR(U753)</f>
        <v>0</v>
      </c>
      <c r="W753">
        <f>MINUTE(U753)</f>
        <v>8</v>
      </c>
      <c r="X753">
        <f>V753*60+W753</f>
        <v>8</v>
      </c>
      <c r="Y753" s="7">
        <f>I753-H753</f>
        <v>1.3888888861401938E-3</v>
      </c>
      <c r="Z753">
        <f>HOUR(Y753)</f>
        <v>0</v>
      </c>
      <c r="AA753">
        <f>MINUTE(Y753)</f>
        <v>2</v>
      </c>
      <c r="AB753">
        <f>Z753*60+AA753</f>
        <v>2</v>
      </c>
    </row>
    <row r="754" spans="1:28" x14ac:dyDescent="0.25">
      <c r="A754">
        <v>752</v>
      </c>
      <c r="B754" t="s">
        <v>31</v>
      </c>
      <c r="C754">
        <v>1</v>
      </c>
      <c r="D754" t="s">
        <v>35</v>
      </c>
      <c r="E754" s="6">
        <v>46076.291666666664</v>
      </c>
      <c r="F754" s="6">
        <v>46076.326388888891</v>
      </c>
      <c r="G754" s="6">
        <v>46076.354166666664</v>
      </c>
      <c r="H754" s="6">
        <v>46076.443749999999</v>
      </c>
      <c r="I754" s="6">
        <v>46076.451388888891</v>
      </c>
      <c r="J754" s="6">
        <v>46076.458333333336</v>
      </c>
      <c r="K754">
        <v>4</v>
      </c>
      <c r="L754" s="6">
        <v>46076.461805555555</v>
      </c>
      <c r="M754" s="7">
        <f>F754-E754</f>
        <v>3.4722222226264421E-2</v>
      </c>
      <c r="N754">
        <f>HOUR(M754)</f>
        <v>0</v>
      </c>
      <c r="O754">
        <f>MINUTE(M754)</f>
        <v>50</v>
      </c>
      <c r="P754">
        <f>N754*60+O754</f>
        <v>50</v>
      </c>
      <c r="Q754" s="7">
        <f>G754-F754</f>
        <v>2.7777777773735579E-2</v>
      </c>
      <c r="R754">
        <f>HOUR(Q754)</f>
        <v>0</v>
      </c>
      <c r="S754">
        <f>MINUTE(Q754)</f>
        <v>40</v>
      </c>
      <c r="T754">
        <f>R754*60+S754</f>
        <v>40</v>
      </c>
      <c r="U754" s="7">
        <f>H754-G754</f>
        <v>8.9583333334303461E-2</v>
      </c>
      <c r="V754">
        <f>HOUR(U754)</f>
        <v>2</v>
      </c>
      <c r="W754">
        <f>MINUTE(U754)</f>
        <v>9</v>
      </c>
      <c r="X754">
        <f>V754*60+W754</f>
        <v>129</v>
      </c>
      <c r="Y754" s="7">
        <f>I754-H754</f>
        <v>7.6388888919609599E-3</v>
      </c>
      <c r="Z754">
        <f>HOUR(Y754)</f>
        <v>0</v>
      </c>
      <c r="AA754">
        <f>MINUTE(Y754)</f>
        <v>11</v>
      </c>
      <c r="AB754">
        <f>Z754*60+AA754</f>
        <v>11</v>
      </c>
    </row>
    <row r="755" spans="1:28" x14ac:dyDescent="0.25">
      <c r="A755">
        <v>753</v>
      </c>
      <c r="B755" t="s">
        <v>33</v>
      </c>
      <c r="C755">
        <v>1</v>
      </c>
      <c r="D755" t="s">
        <v>34</v>
      </c>
      <c r="E755" s="6">
        <v>46076.291666666664</v>
      </c>
      <c r="F755" s="6">
        <v>46076.329861111109</v>
      </c>
      <c r="G755" s="6">
        <v>46076.364583333336</v>
      </c>
      <c r="H755" s="6">
        <v>46076.673611111109</v>
      </c>
      <c r="I755" s="6">
        <v>46076.680555555555</v>
      </c>
      <c r="J755" s="6">
        <v>46076.708333333336</v>
      </c>
      <c r="K755">
        <v>10</v>
      </c>
      <c r="L755" s="6">
        <v>46076.711805555555</v>
      </c>
      <c r="M755" s="7">
        <f>F755-E755</f>
        <v>3.8194444445252884E-2</v>
      </c>
      <c r="N755">
        <f>HOUR(M755)</f>
        <v>0</v>
      </c>
      <c r="O755">
        <f>MINUTE(M755)</f>
        <v>55</v>
      </c>
      <c r="P755">
        <f>N755*60+O755</f>
        <v>55</v>
      </c>
      <c r="Q755" s="7">
        <f>G755-F755</f>
        <v>3.4722222226264421E-2</v>
      </c>
      <c r="R755">
        <f>HOUR(Q755)</f>
        <v>0</v>
      </c>
      <c r="S755">
        <f>MINUTE(Q755)</f>
        <v>50</v>
      </c>
      <c r="T755">
        <f>R755*60+S755</f>
        <v>50</v>
      </c>
      <c r="U755" s="7">
        <f>H755-G755</f>
        <v>0.30902777777373558</v>
      </c>
      <c r="V755">
        <f>HOUR(U755)</f>
        <v>7</v>
      </c>
      <c r="W755">
        <f>MINUTE(U755)</f>
        <v>25</v>
      </c>
      <c r="X755">
        <f>V755*60+W755</f>
        <v>445</v>
      </c>
      <c r="Y755" s="7">
        <f>I755-H755</f>
        <v>6.9444444452528842E-3</v>
      </c>
      <c r="Z755">
        <f>HOUR(Y755)</f>
        <v>0</v>
      </c>
      <c r="AA755">
        <f>MINUTE(Y755)</f>
        <v>10</v>
      </c>
      <c r="AB755">
        <f>Z755*60+AA755</f>
        <v>10</v>
      </c>
    </row>
    <row r="756" spans="1:28" x14ac:dyDescent="0.25">
      <c r="A756">
        <v>754</v>
      </c>
      <c r="B756" t="s">
        <v>31</v>
      </c>
      <c r="C756">
        <v>1</v>
      </c>
      <c r="D756" t="s">
        <v>30</v>
      </c>
      <c r="E756" s="6">
        <v>46075.895833333336</v>
      </c>
      <c r="F756" s="6">
        <v>46075.902777777781</v>
      </c>
      <c r="G756" s="6">
        <v>46075.90625</v>
      </c>
      <c r="H756" s="6">
        <v>46075.979166666664</v>
      </c>
      <c r="I756" s="6">
        <v>46075.979861111111</v>
      </c>
      <c r="J756" s="6">
        <v>46075.980555555558</v>
      </c>
      <c r="K756">
        <v>2.0299999999999998</v>
      </c>
      <c r="L756" s="6">
        <v>46075.981249999997</v>
      </c>
      <c r="M756" s="7">
        <f>F756-E756</f>
        <v>6.9444444452528842E-3</v>
      </c>
      <c r="N756">
        <f>HOUR(M756)</f>
        <v>0</v>
      </c>
      <c r="O756">
        <f>MINUTE(M756)</f>
        <v>10</v>
      </c>
      <c r="P756">
        <f>N756*60+O756</f>
        <v>10</v>
      </c>
      <c r="Q756" s="7">
        <f>G756-F756</f>
        <v>3.4722222189884633E-3</v>
      </c>
      <c r="R756">
        <f>HOUR(Q756)</f>
        <v>0</v>
      </c>
      <c r="S756">
        <f>MINUTE(Q756)</f>
        <v>5</v>
      </c>
      <c r="T756">
        <f>R756*60+S756</f>
        <v>5</v>
      </c>
      <c r="U756" s="7">
        <f>H756-G756</f>
        <v>7.2916666664241347E-2</v>
      </c>
      <c r="V756">
        <f>HOUR(U756)</f>
        <v>1</v>
      </c>
      <c r="W756">
        <f>MINUTE(U756)</f>
        <v>45</v>
      </c>
      <c r="X756">
        <f>V756*60+W756</f>
        <v>105</v>
      </c>
      <c r="Y756" s="7">
        <f>I756-H756</f>
        <v>6.944444467080757E-4</v>
      </c>
      <c r="Z756">
        <f>HOUR(Y756)</f>
        <v>0</v>
      </c>
      <c r="AA756">
        <f>MINUTE(Y756)</f>
        <v>1</v>
      </c>
      <c r="AB756">
        <f>Z756*60+AA756</f>
        <v>1</v>
      </c>
    </row>
    <row r="757" spans="1:28" x14ac:dyDescent="0.25">
      <c r="A757">
        <v>755</v>
      </c>
      <c r="B757" t="s">
        <v>33</v>
      </c>
      <c r="C757">
        <v>1</v>
      </c>
      <c r="D757" t="s">
        <v>30</v>
      </c>
      <c r="E757" s="6">
        <v>46076.338194444441</v>
      </c>
      <c r="F757" s="6">
        <v>46076.34375</v>
      </c>
      <c r="G757" s="6">
        <v>46076.378472222219</v>
      </c>
      <c r="H757" s="6">
        <v>46076.423611111109</v>
      </c>
      <c r="I757" s="6">
        <v>46076.430555555555</v>
      </c>
      <c r="J757" s="6">
        <v>46076.440972222219</v>
      </c>
      <c r="K757">
        <v>2.4700000000000002</v>
      </c>
      <c r="L757" s="6">
        <v>46076.447916666664</v>
      </c>
      <c r="M757" s="7">
        <f>F757-E757</f>
        <v>5.5555555591126904E-3</v>
      </c>
      <c r="N757">
        <f>HOUR(M757)</f>
        <v>0</v>
      </c>
      <c r="O757">
        <f>MINUTE(M757)</f>
        <v>8</v>
      </c>
      <c r="P757">
        <f>N757*60+O757</f>
        <v>8</v>
      </c>
      <c r="Q757" s="7">
        <f>G757-F757</f>
        <v>3.4722222218988463E-2</v>
      </c>
      <c r="R757">
        <f>HOUR(Q757)</f>
        <v>0</v>
      </c>
      <c r="S757">
        <f>MINUTE(Q757)</f>
        <v>50</v>
      </c>
      <c r="T757">
        <f>R757*60+S757</f>
        <v>50</v>
      </c>
      <c r="U757" s="7">
        <f>H757-G757</f>
        <v>4.5138888890505768E-2</v>
      </c>
      <c r="V757">
        <f>HOUR(U757)</f>
        <v>1</v>
      </c>
      <c r="W757">
        <f>MINUTE(U757)</f>
        <v>5</v>
      </c>
      <c r="X757">
        <f>V757*60+W757</f>
        <v>65</v>
      </c>
      <c r="Y757" s="7">
        <f>I757-H757</f>
        <v>6.9444444452528842E-3</v>
      </c>
      <c r="Z757">
        <f>HOUR(Y757)</f>
        <v>0</v>
      </c>
      <c r="AA757">
        <f>MINUTE(Y757)</f>
        <v>10</v>
      </c>
      <c r="AB757">
        <f>Z757*60+AA757</f>
        <v>10</v>
      </c>
    </row>
    <row r="758" spans="1:28" x14ac:dyDescent="0.25">
      <c r="A758">
        <v>756</v>
      </c>
      <c r="B758" t="s">
        <v>33</v>
      </c>
      <c r="C758">
        <v>1</v>
      </c>
      <c r="D758" t="s">
        <v>30</v>
      </c>
      <c r="E758" s="6">
        <v>46076.376388888886</v>
      </c>
      <c r="F758" s="6">
        <v>46076.388888888891</v>
      </c>
      <c r="G758" s="6">
        <v>46076.40625</v>
      </c>
      <c r="H758" s="6">
        <v>46076.489583333336</v>
      </c>
      <c r="I758" s="6">
        <v>46076.5</v>
      </c>
      <c r="J758" s="6">
        <v>46076.600694444445</v>
      </c>
      <c r="K758">
        <v>5.38</v>
      </c>
      <c r="L758" s="6">
        <v>46076.601388888892</v>
      </c>
      <c r="M758" s="7">
        <f>F758-E758</f>
        <v>1.2500000004365575E-2</v>
      </c>
      <c r="N758">
        <f>HOUR(M758)</f>
        <v>0</v>
      </c>
      <c r="O758">
        <f>MINUTE(M758)</f>
        <v>18</v>
      </c>
      <c r="P758">
        <f>N758*60+O758</f>
        <v>18</v>
      </c>
      <c r="Q758" s="7">
        <f>G758-F758</f>
        <v>1.7361111109494232E-2</v>
      </c>
      <c r="R758">
        <f>HOUR(Q758)</f>
        <v>0</v>
      </c>
      <c r="S758">
        <f>MINUTE(Q758)</f>
        <v>25</v>
      </c>
      <c r="T758">
        <f>R758*60+S758</f>
        <v>25</v>
      </c>
      <c r="U758" s="7">
        <f>H758-G758</f>
        <v>8.3333333335758653E-2</v>
      </c>
      <c r="V758">
        <f>HOUR(U758)</f>
        <v>2</v>
      </c>
      <c r="W758">
        <f>MINUTE(U758)</f>
        <v>0</v>
      </c>
      <c r="X758">
        <f>V758*60+W758</f>
        <v>120</v>
      </c>
      <c r="Y758" s="7">
        <f>I758-H758</f>
        <v>1.0416666664241347E-2</v>
      </c>
      <c r="Z758">
        <f>HOUR(Y758)</f>
        <v>0</v>
      </c>
      <c r="AA758">
        <f>MINUTE(Y758)</f>
        <v>15</v>
      </c>
      <c r="AB758">
        <f>Z758*60+AA758</f>
        <v>15</v>
      </c>
    </row>
    <row r="759" spans="1:28" x14ac:dyDescent="0.25">
      <c r="A759">
        <v>757</v>
      </c>
      <c r="B759" t="s">
        <v>29</v>
      </c>
      <c r="C759">
        <v>1</v>
      </c>
      <c r="D759" t="s">
        <v>34</v>
      </c>
      <c r="E759" s="6">
        <v>46077.375</v>
      </c>
      <c r="F759" s="6">
        <v>46077.388888888891</v>
      </c>
      <c r="G759" s="6">
        <v>46077.395833333336</v>
      </c>
      <c r="H759" s="6">
        <v>46077.416666666664</v>
      </c>
      <c r="I759" s="6">
        <v>46077.423611111109</v>
      </c>
      <c r="J759" s="6">
        <v>46077.424305555556</v>
      </c>
      <c r="K759">
        <v>1.18</v>
      </c>
      <c r="L759" s="6">
        <v>46077.425000000003</v>
      </c>
      <c r="M759" s="7">
        <f>F759-E759</f>
        <v>1.3888888890505768E-2</v>
      </c>
      <c r="N759">
        <f>HOUR(M759)</f>
        <v>0</v>
      </c>
      <c r="O759">
        <f>MINUTE(M759)</f>
        <v>20</v>
      </c>
      <c r="P759">
        <f>N759*60+O759</f>
        <v>20</v>
      </c>
      <c r="Q759" s="7">
        <f>G759-F759</f>
        <v>6.9444444452528842E-3</v>
      </c>
      <c r="R759">
        <f>HOUR(Q759)</f>
        <v>0</v>
      </c>
      <c r="S759">
        <f>MINUTE(Q759)</f>
        <v>10</v>
      </c>
      <c r="T759">
        <f>R759*60+S759</f>
        <v>10</v>
      </c>
      <c r="U759" s="7">
        <f>H759-G759</f>
        <v>2.0833333328482695E-2</v>
      </c>
      <c r="V759">
        <f>HOUR(U759)</f>
        <v>0</v>
      </c>
      <c r="W759">
        <f>MINUTE(U759)</f>
        <v>30</v>
      </c>
      <c r="X759">
        <f>V759*60+W759</f>
        <v>30</v>
      </c>
      <c r="Y759" s="7">
        <f>I759-H759</f>
        <v>6.9444444452528842E-3</v>
      </c>
      <c r="Z759">
        <f>HOUR(Y759)</f>
        <v>0</v>
      </c>
      <c r="AA759">
        <f>MINUTE(Y759)</f>
        <v>10</v>
      </c>
      <c r="AB759">
        <f>Z759*60+AA759</f>
        <v>10</v>
      </c>
    </row>
    <row r="760" spans="1:28" x14ac:dyDescent="0.25">
      <c r="A760">
        <v>758</v>
      </c>
      <c r="B760" t="s">
        <v>33</v>
      </c>
      <c r="C760">
        <v>1</v>
      </c>
      <c r="D760" t="s">
        <v>35</v>
      </c>
      <c r="E760" s="6">
        <v>46076.506944444445</v>
      </c>
      <c r="F760" s="6">
        <v>46076.53125</v>
      </c>
      <c r="G760" s="6">
        <v>46076.543749999997</v>
      </c>
      <c r="H760" s="6">
        <v>46076.67083333333</v>
      </c>
      <c r="I760" s="6">
        <v>46076.704861111109</v>
      </c>
      <c r="J760" s="6">
        <v>46076.708333333336</v>
      </c>
      <c r="K760">
        <v>4.83</v>
      </c>
      <c r="L760" s="6">
        <v>46076.715277777781</v>
      </c>
      <c r="M760" s="7">
        <f>F760-E760</f>
        <v>2.4305555554747116E-2</v>
      </c>
      <c r="N760">
        <f>HOUR(M760)</f>
        <v>0</v>
      </c>
      <c r="O760">
        <f>MINUTE(M760)</f>
        <v>35</v>
      </c>
      <c r="P760">
        <f>N760*60+O760</f>
        <v>35</v>
      </c>
      <c r="Q760" s="7">
        <f>G760-F760</f>
        <v>1.2499999997089617E-2</v>
      </c>
      <c r="R760">
        <f>HOUR(Q760)</f>
        <v>0</v>
      </c>
      <c r="S760">
        <f>MINUTE(Q760)</f>
        <v>18</v>
      </c>
      <c r="T760">
        <f>R760*60+S760</f>
        <v>18</v>
      </c>
      <c r="U760" s="7">
        <f>H760-G760</f>
        <v>0.12708333333284827</v>
      </c>
      <c r="V760">
        <f>HOUR(U760)</f>
        <v>3</v>
      </c>
      <c r="W760">
        <f>MINUTE(U760)</f>
        <v>3</v>
      </c>
      <c r="X760">
        <f>V760*60+W760</f>
        <v>183</v>
      </c>
      <c r="Y760" s="7">
        <f>I760-H760</f>
        <v>3.4027777779556345E-2</v>
      </c>
      <c r="Z760">
        <f>HOUR(Y760)</f>
        <v>0</v>
      </c>
      <c r="AA760">
        <f>MINUTE(Y760)</f>
        <v>49</v>
      </c>
      <c r="AB760">
        <f>Z760*60+AA760</f>
        <v>49</v>
      </c>
    </row>
    <row r="761" spans="1:28" x14ac:dyDescent="0.25">
      <c r="A761">
        <v>759</v>
      </c>
      <c r="B761" t="s">
        <v>29</v>
      </c>
      <c r="C761">
        <v>1</v>
      </c>
      <c r="D761" t="s">
        <v>30</v>
      </c>
      <c r="E761" s="6">
        <v>46076.621527777781</v>
      </c>
      <c r="F761" s="6">
        <v>46076.638888888891</v>
      </c>
      <c r="G761" s="6">
        <v>46076.663194444445</v>
      </c>
      <c r="H761" s="6">
        <v>46076.677083333336</v>
      </c>
      <c r="I761" s="6">
        <v>46076.697916666664</v>
      </c>
      <c r="J761" s="6">
        <v>46076.75</v>
      </c>
      <c r="K761">
        <v>3.08</v>
      </c>
      <c r="L761" s="6">
        <v>46076.756944444445</v>
      </c>
      <c r="M761" s="7">
        <f>F761-E761</f>
        <v>1.7361111109494232E-2</v>
      </c>
      <c r="N761">
        <f>HOUR(M761)</f>
        <v>0</v>
      </c>
      <c r="O761">
        <f>MINUTE(M761)</f>
        <v>25</v>
      </c>
      <c r="P761">
        <f>N761*60+O761</f>
        <v>25</v>
      </c>
      <c r="Q761" s="7">
        <f>G761-F761</f>
        <v>2.4305555554747116E-2</v>
      </c>
      <c r="R761">
        <f>HOUR(Q761)</f>
        <v>0</v>
      </c>
      <c r="S761">
        <f>MINUTE(Q761)</f>
        <v>35</v>
      </c>
      <c r="T761">
        <f>R761*60+S761</f>
        <v>35</v>
      </c>
      <c r="U761" s="7">
        <f>H761-G761</f>
        <v>1.3888888890505768E-2</v>
      </c>
      <c r="V761">
        <f>HOUR(U761)</f>
        <v>0</v>
      </c>
      <c r="W761">
        <f>MINUTE(U761)</f>
        <v>20</v>
      </c>
      <c r="X761">
        <f>V761*60+W761</f>
        <v>20</v>
      </c>
      <c r="Y761" s="7">
        <f>I761-H761</f>
        <v>2.0833333328482695E-2</v>
      </c>
      <c r="Z761">
        <f>HOUR(Y761)</f>
        <v>0</v>
      </c>
      <c r="AA761">
        <f>MINUTE(Y761)</f>
        <v>30</v>
      </c>
      <c r="AB761">
        <f>Z761*60+AA761</f>
        <v>30</v>
      </c>
    </row>
    <row r="762" spans="1:28" x14ac:dyDescent="0.25">
      <c r="A762">
        <v>760</v>
      </c>
      <c r="B762" t="s">
        <v>31</v>
      </c>
      <c r="C762">
        <v>1</v>
      </c>
      <c r="D762" t="s">
        <v>36</v>
      </c>
      <c r="E762" s="6">
        <v>46076.673611111109</v>
      </c>
      <c r="F762" s="6">
        <v>46076.690972222219</v>
      </c>
      <c r="G762" s="6">
        <v>46076.725694444445</v>
      </c>
      <c r="H762" s="6">
        <v>46076.800694444442</v>
      </c>
      <c r="I762" s="6">
        <v>46076.909722222219</v>
      </c>
      <c r="J762" s="6">
        <v>46076.916666666664</v>
      </c>
      <c r="K762">
        <v>5.83</v>
      </c>
      <c r="L762" s="6">
        <v>46076.923611111109</v>
      </c>
      <c r="M762" s="7">
        <f>F762-E762</f>
        <v>1.7361111109494232E-2</v>
      </c>
      <c r="N762">
        <f>HOUR(M762)</f>
        <v>0</v>
      </c>
      <c r="O762">
        <f>MINUTE(M762)</f>
        <v>25</v>
      </c>
      <c r="P762">
        <f>N762*60+O762</f>
        <v>25</v>
      </c>
      <c r="Q762" s="7">
        <f>G762-F762</f>
        <v>3.4722222226264421E-2</v>
      </c>
      <c r="R762">
        <f>HOUR(Q762)</f>
        <v>0</v>
      </c>
      <c r="S762">
        <f>MINUTE(Q762)</f>
        <v>50</v>
      </c>
      <c r="T762">
        <f>R762*60+S762</f>
        <v>50</v>
      </c>
      <c r="U762" s="7">
        <f>H762-G762</f>
        <v>7.4999999997089617E-2</v>
      </c>
      <c r="V762">
        <f>HOUR(U762)</f>
        <v>1</v>
      </c>
      <c r="W762">
        <f>MINUTE(U762)</f>
        <v>48</v>
      </c>
      <c r="X762">
        <f>V762*60+W762</f>
        <v>108</v>
      </c>
      <c r="Y762" s="7">
        <f>I762-H762</f>
        <v>0.10902777777664596</v>
      </c>
      <c r="Z762">
        <f>HOUR(Y762)</f>
        <v>2</v>
      </c>
      <c r="AA762">
        <f>MINUTE(Y762)</f>
        <v>37</v>
      </c>
      <c r="AB762">
        <f>Z762*60+AA762</f>
        <v>157</v>
      </c>
    </row>
    <row r="763" spans="1:28" x14ac:dyDescent="0.25">
      <c r="A763">
        <v>761</v>
      </c>
      <c r="B763" t="s">
        <v>29</v>
      </c>
      <c r="C763">
        <v>1</v>
      </c>
      <c r="D763" t="s">
        <v>35</v>
      </c>
      <c r="E763" s="6">
        <v>46076.760416666664</v>
      </c>
      <c r="F763" s="6">
        <v>46076.767361111109</v>
      </c>
      <c r="G763" s="6">
        <v>46076.770833333336</v>
      </c>
      <c r="H763" s="6">
        <v>46076.78125</v>
      </c>
      <c r="I763" s="6">
        <v>46076.788194444445</v>
      </c>
      <c r="J763" s="6">
        <v>46076.791666666664</v>
      </c>
      <c r="K763">
        <v>0.75</v>
      </c>
      <c r="L763" s="6">
        <v>46076.795138888891</v>
      </c>
      <c r="M763" s="7">
        <f>F763-E763</f>
        <v>6.9444444452528842E-3</v>
      </c>
      <c r="N763">
        <f>HOUR(M763)</f>
        <v>0</v>
      </c>
      <c r="O763">
        <f>MINUTE(M763)</f>
        <v>10</v>
      </c>
      <c r="P763">
        <f>N763*60+O763</f>
        <v>10</v>
      </c>
      <c r="Q763" s="7">
        <f>G763-F763</f>
        <v>3.4722222262644209E-3</v>
      </c>
      <c r="R763">
        <f>HOUR(Q763)</f>
        <v>0</v>
      </c>
      <c r="S763">
        <f>MINUTE(Q763)</f>
        <v>5</v>
      </c>
      <c r="T763">
        <f>R763*60+S763</f>
        <v>5</v>
      </c>
      <c r="U763" s="7">
        <f>H763-G763</f>
        <v>1.0416666664241347E-2</v>
      </c>
      <c r="V763">
        <f>HOUR(U763)</f>
        <v>0</v>
      </c>
      <c r="W763">
        <f>MINUTE(U763)</f>
        <v>15</v>
      </c>
      <c r="X763">
        <f>V763*60+W763</f>
        <v>15</v>
      </c>
      <c r="Y763" s="7">
        <f>I763-H763</f>
        <v>6.9444444452528842E-3</v>
      </c>
      <c r="Z763">
        <f>HOUR(Y763)</f>
        <v>0</v>
      </c>
      <c r="AA763">
        <f>MINUTE(Y763)</f>
        <v>10</v>
      </c>
      <c r="AB763">
        <f>Z763*60+AA763</f>
        <v>10</v>
      </c>
    </row>
    <row r="764" spans="1:28" x14ac:dyDescent="0.25">
      <c r="A764">
        <v>762</v>
      </c>
      <c r="B764" t="s">
        <v>33</v>
      </c>
      <c r="C764">
        <v>1</v>
      </c>
      <c r="D764" t="s">
        <v>32</v>
      </c>
      <c r="E764" s="6">
        <v>46076.635416666664</v>
      </c>
      <c r="F764" s="6">
        <v>46076.642361111109</v>
      </c>
      <c r="G764" s="6">
        <v>46076.684027777781</v>
      </c>
      <c r="H764" s="6">
        <v>46076.770833333336</v>
      </c>
      <c r="I764" s="6">
        <v>46076.777777777781</v>
      </c>
      <c r="J764" s="6">
        <v>46076.805555555555</v>
      </c>
      <c r="K764">
        <v>4.08</v>
      </c>
      <c r="L764" s="6">
        <v>46076.8125</v>
      </c>
      <c r="M764" s="7">
        <f>F764-E764</f>
        <v>6.9444444452528842E-3</v>
      </c>
      <c r="N764">
        <f>HOUR(M764)</f>
        <v>0</v>
      </c>
      <c r="O764">
        <f>MINUTE(M764)</f>
        <v>10</v>
      </c>
      <c r="P764">
        <f>N764*60+O764</f>
        <v>10</v>
      </c>
      <c r="Q764" s="7">
        <f>G764-F764</f>
        <v>4.1666666671517305E-2</v>
      </c>
      <c r="R764">
        <f>HOUR(Q764)</f>
        <v>1</v>
      </c>
      <c r="S764">
        <f>MINUTE(Q764)</f>
        <v>0</v>
      </c>
      <c r="T764">
        <f>R764*60+S764</f>
        <v>60</v>
      </c>
      <c r="U764" s="7">
        <f>H764-G764</f>
        <v>8.6805555554747116E-2</v>
      </c>
      <c r="V764">
        <f>HOUR(U764)</f>
        <v>2</v>
      </c>
      <c r="W764">
        <f>MINUTE(U764)</f>
        <v>5</v>
      </c>
      <c r="X764">
        <f>V764*60+W764</f>
        <v>125</v>
      </c>
      <c r="Y764" s="7">
        <f>I764-H764</f>
        <v>6.9444444452528842E-3</v>
      </c>
      <c r="Z764">
        <f>HOUR(Y764)</f>
        <v>0</v>
      </c>
      <c r="AA764">
        <f>MINUTE(Y764)</f>
        <v>10</v>
      </c>
      <c r="AB764">
        <f>Z764*60+AA764</f>
        <v>10</v>
      </c>
    </row>
    <row r="765" spans="1:28" x14ac:dyDescent="0.25">
      <c r="A765">
        <v>763</v>
      </c>
      <c r="B765" t="s">
        <v>33</v>
      </c>
      <c r="C765">
        <v>1</v>
      </c>
      <c r="D765" t="s">
        <v>36</v>
      </c>
      <c r="E765" s="6">
        <v>46077.291666666664</v>
      </c>
      <c r="F765" s="6">
        <v>46077.347222222219</v>
      </c>
      <c r="G765" s="6">
        <v>46077.357638888891</v>
      </c>
      <c r="H765" s="6">
        <v>46077.378472222219</v>
      </c>
      <c r="I765" s="6">
        <v>46077.385416666664</v>
      </c>
      <c r="J765" s="6">
        <v>46077.506944444445</v>
      </c>
      <c r="K765">
        <v>5.17</v>
      </c>
      <c r="L765" s="6">
        <v>46077.513888888891</v>
      </c>
      <c r="M765" s="7">
        <f>F765-E765</f>
        <v>5.5555555554747116E-2</v>
      </c>
      <c r="N765">
        <f>HOUR(M765)</f>
        <v>1</v>
      </c>
      <c r="O765">
        <f>MINUTE(M765)</f>
        <v>20</v>
      </c>
      <c r="P765">
        <f>N765*60+O765</f>
        <v>80</v>
      </c>
      <c r="Q765" s="7">
        <f>G765-F765</f>
        <v>1.0416666671517305E-2</v>
      </c>
      <c r="R765">
        <f>HOUR(Q765)</f>
        <v>0</v>
      </c>
      <c r="S765">
        <f>MINUTE(Q765)</f>
        <v>15</v>
      </c>
      <c r="T765">
        <f>R765*60+S765</f>
        <v>15</v>
      </c>
      <c r="U765" s="7">
        <f>H765-G765</f>
        <v>2.0833333328482695E-2</v>
      </c>
      <c r="V765">
        <f>HOUR(U765)</f>
        <v>0</v>
      </c>
      <c r="W765">
        <f>MINUTE(U765)</f>
        <v>30</v>
      </c>
      <c r="X765">
        <f>V765*60+W765</f>
        <v>30</v>
      </c>
      <c r="Y765" s="7">
        <f>I765-H765</f>
        <v>6.9444444452528842E-3</v>
      </c>
      <c r="Z765">
        <f>HOUR(Y765)</f>
        <v>0</v>
      </c>
      <c r="AA765">
        <f>MINUTE(Y765)</f>
        <v>10</v>
      </c>
      <c r="AB765">
        <f>Z765*60+AA765</f>
        <v>10</v>
      </c>
    </row>
    <row r="766" spans="1:28" x14ac:dyDescent="0.25">
      <c r="A766">
        <v>764</v>
      </c>
      <c r="B766" t="s">
        <v>33</v>
      </c>
      <c r="C766">
        <v>1</v>
      </c>
      <c r="D766" t="s">
        <v>34</v>
      </c>
      <c r="E766" s="6">
        <v>46077.291666666664</v>
      </c>
      <c r="F766" s="6">
        <v>46077.375</v>
      </c>
      <c r="G766" s="6">
        <v>46077.395833333336</v>
      </c>
      <c r="H766" s="6">
        <v>46077.5625</v>
      </c>
      <c r="I766" s="6">
        <v>46077.569444444445</v>
      </c>
      <c r="J766" s="6">
        <v>46077.576388888891</v>
      </c>
      <c r="K766">
        <v>6.83</v>
      </c>
      <c r="L766" s="6">
        <v>46077.583333333336</v>
      </c>
      <c r="M766" s="7">
        <f>F766-E766</f>
        <v>8.3333333335758653E-2</v>
      </c>
      <c r="N766">
        <f>HOUR(M766)</f>
        <v>2</v>
      </c>
      <c r="O766">
        <f>MINUTE(M766)</f>
        <v>0</v>
      </c>
      <c r="P766">
        <f>N766*60+O766</f>
        <v>120</v>
      </c>
      <c r="Q766" s="7">
        <f>G766-F766</f>
        <v>2.0833333335758653E-2</v>
      </c>
      <c r="R766">
        <f>HOUR(Q766)</f>
        <v>0</v>
      </c>
      <c r="S766">
        <f>MINUTE(Q766)</f>
        <v>30</v>
      </c>
      <c r="T766">
        <f>R766*60+S766</f>
        <v>30</v>
      </c>
      <c r="U766" s="7">
        <f>H766-G766</f>
        <v>0.16666666666424135</v>
      </c>
      <c r="V766">
        <f>HOUR(U766)</f>
        <v>4</v>
      </c>
      <c r="W766">
        <f>MINUTE(U766)</f>
        <v>0</v>
      </c>
      <c r="X766">
        <f>V766*60+W766</f>
        <v>240</v>
      </c>
      <c r="Y766" s="7">
        <f>I766-H766</f>
        <v>6.9444444452528842E-3</v>
      </c>
      <c r="Z766">
        <f>HOUR(Y766)</f>
        <v>0</v>
      </c>
      <c r="AA766">
        <f>MINUTE(Y766)</f>
        <v>10</v>
      </c>
      <c r="AB766">
        <f>Z766*60+AA766</f>
        <v>10</v>
      </c>
    </row>
    <row r="767" spans="1:28" x14ac:dyDescent="0.25">
      <c r="A767">
        <v>765</v>
      </c>
      <c r="B767" t="s">
        <v>31</v>
      </c>
      <c r="C767">
        <v>1</v>
      </c>
      <c r="D767" t="s">
        <v>30</v>
      </c>
      <c r="E767" s="6">
        <v>46077.684027777781</v>
      </c>
      <c r="F767" s="6">
        <v>46077.701388888891</v>
      </c>
      <c r="G767" s="6">
        <v>46077.736111111109</v>
      </c>
      <c r="H767" s="6">
        <v>46077.857638888891</v>
      </c>
      <c r="I767" s="6">
        <v>46077.861111111109</v>
      </c>
      <c r="J767" s="6">
        <v>46077.871527777781</v>
      </c>
      <c r="K767">
        <v>4.5</v>
      </c>
      <c r="L767" s="6">
        <v>46077.878472222219</v>
      </c>
      <c r="M767" s="7">
        <f>F767-E767</f>
        <v>1.7361111109494232E-2</v>
      </c>
      <c r="N767">
        <f>HOUR(M767)</f>
        <v>0</v>
      </c>
      <c r="O767">
        <f>MINUTE(M767)</f>
        <v>25</v>
      </c>
      <c r="P767">
        <f>N767*60+O767</f>
        <v>25</v>
      </c>
      <c r="Q767" s="7">
        <f>G767-F767</f>
        <v>3.4722222218988463E-2</v>
      </c>
      <c r="R767">
        <f>HOUR(Q767)</f>
        <v>0</v>
      </c>
      <c r="S767">
        <f>MINUTE(Q767)</f>
        <v>50</v>
      </c>
      <c r="T767">
        <f>R767*60+S767</f>
        <v>50</v>
      </c>
      <c r="U767" s="7">
        <f>H767-G767</f>
        <v>0.12152777778101154</v>
      </c>
      <c r="V767">
        <f>HOUR(U767)</f>
        <v>2</v>
      </c>
      <c r="W767">
        <f>MINUTE(U767)</f>
        <v>55</v>
      </c>
      <c r="X767">
        <f>V767*60+W767</f>
        <v>175</v>
      </c>
      <c r="Y767" s="7">
        <f>I767-H767</f>
        <v>3.4722222189884633E-3</v>
      </c>
      <c r="Z767">
        <f>HOUR(Y767)</f>
        <v>0</v>
      </c>
      <c r="AA767">
        <f>MINUTE(Y767)</f>
        <v>5</v>
      </c>
      <c r="AB767">
        <f>Z767*60+AA767</f>
        <v>5</v>
      </c>
    </row>
    <row r="768" spans="1:28" x14ac:dyDescent="0.25">
      <c r="A768">
        <v>766</v>
      </c>
      <c r="B768" t="s">
        <v>33</v>
      </c>
      <c r="C768">
        <v>1</v>
      </c>
      <c r="D768" t="s">
        <v>34</v>
      </c>
      <c r="E768" s="6">
        <v>46079.291666666664</v>
      </c>
      <c r="F768" s="6">
        <v>46079.319444444445</v>
      </c>
      <c r="G768" s="6">
        <v>46079.333333333336</v>
      </c>
      <c r="H768" s="6">
        <v>46079.5</v>
      </c>
      <c r="I768" s="6">
        <v>46079.506944444445</v>
      </c>
      <c r="J768" s="6">
        <v>46079.510416666664</v>
      </c>
      <c r="K768">
        <v>5.25</v>
      </c>
      <c r="L768" s="6">
        <v>46079.517361111109</v>
      </c>
      <c r="M768" s="7">
        <f>F768-E768</f>
        <v>2.7777777781011537E-2</v>
      </c>
      <c r="N768">
        <f>HOUR(M768)</f>
        <v>0</v>
      </c>
      <c r="O768">
        <f>MINUTE(M768)</f>
        <v>40</v>
      </c>
      <c r="P768">
        <f>N768*60+O768</f>
        <v>40</v>
      </c>
      <c r="Q768" s="7">
        <f>G768-F768</f>
        <v>1.3888888890505768E-2</v>
      </c>
      <c r="R768">
        <f>HOUR(Q768)</f>
        <v>0</v>
      </c>
      <c r="S768">
        <f>MINUTE(Q768)</f>
        <v>20</v>
      </c>
      <c r="T768">
        <f>R768*60+S768</f>
        <v>20</v>
      </c>
      <c r="U768" s="7">
        <f>H768-G768</f>
        <v>0.16666666666424135</v>
      </c>
      <c r="V768">
        <f>HOUR(U768)</f>
        <v>4</v>
      </c>
      <c r="W768">
        <f>MINUTE(U768)</f>
        <v>0</v>
      </c>
      <c r="X768">
        <f>V768*60+W768</f>
        <v>240</v>
      </c>
      <c r="Y768" s="7">
        <f>I768-H768</f>
        <v>6.9444444452528842E-3</v>
      </c>
      <c r="Z768">
        <f>HOUR(Y768)</f>
        <v>0</v>
      </c>
      <c r="AA768">
        <f>MINUTE(Y768)</f>
        <v>10</v>
      </c>
      <c r="AB768">
        <f>Z768*60+AA768</f>
        <v>10</v>
      </c>
    </row>
    <row r="769" spans="1:28" x14ac:dyDescent="0.25">
      <c r="A769">
        <v>767</v>
      </c>
      <c r="B769" t="s">
        <v>33</v>
      </c>
      <c r="C769">
        <v>1</v>
      </c>
      <c r="D769" t="s">
        <v>34</v>
      </c>
      <c r="E769" s="6">
        <v>46076.725694444445</v>
      </c>
      <c r="F769" s="6">
        <v>46076.729166666664</v>
      </c>
      <c r="G769" s="6">
        <v>46076.732638888891</v>
      </c>
      <c r="H769" s="6">
        <v>46076.9</v>
      </c>
      <c r="I769" s="6">
        <v>46076.947916666664</v>
      </c>
      <c r="J769" s="6">
        <v>46076.948611111111</v>
      </c>
      <c r="K769">
        <v>5.35</v>
      </c>
      <c r="L769" s="6">
        <v>46076.95</v>
      </c>
      <c r="M769" s="7">
        <f>F769-E769</f>
        <v>3.4722222189884633E-3</v>
      </c>
      <c r="N769">
        <f>HOUR(M769)</f>
        <v>0</v>
      </c>
      <c r="O769">
        <f>MINUTE(M769)</f>
        <v>5</v>
      </c>
      <c r="P769">
        <f>N769*60+O769</f>
        <v>5</v>
      </c>
      <c r="Q769" s="7">
        <f>G769-F769</f>
        <v>3.4722222262644209E-3</v>
      </c>
      <c r="R769">
        <f>HOUR(Q769)</f>
        <v>0</v>
      </c>
      <c r="S769">
        <f>MINUTE(Q769)</f>
        <v>5</v>
      </c>
      <c r="T769">
        <f>R769*60+S769</f>
        <v>5</v>
      </c>
      <c r="U769" s="7">
        <f>H769-G769</f>
        <v>0.16736111111094942</v>
      </c>
      <c r="V769">
        <f>HOUR(U769)</f>
        <v>4</v>
      </c>
      <c r="W769">
        <f>MINUTE(U769)</f>
        <v>1</v>
      </c>
      <c r="X769">
        <f>V769*60+W769</f>
        <v>241</v>
      </c>
      <c r="Y769" s="7">
        <f>I769-H769</f>
        <v>4.7916666662786156E-2</v>
      </c>
      <c r="Z769">
        <f>HOUR(Y769)</f>
        <v>1</v>
      </c>
      <c r="AA769">
        <f>MINUTE(Y769)</f>
        <v>9</v>
      </c>
      <c r="AB769">
        <f>Z769*60+AA769</f>
        <v>69</v>
      </c>
    </row>
    <row r="770" spans="1:28" x14ac:dyDescent="0.25">
      <c r="A770">
        <v>768</v>
      </c>
      <c r="B770" t="s">
        <v>31</v>
      </c>
      <c r="C770">
        <v>1</v>
      </c>
      <c r="D770" t="s">
        <v>30</v>
      </c>
      <c r="E770" s="6">
        <v>46076.840277777781</v>
      </c>
      <c r="F770" s="6">
        <v>46076.84375</v>
      </c>
      <c r="G770" s="6">
        <v>46076.850694444445</v>
      </c>
      <c r="H770" s="6">
        <v>46076.893750000003</v>
      </c>
      <c r="I770" s="6">
        <v>46076.900694444441</v>
      </c>
      <c r="J770" s="6">
        <v>46076.90902777778</v>
      </c>
      <c r="K770">
        <v>1.65</v>
      </c>
      <c r="L770" s="6">
        <v>46076.915972222225</v>
      </c>
      <c r="M770" s="7">
        <f>F770-E770</f>
        <v>3.4722222189884633E-3</v>
      </c>
      <c r="N770">
        <f>HOUR(M770)</f>
        <v>0</v>
      </c>
      <c r="O770">
        <f>MINUTE(M770)</f>
        <v>5</v>
      </c>
      <c r="P770">
        <f>N770*60+O770</f>
        <v>5</v>
      </c>
      <c r="Q770" s="7">
        <f>G770-F770</f>
        <v>6.9444444452528842E-3</v>
      </c>
      <c r="R770">
        <f>HOUR(Q770)</f>
        <v>0</v>
      </c>
      <c r="S770">
        <f>MINUTE(Q770)</f>
        <v>10</v>
      </c>
      <c r="T770">
        <f>R770*60+S770</f>
        <v>10</v>
      </c>
      <c r="U770" s="7">
        <f>H770-G770</f>
        <v>4.3055555557657499E-2</v>
      </c>
      <c r="V770">
        <f>HOUR(U770)</f>
        <v>1</v>
      </c>
      <c r="W770">
        <f>MINUTE(U770)</f>
        <v>2</v>
      </c>
      <c r="X770">
        <f>V770*60+W770</f>
        <v>62</v>
      </c>
      <c r="Y770" s="7">
        <f>I770-H770</f>
        <v>6.9444444379769266E-3</v>
      </c>
      <c r="Z770">
        <f>HOUR(Y770)</f>
        <v>0</v>
      </c>
      <c r="AA770">
        <f>MINUTE(Y770)</f>
        <v>10</v>
      </c>
      <c r="AB770">
        <f>Z770*60+AA770</f>
        <v>10</v>
      </c>
    </row>
    <row r="771" spans="1:28" x14ac:dyDescent="0.25">
      <c r="A771">
        <v>769</v>
      </c>
      <c r="B771" t="s">
        <v>33</v>
      </c>
      <c r="C771">
        <v>1</v>
      </c>
      <c r="D771" t="s">
        <v>30</v>
      </c>
      <c r="E771" s="6">
        <v>46077.347222222219</v>
      </c>
      <c r="F771" s="6">
        <v>46077.347916666666</v>
      </c>
      <c r="G771" s="6">
        <v>46077.366666666669</v>
      </c>
      <c r="H771" s="6">
        <v>46077.479166666664</v>
      </c>
      <c r="I771" s="6">
        <v>46077.5</v>
      </c>
      <c r="J771" s="6">
        <v>46077.500694444447</v>
      </c>
      <c r="K771">
        <v>3.68</v>
      </c>
      <c r="L771" s="6">
        <v>46077.503472222219</v>
      </c>
      <c r="M771" s="7">
        <f>F771-E771</f>
        <v>6.944444467080757E-4</v>
      </c>
      <c r="N771">
        <f>HOUR(M771)</f>
        <v>0</v>
      </c>
      <c r="O771">
        <f>MINUTE(M771)</f>
        <v>1</v>
      </c>
      <c r="P771">
        <f>N771*60+O771</f>
        <v>1</v>
      </c>
      <c r="Q771" s="7">
        <f>G771-F771</f>
        <v>1.8750000002910383E-2</v>
      </c>
      <c r="R771">
        <f>HOUR(Q771)</f>
        <v>0</v>
      </c>
      <c r="S771">
        <f>MINUTE(Q771)</f>
        <v>27</v>
      </c>
      <c r="T771">
        <f>R771*60+S771</f>
        <v>27</v>
      </c>
      <c r="U771" s="7">
        <f>H771-G771</f>
        <v>0.11249999999563443</v>
      </c>
      <c r="V771">
        <f>HOUR(U771)</f>
        <v>2</v>
      </c>
      <c r="W771">
        <f>MINUTE(U771)</f>
        <v>42</v>
      </c>
      <c r="X771">
        <f>V771*60+W771</f>
        <v>162</v>
      </c>
      <c r="Y771" s="7">
        <f>I771-H771</f>
        <v>2.0833333335758653E-2</v>
      </c>
      <c r="Z771">
        <f>HOUR(Y771)</f>
        <v>0</v>
      </c>
      <c r="AA771">
        <f>MINUTE(Y771)</f>
        <v>30</v>
      </c>
      <c r="AB771">
        <f>Z771*60+AA771</f>
        <v>30</v>
      </c>
    </row>
    <row r="772" spans="1:28" x14ac:dyDescent="0.25">
      <c r="A772">
        <v>770</v>
      </c>
      <c r="B772" t="s">
        <v>33</v>
      </c>
      <c r="C772">
        <v>1</v>
      </c>
      <c r="D772" t="s">
        <v>36</v>
      </c>
      <c r="E772" s="6">
        <v>46077.569444444445</v>
      </c>
      <c r="F772" s="6">
        <v>46077.572916666664</v>
      </c>
      <c r="G772" s="6">
        <v>46077.583333333336</v>
      </c>
      <c r="H772" s="6">
        <v>46077.763194444444</v>
      </c>
      <c r="I772" s="6">
        <v>46077.763888888891</v>
      </c>
      <c r="J772" s="6">
        <v>46077.78125</v>
      </c>
      <c r="K772">
        <v>5.08</v>
      </c>
      <c r="L772" s="6">
        <v>46077.788194444445</v>
      </c>
      <c r="M772" s="7">
        <f>F772-E772</f>
        <v>3.4722222189884633E-3</v>
      </c>
      <c r="N772">
        <f>HOUR(M772)</f>
        <v>0</v>
      </c>
      <c r="O772">
        <f>MINUTE(M772)</f>
        <v>5</v>
      </c>
      <c r="P772">
        <f>N772*60+O772</f>
        <v>5</v>
      </c>
      <c r="Q772" s="7">
        <f>G772-F772</f>
        <v>1.0416666671517305E-2</v>
      </c>
      <c r="R772">
        <f>HOUR(Q772)</f>
        <v>0</v>
      </c>
      <c r="S772">
        <f>MINUTE(Q772)</f>
        <v>15</v>
      </c>
      <c r="T772">
        <f>R772*60+S772</f>
        <v>15</v>
      </c>
      <c r="U772" s="7">
        <f>H772-G772</f>
        <v>0.17986111110803904</v>
      </c>
      <c r="V772">
        <f>HOUR(U772)</f>
        <v>4</v>
      </c>
      <c r="W772">
        <f>MINUTE(U772)</f>
        <v>19</v>
      </c>
      <c r="X772">
        <f>V772*60+W772</f>
        <v>259</v>
      </c>
      <c r="Y772" s="7">
        <f>I772-H772</f>
        <v>6.944444467080757E-4</v>
      </c>
      <c r="Z772">
        <f>HOUR(Y772)</f>
        <v>0</v>
      </c>
      <c r="AA772">
        <f>MINUTE(Y772)</f>
        <v>1</v>
      </c>
      <c r="AB772">
        <f>Z772*60+AA772</f>
        <v>1</v>
      </c>
    </row>
    <row r="773" spans="1:28" x14ac:dyDescent="0.25">
      <c r="A773">
        <v>771</v>
      </c>
      <c r="B773" t="s">
        <v>31</v>
      </c>
      <c r="C773">
        <v>1</v>
      </c>
      <c r="D773" t="s">
        <v>30</v>
      </c>
      <c r="E773" s="6">
        <v>46077.53125</v>
      </c>
      <c r="F773" s="6">
        <v>46077.541666666664</v>
      </c>
      <c r="G773" s="6">
        <v>46077.569444444445</v>
      </c>
      <c r="H773" s="6">
        <v>46077.64166666667</v>
      </c>
      <c r="I773" s="6">
        <v>46077.648611111108</v>
      </c>
      <c r="J773" s="6">
        <v>46077.652777777781</v>
      </c>
      <c r="K773">
        <v>2.92</v>
      </c>
      <c r="L773" s="6">
        <v>46077.659722222219</v>
      </c>
      <c r="M773" s="7">
        <f>F773-E773</f>
        <v>1.0416666664241347E-2</v>
      </c>
      <c r="N773">
        <f>HOUR(M773)</f>
        <v>0</v>
      </c>
      <c r="O773">
        <f>MINUTE(M773)</f>
        <v>15</v>
      </c>
      <c r="P773">
        <f>N773*60+O773</f>
        <v>15</v>
      </c>
      <c r="Q773" s="7">
        <f>G773-F773</f>
        <v>2.7777777781011537E-2</v>
      </c>
      <c r="R773">
        <f>HOUR(Q773)</f>
        <v>0</v>
      </c>
      <c r="S773">
        <f>MINUTE(Q773)</f>
        <v>40</v>
      </c>
      <c r="T773">
        <f>R773*60+S773</f>
        <v>40</v>
      </c>
      <c r="U773" s="7">
        <f>H773-G773</f>
        <v>7.2222222224809229E-2</v>
      </c>
      <c r="V773">
        <f>HOUR(U773)</f>
        <v>1</v>
      </c>
      <c r="W773">
        <f>MINUTE(U773)</f>
        <v>44</v>
      </c>
      <c r="X773">
        <f>V773*60+W773</f>
        <v>104</v>
      </c>
      <c r="Y773" s="7">
        <f>I773-H773</f>
        <v>6.9444444379769266E-3</v>
      </c>
      <c r="Z773">
        <f>HOUR(Y773)</f>
        <v>0</v>
      </c>
      <c r="AA773">
        <f>MINUTE(Y773)</f>
        <v>10</v>
      </c>
      <c r="AB773">
        <f>Z773*60+AA773</f>
        <v>10</v>
      </c>
    </row>
    <row r="774" spans="1:28" x14ac:dyDescent="0.25">
      <c r="A774">
        <v>772</v>
      </c>
      <c r="B774" t="s">
        <v>29</v>
      </c>
      <c r="C774">
        <v>1</v>
      </c>
      <c r="D774" t="s">
        <v>30</v>
      </c>
      <c r="E774" s="6">
        <v>46077.548611111109</v>
      </c>
      <c r="F774" s="6">
        <v>46077.555555555555</v>
      </c>
      <c r="G774" s="6">
        <v>46077.576388888891</v>
      </c>
      <c r="H774" s="6">
        <v>46077.614583333336</v>
      </c>
      <c r="I774" s="6">
        <v>46077.621527777781</v>
      </c>
      <c r="J774" s="6">
        <v>46077.62222222222</v>
      </c>
      <c r="K774">
        <v>1.77</v>
      </c>
      <c r="L774" s="6">
        <v>46077.625</v>
      </c>
      <c r="M774" s="7">
        <f>F774-E774</f>
        <v>6.9444444452528842E-3</v>
      </c>
      <c r="N774">
        <f>HOUR(M774)</f>
        <v>0</v>
      </c>
      <c r="O774">
        <f>MINUTE(M774)</f>
        <v>10</v>
      </c>
      <c r="P774">
        <f>N774*60+O774</f>
        <v>10</v>
      </c>
      <c r="Q774" s="7">
        <f>G774-F774</f>
        <v>2.0833333335758653E-2</v>
      </c>
      <c r="R774">
        <f>HOUR(Q774)</f>
        <v>0</v>
      </c>
      <c r="S774">
        <f>MINUTE(Q774)</f>
        <v>30</v>
      </c>
      <c r="T774">
        <f>R774*60+S774</f>
        <v>30</v>
      </c>
      <c r="U774" s="7">
        <f>H774-G774</f>
        <v>3.8194444445252884E-2</v>
      </c>
      <c r="V774">
        <f>HOUR(U774)</f>
        <v>0</v>
      </c>
      <c r="W774">
        <f>MINUTE(U774)</f>
        <v>55</v>
      </c>
      <c r="X774">
        <f>V774*60+W774</f>
        <v>55</v>
      </c>
      <c r="Y774" s="7">
        <f>I774-H774</f>
        <v>6.9444444452528842E-3</v>
      </c>
      <c r="Z774">
        <f>HOUR(Y774)</f>
        <v>0</v>
      </c>
      <c r="AA774">
        <f>MINUTE(Y774)</f>
        <v>10</v>
      </c>
      <c r="AB774">
        <f>Z774*60+AA774</f>
        <v>10</v>
      </c>
    </row>
    <row r="775" spans="1:28" x14ac:dyDescent="0.25">
      <c r="A775">
        <v>773</v>
      </c>
      <c r="B775" t="s">
        <v>29</v>
      </c>
      <c r="C775">
        <v>1</v>
      </c>
      <c r="D775" t="s">
        <v>32</v>
      </c>
      <c r="E775" s="6">
        <v>46077.600694444445</v>
      </c>
      <c r="F775" s="6">
        <v>46077.607638888891</v>
      </c>
      <c r="G775" s="6">
        <v>46077.638888888891</v>
      </c>
      <c r="H775" s="6">
        <v>46077.6875</v>
      </c>
      <c r="I775" s="6">
        <v>46077.694444444445</v>
      </c>
      <c r="J775" s="6">
        <v>46077.708333333336</v>
      </c>
      <c r="K775">
        <v>2.58</v>
      </c>
      <c r="L775" s="6">
        <v>46077.715277777781</v>
      </c>
      <c r="M775" s="7">
        <f>F775-E775</f>
        <v>6.9444444452528842E-3</v>
      </c>
      <c r="N775">
        <f>HOUR(M775)</f>
        <v>0</v>
      </c>
      <c r="O775">
        <f>MINUTE(M775)</f>
        <v>10</v>
      </c>
      <c r="P775">
        <f>N775*60+O775</f>
        <v>10</v>
      </c>
      <c r="Q775" s="7">
        <f>G775-F775</f>
        <v>3.125E-2</v>
      </c>
      <c r="R775">
        <f>HOUR(Q775)</f>
        <v>0</v>
      </c>
      <c r="S775">
        <f>MINUTE(Q775)</f>
        <v>45</v>
      </c>
      <c r="T775">
        <f>R775*60+S775</f>
        <v>45</v>
      </c>
      <c r="U775" s="7">
        <f>H775-G775</f>
        <v>4.8611111109494232E-2</v>
      </c>
      <c r="V775">
        <f>HOUR(U775)</f>
        <v>1</v>
      </c>
      <c r="W775">
        <f>MINUTE(U775)</f>
        <v>10</v>
      </c>
      <c r="X775">
        <f>V775*60+W775</f>
        <v>70</v>
      </c>
      <c r="Y775" s="7">
        <f>I775-H775</f>
        <v>6.9444444452528842E-3</v>
      </c>
      <c r="Z775">
        <f>HOUR(Y775)</f>
        <v>0</v>
      </c>
      <c r="AA775">
        <f>MINUTE(Y775)</f>
        <v>10</v>
      </c>
      <c r="AB775">
        <f>Z775*60+AA775</f>
        <v>10</v>
      </c>
    </row>
    <row r="776" spans="1:28" x14ac:dyDescent="0.25">
      <c r="A776">
        <v>774</v>
      </c>
      <c r="B776" t="s">
        <v>31</v>
      </c>
      <c r="C776">
        <v>1</v>
      </c>
      <c r="D776" t="s">
        <v>34</v>
      </c>
      <c r="E776" s="6">
        <v>46078.510416666664</v>
      </c>
      <c r="F776" s="6">
        <v>46078.527777777781</v>
      </c>
      <c r="G776" s="6">
        <v>46078.552083333336</v>
      </c>
      <c r="H776" s="6">
        <v>46078.725694444445</v>
      </c>
      <c r="I776" s="6">
        <v>46078.729166666664</v>
      </c>
      <c r="J776" s="6">
        <v>46078.732638888891</v>
      </c>
      <c r="K776">
        <v>5.33</v>
      </c>
      <c r="L776" s="6">
        <v>46078.736111111109</v>
      </c>
      <c r="M776" s="7">
        <f>F776-E776</f>
        <v>1.7361111116770189E-2</v>
      </c>
      <c r="N776">
        <f>HOUR(M776)</f>
        <v>0</v>
      </c>
      <c r="O776">
        <f>MINUTE(M776)</f>
        <v>25</v>
      </c>
      <c r="P776">
        <f>N776*60+O776</f>
        <v>25</v>
      </c>
      <c r="Q776" s="7">
        <f>G776-F776</f>
        <v>2.4305555554747116E-2</v>
      </c>
      <c r="R776">
        <f>HOUR(Q776)</f>
        <v>0</v>
      </c>
      <c r="S776">
        <f>MINUTE(Q776)</f>
        <v>35</v>
      </c>
      <c r="T776">
        <f>R776*60+S776</f>
        <v>35</v>
      </c>
      <c r="U776" s="7">
        <f>H776-G776</f>
        <v>0.17361111110949423</v>
      </c>
      <c r="V776">
        <f>HOUR(U776)</f>
        <v>4</v>
      </c>
      <c r="W776">
        <f>MINUTE(U776)</f>
        <v>10</v>
      </c>
      <c r="X776">
        <f>V776*60+W776</f>
        <v>250</v>
      </c>
      <c r="Y776" s="7">
        <f>I776-H776</f>
        <v>3.4722222189884633E-3</v>
      </c>
      <c r="Z776">
        <f>HOUR(Y776)</f>
        <v>0</v>
      </c>
      <c r="AA776">
        <f>MINUTE(Y776)</f>
        <v>5</v>
      </c>
      <c r="AB776">
        <f>Z776*60+AA776</f>
        <v>5</v>
      </c>
    </row>
    <row r="777" spans="1:28" x14ac:dyDescent="0.25">
      <c r="A777">
        <v>775</v>
      </c>
      <c r="B777" t="s">
        <v>33</v>
      </c>
      <c r="C777">
        <v>1</v>
      </c>
      <c r="D777" t="s">
        <v>36</v>
      </c>
      <c r="E777" s="6">
        <v>46078.284722222219</v>
      </c>
      <c r="F777" s="6">
        <v>46078.319444444445</v>
      </c>
      <c r="G777" s="6">
        <v>46078.361111111109</v>
      </c>
      <c r="H777" s="6">
        <v>46078.40625</v>
      </c>
      <c r="I777" s="6">
        <v>46078.413194444445</v>
      </c>
      <c r="J777" s="6">
        <v>46078.427083333336</v>
      </c>
      <c r="K777">
        <v>3.42</v>
      </c>
      <c r="L777" s="6">
        <v>46078.434027777781</v>
      </c>
      <c r="M777" s="7">
        <f>F777-E777</f>
        <v>3.4722222226264421E-2</v>
      </c>
      <c r="N777">
        <f>HOUR(M777)</f>
        <v>0</v>
      </c>
      <c r="O777">
        <f>MINUTE(M777)</f>
        <v>50</v>
      </c>
      <c r="P777">
        <f>N777*60+O777</f>
        <v>50</v>
      </c>
      <c r="Q777" s="7">
        <f>G777-F777</f>
        <v>4.1666666664241347E-2</v>
      </c>
      <c r="R777">
        <f>HOUR(Q777)</f>
        <v>1</v>
      </c>
      <c r="S777">
        <f>MINUTE(Q777)</f>
        <v>0</v>
      </c>
      <c r="T777">
        <f>R777*60+S777</f>
        <v>60</v>
      </c>
      <c r="U777" s="7">
        <f>H777-G777</f>
        <v>4.5138888890505768E-2</v>
      </c>
      <c r="V777">
        <f>HOUR(U777)</f>
        <v>1</v>
      </c>
      <c r="W777">
        <f>MINUTE(U777)</f>
        <v>5</v>
      </c>
      <c r="X777">
        <f>V777*60+W777</f>
        <v>65</v>
      </c>
      <c r="Y777" s="7">
        <f>I777-H777</f>
        <v>6.9444444452528842E-3</v>
      </c>
      <c r="Z777">
        <f>HOUR(Y777)</f>
        <v>0</v>
      </c>
      <c r="AA777">
        <f>MINUTE(Y777)</f>
        <v>10</v>
      </c>
      <c r="AB777">
        <f>Z777*60+AA777</f>
        <v>10</v>
      </c>
    </row>
    <row r="778" spans="1:28" x14ac:dyDescent="0.25">
      <c r="A778">
        <v>776</v>
      </c>
      <c r="B778" t="s">
        <v>33</v>
      </c>
      <c r="C778">
        <v>1</v>
      </c>
      <c r="D778" t="s">
        <v>34</v>
      </c>
      <c r="E778" s="6">
        <v>46078.291666666664</v>
      </c>
      <c r="F778" s="6">
        <v>46078.322916666664</v>
      </c>
      <c r="G778" s="6">
        <v>46078.347222222219</v>
      </c>
      <c r="H778" s="6">
        <v>46078.454861111109</v>
      </c>
      <c r="I778" s="6">
        <v>46078.465277777781</v>
      </c>
      <c r="J778" s="6">
        <v>46078.472222222219</v>
      </c>
      <c r="K778">
        <v>4.33</v>
      </c>
      <c r="L778" s="6">
        <v>46078.479166666664</v>
      </c>
      <c r="M778" s="7">
        <f>F778-E778</f>
        <v>3.125E-2</v>
      </c>
      <c r="N778">
        <f>HOUR(M778)</f>
        <v>0</v>
      </c>
      <c r="O778">
        <f>MINUTE(M778)</f>
        <v>45</v>
      </c>
      <c r="P778">
        <f>N778*60+O778</f>
        <v>45</v>
      </c>
      <c r="Q778" s="7">
        <f>G778-F778</f>
        <v>2.4305555554747116E-2</v>
      </c>
      <c r="R778">
        <f>HOUR(Q778)</f>
        <v>0</v>
      </c>
      <c r="S778">
        <f>MINUTE(Q778)</f>
        <v>35</v>
      </c>
      <c r="T778">
        <f>R778*60+S778</f>
        <v>35</v>
      </c>
      <c r="U778" s="7">
        <f>H778-G778</f>
        <v>0.10763888889050577</v>
      </c>
      <c r="V778">
        <f>HOUR(U778)</f>
        <v>2</v>
      </c>
      <c r="W778">
        <f>MINUTE(U778)</f>
        <v>35</v>
      </c>
      <c r="X778">
        <f>V778*60+W778</f>
        <v>155</v>
      </c>
      <c r="Y778" s="7">
        <f>I778-H778</f>
        <v>1.0416666671517305E-2</v>
      </c>
      <c r="Z778">
        <f>HOUR(Y778)</f>
        <v>0</v>
      </c>
      <c r="AA778">
        <f>MINUTE(Y778)</f>
        <v>15</v>
      </c>
      <c r="AB778">
        <f>Z778*60+AA778</f>
        <v>15</v>
      </c>
    </row>
    <row r="779" spans="1:28" x14ac:dyDescent="0.25">
      <c r="A779">
        <v>777</v>
      </c>
      <c r="B779" t="s">
        <v>31</v>
      </c>
      <c r="C779">
        <v>1</v>
      </c>
      <c r="D779" t="s">
        <v>34</v>
      </c>
      <c r="E779" s="6">
        <v>46078.645833333336</v>
      </c>
      <c r="F779" s="6">
        <v>46078.65625</v>
      </c>
      <c r="G779" s="6">
        <v>46078.677083333336</v>
      </c>
      <c r="H779" s="6">
        <v>46078.729166666664</v>
      </c>
      <c r="I779" s="6">
        <v>46078.736111111109</v>
      </c>
      <c r="J779" s="6">
        <v>46078.739583333336</v>
      </c>
      <c r="K779">
        <v>2.25</v>
      </c>
      <c r="L779" s="6">
        <v>46078.746527777781</v>
      </c>
      <c r="M779" s="7">
        <f>F779-E779</f>
        <v>1.0416666664241347E-2</v>
      </c>
      <c r="N779">
        <f>HOUR(M779)</f>
        <v>0</v>
      </c>
      <c r="O779">
        <f>MINUTE(M779)</f>
        <v>15</v>
      </c>
      <c r="P779">
        <f>N779*60+O779</f>
        <v>15</v>
      </c>
      <c r="Q779" s="7">
        <f>G779-F779</f>
        <v>2.0833333335758653E-2</v>
      </c>
      <c r="R779">
        <f>HOUR(Q779)</f>
        <v>0</v>
      </c>
      <c r="S779">
        <f>MINUTE(Q779)</f>
        <v>30</v>
      </c>
      <c r="T779">
        <f>R779*60+S779</f>
        <v>30</v>
      </c>
      <c r="U779" s="7">
        <f>H779-G779</f>
        <v>5.2083333328482695E-2</v>
      </c>
      <c r="V779">
        <f>HOUR(U779)</f>
        <v>1</v>
      </c>
      <c r="W779">
        <f>MINUTE(U779)</f>
        <v>15</v>
      </c>
      <c r="X779">
        <f>V779*60+W779</f>
        <v>75</v>
      </c>
      <c r="Y779" s="7">
        <f>I779-H779</f>
        <v>6.9444444452528842E-3</v>
      </c>
      <c r="Z779">
        <f>HOUR(Y779)</f>
        <v>0</v>
      </c>
      <c r="AA779">
        <f>MINUTE(Y779)</f>
        <v>10</v>
      </c>
      <c r="AB779">
        <f>Z779*60+AA779</f>
        <v>10</v>
      </c>
    </row>
    <row r="780" spans="1:28" x14ac:dyDescent="0.25">
      <c r="A780">
        <v>778</v>
      </c>
      <c r="B780" t="s">
        <v>33</v>
      </c>
      <c r="C780">
        <v>1</v>
      </c>
      <c r="D780" t="s">
        <v>36</v>
      </c>
      <c r="E780" s="6">
        <v>46078.486111111109</v>
      </c>
      <c r="F780" s="6">
        <v>46078.527777777781</v>
      </c>
      <c r="G780" s="6">
        <v>46078.555555555555</v>
      </c>
      <c r="H780" s="6">
        <v>46078.59375</v>
      </c>
      <c r="I780" s="6">
        <v>46078.600694444445</v>
      </c>
      <c r="J780" s="6">
        <v>46078.607638888891</v>
      </c>
      <c r="K780">
        <v>2.92</v>
      </c>
      <c r="L780" s="6">
        <v>46078.60833333333</v>
      </c>
      <c r="M780" s="7">
        <f>F780-E780</f>
        <v>4.1666666671517305E-2</v>
      </c>
      <c r="N780">
        <f>HOUR(M780)</f>
        <v>1</v>
      </c>
      <c r="O780">
        <f>MINUTE(M780)</f>
        <v>0</v>
      </c>
      <c r="P780">
        <f>N780*60+O780</f>
        <v>60</v>
      </c>
      <c r="Q780" s="7">
        <f>G780-F780</f>
        <v>2.7777777773735579E-2</v>
      </c>
      <c r="R780">
        <f>HOUR(Q780)</f>
        <v>0</v>
      </c>
      <c r="S780">
        <f>MINUTE(Q780)</f>
        <v>40</v>
      </c>
      <c r="T780">
        <f>R780*60+S780</f>
        <v>40</v>
      </c>
      <c r="U780" s="7">
        <f>H780-G780</f>
        <v>3.8194444445252884E-2</v>
      </c>
      <c r="V780">
        <f>HOUR(U780)</f>
        <v>0</v>
      </c>
      <c r="W780">
        <f>MINUTE(U780)</f>
        <v>55</v>
      </c>
      <c r="X780">
        <f>V780*60+W780</f>
        <v>55</v>
      </c>
      <c r="Y780" s="7">
        <f>I780-H780</f>
        <v>6.9444444452528842E-3</v>
      </c>
      <c r="Z780">
        <f>HOUR(Y780)</f>
        <v>0</v>
      </c>
      <c r="AA780">
        <f>MINUTE(Y780)</f>
        <v>10</v>
      </c>
      <c r="AB780">
        <f>Z780*60+AA780</f>
        <v>10</v>
      </c>
    </row>
    <row r="781" spans="1:28" x14ac:dyDescent="0.25">
      <c r="A781">
        <v>779</v>
      </c>
      <c r="B781" t="s">
        <v>29</v>
      </c>
      <c r="C781">
        <v>1</v>
      </c>
      <c r="D781" t="s">
        <v>32</v>
      </c>
      <c r="E781" s="6">
        <v>46078.530555555553</v>
      </c>
      <c r="F781" s="6">
        <v>46078.541666666664</v>
      </c>
      <c r="G781" s="6">
        <v>46078.579861111109</v>
      </c>
      <c r="H781" s="6">
        <v>46078.652777777781</v>
      </c>
      <c r="I781" s="6">
        <v>46078.65625</v>
      </c>
      <c r="J781" s="6">
        <v>46078.666666666664</v>
      </c>
      <c r="K781">
        <v>3.27</v>
      </c>
      <c r="L781" s="6">
        <v>46078.673611111109</v>
      </c>
      <c r="M781" s="7">
        <f>F781-E781</f>
        <v>1.1111111110949423E-2</v>
      </c>
      <c r="N781">
        <f>HOUR(M781)</f>
        <v>0</v>
      </c>
      <c r="O781">
        <f>MINUTE(M781)</f>
        <v>16</v>
      </c>
      <c r="P781">
        <f>N781*60+O781</f>
        <v>16</v>
      </c>
      <c r="Q781" s="7">
        <f>G781-F781</f>
        <v>3.8194444445252884E-2</v>
      </c>
      <c r="R781">
        <f>HOUR(Q781)</f>
        <v>0</v>
      </c>
      <c r="S781">
        <f>MINUTE(Q781)</f>
        <v>55</v>
      </c>
      <c r="T781">
        <f>R781*60+S781</f>
        <v>55</v>
      </c>
      <c r="U781" s="7">
        <f>H781-G781</f>
        <v>7.2916666671517305E-2</v>
      </c>
      <c r="V781">
        <f>HOUR(U781)</f>
        <v>1</v>
      </c>
      <c r="W781">
        <f>MINUTE(U781)</f>
        <v>45</v>
      </c>
      <c r="X781">
        <f>V781*60+W781</f>
        <v>105</v>
      </c>
      <c r="Y781" s="7">
        <f>I781-H781</f>
        <v>3.4722222189884633E-3</v>
      </c>
      <c r="Z781">
        <f>HOUR(Y781)</f>
        <v>0</v>
      </c>
      <c r="AA781">
        <f>MINUTE(Y781)</f>
        <v>5</v>
      </c>
      <c r="AB781">
        <f>Z781*60+AA781</f>
        <v>5</v>
      </c>
    </row>
    <row r="782" spans="1:28" x14ac:dyDescent="0.25">
      <c r="A782">
        <v>780</v>
      </c>
      <c r="B782" t="s">
        <v>31</v>
      </c>
      <c r="C782">
        <v>1</v>
      </c>
      <c r="D782" t="s">
        <v>36</v>
      </c>
      <c r="E782" s="6">
        <v>46078.597222222219</v>
      </c>
      <c r="F782" s="6">
        <v>46078.607638888891</v>
      </c>
      <c r="G782" s="6">
        <v>46078.631944444445</v>
      </c>
      <c r="H782" s="6">
        <v>46078.722222222219</v>
      </c>
      <c r="I782" s="6">
        <v>46078.729166666664</v>
      </c>
      <c r="J782" s="6">
        <v>46078.770138888889</v>
      </c>
      <c r="K782">
        <v>4.1500000000000004</v>
      </c>
      <c r="L782" s="6">
        <v>46078.777083333334</v>
      </c>
      <c r="M782" s="7">
        <f>F782-E782</f>
        <v>1.0416666671517305E-2</v>
      </c>
      <c r="N782">
        <f>HOUR(M782)</f>
        <v>0</v>
      </c>
      <c r="O782">
        <f>MINUTE(M782)</f>
        <v>15</v>
      </c>
      <c r="P782">
        <f>N782*60+O782</f>
        <v>15</v>
      </c>
      <c r="Q782" s="7">
        <f>G782-F782</f>
        <v>2.4305555554747116E-2</v>
      </c>
      <c r="R782">
        <f>HOUR(Q782)</f>
        <v>0</v>
      </c>
      <c r="S782">
        <f>MINUTE(Q782)</f>
        <v>35</v>
      </c>
      <c r="T782">
        <f>R782*60+S782</f>
        <v>35</v>
      </c>
      <c r="U782" s="7">
        <f>H782-G782</f>
        <v>9.0277777773735579E-2</v>
      </c>
      <c r="V782">
        <f>HOUR(U782)</f>
        <v>2</v>
      </c>
      <c r="W782">
        <f>MINUTE(U782)</f>
        <v>10</v>
      </c>
      <c r="X782">
        <f>V782*60+W782</f>
        <v>130</v>
      </c>
      <c r="Y782" s="7">
        <f>I782-H782</f>
        <v>6.9444444452528842E-3</v>
      </c>
      <c r="Z782">
        <f>HOUR(Y782)</f>
        <v>0</v>
      </c>
      <c r="AA782">
        <f>MINUTE(Y782)</f>
        <v>10</v>
      </c>
      <c r="AB782">
        <f>Z782*60+AA782</f>
        <v>10</v>
      </c>
    </row>
    <row r="783" spans="1:28" x14ac:dyDescent="0.25">
      <c r="A783">
        <v>781</v>
      </c>
      <c r="B783" t="s">
        <v>31</v>
      </c>
      <c r="C783">
        <v>1</v>
      </c>
      <c r="D783" t="s">
        <v>32</v>
      </c>
      <c r="E783" s="6">
        <v>46079.315972222219</v>
      </c>
      <c r="F783" s="6">
        <v>46079.318055555559</v>
      </c>
      <c r="G783" s="6">
        <v>46079.319444444445</v>
      </c>
      <c r="H783" s="6">
        <v>46079.326388888891</v>
      </c>
      <c r="I783" s="6">
        <v>46079.333333333336</v>
      </c>
      <c r="J783" s="6">
        <v>46079.340277777781</v>
      </c>
      <c r="K783">
        <v>0.57999999999999996</v>
      </c>
      <c r="L783" s="6">
        <v>46079.34375</v>
      </c>
      <c r="M783" s="7">
        <f>F783-E783</f>
        <v>2.0833333401242271E-3</v>
      </c>
      <c r="N783">
        <f>HOUR(M783)</f>
        <v>0</v>
      </c>
      <c r="O783">
        <f>MINUTE(M783)</f>
        <v>3</v>
      </c>
      <c r="P783">
        <f>N783*60+O783</f>
        <v>3</v>
      </c>
      <c r="Q783" s="7">
        <f>G783-F783</f>
        <v>1.3888888861401938E-3</v>
      </c>
      <c r="R783">
        <f>HOUR(Q783)</f>
        <v>0</v>
      </c>
      <c r="S783">
        <f>MINUTE(Q783)</f>
        <v>2</v>
      </c>
      <c r="T783">
        <f>R783*60+S783</f>
        <v>2</v>
      </c>
      <c r="U783" s="7">
        <f>H783-G783</f>
        <v>6.9444444452528842E-3</v>
      </c>
      <c r="V783">
        <f>HOUR(U783)</f>
        <v>0</v>
      </c>
      <c r="W783">
        <f>MINUTE(U783)</f>
        <v>10</v>
      </c>
      <c r="X783">
        <f>V783*60+W783</f>
        <v>10</v>
      </c>
      <c r="Y783" s="7">
        <f>I783-H783</f>
        <v>6.9444444452528842E-3</v>
      </c>
      <c r="Z783">
        <f>HOUR(Y783)</f>
        <v>0</v>
      </c>
      <c r="AA783">
        <f>MINUTE(Y783)</f>
        <v>10</v>
      </c>
      <c r="AB783">
        <f>Z783*60+AA783</f>
        <v>10</v>
      </c>
    </row>
    <row r="784" spans="1:28" x14ac:dyDescent="0.25">
      <c r="A784">
        <v>782</v>
      </c>
      <c r="B784" t="s">
        <v>29</v>
      </c>
      <c r="C784">
        <v>1</v>
      </c>
      <c r="D784" t="s">
        <v>35</v>
      </c>
      <c r="E784" s="6">
        <v>46078.288194444445</v>
      </c>
      <c r="F784" s="6">
        <v>46078.322916666664</v>
      </c>
      <c r="G784" s="6">
        <v>46078.345138888886</v>
      </c>
      <c r="H784" s="6">
        <v>46078.361111111109</v>
      </c>
      <c r="I784" s="6">
        <v>46078.368055555555</v>
      </c>
      <c r="J784" s="6">
        <v>46078.380555555559</v>
      </c>
      <c r="K784">
        <v>2.2200000000000002</v>
      </c>
      <c r="L784" s="6">
        <v>46078.381944444445</v>
      </c>
      <c r="M784" s="7">
        <f>F784-E784</f>
        <v>3.4722222218988463E-2</v>
      </c>
      <c r="N784">
        <f>HOUR(M784)</f>
        <v>0</v>
      </c>
      <c r="O784">
        <f>MINUTE(M784)</f>
        <v>50</v>
      </c>
      <c r="P784">
        <f>N784*60+O784</f>
        <v>50</v>
      </c>
      <c r="Q784" s="7">
        <f>G784-F784</f>
        <v>2.2222222221898846E-2</v>
      </c>
      <c r="R784">
        <f>HOUR(Q784)</f>
        <v>0</v>
      </c>
      <c r="S784">
        <f>MINUTE(Q784)</f>
        <v>32</v>
      </c>
      <c r="T784">
        <f>R784*60+S784</f>
        <v>32</v>
      </c>
      <c r="U784" s="7">
        <f>H784-G784</f>
        <v>1.5972222223354038E-2</v>
      </c>
      <c r="V784">
        <f>HOUR(U784)</f>
        <v>0</v>
      </c>
      <c r="W784">
        <f>MINUTE(U784)</f>
        <v>23</v>
      </c>
      <c r="X784">
        <f>V784*60+W784</f>
        <v>23</v>
      </c>
      <c r="Y784" s="7">
        <f>I784-H784</f>
        <v>6.9444444452528842E-3</v>
      </c>
      <c r="Z784">
        <f>HOUR(Y784)</f>
        <v>0</v>
      </c>
      <c r="AA784">
        <f>MINUTE(Y784)</f>
        <v>10</v>
      </c>
      <c r="AB784">
        <f>Z784*60+AA784</f>
        <v>10</v>
      </c>
    </row>
    <row r="785" spans="1:28" x14ac:dyDescent="0.25">
      <c r="A785">
        <v>783</v>
      </c>
      <c r="B785" t="s">
        <v>33</v>
      </c>
      <c r="C785">
        <v>1</v>
      </c>
      <c r="D785" t="s">
        <v>36</v>
      </c>
      <c r="E785" s="6">
        <v>46078.402777777781</v>
      </c>
      <c r="F785" s="6">
        <v>46078.416666666664</v>
      </c>
      <c r="G785" s="6">
        <v>46078.440972222219</v>
      </c>
      <c r="H785" s="6">
        <v>46078.534722222219</v>
      </c>
      <c r="I785" s="6">
        <v>46078.541666666664</v>
      </c>
      <c r="J785" s="6">
        <v>46078.559027777781</v>
      </c>
      <c r="K785">
        <v>3.75</v>
      </c>
      <c r="L785" s="6">
        <v>46078.565972222219</v>
      </c>
      <c r="M785" s="7">
        <f>F785-E785</f>
        <v>1.3888888883229811E-2</v>
      </c>
      <c r="N785">
        <f>HOUR(M785)</f>
        <v>0</v>
      </c>
      <c r="O785">
        <f>MINUTE(M785)</f>
        <v>20</v>
      </c>
      <c r="P785">
        <f>N785*60+O785</f>
        <v>20</v>
      </c>
      <c r="Q785" s="7">
        <f>G785-F785</f>
        <v>2.4305555554747116E-2</v>
      </c>
      <c r="R785">
        <f>HOUR(Q785)</f>
        <v>0</v>
      </c>
      <c r="S785">
        <f>MINUTE(Q785)</f>
        <v>35</v>
      </c>
      <c r="T785">
        <f>R785*60+S785</f>
        <v>35</v>
      </c>
      <c r="U785" s="7">
        <f>H785-G785</f>
        <v>9.375E-2</v>
      </c>
      <c r="V785">
        <f>HOUR(U785)</f>
        <v>2</v>
      </c>
      <c r="W785">
        <f>MINUTE(U785)</f>
        <v>15</v>
      </c>
      <c r="X785">
        <f>V785*60+W785</f>
        <v>135</v>
      </c>
      <c r="Y785" s="7">
        <f>I785-H785</f>
        <v>6.9444444452528842E-3</v>
      </c>
      <c r="Z785">
        <f>HOUR(Y785)</f>
        <v>0</v>
      </c>
      <c r="AA785">
        <f>MINUTE(Y785)</f>
        <v>10</v>
      </c>
      <c r="AB785">
        <f>Z785*60+AA785</f>
        <v>10</v>
      </c>
    </row>
    <row r="786" spans="1:28" x14ac:dyDescent="0.25">
      <c r="A786">
        <v>784</v>
      </c>
      <c r="B786" t="s">
        <v>33</v>
      </c>
      <c r="C786">
        <v>1</v>
      </c>
      <c r="D786" t="s">
        <v>30</v>
      </c>
      <c r="E786" s="6">
        <v>46077.659722222219</v>
      </c>
      <c r="F786" s="6">
        <v>46077.666666666664</v>
      </c>
      <c r="G786" s="6">
        <v>46077.708333333336</v>
      </c>
      <c r="H786" s="6">
        <v>46077.763888888891</v>
      </c>
      <c r="I786" s="6">
        <v>46077.767361111109</v>
      </c>
      <c r="J786" s="6">
        <v>46077.770833333336</v>
      </c>
      <c r="K786">
        <v>2.67</v>
      </c>
      <c r="L786" s="6">
        <v>46077.777777777781</v>
      </c>
      <c r="M786" s="7">
        <f>F786-E786</f>
        <v>6.9444444452528842E-3</v>
      </c>
      <c r="N786">
        <f>HOUR(M786)</f>
        <v>0</v>
      </c>
      <c r="O786">
        <f>MINUTE(M786)</f>
        <v>10</v>
      </c>
      <c r="P786">
        <f>N786*60+O786</f>
        <v>10</v>
      </c>
      <c r="Q786" s="7">
        <f>G786-F786</f>
        <v>4.1666666671517305E-2</v>
      </c>
      <c r="R786">
        <f>HOUR(Q786)</f>
        <v>1</v>
      </c>
      <c r="S786">
        <f>MINUTE(Q786)</f>
        <v>0</v>
      </c>
      <c r="T786">
        <f>R786*60+S786</f>
        <v>60</v>
      </c>
      <c r="U786" s="7">
        <f>H786-G786</f>
        <v>5.5555555554747116E-2</v>
      </c>
      <c r="V786">
        <f>HOUR(U786)</f>
        <v>1</v>
      </c>
      <c r="W786">
        <f>MINUTE(U786)</f>
        <v>20</v>
      </c>
      <c r="X786">
        <f>V786*60+W786</f>
        <v>80</v>
      </c>
      <c r="Y786" s="7">
        <f>I786-H786</f>
        <v>3.4722222189884633E-3</v>
      </c>
      <c r="Z786">
        <f>HOUR(Y786)</f>
        <v>0</v>
      </c>
      <c r="AA786">
        <f>MINUTE(Y786)</f>
        <v>5</v>
      </c>
      <c r="AB786">
        <f>Z786*60+AA786</f>
        <v>5</v>
      </c>
    </row>
    <row r="787" spans="1:28" x14ac:dyDescent="0.25">
      <c r="A787">
        <v>785</v>
      </c>
      <c r="B787" t="s">
        <v>31</v>
      </c>
      <c r="C787">
        <v>1</v>
      </c>
      <c r="D787" t="s">
        <v>36</v>
      </c>
      <c r="E787" s="6">
        <v>46078.291666666664</v>
      </c>
      <c r="F787" s="6">
        <v>46078.315972222219</v>
      </c>
      <c r="G787" s="6">
        <v>46078.336805555555</v>
      </c>
      <c r="H787" s="6">
        <v>46078.440972222219</v>
      </c>
      <c r="I787" s="6">
        <v>46078.451388888891</v>
      </c>
      <c r="J787" s="6">
        <v>46078.454861111109</v>
      </c>
      <c r="K787">
        <v>3.92</v>
      </c>
      <c r="L787" s="6">
        <v>46078.455555555556</v>
      </c>
      <c r="M787" s="7">
        <f>F787-E787</f>
        <v>2.4305555554747116E-2</v>
      </c>
      <c r="N787">
        <f>HOUR(M787)</f>
        <v>0</v>
      </c>
      <c r="O787">
        <f>MINUTE(M787)</f>
        <v>35</v>
      </c>
      <c r="P787">
        <f>N787*60+O787</f>
        <v>35</v>
      </c>
      <c r="Q787" s="7">
        <f>G787-F787</f>
        <v>2.0833333335758653E-2</v>
      </c>
      <c r="R787">
        <f>HOUR(Q787)</f>
        <v>0</v>
      </c>
      <c r="S787">
        <f>MINUTE(Q787)</f>
        <v>30</v>
      </c>
      <c r="T787">
        <f>R787*60+S787</f>
        <v>30</v>
      </c>
      <c r="U787" s="7">
        <f>H787-G787</f>
        <v>0.10416666666424135</v>
      </c>
      <c r="V787">
        <f>HOUR(U787)</f>
        <v>2</v>
      </c>
      <c r="W787">
        <f>MINUTE(U787)</f>
        <v>30</v>
      </c>
      <c r="X787">
        <f>V787*60+W787</f>
        <v>150</v>
      </c>
      <c r="Y787" s="7">
        <f>I787-H787</f>
        <v>1.0416666671517305E-2</v>
      </c>
      <c r="Z787">
        <f>HOUR(Y787)</f>
        <v>0</v>
      </c>
      <c r="AA787">
        <f>MINUTE(Y787)</f>
        <v>15</v>
      </c>
      <c r="AB787">
        <f>Z787*60+AA787</f>
        <v>15</v>
      </c>
    </row>
    <row r="788" spans="1:28" x14ac:dyDescent="0.25">
      <c r="A788">
        <v>786</v>
      </c>
      <c r="B788" t="s">
        <v>29</v>
      </c>
      <c r="C788">
        <v>1</v>
      </c>
      <c r="D788" t="s">
        <v>30</v>
      </c>
      <c r="E788" s="6">
        <v>46077.756944444445</v>
      </c>
      <c r="F788" s="6">
        <v>46077.763888888891</v>
      </c>
      <c r="G788" s="6">
        <v>46077.770833333336</v>
      </c>
      <c r="H788" s="6">
        <v>46077.805555555555</v>
      </c>
      <c r="I788" s="6">
        <v>46077.809027777781</v>
      </c>
      <c r="J788" s="6">
        <v>46077.8125</v>
      </c>
      <c r="K788">
        <v>1.33</v>
      </c>
      <c r="L788" s="6">
        <v>46077.813194444447</v>
      </c>
      <c r="M788" s="7">
        <f>F788-E788</f>
        <v>6.9444444452528842E-3</v>
      </c>
      <c r="N788">
        <f>HOUR(M788)</f>
        <v>0</v>
      </c>
      <c r="O788">
        <f>MINUTE(M788)</f>
        <v>10</v>
      </c>
      <c r="P788">
        <f>N788*60+O788</f>
        <v>10</v>
      </c>
      <c r="Q788" s="7">
        <f>G788-F788</f>
        <v>6.9444444452528842E-3</v>
      </c>
      <c r="R788">
        <f>HOUR(Q788)</f>
        <v>0</v>
      </c>
      <c r="S788">
        <f>MINUTE(Q788)</f>
        <v>10</v>
      </c>
      <c r="T788">
        <f>R788*60+S788</f>
        <v>10</v>
      </c>
      <c r="U788" s="7">
        <f>H788-G788</f>
        <v>3.4722222218988463E-2</v>
      </c>
      <c r="V788">
        <f>HOUR(U788)</f>
        <v>0</v>
      </c>
      <c r="W788">
        <f>MINUTE(U788)</f>
        <v>50</v>
      </c>
      <c r="X788">
        <f>V788*60+W788</f>
        <v>50</v>
      </c>
      <c r="Y788" s="7">
        <f>I788-H788</f>
        <v>3.4722222262644209E-3</v>
      </c>
      <c r="Z788">
        <f>HOUR(Y788)</f>
        <v>0</v>
      </c>
      <c r="AA788">
        <f>MINUTE(Y788)</f>
        <v>5</v>
      </c>
      <c r="AB788">
        <f>Z788*60+AA788</f>
        <v>5</v>
      </c>
    </row>
    <row r="789" spans="1:28" x14ac:dyDescent="0.25">
      <c r="A789">
        <v>787</v>
      </c>
      <c r="B789" t="s">
        <v>29</v>
      </c>
      <c r="C789">
        <v>1</v>
      </c>
      <c r="D789" t="s">
        <v>30</v>
      </c>
      <c r="E789" s="6">
        <v>46077.915972222225</v>
      </c>
      <c r="F789" s="6">
        <v>46077.927083333336</v>
      </c>
      <c r="G789" s="6">
        <v>46077.9375</v>
      </c>
      <c r="H789" s="6">
        <v>46078.03125</v>
      </c>
      <c r="I789" s="6">
        <v>46078.038194444445</v>
      </c>
      <c r="J789" s="6">
        <v>46078.045138888891</v>
      </c>
      <c r="K789">
        <v>3.1</v>
      </c>
      <c r="L789" s="6">
        <v>46078.052083333336</v>
      </c>
      <c r="M789" s="7">
        <f>F789-E789</f>
        <v>1.1111111110949423E-2</v>
      </c>
      <c r="N789">
        <f>HOUR(M789)</f>
        <v>0</v>
      </c>
      <c r="O789">
        <f>MINUTE(M789)</f>
        <v>16</v>
      </c>
      <c r="P789">
        <f>N789*60+O789</f>
        <v>16</v>
      </c>
      <c r="Q789" s="7">
        <f>G789-F789</f>
        <v>1.0416666664241347E-2</v>
      </c>
      <c r="R789">
        <f>HOUR(Q789)</f>
        <v>0</v>
      </c>
      <c r="S789">
        <f>MINUTE(Q789)</f>
        <v>15</v>
      </c>
      <c r="T789">
        <f>R789*60+S789</f>
        <v>15</v>
      </c>
      <c r="U789" s="7">
        <f>H789-G789</f>
        <v>9.375E-2</v>
      </c>
      <c r="V789">
        <f>HOUR(U789)</f>
        <v>2</v>
      </c>
      <c r="W789">
        <f>MINUTE(U789)</f>
        <v>15</v>
      </c>
      <c r="X789">
        <f>V789*60+W789</f>
        <v>135</v>
      </c>
      <c r="Y789" s="7">
        <f>I789-H789</f>
        <v>6.9444444452528842E-3</v>
      </c>
      <c r="Z789">
        <f>HOUR(Y789)</f>
        <v>0</v>
      </c>
      <c r="AA789">
        <f>MINUTE(Y789)</f>
        <v>10</v>
      </c>
      <c r="AB789">
        <f>Z789*60+AA789</f>
        <v>10</v>
      </c>
    </row>
    <row r="790" spans="1:28" x14ac:dyDescent="0.25">
      <c r="A790">
        <v>788</v>
      </c>
      <c r="B790" t="s">
        <v>33</v>
      </c>
      <c r="C790">
        <v>1</v>
      </c>
      <c r="D790" t="s">
        <v>30</v>
      </c>
      <c r="E790" s="6">
        <v>46078.484722222223</v>
      </c>
      <c r="F790" s="6">
        <v>46078.486111111109</v>
      </c>
      <c r="G790" s="6">
        <v>46078.506944444445</v>
      </c>
      <c r="H790" s="6">
        <v>46078.576388888891</v>
      </c>
      <c r="I790" s="6">
        <v>46078.635416666664</v>
      </c>
      <c r="J790" s="6">
        <v>46078.638888888891</v>
      </c>
      <c r="K790">
        <v>3.7</v>
      </c>
      <c r="L790" s="6">
        <v>46078.645833333336</v>
      </c>
      <c r="M790" s="7">
        <f>F790-E790</f>
        <v>1.3888888861401938E-3</v>
      </c>
      <c r="N790">
        <f>HOUR(M790)</f>
        <v>0</v>
      </c>
      <c r="O790">
        <f>MINUTE(M790)</f>
        <v>2</v>
      </c>
      <c r="P790">
        <f>N790*60+O790</f>
        <v>2</v>
      </c>
      <c r="Q790" s="7">
        <f>G790-F790</f>
        <v>2.0833333335758653E-2</v>
      </c>
      <c r="R790">
        <f>HOUR(Q790)</f>
        <v>0</v>
      </c>
      <c r="S790">
        <f>MINUTE(Q790)</f>
        <v>30</v>
      </c>
      <c r="T790">
        <f>R790*60+S790</f>
        <v>30</v>
      </c>
      <c r="U790" s="7">
        <f>H790-G790</f>
        <v>6.9444444445252884E-2</v>
      </c>
      <c r="V790">
        <f>HOUR(U790)</f>
        <v>1</v>
      </c>
      <c r="W790">
        <f>MINUTE(U790)</f>
        <v>40</v>
      </c>
      <c r="X790">
        <f>V790*60+W790</f>
        <v>100</v>
      </c>
      <c r="Y790" s="7">
        <f>I790-H790</f>
        <v>5.9027777773735579E-2</v>
      </c>
      <c r="Z790">
        <f>HOUR(Y790)</f>
        <v>1</v>
      </c>
      <c r="AA790">
        <f>MINUTE(Y790)</f>
        <v>25</v>
      </c>
      <c r="AB790">
        <f>Z790*60+AA790</f>
        <v>85</v>
      </c>
    </row>
    <row r="791" spans="1:28" x14ac:dyDescent="0.25">
      <c r="A791">
        <v>789</v>
      </c>
      <c r="B791" t="s">
        <v>29</v>
      </c>
      <c r="C791">
        <v>1</v>
      </c>
      <c r="D791" t="s">
        <v>32</v>
      </c>
      <c r="E791" s="6">
        <v>46079.392361111109</v>
      </c>
      <c r="F791" s="6">
        <v>46079.395833333336</v>
      </c>
      <c r="G791" s="6">
        <v>46079.40625</v>
      </c>
      <c r="H791" s="6">
        <v>46079.434027777781</v>
      </c>
      <c r="I791" s="6">
        <v>46079.447916666664</v>
      </c>
      <c r="J791" s="6">
        <v>46079.451388888891</v>
      </c>
      <c r="K791">
        <v>1.42</v>
      </c>
      <c r="L791" s="6">
        <v>46079.458333333336</v>
      </c>
      <c r="M791" s="7">
        <f>F791-E791</f>
        <v>3.4722222262644209E-3</v>
      </c>
      <c r="N791">
        <f>HOUR(M791)</f>
        <v>0</v>
      </c>
      <c r="O791">
        <f>MINUTE(M791)</f>
        <v>5</v>
      </c>
      <c r="P791">
        <f>N791*60+O791</f>
        <v>5</v>
      </c>
      <c r="Q791" s="7">
        <f>G791-F791</f>
        <v>1.0416666664241347E-2</v>
      </c>
      <c r="R791">
        <f>HOUR(Q791)</f>
        <v>0</v>
      </c>
      <c r="S791">
        <f>MINUTE(Q791)</f>
        <v>15</v>
      </c>
      <c r="T791">
        <f>R791*60+S791</f>
        <v>15</v>
      </c>
      <c r="U791" s="7">
        <f>H791-G791</f>
        <v>2.7777777781011537E-2</v>
      </c>
      <c r="V791">
        <f>HOUR(U791)</f>
        <v>0</v>
      </c>
      <c r="W791">
        <f>MINUTE(U791)</f>
        <v>40</v>
      </c>
      <c r="X791">
        <f>V791*60+W791</f>
        <v>40</v>
      </c>
      <c r="Y791" s="7">
        <f>I791-H791</f>
        <v>1.3888888883229811E-2</v>
      </c>
      <c r="Z791">
        <f>HOUR(Y791)</f>
        <v>0</v>
      </c>
      <c r="AA791">
        <f>MINUTE(Y791)</f>
        <v>20</v>
      </c>
      <c r="AB791">
        <f>Z791*60+AA791</f>
        <v>20</v>
      </c>
    </row>
    <row r="792" spans="1:28" x14ac:dyDescent="0.25">
      <c r="A792">
        <v>790</v>
      </c>
      <c r="B792" t="s">
        <v>33</v>
      </c>
      <c r="C792">
        <v>1</v>
      </c>
      <c r="D792" t="s">
        <v>32</v>
      </c>
      <c r="E792" s="6">
        <v>46079.611111111109</v>
      </c>
      <c r="F792" s="6">
        <v>46079.638888888891</v>
      </c>
      <c r="G792" s="6">
        <v>46079.645833333336</v>
      </c>
      <c r="H792" s="6">
        <v>46079.736111111109</v>
      </c>
      <c r="I792" s="6">
        <v>46079.743055555555</v>
      </c>
      <c r="J792" s="6">
        <v>46079.776388888888</v>
      </c>
      <c r="K792">
        <v>3.97</v>
      </c>
      <c r="L792" s="6">
        <v>46079.783333333333</v>
      </c>
      <c r="M792" s="7">
        <f>F792-E792</f>
        <v>2.7777777781011537E-2</v>
      </c>
      <c r="N792">
        <f>HOUR(M792)</f>
        <v>0</v>
      </c>
      <c r="O792">
        <f>MINUTE(M792)</f>
        <v>40</v>
      </c>
      <c r="P792">
        <f>N792*60+O792</f>
        <v>40</v>
      </c>
      <c r="Q792" s="7">
        <f>G792-F792</f>
        <v>6.9444444452528842E-3</v>
      </c>
      <c r="R792">
        <f>HOUR(Q792)</f>
        <v>0</v>
      </c>
      <c r="S792">
        <f>MINUTE(Q792)</f>
        <v>10</v>
      </c>
      <c r="T792">
        <f>R792*60+S792</f>
        <v>10</v>
      </c>
      <c r="U792" s="7">
        <f>H792-G792</f>
        <v>9.0277777773735579E-2</v>
      </c>
      <c r="V792">
        <f>HOUR(U792)</f>
        <v>2</v>
      </c>
      <c r="W792">
        <f>MINUTE(U792)</f>
        <v>10</v>
      </c>
      <c r="X792">
        <f>V792*60+W792</f>
        <v>130</v>
      </c>
      <c r="Y792" s="7">
        <f>I792-H792</f>
        <v>6.9444444452528842E-3</v>
      </c>
      <c r="Z792">
        <f>HOUR(Y792)</f>
        <v>0</v>
      </c>
      <c r="AA792">
        <f>MINUTE(Y792)</f>
        <v>10</v>
      </c>
      <c r="AB792">
        <f>Z792*60+AA792</f>
        <v>10</v>
      </c>
    </row>
    <row r="793" spans="1:28" x14ac:dyDescent="0.25">
      <c r="A793">
        <v>791</v>
      </c>
      <c r="B793" t="s">
        <v>29</v>
      </c>
      <c r="C793">
        <v>1</v>
      </c>
      <c r="D793" t="s">
        <v>36</v>
      </c>
      <c r="E793" s="6">
        <v>46079.288194444445</v>
      </c>
      <c r="F793" s="6">
        <v>46079.319444444445</v>
      </c>
      <c r="G793" s="6">
        <v>46079.333333333336</v>
      </c>
      <c r="H793" s="6">
        <v>46079.393750000003</v>
      </c>
      <c r="I793" s="6">
        <v>46079.400694444441</v>
      </c>
      <c r="J793" s="6">
        <v>46079.402777777781</v>
      </c>
      <c r="K793">
        <v>2.75</v>
      </c>
      <c r="L793" s="6">
        <v>46079.40625</v>
      </c>
      <c r="M793" s="7">
        <f>F793-E793</f>
        <v>3.125E-2</v>
      </c>
      <c r="N793">
        <f>HOUR(M793)</f>
        <v>0</v>
      </c>
      <c r="O793">
        <f>MINUTE(M793)</f>
        <v>45</v>
      </c>
      <c r="P793">
        <f>N793*60+O793</f>
        <v>45</v>
      </c>
      <c r="Q793" s="7">
        <f>G793-F793</f>
        <v>1.3888888890505768E-2</v>
      </c>
      <c r="R793">
        <f>HOUR(Q793)</f>
        <v>0</v>
      </c>
      <c r="S793">
        <f>MINUTE(Q793)</f>
        <v>20</v>
      </c>
      <c r="T793">
        <f>R793*60+S793</f>
        <v>20</v>
      </c>
      <c r="U793" s="7">
        <f>H793-G793</f>
        <v>6.0416666667151731E-2</v>
      </c>
      <c r="V793">
        <f>HOUR(U793)</f>
        <v>1</v>
      </c>
      <c r="W793">
        <f>MINUTE(U793)</f>
        <v>27</v>
      </c>
      <c r="X793">
        <f>V793*60+W793</f>
        <v>87</v>
      </c>
      <c r="Y793" s="7">
        <f>I793-H793</f>
        <v>6.9444444379769266E-3</v>
      </c>
      <c r="Z793">
        <f>HOUR(Y793)</f>
        <v>0</v>
      </c>
      <c r="AA793">
        <f>MINUTE(Y793)</f>
        <v>10</v>
      </c>
      <c r="AB793">
        <f>Z793*60+AA793</f>
        <v>10</v>
      </c>
    </row>
    <row r="794" spans="1:28" x14ac:dyDescent="0.25">
      <c r="A794">
        <v>792</v>
      </c>
      <c r="B794" t="s">
        <v>29</v>
      </c>
      <c r="C794">
        <v>1</v>
      </c>
      <c r="D794" t="s">
        <v>36</v>
      </c>
      <c r="E794" s="6">
        <v>46079.432638888888</v>
      </c>
      <c r="F794" s="6">
        <v>46079.439583333333</v>
      </c>
      <c r="G794" s="6">
        <v>46079.495833333334</v>
      </c>
      <c r="H794" s="6">
        <v>46079.537499999999</v>
      </c>
      <c r="I794" s="6">
        <v>46079.544444444444</v>
      </c>
      <c r="J794" s="6">
        <v>46079.559027777781</v>
      </c>
      <c r="K794">
        <v>3.03</v>
      </c>
      <c r="L794" s="6">
        <v>46079.55972222222</v>
      </c>
      <c r="M794" s="7">
        <f>F794-E794</f>
        <v>6.9444444452528842E-3</v>
      </c>
      <c r="N794">
        <f>HOUR(M794)</f>
        <v>0</v>
      </c>
      <c r="O794">
        <f>MINUTE(M794)</f>
        <v>10</v>
      </c>
      <c r="P794">
        <f>N794*60+O794</f>
        <v>10</v>
      </c>
      <c r="Q794" s="7">
        <f>G794-F794</f>
        <v>5.6250000001455192E-2</v>
      </c>
      <c r="R794">
        <f>HOUR(Q794)</f>
        <v>1</v>
      </c>
      <c r="S794">
        <f>MINUTE(Q794)</f>
        <v>21</v>
      </c>
      <c r="T794">
        <f>R794*60+S794</f>
        <v>81</v>
      </c>
      <c r="U794" s="7">
        <f>H794-G794</f>
        <v>4.1666666664241347E-2</v>
      </c>
      <c r="V794">
        <f>HOUR(U794)</f>
        <v>1</v>
      </c>
      <c r="W794">
        <f>MINUTE(U794)</f>
        <v>0</v>
      </c>
      <c r="X794">
        <f>V794*60+W794</f>
        <v>60</v>
      </c>
      <c r="Y794" s="7">
        <f>I794-H794</f>
        <v>6.9444444452528842E-3</v>
      </c>
      <c r="Z794">
        <f>HOUR(Y794)</f>
        <v>0</v>
      </c>
      <c r="AA794">
        <f>MINUTE(Y794)</f>
        <v>10</v>
      </c>
      <c r="AB794">
        <f>Z794*60+AA794</f>
        <v>10</v>
      </c>
    </row>
    <row r="795" spans="1:28" x14ac:dyDescent="0.25">
      <c r="A795">
        <v>793</v>
      </c>
      <c r="B795" t="s">
        <v>33</v>
      </c>
      <c r="C795">
        <v>1</v>
      </c>
      <c r="D795" t="s">
        <v>30</v>
      </c>
      <c r="E795" s="6">
        <v>46079.291666666664</v>
      </c>
      <c r="F795" s="6">
        <v>46079.326388888891</v>
      </c>
      <c r="G795" s="6">
        <v>46079.336805555555</v>
      </c>
      <c r="H795" s="6">
        <v>46079.364583333336</v>
      </c>
      <c r="I795" s="6">
        <v>46079.371527777781</v>
      </c>
      <c r="J795" s="6">
        <v>46079.37222222222</v>
      </c>
      <c r="K795">
        <v>1.93</v>
      </c>
      <c r="L795" s="6">
        <v>46079.379166666666</v>
      </c>
      <c r="M795" s="7">
        <f>F795-E795</f>
        <v>3.4722222226264421E-2</v>
      </c>
      <c r="N795">
        <f>HOUR(M795)</f>
        <v>0</v>
      </c>
      <c r="O795">
        <f>MINUTE(M795)</f>
        <v>50</v>
      </c>
      <c r="P795">
        <f>N795*60+O795</f>
        <v>50</v>
      </c>
      <c r="Q795" s="7">
        <f>G795-F795</f>
        <v>1.0416666664241347E-2</v>
      </c>
      <c r="R795">
        <f>HOUR(Q795)</f>
        <v>0</v>
      </c>
      <c r="S795">
        <f>MINUTE(Q795)</f>
        <v>15</v>
      </c>
      <c r="T795">
        <f>R795*60+S795</f>
        <v>15</v>
      </c>
      <c r="U795" s="7">
        <f>H795-G795</f>
        <v>2.7777777781011537E-2</v>
      </c>
      <c r="V795">
        <f>HOUR(U795)</f>
        <v>0</v>
      </c>
      <c r="W795">
        <f>MINUTE(U795)</f>
        <v>40</v>
      </c>
      <c r="X795">
        <f>V795*60+W795</f>
        <v>40</v>
      </c>
      <c r="Y795" s="7">
        <f>I795-H795</f>
        <v>6.9444444452528842E-3</v>
      </c>
      <c r="Z795">
        <f>HOUR(Y795)</f>
        <v>0</v>
      </c>
      <c r="AA795">
        <f>MINUTE(Y795)</f>
        <v>10</v>
      </c>
      <c r="AB795">
        <f>Z795*60+AA795</f>
        <v>10</v>
      </c>
    </row>
    <row r="796" spans="1:28" x14ac:dyDescent="0.25">
      <c r="A796">
        <v>794</v>
      </c>
      <c r="B796" t="s">
        <v>31</v>
      </c>
      <c r="C796">
        <v>1</v>
      </c>
      <c r="D796" t="s">
        <v>30</v>
      </c>
      <c r="E796" s="6">
        <v>46079.416666666664</v>
      </c>
      <c r="F796" s="6">
        <v>46079.423611111109</v>
      </c>
      <c r="G796" s="6">
        <v>46079.451388888891</v>
      </c>
      <c r="H796" s="6">
        <v>46079.5625</v>
      </c>
      <c r="I796" s="6">
        <v>46079.569444444445</v>
      </c>
      <c r="J796" s="6">
        <v>46079.570138888892</v>
      </c>
      <c r="K796">
        <v>3.68</v>
      </c>
      <c r="L796" s="6">
        <v>46079.572916666664</v>
      </c>
      <c r="M796" s="7">
        <f>F796-E796</f>
        <v>6.9444444452528842E-3</v>
      </c>
      <c r="N796">
        <f>HOUR(M796)</f>
        <v>0</v>
      </c>
      <c r="O796">
        <f>MINUTE(M796)</f>
        <v>10</v>
      </c>
      <c r="P796">
        <f>N796*60+O796</f>
        <v>10</v>
      </c>
      <c r="Q796" s="7">
        <f>G796-F796</f>
        <v>2.7777777781011537E-2</v>
      </c>
      <c r="R796">
        <f>HOUR(Q796)</f>
        <v>0</v>
      </c>
      <c r="S796">
        <f>MINUTE(Q796)</f>
        <v>40</v>
      </c>
      <c r="T796">
        <f>R796*60+S796</f>
        <v>40</v>
      </c>
      <c r="U796" s="7">
        <f>H796-G796</f>
        <v>0.11111111110949423</v>
      </c>
      <c r="V796">
        <f>HOUR(U796)</f>
        <v>2</v>
      </c>
      <c r="W796">
        <f>MINUTE(U796)</f>
        <v>40</v>
      </c>
      <c r="X796">
        <f>V796*60+W796</f>
        <v>160</v>
      </c>
      <c r="Y796" s="7">
        <f>I796-H796</f>
        <v>6.9444444452528842E-3</v>
      </c>
      <c r="Z796">
        <f>HOUR(Y796)</f>
        <v>0</v>
      </c>
      <c r="AA796">
        <f>MINUTE(Y796)</f>
        <v>10</v>
      </c>
      <c r="AB796">
        <f>Z796*60+AA796</f>
        <v>10</v>
      </c>
    </row>
    <row r="797" spans="1:28" x14ac:dyDescent="0.25">
      <c r="A797">
        <v>795</v>
      </c>
      <c r="B797" t="s">
        <v>31</v>
      </c>
      <c r="C797">
        <v>1</v>
      </c>
      <c r="D797" t="s">
        <v>30</v>
      </c>
      <c r="E797" s="6">
        <v>46078.673611111109</v>
      </c>
      <c r="F797" s="6">
        <v>46078.677083333336</v>
      </c>
      <c r="G797" s="6">
        <v>46078.697916666664</v>
      </c>
      <c r="H797" s="6">
        <v>46078.736111111109</v>
      </c>
      <c r="I797" s="6">
        <v>46078.75</v>
      </c>
      <c r="J797" s="6">
        <v>46078.760416666664</v>
      </c>
      <c r="K797">
        <v>2.08</v>
      </c>
      <c r="L797" s="6">
        <v>46078.761111111111</v>
      </c>
      <c r="M797" s="7">
        <f>F797-E797</f>
        <v>3.4722222262644209E-3</v>
      </c>
      <c r="N797">
        <f>HOUR(M797)</f>
        <v>0</v>
      </c>
      <c r="O797">
        <f>MINUTE(M797)</f>
        <v>5</v>
      </c>
      <c r="P797">
        <f>N797*60+O797</f>
        <v>5</v>
      </c>
      <c r="Q797" s="7">
        <f>G797-F797</f>
        <v>2.0833333328482695E-2</v>
      </c>
      <c r="R797">
        <f>HOUR(Q797)</f>
        <v>0</v>
      </c>
      <c r="S797">
        <f>MINUTE(Q797)</f>
        <v>30</v>
      </c>
      <c r="T797">
        <f>R797*60+S797</f>
        <v>30</v>
      </c>
      <c r="U797" s="7">
        <f>H797-G797</f>
        <v>3.8194444445252884E-2</v>
      </c>
      <c r="V797">
        <f>HOUR(U797)</f>
        <v>0</v>
      </c>
      <c r="W797">
        <f>MINUTE(U797)</f>
        <v>55</v>
      </c>
      <c r="X797">
        <f>V797*60+W797</f>
        <v>55</v>
      </c>
      <c r="Y797" s="7">
        <f>I797-H797</f>
        <v>1.3888888890505768E-2</v>
      </c>
      <c r="Z797">
        <f>HOUR(Y797)</f>
        <v>0</v>
      </c>
      <c r="AA797">
        <f>MINUTE(Y797)</f>
        <v>20</v>
      </c>
      <c r="AB797">
        <f>Z797*60+AA797</f>
        <v>20</v>
      </c>
    </row>
    <row r="798" spans="1:28" x14ac:dyDescent="0.25">
      <c r="A798">
        <v>796</v>
      </c>
      <c r="B798" t="s">
        <v>31</v>
      </c>
      <c r="C798">
        <v>1</v>
      </c>
      <c r="D798" t="s">
        <v>32</v>
      </c>
      <c r="E798" s="6">
        <v>46078.708333333336</v>
      </c>
      <c r="F798" s="6">
        <v>46078.71875</v>
      </c>
      <c r="G798" s="6">
        <v>46078.729166666664</v>
      </c>
      <c r="H798" s="6">
        <v>46078.786111111112</v>
      </c>
      <c r="I798" s="6">
        <v>46078.868055555555</v>
      </c>
      <c r="J798" s="6">
        <v>46078.875</v>
      </c>
      <c r="K798">
        <v>4</v>
      </c>
      <c r="L798" s="6">
        <v>46078.881944444445</v>
      </c>
      <c r="M798" s="7">
        <f>F798-E798</f>
        <v>1.0416666664241347E-2</v>
      </c>
      <c r="N798">
        <f>HOUR(M798)</f>
        <v>0</v>
      </c>
      <c r="O798">
        <f>MINUTE(M798)</f>
        <v>15</v>
      </c>
      <c r="P798">
        <f>N798*60+O798</f>
        <v>15</v>
      </c>
      <c r="Q798" s="7">
        <f>G798-F798</f>
        <v>1.0416666664241347E-2</v>
      </c>
      <c r="R798">
        <f>HOUR(Q798)</f>
        <v>0</v>
      </c>
      <c r="S798">
        <f>MINUTE(Q798)</f>
        <v>15</v>
      </c>
      <c r="T798">
        <f>R798*60+S798</f>
        <v>15</v>
      </c>
      <c r="U798" s="7">
        <f>H798-G798</f>
        <v>5.6944444448163267E-2</v>
      </c>
      <c r="V798">
        <f>HOUR(U798)</f>
        <v>1</v>
      </c>
      <c r="W798">
        <f>MINUTE(U798)</f>
        <v>22</v>
      </c>
      <c r="X798">
        <f>V798*60+W798</f>
        <v>82</v>
      </c>
      <c r="Y798" s="7">
        <f>I798-H798</f>
        <v>8.1944444442342501E-2</v>
      </c>
      <c r="Z798">
        <f>HOUR(Y798)</f>
        <v>1</v>
      </c>
      <c r="AA798">
        <f>MINUTE(Y798)</f>
        <v>58</v>
      </c>
      <c r="AB798">
        <f>Z798*60+AA798</f>
        <v>118</v>
      </c>
    </row>
    <row r="799" spans="1:28" x14ac:dyDescent="0.25">
      <c r="A799">
        <v>797</v>
      </c>
      <c r="B799" t="s">
        <v>29</v>
      </c>
      <c r="C799">
        <v>1</v>
      </c>
      <c r="D799" t="s">
        <v>30</v>
      </c>
      <c r="E799" s="6">
        <v>46079.711805555555</v>
      </c>
      <c r="F799" s="6">
        <v>46079.715277777781</v>
      </c>
      <c r="G799" s="6">
        <v>46079.71875</v>
      </c>
      <c r="H799" s="6">
        <v>46079.729166666664</v>
      </c>
      <c r="I799" s="6">
        <v>46079.732638888891</v>
      </c>
      <c r="J799" s="6">
        <v>46079.736111111109</v>
      </c>
      <c r="K799">
        <v>0.57999999999999996</v>
      </c>
      <c r="L799" s="6">
        <v>46079.739583333336</v>
      </c>
      <c r="M799" s="7">
        <f>F799-E799</f>
        <v>3.4722222262644209E-3</v>
      </c>
      <c r="N799">
        <f>HOUR(M799)</f>
        <v>0</v>
      </c>
      <c r="O799">
        <f>MINUTE(M799)</f>
        <v>5</v>
      </c>
      <c r="P799">
        <f>N799*60+O799</f>
        <v>5</v>
      </c>
      <c r="Q799" s="7">
        <f>G799-F799</f>
        <v>3.4722222189884633E-3</v>
      </c>
      <c r="R799">
        <f>HOUR(Q799)</f>
        <v>0</v>
      </c>
      <c r="S799">
        <f>MINUTE(Q799)</f>
        <v>5</v>
      </c>
      <c r="T799">
        <f>R799*60+S799</f>
        <v>5</v>
      </c>
      <c r="U799" s="7">
        <f>H799-G799</f>
        <v>1.0416666664241347E-2</v>
      </c>
      <c r="V799">
        <f>HOUR(U799)</f>
        <v>0</v>
      </c>
      <c r="W799">
        <f>MINUTE(U799)</f>
        <v>15</v>
      </c>
      <c r="X799">
        <f>V799*60+W799</f>
        <v>15</v>
      </c>
      <c r="Y799" s="7">
        <f>I799-H799</f>
        <v>3.4722222262644209E-3</v>
      </c>
      <c r="Z799">
        <f>HOUR(Y799)</f>
        <v>0</v>
      </c>
      <c r="AA799">
        <f>MINUTE(Y799)</f>
        <v>5</v>
      </c>
      <c r="AB799">
        <f>Z799*60+AA799</f>
        <v>5</v>
      </c>
    </row>
    <row r="800" spans="1:28" x14ac:dyDescent="0.25">
      <c r="A800">
        <v>798</v>
      </c>
      <c r="B800" t="s">
        <v>29</v>
      </c>
      <c r="C800">
        <v>1</v>
      </c>
      <c r="D800" t="s">
        <v>34</v>
      </c>
      <c r="E800" s="6">
        <v>46079.444444444445</v>
      </c>
      <c r="F800" s="6">
        <v>46079.451388888891</v>
      </c>
      <c r="G800" s="6">
        <v>46079.475694444445</v>
      </c>
      <c r="H800" s="6">
        <v>46079.496527777781</v>
      </c>
      <c r="I800" s="6">
        <v>46079.503472222219</v>
      </c>
      <c r="J800" s="6">
        <v>46079.510416666664</v>
      </c>
      <c r="K800">
        <v>1.58</v>
      </c>
      <c r="L800" s="6">
        <v>46079.517361111109</v>
      </c>
      <c r="M800" s="7">
        <f>F800-E800</f>
        <v>6.9444444452528842E-3</v>
      </c>
      <c r="N800">
        <f>HOUR(M800)</f>
        <v>0</v>
      </c>
      <c r="O800">
        <f>MINUTE(M800)</f>
        <v>10</v>
      </c>
      <c r="P800">
        <f>N800*60+O800</f>
        <v>10</v>
      </c>
      <c r="Q800" s="7">
        <f>G800-F800</f>
        <v>2.4305555554747116E-2</v>
      </c>
      <c r="R800">
        <f>HOUR(Q800)</f>
        <v>0</v>
      </c>
      <c r="S800">
        <f>MINUTE(Q800)</f>
        <v>35</v>
      </c>
      <c r="T800">
        <f>R800*60+S800</f>
        <v>35</v>
      </c>
      <c r="U800" s="7">
        <f>H800-G800</f>
        <v>2.0833333335758653E-2</v>
      </c>
      <c r="V800">
        <f>HOUR(U800)</f>
        <v>0</v>
      </c>
      <c r="W800">
        <f>MINUTE(U800)</f>
        <v>30</v>
      </c>
      <c r="X800">
        <f>V800*60+W800</f>
        <v>30</v>
      </c>
      <c r="Y800" s="7">
        <f>I800-H800</f>
        <v>6.9444444379769266E-3</v>
      </c>
      <c r="Z800">
        <f>HOUR(Y800)</f>
        <v>0</v>
      </c>
      <c r="AA800">
        <f>MINUTE(Y800)</f>
        <v>10</v>
      </c>
      <c r="AB800">
        <f>Z800*60+AA800</f>
        <v>10</v>
      </c>
    </row>
    <row r="801" spans="1:28" x14ac:dyDescent="0.25">
      <c r="A801">
        <v>799</v>
      </c>
      <c r="B801" t="s">
        <v>33</v>
      </c>
      <c r="C801">
        <v>1</v>
      </c>
      <c r="D801" t="s">
        <v>37</v>
      </c>
      <c r="E801" s="6">
        <v>46079.291666666664</v>
      </c>
      <c r="F801" s="6">
        <v>46079.326388888891</v>
      </c>
      <c r="G801" s="6">
        <v>46079.354166666664</v>
      </c>
      <c r="H801" s="6">
        <v>46079.388888888891</v>
      </c>
      <c r="I801" s="6">
        <v>46079.395833333336</v>
      </c>
      <c r="J801" s="6">
        <v>46079.409722222219</v>
      </c>
      <c r="K801">
        <v>2.83</v>
      </c>
      <c r="L801" s="6">
        <v>46079.416666666664</v>
      </c>
      <c r="M801" s="7">
        <f>F801-E801</f>
        <v>3.4722222226264421E-2</v>
      </c>
      <c r="N801">
        <f>HOUR(M801)</f>
        <v>0</v>
      </c>
      <c r="O801">
        <f>MINUTE(M801)</f>
        <v>50</v>
      </c>
      <c r="P801">
        <f>N801*60+O801</f>
        <v>50</v>
      </c>
      <c r="Q801" s="7">
        <f>G801-F801</f>
        <v>2.7777777773735579E-2</v>
      </c>
      <c r="R801">
        <f>HOUR(Q801)</f>
        <v>0</v>
      </c>
      <c r="S801">
        <f>MINUTE(Q801)</f>
        <v>40</v>
      </c>
      <c r="T801">
        <f>R801*60+S801</f>
        <v>40</v>
      </c>
      <c r="U801" s="7">
        <f>H801-G801</f>
        <v>3.4722222226264421E-2</v>
      </c>
      <c r="V801">
        <f>HOUR(U801)</f>
        <v>0</v>
      </c>
      <c r="W801">
        <f>MINUTE(U801)</f>
        <v>50</v>
      </c>
      <c r="X801">
        <f>V801*60+W801</f>
        <v>50</v>
      </c>
      <c r="Y801" s="7">
        <f>I801-H801</f>
        <v>6.9444444452528842E-3</v>
      </c>
      <c r="Z801">
        <f>HOUR(Y801)</f>
        <v>0</v>
      </c>
      <c r="AA801">
        <f>MINUTE(Y801)</f>
        <v>10</v>
      </c>
      <c r="AB801">
        <f>Z801*60+AA801</f>
        <v>10</v>
      </c>
    </row>
    <row r="802" spans="1:28" x14ac:dyDescent="0.25">
      <c r="A802">
        <v>800</v>
      </c>
      <c r="B802" t="s">
        <v>31</v>
      </c>
      <c r="C802">
        <v>1</v>
      </c>
      <c r="D802" t="s">
        <v>32</v>
      </c>
      <c r="E802" s="6">
        <v>46079.597222222219</v>
      </c>
      <c r="F802" s="6">
        <v>46079.604166666664</v>
      </c>
      <c r="G802" s="6">
        <v>46079.625</v>
      </c>
      <c r="H802" s="6">
        <v>46079.704861111109</v>
      </c>
      <c r="I802" s="6">
        <v>46079.711805555555</v>
      </c>
      <c r="J802" s="6">
        <v>46079.722222222219</v>
      </c>
      <c r="K802">
        <v>3</v>
      </c>
      <c r="L802" s="6">
        <v>46079.729166666664</v>
      </c>
      <c r="M802" s="7">
        <f>F802-E802</f>
        <v>6.9444444452528842E-3</v>
      </c>
      <c r="N802">
        <f>HOUR(M802)</f>
        <v>0</v>
      </c>
      <c r="O802">
        <f>MINUTE(M802)</f>
        <v>10</v>
      </c>
      <c r="P802">
        <f>N802*60+O802</f>
        <v>10</v>
      </c>
      <c r="Q802" s="7">
        <f>G802-F802</f>
        <v>2.0833333335758653E-2</v>
      </c>
      <c r="R802">
        <f>HOUR(Q802)</f>
        <v>0</v>
      </c>
      <c r="S802">
        <f>MINUTE(Q802)</f>
        <v>30</v>
      </c>
      <c r="T802">
        <f>R802*60+S802</f>
        <v>30</v>
      </c>
      <c r="U802" s="7">
        <f>H802-G802</f>
        <v>7.9861111109494232E-2</v>
      </c>
      <c r="V802">
        <f>HOUR(U802)</f>
        <v>1</v>
      </c>
      <c r="W802">
        <f>MINUTE(U802)</f>
        <v>55</v>
      </c>
      <c r="X802">
        <f>V802*60+W802</f>
        <v>115</v>
      </c>
      <c r="Y802" s="7">
        <f>I802-H802</f>
        <v>6.9444444452528842E-3</v>
      </c>
      <c r="Z802">
        <f>HOUR(Y802)</f>
        <v>0</v>
      </c>
      <c r="AA802">
        <f>MINUTE(Y802)</f>
        <v>10</v>
      </c>
      <c r="AB802">
        <f>Z802*60+AA802</f>
        <v>10</v>
      </c>
    </row>
    <row r="803" spans="1:28" x14ac:dyDescent="0.25">
      <c r="A803">
        <v>801</v>
      </c>
      <c r="B803" t="s">
        <v>29</v>
      </c>
      <c r="C803">
        <v>1</v>
      </c>
      <c r="D803" t="s">
        <v>30</v>
      </c>
      <c r="E803" s="6">
        <v>46078.881944444445</v>
      </c>
      <c r="F803" s="6">
        <v>46078.888888888891</v>
      </c>
      <c r="G803" s="6">
        <v>46078.90625</v>
      </c>
      <c r="H803" s="6">
        <v>46078.975694444445</v>
      </c>
      <c r="I803" s="6">
        <v>46078.982638888891</v>
      </c>
      <c r="J803" s="6">
        <v>46078.98333333333</v>
      </c>
      <c r="K803">
        <v>2.4300000000000002</v>
      </c>
      <c r="L803" s="6">
        <v>46078.984027777777</v>
      </c>
      <c r="M803" s="7">
        <f>F803-E803</f>
        <v>6.9444444452528842E-3</v>
      </c>
      <c r="N803">
        <f>HOUR(M803)</f>
        <v>0</v>
      </c>
      <c r="O803">
        <f>MINUTE(M803)</f>
        <v>10</v>
      </c>
      <c r="P803">
        <f>N803*60+O803</f>
        <v>10</v>
      </c>
      <c r="Q803" s="7">
        <f>G803-F803</f>
        <v>1.7361111109494232E-2</v>
      </c>
      <c r="R803">
        <f>HOUR(Q803)</f>
        <v>0</v>
      </c>
      <c r="S803">
        <f>MINUTE(Q803)</f>
        <v>25</v>
      </c>
      <c r="T803">
        <f>R803*60+S803</f>
        <v>25</v>
      </c>
      <c r="U803" s="7">
        <f>H803-G803</f>
        <v>6.9444444445252884E-2</v>
      </c>
      <c r="V803">
        <f>HOUR(U803)</f>
        <v>1</v>
      </c>
      <c r="W803">
        <f>MINUTE(U803)</f>
        <v>40</v>
      </c>
      <c r="X803">
        <f>V803*60+W803</f>
        <v>100</v>
      </c>
      <c r="Y803" s="7">
        <f>I803-H803</f>
        <v>6.9444444452528842E-3</v>
      </c>
      <c r="Z803">
        <f>HOUR(Y803)</f>
        <v>0</v>
      </c>
      <c r="AA803">
        <f>MINUTE(Y803)</f>
        <v>10</v>
      </c>
      <c r="AB803">
        <f>Z803*60+AA803</f>
        <v>10</v>
      </c>
    </row>
    <row r="804" spans="1:28" x14ac:dyDescent="0.25">
      <c r="A804">
        <v>802</v>
      </c>
      <c r="B804" t="s">
        <v>29</v>
      </c>
      <c r="C804">
        <v>1</v>
      </c>
      <c r="D804" t="s">
        <v>32</v>
      </c>
      <c r="E804" s="6">
        <v>46079.510416666664</v>
      </c>
      <c r="F804" s="6">
        <v>46079.517361111109</v>
      </c>
      <c r="G804" s="6">
        <v>46079.524305555555</v>
      </c>
      <c r="H804" s="6">
        <v>46079.534722222219</v>
      </c>
      <c r="I804" s="6">
        <v>46079.538194444445</v>
      </c>
      <c r="J804" s="6">
        <v>46079.541666666664</v>
      </c>
      <c r="K804">
        <v>0.75</v>
      </c>
      <c r="L804" s="6">
        <v>46079.548611111109</v>
      </c>
      <c r="M804" s="7">
        <f>F804-E804</f>
        <v>6.9444444452528842E-3</v>
      </c>
      <c r="N804">
        <f>HOUR(M804)</f>
        <v>0</v>
      </c>
      <c r="O804">
        <f>MINUTE(M804)</f>
        <v>10</v>
      </c>
      <c r="P804">
        <f>N804*60+O804</f>
        <v>10</v>
      </c>
      <c r="Q804" s="7">
        <f>G804-F804</f>
        <v>6.9444444452528842E-3</v>
      </c>
      <c r="R804">
        <f>HOUR(Q804)</f>
        <v>0</v>
      </c>
      <c r="S804">
        <f>MINUTE(Q804)</f>
        <v>10</v>
      </c>
      <c r="T804">
        <f>R804*60+S804</f>
        <v>10</v>
      </c>
      <c r="U804" s="7">
        <f>H804-G804</f>
        <v>1.0416666664241347E-2</v>
      </c>
      <c r="V804">
        <f>HOUR(U804)</f>
        <v>0</v>
      </c>
      <c r="W804">
        <f>MINUTE(U804)</f>
        <v>15</v>
      </c>
      <c r="X804">
        <f>V804*60+W804</f>
        <v>15</v>
      </c>
      <c r="Y804" s="7">
        <f>I804-H804</f>
        <v>3.4722222262644209E-3</v>
      </c>
      <c r="Z804">
        <f>HOUR(Y804)</f>
        <v>0</v>
      </c>
      <c r="AA804">
        <f>MINUTE(Y804)</f>
        <v>5</v>
      </c>
      <c r="AB804">
        <f>Z804*60+AA804</f>
        <v>5</v>
      </c>
    </row>
    <row r="805" spans="1:28" x14ac:dyDescent="0.25">
      <c r="A805">
        <v>803</v>
      </c>
      <c r="B805" t="s">
        <v>31</v>
      </c>
      <c r="C805">
        <v>1</v>
      </c>
      <c r="D805" t="s">
        <v>30</v>
      </c>
      <c r="E805" s="6">
        <v>46079.559027777781</v>
      </c>
      <c r="F805" s="6">
        <v>46079.569444444445</v>
      </c>
      <c r="G805" s="6">
        <v>46079.590277777781</v>
      </c>
      <c r="H805" s="6">
        <v>46079.680555555555</v>
      </c>
      <c r="I805" s="6">
        <v>46079.6875</v>
      </c>
      <c r="J805" s="6">
        <v>46079.694444444445</v>
      </c>
      <c r="K805">
        <v>3.25</v>
      </c>
      <c r="L805" s="6">
        <v>46079.701388888891</v>
      </c>
      <c r="M805" s="7">
        <f>F805-E805</f>
        <v>1.0416666664241347E-2</v>
      </c>
      <c r="N805">
        <f>HOUR(M805)</f>
        <v>0</v>
      </c>
      <c r="O805">
        <f>MINUTE(M805)</f>
        <v>15</v>
      </c>
      <c r="P805">
        <f>N805*60+O805</f>
        <v>15</v>
      </c>
      <c r="Q805" s="7">
        <f>G805-F805</f>
        <v>2.0833333335758653E-2</v>
      </c>
      <c r="R805">
        <f>HOUR(Q805)</f>
        <v>0</v>
      </c>
      <c r="S805">
        <f>MINUTE(Q805)</f>
        <v>30</v>
      </c>
      <c r="T805">
        <f>R805*60+S805</f>
        <v>30</v>
      </c>
      <c r="U805" s="7">
        <f>H805-G805</f>
        <v>9.0277777773735579E-2</v>
      </c>
      <c r="V805">
        <f>HOUR(U805)</f>
        <v>2</v>
      </c>
      <c r="W805">
        <f>MINUTE(U805)</f>
        <v>10</v>
      </c>
      <c r="X805">
        <f>V805*60+W805</f>
        <v>130</v>
      </c>
      <c r="Y805" s="7">
        <f>I805-H805</f>
        <v>6.9444444452528842E-3</v>
      </c>
      <c r="Z805">
        <f>HOUR(Y805)</f>
        <v>0</v>
      </c>
      <c r="AA805">
        <f>MINUTE(Y805)</f>
        <v>10</v>
      </c>
      <c r="AB805">
        <f>Z805*60+AA805</f>
        <v>10</v>
      </c>
    </row>
    <row r="806" spans="1:28" x14ac:dyDescent="0.25">
      <c r="A806">
        <v>804</v>
      </c>
      <c r="B806" t="s">
        <v>33</v>
      </c>
      <c r="C806">
        <v>1</v>
      </c>
      <c r="D806" t="s">
        <v>35</v>
      </c>
      <c r="E806" s="6">
        <v>46080.576388888891</v>
      </c>
      <c r="F806" s="6">
        <v>46080.600694444445</v>
      </c>
      <c r="G806" s="6">
        <v>46080.684027777781</v>
      </c>
      <c r="H806" s="6">
        <v>46080.824999999997</v>
      </c>
      <c r="I806" s="6">
        <v>46080.895833333336</v>
      </c>
      <c r="J806" s="6">
        <v>46080.90625</v>
      </c>
      <c r="K806">
        <v>7.92</v>
      </c>
      <c r="L806" s="6">
        <v>46080.913194444445</v>
      </c>
      <c r="M806" s="7">
        <f>F806-E806</f>
        <v>2.4305555554747116E-2</v>
      </c>
      <c r="N806">
        <f>HOUR(M806)</f>
        <v>0</v>
      </c>
      <c r="O806">
        <f>MINUTE(M806)</f>
        <v>35</v>
      </c>
      <c r="P806">
        <f>N806*60+O806</f>
        <v>35</v>
      </c>
      <c r="Q806" s="7">
        <f>G806-F806</f>
        <v>8.3333333335758653E-2</v>
      </c>
      <c r="R806">
        <f>HOUR(Q806)</f>
        <v>2</v>
      </c>
      <c r="S806">
        <f>MINUTE(Q806)</f>
        <v>0</v>
      </c>
      <c r="T806">
        <f>R806*60+S806</f>
        <v>120</v>
      </c>
      <c r="U806" s="7">
        <f>H806-G806</f>
        <v>0.14097222221607808</v>
      </c>
      <c r="V806">
        <f>HOUR(U806)</f>
        <v>3</v>
      </c>
      <c r="W806">
        <f>MINUTE(U806)</f>
        <v>23</v>
      </c>
      <c r="X806">
        <f>V806*60+W806</f>
        <v>203</v>
      </c>
      <c r="Y806" s="7">
        <f>I806-H806</f>
        <v>7.0833333338669036E-2</v>
      </c>
      <c r="Z806">
        <f>HOUR(Y806)</f>
        <v>1</v>
      </c>
      <c r="AA806">
        <f>MINUTE(Y806)</f>
        <v>42</v>
      </c>
      <c r="AB806">
        <f>Z806*60+AA806</f>
        <v>102</v>
      </c>
    </row>
    <row r="807" spans="1:28" x14ac:dyDescent="0.25">
      <c r="A807">
        <v>805</v>
      </c>
      <c r="B807" t="s">
        <v>29</v>
      </c>
      <c r="C807">
        <v>1</v>
      </c>
      <c r="D807" t="s">
        <v>32</v>
      </c>
      <c r="E807" s="6">
        <v>46080.284722222219</v>
      </c>
      <c r="F807" s="6">
        <v>46080.34375</v>
      </c>
      <c r="G807" s="6">
        <v>46080.350694444445</v>
      </c>
      <c r="H807" s="6">
        <v>46080.357638888891</v>
      </c>
      <c r="I807" s="6">
        <v>46080.364583333336</v>
      </c>
      <c r="J807" s="6">
        <v>46080.372916666667</v>
      </c>
      <c r="K807">
        <v>2.12</v>
      </c>
      <c r="L807" s="6">
        <v>46080.379861111112</v>
      </c>
      <c r="M807" s="7">
        <f>F807-E807</f>
        <v>5.9027777781011537E-2</v>
      </c>
      <c r="N807">
        <f>HOUR(M807)</f>
        <v>1</v>
      </c>
      <c r="O807">
        <f>MINUTE(M807)</f>
        <v>25</v>
      </c>
      <c r="P807">
        <f>N807*60+O807</f>
        <v>85</v>
      </c>
      <c r="Q807" s="7">
        <f>G807-F807</f>
        <v>6.9444444452528842E-3</v>
      </c>
      <c r="R807">
        <f>HOUR(Q807)</f>
        <v>0</v>
      </c>
      <c r="S807">
        <f>MINUTE(Q807)</f>
        <v>10</v>
      </c>
      <c r="T807">
        <f>R807*60+S807</f>
        <v>10</v>
      </c>
      <c r="U807" s="7">
        <f>H807-G807</f>
        <v>6.9444444452528842E-3</v>
      </c>
      <c r="V807">
        <f>HOUR(U807)</f>
        <v>0</v>
      </c>
      <c r="W807">
        <f>MINUTE(U807)</f>
        <v>10</v>
      </c>
      <c r="X807">
        <f>V807*60+W807</f>
        <v>10</v>
      </c>
      <c r="Y807" s="7">
        <f>I807-H807</f>
        <v>6.9444444452528842E-3</v>
      </c>
      <c r="Z807">
        <f>HOUR(Y807)</f>
        <v>0</v>
      </c>
      <c r="AA807">
        <f>MINUTE(Y807)</f>
        <v>10</v>
      </c>
      <c r="AB807">
        <f>Z807*60+AA807</f>
        <v>10</v>
      </c>
    </row>
    <row r="808" spans="1:28" x14ac:dyDescent="0.25">
      <c r="A808">
        <v>806</v>
      </c>
      <c r="B808" t="s">
        <v>33</v>
      </c>
      <c r="C808">
        <v>1</v>
      </c>
      <c r="D808" t="s">
        <v>34</v>
      </c>
      <c r="E808" s="6">
        <v>46080.291666666664</v>
      </c>
      <c r="F808" s="6">
        <v>46080.326388888891</v>
      </c>
      <c r="G808" s="6">
        <v>46080.385416666664</v>
      </c>
      <c r="H808" s="6">
        <v>46080.586805555555</v>
      </c>
      <c r="I808" s="6">
        <v>46080.604166666664</v>
      </c>
      <c r="J808" s="6">
        <v>46080.614583333336</v>
      </c>
      <c r="K808">
        <v>7.75</v>
      </c>
      <c r="L808" s="6">
        <v>46080.625</v>
      </c>
      <c r="M808" s="7">
        <f>F808-E808</f>
        <v>3.4722222226264421E-2</v>
      </c>
      <c r="N808">
        <f>HOUR(M808)</f>
        <v>0</v>
      </c>
      <c r="O808">
        <f>MINUTE(M808)</f>
        <v>50</v>
      </c>
      <c r="P808">
        <f>N808*60+O808</f>
        <v>50</v>
      </c>
      <c r="Q808" s="7">
        <f>G808-F808</f>
        <v>5.9027777773735579E-2</v>
      </c>
      <c r="R808">
        <f>HOUR(Q808)</f>
        <v>1</v>
      </c>
      <c r="S808">
        <f>MINUTE(Q808)</f>
        <v>25</v>
      </c>
      <c r="T808">
        <f>R808*60+S808</f>
        <v>85</v>
      </c>
      <c r="U808" s="7">
        <f>H808-G808</f>
        <v>0.20138888889050577</v>
      </c>
      <c r="V808">
        <f>HOUR(U808)</f>
        <v>4</v>
      </c>
      <c r="W808">
        <f>MINUTE(U808)</f>
        <v>50</v>
      </c>
      <c r="X808">
        <f>V808*60+W808</f>
        <v>290</v>
      </c>
      <c r="Y808" s="7">
        <f>I808-H808</f>
        <v>1.7361111109494232E-2</v>
      </c>
      <c r="Z808">
        <f>HOUR(Y808)</f>
        <v>0</v>
      </c>
      <c r="AA808">
        <f>MINUTE(Y808)</f>
        <v>25</v>
      </c>
      <c r="AB808">
        <f>Z808*60+AA808</f>
        <v>25</v>
      </c>
    </row>
    <row r="809" spans="1:28" x14ac:dyDescent="0.25">
      <c r="A809">
        <v>807</v>
      </c>
      <c r="B809" t="s">
        <v>29</v>
      </c>
      <c r="C809">
        <v>1</v>
      </c>
      <c r="D809" t="s">
        <v>36</v>
      </c>
      <c r="E809" s="6">
        <v>46080.288194444445</v>
      </c>
      <c r="F809" s="6">
        <v>46080.333333333336</v>
      </c>
      <c r="G809" s="6">
        <v>46080.336805555555</v>
      </c>
      <c r="H809" s="6">
        <v>46080.354166666664</v>
      </c>
      <c r="I809" s="6">
        <v>46080.357638888891</v>
      </c>
      <c r="J809" s="6">
        <v>46080.361111111109</v>
      </c>
      <c r="K809">
        <v>1.75</v>
      </c>
      <c r="L809" s="6">
        <v>46080.368055555555</v>
      </c>
      <c r="M809" s="7">
        <f>F809-E809</f>
        <v>4.5138888890505768E-2</v>
      </c>
      <c r="N809">
        <f>HOUR(M809)</f>
        <v>1</v>
      </c>
      <c r="O809">
        <f>MINUTE(M809)</f>
        <v>5</v>
      </c>
      <c r="P809">
        <f>N809*60+O809</f>
        <v>65</v>
      </c>
      <c r="Q809" s="7">
        <f>G809-F809</f>
        <v>3.4722222189884633E-3</v>
      </c>
      <c r="R809">
        <f>HOUR(Q809)</f>
        <v>0</v>
      </c>
      <c r="S809">
        <f>MINUTE(Q809)</f>
        <v>5</v>
      </c>
      <c r="T809">
        <f>R809*60+S809</f>
        <v>5</v>
      </c>
      <c r="U809" s="7">
        <f>H809-G809</f>
        <v>1.7361111109494232E-2</v>
      </c>
      <c r="V809">
        <f>HOUR(U809)</f>
        <v>0</v>
      </c>
      <c r="W809">
        <f>MINUTE(U809)</f>
        <v>25</v>
      </c>
      <c r="X809">
        <f>V809*60+W809</f>
        <v>25</v>
      </c>
      <c r="Y809" s="7">
        <f>I809-H809</f>
        <v>3.4722222262644209E-3</v>
      </c>
      <c r="Z809">
        <f>HOUR(Y809)</f>
        <v>0</v>
      </c>
      <c r="AA809">
        <f>MINUTE(Y809)</f>
        <v>5</v>
      </c>
      <c r="AB809">
        <f>Z809*60+AA809</f>
        <v>5</v>
      </c>
    </row>
    <row r="810" spans="1:28" x14ac:dyDescent="0.25">
      <c r="A810">
        <v>808</v>
      </c>
      <c r="B810" t="s">
        <v>29</v>
      </c>
      <c r="C810">
        <v>1</v>
      </c>
      <c r="D810" t="s">
        <v>32</v>
      </c>
      <c r="E810" s="6">
        <v>46080.506944444445</v>
      </c>
      <c r="F810" s="6">
        <v>46080.524305555555</v>
      </c>
      <c r="G810" s="6">
        <v>46080.525000000001</v>
      </c>
      <c r="H810" s="6">
        <v>46080.53125</v>
      </c>
      <c r="I810" s="6">
        <v>46080.531944444447</v>
      </c>
      <c r="J810" s="6">
        <v>46080.548611111109</v>
      </c>
      <c r="K810">
        <v>1</v>
      </c>
      <c r="L810" s="6">
        <v>46080.555555555555</v>
      </c>
      <c r="M810" s="7">
        <f>F810-E810</f>
        <v>1.7361111109494232E-2</v>
      </c>
      <c r="N810">
        <f>HOUR(M810)</f>
        <v>0</v>
      </c>
      <c r="O810">
        <f>MINUTE(M810)</f>
        <v>25</v>
      </c>
      <c r="P810">
        <f>N810*60+O810</f>
        <v>25</v>
      </c>
      <c r="Q810" s="7">
        <f>G810-F810</f>
        <v>6.944444467080757E-4</v>
      </c>
      <c r="R810">
        <f>HOUR(Q810)</f>
        <v>0</v>
      </c>
      <c r="S810">
        <f>MINUTE(Q810)</f>
        <v>1</v>
      </c>
      <c r="T810">
        <f>R810*60+S810</f>
        <v>1</v>
      </c>
      <c r="U810" s="7">
        <f>H810-G810</f>
        <v>6.2499999985448085E-3</v>
      </c>
      <c r="V810">
        <f>HOUR(U810)</f>
        <v>0</v>
      </c>
      <c r="W810">
        <f>MINUTE(U810)</f>
        <v>9</v>
      </c>
      <c r="X810">
        <f>V810*60+W810</f>
        <v>9</v>
      </c>
      <c r="Y810" s="7">
        <f>I810-H810</f>
        <v>6.944444467080757E-4</v>
      </c>
      <c r="Z810">
        <f>HOUR(Y810)</f>
        <v>0</v>
      </c>
      <c r="AA810">
        <f>MINUTE(Y810)</f>
        <v>1</v>
      </c>
      <c r="AB810">
        <f>Z810*60+AA810</f>
        <v>1</v>
      </c>
    </row>
    <row r="811" spans="1:28" x14ac:dyDescent="0.25">
      <c r="A811">
        <v>809</v>
      </c>
      <c r="B811" t="s">
        <v>31</v>
      </c>
      <c r="C811">
        <v>1</v>
      </c>
      <c r="D811" t="s">
        <v>32</v>
      </c>
      <c r="E811" s="6">
        <v>46080.697916666664</v>
      </c>
      <c r="F811" s="6">
        <v>46080.704861111109</v>
      </c>
      <c r="G811" s="6">
        <v>46080.71875</v>
      </c>
      <c r="H811" s="6">
        <v>46080.831944444442</v>
      </c>
      <c r="I811" s="6">
        <v>46080.875</v>
      </c>
      <c r="J811" s="6">
        <v>46080.940972222219</v>
      </c>
      <c r="K811">
        <v>5.83</v>
      </c>
      <c r="L811" s="6">
        <v>46080.947916666664</v>
      </c>
      <c r="M811" s="7">
        <f>F811-E811</f>
        <v>6.9444444452528842E-3</v>
      </c>
      <c r="N811">
        <f>HOUR(M811)</f>
        <v>0</v>
      </c>
      <c r="O811">
        <f>MINUTE(M811)</f>
        <v>10</v>
      </c>
      <c r="P811">
        <f>N811*60+O811</f>
        <v>10</v>
      </c>
      <c r="Q811" s="7">
        <f>G811-F811</f>
        <v>1.3888888890505768E-2</v>
      </c>
      <c r="R811">
        <f>HOUR(Q811)</f>
        <v>0</v>
      </c>
      <c r="S811">
        <f>MINUTE(Q811)</f>
        <v>20</v>
      </c>
      <c r="T811">
        <f>R811*60+S811</f>
        <v>20</v>
      </c>
      <c r="U811" s="7">
        <f>H811-G811</f>
        <v>0.1131944444423425</v>
      </c>
      <c r="V811">
        <f>HOUR(U811)</f>
        <v>2</v>
      </c>
      <c r="W811">
        <f>MINUTE(U811)</f>
        <v>43</v>
      </c>
      <c r="X811">
        <f>V811*60+W811</f>
        <v>163</v>
      </c>
      <c r="Y811" s="7">
        <f>I811-H811</f>
        <v>4.3055555557657499E-2</v>
      </c>
      <c r="Z811">
        <f>HOUR(Y811)</f>
        <v>1</v>
      </c>
      <c r="AA811">
        <f>MINUTE(Y811)</f>
        <v>2</v>
      </c>
      <c r="AB811">
        <f>Z811*60+AA811</f>
        <v>62</v>
      </c>
    </row>
    <row r="812" spans="1:28" x14ac:dyDescent="0.25">
      <c r="A812">
        <v>810</v>
      </c>
      <c r="B812" t="s">
        <v>33</v>
      </c>
      <c r="C812">
        <v>1</v>
      </c>
      <c r="D812" t="s">
        <v>30</v>
      </c>
      <c r="E812" s="6">
        <v>46079.642361111109</v>
      </c>
      <c r="F812" s="6">
        <v>46079.649305555555</v>
      </c>
      <c r="G812" s="6">
        <v>46079.701388888891</v>
      </c>
      <c r="H812" s="6">
        <v>46079.70208333333</v>
      </c>
      <c r="I812" s="6">
        <v>46079.702777777777</v>
      </c>
      <c r="J812" s="6">
        <v>46079.703472222223</v>
      </c>
      <c r="K812">
        <v>1.47</v>
      </c>
      <c r="L812" s="6">
        <v>46079.710416666669</v>
      </c>
      <c r="M812" s="7">
        <f>F812-E812</f>
        <v>6.9444444452528842E-3</v>
      </c>
      <c r="N812">
        <f>HOUR(M812)</f>
        <v>0</v>
      </c>
      <c r="O812">
        <f>MINUTE(M812)</f>
        <v>10</v>
      </c>
      <c r="P812">
        <f>N812*60+O812</f>
        <v>10</v>
      </c>
      <c r="Q812" s="7">
        <f>G812-F812</f>
        <v>5.2083333335758653E-2</v>
      </c>
      <c r="R812">
        <f>HOUR(Q812)</f>
        <v>1</v>
      </c>
      <c r="S812">
        <f>MINUTE(Q812)</f>
        <v>15</v>
      </c>
      <c r="T812">
        <f>R812*60+S812</f>
        <v>75</v>
      </c>
      <c r="U812" s="7">
        <f>H812-G812</f>
        <v>6.9444443943211809E-4</v>
      </c>
      <c r="V812">
        <f>HOUR(U812)</f>
        <v>0</v>
      </c>
      <c r="W812">
        <f>MINUTE(U812)</f>
        <v>1</v>
      </c>
      <c r="X812">
        <f>V812*60+W812</f>
        <v>1</v>
      </c>
      <c r="Y812" s="7">
        <f>I812-H812</f>
        <v>6.944444467080757E-4</v>
      </c>
      <c r="Z812">
        <f>HOUR(Y812)</f>
        <v>0</v>
      </c>
      <c r="AA812">
        <f>MINUTE(Y812)</f>
        <v>1</v>
      </c>
      <c r="AB812">
        <f>Z812*60+AA812</f>
        <v>1</v>
      </c>
    </row>
    <row r="813" spans="1:28" x14ac:dyDescent="0.25">
      <c r="A813">
        <v>811</v>
      </c>
      <c r="B813" t="s">
        <v>31</v>
      </c>
      <c r="C813">
        <v>1</v>
      </c>
      <c r="D813" t="s">
        <v>37</v>
      </c>
      <c r="E813" s="6">
        <v>46079.621527777781</v>
      </c>
      <c r="F813" s="6">
        <v>46079.625</v>
      </c>
      <c r="G813" s="6">
        <v>46079.631944444445</v>
      </c>
      <c r="H813" s="6">
        <v>46079.638888888891</v>
      </c>
      <c r="I813" s="6">
        <v>46079.645833333336</v>
      </c>
      <c r="J813" s="6">
        <v>46079.646527777775</v>
      </c>
      <c r="K813">
        <v>0.6</v>
      </c>
      <c r="L813" s="6">
        <v>46079.647222222222</v>
      </c>
      <c r="M813" s="7">
        <f>F813-E813</f>
        <v>3.4722222189884633E-3</v>
      </c>
      <c r="N813">
        <f>HOUR(M813)</f>
        <v>0</v>
      </c>
      <c r="O813">
        <f>MINUTE(M813)</f>
        <v>5</v>
      </c>
      <c r="P813">
        <f>N813*60+O813</f>
        <v>5</v>
      </c>
      <c r="Q813" s="7">
        <f>G813-F813</f>
        <v>6.9444444452528842E-3</v>
      </c>
      <c r="R813">
        <f>HOUR(Q813)</f>
        <v>0</v>
      </c>
      <c r="S813">
        <f>MINUTE(Q813)</f>
        <v>10</v>
      </c>
      <c r="T813">
        <f>R813*60+S813</f>
        <v>10</v>
      </c>
      <c r="U813" s="7">
        <f>H813-G813</f>
        <v>6.9444444452528842E-3</v>
      </c>
      <c r="V813">
        <f>HOUR(U813)</f>
        <v>0</v>
      </c>
      <c r="W813">
        <f>MINUTE(U813)</f>
        <v>10</v>
      </c>
      <c r="X813">
        <f>V813*60+W813</f>
        <v>10</v>
      </c>
      <c r="Y813" s="7">
        <f>I813-H813</f>
        <v>6.9444444452528842E-3</v>
      </c>
      <c r="Z813">
        <f>HOUR(Y813)</f>
        <v>0</v>
      </c>
      <c r="AA813">
        <f>MINUTE(Y813)</f>
        <v>10</v>
      </c>
      <c r="AB813">
        <f>Z813*60+AA813</f>
        <v>10</v>
      </c>
    </row>
    <row r="814" spans="1:28" x14ac:dyDescent="0.25">
      <c r="A814">
        <v>812</v>
      </c>
      <c r="B814" t="s">
        <v>31</v>
      </c>
      <c r="C814">
        <v>1</v>
      </c>
      <c r="D814" t="s">
        <v>34</v>
      </c>
      <c r="E814" s="6">
        <v>46080.680555555555</v>
      </c>
      <c r="F814" s="6">
        <v>46080.694444444445</v>
      </c>
      <c r="G814" s="6">
        <v>46080.729166666664</v>
      </c>
      <c r="H814" s="6">
        <v>46080.871527777781</v>
      </c>
      <c r="I814" s="6">
        <v>46080.878472222219</v>
      </c>
      <c r="J814" s="6">
        <v>46080.885416666664</v>
      </c>
      <c r="K814">
        <v>4.92</v>
      </c>
      <c r="L814" s="6">
        <v>46080.892361111109</v>
      </c>
      <c r="M814" s="7">
        <f>F814-E814</f>
        <v>1.3888888890505768E-2</v>
      </c>
      <c r="N814">
        <f>HOUR(M814)</f>
        <v>0</v>
      </c>
      <c r="O814">
        <f>MINUTE(M814)</f>
        <v>20</v>
      </c>
      <c r="P814">
        <f>N814*60+O814</f>
        <v>20</v>
      </c>
      <c r="Q814" s="7">
        <f>G814-F814</f>
        <v>3.4722222218988463E-2</v>
      </c>
      <c r="R814">
        <f>HOUR(Q814)</f>
        <v>0</v>
      </c>
      <c r="S814">
        <f>MINUTE(Q814)</f>
        <v>50</v>
      </c>
      <c r="T814">
        <f>R814*60+S814</f>
        <v>50</v>
      </c>
      <c r="U814" s="7">
        <f>H814-G814</f>
        <v>0.14236111111677019</v>
      </c>
      <c r="V814">
        <f>HOUR(U814)</f>
        <v>3</v>
      </c>
      <c r="W814">
        <f>MINUTE(U814)</f>
        <v>25</v>
      </c>
      <c r="X814">
        <f>V814*60+W814</f>
        <v>205</v>
      </c>
      <c r="Y814" s="7">
        <f>I814-H814</f>
        <v>6.9444444379769266E-3</v>
      </c>
      <c r="Z814">
        <f>HOUR(Y814)</f>
        <v>0</v>
      </c>
      <c r="AA814">
        <f>MINUTE(Y814)</f>
        <v>10</v>
      </c>
      <c r="AB814">
        <f>Z814*60+AA814</f>
        <v>10</v>
      </c>
    </row>
    <row r="815" spans="1:28" x14ac:dyDescent="0.25">
      <c r="A815">
        <v>813</v>
      </c>
      <c r="B815" t="s">
        <v>31</v>
      </c>
      <c r="C815">
        <v>1</v>
      </c>
      <c r="D815" t="s">
        <v>34</v>
      </c>
      <c r="E815" s="6">
        <v>46080.288194444445</v>
      </c>
      <c r="F815" s="6">
        <v>46080.336805555555</v>
      </c>
      <c r="G815" s="6">
        <v>46080.361111111109</v>
      </c>
      <c r="H815" s="6">
        <v>46080.447916666664</v>
      </c>
      <c r="I815" s="6">
        <v>46080.458333333336</v>
      </c>
      <c r="J815" s="6">
        <v>46080.465277777781</v>
      </c>
      <c r="K815">
        <v>4.25</v>
      </c>
      <c r="L815" s="6">
        <v>46080.472222222219</v>
      </c>
      <c r="M815" s="7">
        <f>F815-E815</f>
        <v>4.8611111109494232E-2</v>
      </c>
      <c r="N815">
        <f>HOUR(M815)</f>
        <v>1</v>
      </c>
      <c r="O815">
        <f>MINUTE(M815)</f>
        <v>10</v>
      </c>
      <c r="P815">
        <f>N815*60+O815</f>
        <v>70</v>
      </c>
      <c r="Q815" s="7">
        <f>G815-F815</f>
        <v>2.4305555554747116E-2</v>
      </c>
      <c r="R815">
        <f>HOUR(Q815)</f>
        <v>0</v>
      </c>
      <c r="S815">
        <f>MINUTE(Q815)</f>
        <v>35</v>
      </c>
      <c r="T815">
        <f>R815*60+S815</f>
        <v>35</v>
      </c>
      <c r="U815" s="7">
        <f>H815-G815</f>
        <v>8.6805555554747116E-2</v>
      </c>
      <c r="V815">
        <f>HOUR(U815)</f>
        <v>2</v>
      </c>
      <c r="W815">
        <f>MINUTE(U815)</f>
        <v>5</v>
      </c>
      <c r="X815">
        <f>V815*60+W815</f>
        <v>125</v>
      </c>
      <c r="Y815" s="7">
        <f>I815-H815</f>
        <v>1.0416666671517305E-2</v>
      </c>
      <c r="Z815">
        <f>HOUR(Y815)</f>
        <v>0</v>
      </c>
      <c r="AA815">
        <f>MINUTE(Y815)</f>
        <v>15</v>
      </c>
      <c r="AB815">
        <f>Z815*60+AA815</f>
        <v>15</v>
      </c>
    </row>
    <row r="816" spans="1:28" x14ac:dyDescent="0.25">
      <c r="A816">
        <v>814</v>
      </c>
      <c r="B816" t="s">
        <v>29</v>
      </c>
      <c r="C816">
        <v>1</v>
      </c>
      <c r="D816" t="s">
        <v>30</v>
      </c>
      <c r="E816" s="6">
        <v>46079.774305555555</v>
      </c>
      <c r="F816" s="6">
        <v>46079.78125</v>
      </c>
      <c r="G816" s="6">
        <v>46079.784722222219</v>
      </c>
      <c r="H816" s="6">
        <v>46079.8125</v>
      </c>
      <c r="I816" s="6">
        <v>46079.815972222219</v>
      </c>
      <c r="J816" s="6">
        <v>46079.822916666664</v>
      </c>
      <c r="K816">
        <v>1.17</v>
      </c>
      <c r="L816" s="6">
        <v>46079.829861111109</v>
      </c>
      <c r="M816" s="7">
        <f>F816-E816</f>
        <v>6.9444444452528842E-3</v>
      </c>
      <c r="N816">
        <f>HOUR(M816)</f>
        <v>0</v>
      </c>
      <c r="O816">
        <f>MINUTE(M816)</f>
        <v>10</v>
      </c>
      <c r="P816">
        <f>N816*60+O816</f>
        <v>10</v>
      </c>
      <c r="Q816" s="7">
        <f>G816-F816</f>
        <v>3.4722222189884633E-3</v>
      </c>
      <c r="R816">
        <f>HOUR(Q816)</f>
        <v>0</v>
      </c>
      <c r="S816">
        <f>MINUTE(Q816)</f>
        <v>5</v>
      </c>
      <c r="T816">
        <f>R816*60+S816</f>
        <v>5</v>
      </c>
      <c r="U816" s="7">
        <f>H816-G816</f>
        <v>2.7777777781011537E-2</v>
      </c>
      <c r="V816">
        <f>HOUR(U816)</f>
        <v>0</v>
      </c>
      <c r="W816">
        <f>MINUTE(U816)</f>
        <v>40</v>
      </c>
      <c r="X816">
        <f>V816*60+W816</f>
        <v>40</v>
      </c>
      <c r="Y816" s="7">
        <f>I816-H816</f>
        <v>3.4722222189884633E-3</v>
      </c>
      <c r="Z816">
        <f>HOUR(Y816)</f>
        <v>0</v>
      </c>
      <c r="AA816">
        <f>MINUTE(Y816)</f>
        <v>5</v>
      </c>
      <c r="AB816">
        <f>Z816*60+AA816</f>
        <v>5</v>
      </c>
    </row>
    <row r="817" spans="1:28" x14ac:dyDescent="0.25">
      <c r="A817">
        <v>815</v>
      </c>
      <c r="B817" t="s">
        <v>31</v>
      </c>
      <c r="C817">
        <v>1</v>
      </c>
      <c r="D817" t="s">
        <v>34</v>
      </c>
      <c r="E817" s="6">
        <v>46079.888888888891</v>
      </c>
      <c r="F817" s="6">
        <v>46079.902777777781</v>
      </c>
      <c r="G817" s="6">
        <v>46079.916666666664</v>
      </c>
      <c r="H817" s="6">
        <v>46080.006944444445</v>
      </c>
      <c r="I817" s="6">
        <v>46080.013888888891</v>
      </c>
      <c r="J817" s="6">
        <v>46080.020833333336</v>
      </c>
      <c r="K817">
        <v>3.17</v>
      </c>
      <c r="L817" s="6">
        <v>46080.022222222222</v>
      </c>
      <c r="M817" s="7">
        <f>F817-E817</f>
        <v>1.3888888890505768E-2</v>
      </c>
      <c r="N817">
        <f>HOUR(M817)</f>
        <v>0</v>
      </c>
      <c r="O817">
        <f>MINUTE(M817)</f>
        <v>20</v>
      </c>
      <c r="P817">
        <f>N817*60+O817</f>
        <v>20</v>
      </c>
      <c r="Q817" s="7">
        <f>G817-F817</f>
        <v>1.3888888883229811E-2</v>
      </c>
      <c r="R817">
        <f>HOUR(Q817)</f>
        <v>0</v>
      </c>
      <c r="S817">
        <f>MINUTE(Q817)</f>
        <v>20</v>
      </c>
      <c r="T817">
        <f>R817*60+S817</f>
        <v>20</v>
      </c>
      <c r="U817" s="7">
        <f>H817-G817</f>
        <v>9.0277777781011537E-2</v>
      </c>
      <c r="V817">
        <f>HOUR(U817)</f>
        <v>2</v>
      </c>
      <c r="W817">
        <f>MINUTE(U817)</f>
        <v>10</v>
      </c>
      <c r="X817">
        <f>V817*60+W817</f>
        <v>130</v>
      </c>
      <c r="Y817" s="7">
        <f>I817-H817</f>
        <v>6.9444444452528842E-3</v>
      </c>
      <c r="Z817">
        <f>HOUR(Y817)</f>
        <v>0</v>
      </c>
      <c r="AA817">
        <f>MINUTE(Y817)</f>
        <v>10</v>
      </c>
      <c r="AB817">
        <f>Z817*60+AA817</f>
        <v>10</v>
      </c>
    </row>
    <row r="818" spans="1:28" x14ac:dyDescent="0.25">
      <c r="A818">
        <v>816</v>
      </c>
      <c r="B818" t="s">
        <v>29</v>
      </c>
      <c r="C818">
        <v>1</v>
      </c>
      <c r="D818" t="s">
        <v>36</v>
      </c>
      <c r="E818" s="6">
        <v>46079.940972222219</v>
      </c>
      <c r="F818" s="6">
        <v>46079.947916666664</v>
      </c>
      <c r="G818" s="6">
        <v>46079.958333333336</v>
      </c>
      <c r="H818" s="6">
        <v>46079.972222222219</v>
      </c>
      <c r="I818" s="6">
        <v>46079.979166666664</v>
      </c>
      <c r="J818" s="6">
        <v>46079.993055555555</v>
      </c>
      <c r="K818">
        <v>1.25</v>
      </c>
      <c r="L818" s="6">
        <v>46080</v>
      </c>
      <c r="M818" s="7">
        <f>F818-E818</f>
        <v>6.9444444452528842E-3</v>
      </c>
      <c r="N818">
        <f>HOUR(M818)</f>
        <v>0</v>
      </c>
      <c r="O818">
        <f>MINUTE(M818)</f>
        <v>10</v>
      </c>
      <c r="P818">
        <f>N818*60+O818</f>
        <v>10</v>
      </c>
      <c r="Q818" s="7">
        <f>G818-F818</f>
        <v>1.0416666671517305E-2</v>
      </c>
      <c r="R818">
        <f>HOUR(Q818)</f>
        <v>0</v>
      </c>
      <c r="S818">
        <f>MINUTE(Q818)</f>
        <v>15</v>
      </c>
      <c r="T818">
        <f>R818*60+S818</f>
        <v>15</v>
      </c>
      <c r="U818" s="7">
        <f>H818-G818</f>
        <v>1.3888888883229811E-2</v>
      </c>
      <c r="V818">
        <f>HOUR(U818)</f>
        <v>0</v>
      </c>
      <c r="W818">
        <f>MINUTE(U818)</f>
        <v>20</v>
      </c>
      <c r="X818">
        <f>V818*60+W818</f>
        <v>20</v>
      </c>
      <c r="Y818" s="7">
        <f>I818-H818</f>
        <v>6.9444444452528842E-3</v>
      </c>
      <c r="Z818">
        <f>HOUR(Y818)</f>
        <v>0</v>
      </c>
      <c r="AA818">
        <f>MINUTE(Y818)</f>
        <v>10</v>
      </c>
      <c r="AB818">
        <f>Z818*60+AA818</f>
        <v>10</v>
      </c>
    </row>
    <row r="819" spans="1:28" x14ac:dyDescent="0.25">
      <c r="A819">
        <v>817</v>
      </c>
      <c r="B819" t="s">
        <v>31</v>
      </c>
      <c r="C819">
        <v>1</v>
      </c>
      <c r="D819" t="s">
        <v>35</v>
      </c>
      <c r="E819" s="6">
        <v>46079.96875</v>
      </c>
      <c r="F819" s="6">
        <v>46079.972222222219</v>
      </c>
      <c r="G819" s="6">
        <v>46079.986111111109</v>
      </c>
      <c r="H819" s="6">
        <v>46080.020833333336</v>
      </c>
      <c r="I819" s="6">
        <v>46080.027777777781</v>
      </c>
      <c r="J819" s="6">
        <v>46080.03125</v>
      </c>
      <c r="K819">
        <v>1.5</v>
      </c>
      <c r="L819" s="6">
        <v>46080.031944444447</v>
      </c>
      <c r="M819" s="7">
        <f>F819-E819</f>
        <v>3.4722222189884633E-3</v>
      </c>
      <c r="N819">
        <f>HOUR(M819)</f>
        <v>0</v>
      </c>
      <c r="O819">
        <f>MINUTE(M819)</f>
        <v>5</v>
      </c>
      <c r="P819">
        <f>N819*60+O819</f>
        <v>5</v>
      </c>
      <c r="Q819" s="7">
        <f>G819-F819</f>
        <v>1.3888888890505768E-2</v>
      </c>
      <c r="R819">
        <f>HOUR(Q819)</f>
        <v>0</v>
      </c>
      <c r="S819">
        <f>MINUTE(Q819)</f>
        <v>20</v>
      </c>
      <c r="T819">
        <f>R819*60+S819</f>
        <v>20</v>
      </c>
      <c r="U819" s="7">
        <f>H819-G819</f>
        <v>3.4722222226264421E-2</v>
      </c>
      <c r="V819">
        <f>HOUR(U819)</f>
        <v>0</v>
      </c>
      <c r="W819">
        <f>MINUTE(U819)</f>
        <v>50</v>
      </c>
      <c r="X819">
        <f>V819*60+W819</f>
        <v>50</v>
      </c>
      <c r="Y819" s="7">
        <f>I819-H819</f>
        <v>6.9444444452528842E-3</v>
      </c>
      <c r="Z819">
        <f>HOUR(Y819)</f>
        <v>0</v>
      </c>
      <c r="AA819">
        <f>MINUTE(Y819)</f>
        <v>10</v>
      </c>
      <c r="AB819">
        <f>Z819*60+AA819</f>
        <v>10</v>
      </c>
    </row>
    <row r="820" spans="1:28" x14ac:dyDescent="0.25">
      <c r="A820">
        <v>818</v>
      </c>
      <c r="B820" t="s">
        <v>31</v>
      </c>
      <c r="C820">
        <v>1</v>
      </c>
      <c r="D820" t="s">
        <v>36</v>
      </c>
      <c r="E820" s="6">
        <v>46080.409722222219</v>
      </c>
      <c r="F820" s="6">
        <v>46080.420138888891</v>
      </c>
      <c r="G820" s="6">
        <v>46080.4375</v>
      </c>
      <c r="H820" s="6">
        <v>46080.535416666666</v>
      </c>
      <c r="I820" s="6">
        <v>46080.555555555555</v>
      </c>
      <c r="J820" s="6">
        <v>46080.729166666664</v>
      </c>
      <c r="K820">
        <v>7.67</v>
      </c>
      <c r="L820" s="6">
        <v>46080.736111111109</v>
      </c>
      <c r="M820" s="7">
        <f>F820-E820</f>
        <v>1.0416666671517305E-2</v>
      </c>
      <c r="N820">
        <f>HOUR(M820)</f>
        <v>0</v>
      </c>
      <c r="O820">
        <f>MINUTE(M820)</f>
        <v>15</v>
      </c>
      <c r="P820">
        <f>N820*60+O820</f>
        <v>15</v>
      </c>
      <c r="Q820" s="7">
        <f>G820-F820</f>
        <v>1.7361111109494232E-2</v>
      </c>
      <c r="R820">
        <f>HOUR(Q820)</f>
        <v>0</v>
      </c>
      <c r="S820">
        <f>MINUTE(Q820)</f>
        <v>25</v>
      </c>
      <c r="T820">
        <f>R820*60+S820</f>
        <v>25</v>
      </c>
      <c r="U820" s="7">
        <f>H820-G820</f>
        <v>9.7916666665696539E-2</v>
      </c>
      <c r="V820">
        <f>HOUR(U820)</f>
        <v>2</v>
      </c>
      <c r="W820">
        <f>MINUTE(U820)</f>
        <v>21</v>
      </c>
      <c r="X820">
        <f>V820*60+W820</f>
        <v>141</v>
      </c>
      <c r="Y820" s="7">
        <f>I820-H820</f>
        <v>2.0138888889050577E-2</v>
      </c>
      <c r="Z820">
        <f>HOUR(Y820)</f>
        <v>0</v>
      </c>
      <c r="AA820">
        <f>MINUTE(Y820)</f>
        <v>29</v>
      </c>
      <c r="AB820">
        <f>Z820*60+AA820</f>
        <v>29</v>
      </c>
    </row>
    <row r="821" spans="1:28" x14ac:dyDescent="0.25">
      <c r="A821">
        <v>819</v>
      </c>
      <c r="B821" t="s">
        <v>31</v>
      </c>
      <c r="C821">
        <v>1</v>
      </c>
      <c r="D821" t="s">
        <v>32</v>
      </c>
      <c r="E821" s="6">
        <v>46080.447916666664</v>
      </c>
      <c r="F821" s="6">
        <v>46080.472222222219</v>
      </c>
      <c r="G821" s="6">
        <v>46080.479166666664</v>
      </c>
      <c r="H821" s="6">
        <v>46080.513888888891</v>
      </c>
      <c r="I821" s="6">
        <v>46080.520833333336</v>
      </c>
      <c r="J821" s="6">
        <v>46080.555555555555</v>
      </c>
      <c r="K821">
        <v>2.58</v>
      </c>
      <c r="L821" s="6">
        <v>46080.556250000001</v>
      </c>
      <c r="M821" s="7">
        <f>F821-E821</f>
        <v>2.4305555554747116E-2</v>
      </c>
      <c r="N821">
        <f>HOUR(M821)</f>
        <v>0</v>
      </c>
      <c r="O821">
        <f>MINUTE(M821)</f>
        <v>35</v>
      </c>
      <c r="P821">
        <f>N821*60+O821</f>
        <v>35</v>
      </c>
      <c r="Q821" s="7">
        <f>G821-F821</f>
        <v>6.9444444452528842E-3</v>
      </c>
      <c r="R821">
        <f>HOUR(Q821)</f>
        <v>0</v>
      </c>
      <c r="S821">
        <f>MINUTE(Q821)</f>
        <v>10</v>
      </c>
      <c r="T821">
        <f>R821*60+S821</f>
        <v>10</v>
      </c>
      <c r="U821" s="7">
        <f>H821-G821</f>
        <v>3.4722222226264421E-2</v>
      </c>
      <c r="V821">
        <f>HOUR(U821)</f>
        <v>0</v>
      </c>
      <c r="W821">
        <f>MINUTE(U821)</f>
        <v>50</v>
      </c>
      <c r="X821">
        <f>V821*60+W821</f>
        <v>50</v>
      </c>
      <c r="Y821" s="7">
        <f>I821-H821</f>
        <v>6.9444444452528842E-3</v>
      </c>
      <c r="Z821">
        <f>HOUR(Y821)</f>
        <v>0</v>
      </c>
      <c r="AA821">
        <f>MINUTE(Y821)</f>
        <v>10</v>
      </c>
      <c r="AB821">
        <f>Z821*60+AA821</f>
        <v>10</v>
      </c>
    </row>
    <row r="822" spans="1:28" x14ac:dyDescent="0.25">
      <c r="A822">
        <v>820</v>
      </c>
      <c r="B822" t="s">
        <v>31</v>
      </c>
      <c r="C822">
        <v>1</v>
      </c>
      <c r="D822" t="s">
        <v>30</v>
      </c>
      <c r="E822" s="6">
        <v>46081.350694444445</v>
      </c>
      <c r="F822" s="6">
        <v>46081.357638888891</v>
      </c>
      <c r="G822" s="6">
        <v>46081.35833333333</v>
      </c>
      <c r="H822" s="6">
        <v>46081.416666666664</v>
      </c>
      <c r="I822" s="6">
        <v>46081.423611111109</v>
      </c>
      <c r="J822" s="6">
        <v>46081.427083333336</v>
      </c>
      <c r="K822">
        <v>1.83</v>
      </c>
      <c r="L822" s="6">
        <v>46081.434027777781</v>
      </c>
      <c r="M822" s="7">
        <f>F822-E822</f>
        <v>6.9444444452528842E-3</v>
      </c>
      <c r="N822">
        <f>HOUR(M822)</f>
        <v>0</v>
      </c>
      <c r="O822">
        <f>MINUTE(M822)</f>
        <v>10</v>
      </c>
      <c r="P822">
        <f>N822*60+O822</f>
        <v>10</v>
      </c>
      <c r="Q822" s="7">
        <f>G822-F822</f>
        <v>6.9444443943211809E-4</v>
      </c>
      <c r="R822">
        <f>HOUR(Q822)</f>
        <v>0</v>
      </c>
      <c r="S822">
        <f>MINUTE(Q822)</f>
        <v>1</v>
      </c>
      <c r="T822">
        <f>R822*60+S822</f>
        <v>1</v>
      </c>
      <c r="U822" s="7">
        <f>H822-G822</f>
        <v>5.8333333334303461E-2</v>
      </c>
      <c r="V822">
        <f>HOUR(U822)</f>
        <v>1</v>
      </c>
      <c r="W822">
        <f>MINUTE(U822)</f>
        <v>24</v>
      </c>
      <c r="X822">
        <f>V822*60+W822</f>
        <v>84</v>
      </c>
      <c r="Y822" s="7">
        <f>I822-H822</f>
        <v>6.9444444452528842E-3</v>
      </c>
      <c r="Z822">
        <f>HOUR(Y822)</f>
        <v>0</v>
      </c>
      <c r="AA822">
        <f>MINUTE(Y822)</f>
        <v>10</v>
      </c>
      <c r="AB822">
        <f>Z822*60+AA822</f>
        <v>10</v>
      </c>
    </row>
    <row r="823" spans="1:28" x14ac:dyDescent="0.25">
      <c r="A823">
        <v>821</v>
      </c>
      <c r="B823" t="s">
        <v>33</v>
      </c>
      <c r="C823">
        <v>1</v>
      </c>
      <c r="D823" t="s">
        <v>35</v>
      </c>
      <c r="E823" s="6">
        <v>46081.423611111109</v>
      </c>
      <c r="F823" s="6">
        <v>46081.430555555555</v>
      </c>
      <c r="G823" s="6">
        <v>46081.4375</v>
      </c>
      <c r="H823" s="6">
        <v>46081.480555555558</v>
      </c>
      <c r="I823" s="6">
        <v>46081.482638888891</v>
      </c>
      <c r="J823" s="6">
        <v>46081.486111111109</v>
      </c>
      <c r="K823">
        <v>1.5</v>
      </c>
      <c r="L823" s="6">
        <v>46081.493055555555</v>
      </c>
      <c r="M823" s="7">
        <f>F823-E823</f>
        <v>6.9444444452528842E-3</v>
      </c>
      <c r="N823">
        <f>HOUR(M823)</f>
        <v>0</v>
      </c>
      <c r="O823">
        <f>MINUTE(M823)</f>
        <v>10</v>
      </c>
      <c r="P823">
        <f>N823*60+O823</f>
        <v>10</v>
      </c>
      <c r="Q823" s="7">
        <f>G823-F823</f>
        <v>6.9444444452528842E-3</v>
      </c>
      <c r="R823">
        <f>HOUR(Q823)</f>
        <v>0</v>
      </c>
      <c r="S823">
        <f>MINUTE(Q823)</f>
        <v>10</v>
      </c>
      <c r="T823">
        <f>R823*60+S823</f>
        <v>10</v>
      </c>
      <c r="U823" s="7">
        <f>H823-G823</f>
        <v>4.3055555557657499E-2</v>
      </c>
      <c r="V823">
        <f>HOUR(U823)</f>
        <v>1</v>
      </c>
      <c r="W823">
        <f>MINUTE(U823)</f>
        <v>2</v>
      </c>
      <c r="X823">
        <f>V823*60+W823</f>
        <v>62</v>
      </c>
      <c r="Y823" s="7">
        <f>I823-H823</f>
        <v>2.0833333328482695E-3</v>
      </c>
      <c r="Z823">
        <f>HOUR(Y823)</f>
        <v>0</v>
      </c>
      <c r="AA823">
        <f>MINUTE(Y823)</f>
        <v>3</v>
      </c>
      <c r="AB823">
        <f>Z823*60+AA823</f>
        <v>3</v>
      </c>
    </row>
    <row r="824" spans="1:28" x14ac:dyDescent="0.25">
      <c r="A824">
        <v>822</v>
      </c>
      <c r="B824" t="s">
        <v>33</v>
      </c>
      <c r="C824">
        <v>1</v>
      </c>
      <c r="D824" t="s">
        <v>32</v>
      </c>
      <c r="E824" s="6">
        <v>46080.597222222219</v>
      </c>
      <c r="F824" s="6">
        <v>46080.614583333336</v>
      </c>
      <c r="G824" s="6">
        <v>46080.618055555555</v>
      </c>
      <c r="H824" s="6">
        <v>46080.631944444445</v>
      </c>
      <c r="I824" s="6">
        <v>46080.638888888891</v>
      </c>
      <c r="J824" s="6">
        <v>46080.642361111109</v>
      </c>
      <c r="K824">
        <v>1.08</v>
      </c>
      <c r="L824" s="6">
        <v>46080.649305555555</v>
      </c>
      <c r="M824" s="7">
        <f>F824-E824</f>
        <v>1.7361111116770189E-2</v>
      </c>
      <c r="N824">
        <f>HOUR(M824)</f>
        <v>0</v>
      </c>
      <c r="O824">
        <f>MINUTE(M824)</f>
        <v>25</v>
      </c>
      <c r="P824">
        <f>N824*60+O824</f>
        <v>25</v>
      </c>
      <c r="Q824" s="7">
        <f>G824-F824</f>
        <v>3.4722222189884633E-3</v>
      </c>
      <c r="R824">
        <f>HOUR(Q824)</f>
        <v>0</v>
      </c>
      <c r="S824">
        <f>MINUTE(Q824)</f>
        <v>5</v>
      </c>
      <c r="T824">
        <f>R824*60+S824</f>
        <v>5</v>
      </c>
      <c r="U824" s="7">
        <f>H824-G824</f>
        <v>1.3888888890505768E-2</v>
      </c>
      <c r="V824">
        <f>HOUR(U824)</f>
        <v>0</v>
      </c>
      <c r="W824">
        <f>MINUTE(U824)</f>
        <v>20</v>
      </c>
      <c r="X824">
        <f>V824*60+W824</f>
        <v>20</v>
      </c>
      <c r="Y824" s="7">
        <f>I824-H824</f>
        <v>6.9444444452528842E-3</v>
      </c>
      <c r="Z824">
        <f>HOUR(Y824)</f>
        <v>0</v>
      </c>
      <c r="AA824">
        <f>MINUTE(Y824)</f>
        <v>10</v>
      </c>
      <c r="AB824">
        <f>Z824*60+AA824</f>
        <v>10</v>
      </c>
    </row>
    <row r="825" spans="1:28" x14ac:dyDescent="0.25">
      <c r="A825">
        <v>823</v>
      </c>
      <c r="B825" t="s">
        <v>33</v>
      </c>
      <c r="C825">
        <v>1</v>
      </c>
      <c r="D825" t="s">
        <v>35</v>
      </c>
      <c r="E825" s="6">
        <v>46083.291666666664</v>
      </c>
      <c r="F825" s="6">
        <v>46083.326388888891</v>
      </c>
      <c r="G825" s="6">
        <v>46083.347222222219</v>
      </c>
      <c r="H825" s="6">
        <v>46083.416666666664</v>
      </c>
      <c r="I825" s="6">
        <v>46083.423611111109</v>
      </c>
      <c r="J825" s="6">
        <v>46083.442361111112</v>
      </c>
      <c r="K825">
        <v>3.62</v>
      </c>
      <c r="L825" s="6">
        <v>46083.443749999999</v>
      </c>
      <c r="M825" s="7">
        <f>F825-E825</f>
        <v>3.4722222226264421E-2</v>
      </c>
      <c r="N825">
        <f>HOUR(M825)</f>
        <v>0</v>
      </c>
      <c r="O825">
        <f>MINUTE(M825)</f>
        <v>50</v>
      </c>
      <c r="P825">
        <f>N825*60+O825</f>
        <v>50</v>
      </c>
      <c r="Q825" s="7">
        <f>G825-F825</f>
        <v>2.0833333328482695E-2</v>
      </c>
      <c r="R825">
        <f>HOUR(Q825)</f>
        <v>0</v>
      </c>
      <c r="S825">
        <f>MINUTE(Q825)</f>
        <v>30</v>
      </c>
      <c r="T825">
        <f>R825*60+S825</f>
        <v>30</v>
      </c>
      <c r="U825" s="7">
        <f>H825-G825</f>
        <v>6.9444444445252884E-2</v>
      </c>
      <c r="V825">
        <f>HOUR(U825)</f>
        <v>1</v>
      </c>
      <c r="W825">
        <f>MINUTE(U825)</f>
        <v>40</v>
      </c>
      <c r="X825">
        <f>V825*60+W825</f>
        <v>100</v>
      </c>
      <c r="Y825" s="7">
        <f>I825-H825</f>
        <v>6.9444444452528842E-3</v>
      </c>
      <c r="Z825">
        <f>HOUR(Y825)</f>
        <v>0</v>
      </c>
      <c r="AA825">
        <f>MINUTE(Y825)</f>
        <v>10</v>
      </c>
      <c r="AB825">
        <f>Z825*60+AA825</f>
        <v>10</v>
      </c>
    </row>
    <row r="826" spans="1:28" x14ac:dyDescent="0.25">
      <c r="A826">
        <v>824</v>
      </c>
      <c r="B826" t="s">
        <v>33</v>
      </c>
      <c r="C826">
        <v>1</v>
      </c>
      <c r="D826" t="s">
        <v>37</v>
      </c>
      <c r="E826" s="6">
        <v>46083.466666666667</v>
      </c>
      <c r="F826" s="6">
        <v>46083.510416666664</v>
      </c>
      <c r="G826" s="6">
        <v>46083.611111111109</v>
      </c>
      <c r="H826" s="6">
        <v>46083.652777777781</v>
      </c>
      <c r="I826" s="6">
        <v>46083.6875</v>
      </c>
      <c r="J826" s="6">
        <v>46083.729166666664</v>
      </c>
      <c r="K826">
        <v>6.3</v>
      </c>
      <c r="L826" s="6">
        <v>46083.736111111109</v>
      </c>
      <c r="M826" s="7">
        <f>F826-E826</f>
        <v>4.3749999997089617E-2</v>
      </c>
      <c r="N826">
        <f>HOUR(M826)</f>
        <v>1</v>
      </c>
      <c r="O826">
        <f>MINUTE(M826)</f>
        <v>3</v>
      </c>
      <c r="P826">
        <f>N826*60+O826</f>
        <v>63</v>
      </c>
      <c r="Q826" s="7">
        <f>G826-F826</f>
        <v>0.10069444444525288</v>
      </c>
      <c r="R826">
        <f>HOUR(Q826)</f>
        <v>2</v>
      </c>
      <c r="S826">
        <f>MINUTE(Q826)</f>
        <v>25</v>
      </c>
      <c r="T826">
        <f>R826*60+S826</f>
        <v>145</v>
      </c>
      <c r="U826" s="7">
        <f>H826-G826</f>
        <v>4.1666666671517305E-2</v>
      </c>
      <c r="V826">
        <f>HOUR(U826)</f>
        <v>1</v>
      </c>
      <c r="W826">
        <f>MINUTE(U826)</f>
        <v>0</v>
      </c>
      <c r="X826">
        <f>V826*60+W826</f>
        <v>60</v>
      </c>
      <c r="Y826" s="7">
        <f>I826-H826</f>
        <v>3.4722222218988463E-2</v>
      </c>
      <c r="Z826">
        <f>HOUR(Y826)</f>
        <v>0</v>
      </c>
      <c r="AA826">
        <f>MINUTE(Y826)</f>
        <v>50</v>
      </c>
      <c r="AB826">
        <f>Z826*60+AA826</f>
        <v>50</v>
      </c>
    </row>
    <row r="827" spans="1:28" x14ac:dyDescent="0.25">
      <c r="A827">
        <v>825</v>
      </c>
      <c r="B827" t="s">
        <v>29</v>
      </c>
      <c r="C827">
        <v>1</v>
      </c>
      <c r="D827" t="s">
        <v>30</v>
      </c>
      <c r="E827" s="6">
        <v>46080.944444444445</v>
      </c>
      <c r="F827" s="6">
        <v>46080.958333333336</v>
      </c>
      <c r="G827" s="6">
        <v>46080.972222222219</v>
      </c>
      <c r="H827" s="6">
        <v>46081</v>
      </c>
      <c r="I827" s="6">
        <v>46081.003472222219</v>
      </c>
      <c r="J827" s="6">
        <v>46081.006944444445</v>
      </c>
      <c r="K827">
        <v>1.5</v>
      </c>
      <c r="L827" s="6">
        <v>46081.013888888891</v>
      </c>
      <c r="M827" s="7">
        <f>F827-E827</f>
        <v>1.3888888890505768E-2</v>
      </c>
      <c r="N827">
        <f>HOUR(M827)</f>
        <v>0</v>
      </c>
      <c r="O827">
        <f>MINUTE(M827)</f>
        <v>20</v>
      </c>
      <c r="P827">
        <f>N827*60+O827</f>
        <v>20</v>
      </c>
      <c r="Q827" s="7">
        <f>G827-F827</f>
        <v>1.3888888883229811E-2</v>
      </c>
      <c r="R827">
        <f>HOUR(Q827)</f>
        <v>0</v>
      </c>
      <c r="S827">
        <f>MINUTE(Q827)</f>
        <v>20</v>
      </c>
      <c r="T827">
        <f>R827*60+S827</f>
        <v>20</v>
      </c>
      <c r="U827" s="7">
        <f>H827-G827</f>
        <v>2.7777777781011537E-2</v>
      </c>
      <c r="V827">
        <f>HOUR(U827)</f>
        <v>0</v>
      </c>
      <c r="W827">
        <f>MINUTE(U827)</f>
        <v>40</v>
      </c>
      <c r="X827">
        <f>V827*60+W827</f>
        <v>40</v>
      </c>
      <c r="Y827" s="7">
        <f>I827-H827</f>
        <v>3.4722222189884633E-3</v>
      </c>
      <c r="Z827">
        <f>HOUR(Y827)</f>
        <v>0</v>
      </c>
      <c r="AA827">
        <f>MINUTE(Y827)</f>
        <v>5</v>
      </c>
      <c r="AB827">
        <f>Z827*60+AA827</f>
        <v>5</v>
      </c>
    </row>
    <row r="828" spans="1:28" x14ac:dyDescent="0.25">
      <c r="A828">
        <v>826</v>
      </c>
      <c r="B828" t="s">
        <v>33</v>
      </c>
      <c r="C828">
        <v>1</v>
      </c>
      <c r="D828" t="s">
        <v>30</v>
      </c>
      <c r="E828" s="6">
        <v>46080.840277777781</v>
      </c>
      <c r="F828" s="6">
        <v>46080.847222222219</v>
      </c>
      <c r="G828" s="6">
        <v>46080.854166666664</v>
      </c>
      <c r="H828" s="6">
        <v>46080.979166666664</v>
      </c>
      <c r="I828" s="6">
        <v>46081.006944444445</v>
      </c>
      <c r="J828" s="6">
        <v>46081.013888888891</v>
      </c>
      <c r="K828">
        <v>4.17</v>
      </c>
      <c r="L828" s="6">
        <v>46081.020833333336</v>
      </c>
      <c r="M828" s="7">
        <f>F828-E828</f>
        <v>6.9444444379769266E-3</v>
      </c>
      <c r="N828">
        <f>HOUR(M828)</f>
        <v>0</v>
      </c>
      <c r="O828">
        <f>MINUTE(M828)</f>
        <v>10</v>
      </c>
      <c r="P828">
        <f>N828*60+O828</f>
        <v>10</v>
      </c>
      <c r="Q828" s="7">
        <f>G828-F828</f>
        <v>6.9444444452528842E-3</v>
      </c>
      <c r="R828">
        <f>HOUR(Q828)</f>
        <v>0</v>
      </c>
      <c r="S828">
        <f>MINUTE(Q828)</f>
        <v>10</v>
      </c>
      <c r="T828">
        <f>R828*60+S828</f>
        <v>10</v>
      </c>
      <c r="U828" s="7">
        <f>H828-G828</f>
        <v>0.125</v>
      </c>
      <c r="V828">
        <f>HOUR(U828)</f>
        <v>3</v>
      </c>
      <c r="W828">
        <f>MINUTE(U828)</f>
        <v>0</v>
      </c>
      <c r="X828">
        <f>V828*60+W828</f>
        <v>180</v>
      </c>
      <c r="Y828" s="7">
        <f>I828-H828</f>
        <v>2.7777777781011537E-2</v>
      </c>
      <c r="Z828">
        <f>HOUR(Y828)</f>
        <v>0</v>
      </c>
      <c r="AA828">
        <f>MINUTE(Y828)</f>
        <v>40</v>
      </c>
      <c r="AB828">
        <f>Z828*60+AA828</f>
        <v>40</v>
      </c>
    </row>
    <row r="829" spans="1:28" x14ac:dyDescent="0.25">
      <c r="A829">
        <v>827</v>
      </c>
      <c r="B829" t="s">
        <v>29</v>
      </c>
      <c r="C829">
        <v>1</v>
      </c>
      <c r="D829" t="s">
        <v>30</v>
      </c>
      <c r="E829" s="6">
        <v>46081.21875</v>
      </c>
      <c r="F829" s="6">
        <v>46081.239583333336</v>
      </c>
      <c r="G829" s="6">
        <v>46081.25</v>
      </c>
      <c r="H829" s="6">
        <v>46081.293055555558</v>
      </c>
      <c r="I829" s="6">
        <v>46081.333333333336</v>
      </c>
      <c r="J829" s="6">
        <v>46081.340277777781</v>
      </c>
      <c r="K829">
        <v>2.92</v>
      </c>
      <c r="L829" s="6">
        <v>46081.347222222219</v>
      </c>
      <c r="M829" s="7">
        <f>F829-E829</f>
        <v>2.0833333335758653E-2</v>
      </c>
      <c r="N829">
        <f>HOUR(M829)</f>
        <v>0</v>
      </c>
      <c r="O829">
        <f>MINUTE(M829)</f>
        <v>30</v>
      </c>
      <c r="P829">
        <f>N829*60+O829</f>
        <v>30</v>
      </c>
      <c r="Q829" s="7">
        <f>G829-F829</f>
        <v>1.0416666664241347E-2</v>
      </c>
      <c r="R829">
        <f>HOUR(Q829)</f>
        <v>0</v>
      </c>
      <c r="S829">
        <f>MINUTE(Q829)</f>
        <v>15</v>
      </c>
      <c r="T829">
        <f>R829*60+S829</f>
        <v>15</v>
      </c>
      <c r="U829" s="7">
        <f>H829-G829</f>
        <v>4.3055555557657499E-2</v>
      </c>
      <c r="V829">
        <f>HOUR(U829)</f>
        <v>1</v>
      </c>
      <c r="W829">
        <f>MINUTE(U829)</f>
        <v>2</v>
      </c>
      <c r="X829">
        <f>V829*60+W829</f>
        <v>62</v>
      </c>
      <c r="Y829" s="7">
        <f>I829-H829</f>
        <v>4.0277777778101154E-2</v>
      </c>
      <c r="Z829">
        <f>HOUR(Y829)</f>
        <v>0</v>
      </c>
      <c r="AA829">
        <f>MINUTE(Y829)</f>
        <v>58</v>
      </c>
      <c r="AB829">
        <f>Z829*60+AA829</f>
        <v>58</v>
      </c>
    </row>
    <row r="830" spans="1:28" x14ac:dyDescent="0.25">
      <c r="A830">
        <v>828</v>
      </c>
      <c r="B830" t="s">
        <v>31</v>
      </c>
      <c r="C830">
        <v>1</v>
      </c>
      <c r="D830" t="s">
        <v>30</v>
      </c>
      <c r="E830" s="6">
        <v>46081.392361111109</v>
      </c>
      <c r="F830" s="6">
        <v>46081.399305555555</v>
      </c>
      <c r="G830" s="6">
        <v>46081.402777777781</v>
      </c>
      <c r="H830" s="6">
        <v>46081.486111111109</v>
      </c>
      <c r="I830" s="6">
        <v>46081.493055555555</v>
      </c>
      <c r="J830" s="6">
        <v>46081.5</v>
      </c>
      <c r="K830">
        <v>2.58</v>
      </c>
      <c r="L830" s="6">
        <v>46081.506944444445</v>
      </c>
      <c r="M830" s="7">
        <f>F830-E830</f>
        <v>6.9444444452528842E-3</v>
      </c>
      <c r="N830">
        <f>HOUR(M830)</f>
        <v>0</v>
      </c>
      <c r="O830">
        <f>MINUTE(M830)</f>
        <v>10</v>
      </c>
      <c r="P830">
        <f>N830*60+O830</f>
        <v>10</v>
      </c>
      <c r="Q830" s="7">
        <f>G830-F830</f>
        <v>3.4722222262644209E-3</v>
      </c>
      <c r="R830">
        <f>HOUR(Q830)</f>
        <v>0</v>
      </c>
      <c r="S830">
        <f>MINUTE(Q830)</f>
        <v>5</v>
      </c>
      <c r="T830">
        <f>R830*60+S830</f>
        <v>5</v>
      </c>
      <c r="U830" s="7">
        <f>H830-G830</f>
        <v>8.3333333328482695E-2</v>
      </c>
      <c r="V830">
        <f>HOUR(U830)</f>
        <v>2</v>
      </c>
      <c r="W830">
        <f>MINUTE(U830)</f>
        <v>0</v>
      </c>
      <c r="X830">
        <f>V830*60+W830</f>
        <v>120</v>
      </c>
      <c r="Y830" s="7">
        <f>I830-H830</f>
        <v>6.9444444452528842E-3</v>
      </c>
      <c r="Z830">
        <f>HOUR(Y830)</f>
        <v>0</v>
      </c>
      <c r="AA830">
        <f>MINUTE(Y830)</f>
        <v>10</v>
      </c>
      <c r="AB830">
        <f>Z830*60+AA830</f>
        <v>10</v>
      </c>
    </row>
    <row r="831" spans="1:28" x14ac:dyDescent="0.25">
      <c r="A831">
        <v>829</v>
      </c>
      <c r="B831" t="s">
        <v>29</v>
      </c>
      <c r="C831">
        <v>1</v>
      </c>
      <c r="D831" t="s">
        <v>30</v>
      </c>
      <c r="E831" s="6">
        <v>46081.621527777781</v>
      </c>
      <c r="F831" s="6">
        <v>46081.631944444445</v>
      </c>
      <c r="G831" s="6">
        <v>46081.635416666664</v>
      </c>
      <c r="H831" s="6">
        <v>46081.652777777781</v>
      </c>
      <c r="I831" s="6">
        <v>46081.65625</v>
      </c>
      <c r="J831" s="6">
        <v>46081.656944444447</v>
      </c>
      <c r="K831">
        <v>0.85</v>
      </c>
      <c r="L831" s="6">
        <v>46081.659722222219</v>
      </c>
      <c r="M831" s="7">
        <f>F831-E831</f>
        <v>1.0416666664241347E-2</v>
      </c>
      <c r="N831">
        <f>HOUR(M831)</f>
        <v>0</v>
      </c>
      <c r="O831">
        <f>MINUTE(M831)</f>
        <v>15</v>
      </c>
      <c r="P831">
        <f>N831*60+O831</f>
        <v>15</v>
      </c>
      <c r="Q831" s="7">
        <f>G831-F831</f>
        <v>3.4722222189884633E-3</v>
      </c>
      <c r="R831">
        <f>HOUR(Q831)</f>
        <v>0</v>
      </c>
      <c r="S831">
        <f>MINUTE(Q831)</f>
        <v>5</v>
      </c>
      <c r="T831">
        <f>R831*60+S831</f>
        <v>5</v>
      </c>
      <c r="U831" s="7">
        <f>H831-G831</f>
        <v>1.7361111116770189E-2</v>
      </c>
      <c r="V831">
        <f>HOUR(U831)</f>
        <v>0</v>
      </c>
      <c r="W831">
        <f>MINUTE(U831)</f>
        <v>25</v>
      </c>
      <c r="X831">
        <f>V831*60+W831</f>
        <v>25</v>
      </c>
      <c r="Y831" s="7">
        <f>I831-H831</f>
        <v>3.4722222189884633E-3</v>
      </c>
      <c r="Z831">
        <f>HOUR(Y831)</f>
        <v>0</v>
      </c>
      <c r="AA831">
        <f>MINUTE(Y831)</f>
        <v>5</v>
      </c>
      <c r="AB831">
        <f>Z831*60+AA831</f>
        <v>5</v>
      </c>
    </row>
    <row r="832" spans="1:28" x14ac:dyDescent="0.25">
      <c r="A832">
        <v>830</v>
      </c>
      <c r="B832" t="s">
        <v>33</v>
      </c>
      <c r="C832">
        <v>1</v>
      </c>
      <c r="D832" t="s">
        <v>32</v>
      </c>
      <c r="E832" s="6">
        <v>46081.520833333336</v>
      </c>
      <c r="F832" s="6">
        <v>46081.527777777781</v>
      </c>
      <c r="G832" s="6">
        <v>46081.541666666664</v>
      </c>
      <c r="H832" s="6">
        <v>46081.586805555555</v>
      </c>
      <c r="I832" s="6">
        <v>46081.600694444445</v>
      </c>
      <c r="J832" s="6">
        <v>46081.604166666664</v>
      </c>
      <c r="K832">
        <v>2</v>
      </c>
      <c r="L832" s="6">
        <v>46081.611111111109</v>
      </c>
      <c r="M832" s="7">
        <f>F832-E832</f>
        <v>6.9444444452528842E-3</v>
      </c>
      <c r="N832">
        <f>HOUR(M832)</f>
        <v>0</v>
      </c>
      <c r="O832">
        <f>MINUTE(M832)</f>
        <v>10</v>
      </c>
      <c r="P832">
        <f>N832*60+O832</f>
        <v>10</v>
      </c>
      <c r="Q832" s="7">
        <f>G832-F832</f>
        <v>1.3888888883229811E-2</v>
      </c>
      <c r="R832">
        <f>HOUR(Q832)</f>
        <v>0</v>
      </c>
      <c r="S832">
        <f>MINUTE(Q832)</f>
        <v>20</v>
      </c>
      <c r="T832">
        <f>R832*60+S832</f>
        <v>20</v>
      </c>
      <c r="U832" s="7">
        <f>H832-G832</f>
        <v>4.5138888890505768E-2</v>
      </c>
      <c r="V832">
        <f>HOUR(U832)</f>
        <v>1</v>
      </c>
      <c r="W832">
        <f>MINUTE(U832)</f>
        <v>5</v>
      </c>
      <c r="X832">
        <f>V832*60+W832</f>
        <v>65</v>
      </c>
      <c r="Y832" s="7">
        <f>I832-H832</f>
        <v>1.3888888890505768E-2</v>
      </c>
      <c r="Z832">
        <f>HOUR(Y832)</f>
        <v>0</v>
      </c>
      <c r="AA832">
        <f>MINUTE(Y832)</f>
        <v>20</v>
      </c>
      <c r="AB832">
        <f>Z832*60+AA832</f>
        <v>20</v>
      </c>
    </row>
    <row r="833" spans="1:28" x14ac:dyDescent="0.25">
      <c r="A833">
        <v>831</v>
      </c>
      <c r="B833" t="s">
        <v>31</v>
      </c>
      <c r="C833">
        <v>1</v>
      </c>
      <c r="D833" t="s">
        <v>35</v>
      </c>
      <c r="E833" s="6">
        <v>46081.506944444445</v>
      </c>
      <c r="F833" s="6">
        <v>46081.513888888891</v>
      </c>
      <c r="G833" s="6">
        <v>46081.538194444445</v>
      </c>
      <c r="H833" s="6">
        <v>46081.822916666664</v>
      </c>
      <c r="I833" s="6">
        <v>46081.833333333336</v>
      </c>
      <c r="J833" s="6">
        <v>46081.861111111109</v>
      </c>
      <c r="K833">
        <v>8.5</v>
      </c>
      <c r="L833" s="6">
        <v>46081.862500000003</v>
      </c>
      <c r="M833" s="7">
        <f>F833-E833</f>
        <v>6.9444444452528842E-3</v>
      </c>
      <c r="N833">
        <f>HOUR(M833)</f>
        <v>0</v>
      </c>
      <c r="O833">
        <f>MINUTE(M833)</f>
        <v>10</v>
      </c>
      <c r="P833">
        <f>N833*60+O833</f>
        <v>10</v>
      </c>
      <c r="Q833" s="7">
        <f>G833-F833</f>
        <v>2.4305555554747116E-2</v>
      </c>
      <c r="R833">
        <f>HOUR(Q833)</f>
        <v>0</v>
      </c>
      <c r="S833">
        <f>MINUTE(Q833)</f>
        <v>35</v>
      </c>
      <c r="T833">
        <f>R833*60+S833</f>
        <v>35</v>
      </c>
      <c r="U833" s="7">
        <f>H833-G833</f>
        <v>0.28472222221898846</v>
      </c>
      <c r="V833">
        <f>HOUR(U833)</f>
        <v>6</v>
      </c>
      <c r="W833">
        <f>MINUTE(U833)</f>
        <v>50</v>
      </c>
      <c r="X833">
        <f>V833*60+W833</f>
        <v>410</v>
      </c>
      <c r="Y833" s="7">
        <f>I833-H833</f>
        <v>1.0416666671517305E-2</v>
      </c>
      <c r="Z833">
        <f>HOUR(Y833)</f>
        <v>0</v>
      </c>
      <c r="AA833">
        <f>MINUTE(Y833)</f>
        <v>15</v>
      </c>
      <c r="AB833">
        <f>Z833*60+AA833</f>
        <v>15</v>
      </c>
    </row>
    <row r="834" spans="1:28" x14ac:dyDescent="0.25">
      <c r="A834">
        <v>832</v>
      </c>
      <c r="B834" t="s">
        <v>29</v>
      </c>
      <c r="C834">
        <v>1</v>
      </c>
      <c r="D834" t="s">
        <v>36</v>
      </c>
      <c r="E834" s="6">
        <v>46081.638888888891</v>
      </c>
      <c r="F834" s="6">
        <v>46081.644444444442</v>
      </c>
      <c r="G834" s="6">
        <v>46081.666666666664</v>
      </c>
      <c r="H834" s="6">
        <v>46081.708333333336</v>
      </c>
      <c r="I834" s="6">
        <v>46081.715277777781</v>
      </c>
      <c r="J834" s="6">
        <v>46081.71875</v>
      </c>
      <c r="K834">
        <v>1.92</v>
      </c>
      <c r="L834" s="6">
        <v>46081.725694444445</v>
      </c>
      <c r="M834" s="7">
        <f>F834-E834</f>
        <v>5.5555555518367328E-3</v>
      </c>
      <c r="N834">
        <f>HOUR(M834)</f>
        <v>0</v>
      </c>
      <c r="O834">
        <f>MINUTE(M834)</f>
        <v>8</v>
      </c>
      <c r="P834">
        <f>N834*60+O834</f>
        <v>8</v>
      </c>
      <c r="Q834" s="7">
        <f>G834-F834</f>
        <v>2.2222222221898846E-2</v>
      </c>
      <c r="R834">
        <f>HOUR(Q834)</f>
        <v>0</v>
      </c>
      <c r="S834">
        <f>MINUTE(Q834)</f>
        <v>32</v>
      </c>
      <c r="T834">
        <f>R834*60+S834</f>
        <v>32</v>
      </c>
      <c r="U834" s="7">
        <f>H834-G834</f>
        <v>4.1666666671517305E-2</v>
      </c>
      <c r="V834">
        <f>HOUR(U834)</f>
        <v>1</v>
      </c>
      <c r="W834">
        <f>MINUTE(U834)</f>
        <v>0</v>
      </c>
      <c r="X834">
        <f>V834*60+W834</f>
        <v>60</v>
      </c>
      <c r="Y834" s="7">
        <f>I834-H834</f>
        <v>6.9444444452528842E-3</v>
      </c>
      <c r="Z834">
        <f>HOUR(Y834)</f>
        <v>0</v>
      </c>
      <c r="AA834">
        <f>MINUTE(Y834)</f>
        <v>10</v>
      </c>
      <c r="AB834">
        <f>Z834*60+AA834</f>
        <v>10</v>
      </c>
    </row>
    <row r="835" spans="1:28" x14ac:dyDescent="0.25">
      <c r="A835">
        <v>833</v>
      </c>
      <c r="B835" t="s">
        <v>33</v>
      </c>
      <c r="C835">
        <v>1</v>
      </c>
      <c r="D835" t="s">
        <v>34</v>
      </c>
      <c r="E835" s="6">
        <v>46081.722222222219</v>
      </c>
      <c r="F835" s="6">
        <v>46081.725694444445</v>
      </c>
      <c r="G835" s="6">
        <v>46081.729166666664</v>
      </c>
      <c r="H835" s="6">
        <v>46081.75</v>
      </c>
      <c r="I835" s="6">
        <v>46081.756944444445</v>
      </c>
      <c r="J835" s="6">
        <v>46081.763888888891</v>
      </c>
      <c r="K835">
        <v>1</v>
      </c>
      <c r="L835" s="6">
        <v>46081.770833333336</v>
      </c>
      <c r="M835" s="7">
        <f>F835-E835</f>
        <v>3.4722222262644209E-3</v>
      </c>
      <c r="N835">
        <f>HOUR(M835)</f>
        <v>0</v>
      </c>
      <c r="O835">
        <f>MINUTE(M835)</f>
        <v>5</v>
      </c>
      <c r="P835">
        <f>N835*60+O835</f>
        <v>5</v>
      </c>
      <c r="Q835" s="7">
        <f>G835-F835</f>
        <v>3.4722222189884633E-3</v>
      </c>
      <c r="R835">
        <f>HOUR(Q835)</f>
        <v>0</v>
      </c>
      <c r="S835">
        <f>MINUTE(Q835)</f>
        <v>5</v>
      </c>
      <c r="T835">
        <f>R835*60+S835</f>
        <v>5</v>
      </c>
      <c r="U835" s="7">
        <f>H835-G835</f>
        <v>2.0833333335758653E-2</v>
      </c>
      <c r="V835">
        <f>HOUR(U835)</f>
        <v>0</v>
      </c>
      <c r="W835">
        <f>MINUTE(U835)</f>
        <v>30</v>
      </c>
      <c r="X835">
        <f>V835*60+W835</f>
        <v>30</v>
      </c>
      <c r="Y835" s="7">
        <f>I835-H835</f>
        <v>6.9444444452528842E-3</v>
      </c>
      <c r="Z835">
        <f>HOUR(Y835)</f>
        <v>0</v>
      </c>
      <c r="AA835">
        <f>MINUTE(Y835)</f>
        <v>10</v>
      </c>
      <c r="AB835">
        <f>Z835*60+AA835</f>
        <v>10</v>
      </c>
    </row>
    <row r="836" spans="1:28" x14ac:dyDescent="0.25">
      <c r="A836">
        <v>834</v>
      </c>
      <c r="B836" t="s">
        <v>33</v>
      </c>
      <c r="C836">
        <v>1</v>
      </c>
      <c r="D836" t="s">
        <v>30</v>
      </c>
      <c r="E836" s="6">
        <v>46081.680555555555</v>
      </c>
      <c r="F836" s="6">
        <v>46081.684027777781</v>
      </c>
      <c r="G836" s="6">
        <v>46081.690972222219</v>
      </c>
      <c r="H836" s="6">
        <v>46081.736111111109</v>
      </c>
      <c r="I836" s="6">
        <v>46081.743055555555</v>
      </c>
      <c r="J836" s="6">
        <v>46081.75</v>
      </c>
      <c r="K836">
        <v>1.67</v>
      </c>
      <c r="L836" s="6">
        <v>46081.756944444445</v>
      </c>
      <c r="M836" s="7">
        <f>F836-E836</f>
        <v>3.4722222262644209E-3</v>
      </c>
      <c r="N836">
        <f>HOUR(M836)</f>
        <v>0</v>
      </c>
      <c r="O836">
        <f>MINUTE(M836)</f>
        <v>5</v>
      </c>
      <c r="P836">
        <f>N836*60+O836</f>
        <v>5</v>
      </c>
      <c r="Q836" s="7">
        <f>G836-F836</f>
        <v>6.9444444379769266E-3</v>
      </c>
      <c r="R836">
        <f>HOUR(Q836)</f>
        <v>0</v>
      </c>
      <c r="S836">
        <f>MINUTE(Q836)</f>
        <v>10</v>
      </c>
      <c r="T836">
        <f>R836*60+S836</f>
        <v>10</v>
      </c>
      <c r="U836" s="7">
        <f>H836-G836</f>
        <v>4.5138888890505768E-2</v>
      </c>
      <c r="V836">
        <f>HOUR(U836)</f>
        <v>1</v>
      </c>
      <c r="W836">
        <f>MINUTE(U836)</f>
        <v>5</v>
      </c>
      <c r="X836">
        <f>V836*60+W836</f>
        <v>65</v>
      </c>
      <c r="Y836" s="7">
        <f>I836-H836</f>
        <v>6.9444444452528842E-3</v>
      </c>
      <c r="Z836">
        <f>HOUR(Y836)</f>
        <v>0</v>
      </c>
      <c r="AA836">
        <f>MINUTE(Y836)</f>
        <v>10</v>
      </c>
      <c r="AB836">
        <f>Z836*60+AA836</f>
        <v>10</v>
      </c>
    </row>
    <row r="837" spans="1:28" x14ac:dyDescent="0.25">
      <c r="A837">
        <v>835</v>
      </c>
      <c r="B837" t="s">
        <v>33</v>
      </c>
      <c r="C837">
        <v>1</v>
      </c>
      <c r="D837" t="s">
        <v>30</v>
      </c>
      <c r="E837" s="6">
        <v>46082.340277777781</v>
      </c>
      <c r="F837" s="6">
        <v>46082.354166666664</v>
      </c>
      <c r="G837" s="6">
        <v>46082.371527777781</v>
      </c>
      <c r="H837" s="6">
        <v>46082.381944444445</v>
      </c>
      <c r="I837" s="6">
        <v>46082.385416666664</v>
      </c>
      <c r="J837" s="6">
        <v>46082.386111111111</v>
      </c>
      <c r="K837">
        <v>1.1000000000000001</v>
      </c>
      <c r="L837" s="6">
        <v>46082.386805555558</v>
      </c>
      <c r="M837" s="7">
        <f>F837-E837</f>
        <v>1.3888888883229811E-2</v>
      </c>
      <c r="N837">
        <f>HOUR(M837)</f>
        <v>0</v>
      </c>
      <c r="O837">
        <f>MINUTE(M837)</f>
        <v>20</v>
      </c>
      <c r="P837">
        <f>N837*60+O837</f>
        <v>20</v>
      </c>
      <c r="Q837" s="7">
        <f>G837-F837</f>
        <v>1.7361111116770189E-2</v>
      </c>
      <c r="R837">
        <f>HOUR(Q837)</f>
        <v>0</v>
      </c>
      <c r="S837">
        <f>MINUTE(Q837)</f>
        <v>25</v>
      </c>
      <c r="T837">
        <f>R837*60+S837</f>
        <v>25</v>
      </c>
      <c r="U837" s="7">
        <f>H837-G837</f>
        <v>1.0416666664241347E-2</v>
      </c>
      <c r="V837">
        <f>HOUR(U837)</f>
        <v>0</v>
      </c>
      <c r="W837">
        <f>MINUTE(U837)</f>
        <v>15</v>
      </c>
      <c r="X837">
        <f>V837*60+W837</f>
        <v>15</v>
      </c>
      <c r="Y837" s="7">
        <f>I837-H837</f>
        <v>3.4722222189884633E-3</v>
      </c>
      <c r="Z837">
        <f>HOUR(Y837)</f>
        <v>0</v>
      </c>
      <c r="AA837">
        <f>MINUTE(Y837)</f>
        <v>5</v>
      </c>
      <c r="AB837">
        <f>Z837*60+AA837</f>
        <v>5</v>
      </c>
    </row>
    <row r="838" spans="1:28" x14ac:dyDescent="0.25">
      <c r="A838">
        <v>836</v>
      </c>
      <c r="B838" t="s">
        <v>33</v>
      </c>
      <c r="C838">
        <v>1</v>
      </c>
      <c r="D838" t="s">
        <v>35</v>
      </c>
      <c r="E838" s="6">
        <v>46082.409722222219</v>
      </c>
      <c r="F838" s="6">
        <v>46082.416666666664</v>
      </c>
      <c r="G838" s="6">
        <v>46082.427083333336</v>
      </c>
      <c r="H838" s="6">
        <v>46082.444444444445</v>
      </c>
      <c r="I838" s="6">
        <v>46082.451388888891</v>
      </c>
      <c r="J838" s="6">
        <v>46082.454861111109</v>
      </c>
      <c r="K838">
        <v>1.08</v>
      </c>
      <c r="L838" s="6">
        <v>46082.458333333336</v>
      </c>
      <c r="M838" s="7">
        <f>F838-E838</f>
        <v>6.9444444452528842E-3</v>
      </c>
      <c r="N838">
        <f>HOUR(M838)</f>
        <v>0</v>
      </c>
      <c r="O838">
        <f>MINUTE(M838)</f>
        <v>10</v>
      </c>
      <c r="P838">
        <f>N838*60+O838</f>
        <v>10</v>
      </c>
      <c r="Q838" s="7">
        <f>G838-F838</f>
        <v>1.0416666671517305E-2</v>
      </c>
      <c r="R838">
        <f>HOUR(Q838)</f>
        <v>0</v>
      </c>
      <c r="S838">
        <f>MINUTE(Q838)</f>
        <v>15</v>
      </c>
      <c r="T838">
        <f>R838*60+S838</f>
        <v>15</v>
      </c>
      <c r="U838" s="7">
        <f>H838-G838</f>
        <v>1.7361111109494232E-2</v>
      </c>
      <c r="V838">
        <f>HOUR(U838)</f>
        <v>0</v>
      </c>
      <c r="W838">
        <f>MINUTE(U838)</f>
        <v>25</v>
      </c>
      <c r="X838">
        <f>V838*60+W838</f>
        <v>25</v>
      </c>
      <c r="Y838" s="7">
        <f>I838-H838</f>
        <v>6.9444444452528842E-3</v>
      </c>
      <c r="Z838">
        <f>HOUR(Y838)</f>
        <v>0</v>
      </c>
      <c r="AA838">
        <f>MINUTE(Y838)</f>
        <v>10</v>
      </c>
      <c r="AB838">
        <f>Z838*60+AA838</f>
        <v>10</v>
      </c>
    </row>
    <row r="839" spans="1:28" x14ac:dyDescent="0.25">
      <c r="A839">
        <v>837</v>
      </c>
      <c r="B839" t="s">
        <v>29</v>
      </c>
      <c r="C839">
        <v>1</v>
      </c>
      <c r="D839" t="s">
        <v>30</v>
      </c>
      <c r="E839" s="6">
        <v>46081.813888888886</v>
      </c>
      <c r="F839" s="6">
        <v>46081.815972222219</v>
      </c>
      <c r="G839" s="6">
        <v>46081.819444444445</v>
      </c>
      <c r="H839" s="6">
        <v>46081.843055555553</v>
      </c>
      <c r="I839" s="6">
        <v>46081.847222222219</v>
      </c>
      <c r="J839" s="6">
        <v>46081.850694444445</v>
      </c>
      <c r="K839">
        <v>0.88</v>
      </c>
      <c r="L839" s="6">
        <v>46081.854166666664</v>
      </c>
      <c r="M839" s="7">
        <f>F839-E839</f>
        <v>2.0833333328482695E-3</v>
      </c>
      <c r="N839">
        <f>HOUR(M839)</f>
        <v>0</v>
      </c>
      <c r="O839">
        <f>MINUTE(M839)</f>
        <v>3</v>
      </c>
      <c r="P839">
        <f>N839*60+O839</f>
        <v>3</v>
      </c>
      <c r="Q839" s="7">
        <f>G839-F839</f>
        <v>3.4722222262644209E-3</v>
      </c>
      <c r="R839">
        <f>HOUR(Q839)</f>
        <v>0</v>
      </c>
      <c r="S839">
        <f>MINUTE(Q839)</f>
        <v>5</v>
      </c>
      <c r="T839">
        <f>R839*60+S839</f>
        <v>5</v>
      </c>
      <c r="U839" s="7">
        <f>H839-G839</f>
        <v>2.361111110803904E-2</v>
      </c>
      <c r="V839">
        <f>HOUR(U839)</f>
        <v>0</v>
      </c>
      <c r="W839">
        <f>MINUTE(U839)</f>
        <v>34</v>
      </c>
      <c r="X839">
        <f>V839*60+W839</f>
        <v>34</v>
      </c>
      <c r="Y839" s="7">
        <f>I839-H839</f>
        <v>4.166666665696539E-3</v>
      </c>
      <c r="Z839">
        <f>HOUR(Y839)</f>
        <v>0</v>
      </c>
      <c r="AA839">
        <f>MINUTE(Y839)</f>
        <v>6</v>
      </c>
      <c r="AB839">
        <f>Z839*60+AA839</f>
        <v>6</v>
      </c>
    </row>
    <row r="840" spans="1:28" x14ac:dyDescent="0.25">
      <c r="A840">
        <v>838</v>
      </c>
      <c r="B840" t="s">
        <v>29</v>
      </c>
      <c r="C840">
        <v>1</v>
      </c>
      <c r="D840" t="s">
        <v>30</v>
      </c>
      <c r="E840" s="6">
        <v>46081.981249999997</v>
      </c>
      <c r="F840" s="6">
        <v>46081.993055555555</v>
      </c>
      <c r="G840" s="6">
        <v>46082.013888888891</v>
      </c>
      <c r="H840" s="6">
        <v>46082.063194444447</v>
      </c>
      <c r="I840" s="6">
        <v>46082.065972222219</v>
      </c>
      <c r="J840" s="6">
        <v>46082.068055555559</v>
      </c>
      <c r="K840">
        <v>2.08</v>
      </c>
      <c r="L840" s="6">
        <v>46082.074999999997</v>
      </c>
      <c r="M840" s="7">
        <f>F840-E840</f>
        <v>1.1805555557657499E-2</v>
      </c>
      <c r="N840">
        <f>HOUR(M840)</f>
        <v>0</v>
      </c>
      <c r="O840">
        <f>MINUTE(M840)</f>
        <v>17</v>
      </c>
      <c r="P840">
        <f>N840*60+O840</f>
        <v>17</v>
      </c>
      <c r="Q840" s="7">
        <f>G840-F840</f>
        <v>2.0833333335758653E-2</v>
      </c>
      <c r="R840">
        <f>HOUR(Q840)</f>
        <v>0</v>
      </c>
      <c r="S840">
        <f>MINUTE(Q840)</f>
        <v>30</v>
      </c>
      <c r="T840">
        <f>R840*60+S840</f>
        <v>30</v>
      </c>
      <c r="U840" s="7">
        <f>H840-G840</f>
        <v>4.9305555556202307E-2</v>
      </c>
      <c r="V840">
        <f>HOUR(U840)</f>
        <v>1</v>
      </c>
      <c r="W840">
        <f>MINUTE(U840)</f>
        <v>11</v>
      </c>
      <c r="X840">
        <f>V840*60+W840</f>
        <v>71</v>
      </c>
      <c r="Y840" s="7">
        <f>I840-H840</f>
        <v>2.7777777722803876E-3</v>
      </c>
      <c r="Z840">
        <f>HOUR(Y840)</f>
        <v>0</v>
      </c>
      <c r="AA840">
        <f>MINUTE(Y840)</f>
        <v>4</v>
      </c>
      <c r="AB840">
        <f>Z840*60+AA840</f>
        <v>4</v>
      </c>
    </row>
    <row r="841" spans="1:28" x14ac:dyDescent="0.25">
      <c r="A841">
        <v>839</v>
      </c>
      <c r="B841" t="s">
        <v>33</v>
      </c>
      <c r="C841">
        <v>1</v>
      </c>
      <c r="D841" t="s">
        <v>30</v>
      </c>
      <c r="E841" s="6">
        <v>46082.010416666664</v>
      </c>
      <c r="F841" s="6">
        <v>46082.017361111109</v>
      </c>
      <c r="G841" s="6">
        <v>46082.041666666664</v>
      </c>
      <c r="H841" s="6">
        <v>46082.065972222219</v>
      </c>
      <c r="I841" s="6">
        <v>46082.069444444445</v>
      </c>
      <c r="J841" s="6">
        <v>46082.070833333331</v>
      </c>
      <c r="K841">
        <v>1.45</v>
      </c>
      <c r="L841" s="6">
        <v>46082.077777777777</v>
      </c>
      <c r="M841" s="7">
        <f>F841-E841</f>
        <v>6.9444444452528842E-3</v>
      </c>
      <c r="N841">
        <f>HOUR(M841)</f>
        <v>0</v>
      </c>
      <c r="O841">
        <f>MINUTE(M841)</f>
        <v>10</v>
      </c>
      <c r="P841">
        <f>N841*60+O841</f>
        <v>10</v>
      </c>
      <c r="Q841" s="7">
        <f>G841-F841</f>
        <v>2.4305555554747116E-2</v>
      </c>
      <c r="R841">
        <f>HOUR(Q841)</f>
        <v>0</v>
      </c>
      <c r="S841">
        <f>MINUTE(Q841)</f>
        <v>35</v>
      </c>
      <c r="T841">
        <f>R841*60+S841</f>
        <v>35</v>
      </c>
      <c r="U841" s="7">
        <f>H841-G841</f>
        <v>2.4305555554747116E-2</v>
      </c>
      <c r="V841">
        <f>HOUR(U841)</f>
        <v>0</v>
      </c>
      <c r="W841">
        <f>MINUTE(U841)</f>
        <v>35</v>
      </c>
      <c r="X841">
        <f>V841*60+W841</f>
        <v>35</v>
      </c>
      <c r="Y841" s="7">
        <f>I841-H841</f>
        <v>3.4722222262644209E-3</v>
      </c>
      <c r="Z841">
        <f>HOUR(Y841)</f>
        <v>0</v>
      </c>
      <c r="AA841">
        <f>MINUTE(Y841)</f>
        <v>5</v>
      </c>
      <c r="AB841">
        <f>Z841*60+AA841</f>
        <v>5</v>
      </c>
    </row>
    <row r="842" spans="1:28" x14ac:dyDescent="0.25">
      <c r="A842">
        <v>840</v>
      </c>
      <c r="B842" t="s">
        <v>29</v>
      </c>
      <c r="C842">
        <v>1</v>
      </c>
      <c r="D842" t="s">
        <v>30</v>
      </c>
      <c r="E842" s="6">
        <v>46082.524305555555</v>
      </c>
      <c r="F842" s="6">
        <v>46082.538194444445</v>
      </c>
      <c r="G842" s="6">
        <v>46082.541666666664</v>
      </c>
      <c r="H842" s="6">
        <v>46082.555555555555</v>
      </c>
      <c r="I842" s="6">
        <v>46082.557638888888</v>
      </c>
      <c r="J842" s="6">
        <v>46082.559027777781</v>
      </c>
      <c r="K842">
        <v>0.83</v>
      </c>
      <c r="L842" s="6">
        <v>46082.560416666667</v>
      </c>
      <c r="M842" s="7">
        <f>F842-E842</f>
        <v>1.3888888890505768E-2</v>
      </c>
      <c r="N842">
        <f>HOUR(M842)</f>
        <v>0</v>
      </c>
      <c r="O842">
        <f>MINUTE(M842)</f>
        <v>20</v>
      </c>
      <c r="P842">
        <f>N842*60+O842</f>
        <v>20</v>
      </c>
      <c r="Q842" s="7">
        <f>G842-F842</f>
        <v>3.4722222189884633E-3</v>
      </c>
      <c r="R842">
        <f>HOUR(Q842)</f>
        <v>0</v>
      </c>
      <c r="S842">
        <f>MINUTE(Q842)</f>
        <v>5</v>
      </c>
      <c r="T842">
        <f>R842*60+S842</f>
        <v>5</v>
      </c>
      <c r="U842" s="7">
        <f>H842-G842</f>
        <v>1.3888888890505768E-2</v>
      </c>
      <c r="V842">
        <f>HOUR(U842)</f>
        <v>0</v>
      </c>
      <c r="W842">
        <f>MINUTE(U842)</f>
        <v>20</v>
      </c>
      <c r="X842">
        <f>V842*60+W842</f>
        <v>20</v>
      </c>
      <c r="Y842" s="7">
        <f>I842-H842</f>
        <v>2.0833333328482695E-3</v>
      </c>
      <c r="Z842">
        <f>HOUR(Y842)</f>
        <v>0</v>
      </c>
      <c r="AA842">
        <f>MINUTE(Y842)</f>
        <v>3</v>
      </c>
      <c r="AB842">
        <f>Z842*60+AA842</f>
        <v>3</v>
      </c>
    </row>
    <row r="843" spans="1:28" x14ac:dyDescent="0.25">
      <c r="A843">
        <v>841</v>
      </c>
      <c r="B843" t="s">
        <v>33</v>
      </c>
      <c r="C843">
        <v>1</v>
      </c>
      <c r="D843" t="s">
        <v>34</v>
      </c>
      <c r="E843" s="6">
        <v>46083.430555555555</v>
      </c>
      <c r="F843" s="6">
        <v>46083.434027777781</v>
      </c>
      <c r="G843" s="6">
        <v>46083.447916666664</v>
      </c>
      <c r="H843" s="6">
        <v>46083.625</v>
      </c>
      <c r="I843" s="6">
        <v>46083.715277777781</v>
      </c>
      <c r="J843" s="6">
        <v>46083.71597222222</v>
      </c>
      <c r="K843">
        <v>6.85</v>
      </c>
      <c r="L843" s="6">
        <v>46083.716666666667</v>
      </c>
      <c r="M843" s="7">
        <f>F843-E843</f>
        <v>3.4722222262644209E-3</v>
      </c>
      <c r="N843">
        <f>HOUR(M843)</f>
        <v>0</v>
      </c>
      <c r="O843">
        <f>MINUTE(M843)</f>
        <v>5</v>
      </c>
      <c r="P843">
        <f>N843*60+O843</f>
        <v>5</v>
      </c>
      <c r="Q843" s="7">
        <f>G843-F843</f>
        <v>1.3888888883229811E-2</v>
      </c>
      <c r="R843">
        <f>HOUR(Q843)</f>
        <v>0</v>
      </c>
      <c r="S843">
        <f>MINUTE(Q843)</f>
        <v>20</v>
      </c>
      <c r="T843">
        <f>R843*60+S843</f>
        <v>20</v>
      </c>
      <c r="U843" s="7">
        <f>H843-G843</f>
        <v>0.17708333333575865</v>
      </c>
      <c r="V843">
        <f>HOUR(U843)</f>
        <v>4</v>
      </c>
      <c r="W843">
        <f>MINUTE(U843)</f>
        <v>15</v>
      </c>
      <c r="X843">
        <f>V843*60+W843</f>
        <v>255</v>
      </c>
      <c r="Y843" s="7">
        <f>I843-H843</f>
        <v>9.0277777781011537E-2</v>
      </c>
      <c r="Z843">
        <f>HOUR(Y843)</f>
        <v>2</v>
      </c>
      <c r="AA843">
        <f>MINUTE(Y843)</f>
        <v>10</v>
      </c>
      <c r="AB843">
        <f>Z843*60+AA843</f>
        <v>130</v>
      </c>
    </row>
    <row r="844" spans="1:28" x14ac:dyDescent="0.25">
      <c r="A844">
        <v>842</v>
      </c>
      <c r="B844" t="s">
        <v>31</v>
      </c>
      <c r="C844">
        <v>1</v>
      </c>
      <c r="D844" t="s">
        <v>30</v>
      </c>
      <c r="E844" s="6">
        <v>46083.770138888889</v>
      </c>
      <c r="F844" s="6">
        <v>46083.777777777781</v>
      </c>
      <c r="G844" s="6">
        <v>46083.788194444445</v>
      </c>
      <c r="H844" s="6">
        <v>46083.809027777781</v>
      </c>
      <c r="I844" s="6">
        <v>46083.8125</v>
      </c>
      <c r="J844" s="6">
        <v>46083.813888888886</v>
      </c>
      <c r="K844">
        <v>1.05</v>
      </c>
      <c r="L844" s="6">
        <v>46083.820833333331</v>
      </c>
      <c r="M844" s="7">
        <f>F844-E844</f>
        <v>7.6388888919609599E-3</v>
      </c>
      <c r="N844">
        <f>HOUR(M844)</f>
        <v>0</v>
      </c>
      <c r="O844">
        <f>MINUTE(M844)</f>
        <v>11</v>
      </c>
      <c r="P844">
        <f>N844*60+O844</f>
        <v>11</v>
      </c>
      <c r="Q844" s="7">
        <f>G844-F844</f>
        <v>1.0416666664241347E-2</v>
      </c>
      <c r="R844">
        <f>HOUR(Q844)</f>
        <v>0</v>
      </c>
      <c r="S844">
        <f>MINUTE(Q844)</f>
        <v>15</v>
      </c>
      <c r="T844">
        <f>R844*60+S844</f>
        <v>15</v>
      </c>
      <c r="U844" s="7">
        <f>H844-G844</f>
        <v>2.0833333335758653E-2</v>
      </c>
      <c r="V844">
        <f>HOUR(U844)</f>
        <v>0</v>
      </c>
      <c r="W844">
        <f>MINUTE(U844)</f>
        <v>30</v>
      </c>
      <c r="X844">
        <f>V844*60+W844</f>
        <v>30</v>
      </c>
      <c r="Y844" s="7">
        <f>I844-H844</f>
        <v>3.4722222189884633E-3</v>
      </c>
      <c r="Z844">
        <f>HOUR(Y844)</f>
        <v>0</v>
      </c>
      <c r="AA844">
        <f>MINUTE(Y844)</f>
        <v>5</v>
      </c>
      <c r="AB844">
        <f>Z844*60+AA844</f>
        <v>5</v>
      </c>
    </row>
    <row r="845" spans="1:28" x14ac:dyDescent="0.25">
      <c r="A845">
        <v>843</v>
      </c>
      <c r="B845" t="s">
        <v>33</v>
      </c>
      <c r="C845">
        <v>1</v>
      </c>
      <c r="D845" t="s">
        <v>34</v>
      </c>
      <c r="E845" s="6">
        <v>46083.291666666664</v>
      </c>
      <c r="F845" s="6">
        <v>46083.309027777781</v>
      </c>
      <c r="G845" s="6">
        <v>46083.3125</v>
      </c>
      <c r="H845" s="6">
        <v>46083.34652777778</v>
      </c>
      <c r="I845" s="6">
        <v>46083.357638888891</v>
      </c>
      <c r="J845" s="6">
        <v>46083.385416666664</v>
      </c>
      <c r="K845">
        <v>2.25</v>
      </c>
      <c r="L845" s="6">
        <v>46083.388888888891</v>
      </c>
      <c r="M845" s="7">
        <f>F845-E845</f>
        <v>1.7361111116770189E-2</v>
      </c>
      <c r="N845">
        <f>HOUR(M845)</f>
        <v>0</v>
      </c>
      <c r="O845">
        <f>MINUTE(M845)</f>
        <v>25</v>
      </c>
      <c r="P845">
        <f>N845*60+O845</f>
        <v>25</v>
      </c>
      <c r="Q845" s="7">
        <f>G845-F845</f>
        <v>3.4722222189884633E-3</v>
      </c>
      <c r="R845">
        <f>HOUR(Q845)</f>
        <v>0</v>
      </c>
      <c r="S845">
        <f>MINUTE(Q845)</f>
        <v>5</v>
      </c>
      <c r="T845">
        <f>R845*60+S845</f>
        <v>5</v>
      </c>
      <c r="U845" s="7">
        <f>H845-G845</f>
        <v>3.4027777779556345E-2</v>
      </c>
      <c r="V845">
        <f>HOUR(U845)</f>
        <v>0</v>
      </c>
      <c r="W845">
        <f>MINUTE(U845)</f>
        <v>49</v>
      </c>
      <c r="X845">
        <f>V845*60+W845</f>
        <v>49</v>
      </c>
      <c r="Y845" s="7">
        <f>I845-H845</f>
        <v>1.1111111110949423E-2</v>
      </c>
      <c r="Z845">
        <f>HOUR(Y845)</f>
        <v>0</v>
      </c>
      <c r="AA845">
        <f>MINUTE(Y845)</f>
        <v>16</v>
      </c>
      <c r="AB845">
        <f>Z845*60+AA845</f>
        <v>16</v>
      </c>
    </row>
    <row r="846" spans="1:28" x14ac:dyDescent="0.25">
      <c r="A846">
        <v>844</v>
      </c>
      <c r="B846" t="s">
        <v>31</v>
      </c>
      <c r="C846">
        <v>1</v>
      </c>
      <c r="D846" t="s">
        <v>36</v>
      </c>
      <c r="E846" s="6">
        <v>46083.708333333336</v>
      </c>
      <c r="F846" s="6">
        <v>46083.715277777781</v>
      </c>
      <c r="G846" s="6">
        <v>46083.736111111109</v>
      </c>
      <c r="H846" s="6">
        <v>46083.840277777781</v>
      </c>
      <c r="I846" s="6">
        <v>46083.847222222219</v>
      </c>
      <c r="J846" s="6">
        <v>46083.861111111109</v>
      </c>
      <c r="K846">
        <v>3.67</v>
      </c>
      <c r="L846" s="6">
        <v>46083.868055555555</v>
      </c>
      <c r="M846" s="7">
        <f>F846-E846</f>
        <v>6.9444444452528842E-3</v>
      </c>
      <c r="N846">
        <f>HOUR(M846)</f>
        <v>0</v>
      </c>
      <c r="O846">
        <f>MINUTE(M846)</f>
        <v>10</v>
      </c>
      <c r="P846">
        <f>N846*60+O846</f>
        <v>10</v>
      </c>
      <c r="Q846" s="7">
        <f>G846-F846</f>
        <v>2.0833333328482695E-2</v>
      </c>
      <c r="R846">
        <f>HOUR(Q846)</f>
        <v>0</v>
      </c>
      <c r="S846">
        <f>MINUTE(Q846)</f>
        <v>30</v>
      </c>
      <c r="T846">
        <f>R846*60+S846</f>
        <v>30</v>
      </c>
      <c r="U846" s="7">
        <f>H846-G846</f>
        <v>0.10416666667151731</v>
      </c>
      <c r="V846">
        <f>HOUR(U846)</f>
        <v>2</v>
      </c>
      <c r="W846">
        <f>MINUTE(U846)</f>
        <v>30</v>
      </c>
      <c r="X846">
        <f>V846*60+W846</f>
        <v>150</v>
      </c>
      <c r="Y846" s="7">
        <f>I846-H846</f>
        <v>6.9444444379769266E-3</v>
      </c>
      <c r="Z846">
        <f>HOUR(Y846)</f>
        <v>0</v>
      </c>
      <c r="AA846">
        <f>MINUTE(Y846)</f>
        <v>10</v>
      </c>
      <c r="AB846">
        <f>Z846*60+AA846</f>
        <v>10</v>
      </c>
    </row>
    <row r="847" spans="1:28" x14ac:dyDescent="0.25">
      <c r="A847">
        <v>845</v>
      </c>
      <c r="B847" t="s">
        <v>31</v>
      </c>
      <c r="C847">
        <v>1</v>
      </c>
      <c r="D847" t="s">
        <v>36</v>
      </c>
      <c r="E847" s="6">
        <v>46083.541666666664</v>
      </c>
      <c r="F847" s="6">
        <v>46083.552083333336</v>
      </c>
      <c r="G847" s="6">
        <v>46083.583333333336</v>
      </c>
      <c r="H847" s="6">
        <v>46083.645833333336</v>
      </c>
      <c r="I847" s="6">
        <v>46083.65625</v>
      </c>
      <c r="J847" s="6">
        <v>46083.666666666664</v>
      </c>
      <c r="K847">
        <v>3</v>
      </c>
      <c r="L847" s="6">
        <v>46083.667361111111</v>
      </c>
      <c r="M847" s="7">
        <f>F847-E847</f>
        <v>1.0416666671517305E-2</v>
      </c>
      <c r="N847">
        <f>HOUR(M847)</f>
        <v>0</v>
      </c>
      <c r="O847">
        <f>MINUTE(M847)</f>
        <v>15</v>
      </c>
      <c r="P847">
        <f>N847*60+O847</f>
        <v>15</v>
      </c>
      <c r="Q847" s="7">
        <f>G847-F847</f>
        <v>3.125E-2</v>
      </c>
      <c r="R847">
        <f>HOUR(Q847)</f>
        <v>0</v>
      </c>
      <c r="S847">
        <f>MINUTE(Q847)</f>
        <v>45</v>
      </c>
      <c r="T847">
        <f>R847*60+S847</f>
        <v>45</v>
      </c>
      <c r="U847" s="7">
        <f>H847-G847</f>
        <v>6.25E-2</v>
      </c>
      <c r="V847">
        <f>HOUR(U847)</f>
        <v>1</v>
      </c>
      <c r="W847">
        <f>MINUTE(U847)</f>
        <v>30</v>
      </c>
      <c r="X847">
        <f>V847*60+W847</f>
        <v>90</v>
      </c>
      <c r="Y847" s="7">
        <f>I847-H847</f>
        <v>1.0416666664241347E-2</v>
      </c>
      <c r="Z847">
        <f>HOUR(Y847)</f>
        <v>0</v>
      </c>
      <c r="AA847">
        <f>MINUTE(Y847)</f>
        <v>15</v>
      </c>
      <c r="AB847">
        <f>Z847*60+AA847</f>
        <v>15</v>
      </c>
    </row>
    <row r="848" spans="1:28" x14ac:dyDescent="0.25">
      <c r="A848">
        <v>846</v>
      </c>
      <c r="B848" t="s">
        <v>29</v>
      </c>
      <c r="C848">
        <v>1</v>
      </c>
      <c r="D848" t="s">
        <v>35</v>
      </c>
      <c r="E848" s="6">
        <v>46082.619444444441</v>
      </c>
      <c r="F848" s="6">
        <v>46082.625</v>
      </c>
      <c r="G848" s="6">
        <v>46082.631944444445</v>
      </c>
      <c r="H848" s="6">
        <v>46082.638888888891</v>
      </c>
      <c r="I848" s="6">
        <v>46082.645833333336</v>
      </c>
      <c r="J848" s="6">
        <v>46082.652777777781</v>
      </c>
      <c r="K848">
        <v>0.8</v>
      </c>
      <c r="L848" s="6">
        <v>46082.659722222219</v>
      </c>
      <c r="M848" s="7">
        <f>F848-E848</f>
        <v>5.5555555591126904E-3</v>
      </c>
      <c r="N848">
        <f>HOUR(M848)</f>
        <v>0</v>
      </c>
      <c r="O848">
        <f>MINUTE(M848)</f>
        <v>8</v>
      </c>
      <c r="P848">
        <f>N848*60+O848</f>
        <v>8</v>
      </c>
      <c r="Q848" s="7">
        <f>G848-F848</f>
        <v>6.9444444452528842E-3</v>
      </c>
      <c r="R848">
        <f>HOUR(Q848)</f>
        <v>0</v>
      </c>
      <c r="S848">
        <f>MINUTE(Q848)</f>
        <v>10</v>
      </c>
      <c r="T848">
        <f>R848*60+S848</f>
        <v>10</v>
      </c>
      <c r="U848" s="7">
        <f>H848-G848</f>
        <v>6.9444444452528842E-3</v>
      </c>
      <c r="V848">
        <f>HOUR(U848)</f>
        <v>0</v>
      </c>
      <c r="W848">
        <f>MINUTE(U848)</f>
        <v>10</v>
      </c>
      <c r="X848">
        <f>V848*60+W848</f>
        <v>10</v>
      </c>
      <c r="Y848" s="7">
        <f>I848-H848</f>
        <v>6.9444444452528842E-3</v>
      </c>
      <c r="Z848">
        <f>HOUR(Y848)</f>
        <v>0</v>
      </c>
      <c r="AA848">
        <f>MINUTE(Y848)</f>
        <v>10</v>
      </c>
      <c r="AB848">
        <f>Z848*60+AA848</f>
        <v>10</v>
      </c>
    </row>
    <row r="849" spans="1:28" x14ac:dyDescent="0.25">
      <c r="A849">
        <v>847</v>
      </c>
      <c r="B849" t="s">
        <v>29</v>
      </c>
      <c r="C849">
        <v>1</v>
      </c>
      <c r="D849" t="s">
        <v>30</v>
      </c>
      <c r="E849" s="6">
        <v>46082.692361111112</v>
      </c>
      <c r="F849" s="6">
        <v>46082.694444444445</v>
      </c>
      <c r="G849" s="6">
        <v>46082.71875</v>
      </c>
      <c r="H849" s="6">
        <v>46082.759722222225</v>
      </c>
      <c r="I849" s="6">
        <v>46082.760416666664</v>
      </c>
      <c r="J849" s="6">
        <v>46082.761111111111</v>
      </c>
      <c r="K849">
        <v>1.65</v>
      </c>
      <c r="L849" s="6">
        <v>46082.761805555558</v>
      </c>
      <c r="M849" s="7">
        <f>F849-E849</f>
        <v>2.0833333328482695E-3</v>
      </c>
      <c r="N849">
        <f>HOUR(M849)</f>
        <v>0</v>
      </c>
      <c r="O849">
        <f>MINUTE(M849)</f>
        <v>3</v>
      </c>
      <c r="P849">
        <f>N849*60+O849</f>
        <v>3</v>
      </c>
      <c r="Q849" s="7">
        <f>G849-F849</f>
        <v>2.4305555554747116E-2</v>
      </c>
      <c r="R849">
        <f>HOUR(Q849)</f>
        <v>0</v>
      </c>
      <c r="S849">
        <f>MINUTE(Q849)</f>
        <v>35</v>
      </c>
      <c r="T849">
        <f>R849*60+S849</f>
        <v>35</v>
      </c>
      <c r="U849" s="7">
        <f>H849-G849</f>
        <v>4.0972222224809229E-2</v>
      </c>
      <c r="V849">
        <f>HOUR(U849)</f>
        <v>0</v>
      </c>
      <c r="W849">
        <f>MINUTE(U849)</f>
        <v>59</v>
      </c>
      <c r="X849">
        <f>V849*60+W849</f>
        <v>59</v>
      </c>
      <c r="Y849" s="7">
        <f>I849-H849</f>
        <v>6.9444443943211809E-4</v>
      </c>
      <c r="Z849">
        <f>HOUR(Y849)</f>
        <v>0</v>
      </c>
      <c r="AA849">
        <f>MINUTE(Y849)</f>
        <v>1</v>
      </c>
      <c r="AB849">
        <f>Z849*60+AA849</f>
        <v>1</v>
      </c>
    </row>
    <row r="850" spans="1:28" x14ac:dyDescent="0.25">
      <c r="A850">
        <v>848</v>
      </c>
      <c r="B850" t="s">
        <v>33</v>
      </c>
      <c r="C850">
        <v>1</v>
      </c>
      <c r="D850" t="s">
        <v>30</v>
      </c>
      <c r="E850" s="6">
        <v>46083.291666666664</v>
      </c>
      <c r="F850" s="6">
        <v>46083.350694444445</v>
      </c>
      <c r="G850" s="6">
        <v>46083.357638888891</v>
      </c>
      <c r="H850" s="6">
        <v>46083.46875</v>
      </c>
      <c r="I850" s="6">
        <v>46083.475694444445</v>
      </c>
      <c r="J850" s="6">
        <v>46083.479166666664</v>
      </c>
      <c r="K850">
        <v>4.5</v>
      </c>
      <c r="L850" s="6">
        <v>46083.486111111109</v>
      </c>
      <c r="M850" s="7">
        <f>F850-E850</f>
        <v>5.9027777781011537E-2</v>
      </c>
      <c r="N850">
        <f>HOUR(M850)</f>
        <v>1</v>
      </c>
      <c r="O850">
        <f>MINUTE(M850)</f>
        <v>25</v>
      </c>
      <c r="P850">
        <f>N850*60+O850</f>
        <v>85</v>
      </c>
      <c r="Q850" s="7">
        <f>G850-F850</f>
        <v>6.9444444452528842E-3</v>
      </c>
      <c r="R850">
        <f>HOUR(Q850)</f>
        <v>0</v>
      </c>
      <c r="S850">
        <f>MINUTE(Q850)</f>
        <v>10</v>
      </c>
      <c r="T850">
        <f>R850*60+S850</f>
        <v>10</v>
      </c>
      <c r="U850" s="7">
        <f>H850-G850</f>
        <v>0.11111111110949423</v>
      </c>
      <c r="V850">
        <f>HOUR(U850)</f>
        <v>2</v>
      </c>
      <c r="W850">
        <f>MINUTE(U850)</f>
        <v>40</v>
      </c>
      <c r="X850">
        <f>V850*60+W850</f>
        <v>160</v>
      </c>
      <c r="Y850" s="7">
        <f>I850-H850</f>
        <v>6.9444444452528842E-3</v>
      </c>
      <c r="Z850">
        <f>HOUR(Y850)</f>
        <v>0</v>
      </c>
      <c r="AA850">
        <f>MINUTE(Y850)</f>
        <v>10</v>
      </c>
      <c r="AB850">
        <f>Z850*60+AA850</f>
        <v>10</v>
      </c>
    </row>
    <row r="851" spans="1:28" x14ac:dyDescent="0.25">
      <c r="A851">
        <v>849</v>
      </c>
      <c r="B851" t="s">
        <v>31</v>
      </c>
      <c r="C851">
        <v>1</v>
      </c>
      <c r="D851" t="s">
        <v>30</v>
      </c>
      <c r="E851" s="6">
        <v>46082.909722222219</v>
      </c>
      <c r="F851" s="6">
        <v>46082.916666666664</v>
      </c>
      <c r="G851" s="6">
        <v>46082.940972222219</v>
      </c>
      <c r="H851" s="6">
        <v>46083.0625</v>
      </c>
      <c r="I851" s="6">
        <v>46083.069444444445</v>
      </c>
      <c r="J851" s="6">
        <v>46083.076388888891</v>
      </c>
      <c r="K851">
        <v>4</v>
      </c>
      <c r="L851" s="6">
        <v>46083.083333333336</v>
      </c>
      <c r="M851" s="7">
        <f>F851-E851</f>
        <v>6.9444444452528842E-3</v>
      </c>
      <c r="N851">
        <f>HOUR(M851)</f>
        <v>0</v>
      </c>
      <c r="O851">
        <f>MINUTE(M851)</f>
        <v>10</v>
      </c>
      <c r="P851">
        <f>N851*60+O851</f>
        <v>10</v>
      </c>
      <c r="Q851" s="7">
        <f>G851-F851</f>
        <v>2.4305555554747116E-2</v>
      </c>
      <c r="R851">
        <f>HOUR(Q851)</f>
        <v>0</v>
      </c>
      <c r="S851">
        <f>MINUTE(Q851)</f>
        <v>35</v>
      </c>
      <c r="T851">
        <f>R851*60+S851</f>
        <v>35</v>
      </c>
      <c r="U851" s="7">
        <f>H851-G851</f>
        <v>0.12152777778101154</v>
      </c>
      <c r="V851">
        <f>HOUR(U851)</f>
        <v>2</v>
      </c>
      <c r="W851">
        <f>MINUTE(U851)</f>
        <v>55</v>
      </c>
      <c r="X851">
        <f>V851*60+W851</f>
        <v>175</v>
      </c>
      <c r="Y851" s="7">
        <f>I851-H851</f>
        <v>6.9444444452528842E-3</v>
      </c>
      <c r="Z851">
        <f>HOUR(Y851)</f>
        <v>0</v>
      </c>
      <c r="AA851">
        <f>MINUTE(Y851)</f>
        <v>10</v>
      </c>
      <c r="AB851">
        <f>Z851*60+AA851</f>
        <v>10</v>
      </c>
    </row>
    <row r="852" spans="1:28" x14ac:dyDescent="0.25">
      <c r="A852">
        <v>850</v>
      </c>
      <c r="B852" t="s">
        <v>29</v>
      </c>
      <c r="C852">
        <v>1</v>
      </c>
      <c r="D852" t="s">
        <v>30</v>
      </c>
      <c r="E852" s="6">
        <v>46082.913194444445</v>
      </c>
      <c r="F852" s="6">
        <v>46082.920138888891</v>
      </c>
      <c r="G852" s="6">
        <v>46082.934027777781</v>
      </c>
      <c r="H852" s="6">
        <v>46082.944444444445</v>
      </c>
      <c r="I852" s="6">
        <v>46082.951388888891</v>
      </c>
      <c r="J852" s="6">
        <v>46082.958333333336</v>
      </c>
      <c r="K852">
        <v>1.08</v>
      </c>
      <c r="L852" s="6">
        <v>46082.965277777781</v>
      </c>
      <c r="M852" s="7">
        <f>F852-E852</f>
        <v>6.9444444452528842E-3</v>
      </c>
      <c r="N852">
        <f>HOUR(M852)</f>
        <v>0</v>
      </c>
      <c r="O852">
        <f>MINUTE(M852)</f>
        <v>10</v>
      </c>
      <c r="P852">
        <f>N852*60+O852</f>
        <v>10</v>
      </c>
      <c r="Q852" s="7">
        <f>G852-F852</f>
        <v>1.3888888890505768E-2</v>
      </c>
      <c r="R852">
        <f>HOUR(Q852)</f>
        <v>0</v>
      </c>
      <c r="S852">
        <f>MINUTE(Q852)</f>
        <v>20</v>
      </c>
      <c r="T852">
        <f>R852*60+S852</f>
        <v>20</v>
      </c>
      <c r="U852" s="7">
        <f>H852-G852</f>
        <v>1.0416666664241347E-2</v>
      </c>
      <c r="V852">
        <f>HOUR(U852)</f>
        <v>0</v>
      </c>
      <c r="W852">
        <f>MINUTE(U852)</f>
        <v>15</v>
      </c>
      <c r="X852">
        <f>V852*60+W852</f>
        <v>15</v>
      </c>
      <c r="Y852" s="7">
        <f>I852-H852</f>
        <v>6.9444444452528842E-3</v>
      </c>
      <c r="Z852">
        <f>HOUR(Y852)</f>
        <v>0</v>
      </c>
      <c r="AA852">
        <f>MINUTE(Y852)</f>
        <v>10</v>
      </c>
      <c r="AB852">
        <f>Z852*60+AA852</f>
        <v>10</v>
      </c>
    </row>
    <row r="853" spans="1:28" x14ac:dyDescent="0.25">
      <c r="A853">
        <v>851</v>
      </c>
      <c r="B853" t="s">
        <v>29</v>
      </c>
      <c r="C853">
        <v>1</v>
      </c>
      <c r="D853" t="s">
        <v>30</v>
      </c>
      <c r="E853" s="6">
        <v>46082.979166666664</v>
      </c>
      <c r="F853" s="6">
        <v>46082.986111111109</v>
      </c>
      <c r="G853" s="6">
        <v>46082.986805555556</v>
      </c>
      <c r="H853" s="6">
        <v>46082.989583333336</v>
      </c>
      <c r="I853" s="6">
        <v>46082.993055555555</v>
      </c>
      <c r="J853" s="6">
        <v>46082.996527777781</v>
      </c>
      <c r="K853">
        <v>0.42</v>
      </c>
      <c r="L853" s="6">
        <v>46082.997916666667</v>
      </c>
      <c r="M853" s="7">
        <f>F853-E853</f>
        <v>6.9444444452528842E-3</v>
      </c>
      <c r="N853">
        <f>HOUR(M853)</f>
        <v>0</v>
      </c>
      <c r="O853">
        <f>MINUTE(M853)</f>
        <v>10</v>
      </c>
      <c r="P853">
        <f>N853*60+O853</f>
        <v>10</v>
      </c>
      <c r="Q853" s="7">
        <f>G853-F853</f>
        <v>6.944444467080757E-4</v>
      </c>
      <c r="R853">
        <f>HOUR(Q853)</f>
        <v>0</v>
      </c>
      <c r="S853">
        <f>MINUTE(Q853)</f>
        <v>1</v>
      </c>
      <c r="T853">
        <f>R853*60+S853</f>
        <v>1</v>
      </c>
      <c r="U853" s="7">
        <f>H853-G853</f>
        <v>2.7777777795563452E-3</v>
      </c>
      <c r="V853">
        <f>HOUR(U853)</f>
        <v>0</v>
      </c>
      <c r="W853">
        <f>MINUTE(U853)</f>
        <v>4</v>
      </c>
      <c r="X853">
        <f>V853*60+W853</f>
        <v>4</v>
      </c>
      <c r="Y853" s="7">
        <f>I853-H853</f>
        <v>3.4722222189884633E-3</v>
      </c>
      <c r="Z853">
        <f>HOUR(Y853)</f>
        <v>0</v>
      </c>
      <c r="AA853">
        <f>MINUTE(Y853)</f>
        <v>5</v>
      </c>
      <c r="AB853">
        <f>Z853*60+AA853</f>
        <v>5</v>
      </c>
    </row>
    <row r="854" spans="1:28" x14ac:dyDescent="0.25">
      <c r="A854">
        <v>852</v>
      </c>
      <c r="B854" t="s">
        <v>29</v>
      </c>
      <c r="C854">
        <v>1</v>
      </c>
      <c r="D854" t="s">
        <v>30</v>
      </c>
      <c r="E854" s="6">
        <v>46083.107638888891</v>
      </c>
      <c r="F854" s="6">
        <v>46083.111111111109</v>
      </c>
      <c r="G854" s="6">
        <v>46083.114583333336</v>
      </c>
      <c r="H854" s="6">
        <v>46083.14166666667</v>
      </c>
      <c r="I854" s="6">
        <v>46083.143750000003</v>
      </c>
      <c r="J854" s="6">
        <v>46083.145138888889</v>
      </c>
      <c r="K854">
        <v>0.9</v>
      </c>
      <c r="L854" s="6">
        <v>46083.152083333334</v>
      </c>
      <c r="M854" s="7">
        <f>F854-E854</f>
        <v>3.4722222189884633E-3</v>
      </c>
      <c r="N854">
        <f>HOUR(M854)</f>
        <v>0</v>
      </c>
      <c r="O854">
        <f>MINUTE(M854)</f>
        <v>5</v>
      </c>
      <c r="P854">
        <f>N854*60+O854</f>
        <v>5</v>
      </c>
      <c r="Q854" s="7">
        <f>G854-F854</f>
        <v>3.4722222262644209E-3</v>
      </c>
      <c r="R854">
        <f>HOUR(Q854)</f>
        <v>0</v>
      </c>
      <c r="S854">
        <f>MINUTE(Q854)</f>
        <v>5</v>
      </c>
      <c r="T854">
        <f>R854*60+S854</f>
        <v>5</v>
      </c>
      <c r="U854" s="7">
        <f>H854-G854</f>
        <v>2.7083333334303461E-2</v>
      </c>
      <c r="V854">
        <f>HOUR(U854)</f>
        <v>0</v>
      </c>
      <c r="W854">
        <f>MINUTE(U854)</f>
        <v>39</v>
      </c>
      <c r="X854">
        <f>V854*60+W854</f>
        <v>39</v>
      </c>
      <c r="Y854" s="7">
        <f>I854-H854</f>
        <v>2.0833333328482695E-3</v>
      </c>
      <c r="Z854">
        <f>HOUR(Y854)</f>
        <v>0</v>
      </c>
      <c r="AA854">
        <f>MINUTE(Y854)</f>
        <v>3</v>
      </c>
      <c r="AB854">
        <f>Z854*60+AA854</f>
        <v>3</v>
      </c>
    </row>
    <row r="855" spans="1:28" x14ac:dyDescent="0.25">
      <c r="A855">
        <v>853</v>
      </c>
      <c r="B855" t="s">
        <v>33</v>
      </c>
      <c r="C855">
        <v>1</v>
      </c>
      <c r="D855" t="s">
        <v>30</v>
      </c>
      <c r="E855" s="6">
        <v>46083.322916666664</v>
      </c>
      <c r="F855" s="6">
        <v>46083.329861111109</v>
      </c>
      <c r="G855" s="6">
        <v>46083.368055555555</v>
      </c>
      <c r="H855" s="6">
        <v>46083.381944444445</v>
      </c>
      <c r="I855" s="6">
        <v>46083.388888888891</v>
      </c>
      <c r="J855" s="6">
        <v>46083.395833333336</v>
      </c>
      <c r="K855">
        <v>1.75</v>
      </c>
      <c r="L855" s="6">
        <v>46083.402777777781</v>
      </c>
      <c r="M855" s="7">
        <f>F855-E855</f>
        <v>6.9444444452528842E-3</v>
      </c>
      <c r="N855">
        <f>HOUR(M855)</f>
        <v>0</v>
      </c>
      <c r="O855">
        <f>MINUTE(M855)</f>
        <v>10</v>
      </c>
      <c r="P855">
        <f>N855*60+O855</f>
        <v>10</v>
      </c>
      <c r="Q855" s="7">
        <f>G855-F855</f>
        <v>3.8194444445252884E-2</v>
      </c>
      <c r="R855">
        <f>HOUR(Q855)</f>
        <v>0</v>
      </c>
      <c r="S855">
        <f>MINUTE(Q855)</f>
        <v>55</v>
      </c>
      <c r="T855">
        <f>R855*60+S855</f>
        <v>55</v>
      </c>
      <c r="U855" s="7">
        <f>H855-G855</f>
        <v>1.3888888890505768E-2</v>
      </c>
      <c r="V855">
        <f>HOUR(U855)</f>
        <v>0</v>
      </c>
      <c r="W855">
        <f>MINUTE(U855)</f>
        <v>20</v>
      </c>
      <c r="X855">
        <f>V855*60+W855</f>
        <v>20</v>
      </c>
      <c r="Y855" s="7">
        <f>I855-H855</f>
        <v>6.9444444452528842E-3</v>
      </c>
      <c r="Z855">
        <f>HOUR(Y855)</f>
        <v>0</v>
      </c>
      <c r="AA855">
        <f>MINUTE(Y855)</f>
        <v>10</v>
      </c>
      <c r="AB855">
        <f>Z855*60+AA855</f>
        <v>10</v>
      </c>
    </row>
    <row r="856" spans="1:28" x14ac:dyDescent="0.25">
      <c r="A856">
        <v>854</v>
      </c>
      <c r="B856" t="s">
        <v>31</v>
      </c>
      <c r="C856">
        <v>1</v>
      </c>
      <c r="D856" t="s">
        <v>30</v>
      </c>
      <c r="E856" s="6">
        <v>46083.364583333336</v>
      </c>
      <c r="F856" s="6">
        <v>46083.392361111109</v>
      </c>
      <c r="G856" s="6">
        <v>46083.409722222219</v>
      </c>
      <c r="H856" s="6">
        <v>46083.479166666664</v>
      </c>
      <c r="I856" s="6">
        <v>46083.486111111109</v>
      </c>
      <c r="J856" s="6">
        <v>46083.604166666664</v>
      </c>
      <c r="K856">
        <v>5.75</v>
      </c>
      <c r="L856" s="6">
        <v>46083.611111111109</v>
      </c>
      <c r="M856" s="7">
        <f>F856-E856</f>
        <v>2.7777777773735579E-2</v>
      </c>
      <c r="N856">
        <f>HOUR(M856)</f>
        <v>0</v>
      </c>
      <c r="O856">
        <f>MINUTE(M856)</f>
        <v>40</v>
      </c>
      <c r="P856">
        <f>N856*60+O856</f>
        <v>40</v>
      </c>
      <c r="Q856" s="7">
        <f>G856-F856</f>
        <v>1.7361111109494232E-2</v>
      </c>
      <c r="R856">
        <f>HOUR(Q856)</f>
        <v>0</v>
      </c>
      <c r="S856">
        <f>MINUTE(Q856)</f>
        <v>25</v>
      </c>
      <c r="T856">
        <f>R856*60+S856</f>
        <v>25</v>
      </c>
      <c r="U856" s="7">
        <f>H856-G856</f>
        <v>6.9444444445252884E-2</v>
      </c>
      <c r="V856">
        <f>HOUR(U856)</f>
        <v>1</v>
      </c>
      <c r="W856">
        <f>MINUTE(U856)</f>
        <v>40</v>
      </c>
      <c r="X856">
        <f>V856*60+W856</f>
        <v>100</v>
      </c>
      <c r="Y856" s="7">
        <f>I856-H856</f>
        <v>6.9444444452528842E-3</v>
      </c>
      <c r="Z856">
        <f>HOUR(Y856)</f>
        <v>0</v>
      </c>
      <c r="AA856">
        <f>MINUTE(Y856)</f>
        <v>10</v>
      </c>
      <c r="AB856">
        <f>Z856*60+AA856</f>
        <v>10</v>
      </c>
    </row>
    <row r="857" spans="1:28" x14ac:dyDescent="0.25">
      <c r="A857">
        <v>855</v>
      </c>
      <c r="B857" t="s">
        <v>33</v>
      </c>
      <c r="C857">
        <v>1</v>
      </c>
      <c r="D857" t="s">
        <v>32</v>
      </c>
      <c r="E857" s="6">
        <v>46083.444444444445</v>
      </c>
      <c r="F857" s="6">
        <v>46083.451388888891</v>
      </c>
      <c r="G857" s="6">
        <v>46083.46875</v>
      </c>
      <c r="H857" s="6">
        <v>46083.506944444445</v>
      </c>
      <c r="I857" s="6">
        <v>46083.513888888891</v>
      </c>
      <c r="J857" s="6">
        <v>46083.517361111109</v>
      </c>
      <c r="K857">
        <v>1.75</v>
      </c>
      <c r="L857" s="6">
        <v>46083.524305555555</v>
      </c>
      <c r="M857" s="7">
        <f>F857-E857</f>
        <v>6.9444444452528842E-3</v>
      </c>
      <c r="N857">
        <f>HOUR(M857)</f>
        <v>0</v>
      </c>
      <c r="O857">
        <f>MINUTE(M857)</f>
        <v>10</v>
      </c>
      <c r="P857">
        <f>N857*60+O857</f>
        <v>10</v>
      </c>
      <c r="Q857" s="7">
        <f>G857-F857</f>
        <v>1.7361111109494232E-2</v>
      </c>
      <c r="R857">
        <f>HOUR(Q857)</f>
        <v>0</v>
      </c>
      <c r="S857">
        <f>MINUTE(Q857)</f>
        <v>25</v>
      </c>
      <c r="T857">
        <f>R857*60+S857</f>
        <v>25</v>
      </c>
      <c r="U857" s="7">
        <f>H857-G857</f>
        <v>3.8194444445252884E-2</v>
      </c>
      <c r="V857">
        <f>HOUR(U857)</f>
        <v>0</v>
      </c>
      <c r="W857">
        <f>MINUTE(U857)</f>
        <v>55</v>
      </c>
      <c r="X857">
        <f>V857*60+W857</f>
        <v>55</v>
      </c>
      <c r="Y857" s="7">
        <f>I857-H857</f>
        <v>6.9444444452528842E-3</v>
      </c>
      <c r="Z857">
        <f>HOUR(Y857)</f>
        <v>0</v>
      </c>
      <c r="AA857">
        <f>MINUTE(Y857)</f>
        <v>10</v>
      </c>
      <c r="AB857">
        <f>Z857*60+AA857</f>
        <v>10</v>
      </c>
    </row>
    <row r="858" spans="1:28" x14ac:dyDescent="0.25">
      <c r="A858">
        <v>856</v>
      </c>
      <c r="B858" t="s">
        <v>33</v>
      </c>
      <c r="C858">
        <v>1</v>
      </c>
      <c r="D858" t="s">
        <v>30</v>
      </c>
      <c r="E858" s="6">
        <v>46083.565972222219</v>
      </c>
      <c r="F858" s="6">
        <v>46083.583333333336</v>
      </c>
      <c r="G858" s="6">
        <v>46083.604166666664</v>
      </c>
      <c r="H858" s="6">
        <v>46083.652777777781</v>
      </c>
      <c r="I858" s="6">
        <v>46083.65347222222</v>
      </c>
      <c r="J858" s="6">
        <v>46083.654166666667</v>
      </c>
      <c r="K858">
        <v>2.12</v>
      </c>
      <c r="L858" s="6">
        <v>46083.661111111112</v>
      </c>
      <c r="M858" s="7">
        <f>F858-E858</f>
        <v>1.7361111116770189E-2</v>
      </c>
      <c r="N858">
        <f>HOUR(M858)</f>
        <v>0</v>
      </c>
      <c r="O858">
        <f>MINUTE(M858)</f>
        <v>25</v>
      </c>
      <c r="P858">
        <f>N858*60+O858</f>
        <v>25</v>
      </c>
      <c r="Q858" s="7">
        <f>G858-F858</f>
        <v>2.0833333328482695E-2</v>
      </c>
      <c r="R858">
        <f>HOUR(Q858)</f>
        <v>0</v>
      </c>
      <c r="S858">
        <f>MINUTE(Q858)</f>
        <v>30</v>
      </c>
      <c r="T858">
        <f>R858*60+S858</f>
        <v>30</v>
      </c>
      <c r="U858" s="7">
        <f>H858-G858</f>
        <v>4.8611111116770189E-2</v>
      </c>
      <c r="V858">
        <f>HOUR(U858)</f>
        <v>1</v>
      </c>
      <c r="W858">
        <f>MINUTE(U858)</f>
        <v>10</v>
      </c>
      <c r="X858">
        <f>V858*60+W858</f>
        <v>70</v>
      </c>
      <c r="Y858" s="7">
        <f>I858-H858</f>
        <v>6.9444443943211809E-4</v>
      </c>
      <c r="Z858">
        <f>HOUR(Y858)</f>
        <v>0</v>
      </c>
      <c r="AA858">
        <f>MINUTE(Y858)</f>
        <v>1</v>
      </c>
      <c r="AB858">
        <f>Z858*60+AA858</f>
        <v>1</v>
      </c>
    </row>
    <row r="859" spans="1:28" x14ac:dyDescent="0.25">
      <c r="A859">
        <v>857</v>
      </c>
      <c r="B859" t="s">
        <v>33</v>
      </c>
      <c r="C859">
        <v>1</v>
      </c>
      <c r="D859" t="s">
        <v>34</v>
      </c>
      <c r="E859" s="6">
        <v>46084.291666666664</v>
      </c>
      <c r="F859" s="6">
        <v>46084.333333333336</v>
      </c>
      <c r="G859" s="6">
        <v>46084.35</v>
      </c>
      <c r="H859" s="6">
        <v>46084.506944444445</v>
      </c>
      <c r="I859" s="6">
        <v>46084.520833333336</v>
      </c>
      <c r="J859" s="6">
        <v>46084.527777777781</v>
      </c>
      <c r="K859">
        <v>5.67</v>
      </c>
      <c r="L859" s="6">
        <v>46084.534722222219</v>
      </c>
      <c r="M859" s="7">
        <f>F859-E859</f>
        <v>4.1666666671517305E-2</v>
      </c>
      <c r="N859">
        <f>HOUR(M859)</f>
        <v>1</v>
      </c>
      <c r="O859">
        <f>MINUTE(M859)</f>
        <v>0</v>
      </c>
      <c r="P859">
        <f>N859*60+O859</f>
        <v>60</v>
      </c>
      <c r="Q859" s="7">
        <f>G859-F859</f>
        <v>1.6666666662786156E-2</v>
      </c>
      <c r="R859">
        <f>HOUR(Q859)</f>
        <v>0</v>
      </c>
      <c r="S859">
        <f>MINUTE(Q859)</f>
        <v>24</v>
      </c>
      <c r="T859">
        <f>R859*60+S859</f>
        <v>24</v>
      </c>
      <c r="U859" s="7">
        <f>H859-G859</f>
        <v>0.15694444444670808</v>
      </c>
      <c r="V859">
        <f>HOUR(U859)</f>
        <v>3</v>
      </c>
      <c r="W859">
        <f>MINUTE(U859)</f>
        <v>46</v>
      </c>
      <c r="X859">
        <f>V859*60+W859</f>
        <v>226</v>
      </c>
      <c r="Y859" s="7">
        <f>I859-H859</f>
        <v>1.3888888890505768E-2</v>
      </c>
      <c r="Z859">
        <f>HOUR(Y859)</f>
        <v>0</v>
      </c>
      <c r="AA859">
        <f>MINUTE(Y859)</f>
        <v>20</v>
      </c>
      <c r="AB859">
        <f>Z859*60+AA859</f>
        <v>20</v>
      </c>
    </row>
    <row r="860" spans="1:28" x14ac:dyDescent="0.25">
      <c r="A860">
        <v>858</v>
      </c>
      <c r="B860" t="s">
        <v>31</v>
      </c>
      <c r="C860">
        <v>1</v>
      </c>
      <c r="D860" t="s">
        <v>35</v>
      </c>
      <c r="E860" s="6">
        <v>46084.645833333336</v>
      </c>
      <c r="F860" s="6">
        <v>46084.655555555553</v>
      </c>
      <c r="G860" s="6">
        <v>46084.680555555555</v>
      </c>
      <c r="H860" s="6">
        <v>46084.80972222222</v>
      </c>
      <c r="I860" s="6">
        <v>46084.810416666667</v>
      </c>
      <c r="J860" s="6">
        <v>46084.811111111114</v>
      </c>
      <c r="K860">
        <v>3.97</v>
      </c>
      <c r="L860" s="6">
        <v>46084.818055555559</v>
      </c>
      <c r="M860" s="7">
        <f>F860-E860</f>
        <v>9.7222222175332718E-3</v>
      </c>
      <c r="N860">
        <f>HOUR(M860)</f>
        <v>0</v>
      </c>
      <c r="O860">
        <f>MINUTE(M860)</f>
        <v>14</v>
      </c>
      <c r="P860">
        <f>N860*60+O860</f>
        <v>14</v>
      </c>
      <c r="Q860" s="7">
        <f>G860-F860</f>
        <v>2.5000000001455192E-2</v>
      </c>
      <c r="R860">
        <f>HOUR(Q860)</f>
        <v>0</v>
      </c>
      <c r="S860">
        <f>MINUTE(Q860)</f>
        <v>36</v>
      </c>
      <c r="T860">
        <f>R860*60+S860</f>
        <v>36</v>
      </c>
      <c r="U860" s="7">
        <f>H860-G860</f>
        <v>0.12916666666569654</v>
      </c>
      <c r="V860">
        <f>HOUR(U860)</f>
        <v>3</v>
      </c>
      <c r="W860">
        <f>MINUTE(U860)</f>
        <v>6</v>
      </c>
      <c r="X860">
        <f>V860*60+W860</f>
        <v>186</v>
      </c>
      <c r="Y860" s="7">
        <f>I860-H860</f>
        <v>6.944444467080757E-4</v>
      </c>
      <c r="Z860">
        <f>HOUR(Y860)</f>
        <v>0</v>
      </c>
      <c r="AA860">
        <f>MINUTE(Y860)</f>
        <v>1</v>
      </c>
      <c r="AB860">
        <f>Z860*60+AA860</f>
        <v>1</v>
      </c>
    </row>
    <row r="861" spans="1:28" x14ac:dyDescent="0.25">
      <c r="A861">
        <v>859</v>
      </c>
      <c r="B861" t="s">
        <v>31</v>
      </c>
      <c r="C861">
        <v>1</v>
      </c>
      <c r="D861" t="s">
        <v>32</v>
      </c>
      <c r="E861" s="6">
        <v>46084.472222222219</v>
      </c>
      <c r="F861" s="6">
        <v>46084.486111111109</v>
      </c>
      <c r="G861" s="6">
        <v>46084.524305555555</v>
      </c>
      <c r="H861" s="6">
        <v>46084.621527777781</v>
      </c>
      <c r="I861" s="6">
        <v>46084.628472222219</v>
      </c>
      <c r="J861" s="6">
        <v>46084.635416666664</v>
      </c>
      <c r="K861">
        <v>3.92</v>
      </c>
      <c r="L861" s="6">
        <v>46084.638888888891</v>
      </c>
      <c r="M861" s="7">
        <f>F861-E861</f>
        <v>1.3888888890505768E-2</v>
      </c>
      <c r="N861">
        <f>HOUR(M861)</f>
        <v>0</v>
      </c>
      <c r="O861">
        <f>MINUTE(M861)</f>
        <v>20</v>
      </c>
      <c r="P861">
        <f>N861*60+O861</f>
        <v>20</v>
      </c>
      <c r="Q861" s="7">
        <f>G861-F861</f>
        <v>3.8194444445252884E-2</v>
      </c>
      <c r="R861">
        <f>HOUR(Q861)</f>
        <v>0</v>
      </c>
      <c r="S861">
        <f>MINUTE(Q861)</f>
        <v>55</v>
      </c>
      <c r="T861">
        <f>R861*60+S861</f>
        <v>55</v>
      </c>
      <c r="U861" s="7">
        <f>H861-G861</f>
        <v>9.7222222226264421E-2</v>
      </c>
      <c r="V861">
        <f>HOUR(U861)</f>
        <v>2</v>
      </c>
      <c r="W861">
        <f>MINUTE(U861)</f>
        <v>20</v>
      </c>
      <c r="X861">
        <f>V861*60+W861</f>
        <v>140</v>
      </c>
      <c r="Y861" s="7">
        <f>I861-H861</f>
        <v>6.9444444379769266E-3</v>
      </c>
      <c r="Z861">
        <f>HOUR(Y861)</f>
        <v>0</v>
      </c>
      <c r="AA861">
        <f>MINUTE(Y861)</f>
        <v>10</v>
      </c>
      <c r="AB861">
        <f>Z861*60+AA861</f>
        <v>10</v>
      </c>
    </row>
    <row r="862" spans="1:28" x14ac:dyDescent="0.25">
      <c r="A862">
        <v>860</v>
      </c>
      <c r="B862" t="s">
        <v>33</v>
      </c>
      <c r="C862">
        <v>1</v>
      </c>
      <c r="D862" t="s">
        <v>32</v>
      </c>
      <c r="E862" s="6">
        <v>46084.550694444442</v>
      </c>
      <c r="F862" s="6">
        <v>46084.555555555555</v>
      </c>
      <c r="G862" s="6">
        <v>46084.569444444445</v>
      </c>
      <c r="H862" s="6">
        <v>46084.59375</v>
      </c>
      <c r="I862" s="6">
        <v>46084.600694444445</v>
      </c>
      <c r="J862" s="6">
        <v>46084.611111111109</v>
      </c>
      <c r="K862">
        <v>1.45</v>
      </c>
      <c r="L862" s="6">
        <v>46084.614583333336</v>
      </c>
      <c r="M862" s="7">
        <f>F862-E862</f>
        <v>4.8611111124046147E-3</v>
      </c>
      <c r="N862">
        <f>HOUR(M862)</f>
        <v>0</v>
      </c>
      <c r="O862">
        <f>MINUTE(M862)</f>
        <v>7</v>
      </c>
      <c r="P862">
        <f>N862*60+O862</f>
        <v>7</v>
      </c>
      <c r="Q862" s="7">
        <f>G862-F862</f>
        <v>1.3888888890505768E-2</v>
      </c>
      <c r="R862">
        <f>HOUR(Q862)</f>
        <v>0</v>
      </c>
      <c r="S862">
        <f>MINUTE(Q862)</f>
        <v>20</v>
      </c>
      <c r="T862">
        <f>R862*60+S862</f>
        <v>20</v>
      </c>
      <c r="U862" s="7">
        <f>H862-G862</f>
        <v>2.4305555554747116E-2</v>
      </c>
      <c r="V862">
        <f>HOUR(U862)</f>
        <v>0</v>
      </c>
      <c r="W862">
        <f>MINUTE(U862)</f>
        <v>35</v>
      </c>
      <c r="X862">
        <f>V862*60+W862</f>
        <v>35</v>
      </c>
      <c r="Y862" s="7">
        <f>I862-H862</f>
        <v>6.9444444452528842E-3</v>
      </c>
      <c r="Z862">
        <f>HOUR(Y862)</f>
        <v>0</v>
      </c>
      <c r="AA862">
        <f>MINUTE(Y862)</f>
        <v>10</v>
      </c>
      <c r="AB862">
        <f>Z862*60+AA862</f>
        <v>10</v>
      </c>
    </row>
    <row r="863" spans="1:28" x14ac:dyDescent="0.25">
      <c r="A863">
        <v>861</v>
      </c>
      <c r="B863" t="s">
        <v>31</v>
      </c>
      <c r="C863">
        <v>1</v>
      </c>
      <c r="D863" t="s">
        <v>34</v>
      </c>
      <c r="E863" s="6">
        <v>46084.746527777781</v>
      </c>
      <c r="F863" s="6">
        <v>46084.756944444445</v>
      </c>
      <c r="G863" s="6">
        <v>46084.788194444445</v>
      </c>
      <c r="H863" s="6">
        <v>46084.9375</v>
      </c>
      <c r="I863" s="6">
        <v>46084.944444444445</v>
      </c>
      <c r="J863" s="6">
        <v>46084.958333333336</v>
      </c>
      <c r="K863">
        <v>5.08</v>
      </c>
      <c r="L863" s="6">
        <v>46084.961805555555</v>
      </c>
      <c r="M863" s="7">
        <f>F863-E863</f>
        <v>1.0416666664241347E-2</v>
      </c>
      <c r="N863">
        <f>HOUR(M863)</f>
        <v>0</v>
      </c>
      <c r="O863">
        <f>MINUTE(M863)</f>
        <v>15</v>
      </c>
      <c r="P863">
        <f>N863*60+O863</f>
        <v>15</v>
      </c>
      <c r="Q863" s="7">
        <f>G863-F863</f>
        <v>3.125E-2</v>
      </c>
      <c r="R863">
        <f>HOUR(Q863)</f>
        <v>0</v>
      </c>
      <c r="S863">
        <f>MINUTE(Q863)</f>
        <v>45</v>
      </c>
      <c r="T863">
        <f>R863*60+S863</f>
        <v>45</v>
      </c>
      <c r="U863" s="7">
        <f>H863-G863</f>
        <v>0.14930555555474712</v>
      </c>
      <c r="V863">
        <f>HOUR(U863)</f>
        <v>3</v>
      </c>
      <c r="W863">
        <f>MINUTE(U863)</f>
        <v>35</v>
      </c>
      <c r="X863">
        <f>V863*60+W863</f>
        <v>215</v>
      </c>
      <c r="Y863" s="7">
        <f>I863-H863</f>
        <v>6.9444444452528842E-3</v>
      </c>
      <c r="Z863">
        <f>HOUR(Y863)</f>
        <v>0</v>
      </c>
      <c r="AA863">
        <f>MINUTE(Y863)</f>
        <v>10</v>
      </c>
      <c r="AB863">
        <f>Z863*60+AA863</f>
        <v>10</v>
      </c>
    </row>
    <row r="864" spans="1:28" x14ac:dyDescent="0.25">
      <c r="A864">
        <v>862</v>
      </c>
      <c r="B864" t="s">
        <v>31</v>
      </c>
      <c r="C864">
        <v>1</v>
      </c>
      <c r="D864" t="s">
        <v>37</v>
      </c>
      <c r="E864" s="6">
        <v>46084.345833333333</v>
      </c>
      <c r="F864" s="6">
        <v>46084.354166666664</v>
      </c>
      <c r="G864" s="6">
        <v>46084.378472222219</v>
      </c>
      <c r="H864" s="6">
        <v>46084.386805555558</v>
      </c>
      <c r="I864" s="6">
        <v>46084.388888888891</v>
      </c>
      <c r="J864" s="6">
        <v>46084.438888888886</v>
      </c>
      <c r="K864">
        <v>2.23</v>
      </c>
      <c r="L864" s="6">
        <v>46084.439583333333</v>
      </c>
      <c r="M864" s="7">
        <f>F864-E864</f>
        <v>8.333333331393078E-3</v>
      </c>
      <c r="N864">
        <f>HOUR(M864)</f>
        <v>0</v>
      </c>
      <c r="O864">
        <f>MINUTE(M864)</f>
        <v>12</v>
      </c>
      <c r="P864">
        <f>N864*60+O864</f>
        <v>12</v>
      </c>
      <c r="Q864" s="7">
        <f>G864-F864</f>
        <v>2.4305555554747116E-2</v>
      </c>
      <c r="R864">
        <f>HOUR(Q864)</f>
        <v>0</v>
      </c>
      <c r="S864">
        <f>MINUTE(Q864)</f>
        <v>35</v>
      </c>
      <c r="T864">
        <f>R864*60+S864</f>
        <v>35</v>
      </c>
      <c r="U864" s="7">
        <f>H864-G864</f>
        <v>8.3333333386690356E-3</v>
      </c>
      <c r="V864">
        <f>HOUR(U864)</f>
        <v>0</v>
      </c>
      <c r="W864">
        <f>MINUTE(U864)</f>
        <v>12</v>
      </c>
      <c r="X864">
        <f>V864*60+W864</f>
        <v>12</v>
      </c>
      <c r="Y864" s="7">
        <f>I864-H864</f>
        <v>2.0833333328482695E-3</v>
      </c>
      <c r="Z864">
        <f>HOUR(Y864)</f>
        <v>0</v>
      </c>
      <c r="AA864">
        <f>MINUTE(Y864)</f>
        <v>3</v>
      </c>
      <c r="AB864">
        <f>Z864*60+AA864</f>
        <v>3</v>
      </c>
    </row>
    <row r="865" spans="1:28" x14ac:dyDescent="0.25">
      <c r="A865">
        <v>863</v>
      </c>
      <c r="B865" t="s">
        <v>33</v>
      </c>
      <c r="C865">
        <v>1</v>
      </c>
      <c r="D865" t="s">
        <v>36</v>
      </c>
      <c r="E865" s="6">
        <v>46084.427083333336</v>
      </c>
      <c r="F865" s="6">
        <v>46084.430555555555</v>
      </c>
      <c r="G865" s="6">
        <v>46084.451388888891</v>
      </c>
      <c r="H865" s="6">
        <v>46084.461805555555</v>
      </c>
      <c r="I865" s="6">
        <v>46084.472222222219</v>
      </c>
      <c r="J865" s="6">
        <v>46084.510416666664</v>
      </c>
      <c r="K865">
        <v>2</v>
      </c>
      <c r="L865" s="6">
        <v>46084.517361111109</v>
      </c>
      <c r="M865" s="7">
        <f>F865-E865</f>
        <v>3.4722222189884633E-3</v>
      </c>
      <c r="N865">
        <f>HOUR(M865)</f>
        <v>0</v>
      </c>
      <c r="O865">
        <f>MINUTE(M865)</f>
        <v>5</v>
      </c>
      <c r="P865">
        <f>N865*60+O865</f>
        <v>5</v>
      </c>
      <c r="Q865" s="7">
        <f>G865-F865</f>
        <v>2.0833333335758653E-2</v>
      </c>
      <c r="R865">
        <f>HOUR(Q865)</f>
        <v>0</v>
      </c>
      <c r="S865">
        <f>MINUTE(Q865)</f>
        <v>30</v>
      </c>
      <c r="T865">
        <f>R865*60+S865</f>
        <v>30</v>
      </c>
      <c r="U865" s="7">
        <f>H865-G865</f>
        <v>1.0416666664241347E-2</v>
      </c>
      <c r="V865">
        <f>HOUR(U865)</f>
        <v>0</v>
      </c>
      <c r="W865">
        <f>MINUTE(U865)</f>
        <v>15</v>
      </c>
      <c r="X865">
        <f>V865*60+W865</f>
        <v>15</v>
      </c>
      <c r="Y865" s="7">
        <f>I865-H865</f>
        <v>1.0416666664241347E-2</v>
      </c>
      <c r="Z865">
        <f>HOUR(Y865)</f>
        <v>0</v>
      </c>
      <c r="AA865">
        <f>MINUTE(Y865)</f>
        <v>15</v>
      </c>
      <c r="AB865">
        <f>Z865*60+AA865</f>
        <v>15</v>
      </c>
    </row>
    <row r="866" spans="1:28" x14ac:dyDescent="0.25">
      <c r="A866">
        <v>864</v>
      </c>
      <c r="B866" t="s">
        <v>29</v>
      </c>
      <c r="C866">
        <v>1</v>
      </c>
      <c r="D866" t="s">
        <v>35</v>
      </c>
      <c r="E866" s="6">
        <v>46084.319444444445</v>
      </c>
      <c r="F866" s="6">
        <v>46084.329861111109</v>
      </c>
      <c r="G866" s="6">
        <v>46084.361111111109</v>
      </c>
      <c r="H866" s="6">
        <v>46084.381944444445</v>
      </c>
      <c r="I866" s="6">
        <v>46084.395833333336</v>
      </c>
      <c r="J866" s="6">
        <v>46084.40625</v>
      </c>
      <c r="K866">
        <v>2.08</v>
      </c>
      <c r="L866" s="6">
        <v>46084.409722222219</v>
      </c>
      <c r="M866" s="7">
        <f>F866-E866</f>
        <v>1.0416666664241347E-2</v>
      </c>
      <c r="N866">
        <f>HOUR(M866)</f>
        <v>0</v>
      </c>
      <c r="O866">
        <f>MINUTE(M866)</f>
        <v>15</v>
      </c>
      <c r="P866">
        <f>N866*60+O866</f>
        <v>15</v>
      </c>
      <c r="Q866" s="7">
        <f>G866-F866</f>
        <v>3.125E-2</v>
      </c>
      <c r="R866">
        <f>HOUR(Q866)</f>
        <v>0</v>
      </c>
      <c r="S866">
        <f>MINUTE(Q866)</f>
        <v>45</v>
      </c>
      <c r="T866">
        <f>R866*60+S866</f>
        <v>45</v>
      </c>
      <c r="U866" s="7">
        <f>H866-G866</f>
        <v>2.0833333335758653E-2</v>
      </c>
      <c r="V866">
        <f>HOUR(U866)</f>
        <v>0</v>
      </c>
      <c r="W866">
        <f>MINUTE(U866)</f>
        <v>30</v>
      </c>
      <c r="X866">
        <f>V866*60+W866</f>
        <v>30</v>
      </c>
      <c r="Y866" s="7">
        <f>I866-H866</f>
        <v>1.3888888890505768E-2</v>
      </c>
      <c r="Z866">
        <f>HOUR(Y866)</f>
        <v>0</v>
      </c>
      <c r="AA866">
        <f>MINUTE(Y866)</f>
        <v>20</v>
      </c>
      <c r="AB866">
        <f>Z866*60+AA866</f>
        <v>20</v>
      </c>
    </row>
    <row r="867" spans="1:28" x14ac:dyDescent="0.25">
      <c r="A867">
        <v>865</v>
      </c>
      <c r="B867" t="s">
        <v>29</v>
      </c>
      <c r="C867">
        <v>1</v>
      </c>
      <c r="D867" t="s">
        <v>30</v>
      </c>
      <c r="E867" s="6">
        <v>46083.649305555555</v>
      </c>
      <c r="F867" s="6">
        <v>46083.65625</v>
      </c>
      <c r="G867" s="6">
        <v>46083.656944444447</v>
      </c>
      <c r="H867" s="6">
        <v>46083.708333333336</v>
      </c>
      <c r="I867" s="6">
        <v>46083.715277777781</v>
      </c>
      <c r="J867" s="6">
        <v>46083.739583333336</v>
      </c>
      <c r="K867">
        <v>2.15</v>
      </c>
      <c r="L867" s="6">
        <v>46083.746527777781</v>
      </c>
      <c r="M867" s="7">
        <f>F867-E867</f>
        <v>6.9444444452528842E-3</v>
      </c>
      <c r="N867">
        <f>HOUR(M867)</f>
        <v>0</v>
      </c>
      <c r="O867">
        <f>MINUTE(M867)</f>
        <v>10</v>
      </c>
      <c r="P867">
        <f>N867*60+O867</f>
        <v>10</v>
      </c>
      <c r="Q867" s="7">
        <f>G867-F867</f>
        <v>6.944444467080757E-4</v>
      </c>
      <c r="R867">
        <f>HOUR(Q867)</f>
        <v>0</v>
      </c>
      <c r="S867">
        <f>MINUTE(Q867)</f>
        <v>1</v>
      </c>
      <c r="T867">
        <f>R867*60+S867</f>
        <v>1</v>
      </c>
      <c r="U867" s="7">
        <f>H867-G867</f>
        <v>5.1388888889050577E-2</v>
      </c>
      <c r="V867">
        <f>HOUR(U867)</f>
        <v>1</v>
      </c>
      <c r="W867">
        <f>MINUTE(U867)</f>
        <v>14</v>
      </c>
      <c r="X867">
        <f>V867*60+W867</f>
        <v>74</v>
      </c>
      <c r="Y867" s="7">
        <f>I867-H867</f>
        <v>6.9444444452528842E-3</v>
      </c>
      <c r="Z867">
        <f>HOUR(Y867)</f>
        <v>0</v>
      </c>
      <c r="AA867">
        <f>MINUTE(Y867)</f>
        <v>10</v>
      </c>
      <c r="AB867">
        <f>Z867*60+AA867</f>
        <v>10</v>
      </c>
    </row>
    <row r="868" spans="1:28" x14ac:dyDescent="0.25">
      <c r="A868">
        <v>866</v>
      </c>
      <c r="B868" t="s">
        <v>33</v>
      </c>
      <c r="C868">
        <v>1</v>
      </c>
      <c r="D868" t="s">
        <v>34</v>
      </c>
      <c r="E868" s="6">
        <v>46083.760416666664</v>
      </c>
      <c r="F868" s="6">
        <v>46083.770833333336</v>
      </c>
      <c r="G868" s="6">
        <v>46083.795138888891</v>
      </c>
      <c r="H868" s="6">
        <v>46083.819444444445</v>
      </c>
      <c r="I868" s="6">
        <v>46083.822916666664</v>
      </c>
      <c r="J868" s="6">
        <v>46083.826388888891</v>
      </c>
      <c r="K868">
        <v>1.58</v>
      </c>
      <c r="L868" s="6">
        <v>46083.833333333336</v>
      </c>
      <c r="M868" s="7">
        <f>F868-E868</f>
        <v>1.0416666671517305E-2</v>
      </c>
      <c r="N868">
        <f>HOUR(M868)</f>
        <v>0</v>
      </c>
      <c r="O868">
        <f>MINUTE(M868)</f>
        <v>15</v>
      </c>
      <c r="P868">
        <f>N868*60+O868</f>
        <v>15</v>
      </c>
      <c r="Q868" s="7">
        <f>G868-F868</f>
        <v>2.4305555554747116E-2</v>
      </c>
      <c r="R868">
        <f>HOUR(Q868)</f>
        <v>0</v>
      </c>
      <c r="S868">
        <f>MINUTE(Q868)</f>
        <v>35</v>
      </c>
      <c r="T868">
        <f>R868*60+S868</f>
        <v>35</v>
      </c>
      <c r="U868" s="7">
        <f>H868-G868</f>
        <v>2.4305555554747116E-2</v>
      </c>
      <c r="V868">
        <f>HOUR(U868)</f>
        <v>0</v>
      </c>
      <c r="W868">
        <f>MINUTE(U868)</f>
        <v>35</v>
      </c>
      <c r="X868">
        <f>V868*60+W868</f>
        <v>35</v>
      </c>
      <c r="Y868" s="7">
        <f>I868-H868</f>
        <v>3.4722222189884633E-3</v>
      </c>
      <c r="Z868">
        <f>HOUR(Y868)</f>
        <v>0</v>
      </c>
      <c r="AA868">
        <f>MINUTE(Y868)</f>
        <v>5</v>
      </c>
      <c r="AB868">
        <f>Z868*60+AA868</f>
        <v>5</v>
      </c>
    </row>
    <row r="869" spans="1:28" x14ac:dyDescent="0.25">
      <c r="A869">
        <v>867</v>
      </c>
      <c r="B869" t="s">
        <v>33</v>
      </c>
      <c r="C869">
        <v>1</v>
      </c>
      <c r="D869" t="s">
        <v>30</v>
      </c>
      <c r="E869" s="6">
        <v>46083.729166666664</v>
      </c>
      <c r="F869" s="6">
        <v>46083.736111111109</v>
      </c>
      <c r="G869" s="6">
        <v>46083.75</v>
      </c>
      <c r="H869" s="6">
        <v>46083.770833333336</v>
      </c>
      <c r="I869" s="6">
        <v>46083.777777777781</v>
      </c>
      <c r="J869" s="6">
        <v>46083.77847222222</v>
      </c>
      <c r="K869">
        <v>1.18</v>
      </c>
      <c r="L869" s="6">
        <v>46083.785416666666</v>
      </c>
      <c r="M869" s="7">
        <f>F869-E869</f>
        <v>6.9444444452528842E-3</v>
      </c>
      <c r="N869">
        <f>HOUR(M869)</f>
        <v>0</v>
      </c>
      <c r="O869">
        <f>MINUTE(M869)</f>
        <v>10</v>
      </c>
      <c r="P869">
        <f>N869*60+O869</f>
        <v>10</v>
      </c>
      <c r="Q869" s="7">
        <f>G869-F869</f>
        <v>1.3888888890505768E-2</v>
      </c>
      <c r="R869">
        <f>HOUR(Q869)</f>
        <v>0</v>
      </c>
      <c r="S869">
        <f>MINUTE(Q869)</f>
        <v>20</v>
      </c>
      <c r="T869">
        <f>R869*60+S869</f>
        <v>20</v>
      </c>
      <c r="U869" s="7">
        <f>H869-G869</f>
        <v>2.0833333335758653E-2</v>
      </c>
      <c r="V869">
        <f>HOUR(U869)</f>
        <v>0</v>
      </c>
      <c r="W869">
        <f>MINUTE(U869)</f>
        <v>30</v>
      </c>
      <c r="X869">
        <f>V869*60+W869</f>
        <v>30</v>
      </c>
      <c r="Y869" s="7">
        <f>I869-H869</f>
        <v>6.9444444452528842E-3</v>
      </c>
      <c r="Z869">
        <f>HOUR(Y869)</f>
        <v>0</v>
      </c>
      <c r="AA869">
        <f>MINUTE(Y869)</f>
        <v>10</v>
      </c>
      <c r="AB869">
        <f>Z869*60+AA869</f>
        <v>10</v>
      </c>
    </row>
    <row r="870" spans="1:28" x14ac:dyDescent="0.25">
      <c r="A870">
        <v>868</v>
      </c>
      <c r="B870" t="s">
        <v>29</v>
      </c>
      <c r="C870">
        <v>1</v>
      </c>
      <c r="D870" t="s">
        <v>30</v>
      </c>
      <c r="E870" s="6">
        <v>46083.929861111108</v>
      </c>
      <c r="F870" s="6">
        <v>46083.930555555555</v>
      </c>
      <c r="G870" s="6">
        <v>46083.958333333336</v>
      </c>
      <c r="H870" s="6">
        <v>46084.083333333336</v>
      </c>
      <c r="I870" s="6">
        <v>46084.090277777781</v>
      </c>
      <c r="J870" s="6">
        <v>46084.104166666664</v>
      </c>
      <c r="K870">
        <v>4.18</v>
      </c>
      <c r="L870" s="6">
        <v>46084.111111111109</v>
      </c>
      <c r="M870" s="7">
        <f>F870-E870</f>
        <v>6.944444467080757E-4</v>
      </c>
      <c r="N870">
        <f>HOUR(M870)</f>
        <v>0</v>
      </c>
      <c r="O870">
        <f>MINUTE(M870)</f>
        <v>1</v>
      </c>
      <c r="P870">
        <f>N870*60+O870</f>
        <v>1</v>
      </c>
      <c r="Q870" s="7">
        <f>G870-F870</f>
        <v>2.7777777781011537E-2</v>
      </c>
      <c r="R870">
        <f>HOUR(Q870)</f>
        <v>0</v>
      </c>
      <c r="S870">
        <f>MINUTE(Q870)</f>
        <v>40</v>
      </c>
      <c r="T870">
        <f>R870*60+S870</f>
        <v>40</v>
      </c>
      <c r="U870" s="7">
        <f>H870-G870</f>
        <v>0.125</v>
      </c>
      <c r="V870">
        <f>HOUR(U870)</f>
        <v>3</v>
      </c>
      <c r="W870">
        <f>MINUTE(U870)</f>
        <v>0</v>
      </c>
      <c r="X870">
        <f>V870*60+W870</f>
        <v>180</v>
      </c>
      <c r="Y870" s="7">
        <f>I870-H870</f>
        <v>6.9444444452528842E-3</v>
      </c>
      <c r="Z870">
        <f>HOUR(Y870)</f>
        <v>0</v>
      </c>
      <c r="AA870">
        <f>MINUTE(Y870)</f>
        <v>10</v>
      </c>
      <c r="AB870">
        <f>Z870*60+AA870</f>
        <v>10</v>
      </c>
    </row>
    <row r="871" spans="1:28" x14ac:dyDescent="0.25">
      <c r="A871">
        <v>869</v>
      </c>
      <c r="B871" t="s">
        <v>31</v>
      </c>
      <c r="C871">
        <v>1</v>
      </c>
      <c r="D871" t="s">
        <v>36</v>
      </c>
      <c r="E871" s="6">
        <v>46084.291666666664</v>
      </c>
      <c r="F871" s="6">
        <v>46084.333333333336</v>
      </c>
      <c r="G871" s="6">
        <v>46084.340277777781</v>
      </c>
      <c r="H871" s="6">
        <v>46084.409722222219</v>
      </c>
      <c r="I871" s="6">
        <v>46084.416666666664</v>
      </c>
      <c r="J871" s="6">
        <v>46084.423611111109</v>
      </c>
      <c r="K871">
        <v>3.17</v>
      </c>
      <c r="L871" s="6">
        <v>46084.430555555555</v>
      </c>
      <c r="M871" s="7">
        <f>F871-E871</f>
        <v>4.1666666671517305E-2</v>
      </c>
      <c r="N871">
        <f>HOUR(M871)</f>
        <v>1</v>
      </c>
      <c r="O871">
        <f>MINUTE(M871)</f>
        <v>0</v>
      </c>
      <c r="P871">
        <f>N871*60+O871</f>
        <v>60</v>
      </c>
      <c r="Q871" s="7">
        <f>G871-F871</f>
        <v>6.9444444452528842E-3</v>
      </c>
      <c r="R871">
        <f>HOUR(Q871)</f>
        <v>0</v>
      </c>
      <c r="S871">
        <f>MINUTE(Q871)</f>
        <v>10</v>
      </c>
      <c r="T871">
        <f>R871*60+S871</f>
        <v>10</v>
      </c>
      <c r="U871" s="7">
        <f>H871-G871</f>
        <v>6.9444444437976927E-2</v>
      </c>
      <c r="V871">
        <f>HOUR(U871)</f>
        <v>1</v>
      </c>
      <c r="W871">
        <f>MINUTE(U871)</f>
        <v>40</v>
      </c>
      <c r="X871">
        <f>V871*60+W871</f>
        <v>100</v>
      </c>
      <c r="Y871" s="7">
        <f>I871-H871</f>
        <v>6.9444444452528842E-3</v>
      </c>
      <c r="Z871">
        <f>HOUR(Y871)</f>
        <v>0</v>
      </c>
      <c r="AA871">
        <f>MINUTE(Y871)</f>
        <v>10</v>
      </c>
      <c r="AB871">
        <f>Z871*60+AA871</f>
        <v>10</v>
      </c>
    </row>
    <row r="872" spans="1:28" x14ac:dyDescent="0.25">
      <c r="A872">
        <v>870</v>
      </c>
      <c r="B872" t="s">
        <v>33</v>
      </c>
      <c r="C872">
        <v>1</v>
      </c>
      <c r="D872" t="s">
        <v>30</v>
      </c>
      <c r="E872" s="6">
        <v>46083.890972222223</v>
      </c>
      <c r="F872" s="6">
        <v>46083.897916666669</v>
      </c>
      <c r="G872" s="6">
        <v>46083.90347222222</v>
      </c>
      <c r="H872" s="6">
        <v>46083.945138888892</v>
      </c>
      <c r="I872" s="6">
        <v>46083.947222222225</v>
      </c>
      <c r="J872" s="6">
        <v>46083.947916666664</v>
      </c>
      <c r="K872">
        <v>1.37</v>
      </c>
      <c r="L872" s="6">
        <v>46083.954861111109</v>
      </c>
      <c r="M872" s="7">
        <f>F872-E872</f>
        <v>6.9444444452528842E-3</v>
      </c>
      <c r="N872">
        <f>HOUR(M872)</f>
        <v>0</v>
      </c>
      <c r="O872">
        <f>MINUTE(M872)</f>
        <v>10</v>
      </c>
      <c r="P872">
        <f>N872*60+O872</f>
        <v>10</v>
      </c>
      <c r="Q872" s="7">
        <f>G872-F872</f>
        <v>5.5555555518367328E-3</v>
      </c>
      <c r="R872">
        <f>HOUR(Q872)</f>
        <v>0</v>
      </c>
      <c r="S872">
        <f>MINUTE(Q872)</f>
        <v>8</v>
      </c>
      <c r="T872">
        <f>R872*60+S872</f>
        <v>8</v>
      </c>
      <c r="U872" s="7">
        <f>H872-G872</f>
        <v>4.1666666671517305E-2</v>
      </c>
      <c r="V872">
        <f>HOUR(U872)</f>
        <v>1</v>
      </c>
      <c r="W872">
        <f>MINUTE(U872)</f>
        <v>0</v>
      </c>
      <c r="X872">
        <f>V872*60+W872</f>
        <v>60</v>
      </c>
      <c r="Y872" s="7">
        <f>I872-H872</f>
        <v>2.0833333328482695E-3</v>
      </c>
      <c r="Z872">
        <f>HOUR(Y872)</f>
        <v>0</v>
      </c>
      <c r="AA872">
        <f>MINUTE(Y872)</f>
        <v>3</v>
      </c>
      <c r="AB872">
        <f>Z872*60+AA872</f>
        <v>3</v>
      </c>
    </row>
    <row r="873" spans="1:28" x14ac:dyDescent="0.25">
      <c r="A873">
        <v>871</v>
      </c>
      <c r="B873" t="s">
        <v>33</v>
      </c>
      <c r="C873">
        <v>1</v>
      </c>
      <c r="D873" t="s">
        <v>30</v>
      </c>
      <c r="E873" s="6">
        <v>46083.972222222219</v>
      </c>
      <c r="F873" s="6">
        <v>46083.979166666664</v>
      </c>
      <c r="G873" s="6">
        <v>46083.989583333336</v>
      </c>
      <c r="H873" s="6">
        <v>46084.003472222219</v>
      </c>
      <c r="I873" s="6">
        <v>46084.006944444445</v>
      </c>
      <c r="J873" s="6">
        <v>46084.013888888891</v>
      </c>
      <c r="K873">
        <v>1</v>
      </c>
      <c r="L873" s="6">
        <v>46084.020833333336</v>
      </c>
      <c r="M873" s="7">
        <f>F873-E873</f>
        <v>6.9444444452528842E-3</v>
      </c>
      <c r="N873">
        <f>HOUR(M873)</f>
        <v>0</v>
      </c>
      <c r="O873">
        <f>MINUTE(M873)</f>
        <v>10</v>
      </c>
      <c r="P873">
        <f>N873*60+O873</f>
        <v>10</v>
      </c>
      <c r="Q873" s="7">
        <f>G873-F873</f>
        <v>1.0416666671517305E-2</v>
      </c>
      <c r="R873">
        <f>HOUR(Q873)</f>
        <v>0</v>
      </c>
      <c r="S873">
        <f>MINUTE(Q873)</f>
        <v>15</v>
      </c>
      <c r="T873">
        <f>R873*60+S873</f>
        <v>15</v>
      </c>
      <c r="U873" s="7">
        <f>H873-G873</f>
        <v>1.3888888883229811E-2</v>
      </c>
      <c r="V873">
        <f>HOUR(U873)</f>
        <v>0</v>
      </c>
      <c r="W873">
        <f>MINUTE(U873)</f>
        <v>20</v>
      </c>
      <c r="X873">
        <f>V873*60+W873</f>
        <v>20</v>
      </c>
      <c r="Y873" s="7">
        <f>I873-H873</f>
        <v>3.4722222262644209E-3</v>
      </c>
      <c r="Z873">
        <f>HOUR(Y873)</f>
        <v>0</v>
      </c>
      <c r="AA873">
        <f>MINUTE(Y873)</f>
        <v>5</v>
      </c>
      <c r="AB873">
        <f>Z873*60+AA873</f>
        <v>5</v>
      </c>
    </row>
    <row r="874" spans="1:28" x14ac:dyDescent="0.25">
      <c r="A874">
        <v>872</v>
      </c>
      <c r="B874" t="s">
        <v>29</v>
      </c>
      <c r="C874">
        <v>1</v>
      </c>
      <c r="D874" t="s">
        <v>30</v>
      </c>
      <c r="E874" s="6">
        <v>46084</v>
      </c>
      <c r="F874" s="6">
        <v>46084.006944444445</v>
      </c>
      <c r="G874" s="6">
        <v>46084.010416666664</v>
      </c>
      <c r="H874" s="6">
        <v>46084.020833333336</v>
      </c>
      <c r="I874" s="6">
        <v>46084.027777777781</v>
      </c>
      <c r="J874" s="6">
        <v>46084.02847222222</v>
      </c>
      <c r="K874">
        <v>0.68</v>
      </c>
      <c r="L874" s="6">
        <v>46084.035416666666</v>
      </c>
      <c r="M874" s="7">
        <f>F874-E874</f>
        <v>6.9444444452528842E-3</v>
      </c>
      <c r="N874">
        <f>HOUR(M874)</f>
        <v>0</v>
      </c>
      <c r="O874">
        <f>MINUTE(M874)</f>
        <v>10</v>
      </c>
      <c r="P874">
        <f>N874*60+O874</f>
        <v>10</v>
      </c>
      <c r="Q874" s="7">
        <f>G874-F874</f>
        <v>3.4722222189884633E-3</v>
      </c>
      <c r="R874">
        <f>HOUR(Q874)</f>
        <v>0</v>
      </c>
      <c r="S874">
        <f>MINUTE(Q874)</f>
        <v>5</v>
      </c>
      <c r="T874">
        <f>R874*60+S874</f>
        <v>5</v>
      </c>
      <c r="U874" s="7">
        <f>H874-G874</f>
        <v>1.0416666671517305E-2</v>
      </c>
      <c r="V874">
        <f>HOUR(U874)</f>
        <v>0</v>
      </c>
      <c r="W874">
        <f>MINUTE(U874)</f>
        <v>15</v>
      </c>
      <c r="X874">
        <f>V874*60+W874</f>
        <v>15</v>
      </c>
      <c r="Y874" s="7">
        <f>I874-H874</f>
        <v>6.9444444452528842E-3</v>
      </c>
      <c r="Z874">
        <f>HOUR(Y874)</f>
        <v>0</v>
      </c>
      <c r="AA874">
        <f>MINUTE(Y874)</f>
        <v>10</v>
      </c>
      <c r="AB874">
        <f>Z874*60+AA874</f>
        <v>10</v>
      </c>
    </row>
    <row r="875" spans="1:28" x14ac:dyDescent="0.25">
      <c r="A875">
        <v>873</v>
      </c>
      <c r="B875" t="s">
        <v>29</v>
      </c>
      <c r="C875">
        <v>1</v>
      </c>
      <c r="D875" t="s">
        <v>30</v>
      </c>
      <c r="E875" s="6">
        <v>46084.045138888891</v>
      </c>
      <c r="F875" s="6">
        <v>46084.052083333336</v>
      </c>
      <c r="G875" s="6">
        <v>46084.076388888891</v>
      </c>
      <c r="H875" s="6">
        <v>46084.111111111109</v>
      </c>
      <c r="I875" s="6">
        <v>46084.118055555555</v>
      </c>
      <c r="J875" s="6">
        <v>46084.125</v>
      </c>
      <c r="K875">
        <v>1.92</v>
      </c>
      <c r="L875" s="6">
        <v>46084.131944444445</v>
      </c>
      <c r="M875" s="7">
        <f>F875-E875</f>
        <v>6.9444444452528842E-3</v>
      </c>
      <c r="N875">
        <f>HOUR(M875)</f>
        <v>0</v>
      </c>
      <c r="O875">
        <f>MINUTE(M875)</f>
        <v>10</v>
      </c>
      <c r="P875">
        <f>N875*60+O875</f>
        <v>10</v>
      </c>
      <c r="Q875" s="7">
        <f>G875-F875</f>
        <v>2.4305555554747116E-2</v>
      </c>
      <c r="R875">
        <f>HOUR(Q875)</f>
        <v>0</v>
      </c>
      <c r="S875">
        <f>MINUTE(Q875)</f>
        <v>35</v>
      </c>
      <c r="T875">
        <f>R875*60+S875</f>
        <v>35</v>
      </c>
      <c r="U875" s="7">
        <f>H875-G875</f>
        <v>3.4722222218988463E-2</v>
      </c>
      <c r="V875">
        <f>HOUR(U875)</f>
        <v>0</v>
      </c>
      <c r="W875">
        <f>MINUTE(U875)</f>
        <v>50</v>
      </c>
      <c r="X875">
        <f>V875*60+W875</f>
        <v>50</v>
      </c>
      <c r="Y875" s="7">
        <f>I875-H875</f>
        <v>6.9444444452528842E-3</v>
      </c>
      <c r="Z875">
        <f>HOUR(Y875)</f>
        <v>0</v>
      </c>
      <c r="AA875">
        <f>MINUTE(Y875)</f>
        <v>10</v>
      </c>
      <c r="AB875">
        <f>Z875*60+AA875</f>
        <v>10</v>
      </c>
    </row>
    <row r="876" spans="1:28" x14ac:dyDescent="0.25">
      <c r="A876">
        <v>874</v>
      </c>
      <c r="B876" t="s">
        <v>29</v>
      </c>
      <c r="C876">
        <v>1</v>
      </c>
      <c r="D876" t="s">
        <v>36</v>
      </c>
      <c r="E876" s="6">
        <v>46084.480555555558</v>
      </c>
      <c r="F876" s="6">
        <v>46084.503472222219</v>
      </c>
      <c r="G876" s="6">
        <v>46084.504166666666</v>
      </c>
      <c r="H876" s="6">
        <v>46084.51458333333</v>
      </c>
      <c r="I876" s="6">
        <v>46084.515972222223</v>
      </c>
      <c r="J876" s="6">
        <v>46084.534722222219</v>
      </c>
      <c r="K876">
        <v>1.3</v>
      </c>
      <c r="L876" s="6">
        <v>46084.535416666666</v>
      </c>
      <c r="M876" s="7">
        <f>F876-E876</f>
        <v>2.2916666661330964E-2</v>
      </c>
      <c r="N876">
        <f>HOUR(M876)</f>
        <v>0</v>
      </c>
      <c r="O876">
        <f>MINUTE(M876)</f>
        <v>33</v>
      </c>
      <c r="P876">
        <f>N876*60+O876</f>
        <v>33</v>
      </c>
      <c r="Q876" s="7">
        <f>G876-F876</f>
        <v>6.944444467080757E-4</v>
      </c>
      <c r="R876">
        <f>HOUR(Q876)</f>
        <v>0</v>
      </c>
      <c r="S876">
        <f>MINUTE(Q876)</f>
        <v>1</v>
      </c>
      <c r="T876">
        <f>R876*60+S876</f>
        <v>1</v>
      </c>
      <c r="U876" s="7">
        <f>H876-G876</f>
        <v>1.0416666664241347E-2</v>
      </c>
      <c r="V876">
        <f>HOUR(U876)</f>
        <v>0</v>
      </c>
      <c r="W876">
        <f>MINUTE(U876)</f>
        <v>15</v>
      </c>
      <c r="X876">
        <f>V876*60+W876</f>
        <v>15</v>
      </c>
      <c r="Y876" s="7">
        <f>I876-H876</f>
        <v>1.3888888934161514E-3</v>
      </c>
      <c r="Z876">
        <f>HOUR(Y876)</f>
        <v>0</v>
      </c>
      <c r="AA876">
        <f>MINUTE(Y876)</f>
        <v>2</v>
      </c>
      <c r="AB876">
        <f>Z876*60+AA876</f>
        <v>2</v>
      </c>
    </row>
    <row r="877" spans="1:28" x14ac:dyDescent="0.25">
      <c r="A877">
        <v>875</v>
      </c>
      <c r="B877" t="s">
        <v>29</v>
      </c>
      <c r="C877">
        <v>1</v>
      </c>
      <c r="D877" t="s">
        <v>30</v>
      </c>
      <c r="E877" s="6">
        <v>46084.479166666664</v>
      </c>
      <c r="F877" s="6">
        <v>46084.489583333336</v>
      </c>
      <c r="G877" s="6">
        <v>46084.496527777781</v>
      </c>
      <c r="H877" s="6">
        <v>46084.506944444445</v>
      </c>
      <c r="I877" s="6">
        <v>46084.513888888891</v>
      </c>
      <c r="J877" s="6">
        <v>46084.520833333336</v>
      </c>
      <c r="K877">
        <v>1</v>
      </c>
      <c r="L877" s="6">
        <v>46084.527777777781</v>
      </c>
      <c r="M877" s="7">
        <f>F877-E877</f>
        <v>1.0416666671517305E-2</v>
      </c>
      <c r="N877">
        <f>HOUR(M877)</f>
        <v>0</v>
      </c>
      <c r="O877">
        <f>MINUTE(M877)</f>
        <v>15</v>
      </c>
      <c r="P877">
        <f>N877*60+O877</f>
        <v>15</v>
      </c>
      <c r="Q877" s="7">
        <f>G877-F877</f>
        <v>6.9444444452528842E-3</v>
      </c>
      <c r="R877">
        <f>HOUR(Q877)</f>
        <v>0</v>
      </c>
      <c r="S877">
        <f>MINUTE(Q877)</f>
        <v>10</v>
      </c>
      <c r="T877">
        <f>R877*60+S877</f>
        <v>10</v>
      </c>
      <c r="U877" s="7">
        <f>H877-G877</f>
        <v>1.0416666664241347E-2</v>
      </c>
      <c r="V877">
        <f>HOUR(U877)</f>
        <v>0</v>
      </c>
      <c r="W877">
        <f>MINUTE(U877)</f>
        <v>15</v>
      </c>
      <c r="X877">
        <f>V877*60+W877</f>
        <v>15</v>
      </c>
      <c r="Y877" s="7">
        <f>I877-H877</f>
        <v>6.9444444452528842E-3</v>
      </c>
      <c r="Z877">
        <f>HOUR(Y877)</f>
        <v>0</v>
      </c>
      <c r="AA877">
        <f>MINUTE(Y877)</f>
        <v>10</v>
      </c>
      <c r="AB877">
        <f>Z877*60+AA877</f>
        <v>10</v>
      </c>
    </row>
    <row r="878" spans="1:28" x14ac:dyDescent="0.25">
      <c r="A878">
        <v>876</v>
      </c>
      <c r="B878" t="s">
        <v>31</v>
      </c>
      <c r="C878">
        <v>1</v>
      </c>
      <c r="D878" t="s">
        <v>36</v>
      </c>
      <c r="E878" s="6">
        <v>46084.607638888891</v>
      </c>
      <c r="F878" s="6">
        <v>46084.625</v>
      </c>
      <c r="G878" s="6">
        <v>46084.645833333336</v>
      </c>
      <c r="H878" s="6">
        <v>46084.701388888891</v>
      </c>
      <c r="I878" s="6">
        <v>46084.770833333336</v>
      </c>
      <c r="J878" s="6">
        <v>46084.777777777781</v>
      </c>
      <c r="K878">
        <v>4.08</v>
      </c>
      <c r="L878" s="6">
        <v>46084.779166666667</v>
      </c>
      <c r="M878" s="7">
        <f>F878-E878</f>
        <v>1.7361111109494232E-2</v>
      </c>
      <c r="N878">
        <f>HOUR(M878)</f>
        <v>0</v>
      </c>
      <c r="O878">
        <f>MINUTE(M878)</f>
        <v>25</v>
      </c>
      <c r="P878">
        <f>N878*60+O878</f>
        <v>25</v>
      </c>
      <c r="Q878" s="7">
        <f>G878-F878</f>
        <v>2.0833333335758653E-2</v>
      </c>
      <c r="R878">
        <f>HOUR(Q878)</f>
        <v>0</v>
      </c>
      <c r="S878">
        <f>MINUTE(Q878)</f>
        <v>30</v>
      </c>
      <c r="T878">
        <f>R878*60+S878</f>
        <v>30</v>
      </c>
      <c r="U878" s="7">
        <f>H878-G878</f>
        <v>5.5555555554747116E-2</v>
      </c>
      <c r="V878">
        <f>HOUR(U878)</f>
        <v>1</v>
      </c>
      <c r="W878">
        <f>MINUTE(U878)</f>
        <v>20</v>
      </c>
      <c r="X878">
        <f>V878*60+W878</f>
        <v>80</v>
      </c>
      <c r="Y878" s="7">
        <f>I878-H878</f>
        <v>6.9444444445252884E-2</v>
      </c>
      <c r="Z878">
        <f>HOUR(Y878)</f>
        <v>1</v>
      </c>
      <c r="AA878">
        <f>MINUTE(Y878)</f>
        <v>40</v>
      </c>
      <c r="AB878">
        <f>Z878*60+AA878</f>
        <v>100</v>
      </c>
    </row>
    <row r="879" spans="1:28" x14ac:dyDescent="0.25">
      <c r="A879">
        <v>877</v>
      </c>
      <c r="B879" t="s">
        <v>31</v>
      </c>
      <c r="C879">
        <v>1</v>
      </c>
      <c r="D879" t="s">
        <v>30</v>
      </c>
      <c r="E879" s="6">
        <v>46084.57708333333</v>
      </c>
      <c r="F879" s="6">
        <v>46084.583333333336</v>
      </c>
      <c r="G879" s="6">
        <v>46084.611111111109</v>
      </c>
      <c r="H879" s="6">
        <v>46084.645833333336</v>
      </c>
      <c r="I879" s="6">
        <v>46084.666666666664</v>
      </c>
      <c r="J879" s="6">
        <v>46084.722222222219</v>
      </c>
      <c r="K879">
        <v>3.48</v>
      </c>
      <c r="L879" s="6">
        <v>46084.729166666664</v>
      </c>
      <c r="M879" s="7">
        <f>F879-E879</f>
        <v>6.2500000058207661E-3</v>
      </c>
      <c r="N879">
        <f>HOUR(M879)</f>
        <v>0</v>
      </c>
      <c r="O879">
        <f>MINUTE(M879)</f>
        <v>9</v>
      </c>
      <c r="P879">
        <f>N879*60+O879</f>
        <v>9</v>
      </c>
      <c r="Q879" s="7">
        <f>G879-F879</f>
        <v>2.7777777773735579E-2</v>
      </c>
      <c r="R879">
        <f>HOUR(Q879)</f>
        <v>0</v>
      </c>
      <c r="S879">
        <f>MINUTE(Q879)</f>
        <v>40</v>
      </c>
      <c r="T879">
        <f>R879*60+S879</f>
        <v>40</v>
      </c>
      <c r="U879" s="7">
        <f>H879-G879</f>
        <v>3.4722222226264421E-2</v>
      </c>
      <c r="V879">
        <f>HOUR(U879)</f>
        <v>0</v>
      </c>
      <c r="W879">
        <f>MINUTE(U879)</f>
        <v>50</v>
      </c>
      <c r="X879">
        <f>V879*60+W879</f>
        <v>50</v>
      </c>
      <c r="Y879" s="7">
        <f>I879-H879</f>
        <v>2.0833333328482695E-2</v>
      </c>
      <c r="Z879">
        <f>HOUR(Y879)</f>
        <v>0</v>
      </c>
      <c r="AA879">
        <f>MINUTE(Y879)</f>
        <v>30</v>
      </c>
      <c r="AB879">
        <f>Z879*60+AA879</f>
        <v>30</v>
      </c>
    </row>
    <row r="880" spans="1:28" x14ac:dyDescent="0.25">
      <c r="A880">
        <v>878</v>
      </c>
      <c r="B880" t="s">
        <v>31</v>
      </c>
      <c r="C880">
        <v>1</v>
      </c>
      <c r="D880" t="s">
        <v>32</v>
      </c>
      <c r="E880" s="6">
        <v>46086.361111111109</v>
      </c>
      <c r="F880" s="6">
        <v>46086.363194444442</v>
      </c>
      <c r="G880" s="6">
        <v>46086.364583333336</v>
      </c>
      <c r="H880" s="6">
        <v>46086.372916666667</v>
      </c>
      <c r="I880" s="6">
        <v>46086.375</v>
      </c>
      <c r="J880" s="6">
        <v>46086.388888888891</v>
      </c>
      <c r="K880">
        <v>0.67</v>
      </c>
      <c r="L880" s="6">
        <v>46086.38958333333</v>
      </c>
      <c r="M880" s="7">
        <f>F880-E880</f>
        <v>2.0833333328482695E-3</v>
      </c>
      <c r="N880">
        <f>HOUR(M880)</f>
        <v>0</v>
      </c>
      <c r="O880">
        <f>MINUTE(M880)</f>
        <v>3</v>
      </c>
      <c r="P880">
        <f>N880*60+O880</f>
        <v>3</v>
      </c>
      <c r="Q880" s="7">
        <f>G880-F880</f>
        <v>1.3888888934161514E-3</v>
      </c>
      <c r="R880">
        <f>HOUR(Q880)</f>
        <v>0</v>
      </c>
      <c r="S880">
        <f>MINUTE(Q880)</f>
        <v>2</v>
      </c>
      <c r="T880">
        <f>R880*60+S880</f>
        <v>2</v>
      </c>
      <c r="U880" s="7">
        <f>H880-G880</f>
        <v>8.333333331393078E-3</v>
      </c>
      <c r="V880">
        <f>HOUR(U880)</f>
        <v>0</v>
      </c>
      <c r="W880">
        <f>MINUTE(U880)</f>
        <v>12</v>
      </c>
      <c r="X880">
        <f>V880*60+W880</f>
        <v>12</v>
      </c>
      <c r="Y880" s="7">
        <f>I880-H880</f>
        <v>2.0833333328482695E-3</v>
      </c>
      <c r="Z880">
        <f>HOUR(Y880)</f>
        <v>0</v>
      </c>
      <c r="AA880">
        <f>MINUTE(Y880)</f>
        <v>3</v>
      </c>
      <c r="AB880">
        <f>Z880*60+AA880</f>
        <v>3</v>
      </c>
    </row>
    <row r="881" spans="1:28" x14ac:dyDescent="0.25">
      <c r="A881">
        <v>879</v>
      </c>
      <c r="B881" t="s">
        <v>31</v>
      </c>
      <c r="C881">
        <v>1</v>
      </c>
      <c r="D881" t="s">
        <v>34</v>
      </c>
      <c r="E881" s="6">
        <v>46085.291666666664</v>
      </c>
      <c r="F881" s="6">
        <v>46085.315972222219</v>
      </c>
      <c r="G881" s="6">
        <v>46085.326388888891</v>
      </c>
      <c r="H881" s="6">
        <v>46085.420138888891</v>
      </c>
      <c r="I881" s="6">
        <v>46085.4375</v>
      </c>
      <c r="J881" s="6">
        <v>46085.440972222219</v>
      </c>
      <c r="K881">
        <v>3.58</v>
      </c>
      <c r="L881" s="6">
        <v>46085.447916666664</v>
      </c>
      <c r="M881" s="7">
        <f>F881-E881</f>
        <v>2.4305555554747116E-2</v>
      </c>
      <c r="N881">
        <f>HOUR(M881)</f>
        <v>0</v>
      </c>
      <c r="O881">
        <f>MINUTE(M881)</f>
        <v>35</v>
      </c>
      <c r="P881">
        <f>N881*60+O881</f>
        <v>35</v>
      </c>
      <c r="Q881" s="7">
        <f>G881-F881</f>
        <v>1.0416666671517305E-2</v>
      </c>
      <c r="R881">
        <f>HOUR(Q881)</f>
        <v>0</v>
      </c>
      <c r="S881">
        <f>MINUTE(Q881)</f>
        <v>15</v>
      </c>
      <c r="T881">
        <f>R881*60+S881</f>
        <v>15</v>
      </c>
      <c r="U881" s="7">
        <f>H881-G881</f>
        <v>9.375E-2</v>
      </c>
      <c r="V881">
        <f>HOUR(U881)</f>
        <v>2</v>
      </c>
      <c r="W881">
        <f>MINUTE(U881)</f>
        <v>15</v>
      </c>
      <c r="X881">
        <f>V881*60+W881</f>
        <v>135</v>
      </c>
      <c r="Y881" s="7">
        <f>I881-H881</f>
        <v>1.7361111109494232E-2</v>
      </c>
      <c r="Z881">
        <f>HOUR(Y881)</f>
        <v>0</v>
      </c>
      <c r="AA881">
        <f>MINUTE(Y881)</f>
        <v>25</v>
      </c>
      <c r="AB881">
        <f>Z881*60+AA881</f>
        <v>25</v>
      </c>
    </row>
    <row r="882" spans="1:28" x14ac:dyDescent="0.25">
      <c r="A882">
        <v>880</v>
      </c>
      <c r="B882" t="s">
        <v>29</v>
      </c>
      <c r="C882">
        <v>1</v>
      </c>
      <c r="D882" t="s">
        <v>37</v>
      </c>
      <c r="E882" s="6">
        <v>46085.291666666664</v>
      </c>
      <c r="F882" s="6">
        <v>46085.333333333336</v>
      </c>
      <c r="G882" s="6">
        <v>46085.354166666664</v>
      </c>
      <c r="H882" s="6">
        <v>46085.4375</v>
      </c>
      <c r="I882" s="6">
        <v>46085.438194444447</v>
      </c>
      <c r="J882" s="6">
        <v>46085.438888888886</v>
      </c>
      <c r="K882">
        <v>3.53</v>
      </c>
      <c r="L882" s="6">
        <v>46085.445833333331</v>
      </c>
      <c r="M882" s="7">
        <f>F882-E882</f>
        <v>4.1666666671517305E-2</v>
      </c>
      <c r="N882">
        <f>HOUR(M882)</f>
        <v>1</v>
      </c>
      <c r="O882">
        <f>MINUTE(M882)</f>
        <v>0</v>
      </c>
      <c r="P882">
        <f>N882*60+O882</f>
        <v>60</v>
      </c>
      <c r="Q882" s="7">
        <f>G882-F882</f>
        <v>2.0833333328482695E-2</v>
      </c>
      <c r="R882">
        <f>HOUR(Q882)</f>
        <v>0</v>
      </c>
      <c r="S882">
        <f>MINUTE(Q882)</f>
        <v>30</v>
      </c>
      <c r="T882">
        <f>R882*60+S882</f>
        <v>30</v>
      </c>
      <c r="U882" s="7">
        <f>H882-G882</f>
        <v>8.3333333335758653E-2</v>
      </c>
      <c r="V882">
        <f>HOUR(U882)</f>
        <v>2</v>
      </c>
      <c r="W882">
        <f>MINUTE(U882)</f>
        <v>0</v>
      </c>
      <c r="X882">
        <f>V882*60+W882</f>
        <v>120</v>
      </c>
      <c r="Y882" s="7">
        <f>I882-H882</f>
        <v>6.944444467080757E-4</v>
      </c>
      <c r="Z882">
        <f>HOUR(Y882)</f>
        <v>0</v>
      </c>
      <c r="AA882">
        <f>MINUTE(Y882)</f>
        <v>1</v>
      </c>
      <c r="AB882">
        <f>Z882*60+AA882</f>
        <v>1</v>
      </c>
    </row>
    <row r="883" spans="1:28" x14ac:dyDescent="0.25">
      <c r="A883">
        <v>881</v>
      </c>
      <c r="B883" t="s">
        <v>31</v>
      </c>
      <c r="C883">
        <v>1</v>
      </c>
      <c r="D883" t="s">
        <v>32</v>
      </c>
      <c r="E883" s="6">
        <v>46085.638888888891</v>
      </c>
      <c r="F883" s="6">
        <v>46085.649305555555</v>
      </c>
      <c r="G883" s="6">
        <v>46085.677083333336</v>
      </c>
      <c r="H883" s="6">
        <v>46085.75</v>
      </c>
      <c r="I883" s="6">
        <v>46085.756944444445</v>
      </c>
      <c r="J883" s="6">
        <v>46085.763888888891</v>
      </c>
      <c r="K883">
        <v>3</v>
      </c>
      <c r="L883" s="6">
        <v>46085.767361111109</v>
      </c>
      <c r="M883" s="7">
        <f>F883-E883</f>
        <v>1.0416666664241347E-2</v>
      </c>
      <c r="N883">
        <f>HOUR(M883)</f>
        <v>0</v>
      </c>
      <c r="O883">
        <f>MINUTE(M883)</f>
        <v>15</v>
      </c>
      <c r="P883">
        <f>N883*60+O883</f>
        <v>15</v>
      </c>
      <c r="Q883" s="7">
        <f>G883-F883</f>
        <v>2.7777777781011537E-2</v>
      </c>
      <c r="R883">
        <f>HOUR(Q883)</f>
        <v>0</v>
      </c>
      <c r="S883">
        <f>MINUTE(Q883)</f>
        <v>40</v>
      </c>
      <c r="T883">
        <f>R883*60+S883</f>
        <v>40</v>
      </c>
      <c r="U883" s="7">
        <f>H883-G883</f>
        <v>7.2916666664241347E-2</v>
      </c>
      <c r="V883">
        <f>HOUR(U883)</f>
        <v>1</v>
      </c>
      <c r="W883">
        <f>MINUTE(U883)</f>
        <v>45</v>
      </c>
      <c r="X883">
        <f>V883*60+W883</f>
        <v>105</v>
      </c>
      <c r="Y883" s="7">
        <f>I883-H883</f>
        <v>6.9444444452528842E-3</v>
      </c>
      <c r="Z883">
        <f>HOUR(Y883)</f>
        <v>0</v>
      </c>
      <c r="AA883">
        <f>MINUTE(Y883)</f>
        <v>10</v>
      </c>
      <c r="AB883">
        <f>Z883*60+AA883</f>
        <v>10</v>
      </c>
    </row>
    <row r="884" spans="1:28" x14ac:dyDescent="0.25">
      <c r="A884">
        <v>882</v>
      </c>
      <c r="B884" t="s">
        <v>29</v>
      </c>
      <c r="C884">
        <v>1</v>
      </c>
      <c r="D884" t="s">
        <v>32</v>
      </c>
      <c r="E884" s="6">
        <v>46085.5</v>
      </c>
      <c r="F884" s="6">
        <v>46085.517361111109</v>
      </c>
      <c r="G884" s="6">
        <v>46085.546527777777</v>
      </c>
      <c r="H884" s="6">
        <v>46085.583333333336</v>
      </c>
      <c r="I884" s="6">
        <v>46085.590277777781</v>
      </c>
      <c r="J884" s="6">
        <v>46085.591666666667</v>
      </c>
      <c r="K884">
        <v>2.2000000000000002</v>
      </c>
      <c r="L884" s="6">
        <v>46085.598611111112</v>
      </c>
      <c r="M884" s="7">
        <f>F884-E884</f>
        <v>1.7361111109494232E-2</v>
      </c>
      <c r="N884">
        <f>HOUR(M884)</f>
        <v>0</v>
      </c>
      <c r="O884">
        <f>MINUTE(M884)</f>
        <v>25</v>
      </c>
      <c r="P884">
        <f>N884*60+O884</f>
        <v>25</v>
      </c>
      <c r="Q884" s="7">
        <f>G884-F884</f>
        <v>2.9166666667151731E-2</v>
      </c>
      <c r="R884">
        <f>HOUR(Q884)</f>
        <v>0</v>
      </c>
      <c r="S884">
        <f>MINUTE(Q884)</f>
        <v>42</v>
      </c>
      <c r="T884">
        <f>R884*60+S884</f>
        <v>42</v>
      </c>
      <c r="U884" s="7">
        <f>H884-G884</f>
        <v>3.680555555911269E-2</v>
      </c>
      <c r="V884">
        <f>HOUR(U884)</f>
        <v>0</v>
      </c>
      <c r="W884">
        <f>MINUTE(U884)</f>
        <v>53</v>
      </c>
      <c r="X884">
        <f>V884*60+W884</f>
        <v>53</v>
      </c>
      <c r="Y884" s="7">
        <f>I884-H884</f>
        <v>6.9444444452528842E-3</v>
      </c>
      <c r="Z884">
        <f>HOUR(Y884)</f>
        <v>0</v>
      </c>
      <c r="AA884">
        <f>MINUTE(Y884)</f>
        <v>10</v>
      </c>
      <c r="AB884">
        <f>Z884*60+AA884</f>
        <v>10</v>
      </c>
    </row>
    <row r="885" spans="1:28" x14ac:dyDescent="0.25">
      <c r="A885">
        <v>883</v>
      </c>
      <c r="B885" t="s">
        <v>33</v>
      </c>
      <c r="C885">
        <v>1</v>
      </c>
      <c r="D885" t="s">
        <v>32</v>
      </c>
      <c r="E885" s="6">
        <v>46085.475694444445</v>
      </c>
      <c r="F885" s="6">
        <v>46085.5</v>
      </c>
      <c r="G885" s="6">
        <v>46085.532638888886</v>
      </c>
      <c r="H885" s="6">
        <v>46085.574305555558</v>
      </c>
      <c r="I885" s="6">
        <v>46085.576388888891</v>
      </c>
      <c r="J885" s="6">
        <v>46085.579861111109</v>
      </c>
      <c r="K885">
        <v>2.5</v>
      </c>
      <c r="L885" s="6">
        <v>46085.586805555555</v>
      </c>
      <c r="M885" s="7">
        <f>F885-E885</f>
        <v>2.4305555554747116E-2</v>
      </c>
      <c r="N885">
        <f>HOUR(M885)</f>
        <v>0</v>
      </c>
      <c r="O885">
        <f>MINUTE(M885)</f>
        <v>35</v>
      </c>
      <c r="P885">
        <f>N885*60+O885</f>
        <v>35</v>
      </c>
      <c r="Q885" s="7">
        <f>G885-F885</f>
        <v>3.2638888886140194E-2</v>
      </c>
      <c r="R885">
        <f>HOUR(Q885)</f>
        <v>0</v>
      </c>
      <c r="S885">
        <f>MINUTE(Q885)</f>
        <v>47</v>
      </c>
      <c r="T885">
        <f>R885*60+S885</f>
        <v>47</v>
      </c>
      <c r="U885" s="7">
        <f>H885-G885</f>
        <v>4.1666666671517305E-2</v>
      </c>
      <c r="V885">
        <f>HOUR(U885)</f>
        <v>1</v>
      </c>
      <c r="W885">
        <f>MINUTE(U885)</f>
        <v>0</v>
      </c>
      <c r="X885">
        <f>V885*60+W885</f>
        <v>60</v>
      </c>
      <c r="Y885" s="7">
        <f>I885-H885</f>
        <v>2.0833333328482695E-3</v>
      </c>
      <c r="Z885">
        <f>HOUR(Y885)</f>
        <v>0</v>
      </c>
      <c r="AA885">
        <f>MINUTE(Y885)</f>
        <v>3</v>
      </c>
      <c r="AB885">
        <f>Z885*60+AA885</f>
        <v>3</v>
      </c>
    </row>
    <row r="886" spans="1:28" x14ac:dyDescent="0.25">
      <c r="A886">
        <v>884</v>
      </c>
      <c r="B886" t="s">
        <v>29</v>
      </c>
      <c r="C886">
        <v>1</v>
      </c>
      <c r="D886" t="s">
        <v>30</v>
      </c>
      <c r="E886" s="6">
        <v>46084.611111111109</v>
      </c>
      <c r="F886" s="6">
        <v>46084.625</v>
      </c>
      <c r="G886" s="6">
        <v>46084.666666666664</v>
      </c>
      <c r="H886" s="6">
        <v>46084.673611111109</v>
      </c>
      <c r="I886" s="6">
        <v>46084.680555555555</v>
      </c>
      <c r="J886" s="6">
        <v>46084.6875</v>
      </c>
      <c r="K886">
        <v>1.83</v>
      </c>
      <c r="L886" s="6">
        <v>46084.694444444445</v>
      </c>
      <c r="M886" s="7">
        <f>F886-E886</f>
        <v>1.3888888890505768E-2</v>
      </c>
      <c r="N886">
        <f>HOUR(M886)</f>
        <v>0</v>
      </c>
      <c r="O886">
        <f>MINUTE(M886)</f>
        <v>20</v>
      </c>
      <c r="P886">
        <f>N886*60+O886</f>
        <v>20</v>
      </c>
      <c r="Q886" s="7">
        <f>G886-F886</f>
        <v>4.1666666664241347E-2</v>
      </c>
      <c r="R886">
        <f>HOUR(Q886)</f>
        <v>1</v>
      </c>
      <c r="S886">
        <f>MINUTE(Q886)</f>
        <v>0</v>
      </c>
      <c r="T886">
        <f>R886*60+S886</f>
        <v>60</v>
      </c>
      <c r="U886" s="7">
        <f>H886-G886</f>
        <v>6.9444444452528842E-3</v>
      </c>
      <c r="V886">
        <f>HOUR(U886)</f>
        <v>0</v>
      </c>
      <c r="W886">
        <f>MINUTE(U886)</f>
        <v>10</v>
      </c>
      <c r="X886">
        <f>V886*60+W886</f>
        <v>10</v>
      </c>
      <c r="Y886" s="7">
        <f>I886-H886</f>
        <v>6.9444444452528842E-3</v>
      </c>
      <c r="Z886">
        <f>HOUR(Y886)</f>
        <v>0</v>
      </c>
      <c r="AA886">
        <f>MINUTE(Y886)</f>
        <v>10</v>
      </c>
      <c r="AB886">
        <f>Z886*60+AA886</f>
        <v>10</v>
      </c>
    </row>
    <row r="887" spans="1:28" x14ac:dyDescent="0.25">
      <c r="A887">
        <v>885</v>
      </c>
      <c r="B887" t="s">
        <v>33</v>
      </c>
      <c r="C887">
        <v>1</v>
      </c>
      <c r="D887" t="s">
        <v>30</v>
      </c>
      <c r="E887" s="6">
        <v>46085.291666666664</v>
      </c>
      <c r="F887" s="6">
        <v>46085.333333333336</v>
      </c>
      <c r="G887" s="6">
        <v>46085.354166666664</v>
      </c>
      <c r="H887" s="6">
        <v>46085.451388888891</v>
      </c>
      <c r="I887" s="6">
        <v>46085.458333333336</v>
      </c>
      <c r="J887" s="6">
        <v>46085.465277777781</v>
      </c>
      <c r="K887">
        <v>4.17</v>
      </c>
      <c r="L887" s="6">
        <v>46085.472222222219</v>
      </c>
      <c r="M887" s="7">
        <f>F887-E887</f>
        <v>4.1666666671517305E-2</v>
      </c>
      <c r="N887">
        <f>HOUR(M887)</f>
        <v>1</v>
      </c>
      <c r="O887">
        <f>MINUTE(M887)</f>
        <v>0</v>
      </c>
      <c r="P887">
        <f>N887*60+O887</f>
        <v>60</v>
      </c>
      <c r="Q887" s="7">
        <f>G887-F887</f>
        <v>2.0833333328482695E-2</v>
      </c>
      <c r="R887">
        <f>HOUR(Q887)</f>
        <v>0</v>
      </c>
      <c r="S887">
        <f>MINUTE(Q887)</f>
        <v>30</v>
      </c>
      <c r="T887">
        <f>R887*60+S887</f>
        <v>30</v>
      </c>
      <c r="U887" s="7">
        <f>H887-G887</f>
        <v>9.7222222226264421E-2</v>
      </c>
      <c r="V887">
        <f>HOUR(U887)</f>
        <v>2</v>
      </c>
      <c r="W887">
        <f>MINUTE(U887)</f>
        <v>20</v>
      </c>
      <c r="X887">
        <f>V887*60+W887</f>
        <v>140</v>
      </c>
      <c r="Y887" s="7">
        <f>I887-H887</f>
        <v>6.9444444452528842E-3</v>
      </c>
      <c r="Z887">
        <f>HOUR(Y887)</f>
        <v>0</v>
      </c>
      <c r="AA887">
        <f>MINUTE(Y887)</f>
        <v>10</v>
      </c>
      <c r="AB887">
        <f>Z887*60+AA887</f>
        <v>10</v>
      </c>
    </row>
    <row r="888" spans="1:28" x14ac:dyDescent="0.25">
      <c r="A888">
        <v>886</v>
      </c>
      <c r="B888" t="s">
        <v>33</v>
      </c>
      <c r="C888">
        <v>1</v>
      </c>
      <c r="D888" t="s">
        <v>30</v>
      </c>
      <c r="E888" s="6">
        <v>46084.697916666664</v>
      </c>
      <c r="F888" s="6">
        <v>46084.701388888891</v>
      </c>
      <c r="G888" s="6">
        <v>46084.729166666664</v>
      </c>
      <c r="H888" s="6">
        <v>46084.8125</v>
      </c>
      <c r="I888" s="6">
        <v>46084.819444444445</v>
      </c>
      <c r="J888" s="6">
        <v>46084.854166666664</v>
      </c>
      <c r="K888">
        <v>3.75</v>
      </c>
      <c r="L888" s="6">
        <v>46084.861111111109</v>
      </c>
      <c r="M888" s="7">
        <f>F888-E888</f>
        <v>3.4722222262644209E-3</v>
      </c>
      <c r="N888">
        <f>HOUR(M888)</f>
        <v>0</v>
      </c>
      <c r="O888">
        <f>MINUTE(M888)</f>
        <v>5</v>
      </c>
      <c r="P888">
        <f>N888*60+O888</f>
        <v>5</v>
      </c>
      <c r="Q888" s="7">
        <f>G888-F888</f>
        <v>2.7777777773735579E-2</v>
      </c>
      <c r="R888">
        <f>HOUR(Q888)</f>
        <v>0</v>
      </c>
      <c r="S888">
        <f>MINUTE(Q888)</f>
        <v>40</v>
      </c>
      <c r="T888">
        <f>R888*60+S888</f>
        <v>40</v>
      </c>
      <c r="U888" s="7">
        <f>H888-G888</f>
        <v>8.3333333335758653E-2</v>
      </c>
      <c r="V888">
        <f>HOUR(U888)</f>
        <v>2</v>
      </c>
      <c r="W888">
        <f>MINUTE(U888)</f>
        <v>0</v>
      </c>
      <c r="X888">
        <f>V888*60+W888</f>
        <v>120</v>
      </c>
      <c r="Y888" s="7">
        <f>I888-H888</f>
        <v>6.9444444452528842E-3</v>
      </c>
      <c r="Z888">
        <f>HOUR(Y888)</f>
        <v>0</v>
      </c>
      <c r="AA888">
        <f>MINUTE(Y888)</f>
        <v>10</v>
      </c>
      <c r="AB888">
        <f>Z888*60+AA888</f>
        <v>10</v>
      </c>
    </row>
    <row r="889" spans="1:28" x14ac:dyDescent="0.25">
      <c r="A889">
        <v>887</v>
      </c>
      <c r="B889" t="s">
        <v>31</v>
      </c>
      <c r="C889">
        <v>1</v>
      </c>
      <c r="D889" t="s">
        <v>30</v>
      </c>
      <c r="E889" s="6">
        <v>46084.854166666664</v>
      </c>
      <c r="F889" s="6">
        <v>46084.864583333336</v>
      </c>
      <c r="G889" s="6">
        <v>46084.875</v>
      </c>
      <c r="H889" s="6">
        <v>46084.899305555555</v>
      </c>
      <c r="I889" s="6">
        <v>46084.90625</v>
      </c>
      <c r="J889" s="6">
        <v>46084.908333333333</v>
      </c>
      <c r="K889">
        <v>1.3</v>
      </c>
      <c r="L889" s="6">
        <v>46084.913194444445</v>
      </c>
      <c r="M889" s="7">
        <f>F889-E889</f>
        <v>1.0416666671517305E-2</v>
      </c>
      <c r="N889">
        <f>HOUR(M889)</f>
        <v>0</v>
      </c>
      <c r="O889">
        <f>MINUTE(M889)</f>
        <v>15</v>
      </c>
      <c r="P889">
        <f>N889*60+O889</f>
        <v>15</v>
      </c>
      <c r="Q889" s="7">
        <f>G889-F889</f>
        <v>1.0416666664241347E-2</v>
      </c>
      <c r="R889">
        <f>HOUR(Q889)</f>
        <v>0</v>
      </c>
      <c r="S889">
        <f>MINUTE(Q889)</f>
        <v>15</v>
      </c>
      <c r="T889">
        <f>R889*60+S889</f>
        <v>15</v>
      </c>
      <c r="U889" s="7">
        <f>H889-G889</f>
        <v>2.4305555554747116E-2</v>
      </c>
      <c r="V889">
        <f>HOUR(U889)</f>
        <v>0</v>
      </c>
      <c r="W889">
        <f>MINUTE(U889)</f>
        <v>35</v>
      </c>
      <c r="X889">
        <f>V889*60+W889</f>
        <v>35</v>
      </c>
      <c r="Y889" s="7">
        <f>I889-H889</f>
        <v>6.9444444452528842E-3</v>
      </c>
      <c r="Z889">
        <f>HOUR(Y889)</f>
        <v>0</v>
      </c>
      <c r="AA889">
        <f>MINUTE(Y889)</f>
        <v>10</v>
      </c>
      <c r="AB889">
        <f>Z889*60+AA889</f>
        <v>10</v>
      </c>
    </row>
    <row r="890" spans="1:28" x14ac:dyDescent="0.25">
      <c r="A890">
        <v>888</v>
      </c>
      <c r="B890" t="s">
        <v>31</v>
      </c>
      <c r="C890">
        <v>1</v>
      </c>
      <c r="D890" t="s">
        <v>30</v>
      </c>
      <c r="E890" s="6">
        <v>46084.885416666664</v>
      </c>
      <c r="F890" s="6">
        <v>46084.888888888891</v>
      </c>
      <c r="G890" s="6">
        <v>46084.895833333336</v>
      </c>
      <c r="H890" s="6">
        <v>46084.94027777778</v>
      </c>
      <c r="I890" s="6">
        <v>46084.947222222225</v>
      </c>
      <c r="J890" s="6">
        <v>46084.947916666664</v>
      </c>
      <c r="K890">
        <v>1.5</v>
      </c>
      <c r="L890" s="6">
        <v>46084.954861111109</v>
      </c>
      <c r="M890" s="7">
        <f>F890-E890</f>
        <v>3.4722222262644209E-3</v>
      </c>
      <c r="N890">
        <f>HOUR(M890)</f>
        <v>0</v>
      </c>
      <c r="O890">
        <f>MINUTE(M890)</f>
        <v>5</v>
      </c>
      <c r="P890">
        <f>N890*60+O890</f>
        <v>5</v>
      </c>
      <c r="Q890" s="7">
        <f>G890-F890</f>
        <v>6.9444444452528842E-3</v>
      </c>
      <c r="R890">
        <f>HOUR(Q890)</f>
        <v>0</v>
      </c>
      <c r="S890">
        <f>MINUTE(Q890)</f>
        <v>10</v>
      </c>
      <c r="T890">
        <f>R890*60+S890</f>
        <v>10</v>
      </c>
      <c r="U890" s="7">
        <f>H890-G890</f>
        <v>4.4444444443797693E-2</v>
      </c>
      <c r="V890">
        <f>HOUR(U890)</f>
        <v>1</v>
      </c>
      <c r="W890">
        <f>MINUTE(U890)</f>
        <v>4</v>
      </c>
      <c r="X890">
        <f>V890*60+W890</f>
        <v>64</v>
      </c>
      <c r="Y890" s="7">
        <f>I890-H890</f>
        <v>6.9444444452528842E-3</v>
      </c>
      <c r="Z890">
        <f>HOUR(Y890)</f>
        <v>0</v>
      </c>
      <c r="AA890">
        <f>MINUTE(Y890)</f>
        <v>10</v>
      </c>
      <c r="AB890">
        <f>Z890*60+AA890</f>
        <v>10</v>
      </c>
    </row>
    <row r="891" spans="1:28" x14ac:dyDescent="0.25">
      <c r="A891">
        <v>889</v>
      </c>
      <c r="B891" t="s">
        <v>29</v>
      </c>
      <c r="C891">
        <v>1</v>
      </c>
      <c r="D891" t="s">
        <v>30</v>
      </c>
      <c r="E891" s="6">
        <v>46084.931944444441</v>
      </c>
      <c r="F891" s="6">
        <v>46084.9375</v>
      </c>
      <c r="G891" s="6">
        <v>46084.965277777781</v>
      </c>
      <c r="H891" s="6">
        <v>46085.0625</v>
      </c>
      <c r="I891" s="6">
        <v>46085.069444444445</v>
      </c>
      <c r="J891" s="6">
        <v>46085.072916666664</v>
      </c>
      <c r="K891">
        <v>3.38</v>
      </c>
      <c r="L891" s="6">
        <v>46085.079861111109</v>
      </c>
      <c r="M891" s="7">
        <f>F891-E891</f>
        <v>5.5555555591126904E-3</v>
      </c>
      <c r="N891">
        <f>HOUR(M891)</f>
        <v>0</v>
      </c>
      <c r="O891">
        <f>MINUTE(M891)</f>
        <v>8</v>
      </c>
      <c r="P891">
        <f>N891*60+O891</f>
        <v>8</v>
      </c>
      <c r="Q891" s="7">
        <f>G891-F891</f>
        <v>2.7777777781011537E-2</v>
      </c>
      <c r="R891">
        <f>HOUR(Q891)</f>
        <v>0</v>
      </c>
      <c r="S891">
        <f>MINUTE(Q891)</f>
        <v>40</v>
      </c>
      <c r="T891">
        <f>R891*60+S891</f>
        <v>40</v>
      </c>
      <c r="U891" s="7">
        <f>H891-G891</f>
        <v>9.7222222218988463E-2</v>
      </c>
      <c r="V891">
        <f>HOUR(U891)</f>
        <v>2</v>
      </c>
      <c r="W891">
        <f>MINUTE(U891)</f>
        <v>20</v>
      </c>
      <c r="X891">
        <f>V891*60+W891</f>
        <v>140</v>
      </c>
      <c r="Y891" s="7">
        <f>I891-H891</f>
        <v>6.9444444452528842E-3</v>
      </c>
      <c r="Z891">
        <f>HOUR(Y891)</f>
        <v>0</v>
      </c>
      <c r="AA891">
        <f>MINUTE(Y891)</f>
        <v>10</v>
      </c>
      <c r="AB891">
        <f>Z891*60+AA891</f>
        <v>10</v>
      </c>
    </row>
    <row r="892" spans="1:28" x14ac:dyDescent="0.25">
      <c r="A892">
        <v>890</v>
      </c>
      <c r="B892" t="s">
        <v>33</v>
      </c>
      <c r="C892">
        <v>1</v>
      </c>
      <c r="D892" t="s">
        <v>30</v>
      </c>
      <c r="E892" s="6">
        <v>46084.965277777781</v>
      </c>
      <c r="F892" s="6">
        <v>46084.972222222219</v>
      </c>
      <c r="G892" s="6">
        <v>46084.986111111109</v>
      </c>
      <c r="H892" s="6">
        <v>46085.025000000001</v>
      </c>
      <c r="I892" s="6">
        <v>46085.027777777781</v>
      </c>
      <c r="J892" s="6">
        <v>46085.03125</v>
      </c>
      <c r="K892">
        <v>1.58</v>
      </c>
      <c r="L892" s="6">
        <v>46085.038194444445</v>
      </c>
      <c r="M892" s="7">
        <f>F892-E892</f>
        <v>6.9444444379769266E-3</v>
      </c>
      <c r="N892">
        <f>HOUR(M892)</f>
        <v>0</v>
      </c>
      <c r="O892">
        <f>MINUTE(M892)</f>
        <v>10</v>
      </c>
      <c r="P892">
        <f>N892*60+O892</f>
        <v>10</v>
      </c>
      <c r="Q892" s="7">
        <f>G892-F892</f>
        <v>1.3888888890505768E-2</v>
      </c>
      <c r="R892">
        <f>HOUR(Q892)</f>
        <v>0</v>
      </c>
      <c r="S892">
        <f>MINUTE(Q892)</f>
        <v>20</v>
      </c>
      <c r="T892">
        <f>R892*60+S892</f>
        <v>20</v>
      </c>
      <c r="U892" s="7">
        <f>H892-G892</f>
        <v>3.888888889196096E-2</v>
      </c>
      <c r="V892">
        <f>HOUR(U892)</f>
        <v>0</v>
      </c>
      <c r="W892">
        <f>MINUTE(U892)</f>
        <v>56</v>
      </c>
      <c r="X892">
        <f>V892*60+W892</f>
        <v>56</v>
      </c>
      <c r="Y892" s="7">
        <f>I892-H892</f>
        <v>2.7777777795563452E-3</v>
      </c>
      <c r="Z892">
        <f>HOUR(Y892)</f>
        <v>0</v>
      </c>
      <c r="AA892">
        <f>MINUTE(Y892)</f>
        <v>4</v>
      </c>
      <c r="AB892">
        <f>Z892*60+AA892</f>
        <v>4</v>
      </c>
    </row>
    <row r="893" spans="1:28" x14ac:dyDescent="0.25">
      <c r="A893">
        <v>891</v>
      </c>
      <c r="B893" t="s">
        <v>31</v>
      </c>
      <c r="C893">
        <v>1</v>
      </c>
      <c r="D893" t="s">
        <v>30</v>
      </c>
      <c r="E893" s="6">
        <v>46085.041666666664</v>
      </c>
      <c r="F893" s="6">
        <v>46085.048611111109</v>
      </c>
      <c r="G893" s="6">
        <v>46085.0625</v>
      </c>
      <c r="H893" s="6">
        <v>46085.090277777781</v>
      </c>
      <c r="I893" s="6">
        <v>46085.097222222219</v>
      </c>
      <c r="J893" s="6">
        <v>46085.104166666664</v>
      </c>
      <c r="K893">
        <v>1.5</v>
      </c>
      <c r="L893" s="6">
        <v>46085.111111111109</v>
      </c>
      <c r="M893" s="7">
        <f>F893-E893</f>
        <v>6.9444444452528842E-3</v>
      </c>
      <c r="N893">
        <f>HOUR(M893)</f>
        <v>0</v>
      </c>
      <c r="O893">
        <f>MINUTE(M893)</f>
        <v>10</v>
      </c>
      <c r="P893">
        <f>N893*60+O893</f>
        <v>10</v>
      </c>
      <c r="Q893" s="7">
        <f>G893-F893</f>
        <v>1.3888888890505768E-2</v>
      </c>
      <c r="R893">
        <f>HOUR(Q893)</f>
        <v>0</v>
      </c>
      <c r="S893">
        <f>MINUTE(Q893)</f>
        <v>20</v>
      </c>
      <c r="T893">
        <f>R893*60+S893</f>
        <v>20</v>
      </c>
      <c r="U893" s="7">
        <f>H893-G893</f>
        <v>2.7777777781011537E-2</v>
      </c>
      <c r="V893">
        <f>HOUR(U893)</f>
        <v>0</v>
      </c>
      <c r="W893">
        <f>MINUTE(U893)</f>
        <v>40</v>
      </c>
      <c r="X893">
        <f>V893*60+W893</f>
        <v>40</v>
      </c>
      <c r="Y893" s="7">
        <f>I893-H893</f>
        <v>6.9444444379769266E-3</v>
      </c>
      <c r="Z893">
        <f>HOUR(Y893)</f>
        <v>0</v>
      </c>
      <c r="AA893">
        <f>MINUTE(Y893)</f>
        <v>10</v>
      </c>
      <c r="AB893">
        <f>Z893*60+AA893</f>
        <v>10</v>
      </c>
    </row>
    <row r="894" spans="1:28" x14ac:dyDescent="0.25">
      <c r="A894">
        <v>892</v>
      </c>
      <c r="B894" t="s">
        <v>33</v>
      </c>
      <c r="C894">
        <v>1</v>
      </c>
      <c r="D894" t="s">
        <v>34</v>
      </c>
      <c r="E894" s="6">
        <v>46085.027777777781</v>
      </c>
      <c r="F894" s="6">
        <v>46085.034722222219</v>
      </c>
      <c r="G894" s="6">
        <v>46085.052083333336</v>
      </c>
      <c r="H894" s="6">
        <v>46085.104166666664</v>
      </c>
      <c r="I894" s="6">
        <v>46085.111111111109</v>
      </c>
      <c r="J894" s="6">
        <v>46085.114583333336</v>
      </c>
      <c r="K894">
        <v>2.08</v>
      </c>
      <c r="L894" s="6">
        <v>46085.121527777781</v>
      </c>
      <c r="M894" s="7">
        <f>F894-E894</f>
        <v>6.9444444379769266E-3</v>
      </c>
      <c r="N894">
        <f>HOUR(M894)</f>
        <v>0</v>
      </c>
      <c r="O894">
        <f>MINUTE(M894)</f>
        <v>10</v>
      </c>
      <c r="P894">
        <f>N894*60+O894</f>
        <v>10</v>
      </c>
      <c r="Q894" s="7">
        <f>G894-F894</f>
        <v>1.7361111116770189E-2</v>
      </c>
      <c r="R894">
        <f>HOUR(Q894)</f>
        <v>0</v>
      </c>
      <c r="S894">
        <f>MINUTE(Q894)</f>
        <v>25</v>
      </c>
      <c r="T894">
        <f>R894*60+S894</f>
        <v>25</v>
      </c>
      <c r="U894" s="7">
        <f>H894-G894</f>
        <v>5.2083333328482695E-2</v>
      </c>
      <c r="V894">
        <f>HOUR(U894)</f>
        <v>1</v>
      </c>
      <c r="W894">
        <f>MINUTE(U894)</f>
        <v>15</v>
      </c>
      <c r="X894">
        <f>V894*60+W894</f>
        <v>75</v>
      </c>
      <c r="Y894" s="7">
        <f>I894-H894</f>
        <v>6.9444444452528842E-3</v>
      </c>
      <c r="Z894">
        <f>HOUR(Y894)</f>
        <v>0</v>
      </c>
      <c r="AA894">
        <f>MINUTE(Y894)</f>
        <v>10</v>
      </c>
      <c r="AB894">
        <f>Z894*60+AA894</f>
        <v>10</v>
      </c>
    </row>
    <row r="895" spans="1:28" x14ac:dyDescent="0.25">
      <c r="A895">
        <v>893</v>
      </c>
      <c r="B895" t="s">
        <v>33</v>
      </c>
      <c r="C895">
        <v>1</v>
      </c>
      <c r="D895" t="s">
        <v>34</v>
      </c>
      <c r="E895" s="6">
        <v>46085.454861111109</v>
      </c>
      <c r="F895" s="6">
        <v>46085.461805555555</v>
      </c>
      <c r="G895" s="6">
        <v>46085.472222222219</v>
      </c>
      <c r="H895" s="6">
        <v>46085.569444444445</v>
      </c>
      <c r="I895" s="6">
        <v>46085.586805555555</v>
      </c>
      <c r="J895" s="6">
        <v>46085.59375</v>
      </c>
      <c r="K895">
        <v>3.33</v>
      </c>
      <c r="L895" s="6">
        <v>46085.594444444447</v>
      </c>
      <c r="M895" s="7">
        <f>F895-E895</f>
        <v>6.9444444452528842E-3</v>
      </c>
      <c r="N895">
        <f>HOUR(M895)</f>
        <v>0</v>
      </c>
      <c r="O895">
        <f>MINUTE(M895)</f>
        <v>10</v>
      </c>
      <c r="P895">
        <f>N895*60+O895</f>
        <v>10</v>
      </c>
      <c r="Q895" s="7">
        <f>G895-F895</f>
        <v>1.0416666664241347E-2</v>
      </c>
      <c r="R895">
        <f>HOUR(Q895)</f>
        <v>0</v>
      </c>
      <c r="S895">
        <f>MINUTE(Q895)</f>
        <v>15</v>
      </c>
      <c r="T895">
        <f>R895*60+S895</f>
        <v>15</v>
      </c>
      <c r="U895" s="7">
        <f>H895-G895</f>
        <v>9.7222222226264421E-2</v>
      </c>
      <c r="V895">
        <f>HOUR(U895)</f>
        <v>2</v>
      </c>
      <c r="W895">
        <f>MINUTE(U895)</f>
        <v>20</v>
      </c>
      <c r="X895">
        <f>V895*60+W895</f>
        <v>140</v>
      </c>
      <c r="Y895" s="7">
        <f>I895-H895</f>
        <v>1.7361111109494232E-2</v>
      </c>
      <c r="Z895">
        <f>HOUR(Y895)</f>
        <v>0</v>
      </c>
      <c r="AA895">
        <f>MINUTE(Y895)</f>
        <v>25</v>
      </c>
      <c r="AB895">
        <f>Z895*60+AA895</f>
        <v>25</v>
      </c>
    </row>
    <row r="896" spans="1:28" x14ac:dyDescent="0.25">
      <c r="A896">
        <v>894</v>
      </c>
      <c r="B896" t="s">
        <v>31</v>
      </c>
      <c r="C896">
        <v>1</v>
      </c>
      <c r="D896" t="s">
        <v>30</v>
      </c>
      <c r="E896" s="6">
        <v>46085.173611111109</v>
      </c>
      <c r="F896" s="6">
        <v>46085.177083333336</v>
      </c>
      <c r="G896" s="6">
        <v>46085.1875</v>
      </c>
      <c r="H896" s="6">
        <v>46085.28125</v>
      </c>
      <c r="I896" s="6">
        <v>46085.288194444445</v>
      </c>
      <c r="J896" s="6">
        <v>46085.371527777781</v>
      </c>
      <c r="K896">
        <v>4.75</v>
      </c>
      <c r="L896" s="6">
        <v>46085.37222222222</v>
      </c>
      <c r="M896" s="7">
        <f>F896-E896</f>
        <v>3.4722222262644209E-3</v>
      </c>
      <c r="N896">
        <f>HOUR(M896)</f>
        <v>0</v>
      </c>
      <c r="O896">
        <f>MINUTE(M896)</f>
        <v>5</v>
      </c>
      <c r="P896">
        <f>N896*60+O896</f>
        <v>5</v>
      </c>
      <c r="Q896" s="7">
        <f>G896-F896</f>
        <v>1.0416666664241347E-2</v>
      </c>
      <c r="R896">
        <f>HOUR(Q896)</f>
        <v>0</v>
      </c>
      <c r="S896">
        <f>MINUTE(Q896)</f>
        <v>15</v>
      </c>
      <c r="T896">
        <f>R896*60+S896</f>
        <v>15</v>
      </c>
      <c r="U896" s="7">
        <f>H896-G896</f>
        <v>9.375E-2</v>
      </c>
      <c r="V896">
        <f>HOUR(U896)</f>
        <v>2</v>
      </c>
      <c r="W896">
        <f>MINUTE(U896)</f>
        <v>15</v>
      </c>
      <c r="X896">
        <f>V896*60+W896</f>
        <v>135</v>
      </c>
      <c r="Y896" s="7">
        <f>I896-H896</f>
        <v>6.9444444452528842E-3</v>
      </c>
      <c r="Z896">
        <f>HOUR(Y896)</f>
        <v>0</v>
      </c>
      <c r="AA896">
        <f>MINUTE(Y896)</f>
        <v>10</v>
      </c>
      <c r="AB896">
        <f>Z896*60+AA896</f>
        <v>10</v>
      </c>
    </row>
    <row r="897" spans="1:28" x14ac:dyDescent="0.25">
      <c r="A897">
        <v>895</v>
      </c>
      <c r="B897" t="s">
        <v>33</v>
      </c>
      <c r="C897">
        <v>1</v>
      </c>
      <c r="D897" t="s">
        <v>30</v>
      </c>
      <c r="E897" s="6">
        <v>46085.416666666664</v>
      </c>
      <c r="F897" s="6">
        <v>46085.430555555555</v>
      </c>
      <c r="G897" s="6">
        <v>46085.440972222219</v>
      </c>
      <c r="H897" s="6">
        <v>46085.468055555553</v>
      </c>
      <c r="I897" s="6">
        <v>46085.472222222219</v>
      </c>
      <c r="J897" s="6">
        <v>46085.472916666666</v>
      </c>
      <c r="K897">
        <v>1.35</v>
      </c>
      <c r="L897" s="6">
        <v>46085.478472222225</v>
      </c>
      <c r="M897" s="7">
        <f>F897-E897</f>
        <v>1.3888888890505768E-2</v>
      </c>
      <c r="N897">
        <f>HOUR(M897)</f>
        <v>0</v>
      </c>
      <c r="O897">
        <f>MINUTE(M897)</f>
        <v>20</v>
      </c>
      <c r="P897">
        <f>N897*60+O897</f>
        <v>20</v>
      </c>
      <c r="Q897" s="7">
        <f>G897-F897</f>
        <v>1.0416666664241347E-2</v>
      </c>
      <c r="R897">
        <f>HOUR(Q897)</f>
        <v>0</v>
      </c>
      <c r="S897">
        <f>MINUTE(Q897)</f>
        <v>15</v>
      </c>
      <c r="T897">
        <f>R897*60+S897</f>
        <v>15</v>
      </c>
      <c r="U897" s="7">
        <f>H897-G897</f>
        <v>2.7083333334303461E-2</v>
      </c>
      <c r="V897">
        <f>HOUR(U897)</f>
        <v>0</v>
      </c>
      <c r="W897">
        <f>MINUTE(U897)</f>
        <v>39</v>
      </c>
      <c r="X897">
        <f>V897*60+W897</f>
        <v>39</v>
      </c>
      <c r="Y897" s="7">
        <f>I897-H897</f>
        <v>4.166666665696539E-3</v>
      </c>
      <c r="Z897">
        <f>HOUR(Y897)</f>
        <v>0</v>
      </c>
      <c r="AA897">
        <f>MINUTE(Y897)</f>
        <v>6</v>
      </c>
      <c r="AB897">
        <f>Z897*60+AA897</f>
        <v>6</v>
      </c>
    </row>
    <row r="898" spans="1:28" x14ac:dyDescent="0.25">
      <c r="A898">
        <v>896</v>
      </c>
      <c r="B898" t="s">
        <v>31</v>
      </c>
      <c r="C898">
        <v>1</v>
      </c>
      <c r="D898" t="s">
        <v>30</v>
      </c>
      <c r="E898" s="6">
        <v>46085.520833333336</v>
      </c>
      <c r="F898" s="6">
        <v>46085.53125</v>
      </c>
      <c r="G898" s="6">
        <v>46085.548611111109</v>
      </c>
      <c r="H898" s="6">
        <v>46085.565972222219</v>
      </c>
      <c r="I898" s="6">
        <v>46085.569444444445</v>
      </c>
      <c r="J898" s="6">
        <v>46085.573611111111</v>
      </c>
      <c r="K898">
        <v>1.27</v>
      </c>
      <c r="L898" s="6">
        <v>46085.580555555556</v>
      </c>
      <c r="M898" s="7">
        <f>F898-E898</f>
        <v>1.0416666664241347E-2</v>
      </c>
      <c r="N898">
        <f>HOUR(M898)</f>
        <v>0</v>
      </c>
      <c r="O898">
        <f>MINUTE(M898)</f>
        <v>15</v>
      </c>
      <c r="P898">
        <f>N898*60+O898</f>
        <v>15</v>
      </c>
      <c r="Q898" s="7">
        <f>G898-F898</f>
        <v>1.7361111109494232E-2</v>
      </c>
      <c r="R898">
        <f>HOUR(Q898)</f>
        <v>0</v>
      </c>
      <c r="S898">
        <f>MINUTE(Q898)</f>
        <v>25</v>
      </c>
      <c r="T898">
        <f>R898*60+S898</f>
        <v>25</v>
      </c>
      <c r="U898" s="7">
        <f>H898-G898</f>
        <v>1.7361111109494232E-2</v>
      </c>
      <c r="V898">
        <f>HOUR(U898)</f>
        <v>0</v>
      </c>
      <c r="W898">
        <f>MINUTE(U898)</f>
        <v>25</v>
      </c>
      <c r="X898">
        <f>V898*60+W898</f>
        <v>25</v>
      </c>
      <c r="Y898" s="7">
        <f>I898-H898</f>
        <v>3.4722222262644209E-3</v>
      </c>
      <c r="Z898">
        <f>HOUR(Y898)</f>
        <v>0</v>
      </c>
      <c r="AA898">
        <f>MINUTE(Y898)</f>
        <v>5</v>
      </c>
      <c r="AB898">
        <f>Z898*60+AA898</f>
        <v>5</v>
      </c>
    </row>
    <row r="899" spans="1:28" x14ac:dyDescent="0.25">
      <c r="A899">
        <v>897</v>
      </c>
      <c r="B899" t="s">
        <v>29</v>
      </c>
      <c r="C899">
        <v>1</v>
      </c>
      <c r="D899" t="s">
        <v>30</v>
      </c>
      <c r="E899" s="6">
        <v>46085.513888888891</v>
      </c>
      <c r="F899" s="6">
        <v>46085.517361111109</v>
      </c>
      <c r="G899" s="6">
        <v>46085.541666666664</v>
      </c>
      <c r="H899" s="6">
        <v>46085.666666666664</v>
      </c>
      <c r="I899" s="6">
        <v>46085.673611111109</v>
      </c>
      <c r="J899" s="6">
        <v>46085.677083333336</v>
      </c>
      <c r="K899">
        <v>3.92</v>
      </c>
      <c r="L899" s="6">
        <v>46085.684027777781</v>
      </c>
      <c r="M899" s="7">
        <f>F899-E899</f>
        <v>3.4722222189884633E-3</v>
      </c>
      <c r="N899">
        <f>HOUR(M899)</f>
        <v>0</v>
      </c>
      <c r="O899">
        <f>MINUTE(M899)</f>
        <v>5</v>
      </c>
      <c r="P899">
        <f>N899*60+O899</f>
        <v>5</v>
      </c>
      <c r="Q899" s="7">
        <f>G899-F899</f>
        <v>2.4305555554747116E-2</v>
      </c>
      <c r="R899">
        <f>HOUR(Q899)</f>
        <v>0</v>
      </c>
      <c r="S899">
        <f>MINUTE(Q899)</f>
        <v>35</v>
      </c>
      <c r="T899">
        <f>R899*60+S899</f>
        <v>35</v>
      </c>
      <c r="U899" s="7">
        <f>H899-G899</f>
        <v>0.125</v>
      </c>
      <c r="V899">
        <f>HOUR(U899)</f>
        <v>3</v>
      </c>
      <c r="W899">
        <f>MINUTE(U899)</f>
        <v>0</v>
      </c>
      <c r="X899">
        <f>V899*60+W899</f>
        <v>180</v>
      </c>
      <c r="Y899" s="7">
        <f>I899-H899</f>
        <v>6.9444444452528842E-3</v>
      </c>
      <c r="Z899">
        <f>HOUR(Y899)</f>
        <v>0</v>
      </c>
      <c r="AA899">
        <f>MINUTE(Y899)</f>
        <v>10</v>
      </c>
      <c r="AB899">
        <f>Z899*60+AA899</f>
        <v>10</v>
      </c>
    </row>
    <row r="900" spans="1:28" x14ac:dyDescent="0.25">
      <c r="A900">
        <v>898</v>
      </c>
      <c r="B900" t="s">
        <v>33</v>
      </c>
      <c r="C900">
        <v>1</v>
      </c>
      <c r="D900" t="s">
        <v>32</v>
      </c>
      <c r="E900" s="6">
        <v>46086.291666666664</v>
      </c>
      <c r="F900" s="6">
        <v>46086.298611111109</v>
      </c>
      <c r="G900" s="6">
        <v>46086.305555555555</v>
      </c>
      <c r="H900" s="6">
        <v>46086.311111111114</v>
      </c>
      <c r="I900" s="6">
        <v>46086.311805555553</v>
      </c>
      <c r="J900" s="6">
        <v>46086.3125</v>
      </c>
      <c r="K900">
        <v>0.5</v>
      </c>
      <c r="L900" s="6">
        <v>46086.313194444447</v>
      </c>
      <c r="M900" s="7">
        <f>F900-E900</f>
        <v>6.9444444452528842E-3</v>
      </c>
      <c r="N900">
        <f>HOUR(M900)</f>
        <v>0</v>
      </c>
      <c r="O900">
        <f>MINUTE(M900)</f>
        <v>10</v>
      </c>
      <c r="P900">
        <f>N900*60+O900</f>
        <v>10</v>
      </c>
      <c r="Q900" s="7">
        <f>G900-F900</f>
        <v>6.9444444452528842E-3</v>
      </c>
      <c r="R900">
        <f>HOUR(Q900)</f>
        <v>0</v>
      </c>
      <c r="S900">
        <f>MINUTE(Q900)</f>
        <v>10</v>
      </c>
      <c r="T900">
        <f>R900*60+S900</f>
        <v>10</v>
      </c>
      <c r="U900" s="7">
        <f>H900-G900</f>
        <v>5.5555555591126904E-3</v>
      </c>
      <c r="V900">
        <f>HOUR(U900)</f>
        <v>0</v>
      </c>
      <c r="W900">
        <f>MINUTE(U900)</f>
        <v>8</v>
      </c>
      <c r="X900">
        <f>V900*60+W900</f>
        <v>8</v>
      </c>
      <c r="Y900" s="7">
        <f>I900-H900</f>
        <v>6.9444443943211809E-4</v>
      </c>
      <c r="Z900">
        <f>HOUR(Y900)</f>
        <v>0</v>
      </c>
      <c r="AA900">
        <f>MINUTE(Y900)</f>
        <v>1</v>
      </c>
      <c r="AB900">
        <f>Z900*60+AA900</f>
        <v>1</v>
      </c>
    </row>
    <row r="901" spans="1:28" x14ac:dyDescent="0.25">
      <c r="A901">
        <v>899</v>
      </c>
      <c r="B901" t="s">
        <v>31</v>
      </c>
      <c r="C901">
        <v>1</v>
      </c>
      <c r="D901" t="s">
        <v>36</v>
      </c>
      <c r="E901" s="6">
        <v>46086.4375</v>
      </c>
      <c r="F901" s="6">
        <v>46086.444444444445</v>
      </c>
      <c r="G901" s="6">
        <v>46086.458333333336</v>
      </c>
      <c r="H901" s="6">
        <v>46086.493055555555</v>
      </c>
      <c r="I901" s="6">
        <v>46086.5</v>
      </c>
      <c r="J901" s="6">
        <v>46086.503472222219</v>
      </c>
      <c r="K901">
        <v>1.58</v>
      </c>
      <c r="L901" s="6">
        <v>46086.510416666664</v>
      </c>
      <c r="M901" s="7">
        <f>F901-E901</f>
        <v>6.9444444452528842E-3</v>
      </c>
      <c r="N901">
        <f>HOUR(M901)</f>
        <v>0</v>
      </c>
      <c r="O901">
        <f>MINUTE(M901)</f>
        <v>10</v>
      </c>
      <c r="P901">
        <f>N901*60+O901</f>
        <v>10</v>
      </c>
      <c r="Q901" s="7">
        <f>G901-F901</f>
        <v>1.3888888890505768E-2</v>
      </c>
      <c r="R901">
        <f>HOUR(Q901)</f>
        <v>0</v>
      </c>
      <c r="S901">
        <f>MINUTE(Q901)</f>
        <v>20</v>
      </c>
      <c r="T901">
        <f>R901*60+S901</f>
        <v>20</v>
      </c>
      <c r="U901" s="7">
        <f>H901-G901</f>
        <v>3.4722222218988463E-2</v>
      </c>
      <c r="V901">
        <f>HOUR(U901)</f>
        <v>0</v>
      </c>
      <c r="W901">
        <f>MINUTE(U901)</f>
        <v>50</v>
      </c>
      <c r="X901">
        <f>V901*60+W901</f>
        <v>50</v>
      </c>
      <c r="Y901" s="7">
        <f>I901-H901</f>
        <v>6.9444444452528842E-3</v>
      </c>
      <c r="Z901">
        <f>HOUR(Y901)</f>
        <v>0</v>
      </c>
      <c r="AA901">
        <f>MINUTE(Y901)</f>
        <v>10</v>
      </c>
      <c r="AB901">
        <f>Z901*60+AA901</f>
        <v>10</v>
      </c>
    </row>
    <row r="902" spans="1:28" x14ac:dyDescent="0.25">
      <c r="A902">
        <v>900</v>
      </c>
      <c r="B902" t="s">
        <v>29</v>
      </c>
      <c r="C902">
        <v>1</v>
      </c>
      <c r="D902" t="s">
        <v>30</v>
      </c>
      <c r="E902" s="6">
        <v>46085.645833333336</v>
      </c>
      <c r="F902" s="6">
        <v>46085.652777777781</v>
      </c>
      <c r="G902" s="6">
        <v>46085.669444444444</v>
      </c>
      <c r="H902" s="6">
        <v>46085.680555555555</v>
      </c>
      <c r="I902" s="6">
        <v>46085.684027777781</v>
      </c>
      <c r="J902" s="6">
        <v>46085.686805555553</v>
      </c>
      <c r="K902">
        <v>0.98</v>
      </c>
      <c r="L902" s="6">
        <v>46085.693749999999</v>
      </c>
      <c r="M902" s="7">
        <f>F902-E902</f>
        <v>6.9444444452528842E-3</v>
      </c>
      <c r="N902">
        <f>HOUR(M902)</f>
        <v>0</v>
      </c>
      <c r="O902">
        <f>MINUTE(M902)</f>
        <v>10</v>
      </c>
      <c r="P902">
        <f>N902*60+O902</f>
        <v>10</v>
      </c>
      <c r="Q902" s="7">
        <f>G902-F902</f>
        <v>1.6666666662786156E-2</v>
      </c>
      <c r="R902">
        <f>HOUR(Q902)</f>
        <v>0</v>
      </c>
      <c r="S902">
        <f>MINUTE(Q902)</f>
        <v>24</v>
      </c>
      <c r="T902">
        <f>R902*60+S902</f>
        <v>24</v>
      </c>
      <c r="U902" s="7">
        <f>H902-G902</f>
        <v>1.1111111110949423E-2</v>
      </c>
      <c r="V902">
        <f>HOUR(U902)</f>
        <v>0</v>
      </c>
      <c r="W902">
        <f>MINUTE(U902)</f>
        <v>16</v>
      </c>
      <c r="X902">
        <f>V902*60+W902</f>
        <v>16</v>
      </c>
      <c r="Y902" s="7">
        <f>I902-H902</f>
        <v>3.4722222262644209E-3</v>
      </c>
      <c r="Z902">
        <f>HOUR(Y902)</f>
        <v>0</v>
      </c>
      <c r="AA902">
        <f>MINUTE(Y902)</f>
        <v>5</v>
      </c>
      <c r="AB902">
        <f>Z902*60+AA902</f>
        <v>5</v>
      </c>
    </row>
    <row r="903" spans="1:28" x14ac:dyDescent="0.25">
      <c r="A903">
        <v>901</v>
      </c>
      <c r="B903" t="s">
        <v>31</v>
      </c>
      <c r="C903">
        <v>1</v>
      </c>
      <c r="D903" t="s">
        <v>32</v>
      </c>
      <c r="E903" s="6">
        <v>46086.4375</v>
      </c>
      <c r="F903" s="6">
        <v>46086.444444444445</v>
      </c>
      <c r="G903" s="6">
        <v>46086.472222222219</v>
      </c>
      <c r="H903" s="6">
        <v>46086.546527777777</v>
      </c>
      <c r="I903" s="6">
        <v>46086.553472222222</v>
      </c>
      <c r="J903" s="6">
        <v>46086.572916666664</v>
      </c>
      <c r="K903">
        <v>3.25</v>
      </c>
      <c r="L903" s="6">
        <v>46086.579861111109</v>
      </c>
      <c r="M903" s="7">
        <f>F903-E903</f>
        <v>6.9444444452528842E-3</v>
      </c>
      <c r="N903">
        <f>HOUR(M903)</f>
        <v>0</v>
      </c>
      <c r="O903">
        <f>MINUTE(M903)</f>
        <v>10</v>
      </c>
      <c r="P903">
        <f>N903*60+O903</f>
        <v>10</v>
      </c>
      <c r="Q903" s="7">
        <f>G903-F903</f>
        <v>2.7777777773735579E-2</v>
      </c>
      <c r="R903">
        <f>HOUR(Q903)</f>
        <v>0</v>
      </c>
      <c r="S903">
        <f>MINUTE(Q903)</f>
        <v>40</v>
      </c>
      <c r="T903">
        <f>R903*60+S903</f>
        <v>40</v>
      </c>
      <c r="U903" s="7">
        <f>H903-G903</f>
        <v>7.4305555557657499E-2</v>
      </c>
      <c r="V903">
        <f>HOUR(U903)</f>
        <v>1</v>
      </c>
      <c r="W903">
        <f>MINUTE(U903)</f>
        <v>47</v>
      </c>
      <c r="X903">
        <f>V903*60+W903</f>
        <v>107</v>
      </c>
      <c r="Y903" s="7">
        <f>I903-H903</f>
        <v>6.9444444452528842E-3</v>
      </c>
      <c r="Z903">
        <f>HOUR(Y903)</f>
        <v>0</v>
      </c>
      <c r="AA903">
        <f>MINUTE(Y903)</f>
        <v>10</v>
      </c>
      <c r="AB903">
        <f>Z903*60+AA903</f>
        <v>10</v>
      </c>
    </row>
    <row r="904" spans="1:28" x14ac:dyDescent="0.25">
      <c r="A904">
        <v>902</v>
      </c>
      <c r="B904" t="s">
        <v>29</v>
      </c>
      <c r="C904">
        <v>1</v>
      </c>
      <c r="D904" t="s">
        <v>35</v>
      </c>
      <c r="E904" s="6">
        <v>46085.618055555555</v>
      </c>
      <c r="F904" s="6">
        <v>46085.625</v>
      </c>
      <c r="G904" s="6">
        <v>46085.631944444445</v>
      </c>
      <c r="H904" s="6">
        <v>46085.640277777777</v>
      </c>
      <c r="I904" s="6">
        <v>46085.647222222222</v>
      </c>
      <c r="J904" s="6">
        <v>46085.65625</v>
      </c>
      <c r="K904">
        <v>0.92</v>
      </c>
      <c r="L904" s="6">
        <v>46085.663194444445</v>
      </c>
      <c r="M904" s="7">
        <f>F904-E904</f>
        <v>6.9444444452528842E-3</v>
      </c>
      <c r="N904">
        <f>HOUR(M904)</f>
        <v>0</v>
      </c>
      <c r="O904">
        <f>MINUTE(M904)</f>
        <v>10</v>
      </c>
      <c r="P904">
        <f>N904*60+O904</f>
        <v>10</v>
      </c>
      <c r="Q904" s="7">
        <f>G904-F904</f>
        <v>6.9444444452528842E-3</v>
      </c>
      <c r="R904">
        <f>HOUR(Q904)</f>
        <v>0</v>
      </c>
      <c r="S904">
        <f>MINUTE(Q904)</f>
        <v>10</v>
      </c>
      <c r="T904">
        <f>R904*60+S904</f>
        <v>10</v>
      </c>
      <c r="U904" s="7">
        <f>H904-G904</f>
        <v>8.333333331393078E-3</v>
      </c>
      <c r="V904">
        <f>HOUR(U904)</f>
        <v>0</v>
      </c>
      <c r="W904">
        <f>MINUTE(U904)</f>
        <v>12</v>
      </c>
      <c r="X904">
        <f>V904*60+W904</f>
        <v>12</v>
      </c>
      <c r="Y904" s="7">
        <f>I904-H904</f>
        <v>6.9444444452528842E-3</v>
      </c>
      <c r="Z904">
        <f>HOUR(Y904)</f>
        <v>0</v>
      </c>
      <c r="AA904">
        <f>MINUTE(Y904)</f>
        <v>10</v>
      </c>
      <c r="AB904">
        <f>Z904*60+AA904</f>
        <v>10</v>
      </c>
    </row>
    <row r="905" spans="1:28" x14ac:dyDescent="0.25">
      <c r="A905">
        <v>903</v>
      </c>
      <c r="B905" t="s">
        <v>33</v>
      </c>
      <c r="C905">
        <v>1</v>
      </c>
      <c r="D905" t="s">
        <v>37</v>
      </c>
      <c r="E905" s="6">
        <v>46086.670138888891</v>
      </c>
      <c r="F905" s="6">
        <v>46086.680555555555</v>
      </c>
      <c r="G905" s="6">
        <v>46086.684027777781</v>
      </c>
      <c r="H905" s="6">
        <v>46086.690972222219</v>
      </c>
      <c r="I905" s="6">
        <v>46086.722222222219</v>
      </c>
      <c r="J905" s="6">
        <v>46086.729166666664</v>
      </c>
      <c r="K905">
        <v>1.42</v>
      </c>
      <c r="L905" s="6">
        <v>46086.736111111109</v>
      </c>
      <c r="M905" s="7">
        <f>F905-E905</f>
        <v>1.0416666664241347E-2</v>
      </c>
      <c r="N905">
        <f>HOUR(M905)</f>
        <v>0</v>
      </c>
      <c r="O905">
        <f>MINUTE(M905)</f>
        <v>15</v>
      </c>
      <c r="P905">
        <f>N905*60+O905</f>
        <v>15</v>
      </c>
      <c r="Q905" s="7">
        <f>G905-F905</f>
        <v>3.4722222262644209E-3</v>
      </c>
      <c r="R905">
        <f>HOUR(Q905)</f>
        <v>0</v>
      </c>
      <c r="S905">
        <f>MINUTE(Q905)</f>
        <v>5</v>
      </c>
      <c r="T905">
        <f>R905*60+S905</f>
        <v>5</v>
      </c>
      <c r="U905" s="7">
        <f>H905-G905</f>
        <v>6.9444444379769266E-3</v>
      </c>
      <c r="V905">
        <f>HOUR(U905)</f>
        <v>0</v>
      </c>
      <c r="W905">
        <f>MINUTE(U905)</f>
        <v>10</v>
      </c>
      <c r="X905">
        <f>V905*60+W905</f>
        <v>10</v>
      </c>
      <c r="Y905" s="7">
        <f>I905-H905</f>
        <v>3.125E-2</v>
      </c>
      <c r="Z905">
        <f>HOUR(Y905)</f>
        <v>0</v>
      </c>
      <c r="AA905">
        <f>MINUTE(Y905)</f>
        <v>45</v>
      </c>
      <c r="AB905">
        <f>Z905*60+AA905</f>
        <v>45</v>
      </c>
    </row>
    <row r="906" spans="1:28" x14ac:dyDescent="0.25">
      <c r="A906">
        <v>904</v>
      </c>
      <c r="B906" t="s">
        <v>33</v>
      </c>
      <c r="C906">
        <v>1</v>
      </c>
      <c r="D906" t="s">
        <v>36</v>
      </c>
      <c r="E906" s="6">
        <v>46086.291666666664</v>
      </c>
      <c r="F906" s="6">
        <v>46086.319444444445</v>
      </c>
      <c r="G906" s="6">
        <v>46086.340277777781</v>
      </c>
      <c r="H906" s="6">
        <v>46086.395833333336</v>
      </c>
      <c r="I906" s="6">
        <v>46086.399305555555</v>
      </c>
      <c r="J906" s="6">
        <v>46086.401388888888</v>
      </c>
      <c r="K906">
        <v>2.63</v>
      </c>
      <c r="L906" s="6">
        <v>46086.408333333333</v>
      </c>
      <c r="M906" s="7">
        <f>F906-E906</f>
        <v>2.7777777781011537E-2</v>
      </c>
      <c r="N906">
        <f>HOUR(M906)</f>
        <v>0</v>
      </c>
      <c r="O906">
        <f>MINUTE(M906)</f>
        <v>40</v>
      </c>
      <c r="P906">
        <f>N906*60+O906</f>
        <v>40</v>
      </c>
      <c r="Q906" s="7">
        <f>G906-F906</f>
        <v>2.0833333335758653E-2</v>
      </c>
      <c r="R906">
        <f>HOUR(Q906)</f>
        <v>0</v>
      </c>
      <c r="S906">
        <f>MINUTE(Q906)</f>
        <v>30</v>
      </c>
      <c r="T906">
        <f>R906*60+S906</f>
        <v>30</v>
      </c>
      <c r="U906" s="7">
        <f>H906-G906</f>
        <v>5.5555555554747116E-2</v>
      </c>
      <c r="V906">
        <f>HOUR(U906)</f>
        <v>1</v>
      </c>
      <c r="W906">
        <f>MINUTE(U906)</f>
        <v>20</v>
      </c>
      <c r="X906">
        <f>V906*60+W906</f>
        <v>80</v>
      </c>
      <c r="Y906" s="7">
        <f>I906-H906</f>
        <v>3.4722222189884633E-3</v>
      </c>
      <c r="Z906">
        <f>HOUR(Y906)</f>
        <v>0</v>
      </c>
      <c r="AA906">
        <f>MINUTE(Y906)</f>
        <v>5</v>
      </c>
      <c r="AB906">
        <f>Z906*60+AA906</f>
        <v>5</v>
      </c>
    </row>
    <row r="907" spans="1:28" x14ac:dyDescent="0.25">
      <c r="A907">
        <v>905</v>
      </c>
      <c r="B907" t="s">
        <v>33</v>
      </c>
      <c r="C907">
        <v>1</v>
      </c>
      <c r="D907" t="s">
        <v>34</v>
      </c>
      <c r="E907" s="6">
        <v>46086.322916666664</v>
      </c>
      <c r="F907" s="6">
        <v>46086.336805555555</v>
      </c>
      <c r="G907" s="6">
        <v>46086.375</v>
      </c>
      <c r="H907" s="6">
        <v>46086.583333333336</v>
      </c>
      <c r="I907" s="6">
        <v>46086.597222222219</v>
      </c>
      <c r="J907" s="6">
        <v>46086.604166666664</v>
      </c>
      <c r="K907">
        <v>6.75</v>
      </c>
      <c r="L907" s="6">
        <v>46086.605555555558</v>
      </c>
      <c r="M907" s="7">
        <f>F907-E907</f>
        <v>1.3888888890505768E-2</v>
      </c>
      <c r="N907">
        <f>HOUR(M907)</f>
        <v>0</v>
      </c>
      <c r="O907">
        <f>MINUTE(M907)</f>
        <v>20</v>
      </c>
      <c r="P907">
        <f>N907*60+O907</f>
        <v>20</v>
      </c>
      <c r="Q907" s="7">
        <f>G907-F907</f>
        <v>3.8194444445252884E-2</v>
      </c>
      <c r="R907">
        <f>HOUR(Q907)</f>
        <v>0</v>
      </c>
      <c r="S907">
        <f>MINUTE(Q907)</f>
        <v>55</v>
      </c>
      <c r="T907">
        <f>R907*60+S907</f>
        <v>55</v>
      </c>
      <c r="U907" s="7">
        <f>H907-G907</f>
        <v>0.20833333333575865</v>
      </c>
      <c r="V907">
        <f>HOUR(U907)</f>
        <v>5</v>
      </c>
      <c r="W907">
        <f>MINUTE(U907)</f>
        <v>0</v>
      </c>
      <c r="X907">
        <f>V907*60+W907</f>
        <v>300</v>
      </c>
      <c r="Y907" s="7">
        <f>I907-H907</f>
        <v>1.3888888883229811E-2</v>
      </c>
      <c r="Z907">
        <f>HOUR(Y907)</f>
        <v>0</v>
      </c>
      <c r="AA907">
        <f>MINUTE(Y907)</f>
        <v>20</v>
      </c>
      <c r="AB907">
        <f>Z907*60+AA907</f>
        <v>20</v>
      </c>
    </row>
    <row r="908" spans="1:28" x14ac:dyDescent="0.25">
      <c r="A908">
        <v>906</v>
      </c>
      <c r="B908" t="s">
        <v>31</v>
      </c>
      <c r="C908">
        <v>1</v>
      </c>
      <c r="D908" t="s">
        <v>34</v>
      </c>
      <c r="E908" s="6">
        <v>46085.88958333333</v>
      </c>
      <c r="F908" s="6">
        <v>46085.902777777781</v>
      </c>
      <c r="G908" s="6">
        <v>46085.909722222219</v>
      </c>
      <c r="H908" s="6">
        <v>46085.947916666664</v>
      </c>
      <c r="I908" s="6">
        <v>46085.948611111111</v>
      </c>
      <c r="J908" s="6">
        <v>46085.949305555558</v>
      </c>
      <c r="K908">
        <v>1.43</v>
      </c>
      <c r="L908" s="6">
        <v>46085.95</v>
      </c>
      <c r="M908" s="7">
        <f>F908-E908</f>
        <v>1.319444445107365E-2</v>
      </c>
      <c r="N908">
        <f>HOUR(M908)</f>
        <v>0</v>
      </c>
      <c r="O908">
        <f>MINUTE(M908)</f>
        <v>19</v>
      </c>
      <c r="P908">
        <f>N908*60+O908</f>
        <v>19</v>
      </c>
      <c r="Q908" s="7">
        <f>G908-F908</f>
        <v>6.9444444379769266E-3</v>
      </c>
      <c r="R908">
        <f>HOUR(Q908)</f>
        <v>0</v>
      </c>
      <c r="S908">
        <f>MINUTE(Q908)</f>
        <v>10</v>
      </c>
      <c r="T908">
        <f>R908*60+S908</f>
        <v>10</v>
      </c>
      <c r="U908" s="7">
        <f>H908-G908</f>
        <v>3.8194444445252884E-2</v>
      </c>
      <c r="V908">
        <f>HOUR(U908)</f>
        <v>0</v>
      </c>
      <c r="W908">
        <f>MINUTE(U908)</f>
        <v>55</v>
      </c>
      <c r="X908">
        <f>V908*60+W908</f>
        <v>55</v>
      </c>
      <c r="Y908" s="7">
        <f>I908-H908</f>
        <v>6.944444467080757E-4</v>
      </c>
      <c r="Z908">
        <f>HOUR(Y908)</f>
        <v>0</v>
      </c>
      <c r="AA908">
        <f>MINUTE(Y908)</f>
        <v>1</v>
      </c>
      <c r="AB908">
        <f>Z908*60+AA908</f>
        <v>1</v>
      </c>
    </row>
    <row r="909" spans="1:28" x14ac:dyDescent="0.25">
      <c r="A909">
        <v>907</v>
      </c>
      <c r="B909" t="s">
        <v>29</v>
      </c>
      <c r="C909">
        <v>1</v>
      </c>
      <c r="D909" t="s">
        <v>30</v>
      </c>
      <c r="E909" s="6">
        <v>46085.975694444445</v>
      </c>
      <c r="F909" s="6">
        <v>46085.979166666664</v>
      </c>
      <c r="G909" s="6">
        <v>46085.993055555555</v>
      </c>
      <c r="H909" s="6">
        <v>46086.03125</v>
      </c>
      <c r="I909" s="6">
        <v>46086.034722222219</v>
      </c>
      <c r="J909" s="6">
        <v>46086.038194444445</v>
      </c>
      <c r="K909">
        <v>1.5</v>
      </c>
      <c r="L909" s="6">
        <v>46086.041666666664</v>
      </c>
      <c r="M909" s="7">
        <f>F909-E909</f>
        <v>3.4722222189884633E-3</v>
      </c>
      <c r="N909">
        <f>HOUR(M909)</f>
        <v>0</v>
      </c>
      <c r="O909">
        <f>MINUTE(M909)</f>
        <v>5</v>
      </c>
      <c r="P909">
        <f>N909*60+O909</f>
        <v>5</v>
      </c>
      <c r="Q909" s="7">
        <f>G909-F909</f>
        <v>1.3888888890505768E-2</v>
      </c>
      <c r="R909">
        <f>HOUR(Q909)</f>
        <v>0</v>
      </c>
      <c r="S909">
        <f>MINUTE(Q909)</f>
        <v>20</v>
      </c>
      <c r="T909">
        <f>R909*60+S909</f>
        <v>20</v>
      </c>
      <c r="U909" s="7">
        <f>H909-G909</f>
        <v>3.8194444445252884E-2</v>
      </c>
      <c r="V909">
        <f>HOUR(U909)</f>
        <v>0</v>
      </c>
      <c r="W909">
        <f>MINUTE(U909)</f>
        <v>55</v>
      </c>
      <c r="X909">
        <f>V909*60+W909</f>
        <v>55</v>
      </c>
      <c r="Y909" s="7">
        <f>I909-H909</f>
        <v>3.4722222189884633E-3</v>
      </c>
      <c r="Z909">
        <f>HOUR(Y909)</f>
        <v>0</v>
      </c>
      <c r="AA909">
        <f>MINUTE(Y909)</f>
        <v>5</v>
      </c>
      <c r="AB909">
        <f>Z909*60+AA909</f>
        <v>5</v>
      </c>
    </row>
    <row r="910" spans="1:28" x14ac:dyDescent="0.25">
      <c r="A910">
        <v>908</v>
      </c>
      <c r="B910" t="s">
        <v>31</v>
      </c>
      <c r="C910">
        <v>1</v>
      </c>
      <c r="D910" t="s">
        <v>34</v>
      </c>
      <c r="E910" s="6">
        <v>46085.999305555553</v>
      </c>
      <c r="F910" s="6">
        <v>46086.010416666664</v>
      </c>
      <c r="G910" s="6">
        <v>46086.013888888891</v>
      </c>
      <c r="H910" s="6">
        <v>46086.041666666664</v>
      </c>
      <c r="I910" s="6">
        <v>46086.048611111109</v>
      </c>
      <c r="J910" s="6">
        <v>46086.055555555555</v>
      </c>
      <c r="K910">
        <v>1.35</v>
      </c>
      <c r="L910" s="6">
        <v>46086.056250000001</v>
      </c>
      <c r="M910" s="7">
        <f>F910-E910</f>
        <v>1.1111111110949423E-2</v>
      </c>
      <c r="N910">
        <f>HOUR(M910)</f>
        <v>0</v>
      </c>
      <c r="O910">
        <f>MINUTE(M910)</f>
        <v>16</v>
      </c>
      <c r="P910">
        <f>N910*60+O910</f>
        <v>16</v>
      </c>
      <c r="Q910" s="7">
        <f>G910-F910</f>
        <v>3.4722222262644209E-3</v>
      </c>
      <c r="R910">
        <f>HOUR(Q910)</f>
        <v>0</v>
      </c>
      <c r="S910">
        <f>MINUTE(Q910)</f>
        <v>5</v>
      </c>
      <c r="T910">
        <f>R910*60+S910</f>
        <v>5</v>
      </c>
      <c r="U910" s="7">
        <f>H910-G910</f>
        <v>2.7777777773735579E-2</v>
      </c>
      <c r="V910">
        <f>HOUR(U910)</f>
        <v>0</v>
      </c>
      <c r="W910">
        <f>MINUTE(U910)</f>
        <v>40</v>
      </c>
      <c r="X910">
        <f>V910*60+W910</f>
        <v>40</v>
      </c>
      <c r="Y910" s="7">
        <f>I910-H910</f>
        <v>6.9444444452528842E-3</v>
      </c>
      <c r="Z910">
        <f>HOUR(Y910)</f>
        <v>0</v>
      </c>
      <c r="AA910">
        <f>MINUTE(Y910)</f>
        <v>10</v>
      </c>
      <c r="AB910">
        <f>Z910*60+AA910</f>
        <v>10</v>
      </c>
    </row>
    <row r="911" spans="1:28" x14ac:dyDescent="0.25">
      <c r="A911">
        <v>909</v>
      </c>
      <c r="B911" t="s">
        <v>33</v>
      </c>
      <c r="C911">
        <v>1</v>
      </c>
      <c r="D911" t="s">
        <v>35</v>
      </c>
      <c r="E911" s="6">
        <v>46086.288194444445</v>
      </c>
      <c r="F911" s="6">
        <v>46086.3125</v>
      </c>
      <c r="G911" s="6">
        <v>46086.333333333336</v>
      </c>
      <c r="H911" s="6">
        <v>46086.427083333336</v>
      </c>
      <c r="I911" s="6">
        <v>46086.434027777781</v>
      </c>
      <c r="J911" s="6">
        <v>46086.4375</v>
      </c>
      <c r="K911">
        <v>3.58</v>
      </c>
      <c r="L911" s="6">
        <v>46086.444444444445</v>
      </c>
      <c r="M911" s="7">
        <f>F911-E911</f>
        <v>2.4305555554747116E-2</v>
      </c>
      <c r="N911">
        <f>HOUR(M911)</f>
        <v>0</v>
      </c>
      <c r="O911">
        <f>MINUTE(M911)</f>
        <v>35</v>
      </c>
      <c r="P911">
        <f>N911*60+O911</f>
        <v>35</v>
      </c>
      <c r="Q911" s="7">
        <f>G911-F911</f>
        <v>2.0833333335758653E-2</v>
      </c>
      <c r="R911">
        <f>HOUR(Q911)</f>
        <v>0</v>
      </c>
      <c r="S911">
        <f>MINUTE(Q911)</f>
        <v>30</v>
      </c>
      <c r="T911">
        <f>R911*60+S911</f>
        <v>30</v>
      </c>
      <c r="U911" s="7">
        <f>H911-G911</f>
        <v>9.375E-2</v>
      </c>
      <c r="V911">
        <f>HOUR(U911)</f>
        <v>2</v>
      </c>
      <c r="W911">
        <f>MINUTE(U911)</f>
        <v>15</v>
      </c>
      <c r="X911">
        <f>V911*60+W911</f>
        <v>135</v>
      </c>
      <c r="Y911" s="7">
        <f>I911-H911</f>
        <v>6.9444444452528842E-3</v>
      </c>
      <c r="Z911">
        <f>HOUR(Y911)</f>
        <v>0</v>
      </c>
      <c r="AA911">
        <f>MINUTE(Y911)</f>
        <v>10</v>
      </c>
      <c r="AB911">
        <f>Z911*60+AA911</f>
        <v>10</v>
      </c>
    </row>
    <row r="912" spans="1:28" x14ac:dyDescent="0.25">
      <c r="A912">
        <v>910</v>
      </c>
      <c r="B912" t="s">
        <v>33</v>
      </c>
      <c r="C912">
        <v>1</v>
      </c>
      <c r="D912" t="s">
        <v>30</v>
      </c>
      <c r="E912" s="6">
        <v>46086.333333333336</v>
      </c>
      <c r="F912" s="6">
        <v>46086.34375</v>
      </c>
      <c r="G912" s="6">
        <v>46086.368055555555</v>
      </c>
      <c r="H912" s="6">
        <v>46086.388888888891</v>
      </c>
      <c r="I912" s="6">
        <v>46086.395833333336</v>
      </c>
      <c r="J912" s="6">
        <v>46086.40902777778</v>
      </c>
      <c r="K912">
        <v>1.82</v>
      </c>
      <c r="L912" s="6">
        <v>46086.415972222225</v>
      </c>
      <c r="M912" s="7">
        <f>F912-E912</f>
        <v>1.0416666664241347E-2</v>
      </c>
      <c r="N912">
        <f>HOUR(M912)</f>
        <v>0</v>
      </c>
      <c r="O912">
        <f>MINUTE(M912)</f>
        <v>15</v>
      </c>
      <c r="P912">
        <f>N912*60+O912</f>
        <v>15</v>
      </c>
      <c r="Q912" s="7">
        <f>G912-F912</f>
        <v>2.4305555554747116E-2</v>
      </c>
      <c r="R912">
        <f>HOUR(Q912)</f>
        <v>0</v>
      </c>
      <c r="S912">
        <f>MINUTE(Q912)</f>
        <v>35</v>
      </c>
      <c r="T912">
        <f>R912*60+S912</f>
        <v>35</v>
      </c>
      <c r="U912" s="7">
        <f>H912-G912</f>
        <v>2.0833333335758653E-2</v>
      </c>
      <c r="V912">
        <f>HOUR(U912)</f>
        <v>0</v>
      </c>
      <c r="W912">
        <f>MINUTE(U912)</f>
        <v>30</v>
      </c>
      <c r="X912">
        <f>V912*60+W912</f>
        <v>30</v>
      </c>
      <c r="Y912" s="7">
        <f>I912-H912</f>
        <v>6.9444444452528842E-3</v>
      </c>
      <c r="Z912">
        <f>HOUR(Y912)</f>
        <v>0</v>
      </c>
      <c r="AA912">
        <f>MINUTE(Y912)</f>
        <v>10</v>
      </c>
      <c r="AB912">
        <f>Z912*60+AA912</f>
        <v>10</v>
      </c>
    </row>
    <row r="913" spans="1:28" x14ac:dyDescent="0.25">
      <c r="A913">
        <v>911</v>
      </c>
      <c r="B913" t="s">
        <v>33</v>
      </c>
      <c r="C913">
        <v>1</v>
      </c>
      <c r="D913" t="s">
        <v>37</v>
      </c>
      <c r="E913" s="6">
        <v>46086.569444444445</v>
      </c>
      <c r="F913" s="6">
        <v>46086.572916666664</v>
      </c>
      <c r="G913" s="6">
        <v>46086.588888888888</v>
      </c>
      <c r="H913" s="6">
        <v>46086.604166666664</v>
      </c>
      <c r="I913" s="6">
        <v>46086.631944444445</v>
      </c>
      <c r="J913" s="6">
        <v>46086.634027777778</v>
      </c>
      <c r="K913">
        <v>1.55</v>
      </c>
      <c r="L913" s="6">
        <v>46086.634722222225</v>
      </c>
      <c r="M913" s="7">
        <f>F913-E913</f>
        <v>3.4722222189884633E-3</v>
      </c>
      <c r="N913">
        <f>HOUR(M913)</f>
        <v>0</v>
      </c>
      <c r="O913">
        <f>MINUTE(M913)</f>
        <v>5</v>
      </c>
      <c r="P913">
        <f>N913*60+O913</f>
        <v>5</v>
      </c>
      <c r="Q913" s="7">
        <f>G913-F913</f>
        <v>1.5972222223354038E-2</v>
      </c>
      <c r="R913">
        <f>HOUR(Q913)</f>
        <v>0</v>
      </c>
      <c r="S913">
        <f>MINUTE(Q913)</f>
        <v>23</v>
      </c>
      <c r="T913">
        <f>R913*60+S913</f>
        <v>23</v>
      </c>
      <c r="U913" s="7">
        <f>H913-G913</f>
        <v>1.5277777776645962E-2</v>
      </c>
      <c r="V913">
        <f>HOUR(U913)</f>
        <v>0</v>
      </c>
      <c r="W913">
        <f>MINUTE(U913)</f>
        <v>22</v>
      </c>
      <c r="X913">
        <f>V913*60+W913</f>
        <v>22</v>
      </c>
      <c r="Y913" s="7">
        <f>I913-H913</f>
        <v>2.7777777781011537E-2</v>
      </c>
      <c r="Z913">
        <f>HOUR(Y913)</f>
        <v>0</v>
      </c>
      <c r="AA913">
        <f>MINUTE(Y913)</f>
        <v>40</v>
      </c>
      <c r="AB913">
        <f>Z913*60+AA913</f>
        <v>40</v>
      </c>
    </row>
    <row r="914" spans="1:28" x14ac:dyDescent="0.25">
      <c r="A914">
        <v>912</v>
      </c>
      <c r="B914" t="s">
        <v>31</v>
      </c>
      <c r="C914">
        <v>1</v>
      </c>
      <c r="D914" t="s">
        <v>32</v>
      </c>
      <c r="E914" s="6">
        <v>46086.45</v>
      </c>
      <c r="F914" s="6">
        <v>46086.450694444444</v>
      </c>
      <c r="G914" s="6">
        <v>46086.459722222222</v>
      </c>
      <c r="H914" s="6">
        <v>46086.5</v>
      </c>
      <c r="I914" s="6">
        <v>46086.513194444444</v>
      </c>
      <c r="J914" s="6">
        <v>46086.513888888891</v>
      </c>
      <c r="K914">
        <v>1.53</v>
      </c>
      <c r="L914" s="6">
        <v>46086.520833333336</v>
      </c>
      <c r="M914" s="7">
        <f>F914-E914</f>
        <v>6.944444467080757E-4</v>
      </c>
      <c r="N914">
        <f>HOUR(M914)</f>
        <v>0</v>
      </c>
      <c r="O914">
        <f>MINUTE(M914)</f>
        <v>1</v>
      </c>
      <c r="P914">
        <f>N914*60+O914</f>
        <v>1</v>
      </c>
      <c r="Q914" s="7">
        <f>G914-F914</f>
        <v>9.0277777781011537E-3</v>
      </c>
      <c r="R914">
        <f>HOUR(Q914)</f>
        <v>0</v>
      </c>
      <c r="S914">
        <f>MINUTE(Q914)</f>
        <v>13</v>
      </c>
      <c r="T914">
        <f>R914*60+S914</f>
        <v>13</v>
      </c>
      <c r="U914" s="7">
        <f>H914-G914</f>
        <v>4.0277777778101154E-2</v>
      </c>
      <c r="V914">
        <f>HOUR(U914)</f>
        <v>0</v>
      </c>
      <c r="W914">
        <f>MINUTE(U914)</f>
        <v>58</v>
      </c>
      <c r="X914">
        <f>V914*60+W914</f>
        <v>58</v>
      </c>
      <c r="Y914" s="7">
        <f>I914-H914</f>
        <v>1.3194444443797693E-2</v>
      </c>
      <c r="Z914">
        <f>HOUR(Y914)</f>
        <v>0</v>
      </c>
      <c r="AA914">
        <f>MINUTE(Y914)</f>
        <v>19</v>
      </c>
      <c r="AB914">
        <f>Z914*60+AA914</f>
        <v>19</v>
      </c>
    </row>
    <row r="915" spans="1:28" x14ac:dyDescent="0.25">
      <c r="A915">
        <v>913</v>
      </c>
      <c r="B915" t="s">
        <v>33</v>
      </c>
      <c r="C915">
        <v>1</v>
      </c>
      <c r="D915" t="s">
        <v>30</v>
      </c>
      <c r="E915" s="6">
        <v>46086.472222222219</v>
      </c>
      <c r="F915" s="6">
        <v>46086.479166666664</v>
      </c>
      <c r="G915" s="6">
        <v>46086.493055555555</v>
      </c>
      <c r="H915" s="6">
        <v>46086.53125</v>
      </c>
      <c r="I915" s="6">
        <v>46086.538194444445</v>
      </c>
      <c r="J915" s="6">
        <v>46086.541666666664</v>
      </c>
      <c r="K915">
        <v>1.67</v>
      </c>
      <c r="L915" s="6">
        <v>46086.548611111109</v>
      </c>
      <c r="M915" s="7">
        <f>F915-E915</f>
        <v>6.9444444452528842E-3</v>
      </c>
      <c r="N915">
        <f>HOUR(M915)</f>
        <v>0</v>
      </c>
      <c r="O915">
        <f>MINUTE(M915)</f>
        <v>10</v>
      </c>
      <c r="P915">
        <f>N915*60+O915</f>
        <v>10</v>
      </c>
      <c r="Q915" s="7">
        <f>G915-F915</f>
        <v>1.3888888890505768E-2</v>
      </c>
      <c r="R915">
        <f>HOUR(Q915)</f>
        <v>0</v>
      </c>
      <c r="S915">
        <f>MINUTE(Q915)</f>
        <v>20</v>
      </c>
      <c r="T915">
        <f>R915*60+S915</f>
        <v>20</v>
      </c>
      <c r="U915" s="7">
        <f>H915-G915</f>
        <v>3.8194444445252884E-2</v>
      </c>
      <c r="V915">
        <f>HOUR(U915)</f>
        <v>0</v>
      </c>
      <c r="W915">
        <f>MINUTE(U915)</f>
        <v>55</v>
      </c>
      <c r="X915">
        <f>V915*60+W915</f>
        <v>55</v>
      </c>
      <c r="Y915" s="7">
        <f>I915-H915</f>
        <v>6.9444444452528842E-3</v>
      </c>
      <c r="Z915">
        <f>HOUR(Y915)</f>
        <v>0</v>
      </c>
      <c r="AA915">
        <f>MINUTE(Y915)</f>
        <v>10</v>
      </c>
      <c r="AB915">
        <f>Z915*60+AA915</f>
        <v>10</v>
      </c>
    </row>
    <row r="916" spans="1:28" x14ac:dyDescent="0.25">
      <c r="A916">
        <v>914</v>
      </c>
      <c r="B916" t="s">
        <v>31</v>
      </c>
      <c r="C916">
        <v>1</v>
      </c>
      <c r="D916" t="s">
        <v>36</v>
      </c>
      <c r="E916" s="6">
        <v>46086.652777777781</v>
      </c>
      <c r="F916" s="6">
        <v>46086.659722222219</v>
      </c>
      <c r="G916" s="6">
        <v>46086.673611111109</v>
      </c>
      <c r="H916" s="6">
        <v>46086.822916666664</v>
      </c>
      <c r="I916" s="6">
        <v>46086.847222222219</v>
      </c>
      <c r="J916" s="6">
        <v>46086.864583333336</v>
      </c>
      <c r="K916">
        <v>5.08</v>
      </c>
      <c r="L916" s="6">
        <v>46086.871527777781</v>
      </c>
      <c r="M916" s="7">
        <f>F916-E916</f>
        <v>6.9444444379769266E-3</v>
      </c>
      <c r="N916">
        <f>HOUR(M916)</f>
        <v>0</v>
      </c>
      <c r="O916">
        <f>MINUTE(M916)</f>
        <v>10</v>
      </c>
      <c r="P916">
        <f>N916*60+O916</f>
        <v>10</v>
      </c>
      <c r="Q916" s="7">
        <f>G916-F916</f>
        <v>1.3888888890505768E-2</v>
      </c>
      <c r="R916">
        <f>HOUR(Q916)</f>
        <v>0</v>
      </c>
      <c r="S916">
        <f>MINUTE(Q916)</f>
        <v>20</v>
      </c>
      <c r="T916">
        <f>R916*60+S916</f>
        <v>20</v>
      </c>
      <c r="U916" s="7">
        <f>H916-G916</f>
        <v>0.14930555555474712</v>
      </c>
      <c r="V916">
        <f>HOUR(U916)</f>
        <v>3</v>
      </c>
      <c r="W916">
        <f>MINUTE(U916)</f>
        <v>35</v>
      </c>
      <c r="X916">
        <f>V916*60+W916</f>
        <v>215</v>
      </c>
      <c r="Y916" s="7">
        <f>I916-H916</f>
        <v>2.4305555554747116E-2</v>
      </c>
      <c r="Z916">
        <f>HOUR(Y916)</f>
        <v>0</v>
      </c>
      <c r="AA916">
        <f>MINUTE(Y916)</f>
        <v>35</v>
      </c>
      <c r="AB916">
        <f>Z916*60+AA916</f>
        <v>35</v>
      </c>
    </row>
    <row r="917" spans="1:28" x14ac:dyDescent="0.25">
      <c r="A917">
        <v>915</v>
      </c>
      <c r="B917" t="s">
        <v>29</v>
      </c>
      <c r="C917">
        <v>1</v>
      </c>
      <c r="D917" t="s">
        <v>30</v>
      </c>
      <c r="E917" s="6">
        <v>46086.579861111109</v>
      </c>
      <c r="F917" s="6">
        <v>46086.586805555555</v>
      </c>
      <c r="G917" s="6">
        <v>46086.611111111109</v>
      </c>
      <c r="H917" s="6">
        <v>46086.723611111112</v>
      </c>
      <c r="I917" s="6">
        <v>46086.730555555558</v>
      </c>
      <c r="J917" s="6">
        <v>46086.732638888891</v>
      </c>
      <c r="K917">
        <v>3.67</v>
      </c>
      <c r="L917" s="6">
        <v>46086.739583333336</v>
      </c>
      <c r="M917" s="7">
        <f>F917-E917</f>
        <v>6.9444444452528842E-3</v>
      </c>
      <c r="N917">
        <f>HOUR(M917)</f>
        <v>0</v>
      </c>
      <c r="O917">
        <f>MINUTE(M917)</f>
        <v>10</v>
      </c>
      <c r="P917">
        <f>N917*60+O917</f>
        <v>10</v>
      </c>
      <c r="Q917" s="7">
        <f>G917-F917</f>
        <v>2.4305555554747116E-2</v>
      </c>
      <c r="R917">
        <f>HOUR(Q917)</f>
        <v>0</v>
      </c>
      <c r="S917">
        <f>MINUTE(Q917)</f>
        <v>35</v>
      </c>
      <c r="T917">
        <f>R917*60+S917</f>
        <v>35</v>
      </c>
      <c r="U917" s="7">
        <f>H917-G917</f>
        <v>0.11250000000291038</v>
      </c>
      <c r="V917">
        <f>HOUR(U917)</f>
        <v>2</v>
      </c>
      <c r="W917">
        <f>MINUTE(U917)</f>
        <v>42</v>
      </c>
      <c r="X917">
        <f>V917*60+W917</f>
        <v>162</v>
      </c>
      <c r="Y917" s="7">
        <f>I917-H917</f>
        <v>6.9444444452528842E-3</v>
      </c>
      <c r="Z917">
        <f>HOUR(Y917)</f>
        <v>0</v>
      </c>
      <c r="AA917">
        <f>MINUTE(Y917)</f>
        <v>10</v>
      </c>
      <c r="AB917">
        <f>Z917*60+AA917</f>
        <v>10</v>
      </c>
    </row>
    <row r="918" spans="1:28" x14ac:dyDescent="0.25">
      <c r="A918">
        <v>916</v>
      </c>
      <c r="B918" t="s">
        <v>31</v>
      </c>
      <c r="C918">
        <v>1</v>
      </c>
      <c r="D918" t="s">
        <v>30</v>
      </c>
      <c r="E918" s="6">
        <v>46086.638888888891</v>
      </c>
      <c r="F918" s="6">
        <v>46086.642361111109</v>
      </c>
      <c r="G918" s="6">
        <v>46086.652777777781</v>
      </c>
      <c r="H918" s="6">
        <v>46086.6875</v>
      </c>
      <c r="I918" s="6">
        <v>46086.692361111112</v>
      </c>
      <c r="J918" s="6">
        <v>46086.708333333336</v>
      </c>
      <c r="K918">
        <v>1.67</v>
      </c>
      <c r="L918" s="6">
        <v>46086.713888888888</v>
      </c>
      <c r="M918" s="7">
        <f>F918-E918</f>
        <v>3.4722222189884633E-3</v>
      </c>
      <c r="N918">
        <f>HOUR(M918)</f>
        <v>0</v>
      </c>
      <c r="O918">
        <f>MINUTE(M918)</f>
        <v>5</v>
      </c>
      <c r="P918">
        <f>N918*60+O918</f>
        <v>5</v>
      </c>
      <c r="Q918" s="7">
        <f>G918-F918</f>
        <v>1.0416666671517305E-2</v>
      </c>
      <c r="R918">
        <f>HOUR(Q918)</f>
        <v>0</v>
      </c>
      <c r="S918">
        <f>MINUTE(Q918)</f>
        <v>15</v>
      </c>
      <c r="T918">
        <f>R918*60+S918</f>
        <v>15</v>
      </c>
      <c r="U918" s="7">
        <f>H918-G918</f>
        <v>3.4722222218988463E-2</v>
      </c>
      <c r="V918">
        <f>HOUR(U918)</f>
        <v>0</v>
      </c>
      <c r="W918">
        <f>MINUTE(U918)</f>
        <v>50</v>
      </c>
      <c r="X918">
        <f>V918*60+W918</f>
        <v>50</v>
      </c>
      <c r="Y918" s="7">
        <f>I918-H918</f>
        <v>4.8611111124046147E-3</v>
      </c>
      <c r="Z918">
        <f>HOUR(Y918)</f>
        <v>0</v>
      </c>
      <c r="AA918">
        <f>MINUTE(Y918)</f>
        <v>7</v>
      </c>
      <c r="AB918">
        <f>Z918*60+AA918</f>
        <v>7</v>
      </c>
    </row>
    <row r="919" spans="1:28" x14ac:dyDescent="0.25">
      <c r="A919">
        <v>917</v>
      </c>
      <c r="B919" t="s">
        <v>31</v>
      </c>
      <c r="C919">
        <v>1</v>
      </c>
      <c r="D919" t="s">
        <v>32</v>
      </c>
      <c r="E919" s="6">
        <v>46086.701388888891</v>
      </c>
      <c r="F919" s="6">
        <v>46086.708333333336</v>
      </c>
      <c r="G919" s="6">
        <v>46086.71875</v>
      </c>
      <c r="H919" s="6">
        <v>46086.776388888888</v>
      </c>
      <c r="I919" s="6">
        <v>46086.791666666664</v>
      </c>
      <c r="J919" s="6">
        <v>46086.795138888891</v>
      </c>
      <c r="K919">
        <v>2.25</v>
      </c>
      <c r="L919" s="6">
        <v>46086.798611111109</v>
      </c>
      <c r="M919" s="7">
        <f>F919-E919</f>
        <v>6.9444444452528842E-3</v>
      </c>
      <c r="N919">
        <f>HOUR(M919)</f>
        <v>0</v>
      </c>
      <c r="O919">
        <f>MINUTE(M919)</f>
        <v>10</v>
      </c>
      <c r="P919">
        <f>N919*60+O919</f>
        <v>10</v>
      </c>
      <c r="Q919" s="7">
        <f>G919-F919</f>
        <v>1.0416666664241347E-2</v>
      </c>
      <c r="R919">
        <f>HOUR(Q919)</f>
        <v>0</v>
      </c>
      <c r="S919">
        <f>MINUTE(Q919)</f>
        <v>15</v>
      </c>
      <c r="T919">
        <f>R919*60+S919</f>
        <v>15</v>
      </c>
      <c r="U919" s="7">
        <f>H919-G919</f>
        <v>5.7638888887595385E-2</v>
      </c>
      <c r="V919">
        <f>HOUR(U919)</f>
        <v>1</v>
      </c>
      <c r="W919">
        <f>MINUTE(U919)</f>
        <v>23</v>
      </c>
      <c r="X919">
        <f>V919*60+W919</f>
        <v>83</v>
      </c>
      <c r="Y919" s="7">
        <f>I919-H919</f>
        <v>1.5277777776645962E-2</v>
      </c>
      <c r="Z919">
        <f>HOUR(Y919)</f>
        <v>0</v>
      </c>
      <c r="AA919">
        <f>MINUTE(Y919)</f>
        <v>22</v>
      </c>
      <c r="AB919">
        <f>Z919*60+AA919</f>
        <v>22</v>
      </c>
    </row>
    <row r="920" spans="1:28" x14ac:dyDescent="0.25">
      <c r="A920">
        <v>918</v>
      </c>
      <c r="B920" t="s">
        <v>29</v>
      </c>
      <c r="C920">
        <v>1</v>
      </c>
      <c r="D920" t="s">
        <v>30</v>
      </c>
      <c r="E920" s="6">
        <v>46087.322916666664</v>
      </c>
      <c r="F920" s="6">
        <v>46087.329861111109</v>
      </c>
      <c r="G920" s="6">
        <v>46087.395833333336</v>
      </c>
      <c r="H920" s="6">
        <v>46087.488888888889</v>
      </c>
      <c r="I920" s="6">
        <v>46087.495833333334</v>
      </c>
      <c r="J920" s="6">
        <v>46087.506944444445</v>
      </c>
      <c r="K920">
        <v>4.42</v>
      </c>
      <c r="L920" s="6">
        <v>46087.513888888891</v>
      </c>
      <c r="M920" s="7">
        <f>F920-E920</f>
        <v>6.9444444452528842E-3</v>
      </c>
      <c r="N920">
        <f>HOUR(M920)</f>
        <v>0</v>
      </c>
      <c r="O920">
        <f>MINUTE(M920)</f>
        <v>10</v>
      </c>
      <c r="P920">
        <f>N920*60+O920</f>
        <v>10</v>
      </c>
      <c r="Q920" s="7">
        <f>G920-F920</f>
        <v>6.5972222226264421E-2</v>
      </c>
      <c r="R920">
        <f>HOUR(Q920)</f>
        <v>1</v>
      </c>
      <c r="S920">
        <f>MINUTE(Q920)</f>
        <v>35</v>
      </c>
      <c r="T920">
        <f>R920*60+S920</f>
        <v>95</v>
      </c>
      <c r="U920" s="7">
        <f>H920-G920</f>
        <v>9.3055555553291924E-2</v>
      </c>
      <c r="V920">
        <f>HOUR(U920)</f>
        <v>2</v>
      </c>
      <c r="W920">
        <f>MINUTE(U920)</f>
        <v>14</v>
      </c>
      <c r="X920">
        <f>V920*60+W920</f>
        <v>134</v>
      </c>
      <c r="Y920" s="7">
        <f>I920-H920</f>
        <v>6.9444444452528842E-3</v>
      </c>
      <c r="Z920">
        <f>HOUR(Y920)</f>
        <v>0</v>
      </c>
      <c r="AA920">
        <f>MINUTE(Y920)</f>
        <v>10</v>
      </c>
      <c r="AB920">
        <f>Z920*60+AA920</f>
        <v>10</v>
      </c>
    </row>
    <row r="921" spans="1:28" x14ac:dyDescent="0.25">
      <c r="A921">
        <v>919</v>
      </c>
      <c r="B921" t="s">
        <v>33</v>
      </c>
      <c r="C921">
        <v>1</v>
      </c>
      <c r="D921" t="s">
        <v>35</v>
      </c>
      <c r="E921" s="6">
        <v>46087.291666666664</v>
      </c>
      <c r="F921" s="6">
        <v>46087.340277777781</v>
      </c>
      <c r="G921" s="6">
        <v>46087.371527777781</v>
      </c>
      <c r="H921" s="6">
        <v>46087.493055555555</v>
      </c>
      <c r="I921" s="6">
        <v>46087.496527777781</v>
      </c>
      <c r="J921" s="6">
        <v>46087.520833333336</v>
      </c>
      <c r="K921">
        <v>5.5</v>
      </c>
      <c r="L921" s="6">
        <v>46087.521527777775</v>
      </c>
      <c r="M921" s="7">
        <f>F921-E921</f>
        <v>4.8611111116770189E-2</v>
      </c>
      <c r="N921">
        <f>HOUR(M921)</f>
        <v>1</v>
      </c>
      <c r="O921">
        <f>MINUTE(M921)</f>
        <v>10</v>
      </c>
      <c r="P921">
        <f>N921*60+O921</f>
        <v>70</v>
      </c>
      <c r="Q921" s="7">
        <f>G921-F921</f>
        <v>3.125E-2</v>
      </c>
      <c r="R921">
        <f>HOUR(Q921)</f>
        <v>0</v>
      </c>
      <c r="S921">
        <f>MINUTE(Q921)</f>
        <v>45</v>
      </c>
      <c r="T921">
        <f>R921*60+S921</f>
        <v>45</v>
      </c>
      <c r="U921" s="7">
        <f>H921-G921</f>
        <v>0.12152777777373558</v>
      </c>
      <c r="V921">
        <f>HOUR(U921)</f>
        <v>2</v>
      </c>
      <c r="W921">
        <f>MINUTE(U921)</f>
        <v>55</v>
      </c>
      <c r="X921">
        <f>V921*60+W921</f>
        <v>175</v>
      </c>
      <c r="Y921" s="7">
        <f>I921-H921</f>
        <v>3.4722222262644209E-3</v>
      </c>
      <c r="Z921">
        <f>HOUR(Y921)</f>
        <v>0</v>
      </c>
      <c r="AA921">
        <f>MINUTE(Y921)</f>
        <v>5</v>
      </c>
      <c r="AB921">
        <f>Z921*60+AA921</f>
        <v>5</v>
      </c>
    </row>
    <row r="922" spans="1:28" x14ac:dyDescent="0.25">
      <c r="A922">
        <v>920</v>
      </c>
      <c r="B922" t="s">
        <v>33</v>
      </c>
      <c r="C922">
        <v>1</v>
      </c>
      <c r="D922" t="s">
        <v>37</v>
      </c>
      <c r="E922" s="6">
        <v>46087.590277777781</v>
      </c>
      <c r="F922" s="6">
        <v>46087.59375</v>
      </c>
      <c r="G922" s="6">
        <v>46087.618055555555</v>
      </c>
      <c r="H922" s="6">
        <v>46087.831944444442</v>
      </c>
      <c r="I922" s="6">
        <v>46087.838888888888</v>
      </c>
      <c r="J922" s="6">
        <v>46087.885416666664</v>
      </c>
      <c r="K922">
        <v>7.08</v>
      </c>
      <c r="L922" s="6">
        <v>46087.892361111109</v>
      </c>
      <c r="M922" s="7">
        <f>F922-E922</f>
        <v>3.4722222189884633E-3</v>
      </c>
      <c r="N922">
        <f>HOUR(M922)</f>
        <v>0</v>
      </c>
      <c r="O922">
        <f>MINUTE(M922)</f>
        <v>5</v>
      </c>
      <c r="P922">
        <f>N922*60+O922</f>
        <v>5</v>
      </c>
      <c r="Q922" s="7">
        <f>G922-F922</f>
        <v>2.4305555554747116E-2</v>
      </c>
      <c r="R922">
        <f>HOUR(Q922)</f>
        <v>0</v>
      </c>
      <c r="S922">
        <f>MINUTE(Q922)</f>
        <v>35</v>
      </c>
      <c r="T922">
        <f>R922*60+S922</f>
        <v>35</v>
      </c>
      <c r="U922" s="7">
        <f>H922-G922</f>
        <v>0.21388888888759539</v>
      </c>
      <c r="V922">
        <f>HOUR(U922)</f>
        <v>5</v>
      </c>
      <c r="W922">
        <f>MINUTE(U922)</f>
        <v>8</v>
      </c>
      <c r="X922">
        <f>V922*60+W922</f>
        <v>308</v>
      </c>
      <c r="Y922" s="7">
        <f>I922-H922</f>
        <v>6.9444444452528842E-3</v>
      </c>
      <c r="Z922">
        <f>HOUR(Y922)</f>
        <v>0</v>
      </c>
      <c r="AA922">
        <f>MINUTE(Y922)</f>
        <v>10</v>
      </c>
      <c r="AB922">
        <f>Z922*60+AA922</f>
        <v>10</v>
      </c>
    </row>
    <row r="923" spans="1:28" x14ac:dyDescent="0.25">
      <c r="A923">
        <v>921</v>
      </c>
      <c r="B923" t="s">
        <v>33</v>
      </c>
      <c r="C923">
        <v>1</v>
      </c>
      <c r="D923" t="s">
        <v>34</v>
      </c>
      <c r="E923" s="6">
        <v>46087.291666666664</v>
      </c>
      <c r="F923" s="6">
        <v>46087.3125</v>
      </c>
      <c r="G923" s="6">
        <v>46087.34375</v>
      </c>
      <c r="H923" s="6">
        <v>46087.51666666667</v>
      </c>
      <c r="I923" s="6">
        <v>46087.541666666664</v>
      </c>
      <c r="J923" s="6">
        <v>46087.548611111109</v>
      </c>
      <c r="K923">
        <v>6.17</v>
      </c>
      <c r="L923" s="6">
        <v>46087.555555555555</v>
      </c>
      <c r="M923" s="7">
        <f>F923-E923</f>
        <v>2.0833333335758653E-2</v>
      </c>
      <c r="N923">
        <f>HOUR(M923)</f>
        <v>0</v>
      </c>
      <c r="O923">
        <f>MINUTE(M923)</f>
        <v>30</v>
      </c>
      <c r="P923">
        <f>N923*60+O923</f>
        <v>30</v>
      </c>
      <c r="Q923" s="7">
        <f>G923-F923</f>
        <v>3.125E-2</v>
      </c>
      <c r="R923">
        <f>HOUR(Q923)</f>
        <v>0</v>
      </c>
      <c r="S923">
        <f>MINUTE(Q923)</f>
        <v>45</v>
      </c>
      <c r="T923">
        <f>R923*60+S923</f>
        <v>45</v>
      </c>
      <c r="U923" s="7">
        <f>H923-G923</f>
        <v>0.17291666667006211</v>
      </c>
      <c r="V923">
        <f>HOUR(U923)</f>
        <v>4</v>
      </c>
      <c r="W923">
        <f>MINUTE(U923)</f>
        <v>9</v>
      </c>
      <c r="X923">
        <f>V923*60+W923</f>
        <v>249</v>
      </c>
      <c r="Y923" s="7">
        <f>I923-H923</f>
        <v>2.4999999994179234E-2</v>
      </c>
      <c r="Z923">
        <f>HOUR(Y923)</f>
        <v>0</v>
      </c>
      <c r="AA923">
        <f>MINUTE(Y923)</f>
        <v>36</v>
      </c>
      <c r="AB923">
        <f>Z923*60+AA923</f>
        <v>36</v>
      </c>
    </row>
    <row r="924" spans="1:28" x14ac:dyDescent="0.25">
      <c r="A924">
        <v>922</v>
      </c>
      <c r="B924" t="s">
        <v>31</v>
      </c>
      <c r="C924">
        <v>1</v>
      </c>
      <c r="D924" t="s">
        <v>30</v>
      </c>
      <c r="E924" s="6">
        <v>46087.291666666664</v>
      </c>
      <c r="F924" s="6">
        <v>46087.322916666664</v>
      </c>
      <c r="G924" s="6">
        <v>46087.340277777781</v>
      </c>
      <c r="H924" s="6">
        <v>46087.40625</v>
      </c>
      <c r="I924" s="6">
        <v>46087.413194444445</v>
      </c>
      <c r="J924" s="6">
        <v>46087.416666666664</v>
      </c>
      <c r="K924">
        <v>3</v>
      </c>
      <c r="L924" s="6">
        <v>46087.423611111109</v>
      </c>
      <c r="M924" s="7">
        <f>F924-E924</f>
        <v>3.125E-2</v>
      </c>
      <c r="N924">
        <f>HOUR(M924)</f>
        <v>0</v>
      </c>
      <c r="O924">
        <f>MINUTE(M924)</f>
        <v>45</v>
      </c>
      <c r="P924">
        <f>N924*60+O924</f>
        <v>45</v>
      </c>
      <c r="Q924" s="7">
        <f>G924-F924</f>
        <v>1.7361111116770189E-2</v>
      </c>
      <c r="R924">
        <f>HOUR(Q924)</f>
        <v>0</v>
      </c>
      <c r="S924">
        <f>MINUTE(Q924)</f>
        <v>25</v>
      </c>
      <c r="T924">
        <f>R924*60+S924</f>
        <v>25</v>
      </c>
      <c r="U924" s="7">
        <f>H924-G924</f>
        <v>6.5972222218988463E-2</v>
      </c>
      <c r="V924">
        <f>HOUR(U924)</f>
        <v>1</v>
      </c>
      <c r="W924">
        <f>MINUTE(U924)</f>
        <v>35</v>
      </c>
      <c r="X924">
        <f>V924*60+W924</f>
        <v>95</v>
      </c>
      <c r="Y924" s="7">
        <f>I924-H924</f>
        <v>6.9444444452528842E-3</v>
      </c>
      <c r="Z924">
        <f>HOUR(Y924)</f>
        <v>0</v>
      </c>
      <c r="AA924">
        <f>MINUTE(Y924)</f>
        <v>10</v>
      </c>
      <c r="AB924">
        <f>Z924*60+AA924</f>
        <v>10</v>
      </c>
    </row>
    <row r="925" spans="1:28" x14ac:dyDescent="0.25">
      <c r="A925">
        <v>923</v>
      </c>
      <c r="B925" t="s">
        <v>31</v>
      </c>
      <c r="C925">
        <v>1</v>
      </c>
      <c r="D925" t="s">
        <v>34</v>
      </c>
      <c r="E925" s="6">
        <v>46087.604166666664</v>
      </c>
      <c r="F925" s="6">
        <v>46087.635416666664</v>
      </c>
      <c r="G925" s="6">
        <v>46087.645833333336</v>
      </c>
      <c r="H925" s="6">
        <v>46087.708333333336</v>
      </c>
      <c r="I925" s="6">
        <v>46087.722222222219</v>
      </c>
      <c r="J925" s="6">
        <v>46087.729166666664</v>
      </c>
      <c r="K925">
        <v>3</v>
      </c>
      <c r="L925" s="6">
        <v>46087.736111111109</v>
      </c>
      <c r="M925" s="7">
        <f>F925-E925</f>
        <v>3.125E-2</v>
      </c>
      <c r="N925">
        <f>HOUR(M925)</f>
        <v>0</v>
      </c>
      <c r="O925">
        <f>MINUTE(M925)</f>
        <v>45</v>
      </c>
      <c r="P925">
        <f>N925*60+O925</f>
        <v>45</v>
      </c>
      <c r="Q925" s="7">
        <f>G925-F925</f>
        <v>1.0416666671517305E-2</v>
      </c>
      <c r="R925">
        <f>HOUR(Q925)</f>
        <v>0</v>
      </c>
      <c r="S925">
        <f>MINUTE(Q925)</f>
        <v>15</v>
      </c>
      <c r="T925">
        <f>R925*60+S925</f>
        <v>15</v>
      </c>
      <c r="U925" s="7">
        <f>H925-G925</f>
        <v>6.25E-2</v>
      </c>
      <c r="V925">
        <f>HOUR(U925)</f>
        <v>1</v>
      </c>
      <c r="W925">
        <f>MINUTE(U925)</f>
        <v>30</v>
      </c>
      <c r="X925">
        <f>V925*60+W925</f>
        <v>90</v>
      </c>
      <c r="Y925" s="7">
        <f>I925-H925</f>
        <v>1.3888888883229811E-2</v>
      </c>
      <c r="Z925">
        <f>HOUR(Y925)</f>
        <v>0</v>
      </c>
      <c r="AA925">
        <f>MINUTE(Y925)</f>
        <v>20</v>
      </c>
      <c r="AB925">
        <f>Z925*60+AA925</f>
        <v>20</v>
      </c>
    </row>
    <row r="926" spans="1:28" x14ac:dyDescent="0.25">
      <c r="A926">
        <v>924</v>
      </c>
      <c r="B926" t="s">
        <v>33</v>
      </c>
      <c r="C926">
        <v>1</v>
      </c>
      <c r="D926" t="s">
        <v>37</v>
      </c>
      <c r="E926" s="6">
        <v>46087.340277777781</v>
      </c>
      <c r="F926" s="6">
        <v>46087.354166666664</v>
      </c>
      <c r="G926" s="6">
        <v>46087.383333333331</v>
      </c>
      <c r="H926" s="6">
        <v>46087.422222222223</v>
      </c>
      <c r="I926" s="6">
        <v>46087.429166666669</v>
      </c>
      <c r="J926" s="6">
        <v>46087.430555555555</v>
      </c>
      <c r="K926">
        <v>2.17</v>
      </c>
      <c r="L926" s="6">
        <v>46087.4375</v>
      </c>
      <c r="M926" s="7">
        <f>F926-E926</f>
        <v>1.3888888883229811E-2</v>
      </c>
      <c r="N926">
        <f>HOUR(M926)</f>
        <v>0</v>
      </c>
      <c r="O926">
        <f>MINUTE(M926)</f>
        <v>20</v>
      </c>
      <c r="P926">
        <f>N926*60+O926</f>
        <v>20</v>
      </c>
      <c r="Q926" s="7">
        <f>G926-F926</f>
        <v>2.9166666667151731E-2</v>
      </c>
      <c r="R926">
        <f>HOUR(Q926)</f>
        <v>0</v>
      </c>
      <c r="S926">
        <f>MINUTE(Q926)</f>
        <v>42</v>
      </c>
      <c r="T926">
        <f>R926*60+S926</f>
        <v>42</v>
      </c>
      <c r="U926" s="7">
        <f>H926-G926</f>
        <v>3.888888889196096E-2</v>
      </c>
      <c r="V926">
        <f>HOUR(U926)</f>
        <v>0</v>
      </c>
      <c r="W926">
        <f>MINUTE(U926)</f>
        <v>56</v>
      </c>
      <c r="X926">
        <f>V926*60+W926</f>
        <v>56</v>
      </c>
      <c r="Y926" s="7">
        <f>I926-H926</f>
        <v>6.9444444452528842E-3</v>
      </c>
      <c r="Z926">
        <f>HOUR(Y926)</f>
        <v>0</v>
      </c>
      <c r="AA926">
        <f>MINUTE(Y926)</f>
        <v>10</v>
      </c>
      <c r="AB926">
        <f>Z926*60+AA926</f>
        <v>10</v>
      </c>
    </row>
    <row r="927" spans="1:28" x14ac:dyDescent="0.25">
      <c r="A927">
        <v>925</v>
      </c>
      <c r="B927" t="s">
        <v>31</v>
      </c>
      <c r="C927">
        <v>1</v>
      </c>
      <c r="D927" t="s">
        <v>30</v>
      </c>
      <c r="E927" s="6">
        <v>46086.758333333331</v>
      </c>
      <c r="F927" s="6">
        <v>46086.767361111109</v>
      </c>
      <c r="G927" s="6">
        <v>46086.770833333336</v>
      </c>
      <c r="H927" s="6">
        <v>46086.791666666664</v>
      </c>
      <c r="I927" s="6">
        <v>46086.798611111109</v>
      </c>
      <c r="J927" s="6">
        <v>46086.802083333336</v>
      </c>
      <c r="K927">
        <v>1.05</v>
      </c>
      <c r="L927" s="6">
        <v>46086.809027777781</v>
      </c>
      <c r="M927" s="7">
        <f>F927-E927</f>
        <v>9.0277777781011537E-3</v>
      </c>
      <c r="N927">
        <f>HOUR(M927)</f>
        <v>0</v>
      </c>
      <c r="O927">
        <f>MINUTE(M927)</f>
        <v>13</v>
      </c>
      <c r="P927">
        <f>N927*60+O927</f>
        <v>13</v>
      </c>
      <c r="Q927" s="7">
        <f>G927-F927</f>
        <v>3.4722222262644209E-3</v>
      </c>
      <c r="R927">
        <f>HOUR(Q927)</f>
        <v>0</v>
      </c>
      <c r="S927">
        <f>MINUTE(Q927)</f>
        <v>5</v>
      </c>
      <c r="T927">
        <f>R927*60+S927</f>
        <v>5</v>
      </c>
      <c r="U927" s="7">
        <f>H927-G927</f>
        <v>2.0833333328482695E-2</v>
      </c>
      <c r="V927">
        <f>HOUR(U927)</f>
        <v>0</v>
      </c>
      <c r="W927">
        <f>MINUTE(U927)</f>
        <v>30</v>
      </c>
      <c r="X927">
        <f>V927*60+W927</f>
        <v>30</v>
      </c>
      <c r="Y927" s="7">
        <f>I927-H927</f>
        <v>6.9444444452528842E-3</v>
      </c>
      <c r="Z927">
        <f>HOUR(Y927)</f>
        <v>0</v>
      </c>
      <c r="AA927">
        <f>MINUTE(Y927)</f>
        <v>10</v>
      </c>
      <c r="AB927">
        <f>Z927*60+AA927</f>
        <v>10</v>
      </c>
    </row>
    <row r="928" spans="1:28" x14ac:dyDescent="0.25">
      <c r="A928">
        <v>926</v>
      </c>
      <c r="B928" t="s">
        <v>29</v>
      </c>
      <c r="C928">
        <v>1</v>
      </c>
      <c r="D928" t="s">
        <v>30</v>
      </c>
      <c r="E928" s="6">
        <v>46086.868055555555</v>
      </c>
      <c r="F928" s="6">
        <v>46086.881944444445</v>
      </c>
      <c r="G928" s="6">
        <v>46086.902777777781</v>
      </c>
      <c r="H928" s="6">
        <v>46086.949305555558</v>
      </c>
      <c r="I928" s="6">
        <v>46086.95</v>
      </c>
      <c r="J928" s="6">
        <v>46086.950694444444</v>
      </c>
      <c r="K928">
        <v>1.98</v>
      </c>
      <c r="L928" s="6">
        <v>46086.951388888891</v>
      </c>
      <c r="M928" s="7">
        <f>F928-E928</f>
        <v>1.3888888890505768E-2</v>
      </c>
      <c r="N928">
        <f>HOUR(M928)</f>
        <v>0</v>
      </c>
      <c r="O928">
        <f>MINUTE(M928)</f>
        <v>20</v>
      </c>
      <c r="P928">
        <f>N928*60+O928</f>
        <v>20</v>
      </c>
      <c r="Q928" s="7">
        <f>G928-F928</f>
        <v>2.0833333335758653E-2</v>
      </c>
      <c r="R928">
        <f>HOUR(Q928)</f>
        <v>0</v>
      </c>
      <c r="S928">
        <f>MINUTE(Q928)</f>
        <v>30</v>
      </c>
      <c r="T928">
        <f>R928*60+S928</f>
        <v>30</v>
      </c>
      <c r="U928" s="7">
        <f>H928-G928</f>
        <v>4.6527777776645962E-2</v>
      </c>
      <c r="V928">
        <f>HOUR(U928)</f>
        <v>1</v>
      </c>
      <c r="W928">
        <f>MINUTE(U928)</f>
        <v>7</v>
      </c>
      <c r="X928">
        <f>V928*60+W928</f>
        <v>67</v>
      </c>
      <c r="Y928" s="7">
        <f>I928-H928</f>
        <v>6.9444443943211809E-4</v>
      </c>
      <c r="Z928">
        <f>HOUR(Y928)</f>
        <v>0</v>
      </c>
      <c r="AA928">
        <f>MINUTE(Y928)</f>
        <v>1</v>
      </c>
      <c r="AB928">
        <f>Z928*60+AA928</f>
        <v>1</v>
      </c>
    </row>
    <row r="929" spans="1:28" x14ac:dyDescent="0.25">
      <c r="A929">
        <v>927</v>
      </c>
      <c r="B929" t="s">
        <v>33</v>
      </c>
      <c r="C929">
        <v>1</v>
      </c>
      <c r="D929" t="s">
        <v>30</v>
      </c>
      <c r="E929" s="6">
        <v>46086.973611111112</v>
      </c>
      <c r="F929" s="6">
        <v>46086.974305555559</v>
      </c>
      <c r="G929" s="6">
        <v>46086.986111111109</v>
      </c>
      <c r="H929" s="6">
        <v>46087</v>
      </c>
      <c r="I929" s="6">
        <v>46087.006944444445</v>
      </c>
      <c r="J929" s="6">
        <v>46087.009027777778</v>
      </c>
      <c r="K929">
        <v>0.85</v>
      </c>
      <c r="L929" s="6">
        <v>46087.010416666664</v>
      </c>
      <c r="M929" s="7">
        <f>F929-E929</f>
        <v>6.944444467080757E-4</v>
      </c>
      <c r="N929">
        <f>HOUR(M929)</f>
        <v>0</v>
      </c>
      <c r="O929">
        <f>MINUTE(M929)</f>
        <v>1</v>
      </c>
      <c r="P929">
        <f>N929*60+O929</f>
        <v>1</v>
      </c>
      <c r="Q929" s="7">
        <f>G929-F929</f>
        <v>1.1805555550381541E-2</v>
      </c>
      <c r="R929">
        <f>HOUR(Q929)</f>
        <v>0</v>
      </c>
      <c r="S929">
        <f>MINUTE(Q929)</f>
        <v>17</v>
      </c>
      <c r="T929">
        <f>R929*60+S929</f>
        <v>17</v>
      </c>
      <c r="U929" s="7">
        <f>H929-G929</f>
        <v>1.3888888890505768E-2</v>
      </c>
      <c r="V929">
        <f>HOUR(U929)</f>
        <v>0</v>
      </c>
      <c r="W929">
        <f>MINUTE(U929)</f>
        <v>20</v>
      </c>
      <c r="X929">
        <f>V929*60+W929</f>
        <v>20</v>
      </c>
      <c r="Y929" s="7">
        <f>I929-H929</f>
        <v>6.9444444452528842E-3</v>
      </c>
      <c r="Z929">
        <f>HOUR(Y929)</f>
        <v>0</v>
      </c>
      <c r="AA929">
        <f>MINUTE(Y929)</f>
        <v>10</v>
      </c>
      <c r="AB929">
        <f>Z929*60+AA929</f>
        <v>10</v>
      </c>
    </row>
    <row r="930" spans="1:28" x14ac:dyDescent="0.25">
      <c r="A930">
        <v>928</v>
      </c>
      <c r="B930" t="s">
        <v>29</v>
      </c>
      <c r="C930">
        <v>1</v>
      </c>
      <c r="D930" t="s">
        <v>30</v>
      </c>
      <c r="E930" s="6">
        <v>46087.013888888891</v>
      </c>
      <c r="F930" s="6">
        <v>46087.020833333336</v>
      </c>
      <c r="G930" s="6">
        <v>46087.03125</v>
      </c>
      <c r="H930" s="6">
        <v>46087.076388888891</v>
      </c>
      <c r="I930" s="6">
        <v>46087.078472222223</v>
      </c>
      <c r="J930" s="6">
        <v>46087.081250000003</v>
      </c>
      <c r="K930">
        <v>1.62</v>
      </c>
      <c r="L930" s="6">
        <v>46087.083333333336</v>
      </c>
      <c r="M930" s="7">
        <f>F930-E930</f>
        <v>6.9444444452528842E-3</v>
      </c>
      <c r="N930">
        <f>HOUR(M930)</f>
        <v>0</v>
      </c>
      <c r="O930">
        <f>MINUTE(M930)</f>
        <v>10</v>
      </c>
      <c r="P930">
        <f>N930*60+O930</f>
        <v>10</v>
      </c>
      <c r="Q930" s="7">
        <f>G930-F930</f>
        <v>1.0416666664241347E-2</v>
      </c>
      <c r="R930">
        <f>HOUR(Q930)</f>
        <v>0</v>
      </c>
      <c r="S930">
        <f>MINUTE(Q930)</f>
        <v>15</v>
      </c>
      <c r="T930">
        <f>R930*60+S930</f>
        <v>15</v>
      </c>
      <c r="U930" s="7">
        <f>H930-G930</f>
        <v>4.5138888890505768E-2</v>
      </c>
      <c r="V930">
        <f>HOUR(U930)</f>
        <v>1</v>
      </c>
      <c r="W930">
        <f>MINUTE(U930)</f>
        <v>5</v>
      </c>
      <c r="X930">
        <f>V930*60+W930</f>
        <v>65</v>
      </c>
      <c r="Y930" s="7">
        <f>I930-H930</f>
        <v>2.0833333328482695E-3</v>
      </c>
      <c r="Z930">
        <f>HOUR(Y930)</f>
        <v>0</v>
      </c>
      <c r="AA930">
        <f>MINUTE(Y930)</f>
        <v>3</v>
      </c>
      <c r="AB930">
        <f>Z930*60+AA930</f>
        <v>3</v>
      </c>
    </row>
    <row r="931" spans="1:28" x14ac:dyDescent="0.25">
      <c r="A931">
        <v>929</v>
      </c>
      <c r="B931" t="s">
        <v>33</v>
      </c>
      <c r="C931">
        <v>1</v>
      </c>
      <c r="D931" t="s">
        <v>30</v>
      </c>
      <c r="E931" s="6">
        <v>46087.454861111109</v>
      </c>
      <c r="F931" s="6">
        <v>46087.465277777781</v>
      </c>
      <c r="G931" s="6">
        <v>46087.493055555555</v>
      </c>
      <c r="H931" s="6">
        <v>46087.538194444445</v>
      </c>
      <c r="I931" s="6">
        <v>46087.548611111109</v>
      </c>
      <c r="J931" s="6">
        <v>46087.549305555556</v>
      </c>
      <c r="K931">
        <v>2.27</v>
      </c>
      <c r="L931" s="6">
        <v>46087.55</v>
      </c>
      <c r="M931" s="7">
        <f>F931-E931</f>
        <v>1.0416666671517305E-2</v>
      </c>
      <c r="N931">
        <f>HOUR(M931)</f>
        <v>0</v>
      </c>
      <c r="O931">
        <f>MINUTE(M931)</f>
        <v>15</v>
      </c>
      <c r="P931">
        <f>N931*60+O931</f>
        <v>15</v>
      </c>
      <c r="Q931" s="7">
        <f>G931-F931</f>
        <v>2.7777777773735579E-2</v>
      </c>
      <c r="R931">
        <f>HOUR(Q931)</f>
        <v>0</v>
      </c>
      <c r="S931">
        <f>MINUTE(Q931)</f>
        <v>40</v>
      </c>
      <c r="T931">
        <f>R931*60+S931</f>
        <v>40</v>
      </c>
      <c r="U931" s="7">
        <f>H931-G931</f>
        <v>4.5138888890505768E-2</v>
      </c>
      <c r="V931">
        <f>HOUR(U931)</f>
        <v>1</v>
      </c>
      <c r="W931">
        <f>MINUTE(U931)</f>
        <v>5</v>
      </c>
      <c r="X931">
        <f>V931*60+W931</f>
        <v>65</v>
      </c>
      <c r="Y931" s="7">
        <f>I931-H931</f>
        <v>1.0416666664241347E-2</v>
      </c>
      <c r="Z931">
        <f>HOUR(Y931)</f>
        <v>0</v>
      </c>
      <c r="AA931">
        <f>MINUTE(Y931)</f>
        <v>15</v>
      </c>
      <c r="AB931">
        <f>Z931*60+AA931</f>
        <v>15</v>
      </c>
    </row>
    <row r="932" spans="1:28" x14ac:dyDescent="0.25">
      <c r="A932">
        <v>930</v>
      </c>
      <c r="B932" t="s">
        <v>31</v>
      </c>
      <c r="C932">
        <v>1</v>
      </c>
      <c r="D932" t="s">
        <v>37</v>
      </c>
      <c r="E932" s="6">
        <v>46087.493055555555</v>
      </c>
      <c r="F932" s="6">
        <v>46087.496527777781</v>
      </c>
      <c r="G932" s="6">
        <v>46087.5</v>
      </c>
      <c r="H932" s="6">
        <v>46087.520833333336</v>
      </c>
      <c r="I932" s="6">
        <v>46087.527777777781</v>
      </c>
      <c r="J932" s="6">
        <v>46087.53125</v>
      </c>
      <c r="K932">
        <v>0.92</v>
      </c>
      <c r="L932" s="6">
        <v>46087.538194444445</v>
      </c>
      <c r="M932" s="7">
        <f>F932-E932</f>
        <v>3.4722222262644209E-3</v>
      </c>
      <c r="N932">
        <f>HOUR(M932)</f>
        <v>0</v>
      </c>
      <c r="O932">
        <f>MINUTE(M932)</f>
        <v>5</v>
      </c>
      <c r="P932">
        <f>N932*60+O932</f>
        <v>5</v>
      </c>
      <c r="Q932" s="7">
        <f>G932-F932</f>
        <v>3.4722222189884633E-3</v>
      </c>
      <c r="R932">
        <f>HOUR(Q932)</f>
        <v>0</v>
      </c>
      <c r="S932">
        <f>MINUTE(Q932)</f>
        <v>5</v>
      </c>
      <c r="T932">
        <f>R932*60+S932</f>
        <v>5</v>
      </c>
      <c r="U932" s="7">
        <f>H932-G932</f>
        <v>2.0833333335758653E-2</v>
      </c>
      <c r="V932">
        <f>HOUR(U932)</f>
        <v>0</v>
      </c>
      <c r="W932">
        <f>MINUTE(U932)</f>
        <v>30</v>
      </c>
      <c r="X932">
        <f>V932*60+W932</f>
        <v>30</v>
      </c>
      <c r="Y932" s="7">
        <f>I932-H932</f>
        <v>6.9444444452528842E-3</v>
      </c>
      <c r="Z932">
        <f>HOUR(Y932)</f>
        <v>0</v>
      </c>
      <c r="AA932">
        <f>MINUTE(Y932)</f>
        <v>10</v>
      </c>
      <c r="AB932">
        <f>Z932*60+AA932</f>
        <v>10</v>
      </c>
    </row>
    <row r="933" spans="1:28" x14ac:dyDescent="0.25">
      <c r="A933">
        <v>931</v>
      </c>
      <c r="B933" t="s">
        <v>33</v>
      </c>
      <c r="C933">
        <v>1</v>
      </c>
      <c r="D933" t="s">
        <v>30</v>
      </c>
      <c r="E933" s="6">
        <v>46088.701388888891</v>
      </c>
      <c r="F933" s="6">
        <v>46088.71875</v>
      </c>
      <c r="G933" s="6">
        <v>46088.739583333336</v>
      </c>
      <c r="H933" s="6">
        <v>46088.78125</v>
      </c>
      <c r="I933" s="6">
        <v>46088.784722222219</v>
      </c>
      <c r="J933" s="6">
        <v>46088.791666666664</v>
      </c>
      <c r="K933">
        <v>2.17</v>
      </c>
      <c r="L933" s="6">
        <v>46088.798611111109</v>
      </c>
      <c r="M933" s="7">
        <f>F933-E933</f>
        <v>1.7361111109494232E-2</v>
      </c>
      <c r="N933">
        <f>HOUR(M933)</f>
        <v>0</v>
      </c>
      <c r="O933">
        <f>MINUTE(M933)</f>
        <v>25</v>
      </c>
      <c r="P933">
        <f>N933*60+O933</f>
        <v>25</v>
      </c>
      <c r="Q933" s="7">
        <f>G933-F933</f>
        <v>2.0833333335758653E-2</v>
      </c>
      <c r="R933">
        <f>HOUR(Q933)</f>
        <v>0</v>
      </c>
      <c r="S933">
        <f>MINUTE(Q933)</f>
        <v>30</v>
      </c>
      <c r="T933">
        <f>R933*60+S933</f>
        <v>30</v>
      </c>
      <c r="U933" s="7">
        <f>H933-G933</f>
        <v>4.1666666664241347E-2</v>
      </c>
      <c r="V933">
        <f>HOUR(U933)</f>
        <v>1</v>
      </c>
      <c r="W933">
        <f>MINUTE(U933)</f>
        <v>0</v>
      </c>
      <c r="X933">
        <f>V933*60+W933</f>
        <v>60</v>
      </c>
      <c r="Y933" s="7">
        <f>I933-H933</f>
        <v>3.4722222189884633E-3</v>
      </c>
      <c r="Z933">
        <f>HOUR(Y933)</f>
        <v>0</v>
      </c>
      <c r="AA933">
        <f>MINUTE(Y933)</f>
        <v>5</v>
      </c>
      <c r="AB933">
        <f>Z933*60+AA933</f>
        <v>5</v>
      </c>
    </row>
    <row r="934" spans="1:28" x14ac:dyDescent="0.25">
      <c r="A934">
        <v>932</v>
      </c>
      <c r="B934" t="s">
        <v>29</v>
      </c>
      <c r="C934">
        <v>1</v>
      </c>
      <c r="D934" t="s">
        <v>32</v>
      </c>
      <c r="E934" s="6">
        <v>46088.604166666664</v>
      </c>
      <c r="F934" s="6">
        <v>46088.611111111109</v>
      </c>
      <c r="G934" s="6">
        <v>46088.614583333336</v>
      </c>
      <c r="H934" s="6">
        <v>46088.631944444445</v>
      </c>
      <c r="I934" s="6">
        <v>46088.635416666664</v>
      </c>
      <c r="J934" s="6">
        <v>46088.638888888891</v>
      </c>
      <c r="K934">
        <v>0.83</v>
      </c>
      <c r="L934" s="6">
        <v>46088.640277777777</v>
      </c>
      <c r="M934" s="7">
        <f>F934-E934</f>
        <v>6.9444444452528842E-3</v>
      </c>
      <c r="N934">
        <f>HOUR(M934)</f>
        <v>0</v>
      </c>
      <c r="O934">
        <f>MINUTE(M934)</f>
        <v>10</v>
      </c>
      <c r="P934">
        <f>N934*60+O934</f>
        <v>10</v>
      </c>
      <c r="Q934" s="7">
        <f>G934-F934</f>
        <v>3.4722222262644209E-3</v>
      </c>
      <c r="R934">
        <f>HOUR(Q934)</f>
        <v>0</v>
      </c>
      <c r="S934">
        <f>MINUTE(Q934)</f>
        <v>5</v>
      </c>
      <c r="T934">
        <f>R934*60+S934</f>
        <v>5</v>
      </c>
      <c r="U934" s="7">
        <f>H934-G934</f>
        <v>1.7361111109494232E-2</v>
      </c>
      <c r="V934">
        <f>HOUR(U934)</f>
        <v>0</v>
      </c>
      <c r="W934">
        <f>MINUTE(U934)</f>
        <v>25</v>
      </c>
      <c r="X934">
        <f>V934*60+W934</f>
        <v>25</v>
      </c>
      <c r="Y934" s="7">
        <f>I934-H934</f>
        <v>3.4722222189884633E-3</v>
      </c>
      <c r="Z934">
        <f>HOUR(Y934)</f>
        <v>0</v>
      </c>
      <c r="AA934">
        <f>MINUTE(Y934)</f>
        <v>5</v>
      </c>
      <c r="AB934">
        <f>Z934*60+AA934</f>
        <v>5</v>
      </c>
    </row>
    <row r="935" spans="1:28" x14ac:dyDescent="0.25">
      <c r="A935">
        <v>933</v>
      </c>
      <c r="B935" t="s">
        <v>31</v>
      </c>
      <c r="C935">
        <v>1</v>
      </c>
      <c r="D935" t="s">
        <v>32</v>
      </c>
      <c r="E935" s="6">
        <v>46087.604166666664</v>
      </c>
      <c r="F935" s="6">
        <v>46087.618055555555</v>
      </c>
      <c r="G935" s="6">
        <v>46087.631944444445</v>
      </c>
      <c r="H935" s="6">
        <v>46087.736111111109</v>
      </c>
      <c r="I935" s="6">
        <v>46087.743055555555</v>
      </c>
      <c r="J935" s="6">
        <v>46087.746527777781</v>
      </c>
      <c r="K935">
        <v>3.42</v>
      </c>
      <c r="L935" s="6">
        <v>46087.753472222219</v>
      </c>
      <c r="M935" s="7">
        <f>F935-E935</f>
        <v>1.3888888890505768E-2</v>
      </c>
      <c r="N935">
        <f>HOUR(M935)</f>
        <v>0</v>
      </c>
      <c r="O935">
        <f>MINUTE(M935)</f>
        <v>20</v>
      </c>
      <c r="P935">
        <f>N935*60+O935</f>
        <v>20</v>
      </c>
      <c r="Q935" s="7">
        <f>G935-F935</f>
        <v>1.3888888890505768E-2</v>
      </c>
      <c r="R935">
        <f>HOUR(Q935)</f>
        <v>0</v>
      </c>
      <c r="S935">
        <f>MINUTE(Q935)</f>
        <v>20</v>
      </c>
      <c r="T935">
        <f>R935*60+S935</f>
        <v>20</v>
      </c>
      <c r="U935" s="7">
        <f>H935-G935</f>
        <v>0.10416666666424135</v>
      </c>
      <c r="V935">
        <f>HOUR(U935)</f>
        <v>2</v>
      </c>
      <c r="W935">
        <f>MINUTE(U935)</f>
        <v>30</v>
      </c>
      <c r="X935">
        <f>V935*60+W935</f>
        <v>150</v>
      </c>
      <c r="Y935" s="7">
        <f>I935-H935</f>
        <v>6.9444444452528842E-3</v>
      </c>
      <c r="Z935">
        <f>HOUR(Y935)</f>
        <v>0</v>
      </c>
      <c r="AA935">
        <f>MINUTE(Y935)</f>
        <v>10</v>
      </c>
      <c r="AB935">
        <f>Z935*60+AA935</f>
        <v>10</v>
      </c>
    </row>
    <row r="936" spans="1:28" x14ac:dyDescent="0.25">
      <c r="A936">
        <v>934</v>
      </c>
      <c r="B936" t="s">
        <v>33</v>
      </c>
      <c r="C936">
        <v>1</v>
      </c>
      <c r="D936" t="s">
        <v>35</v>
      </c>
      <c r="E936" s="6">
        <v>46090.291666666664</v>
      </c>
      <c r="F936" s="6">
        <v>46090.333333333336</v>
      </c>
      <c r="G936" s="6">
        <v>46090.381944444445</v>
      </c>
      <c r="H936" s="6">
        <v>46090.475694444445</v>
      </c>
      <c r="I936" s="6">
        <v>46090.486111111109</v>
      </c>
      <c r="J936" s="6">
        <v>46090.5</v>
      </c>
      <c r="K936">
        <v>5</v>
      </c>
      <c r="L936" s="6">
        <v>46090.503472222219</v>
      </c>
      <c r="M936" s="7">
        <f>F936-E936</f>
        <v>4.1666666671517305E-2</v>
      </c>
      <c r="N936">
        <f>HOUR(M936)</f>
        <v>1</v>
      </c>
      <c r="O936">
        <f>MINUTE(M936)</f>
        <v>0</v>
      </c>
      <c r="P936">
        <f>N936*60+O936</f>
        <v>60</v>
      </c>
      <c r="Q936" s="7">
        <f>G936-F936</f>
        <v>4.8611111109494232E-2</v>
      </c>
      <c r="R936">
        <f>HOUR(Q936)</f>
        <v>1</v>
      </c>
      <c r="S936">
        <f>MINUTE(Q936)</f>
        <v>10</v>
      </c>
      <c r="T936">
        <f>R936*60+S936</f>
        <v>70</v>
      </c>
      <c r="U936" s="7">
        <f>H936-G936</f>
        <v>9.375E-2</v>
      </c>
      <c r="V936">
        <f>HOUR(U936)</f>
        <v>2</v>
      </c>
      <c r="W936">
        <f>MINUTE(U936)</f>
        <v>15</v>
      </c>
      <c r="X936">
        <f>V936*60+W936</f>
        <v>135</v>
      </c>
      <c r="Y936" s="7">
        <f>I936-H936</f>
        <v>1.0416666664241347E-2</v>
      </c>
      <c r="Z936">
        <f>HOUR(Y936)</f>
        <v>0</v>
      </c>
      <c r="AA936">
        <f>MINUTE(Y936)</f>
        <v>15</v>
      </c>
      <c r="AB936">
        <f>Z936*60+AA936</f>
        <v>15</v>
      </c>
    </row>
    <row r="937" spans="1:28" x14ac:dyDescent="0.25">
      <c r="A937">
        <v>935</v>
      </c>
      <c r="B937" t="s">
        <v>31</v>
      </c>
      <c r="C937">
        <v>1</v>
      </c>
      <c r="D937" t="s">
        <v>35</v>
      </c>
      <c r="E937" s="6">
        <v>46090.493055555555</v>
      </c>
      <c r="F937" s="6">
        <v>46090.5</v>
      </c>
      <c r="G937" s="6">
        <v>46090.520833333336</v>
      </c>
      <c r="H937" s="6">
        <v>46090.555555555555</v>
      </c>
      <c r="I937" s="6">
        <v>46090.5625</v>
      </c>
      <c r="J937" s="6">
        <v>46090.565972222219</v>
      </c>
      <c r="K937">
        <v>1.75</v>
      </c>
      <c r="L937" s="6">
        <v>46090.572916666664</v>
      </c>
      <c r="M937" s="7">
        <f>F937-E937</f>
        <v>6.9444444452528842E-3</v>
      </c>
      <c r="N937">
        <f>HOUR(M937)</f>
        <v>0</v>
      </c>
      <c r="O937">
        <f>MINUTE(M937)</f>
        <v>10</v>
      </c>
      <c r="P937">
        <f>N937*60+O937</f>
        <v>10</v>
      </c>
      <c r="Q937" s="7">
        <f>G937-F937</f>
        <v>2.0833333335758653E-2</v>
      </c>
      <c r="R937">
        <f>HOUR(Q937)</f>
        <v>0</v>
      </c>
      <c r="S937">
        <f>MINUTE(Q937)</f>
        <v>30</v>
      </c>
      <c r="T937">
        <f>R937*60+S937</f>
        <v>30</v>
      </c>
      <c r="U937" s="7">
        <f>H937-G937</f>
        <v>3.4722222218988463E-2</v>
      </c>
      <c r="V937">
        <f>HOUR(U937)</f>
        <v>0</v>
      </c>
      <c r="W937">
        <f>MINUTE(U937)</f>
        <v>50</v>
      </c>
      <c r="X937">
        <f>V937*60+W937</f>
        <v>50</v>
      </c>
      <c r="Y937" s="7">
        <f>I937-H937</f>
        <v>6.9444444452528842E-3</v>
      </c>
      <c r="Z937">
        <f>HOUR(Y937)</f>
        <v>0</v>
      </c>
      <c r="AA937">
        <f>MINUTE(Y937)</f>
        <v>10</v>
      </c>
      <c r="AB937">
        <f>Z937*60+AA937</f>
        <v>10</v>
      </c>
    </row>
    <row r="938" spans="1:28" x14ac:dyDescent="0.25">
      <c r="A938">
        <v>936</v>
      </c>
      <c r="B938" t="s">
        <v>31</v>
      </c>
      <c r="C938">
        <v>1</v>
      </c>
      <c r="D938" t="s">
        <v>34</v>
      </c>
      <c r="E938" s="6">
        <v>46090.631944444445</v>
      </c>
      <c r="F938" s="6">
        <v>46090.638888888891</v>
      </c>
      <c r="G938" s="6">
        <v>46090.652777777781</v>
      </c>
      <c r="H938" s="6">
        <v>46090.71875</v>
      </c>
      <c r="I938" s="6">
        <v>46090.725694444445</v>
      </c>
      <c r="J938" s="6">
        <v>46090.729166666664</v>
      </c>
      <c r="K938">
        <v>2.33</v>
      </c>
      <c r="L938" s="6">
        <v>46090.736111111109</v>
      </c>
      <c r="M938" s="7">
        <f>F938-E938</f>
        <v>6.9444444452528842E-3</v>
      </c>
      <c r="N938">
        <f>HOUR(M938)</f>
        <v>0</v>
      </c>
      <c r="O938">
        <f>MINUTE(M938)</f>
        <v>10</v>
      </c>
      <c r="P938">
        <f>N938*60+O938</f>
        <v>10</v>
      </c>
      <c r="Q938" s="7">
        <f>G938-F938</f>
        <v>1.3888888890505768E-2</v>
      </c>
      <c r="R938">
        <f>HOUR(Q938)</f>
        <v>0</v>
      </c>
      <c r="S938">
        <f>MINUTE(Q938)</f>
        <v>20</v>
      </c>
      <c r="T938">
        <f>R938*60+S938</f>
        <v>20</v>
      </c>
      <c r="U938" s="7">
        <f>H938-G938</f>
        <v>6.5972222218988463E-2</v>
      </c>
      <c r="V938">
        <f>HOUR(U938)</f>
        <v>1</v>
      </c>
      <c r="W938">
        <f>MINUTE(U938)</f>
        <v>35</v>
      </c>
      <c r="X938">
        <f>V938*60+W938</f>
        <v>95</v>
      </c>
      <c r="Y938" s="7">
        <f>I938-H938</f>
        <v>6.9444444452528842E-3</v>
      </c>
      <c r="Z938">
        <f>HOUR(Y938)</f>
        <v>0</v>
      </c>
      <c r="AA938">
        <f>MINUTE(Y938)</f>
        <v>10</v>
      </c>
      <c r="AB938">
        <f>Z938*60+AA938</f>
        <v>10</v>
      </c>
    </row>
    <row r="939" spans="1:28" x14ac:dyDescent="0.25">
      <c r="A939">
        <v>937</v>
      </c>
      <c r="B939" t="s">
        <v>29</v>
      </c>
      <c r="C939">
        <v>1</v>
      </c>
      <c r="D939" t="s">
        <v>32</v>
      </c>
      <c r="E939" s="6">
        <v>46090.670138888891</v>
      </c>
      <c r="F939" s="6">
        <v>46090.677083333336</v>
      </c>
      <c r="G939" s="6">
        <v>46090.71875</v>
      </c>
      <c r="H939" s="6">
        <v>46090.826388888891</v>
      </c>
      <c r="I939" s="6">
        <v>46090.833333333336</v>
      </c>
      <c r="J939" s="6">
        <v>46090.84375</v>
      </c>
      <c r="K939">
        <v>4.17</v>
      </c>
      <c r="L939" s="6">
        <v>46090.850694444445</v>
      </c>
      <c r="M939" s="7">
        <f>F939-E939</f>
        <v>6.9444444452528842E-3</v>
      </c>
      <c r="N939">
        <f>HOUR(M939)</f>
        <v>0</v>
      </c>
      <c r="O939">
        <f>MINUTE(M939)</f>
        <v>10</v>
      </c>
      <c r="P939">
        <f>N939*60+O939</f>
        <v>10</v>
      </c>
      <c r="Q939" s="7">
        <f>G939-F939</f>
        <v>4.1666666664241347E-2</v>
      </c>
      <c r="R939">
        <f>HOUR(Q939)</f>
        <v>1</v>
      </c>
      <c r="S939">
        <f>MINUTE(Q939)</f>
        <v>0</v>
      </c>
      <c r="T939">
        <f>R939*60+S939</f>
        <v>60</v>
      </c>
      <c r="U939" s="7">
        <f>H939-G939</f>
        <v>0.10763888889050577</v>
      </c>
      <c r="V939">
        <f>HOUR(U939)</f>
        <v>2</v>
      </c>
      <c r="W939">
        <f>MINUTE(U939)</f>
        <v>35</v>
      </c>
      <c r="X939">
        <f>V939*60+W939</f>
        <v>155</v>
      </c>
      <c r="Y939" s="7">
        <f>I939-H939</f>
        <v>6.9444444452528842E-3</v>
      </c>
      <c r="Z939">
        <f>HOUR(Y939)</f>
        <v>0</v>
      </c>
      <c r="AA939">
        <f>MINUTE(Y939)</f>
        <v>10</v>
      </c>
      <c r="AB939">
        <f>Z939*60+AA939</f>
        <v>10</v>
      </c>
    </row>
    <row r="940" spans="1:28" x14ac:dyDescent="0.25">
      <c r="A940">
        <v>938</v>
      </c>
      <c r="B940" t="s">
        <v>33</v>
      </c>
      <c r="C940">
        <v>1</v>
      </c>
      <c r="D940" t="s">
        <v>36</v>
      </c>
      <c r="E940" s="6">
        <v>46088.409722222219</v>
      </c>
      <c r="F940" s="6">
        <v>46088.416666666664</v>
      </c>
      <c r="G940" s="6">
        <v>46088.465277777781</v>
      </c>
      <c r="H940" s="6">
        <v>46088.597222222219</v>
      </c>
      <c r="I940" s="6">
        <v>46088.666666666664</v>
      </c>
      <c r="J940" s="6">
        <v>46088.692361111112</v>
      </c>
      <c r="K940">
        <v>6.78</v>
      </c>
      <c r="L940" s="6">
        <v>46088.699305555558</v>
      </c>
      <c r="M940" s="7">
        <f>F940-E940</f>
        <v>6.9444444452528842E-3</v>
      </c>
      <c r="N940">
        <f>HOUR(M940)</f>
        <v>0</v>
      </c>
      <c r="O940">
        <f>MINUTE(M940)</f>
        <v>10</v>
      </c>
      <c r="P940">
        <f>N940*60+O940</f>
        <v>10</v>
      </c>
      <c r="Q940" s="7">
        <f>G940-F940</f>
        <v>4.8611111116770189E-2</v>
      </c>
      <c r="R940">
        <f>HOUR(Q940)</f>
        <v>1</v>
      </c>
      <c r="S940">
        <f>MINUTE(Q940)</f>
        <v>10</v>
      </c>
      <c r="T940">
        <f>R940*60+S940</f>
        <v>70</v>
      </c>
      <c r="U940" s="7">
        <f>H940-G940</f>
        <v>0.13194444443797693</v>
      </c>
      <c r="V940">
        <f>HOUR(U940)</f>
        <v>3</v>
      </c>
      <c r="W940">
        <f>MINUTE(U940)</f>
        <v>10</v>
      </c>
      <c r="X940">
        <f>V940*60+W940</f>
        <v>190</v>
      </c>
      <c r="Y940" s="7">
        <f>I940-H940</f>
        <v>6.9444444445252884E-2</v>
      </c>
      <c r="Z940">
        <f>HOUR(Y940)</f>
        <v>1</v>
      </c>
      <c r="AA940">
        <f>MINUTE(Y940)</f>
        <v>40</v>
      </c>
      <c r="AB940">
        <f>Z940*60+AA940</f>
        <v>100</v>
      </c>
    </row>
    <row r="941" spans="1:28" x14ac:dyDescent="0.25">
      <c r="A941">
        <v>939</v>
      </c>
      <c r="B941" t="s">
        <v>33</v>
      </c>
      <c r="C941">
        <v>1</v>
      </c>
      <c r="D941" t="s">
        <v>35</v>
      </c>
      <c r="E941" s="6">
        <v>46090.541666666664</v>
      </c>
      <c r="F941" s="6">
        <v>46090.5625</v>
      </c>
      <c r="G941" s="6">
        <v>46090.597222222219</v>
      </c>
      <c r="H941" s="6">
        <v>46090.649305555555</v>
      </c>
      <c r="I941" s="6">
        <v>46090.666666666664</v>
      </c>
      <c r="J941" s="6">
        <v>46090.701388888891</v>
      </c>
      <c r="K941">
        <v>3.83</v>
      </c>
      <c r="L941" s="6">
        <v>46090.702777777777</v>
      </c>
      <c r="M941" s="7">
        <f>F941-E941</f>
        <v>2.0833333335758653E-2</v>
      </c>
      <c r="N941">
        <f>HOUR(M941)</f>
        <v>0</v>
      </c>
      <c r="O941">
        <f>MINUTE(M941)</f>
        <v>30</v>
      </c>
      <c r="P941">
        <f>N941*60+O941</f>
        <v>30</v>
      </c>
      <c r="Q941" s="7">
        <f>G941-F941</f>
        <v>3.4722222218988463E-2</v>
      </c>
      <c r="R941">
        <f>HOUR(Q941)</f>
        <v>0</v>
      </c>
      <c r="S941">
        <f>MINUTE(Q941)</f>
        <v>50</v>
      </c>
      <c r="T941">
        <f>R941*60+S941</f>
        <v>50</v>
      </c>
      <c r="U941" s="7">
        <f>H941-G941</f>
        <v>5.2083333335758653E-2</v>
      </c>
      <c r="V941">
        <f>HOUR(U941)</f>
        <v>1</v>
      </c>
      <c r="W941">
        <f>MINUTE(U941)</f>
        <v>15</v>
      </c>
      <c r="X941">
        <f>V941*60+W941</f>
        <v>75</v>
      </c>
      <c r="Y941" s="7">
        <f>I941-H941</f>
        <v>1.7361111109494232E-2</v>
      </c>
      <c r="Z941">
        <f>HOUR(Y941)</f>
        <v>0</v>
      </c>
      <c r="AA941">
        <f>MINUTE(Y941)</f>
        <v>25</v>
      </c>
      <c r="AB941">
        <f>Z941*60+AA941</f>
        <v>25</v>
      </c>
    </row>
    <row r="942" spans="1:28" x14ac:dyDescent="0.25">
      <c r="A942">
        <v>940</v>
      </c>
      <c r="B942" t="s">
        <v>33</v>
      </c>
      <c r="C942">
        <v>1</v>
      </c>
      <c r="D942" t="s">
        <v>30</v>
      </c>
      <c r="E942" s="6">
        <v>46087.78125</v>
      </c>
      <c r="F942" s="6">
        <v>46087.784722222219</v>
      </c>
      <c r="G942" s="6">
        <v>46087.791666666664</v>
      </c>
      <c r="H942" s="6">
        <v>46087.798611111109</v>
      </c>
      <c r="I942" s="6">
        <v>46087.815972222219</v>
      </c>
      <c r="J942" s="6">
        <v>46087.819444444445</v>
      </c>
      <c r="K942">
        <v>0.92</v>
      </c>
      <c r="L942" s="6">
        <v>46087.822916666664</v>
      </c>
      <c r="M942" s="7">
        <f>F942-E942</f>
        <v>3.4722222189884633E-3</v>
      </c>
      <c r="N942">
        <f>HOUR(M942)</f>
        <v>0</v>
      </c>
      <c r="O942">
        <f>MINUTE(M942)</f>
        <v>5</v>
      </c>
      <c r="P942">
        <f>N942*60+O942</f>
        <v>5</v>
      </c>
      <c r="Q942" s="7">
        <f>G942-F942</f>
        <v>6.9444444452528842E-3</v>
      </c>
      <c r="R942">
        <f>HOUR(Q942)</f>
        <v>0</v>
      </c>
      <c r="S942">
        <f>MINUTE(Q942)</f>
        <v>10</v>
      </c>
      <c r="T942">
        <f>R942*60+S942</f>
        <v>10</v>
      </c>
      <c r="U942" s="7">
        <f>H942-G942</f>
        <v>6.9444444452528842E-3</v>
      </c>
      <c r="V942">
        <f>HOUR(U942)</f>
        <v>0</v>
      </c>
      <c r="W942">
        <f>MINUTE(U942)</f>
        <v>10</v>
      </c>
      <c r="X942">
        <f>V942*60+W942</f>
        <v>10</v>
      </c>
      <c r="Y942" s="7">
        <f>I942-H942</f>
        <v>1.7361111109494232E-2</v>
      </c>
      <c r="Z942">
        <f>HOUR(Y942)</f>
        <v>0</v>
      </c>
      <c r="AA942">
        <f>MINUTE(Y942)</f>
        <v>25</v>
      </c>
      <c r="AB942">
        <f>Z942*60+AA942</f>
        <v>25</v>
      </c>
    </row>
    <row r="943" spans="1:28" x14ac:dyDescent="0.25">
      <c r="A943">
        <v>941</v>
      </c>
      <c r="B943" t="s">
        <v>31</v>
      </c>
      <c r="C943">
        <v>1</v>
      </c>
      <c r="D943" t="s">
        <v>35</v>
      </c>
      <c r="E943" s="6">
        <v>46088.677083333336</v>
      </c>
      <c r="F943" s="6">
        <v>46088.6875</v>
      </c>
      <c r="G943" s="6">
        <v>46088.701388888891</v>
      </c>
      <c r="H943" s="6">
        <v>46088.736111111109</v>
      </c>
      <c r="I943" s="6">
        <v>46088.743055555555</v>
      </c>
      <c r="J943" s="6">
        <v>46088.760416666664</v>
      </c>
      <c r="K943">
        <v>2</v>
      </c>
      <c r="L943" s="6">
        <v>46088.761111111111</v>
      </c>
      <c r="M943" s="7">
        <f>F943-E943</f>
        <v>1.0416666664241347E-2</v>
      </c>
      <c r="N943">
        <f>HOUR(M943)</f>
        <v>0</v>
      </c>
      <c r="O943">
        <f>MINUTE(M943)</f>
        <v>15</v>
      </c>
      <c r="P943">
        <f>N943*60+O943</f>
        <v>15</v>
      </c>
      <c r="Q943" s="7">
        <f>G943-F943</f>
        <v>1.3888888890505768E-2</v>
      </c>
      <c r="R943">
        <f>HOUR(Q943)</f>
        <v>0</v>
      </c>
      <c r="S943">
        <f>MINUTE(Q943)</f>
        <v>20</v>
      </c>
      <c r="T943">
        <f>R943*60+S943</f>
        <v>20</v>
      </c>
      <c r="U943" s="7">
        <f>H943-G943</f>
        <v>3.4722222218988463E-2</v>
      </c>
      <c r="V943">
        <f>HOUR(U943)</f>
        <v>0</v>
      </c>
      <c r="W943">
        <f>MINUTE(U943)</f>
        <v>50</v>
      </c>
      <c r="X943">
        <f>V943*60+W943</f>
        <v>50</v>
      </c>
      <c r="Y943" s="7">
        <f>I943-H943</f>
        <v>6.9444444452528842E-3</v>
      </c>
      <c r="Z943">
        <f>HOUR(Y943)</f>
        <v>0</v>
      </c>
      <c r="AA943">
        <f>MINUTE(Y943)</f>
        <v>10</v>
      </c>
      <c r="AB943">
        <f>Z943*60+AA943</f>
        <v>10</v>
      </c>
    </row>
    <row r="944" spans="1:28" x14ac:dyDescent="0.25">
      <c r="A944">
        <v>942</v>
      </c>
      <c r="B944" t="s">
        <v>31</v>
      </c>
      <c r="C944">
        <v>1</v>
      </c>
      <c r="D944" t="s">
        <v>30</v>
      </c>
      <c r="E944" s="6">
        <v>46088.461805555555</v>
      </c>
      <c r="F944" s="6">
        <v>46088.462500000001</v>
      </c>
      <c r="G944" s="6">
        <v>46088.482638888891</v>
      </c>
      <c r="H944" s="6">
        <v>46088.586805555555</v>
      </c>
      <c r="I944" s="6">
        <v>46088.611111111109</v>
      </c>
      <c r="J944" s="6">
        <v>46088.611805555556</v>
      </c>
      <c r="K944">
        <v>3.6</v>
      </c>
      <c r="L944" s="6">
        <v>46088.618750000001</v>
      </c>
      <c r="M944" s="7">
        <f>F944-E944</f>
        <v>6.944444467080757E-4</v>
      </c>
      <c r="N944">
        <f>HOUR(M944)</f>
        <v>0</v>
      </c>
      <c r="O944">
        <f>MINUTE(M944)</f>
        <v>1</v>
      </c>
      <c r="P944">
        <f>N944*60+O944</f>
        <v>1</v>
      </c>
      <c r="Q944" s="7">
        <f>G944-F944</f>
        <v>2.0138888889050577E-2</v>
      </c>
      <c r="R944">
        <f>HOUR(Q944)</f>
        <v>0</v>
      </c>
      <c r="S944">
        <f>MINUTE(Q944)</f>
        <v>29</v>
      </c>
      <c r="T944">
        <f>R944*60+S944</f>
        <v>29</v>
      </c>
      <c r="U944" s="7">
        <f>H944-G944</f>
        <v>0.10416666666424135</v>
      </c>
      <c r="V944">
        <f>HOUR(U944)</f>
        <v>2</v>
      </c>
      <c r="W944">
        <f>MINUTE(U944)</f>
        <v>30</v>
      </c>
      <c r="X944">
        <f>V944*60+W944</f>
        <v>150</v>
      </c>
      <c r="Y944" s="7">
        <f>I944-H944</f>
        <v>2.4305555554747116E-2</v>
      </c>
      <c r="Z944">
        <f>HOUR(Y944)</f>
        <v>0</v>
      </c>
      <c r="AA944">
        <f>MINUTE(Y944)</f>
        <v>35</v>
      </c>
      <c r="AB944">
        <f>Z944*60+AA944</f>
        <v>35</v>
      </c>
    </row>
    <row r="945" spans="1:28" x14ac:dyDescent="0.25">
      <c r="A945">
        <v>943</v>
      </c>
      <c r="B945" t="s">
        <v>29</v>
      </c>
      <c r="C945">
        <v>1</v>
      </c>
      <c r="D945" t="s">
        <v>30</v>
      </c>
      <c r="E945" s="6">
        <v>46088.433333333334</v>
      </c>
      <c r="F945" s="6">
        <v>46088.444444444445</v>
      </c>
      <c r="G945" s="6">
        <v>46088.458333333336</v>
      </c>
      <c r="H945" s="6">
        <v>46088.529861111114</v>
      </c>
      <c r="I945" s="6">
        <v>46088.536805555559</v>
      </c>
      <c r="J945" s="6">
        <v>46088.548611111109</v>
      </c>
      <c r="K945">
        <v>2.77</v>
      </c>
      <c r="L945" s="6">
        <v>46088.555555555555</v>
      </c>
      <c r="M945" s="7">
        <f>F945-E945</f>
        <v>1.1111111110949423E-2</v>
      </c>
      <c r="N945">
        <f>HOUR(M945)</f>
        <v>0</v>
      </c>
      <c r="O945">
        <f>MINUTE(M945)</f>
        <v>16</v>
      </c>
      <c r="P945">
        <f>N945*60+O945</f>
        <v>16</v>
      </c>
      <c r="Q945" s="7">
        <f>G945-F945</f>
        <v>1.3888888890505768E-2</v>
      </c>
      <c r="R945">
        <f>HOUR(Q945)</f>
        <v>0</v>
      </c>
      <c r="S945">
        <f>MINUTE(Q945)</f>
        <v>20</v>
      </c>
      <c r="T945">
        <f>R945*60+S945</f>
        <v>20</v>
      </c>
      <c r="U945" s="7">
        <f>H945-G945</f>
        <v>7.1527777778101154E-2</v>
      </c>
      <c r="V945">
        <f>HOUR(U945)</f>
        <v>1</v>
      </c>
      <c r="W945">
        <f>MINUTE(U945)</f>
        <v>43</v>
      </c>
      <c r="X945">
        <f>V945*60+W945</f>
        <v>103</v>
      </c>
      <c r="Y945" s="7">
        <f>I945-H945</f>
        <v>6.9444444452528842E-3</v>
      </c>
      <c r="Z945">
        <f>HOUR(Y945)</f>
        <v>0</v>
      </c>
      <c r="AA945">
        <f>MINUTE(Y945)</f>
        <v>10</v>
      </c>
      <c r="AB945">
        <f>Z945*60+AA945</f>
        <v>10</v>
      </c>
    </row>
    <row r="946" spans="1:28" x14ac:dyDescent="0.25">
      <c r="A946">
        <v>944</v>
      </c>
      <c r="B946" t="s">
        <v>33</v>
      </c>
      <c r="C946">
        <v>1</v>
      </c>
      <c r="D946" t="s">
        <v>35</v>
      </c>
      <c r="E946" s="6">
        <v>46088.427083333336</v>
      </c>
      <c r="F946" s="6">
        <v>46088.479166666664</v>
      </c>
      <c r="G946" s="6">
        <v>46088.482638888891</v>
      </c>
      <c r="H946" s="6">
        <v>46088.520833333336</v>
      </c>
      <c r="I946" s="6">
        <v>46088.524305555555</v>
      </c>
      <c r="J946" s="6">
        <v>46088.534722222219</v>
      </c>
      <c r="K946">
        <v>2.58</v>
      </c>
      <c r="L946" s="6">
        <v>46088.541666666664</v>
      </c>
      <c r="M946" s="7">
        <f>F946-E946</f>
        <v>5.2083333328482695E-2</v>
      </c>
      <c r="N946">
        <f>HOUR(M946)</f>
        <v>1</v>
      </c>
      <c r="O946">
        <f>MINUTE(M946)</f>
        <v>15</v>
      </c>
      <c r="P946">
        <f>N946*60+O946</f>
        <v>75</v>
      </c>
      <c r="Q946" s="7">
        <f>G946-F946</f>
        <v>3.4722222262644209E-3</v>
      </c>
      <c r="R946">
        <f>HOUR(Q946)</f>
        <v>0</v>
      </c>
      <c r="S946">
        <f>MINUTE(Q946)</f>
        <v>5</v>
      </c>
      <c r="T946">
        <f>R946*60+S946</f>
        <v>5</v>
      </c>
      <c r="U946" s="7">
        <f>H946-G946</f>
        <v>3.8194444445252884E-2</v>
      </c>
      <c r="V946">
        <f>HOUR(U946)</f>
        <v>0</v>
      </c>
      <c r="W946">
        <f>MINUTE(U946)</f>
        <v>55</v>
      </c>
      <c r="X946">
        <f>V946*60+W946</f>
        <v>55</v>
      </c>
      <c r="Y946" s="7">
        <f>I946-H946</f>
        <v>3.4722222189884633E-3</v>
      </c>
      <c r="Z946">
        <f>HOUR(Y946)</f>
        <v>0</v>
      </c>
      <c r="AA946">
        <f>MINUTE(Y946)</f>
        <v>5</v>
      </c>
      <c r="AB946">
        <f>Z946*60+AA946</f>
        <v>5</v>
      </c>
    </row>
    <row r="947" spans="1:28" x14ac:dyDescent="0.25">
      <c r="A947">
        <v>945</v>
      </c>
      <c r="B947" t="s">
        <v>33</v>
      </c>
      <c r="C947">
        <v>1</v>
      </c>
      <c r="D947" t="s">
        <v>30</v>
      </c>
      <c r="E947" s="6">
        <v>46091.291666666664</v>
      </c>
      <c r="F947" s="6">
        <v>46091.298611111109</v>
      </c>
      <c r="G947" s="6">
        <v>46091.305555555555</v>
      </c>
      <c r="H947" s="6">
        <v>46091.326388888891</v>
      </c>
      <c r="I947" s="6">
        <v>46091.32708333333</v>
      </c>
      <c r="J947" s="6">
        <v>46091.327777777777</v>
      </c>
      <c r="K947">
        <v>0.87</v>
      </c>
      <c r="L947" s="6">
        <v>46091.328472222223</v>
      </c>
      <c r="M947" s="7">
        <f>F947-E947</f>
        <v>6.9444444452528842E-3</v>
      </c>
      <c r="N947">
        <f>HOUR(M947)</f>
        <v>0</v>
      </c>
      <c r="O947">
        <f>MINUTE(M947)</f>
        <v>10</v>
      </c>
      <c r="P947">
        <f>N947*60+O947</f>
        <v>10</v>
      </c>
      <c r="Q947" s="7">
        <f>G947-F947</f>
        <v>6.9444444452528842E-3</v>
      </c>
      <c r="R947">
        <f>HOUR(Q947)</f>
        <v>0</v>
      </c>
      <c r="S947">
        <f>MINUTE(Q947)</f>
        <v>10</v>
      </c>
      <c r="T947">
        <f>R947*60+S947</f>
        <v>10</v>
      </c>
      <c r="U947" s="7">
        <f>H947-G947</f>
        <v>2.0833333335758653E-2</v>
      </c>
      <c r="V947">
        <f>HOUR(U947)</f>
        <v>0</v>
      </c>
      <c r="W947">
        <f>MINUTE(U947)</f>
        <v>30</v>
      </c>
      <c r="X947">
        <f>V947*60+W947</f>
        <v>30</v>
      </c>
      <c r="Y947" s="7">
        <f>I947-H947</f>
        <v>6.9444443943211809E-4</v>
      </c>
      <c r="Z947">
        <f>HOUR(Y947)</f>
        <v>0</v>
      </c>
      <c r="AA947">
        <f>MINUTE(Y947)</f>
        <v>1</v>
      </c>
      <c r="AB947">
        <f>Z947*60+AA947</f>
        <v>1</v>
      </c>
    </row>
    <row r="948" spans="1:28" x14ac:dyDescent="0.25">
      <c r="A948">
        <v>946</v>
      </c>
      <c r="B948" t="s">
        <v>31</v>
      </c>
      <c r="C948">
        <v>1</v>
      </c>
      <c r="D948" t="s">
        <v>34</v>
      </c>
      <c r="E948" s="6">
        <v>46088.618055555555</v>
      </c>
      <c r="F948" s="6">
        <v>46088.621527777781</v>
      </c>
      <c r="G948" s="6">
        <v>46088.628472222219</v>
      </c>
      <c r="H948" s="6">
        <v>46088.644444444442</v>
      </c>
      <c r="I948" s="6">
        <v>46088.645833333336</v>
      </c>
      <c r="J948" s="6">
        <v>46088.652777777781</v>
      </c>
      <c r="K948">
        <v>0.83</v>
      </c>
      <c r="L948" s="6">
        <v>46088.659722222219</v>
      </c>
      <c r="M948" s="7">
        <f>F948-E948</f>
        <v>3.4722222262644209E-3</v>
      </c>
      <c r="N948">
        <f>HOUR(M948)</f>
        <v>0</v>
      </c>
      <c r="O948">
        <f>MINUTE(M948)</f>
        <v>5</v>
      </c>
      <c r="P948">
        <f>N948*60+O948</f>
        <v>5</v>
      </c>
      <c r="Q948" s="7">
        <f>G948-F948</f>
        <v>6.9444444379769266E-3</v>
      </c>
      <c r="R948">
        <f>HOUR(Q948)</f>
        <v>0</v>
      </c>
      <c r="S948">
        <f>MINUTE(Q948)</f>
        <v>10</v>
      </c>
      <c r="T948">
        <f>R948*60+S948</f>
        <v>10</v>
      </c>
      <c r="U948" s="7">
        <f>H948-G948</f>
        <v>1.5972222223354038E-2</v>
      </c>
      <c r="V948">
        <f>HOUR(U948)</f>
        <v>0</v>
      </c>
      <c r="W948">
        <f>MINUTE(U948)</f>
        <v>23</v>
      </c>
      <c r="X948">
        <f>V948*60+W948</f>
        <v>23</v>
      </c>
      <c r="Y948" s="7">
        <f>I948-H948</f>
        <v>1.3888888934161514E-3</v>
      </c>
      <c r="Z948">
        <f>HOUR(Y948)</f>
        <v>0</v>
      </c>
      <c r="AA948">
        <f>MINUTE(Y948)</f>
        <v>2</v>
      </c>
      <c r="AB948">
        <f>Z948*60+AA948</f>
        <v>2</v>
      </c>
    </row>
    <row r="949" spans="1:28" x14ac:dyDescent="0.25">
      <c r="A949">
        <v>947</v>
      </c>
      <c r="B949" t="s">
        <v>31</v>
      </c>
      <c r="C949">
        <v>1</v>
      </c>
      <c r="D949" t="s">
        <v>30</v>
      </c>
      <c r="E949" s="6">
        <v>46089.34375</v>
      </c>
      <c r="F949" s="6">
        <v>46089.357638888891</v>
      </c>
      <c r="G949" s="6">
        <v>46089.375</v>
      </c>
      <c r="H949" s="6">
        <v>46089.506944444445</v>
      </c>
      <c r="I949" s="6">
        <v>46089.513888888891</v>
      </c>
      <c r="J949" s="6">
        <v>46090.006944444445</v>
      </c>
      <c r="K949">
        <v>15.92</v>
      </c>
      <c r="L949" s="6">
        <v>46090.013888888891</v>
      </c>
      <c r="M949" s="7">
        <f>F949-E949</f>
        <v>1.3888888890505768E-2</v>
      </c>
      <c r="N949">
        <f>HOUR(M949)</f>
        <v>0</v>
      </c>
      <c r="O949">
        <f>MINUTE(M949)</f>
        <v>20</v>
      </c>
      <c r="P949">
        <f>N949*60+O949</f>
        <v>20</v>
      </c>
      <c r="Q949" s="7">
        <f>G949-F949</f>
        <v>1.7361111109494232E-2</v>
      </c>
      <c r="R949">
        <f>HOUR(Q949)</f>
        <v>0</v>
      </c>
      <c r="S949">
        <f>MINUTE(Q949)</f>
        <v>25</v>
      </c>
      <c r="T949">
        <f>R949*60+S949</f>
        <v>25</v>
      </c>
      <c r="U949" s="7">
        <f>H949-G949</f>
        <v>0.13194444444525288</v>
      </c>
      <c r="V949">
        <f>HOUR(U949)</f>
        <v>3</v>
      </c>
      <c r="W949">
        <f>MINUTE(U949)</f>
        <v>10</v>
      </c>
      <c r="X949">
        <f>V949*60+W949</f>
        <v>190</v>
      </c>
      <c r="Y949" s="7">
        <f>I949-H949</f>
        <v>6.9444444452528842E-3</v>
      </c>
      <c r="Z949">
        <f>HOUR(Y949)</f>
        <v>0</v>
      </c>
      <c r="AA949">
        <f>MINUTE(Y949)</f>
        <v>10</v>
      </c>
      <c r="AB949">
        <f>Z949*60+AA949</f>
        <v>10</v>
      </c>
    </row>
    <row r="950" spans="1:28" x14ac:dyDescent="0.25">
      <c r="A950">
        <v>948</v>
      </c>
      <c r="B950" t="s">
        <v>33</v>
      </c>
      <c r="C950">
        <v>1</v>
      </c>
      <c r="D950" t="s">
        <v>30</v>
      </c>
      <c r="E950" s="6">
        <v>46088.680555555555</v>
      </c>
      <c r="F950" s="6">
        <v>46088.6875</v>
      </c>
      <c r="G950" s="6">
        <v>46088.689583333333</v>
      </c>
      <c r="H950" s="6">
        <v>46088.694444444445</v>
      </c>
      <c r="I950" s="6">
        <v>46088.701388888891</v>
      </c>
      <c r="J950" s="6">
        <v>46088.704861111109</v>
      </c>
      <c r="K950">
        <v>0.57999999999999996</v>
      </c>
      <c r="L950" s="6">
        <v>46088.708333333336</v>
      </c>
      <c r="M950" s="7">
        <f>F950-E950</f>
        <v>6.9444444452528842E-3</v>
      </c>
      <c r="N950">
        <f>HOUR(M950)</f>
        <v>0</v>
      </c>
      <c r="O950">
        <f>MINUTE(M950)</f>
        <v>10</v>
      </c>
      <c r="P950">
        <f>N950*60+O950</f>
        <v>10</v>
      </c>
      <c r="Q950" s="7">
        <f>G950-F950</f>
        <v>2.0833333328482695E-3</v>
      </c>
      <c r="R950">
        <f>HOUR(Q950)</f>
        <v>0</v>
      </c>
      <c r="S950">
        <f>MINUTE(Q950)</f>
        <v>3</v>
      </c>
      <c r="T950">
        <f>R950*60+S950</f>
        <v>3</v>
      </c>
      <c r="U950" s="7">
        <f>H950-G950</f>
        <v>4.8611111124046147E-3</v>
      </c>
      <c r="V950">
        <f>HOUR(U950)</f>
        <v>0</v>
      </c>
      <c r="W950">
        <f>MINUTE(U950)</f>
        <v>7</v>
      </c>
      <c r="X950">
        <f>V950*60+W950</f>
        <v>7</v>
      </c>
      <c r="Y950" s="7">
        <f>I950-H950</f>
        <v>6.9444444452528842E-3</v>
      </c>
      <c r="Z950">
        <f>HOUR(Y950)</f>
        <v>0</v>
      </c>
      <c r="AA950">
        <f>MINUTE(Y950)</f>
        <v>10</v>
      </c>
      <c r="AB950">
        <f>Z950*60+AA950</f>
        <v>10</v>
      </c>
    </row>
    <row r="951" spans="1:28" x14ac:dyDescent="0.25">
      <c r="A951">
        <v>949</v>
      </c>
      <c r="B951" t="s">
        <v>31</v>
      </c>
      <c r="C951">
        <v>1</v>
      </c>
      <c r="D951" t="s">
        <v>35</v>
      </c>
      <c r="E951" s="6">
        <v>46089.347222222219</v>
      </c>
      <c r="F951" s="6">
        <v>46089.354166666664</v>
      </c>
      <c r="G951" s="6">
        <v>46089.385416666664</v>
      </c>
      <c r="H951" s="6">
        <v>46089.513888888891</v>
      </c>
      <c r="I951" s="6">
        <v>46089.520833333336</v>
      </c>
      <c r="J951" s="6">
        <v>46089.527777777781</v>
      </c>
      <c r="K951">
        <v>4.33</v>
      </c>
      <c r="L951" s="6">
        <v>46089.52847222222</v>
      </c>
      <c r="M951" s="7">
        <f>F951-E951</f>
        <v>6.9444444452528842E-3</v>
      </c>
      <c r="N951">
        <f>HOUR(M951)</f>
        <v>0</v>
      </c>
      <c r="O951">
        <f>MINUTE(M951)</f>
        <v>10</v>
      </c>
      <c r="P951">
        <f>N951*60+O951</f>
        <v>10</v>
      </c>
      <c r="Q951" s="7">
        <f>G951-F951</f>
        <v>3.125E-2</v>
      </c>
      <c r="R951">
        <f>HOUR(Q951)</f>
        <v>0</v>
      </c>
      <c r="S951">
        <f>MINUTE(Q951)</f>
        <v>45</v>
      </c>
      <c r="T951">
        <f>R951*60+S951</f>
        <v>45</v>
      </c>
      <c r="U951" s="7">
        <f>H951-G951</f>
        <v>0.12847222222626442</v>
      </c>
      <c r="V951">
        <f>HOUR(U951)</f>
        <v>3</v>
      </c>
      <c r="W951">
        <f>MINUTE(U951)</f>
        <v>5</v>
      </c>
      <c r="X951">
        <f>V951*60+W951</f>
        <v>185</v>
      </c>
      <c r="Y951" s="7">
        <f>I951-H951</f>
        <v>6.9444444452528842E-3</v>
      </c>
      <c r="Z951">
        <f>HOUR(Y951)</f>
        <v>0</v>
      </c>
      <c r="AA951">
        <f>MINUTE(Y951)</f>
        <v>10</v>
      </c>
      <c r="AB951">
        <f>Z951*60+AA951</f>
        <v>10</v>
      </c>
    </row>
    <row r="952" spans="1:28" x14ac:dyDescent="0.25">
      <c r="A952">
        <v>950</v>
      </c>
      <c r="B952" t="s">
        <v>31</v>
      </c>
      <c r="C952">
        <v>1</v>
      </c>
      <c r="D952" t="s">
        <v>34</v>
      </c>
      <c r="E952" s="6">
        <v>46089.361111111109</v>
      </c>
      <c r="F952" s="6">
        <v>46089.368055555555</v>
      </c>
      <c r="G952" s="6">
        <v>46089.375</v>
      </c>
      <c r="H952" s="6">
        <v>46089.423611111109</v>
      </c>
      <c r="I952" s="6">
        <v>46089.430555555555</v>
      </c>
      <c r="J952" s="6">
        <v>46089.431944444441</v>
      </c>
      <c r="K952">
        <v>1.7</v>
      </c>
      <c r="L952" s="6">
        <v>46089.438888888886</v>
      </c>
      <c r="M952" s="7">
        <f>F952-E952</f>
        <v>6.9444444452528842E-3</v>
      </c>
      <c r="N952">
        <f>HOUR(M952)</f>
        <v>0</v>
      </c>
      <c r="O952">
        <f>MINUTE(M952)</f>
        <v>10</v>
      </c>
      <c r="P952">
        <f>N952*60+O952</f>
        <v>10</v>
      </c>
      <c r="Q952" s="7">
        <f>G952-F952</f>
        <v>6.9444444452528842E-3</v>
      </c>
      <c r="R952">
        <f>HOUR(Q952)</f>
        <v>0</v>
      </c>
      <c r="S952">
        <f>MINUTE(Q952)</f>
        <v>10</v>
      </c>
      <c r="T952">
        <f>R952*60+S952</f>
        <v>10</v>
      </c>
      <c r="U952" s="7">
        <f>H952-G952</f>
        <v>4.8611111109494232E-2</v>
      </c>
      <c r="V952">
        <f>HOUR(U952)</f>
        <v>1</v>
      </c>
      <c r="W952">
        <f>MINUTE(U952)</f>
        <v>10</v>
      </c>
      <c r="X952">
        <f>V952*60+W952</f>
        <v>70</v>
      </c>
      <c r="Y952" s="7">
        <f>I952-H952</f>
        <v>6.9444444452528842E-3</v>
      </c>
      <c r="Z952">
        <f>HOUR(Y952)</f>
        <v>0</v>
      </c>
      <c r="AA952">
        <f>MINUTE(Y952)</f>
        <v>10</v>
      </c>
      <c r="AB952">
        <f>Z952*60+AA952</f>
        <v>10</v>
      </c>
    </row>
    <row r="953" spans="1:28" x14ac:dyDescent="0.25">
      <c r="A953">
        <v>951</v>
      </c>
      <c r="B953" t="s">
        <v>29</v>
      </c>
      <c r="C953">
        <v>1</v>
      </c>
      <c r="D953" t="s">
        <v>30</v>
      </c>
      <c r="E953" s="6">
        <v>46088.840277777781</v>
      </c>
      <c r="F953" s="6">
        <v>46088.854166666664</v>
      </c>
      <c r="G953" s="6">
        <v>46088.857638888891</v>
      </c>
      <c r="H953" s="6">
        <v>46088.870833333334</v>
      </c>
      <c r="I953" s="6">
        <v>46088.875</v>
      </c>
      <c r="J953" s="6">
        <v>46088.880555555559</v>
      </c>
      <c r="K953">
        <v>0.97</v>
      </c>
      <c r="L953" s="6">
        <v>46088.881944444445</v>
      </c>
      <c r="M953" s="7">
        <f>F953-E953</f>
        <v>1.3888888883229811E-2</v>
      </c>
      <c r="N953">
        <f>HOUR(M953)</f>
        <v>0</v>
      </c>
      <c r="O953">
        <f>MINUTE(M953)</f>
        <v>20</v>
      </c>
      <c r="P953">
        <f>N953*60+O953</f>
        <v>20</v>
      </c>
      <c r="Q953" s="7">
        <f>G953-F953</f>
        <v>3.4722222262644209E-3</v>
      </c>
      <c r="R953">
        <f>HOUR(Q953)</f>
        <v>0</v>
      </c>
      <c r="S953">
        <f>MINUTE(Q953)</f>
        <v>5</v>
      </c>
      <c r="T953">
        <f>R953*60+S953</f>
        <v>5</v>
      </c>
      <c r="U953" s="7">
        <f>H953-G953</f>
        <v>1.3194444443797693E-2</v>
      </c>
      <c r="V953">
        <f>HOUR(U953)</f>
        <v>0</v>
      </c>
      <c r="W953">
        <f>MINUTE(U953)</f>
        <v>19</v>
      </c>
      <c r="X953">
        <f>V953*60+W953</f>
        <v>19</v>
      </c>
      <c r="Y953" s="7">
        <f>I953-H953</f>
        <v>4.166666665696539E-3</v>
      </c>
      <c r="Z953">
        <f>HOUR(Y953)</f>
        <v>0</v>
      </c>
      <c r="AA953">
        <f>MINUTE(Y953)</f>
        <v>6</v>
      </c>
      <c r="AB953">
        <f>Z953*60+AA953</f>
        <v>6</v>
      </c>
    </row>
    <row r="954" spans="1:28" x14ac:dyDescent="0.25">
      <c r="A954">
        <v>952</v>
      </c>
      <c r="B954" t="s">
        <v>29</v>
      </c>
      <c r="C954">
        <v>1</v>
      </c>
      <c r="D954" t="s">
        <v>30</v>
      </c>
      <c r="E954" s="6">
        <v>46088.861111111109</v>
      </c>
      <c r="F954" s="6">
        <v>46088.868055555555</v>
      </c>
      <c r="G954" s="6">
        <v>46088.875</v>
      </c>
      <c r="H954" s="6">
        <v>46088.895833333336</v>
      </c>
      <c r="I954" s="6">
        <v>46088.899305555555</v>
      </c>
      <c r="J954" s="6">
        <v>46088.902777777781</v>
      </c>
      <c r="K954">
        <v>1</v>
      </c>
      <c r="L954" s="6">
        <v>46088.904166666667</v>
      </c>
      <c r="M954" s="7">
        <f>F954-E954</f>
        <v>6.9444444452528842E-3</v>
      </c>
      <c r="N954">
        <f>HOUR(M954)</f>
        <v>0</v>
      </c>
      <c r="O954">
        <f>MINUTE(M954)</f>
        <v>10</v>
      </c>
      <c r="P954">
        <f>N954*60+O954</f>
        <v>10</v>
      </c>
      <c r="Q954" s="7">
        <f>G954-F954</f>
        <v>6.9444444452528842E-3</v>
      </c>
      <c r="R954">
        <f>HOUR(Q954)</f>
        <v>0</v>
      </c>
      <c r="S954">
        <f>MINUTE(Q954)</f>
        <v>10</v>
      </c>
      <c r="T954">
        <f>R954*60+S954</f>
        <v>10</v>
      </c>
      <c r="U954" s="7">
        <f>H954-G954</f>
        <v>2.0833333335758653E-2</v>
      </c>
      <c r="V954">
        <f>HOUR(U954)</f>
        <v>0</v>
      </c>
      <c r="W954">
        <f>MINUTE(U954)</f>
        <v>30</v>
      </c>
      <c r="X954">
        <f>V954*60+W954</f>
        <v>30</v>
      </c>
      <c r="Y954" s="7">
        <f>I954-H954</f>
        <v>3.4722222189884633E-3</v>
      </c>
      <c r="Z954">
        <f>HOUR(Y954)</f>
        <v>0</v>
      </c>
      <c r="AA954">
        <f>MINUTE(Y954)</f>
        <v>5</v>
      </c>
      <c r="AB954">
        <f>Z954*60+AA954</f>
        <v>5</v>
      </c>
    </row>
    <row r="955" spans="1:28" x14ac:dyDescent="0.25">
      <c r="A955">
        <v>953</v>
      </c>
      <c r="B955" t="s">
        <v>31</v>
      </c>
      <c r="C955">
        <v>1</v>
      </c>
      <c r="D955" t="s">
        <v>30</v>
      </c>
      <c r="E955" s="6">
        <v>46088.958333333336</v>
      </c>
      <c r="F955" s="6">
        <v>46088.96875</v>
      </c>
      <c r="G955" s="6">
        <v>46088.979166666664</v>
      </c>
      <c r="H955" s="6">
        <v>46089.0625</v>
      </c>
      <c r="I955" s="6">
        <v>46089.069444444445</v>
      </c>
      <c r="J955" s="6">
        <v>46089.083333333336</v>
      </c>
      <c r="K955">
        <v>3</v>
      </c>
      <c r="L955" s="6">
        <v>46089.090277777781</v>
      </c>
      <c r="M955" s="7">
        <f>F955-E955</f>
        <v>1.0416666664241347E-2</v>
      </c>
      <c r="N955">
        <f>HOUR(M955)</f>
        <v>0</v>
      </c>
      <c r="O955">
        <f>MINUTE(M955)</f>
        <v>15</v>
      </c>
      <c r="P955">
        <f>N955*60+O955</f>
        <v>15</v>
      </c>
      <c r="Q955" s="7">
        <f>G955-F955</f>
        <v>1.0416666664241347E-2</v>
      </c>
      <c r="R955">
        <f>HOUR(Q955)</f>
        <v>0</v>
      </c>
      <c r="S955">
        <f>MINUTE(Q955)</f>
        <v>15</v>
      </c>
      <c r="T955">
        <f>R955*60+S955</f>
        <v>15</v>
      </c>
      <c r="U955" s="7">
        <f>H955-G955</f>
        <v>8.3333333335758653E-2</v>
      </c>
      <c r="V955">
        <f>HOUR(U955)</f>
        <v>2</v>
      </c>
      <c r="W955">
        <f>MINUTE(U955)</f>
        <v>0</v>
      </c>
      <c r="X955">
        <f>V955*60+W955</f>
        <v>120</v>
      </c>
      <c r="Y955" s="7">
        <f>I955-H955</f>
        <v>6.9444444452528842E-3</v>
      </c>
      <c r="Z955">
        <f>HOUR(Y955)</f>
        <v>0</v>
      </c>
      <c r="AA955">
        <f>MINUTE(Y955)</f>
        <v>10</v>
      </c>
      <c r="AB955">
        <f>Z955*60+AA955</f>
        <v>10</v>
      </c>
    </row>
    <row r="956" spans="1:28" x14ac:dyDescent="0.25">
      <c r="A956">
        <v>954</v>
      </c>
      <c r="B956" t="s">
        <v>31</v>
      </c>
      <c r="C956">
        <v>1</v>
      </c>
      <c r="D956" t="s">
        <v>35</v>
      </c>
      <c r="E956" s="6">
        <v>46090.326388888891</v>
      </c>
      <c r="F956" s="6">
        <v>46090.333333333336</v>
      </c>
      <c r="G956" s="6">
        <v>46090.34375</v>
      </c>
      <c r="H956" s="6">
        <v>46090.375</v>
      </c>
      <c r="I956" s="6">
        <v>46090.388888888891</v>
      </c>
      <c r="J956" s="6">
        <v>46090.416666666664</v>
      </c>
      <c r="K956">
        <v>2.17</v>
      </c>
      <c r="L956" s="6">
        <v>46090.429166666669</v>
      </c>
      <c r="M956" s="7">
        <f>F956-E956</f>
        <v>6.9444444452528842E-3</v>
      </c>
      <c r="N956">
        <f>HOUR(M956)</f>
        <v>0</v>
      </c>
      <c r="O956">
        <f>MINUTE(M956)</f>
        <v>10</v>
      </c>
      <c r="P956">
        <f>N956*60+O956</f>
        <v>10</v>
      </c>
      <c r="Q956" s="7">
        <f>G956-F956</f>
        <v>1.0416666664241347E-2</v>
      </c>
      <c r="R956">
        <f>HOUR(Q956)</f>
        <v>0</v>
      </c>
      <c r="S956">
        <f>MINUTE(Q956)</f>
        <v>15</v>
      </c>
      <c r="T956">
        <f>R956*60+S956</f>
        <v>15</v>
      </c>
      <c r="U956" s="7">
        <f>H956-G956</f>
        <v>3.125E-2</v>
      </c>
      <c r="V956">
        <f>HOUR(U956)</f>
        <v>0</v>
      </c>
      <c r="W956">
        <f>MINUTE(U956)</f>
        <v>45</v>
      </c>
      <c r="X956">
        <f>V956*60+W956</f>
        <v>45</v>
      </c>
      <c r="Y956" s="7">
        <f>I956-H956</f>
        <v>1.3888888890505768E-2</v>
      </c>
      <c r="Z956">
        <f>HOUR(Y956)</f>
        <v>0</v>
      </c>
      <c r="AA956">
        <f>MINUTE(Y956)</f>
        <v>20</v>
      </c>
      <c r="AB956">
        <f>Z956*60+AA956</f>
        <v>20</v>
      </c>
    </row>
    <row r="957" spans="1:28" x14ac:dyDescent="0.25">
      <c r="A957">
        <v>955</v>
      </c>
      <c r="B957" t="s">
        <v>31</v>
      </c>
      <c r="C957">
        <v>1</v>
      </c>
      <c r="D957" t="s">
        <v>30</v>
      </c>
      <c r="E957" s="6">
        <v>46090.453472222223</v>
      </c>
      <c r="F957" s="6">
        <v>46090.461805555555</v>
      </c>
      <c r="G957" s="6">
        <v>46090.472222222219</v>
      </c>
      <c r="H957" s="6">
        <v>46090.559027777781</v>
      </c>
      <c r="I957" s="6">
        <v>46090.569444444445</v>
      </c>
      <c r="J957" s="6">
        <v>46090.570138888892</v>
      </c>
      <c r="K957">
        <v>2.8</v>
      </c>
      <c r="L957" s="6">
        <v>46090.570833333331</v>
      </c>
      <c r="M957" s="7">
        <f>F957-E957</f>
        <v>8.333333331393078E-3</v>
      </c>
      <c r="N957">
        <f>HOUR(M957)</f>
        <v>0</v>
      </c>
      <c r="O957">
        <f>MINUTE(M957)</f>
        <v>12</v>
      </c>
      <c r="P957">
        <f>N957*60+O957</f>
        <v>12</v>
      </c>
      <c r="Q957" s="7">
        <f>G957-F957</f>
        <v>1.0416666664241347E-2</v>
      </c>
      <c r="R957">
        <f>HOUR(Q957)</f>
        <v>0</v>
      </c>
      <c r="S957">
        <f>MINUTE(Q957)</f>
        <v>15</v>
      </c>
      <c r="T957">
        <f>R957*60+S957</f>
        <v>15</v>
      </c>
      <c r="U957" s="7">
        <f>H957-G957</f>
        <v>8.6805555562023073E-2</v>
      </c>
      <c r="V957">
        <f>HOUR(U957)</f>
        <v>2</v>
      </c>
      <c r="W957">
        <f>MINUTE(U957)</f>
        <v>5</v>
      </c>
      <c r="X957">
        <f>V957*60+W957</f>
        <v>125</v>
      </c>
      <c r="Y957" s="7">
        <f>I957-H957</f>
        <v>1.0416666664241347E-2</v>
      </c>
      <c r="Z957">
        <f>HOUR(Y957)</f>
        <v>0</v>
      </c>
      <c r="AA957">
        <f>MINUTE(Y957)</f>
        <v>15</v>
      </c>
      <c r="AB957">
        <f>Z957*60+AA957</f>
        <v>15</v>
      </c>
    </row>
    <row r="958" spans="1:28" x14ac:dyDescent="0.25">
      <c r="A958">
        <v>956</v>
      </c>
      <c r="B958" t="s">
        <v>33</v>
      </c>
      <c r="C958">
        <v>1</v>
      </c>
      <c r="D958" t="s">
        <v>35</v>
      </c>
      <c r="E958" s="6">
        <v>46090.291666666664</v>
      </c>
      <c r="F958" s="6">
        <v>46090.329861111109</v>
      </c>
      <c r="G958" s="6">
        <v>46090.347222222219</v>
      </c>
      <c r="H958" s="6">
        <v>46090.40625</v>
      </c>
      <c r="I958" s="6">
        <v>46090.423611111109</v>
      </c>
      <c r="J958" s="6">
        <v>46090.645833333336</v>
      </c>
      <c r="K958">
        <v>8.5</v>
      </c>
      <c r="L958" s="6">
        <v>46090.652777777781</v>
      </c>
      <c r="M958" s="7">
        <f>F958-E958</f>
        <v>3.8194444445252884E-2</v>
      </c>
      <c r="N958">
        <f>HOUR(M958)</f>
        <v>0</v>
      </c>
      <c r="O958">
        <f>MINUTE(M958)</f>
        <v>55</v>
      </c>
      <c r="P958">
        <f>N958*60+O958</f>
        <v>55</v>
      </c>
      <c r="Q958" s="7">
        <f>G958-F958</f>
        <v>1.7361111109494232E-2</v>
      </c>
      <c r="R958">
        <f>HOUR(Q958)</f>
        <v>0</v>
      </c>
      <c r="S958">
        <f>MINUTE(Q958)</f>
        <v>25</v>
      </c>
      <c r="T958">
        <f>R958*60+S958</f>
        <v>25</v>
      </c>
      <c r="U958" s="7">
        <f>H958-G958</f>
        <v>5.9027777781011537E-2</v>
      </c>
      <c r="V958">
        <f>HOUR(U958)</f>
        <v>1</v>
      </c>
      <c r="W958">
        <f>MINUTE(U958)</f>
        <v>25</v>
      </c>
      <c r="X958">
        <f>V958*60+W958</f>
        <v>85</v>
      </c>
      <c r="Y958" s="7">
        <f>I958-H958</f>
        <v>1.7361111109494232E-2</v>
      </c>
      <c r="Z958">
        <f>HOUR(Y958)</f>
        <v>0</v>
      </c>
      <c r="AA958">
        <f>MINUTE(Y958)</f>
        <v>25</v>
      </c>
      <c r="AB958">
        <f>Z958*60+AA958</f>
        <v>25</v>
      </c>
    </row>
    <row r="959" spans="1:28" x14ac:dyDescent="0.25">
      <c r="A959">
        <v>957</v>
      </c>
      <c r="B959" t="s">
        <v>31</v>
      </c>
      <c r="C959">
        <v>1</v>
      </c>
      <c r="D959" t="s">
        <v>32</v>
      </c>
      <c r="E959" s="6">
        <v>46090.548611111109</v>
      </c>
      <c r="F959" s="6">
        <v>46090.5625</v>
      </c>
      <c r="G959" s="6">
        <v>46090.576388888891</v>
      </c>
      <c r="H959" s="6">
        <v>46090.607638888891</v>
      </c>
      <c r="I959" s="6">
        <v>46090.614583333336</v>
      </c>
      <c r="J959" s="6">
        <v>46090.618055555555</v>
      </c>
      <c r="K959">
        <v>1.67</v>
      </c>
      <c r="L959" s="6">
        <v>46090.625</v>
      </c>
      <c r="M959" s="7">
        <f>F959-E959</f>
        <v>1.3888888890505768E-2</v>
      </c>
      <c r="N959">
        <f>HOUR(M959)</f>
        <v>0</v>
      </c>
      <c r="O959">
        <f>MINUTE(M959)</f>
        <v>20</v>
      </c>
      <c r="P959">
        <f>N959*60+O959</f>
        <v>20</v>
      </c>
      <c r="Q959" s="7">
        <f>G959-F959</f>
        <v>1.3888888890505768E-2</v>
      </c>
      <c r="R959">
        <f>HOUR(Q959)</f>
        <v>0</v>
      </c>
      <c r="S959">
        <f>MINUTE(Q959)</f>
        <v>20</v>
      </c>
      <c r="T959">
        <f>R959*60+S959</f>
        <v>20</v>
      </c>
      <c r="U959" s="7">
        <f>H959-G959</f>
        <v>3.125E-2</v>
      </c>
      <c r="V959">
        <f>HOUR(U959)</f>
        <v>0</v>
      </c>
      <c r="W959">
        <f>MINUTE(U959)</f>
        <v>45</v>
      </c>
      <c r="X959">
        <f>V959*60+W959</f>
        <v>45</v>
      </c>
      <c r="Y959" s="7">
        <f>I959-H959</f>
        <v>6.9444444452528842E-3</v>
      </c>
      <c r="Z959">
        <f>HOUR(Y959)</f>
        <v>0</v>
      </c>
      <c r="AA959">
        <f>MINUTE(Y959)</f>
        <v>10</v>
      </c>
      <c r="AB959">
        <f>Z959*60+AA959</f>
        <v>10</v>
      </c>
    </row>
    <row r="960" spans="1:28" x14ac:dyDescent="0.25">
      <c r="A960">
        <v>958</v>
      </c>
      <c r="B960" t="s">
        <v>31</v>
      </c>
      <c r="C960">
        <v>1</v>
      </c>
      <c r="D960" t="s">
        <v>35</v>
      </c>
      <c r="E960" s="6">
        <v>46089.690972222219</v>
      </c>
      <c r="F960" s="6">
        <v>46089.701388888891</v>
      </c>
      <c r="G960" s="6">
        <v>46089.715277777781</v>
      </c>
      <c r="H960" s="6">
        <v>46089.802083333336</v>
      </c>
      <c r="I960" s="6">
        <v>46089.809027777781</v>
      </c>
      <c r="J960" s="6">
        <v>46089.927083333336</v>
      </c>
      <c r="K960">
        <v>5.67</v>
      </c>
      <c r="L960" s="6">
        <v>46089.934027777781</v>
      </c>
      <c r="M960" s="7">
        <f>F960-E960</f>
        <v>1.0416666671517305E-2</v>
      </c>
      <c r="N960">
        <f>HOUR(M960)</f>
        <v>0</v>
      </c>
      <c r="O960">
        <f>MINUTE(M960)</f>
        <v>15</v>
      </c>
      <c r="P960">
        <f>N960*60+O960</f>
        <v>15</v>
      </c>
      <c r="Q960" s="7">
        <f>G960-F960</f>
        <v>1.3888888890505768E-2</v>
      </c>
      <c r="R960">
        <f>HOUR(Q960)</f>
        <v>0</v>
      </c>
      <c r="S960">
        <f>MINUTE(Q960)</f>
        <v>20</v>
      </c>
      <c r="T960">
        <f>R960*60+S960</f>
        <v>20</v>
      </c>
      <c r="U960" s="7">
        <f>H960-G960</f>
        <v>8.6805555554747116E-2</v>
      </c>
      <c r="V960">
        <f>HOUR(U960)</f>
        <v>2</v>
      </c>
      <c r="W960">
        <f>MINUTE(U960)</f>
        <v>5</v>
      </c>
      <c r="X960">
        <f>V960*60+W960</f>
        <v>125</v>
      </c>
      <c r="Y960" s="7">
        <f>I960-H960</f>
        <v>6.9444444452528842E-3</v>
      </c>
      <c r="Z960">
        <f>HOUR(Y960)</f>
        <v>0</v>
      </c>
      <c r="AA960">
        <f>MINUTE(Y960)</f>
        <v>10</v>
      </c>
      <c r="AB960">
        <f>Z960*60+AA960</f>
        <v>10</v>
      </c>
    </row>
    <row r="961" spans="1:28" x14ac:dyDescent="0.25">
      <c r="A961">
        <v>959</v>
      </c>
      <c r="B961" t="s">
        <v>29</v>
      </c>
      <c r="C961">
        <v>1</v>
      </c>
      <c r="D961" t="s">
        <v>34</v>
      </c>
      <c r="E961" s="6">
        <v>46090.006944444445</v>
      </c>
      <c r="F961" s="6">
        <v>46090.010416666664</v>
      </c>
      <c r="G961" s="6">
        <v>46090.012499999997</v>
      </c>
      <c r="H961" s="6">
        <v>46090.020833333336</v>
      </c>
      <c r="I961" s="6">
        <v>46090.027777777781</v>
      </c>
      <c r="J961" s="6">
        <v>46090.03125</v>
      </c>
      <c r="K961">
        <v>0.57999999999999996</v>
      </c>
      <c r="L961" s="6">
        <v>46090.038194444445</v>
      </c>
      <c r="M961" s="7">
        <f>F961-E961</f>
        <v>3.4722222189884633E-3</v>
      </c>
      <c r="N961">
        <f>HOUR(M961)</f>
        <v>0</v>
      </c>
      <c r="O961">
        <f>MINUTE(M961)</f>
        <v>5</v>
      </c>
      <c r="P961">
        <f>N961*60+O961</f>
        <v>5</v>
      </c>
      <c r="Q961" s="7">
        <f>G961-F961</f>
        <v>2.0833333328482695E-3</v>
      </c>
      <c r="R961">
        <f>HOUR(Q961)</f>
        <v>0</v>
      </c>
      <c r="S961">
        <f>MINUTE(Q961)</f>
        <v>3</v>
      </c>
      <c r="T961">
        <f>R961*60+S961</f>
        <v>3</v>
      </c>
      <c r="U961" s="7">
        <f>H961-G961</f>
        <v>8.3333333386690356E-3</v>
      </c>
      <c r="V961">
        <f>HOUR(U961)</f>
        <v>0</v>
      </c>
      <c r="W961">
        <f>MINUTE(U961)</f>
        <v>12</v>
      </c>
      <c r="X961">
        <f>V961*60+W961</f>
        <v>12</v>
      </c>
      <c r="Y961" s="7">
        <f>I961-H961</f>
        <v>6.9444444452528842E-3</v>
      </c>
      <c r="Z961">
        <f>HOUR(Y961)</f>
        <v>0</v>
      </c>
      <c r="AA961">
        <f>MINUTE(Y961)</f>
        <v>10</v>
      </c>
      <c r="AB961">
        <f>Z961*60+AA961</f>
        <v>10</v>
      </c>
    </row>
    <row r="962" spans="1:28" x14ac:dyDescent="0.25">
      <c r="A962">
        <v>960</v>
      </c>
      <c r="B962" t="s">
        <v>29</v>
      </c>
      <c r="C962">
        <v>1</v>
      </c>
      <c r="D962" t="s">
        <v>35</v>
      </c>
      <c r="E962" s="6">
        <v>46090.072916666664</v>
      </c>
      <c r="F962" s="6">
        <v>46090.079861111109</v>
      </c>
      <c r="G962" s="6">
        <v>46090.09375</v>
      </c>
      <c r="H962" s="6">
        <v>46090.133333333331</v>
      </c>
      <c r="I962" s="6">
        <v>46090.140277777777</v>
      </c>
      <c r="J962" s="6">
        <v>46090.152777777781</v>
      </c>
      <c r="K962">
        <v>1.92</v>
      </c>
      <c r="L962" s="6">
        <v>46090.159722222219</v>
      </c>
      <c r="M962" s="7">
        <f>F962-E962</f>
        <v>6.9444444452528842E-3</v>
      </c>
      <c r="N962">
        <f>HOUR(M962)</f>
        <v>0</v>
      </c>
      <c r="O962">
        <f>MINUTE(M962)</f>
        <v>10</v>
      </c>
      <c r="P962">
        <f>N962*60+O962</f>
        <v>10</v>
      </c>
      <c r="Q962" s="7">
        <f>G962-F962</f>
        <v>1.3888888890505768E-2</v>
      </c>
      <c r="R962">
        <f>HOUR(Q962)</f>
        <v>0</v>
      </c>
      <c r="S962">
        <f>MINUTE(Q962)</f>
        <v>20</v>
      </c>
      <c r="T962">
        <f>R962*60+S962</f>
        <v>20</v>
      </c>
      <c r="U962" s="7">
        <f>H962-G962</f>
        <v>3.9583333331393078E-2</v>
      </c>
      <c r="V962">
        <f>HOUR(U962)</f>
        <v>0</v>
      </c>
      <c r="W962">
        <f>MINUTE(U962)</f>
        <v>57</v>
      </c>
      <c r="X962">
        <f>V962*60+W962</f>
        <v>57</v>
      </c>
      <c r="Y962" s="7">
        <f>I962-H962</f>
        <v>6.9444444452528842E-3</v>
      </c>
      <c r="Z962">
        <f>HOUR(Y962)</f>
        <v>0</v>
      </c>
      <c r="AA962">
        <f>MINUTE(Y962)</f>
        <v>10</v>
      </c>
      <c r="AB962">
        <f>Z962*60+AA962</f>
        <v>10</v>
      </c>
    </row>
    <row r="963" spans="1:28" x14ac:dyDescent="0.25">
      <c r="A963">
        <v>961</v>
      </c>
      <c r="B963" t="s">
        <v>29</v>
      </c>
      <c r="C963">
        <v>1</v>
      </c>
      <c r="D963" t="s">
        <v>35</v>
      </c>
      <c r="E963" s="6">
        <v>46090.291666666664</v>
      </c>
      <c r="F963" s="6">
        <v>46090.333333333336</v>
      </c>
      <c r="G963" s="6">
        <v>46090.375</v>
      </c>
      <c r="H963" s="6">
        <v>46090.423611111109</v>
      </c>
      <c r="I963" s="6">
        <v>46090.424305555556</v>
      </c>
      <c r="J963" s="6">
        <v>46090.444444444445</v>
      </c>
      <c r="K963">
        <v>3.67</v>
      </c>
      <c r="L963" s="6">
        <v>46090.445138888892</v>
      </c>
      <c r="M963" s="7">
        <f>F963-E963</f>
        <v>4.1666666671517305E-2</v>
      </c>
      <c r="N963">
        <f>HOUR(M963)</f>
        <v>1</v>
      </c>
      <c r="O963">
        <f>MINUTE(M963)</f>
        <v>0</v>
      </c>
      <c r="P963">
        <f>N963*60+O963</f>
        <v>60</v>
      </c>
      <c r="Q963" s="7">
        <f>G963-F963</f>
        <v>4.1666666664241347E-2</v>
      </c>
      <c r="R963">
        <f>HOUR(Q963)</f>
        <v>1</v>
      </c>
      <c r="S963">
        <f>MINUTE(Q963)</f>
        <v>0</v>
      </c>
      <c r="T963">
        <f>R963*60+S963</f>
        <v>60</v>
      </c>
      <c r="U963" s="7">
        <f>H963-G963</f>
        <v>4.8611111109494232E-2</v>
      </c>
      <c r="V963">
        <f>HOUR(U963)</f>
        <v>1</v>
      </c>
      <c r="W963">
        <f>MINUTE(U963)</f>
        <v>10</v>
      </c>
      <c r="X963">
        <f>V963*60+W963</f>
        <v>70</v>
      </c>
      <c r="Y963" s="7">
        <f>I963-H963</f>
        <v>6.944444467080757E-4</v>
      </c>
      <c r="Z963">
        <f>HOUR(Y963)</f>
        <v>0</v>
      </c>
      <c r="AA963">
        <f>MINUTE(Y963)</f>
        <v>1</v>
      </c>
      <c r="AB963">
        <f>Z963*60+AA963</f>
        <v>1</v>
      </c>
    </row>
    <row r="964" spans="1:28" x14ac:dyDescent="0.25">
      <c r="A964">
        <v>962</v>
      </c>
      <c r="B964" t="s">
        <v>31</v>
      </c>
      <c r="C964">
        <v>1</v>
      </c>
      <c r="D964" t="s">
        <v>32</v>
      </c>
      <c r="E964" s="6">
        <v>46090.34375</v>
      </c>
      <c r="F964" s="6">
        <v>46090.347222222219</v>
      </c>
      <c r="G964" s="6">
        <v>46090.357638888891</v>
      </c>
      <c r="H964" s="6">
        <v>46090.447916666664</v>
      </c>
      <c r="I964" s="6">
        <v>46090.454861111109</v>
      </c>
      <c r="J964" s="6">
        <v>46090.493055555555</v>
      </c>
      <c r="K964">
        <v>3.58</v>
      </c>
      <c r="L964" s="6">
        <v>46090.5</v>
      </c>
      <c r="M964" s="7">
        <f>F964-E964</f>
        <v>3.4722222189884633E-3</v>
      </c>
      <c r="N964">
        <f>HOUR(M964)</f>
        <v>0</v>
      </c>
      <c r="O964">
        <f>MINUTE(M964)</f>
        <v>5</v>
      </c>
      <c r="P964">
        <f>N964*60+O964</f>
        <v>5</v>
      </c>
      <c r="Q964" s="7">
        <f>G964-F964</f>
        <v>1.0416666671517305E-2</v>
      </c>
      <c r="R964">
        <f>HOUR(Q964)</f>
        <v>0</v>
      </c>
      <c r="S964">
        <f>MINUTE(Q964)</f>
        <v>15</v>
      </c>
      <c r="T964">
        <f>R964*60+S964</f>
        <v>15</v>
      </c>
      <c r="U964" s="7">
        <f>H964-G964</f>
        <v>9.0277777773735579E-2</v>
      </c>
      <c r="V964">
        <f>HOUR(U964)</f>
        <v>2</v>
      </c>
      <c r="W964">
        <f>MINUTE(U964)</f>
        <v>10</v>
      </c>
      <c r="X964">
        <f>V964*60+W964</f>
        <v>130</v>
      </c>
      <c r="Y964" s="7">
        <f>I964-H964</f>
        <v>6.9444444452528842E-3</v>
      </c>
      <c r="Z964">
        <f>HOUR(Y964)</f>
        <v>0</v>
      </c>
      <c r="AA964">
        <f>MINUTE(Y964)</f>
        <v>10</v>
      </c>
      <c r="AB964">
        <f>Z964*60+AA964</f>
        <v>10</v>
      </c>
    </row>
    <row r="965" spans="1:28" x14ac:dyDescent="0.25">
      <c r="A965">
        <v>963</v>
      </c>
      <c r="B965" t="s">
        <v>29</v>
      </c>
      <c r="C965">
        <v>1</v>
      </c>
      <c r="D965" t="s">
        <v>30</v>
      </c>
      <c r="E965" s="6">
        <v>46090.684027777781</v>
      </c>
      <c r="F965" s="6">
        <v>46090.694444444445</v>
      </c>
      <c r="G965" s="6">
        <v>46090.715277777781</v>
      </c>
      <c r="H965" s="6">
        <v>46090.725694444445</v>
      </c>
      <c r="I965" s="6">
        <v>46090.739583333336</v>
      </c>
      <c r="J965" s="6">
        <v>46090.746527777781</v>
      </c>
      <c r="K965">
        <v>1.5</v>
      </c>
      <c r="L965" s="6">
        <v>46090.74722222222</v>
      </c>
      <c r="M965" s="7">
        <f>F965-E965</f>
        <v>1.0416666664241347E-2</v>
      </c>
      <c r="N965">
        <f>HOUR(M965)</f>
        <v>0</v>
      </c>
      <c r="O965">
        <f>MINUTE(M965)</f>
        <v>15</v>
      </c>
      <c r="P965">
        <f>N965*60+O965</f>
        <v>15</v>
      </c>
      <c r="Q965" s="7">
        <f>G965-F965</f>
        <v>2.0833333335758653E-2</v>
      </c>
      <c r="R965">
        <f>HOUR(Q965)</f>
        <v>0</v>
      </c>
      <c r="S965">
        <f>MINUTE(Q965)</f>
        <v>30</v>
      </c>
      <c r="T965">
        <f>R965*60+S965</f>
        <v>30</v>
      </c>
      <c r="U965" s="7">
        <f>H965-G965</f>
        <v>1.0416666664241347E-2</v>
      </c>
      <c r="V965">
        <f>HOUR(U965)</f>
        <v>0</v>
      </c>
      <c r="W965">
        <f>MINUTE(U965)</f>
        <v>15</v>
      </c>
      <c r="X965">
        <f>V965*60+W965</f>
        <v>15</v>
      </c>
      <c r="Y965" s="7">
        <f>I965-H965</f>
        <v>1.3888888890505768E-2</v>
      </c>
      <c r="Z965">
        <f>HOUR(Y965)</f>
        <v>0</v>
      </c>
      <c r="AA965">
        <f>MINUTE(Y965)</f>
        <v>20</v>
      </c>
      <c r="AB965">
        <f>Z965*60+AA965</f>
        <v>20</v>
      </c>
    </row>
    <row r="966" spans="1:28" x14ac:dyDescent="0.25">
      <c r="A966">
        <v>964</v>
      </c>
      <c r="B966" t="s">
        <v>29</v>
      </c>
      <c r="C966">
        <v>1</v>
      </c>
      <c r="D966" t="s">
        <v>30</v>
      </c>
      <c r="E966" s="6">
        <v>46091.291666666664</v>
      </c>
      <c r="F966" s="6">
        <v>46091.3125</v>
      </c>
      <c r="G966" s="6">
        <v>46091.315972222219</v>
      </c>
      <c r="H966" s="6">
        <v>46091.333333333336</v>
      </c>
      <c r="I966" s="6">
        <v>46091.336805555555</v>
      </c>
      <c r="J966" s="6">
        <v>46091.350694444445</v>
      </c>
      <c r="K966">
        <v>1.42</v>
      </c>
      <c r="L966" s="6">
        <v>46091.357638888891</v>
      </c>
      <c r="M966" s="7">
        <f>F966-E966</f>
        <v>2.0833333335758653E-2</v>
      </c>
      <c r="N966">
        <f>HOUR(M966)</f>
        <v>0</v>
      </c>
      <c r="O966">
        <f>MINUTE(M966)</f>
        <v>30</v>
      </c>
      <c r="P966">
        <f>N966*60+O966</f>
        <v>30</v>
      </c>
      <c r="Q966" s="7">
        <f>G966-F966</f>
        <v>3.4722222189884633E-3</v>
      </c>
      <c r="R966">
        <f>HOUR(Q966)</f>
        <v>0</v>
      </c>
      <c r="S966">
        <f>MINUTE(Q966)</f>
        <v>5</v>
      </c>
      <c r="T966">
        <f>R966*60+S966</f>
        <v>5</v>
      </c>
      <c r="U966" s="7">
        <f>H966-G966</f>
        <v>1.7361111116770189E-2</v>
      </c>
      <c r="V966">
        <f>HOUR(U966)</f>
        <v>0</v>
      </c>
      <c r="W966">
        <f>MINUTE(U966)</f>
        <v>25</v>
      </c>
      <c r="X966">
        <f>V966*60+W966</f>
        <v>25</v>
      </c>
      <c r="Y966" s="7">
        <f>I966-H966</f>
        <v>3.4722222189884633E-3</v>
      </c>
      <c r="Z966">
        <f>HOUR(Y966)</f>
        <v>0</v>
      </c>
      <c r="AA966">
        <f>MINUTE(Y966)</f>
        <v>5</v>
      </c>
      <c r="AB966">
        <f>Z966*60+AA966</f>
        <v>5</v>
      </c>
    </row>
    <row r="967" spans="1:28" x14ac:dyDescent="0.25">
      <c r="A967">
        <v>965</v>
      </c>
      <c r="B967" t="s">
        <v>31</v>
      </c>
      <c r="C967">
        <v>1</v>
      </c>
      <c r="D967" t="s">
        <v>30</v>
      </c>
      <c r="E967" s="6">
        <v>46090.621527777781</v>
      </c>
      <c r="F967" s="6">
        <v>46090.635416666664</v>
      </c>
      <c r="G967" s="6">
        <v>46090.645833333336</v>
      </c>
      <c r="H967" s="6">
        <v>46090.666666666664</v>
      </c>
      <c r="I967" s="6">
        <v>46090.670138888891</v>
      </c>
      <c r="J967" s="6">
        <v>46090.6875</v>
      </c>
      <c r="K967">
        <v>1.58</v>
      </c>
      <c r="L967" s="6">
        <v>46090.690972222219</v>
      </c>
      <c r="M967" s="7">
        <f>F967-E967</f>
        <v>1.3888888883229811E-2</v>
      </c>
      <c r="N967">
        <f>HOUR(M967)</f>
        <v>0</v>
      </c>
      <c r="O967">
        <f>MINUTE(M967)</f>
        <v>20</v>
      </c>
      <c r="P967">
        <f>N967*60+O967</f>
        <v>20</v>
      </c>
      <c r="Q967" s="7">
        <f>G967-F967</f>
        <v>1.0416666671517305E-2</v>
      </c>
      <c r="R967">
        <f>HOUR(Q967)</f>
        <v>0</v>
      </c>
      <c r="S967">
        <f>MINUTE(Q967)</f>
        <v>15</v>
      </c>
      <c r="T967">
        <f>R967*60+S967</f>
        <v>15</v>
      </c>
      <c r="U967" s="7">
        <f>H967-G967</f>
        <v>2.0833333328482695E-2</v>
      </c>
      <c r="V967">
        <f>HOUR(U967)</f>
        <v>0</v>
      </c>
      <c r="W967">
        <f>MINUTE(U967)</f>
        <v>30</v>
      </c>
      <c r="X967">
        <f>V967*60+W967</f>
        <v>30</v>
      </c>
      <c r="Y967" s="7">
        <f>I967-H967</f>
        <v>3.4722222262644209E-3</v>
      </c>
      <c r="Z967">
        <f>HOUR(Y967)</f>
        <v>0</v>
      </c>
      <c r="AA967">
        <f>MINUTE(Y967)</f>
        <v>5</v>
      </c>
      <c r="AB967">
        <f>Z967*60+AA967</f>
        <v>5</v>
      </c>
    </row>
    <row r="968" spans="1:28" x14ac:dyDescent="0.25">
      <c r="A968">
        <v>966</v>
      </c>
      <c r="B968" t="s">
        <v>29</v>
      </c>
      <c r="C968">
        <v>1</v>
      </c>
      <c r="D968" t="s">
        <v>36</v>
      </c>
      <c r="E968" s="6">
        <v>46097.305555555555</v>
      </c>
      <c r="F968" s="6">
        <v>46097.322916666664</v>
      </c>
      <c r="G968" s="6">
        <v>46097.340277777781</v>
      </c>
      <c r="H968" s="6">
        <v>46097.383333333331</v>
      </c>
      <c r="I968" s="6">
        <v>46097.390277777777</v>
      </c>
      <c r="J968" s="6">
        <v>46097.395833333336</v>
      </c>
      <c r="K968">
        <v>2.17</v>
      </c>
      <c r="L968" s="6">
        <v>46097.402777777781</v>
      </c>
      <c r="M968" s="7">
        <f>F968-E968</f>
        <v>1.7361111109494232E-2</v>
      </c>
      <c r="N968">
        <f>HOUR(M968)</f>
        <v>0</v>
      </c>
      <c r="O968">
        <f>MINUTE(M968)</f>
        <v>25</v>
      </c>
      <c r="P968">
        <f>N968*60+O968</f>
        <v>25</v>
      </c>
      <c r="Q968" s="7">
        <f>G968-F968</f>
        <v>1.7361111116770189E-2</v>
      </c>
      <c r="R968">
        <f>HOUR(Q968)</f>
        <v>0</v>
      </c>
      <c r="S968">
        <f>MINUTE(Q968)</f>
        <v>25</v>
      </c>
      <c r="T968">
        <f>R968*60+S968</f>
        <v>25</v>
      </c>
      <c r="U968" s="7">
        <f>H968-G968</f>
        <v>4.3055555550381541E-2</v>
      </c>
      <c r="V968">
        <f>HOUR(U968)</f>
        <v>1</v>
      </c>
      <c r="W968">
        <f>MINUTE(U968)</f>
        <v>2</v>
      </c>
      <c r="X968">
        <f>V968*60+W968</f>
        <v>62</v>
      </c>
      <c r="Y968" s="7">
        <f>I968-H968</f>
        <v>6.9444444452528842E-3</v>
      </c>
      <c r="Z968">
        <f>HOUR(Y968)</f>
        <v>0</v>
      </c>
      <c r="AA968">
        <f>MINUTE(Y968)</f>
        <v>10</v>
      </c>
      <c r="AB968">
        <f>Z968*60+AA968</f>
        <v>10</v>
      </c>
    </row>
    <row r="969" spans="1:28" x14ac:dyDescent="0.25">
      <c r="A969">
        <v>967</v>
      </c>
      <c r="B969" t="s">
        <v>31</v>
      </c>
      <c r="C969">
        <v>1</v>
      </c>
      <c r="D969" t="s">
        <v>34</v>
      </c>
      <c r="E969" s="6">
        <v>46091.291666666664</v>
      </c>
      <c r="F969" s="6">
        <v>46091.319444444445</v>
      </c>
      <c r="G969" s="6">
        <v>46091.347222222219</v>
      </c>
      <c r="H969" s="6">
        <v>46091.449305555558</v>
      </c>
      <c r="I969" s="6">
        <v>46091.458333333336</v>
      </c>
      <c r="J969" s="6">
        <v>46091.541666666664</v>
      </c>
      <c r="K969">
        <v>6</v>
      </c>
      <c r="L969" s="6">
        <v>46091.548611111109</v>
      </c>
      <c r="M969" s="7">
        <f>F969-E969</f>
        <v>2.7777777781011537E-2</v>
      </c>
      <c r="N969">
        <f>HOUR(M969)</f>
        <v>0</v>
      </c>
      <c r="O969">
        <f>MINUTE(M969)</f>
        <v>40</v>
      </c>
      <c r="P969">
        <f>N969*60+O969</f>
        <v>40</v>
      </c>
      <c r="Q969" s="7">
        <f>G969-F969</f>
        <v>2.7777777773735579E-2</v>
      </c>
      <c r="R969">
        <f>HOUR(Q969)</f>
        <v>0</v>
      </c>
      <c r="S969">
        <f>MINUTE(Q969)</f>
        <v>40</v>
      </c>
      <c r="T969">
        <f>R969*60+S969</f>
        <v>40</v>
      </c>
      <c r="U969" s="7">
        <f>H969-G969</f>
        <v>0.10208333333866904</v>
      </c>
      <c r="V969">
        <f>HOUR(U969)</f>
        <v>2</v>
      </c>
      <c r="W969">
        <f>MINUTE(U969)</f>
        <v>27</v>
      </c>
      <c r="X969">
        <f>V969*60+W969</f>
        <v>147</v>
      </c>
      <c r="Y969" s="7">
        <f>I969-H969</f>
        <v>9.0277777781011537E-3</v>
      </c>
      <c r="Z969">
        <f>HOUR(Y969)</f>
        <v>0</v>
      </c>
      <c r="AA969">
        <f>MINUTE(Y969)</f>
        <v>13</v>
      </c>
      <c r="AB969">
        <f>Z969*60+AA969</f>
        <v>13</v>
      </c>
    </row>
    <row r="970" spans="1:28" x14ac:dyDescent="0.25">
      <c r="A970">
        <v>968</v>
      </c>
      <c r="B970" t="s">
        <v>33</v>
      </c>
      <c r="C970">
        <v>1</v>
      </c>
      <c r="D970" t="s">
        <v>32</v>
      </c>
      <c r="E970" s="6">
        <v>46091.690972222219</v>
      </c>
      <c r="F970" s="6">
        <v>46091.694444444445</v>
      </c>
      <c r="G970" s="6">
        <v>46091.708333333336</v>
      </c>
      <c r="H970" s="6">
        <v>46091.746527777781</v>
      </c>
      <c r="I970" s="6">
        <v>46091.75</v>
      </c>
      <c r="J970" s="6">
        <v>46091.753472222219</v>
      </c>
      <c r="K970">
        <v>1.5</v>
      </c>
      <c r="L970" s="6">
        <v>46091.760416666664</v>
      </c>
      <c r="M970" s="7">
        <f>F970-E970</f>
        <v>3.4722222262644209E-3</v>
      </c>
      <c r="N970">
        <f>HOUR(M970)</f>
        <v>0</v>
      </c>
      <c r="O970">
        <f>MINUTE(M970)</f>
        <v>5</v>
      </c>
      <c r="P970">
        <f>N970*60+O970</f>
        <v>5</v>
      </c>
      <c r="Q970" s="7">
        <f>G970-F970</f>
        <v>1.3888888890505768E-2</v>
      </c>
      <c r="R970">
        <f>HOUR(Q970)</f>
        <v>0</v>
      </c>
      <c r="S970">
        <f>MINUTE(Q970)</f>
        <v>20</v>
      </c>
      <c r="T970">
        <f>R970*60+S970</f>
        <v>20</v>
      </c>
      <c r="U970" s="7">
        <f>H970-G970</f>
        <v>3.8194444445252884E-2</v>
      </c>
      <c r="V970">
        <f>HOUR(U970)</f>
        <v>0</v>
      </c>
      <c r="W970">
        <f>MINUTE(U970)</f>
        <v>55</v>
      </c>
      <c r="X970">
        <f>V970*60+W970</f>
        <v>55</v>
      </c>
      <c r="Y970" s="7">
        <f>I970-H970</f>
        <v>3.4722222189884633E-3</v>
      </c>
      <c r="Z970">
        <f>HOUR(Y970)</f>
        <v>0</v>
      </c>
      <c r="AA970">
        <f>MINUTE(Y970)</f>
        <v>5</v>
      </c>
      <c r="AB970">
        <f>Z970*60+AA970</f>
        <v>5</v>
      </c>
    </row>
    <row r="971" spans="1:28" x14ac:dyDescent="0.25">
      <c r="A971">
        <v>969</v>
      </c>
      <c r="B971" t="s">
        <v>33</v>
      </c>
      <c r="C971">
        <v>1</v>
      </c>
      <c r="D971" t="s">
        <v>34</v>
      </c>
      <c r="E971" s="6">
        <v>46091.666666666664</v>
      </c>
      <c r="F971" s="6">
        <v>46091.6875</v>
      </c>
      <c r="G971" s="6">
        <v>46091.725694444445</v>
      </c>
      <c r="H971" s="6">
        <v>46091.902777777781</v>
      </c>
      <c r="I971" s="6">
        <v>46091.909722222219</v>
      </c>
      <c r="J971" s="6">
        <v>46091.920138888891</v>
      </c>
      <c r="K971">
        <v>6.08</v>
      </c>
      <c r="L971" s="6">
        <v>46091.927083333336</v>
      </c>
      <c r="M971" s="7">
        <f>F971-E971</f>
        <v>2.0833333335758653E-2</v>
      </c>
      <c r="N971">
        <f>HOUR(M971)</f>
        <v>0</v>
      </c>
      <c r="O971">
        <f>MINUTE(M971)</f>
        <v>30</v>
      </c>
      <c r="P971">
        <f>N971*60+O971</f>
        <v>30</v>
      </c>
      <c r="Q971" s="7">
        <f>G971-F971</f>
        <v>3.8194444445252884E-2</v>
      </c>
      <c r="R971">
        <f>HOUR(Q971)</f>
        <v>0</v>
      </c>
      <c r="S971">
        <f>MINUTE(Q971)</f>
        <v>55</v>
      </c>
      <c r="T971">
        <f>R971*60+S971</f>
        <v>55</v>
      </c>
      <c r="U971" s="7">
        <f>H971-G971</f>
        <v>0.17708333333575865</v>
      </c>
      <c r="V971">
        <f>HOUR(U971)</f>
        <v>4</v>
      </c>
      <c r="W971">
        <f>MINUTE(U971)</f>
        <v>15</v>
      </c>
      <c r="X971">
        <f>V971*60+W971</f>
        <v>255</v>
      </c>
      <c r="Y971" s="7">
        <f>I971-H971</f>
        <v>6.9444444379769266E-3</v>
      </c>
      <c r="Z971">
        <f>HOUR(Y971)</f>
        <v>0</v>
      </c>
      <c r="AA971">
        <f>MINUTE(Y971)</f>
        <v>10</v>
      </c>
      <c r="AB971">
        <f>Z971*60+AA971</f>
        <v>10</v>
      </c>
    </row>
    <row r="972" spans="1:28" x14ac:dyDescent="0.25">
      <c r="A972">
        <v>970</v>
      </c>
      <c r="B972" t="s">
        <v>31</v>
      </c>
      <c r="C972">
        <v>1</v>
      </c>
      <c r="D972" t="s">
        <v>30</v>
      </c>
      <c r="E972" s="6">
        <v>46090.725694444445</v>
      </c>
      <c r="F972" s="6">
        <v>46090.736111111109</v>
      </c>
      <c r="G972" s="6">
        <v>46090.743055555555</v>
      </c>
      <c r="H972" s="6">
        <v>46090.761805555558</v>
      </c>
      <c r="I972" s="6">
        <v>46090.763888888891</v>
      </c>
      <c r="J972" s="6">
        <v>46090.770833333336</v>
      </c>
      <c r="K972">
        <v>1.08</v>
      </c>
      <c r="L972" s="6">
        <v>46090.777777777781</v>
      </c>
      <c r="M972" s="7">
        <f>F972-E972</f>
        <v>1.0416666664241347E-2</v>
      </c>
      <c r="N972">
        <f>HOUR(M972)</f>
        <v>0</v>
      </c>
      <c r="O972">
        <f>MINUTE(M972)</f>
        <v>15</v>
      </c>
      <c r="P972">
        <f>N972*60+O972</f>
        <v>15</v>
      </c>
      <c r="Q972" s="7">
        <f>G972-F972</f>
        <v>6.9444444452528842E-3</v>
      </c>
      <c r="R972">
        <f>HOUR(Q972)</f>
        <v>0</v>
      </c>
      <c r="S972">
        <f>MINUTE(Q972)</f>
        <v>10</v>
      </c>
      <c r="T972">
        <f>R972*60+S972</f>
        <v>10</v>
      </c>
      <c r="U972" s="7">
        <f>H972-G972</f>
        <v>1.8750000002910383E-2</v>
      </c>
      <c r="V972">
        <f>HOUR(U972)</f>
        <v>0</v>
      </c>
      <c r="W972">
        <f>MINUTE(U972)</f>
        <v>27</v>
      </c>
      <c r="X972">
        <f>V972*60+W972</f>
        <v>27</v>
      </c>
      <c r="Y972" s="7">
        <f>I972-H972</f>
        <v>2.0833333328482695E-3</v>
      </c>
      <c r="Z972">
        <f>HOUR(Y972)</f>
        <v>0</v>
      </c>
      <c r="AA972">
        <f>MINUTE(Y972)</f>
        <v>3</v>
      </c>
      <c r="AB972">
        <f>Z972*60+AA972</f>
        <v>3</v>
      </c>
    </row>
    <row r="973" spans="1:28" x14ac:dyDescent="0.25">
      <c r="A973">
        <v>971</v>
      </c>
      <c r="B973" t="s">
        <v>31</v>
      </c>
      <c r="C973">
        <v>1</v>
      </c>
      <c r="D973" t="s">
        <v>35</v>
      </c>
      <c r="E973" s="6">
        <v>46091.291666666664</v>
      </c>
      <c r="F973" s="6">
        <v>46091.3125</v>
      </c>
      <c r="G973" s="6">
        <v>46091.333333333336</v>
      </c>
      <c r="H973" s="6">
        <v>46091.46875</v>
      </c>
      <c r="I973" s="6">
        <v>46091.475694444445</v>
      </c>
      <c r="J973" s="6">
        <v>46091.486111111109</v>
      </c>
      <c r="K973">
        <v>4.67</v>
      </c>
      <c r="L973" s="6">
        <v>46091.486805555556</v>
      </c>
      <c r="M973" s="7">
        <f>F973-E973</f>
        <v>2.0833333335758653E-2</v>
      </c>
      <c r="N973">
        <f>HOUR(M973)</f>
        <v>0</v>
      </c>
      <c r="O973">
        <f>MINUTE(M973)</f>
        <v>30</v>
      </c>
      <c r="P973">
        <f>N973*60+O973</f>
        <v>30</v>
      </c>
      <c r="Q973" s="7">
        <f>G973-F973</f>
        <v>2.0833333335758653E-2</v>
      </c>
      <c r="R973">
        <f>HOUR(Q973)</f>
        <v>0</v>
      </c>
      <c r="S973">
        <f>MINUTE(Q973)</f>
        <v>30</v>
      </c>
      <c r="T973">
        <f>R973*60+S973</f>
        <v>30</v>
      </c>
      <c r="U973" s="7">
        <f>H973-G973</f>
        <v>0.13541666666424135</v>
      </c>
      <c r="V973">
        <f>HOUR(U973)</f>
        <v>3</v>
      </c>
      <c r="W973">
        <f>MINUTE(U973)</f>
        <v>15</v>
      </c>
      <c r="X973">
        <f>V973*60+W973</f>
        <v>195</v>
      </c>
      <c r="Y973" s="7">
        <f>I973-H973</f>
        <v>6.9444444452528842E-3</v>
      </c>
      <c r="Z973">
        <f>HOUR(Y973)</f>
        <v>0</v>
      </c>
      <c r="AA973">
        <f>MINUTE(Y973)</f>
        <v>10</v>
      </c>
      <c r="AB973">
        <f>Z973*60+AA973</f>
        <v>10</v>
      </c>
    </row>
    <row r="974" spans="1:28" x14ac:dyDescent="0.25">
      <c r="A974">
        <v>972</v>
      </c>
      <c r="B974" t="s">
        <v>33</v>
      </c>
      <c r="C974">
        <v>1</v>
      </c>
      <c r="D974" t="s">
        <v>30</v>
      </c>
      <c r="E974" s="6">
        <v>46090.826388888891</v>
      </c>
      <c r="F974" s="6">
        <v>46090.833333333336</v>
      </c>
      <c r="G974" s="6">
        <v>46090.840277777781</v>
      </c>
      <c r="H974" s="6">
        <v>46090.869444444441</v>
      </c>
      <c r="I974" s="6">
        <v>46090.876388888886</v>
      </c>
      <c r="J974" s="6">
        <v>46090.885416666664</v>
      </c>
      <c r="K974">
        <v>1.42</v>
      </c>
      <c r="L974" s="6">
        <v>46090.892361111109</v>
      </c>
      <c r="M974" s="7">
        <f>F974-E974</f>
        <v>6.9444444452528842E-3</v>
      </c>
      <c r="N974">
        <f>HOUR(M974)</f>
        <v>0</v>
      </c>
      <c r="O974">
        <f>MINUTE(M974)</f>
        <v>10</v>
      </c>
      <c r="P974">
        <f>N974*60+O974</f>
        <v>10</v>
      </c>
      <c r="Q974" s="7">
        <f>G974-F974</f>
        <v>6.9444444452528842E-3</v>
      </c>
      <c r="R974">
        <f>HOUR(Q974)</f>
        <v>0</v>
      </c>
      <c r="S974">
        <f>MINUTE(Q974)</f>
        <v>10</v>
      </c>
      <c r="T974">
        <f>R974*60+S974</f>
        <v>10</v>
      </c>
      <c r="U974" s="7">
        <f>H974-G974</f>
        <v>2.9166666659875773E-2</v>
      </c>
      <c r="V974">
        <f>HOUR(U974)</f>
        <v>0</v>
      </c>
      <c r="W974">
        <f>MINUTE(U974)</f>
        <v>42</v>
      </c>
      <c r="X974">
        <f>V974*60+W974</f>
        <v>42</v>
      </c>
      <c r="Y974" s="7">
        <f>I974-H974</f>
        <v>6.9444444452528842E-3</v>
      </c>
      <c r="Z974">
        <f>HOUR(Y974)</f>
        <v>0</v>
      </c>
      <c r="AA974">
        <f>MINUTE(Y974)</f>
        <v>10</v>
      </c>
      <c r="AB974">
        <f>Z974*60+AA974</f>
        <v>10</v>
      </c>
    </row>
    <row r="975" spans="1:28" x14ac:dyDescent="0.25">
      <c r="A975">
        <v>973</v>
      </c>
      <c r="B975" t="s">
        <v>29</v>
      </c>
      <c r="C975">
        <v>1</v>
      </c>
      <c r="D975" t="s">
        <v>30</v>
      </c>
      <c r="E975" s="6">
        <v>46091.416666666664</v>
      </c>
      <c r="F975" s="6">
        <v>46091.420138888891</v>
      </c>
      <c r="G975" s="6">
        <v>46091.427083333336</v>
      </c>
      <c r="H975" s="6">
        <v>46091.434027777781</v>
      </c>
      <c r="I975" s="6">
        <v>46091.43472222222</v>
      </c>
      <c r="J975" s="6">
        <v>46091.4375</v>
      </c>
      <c r="K975">
        <v>0.5</v>
      </c>
      <c r="L975" s="6">
        <v>46091.451388888891</v>
      </c>
      <c r="M975" s="7">
        <f>F975-E975</f>
        <v>3.4722222262644209E-3</v>
      </c>
      <c r="N975">
        <f>HOUR(M975)</f>
        <v>0</v>
      </c>
      <c r="O975">
        <f>MINUTE(M975)</f>
        <v>5</v>
      </c>
      <c r="P975">
        <f>N975*60+O975</f>
        <v>5</v>
      </c>
      <c r="Q975" s="7">
        <f>G975-F975</f>
        <v>6.9444444452528842E-3</v>
      </c>
      <c r="R975">
        <f>HOUR(Q975)</f>
        <v>0</v>
      </c>
      <c r="S975">
        <f>MINUTE(Q975)</f>
        <v>10</v>
      </c>
      <c r="T975">
        <f>R975*60+S975</f>
        <v>10</v>
      </c>
      <c r="U975" s="7">
        <f>H975-G975</f>
        <v>6.9444444452528842E-3</v>
      </c>
      <c r="V975">
        <f>HOUR(U975)</f>
        <v>0</v>
      </c>
      <c r="W975">
        <f>MINUTE(U975)</f>
        <v>10</v>
      </c>
      <c r="X975">
        <f>V975*60+W975</f>
        <v>10</v>
      </c>
      <c r="Y975" s="7">
        <f>I975-H975</f>
        <v>6.9444443943211809E-4</v>
      </c>
      <c r="Z975">
        <f>HOUR(Y975)</f>
        <v>0</v>
      </c>
      <c r="AA975">
        <f>MINUTE(Y975)</f>
        <v>1</v>
      </c>
      <c r="AB975">
        <f>Z975*60+AA975</f>
        <v>1</v>
      </c>
    </row>
    <row r="976" spans="1:28" x14ac:dyDescent="0.25">
      <c r="A976">
        <v>974</v>
      </c>
      <c r="B976" t="s">
        <v>29</v>
      </c>
      <c r="C976">
        <v>1</v>
      </c>
      <c r="D976" t="s">
        <v>30</v>
      </c>
      <c r="E976" s="6">
        <v>46091.347222222219</v>
      </c>
      <c r="F976" s="6">
        <v>46091.354166666664</v>
      </c>
      <c r="G976" s="6">
        <v>46091.375</v>
      </c>
      <c r="H976" s="6">
        <v>46091.408333333333</v>
      </c>
      <c r="I976" s="6">
        <v>46091.415277777778</v>
      </c>
      <c r="J976" s="6">
        <v>46091.415972222225</v>
      </c>
      <c r="K976">
        <v>1.65</v>
      </c>
      <c r="L976" s="6">
        <v>46091.42291666667</v>
      </c>
      <c r="M976" s="7">
        <f>F976-E976</f>
        <v>6.9444444452528842E-3</v>
      </c>
      <c r="N976">
        <f>HOUR(M976)</f>
        <v>0</v>
      </c>
      <c r="O976">
        <f>MINUTE(M976)</f>
        <v>10</v>
      </c>
      <c r="P976">
        <f>N976*60+O976</f>
        <v>10</v>
      </c>
      <c r="Q976" s="7">
        <f>G976-F976</f>
        <v>2.0833333335758653E-2</v>
      </c>
      <c r="R976">
        <f>HOUR(Q976)</f>
        <v>0</v>
      </c>
      <c r="S976">
        <f>MINUTE(Q976)</f>
        <v>30</v>
      </c>
      <c r="T976">
        <f>R976*60+S976</f>
        <v>30</v>
      </c>
      <c r="U976" s="7">
        <f>H976-G976</f>
        <v>3.3333333332848269E-2</v>
      </c>
      <c r="V976">
        <f>HOUR(U976)</f>
        <v>0</v>
      </c>
      <c r="W976">
        <f>MINUTE(U976)</f>
        <v>48</v>
      </c>
      <c r="X976">
        <f>V976*60+W976</f>
        <v>48</v>
      </c>
      <c r="Y976" s="7">
        <f>I976-H976</f>
        <v>6.9444444452528842E-3</v>
      </c>
      <c r="Z976">
        <f>HOUR(Y976)</f>
        <v>0</v>
      </c>
      <c r="AA976">
        <f>MINUTE(Y976)</f>
        <v>10</v>
      </c>
      <c r="AB976">
        <f>Z976*60+AA976</f>
        <v>10</v>
      </c>
    </row>
    <row r="977" spans="1:28" x14ac:dyDescent="0.25">
      <c r="A977">
        <v>975</v>
      </c>
      <c r="B977" t="s">
        <v>33</v>
      </c>
      <c r="C977">
        <v>1</v>
      </c>
      <c r="D977" t="s">
        <v>30</v>
      </c>
      <c r="E977" s="6">
        <v>46091.5625</v>
      </c>
      <c r="F977" s="6">
        <v>46091.565972222219</v>
      </c>
      <c r="G977" s="6">
        <v>46091.59375</v>
      </c>
      <c r="H977" s="6">
        <v>46091.645833333336</v>
      </c>
      <c r="I977" s="6">
        <v>46091.652777777781</v>
      </c>
      <c r="J977" s="6">
        <v>46091.659722222219</v>
      </c>
      <c r="K977">
        <v>2.33</v>
      </c>
      <c r="L977" s="6">
        <v>46091.666666666664</v>
      </c>
      <c r="M977" s="7">
        <f>F977-E977</f>
        <v>3.4722222189884633E-3</v>
      </c>
      <c r="N977">
        <f>HOUR(M977)</f>
        <v>0</v>
      </c>
      <c r="O977">
        <f>MINUTE(M977)</f>
        <v>5</v>
      </c>
      <c r="P977">
        <f>N977*60+O977</f>
        <v>5</v>
      </c>
      <c r="Q977" s="7">
        <f>G977-F977</f>
        <v>2.7777777781011537E-2</v>
      </c>
      <c r="R977">
        <f>HOUR(Q977)</f>
        <v>0</v>
      </c>
      <c r="S977">
        <f>MINUTE(Q977)</f>
        <v>40</v>
      </c>
      <c r="T977">
        <f>R977*60+S977</f>
        <v>40</v>
      </c>
      <c r="U977" s="7">
        <f>H977-G977</f>
        <v>5.2083333335758653E-2</v>
      </c>
      <c r="V977">
        <f>HOUR(U977)</f>
        <v>1</v>
      </c>
      <c r="W977">
        <f>MINUTE(U977)</f>
        <v>15</v>
      </c>
      <c r="X977">
        <f>V977*60+W977</f>
        <v>75</v>
      </c>
      <c r="Y977" s="7">
        <f>I977-H977</f>
        <v>6.9444444452528842E-3</v>
      </c>
      <c r="Z977">
        <f>HOUR(Y977)</f>
        <v>0</v>
      </c>
      <c r="AA977">
        <f>MINUTE(Y977)</f>
        <v>10</v>
      </c>
      <c r="AB977">
        <f>Z977*60+AA977</f>
        <v>10</v>
      </c>
    </row>
    <row r="978" spans="1:28" x14ac:dyDescent="0.25">
      <c r="A978">
        <v>976</v>
      </c>
      <c r="B978" t="s">
        <v>31</v>
      </c>
      <c r="C978">
        <v>1</v>
      </c>
      <c r="D978" t="s">
        <v>30</v>
      </c>
      <c r="E978" s="6">
        <v>46091.510416666664</v>
      </c>
      <c r="F978" s="6">
        <v>46091.534722222219</v>
      </c>
      <c r="G978" s="6">
        <v>46091.570138888892</v>
      </c>
      <c r="H978" s="6">
        <v>46091.597222222219</v>
      </c>
      <c r="I978" s="6">
        <v>46091.604166666664</v>
      </c>
      <c r="J978" s="6">
        <v>46091.625</v>
      </c>
      <c r="K978">
        <v>2.75</v>
      </c>
      <c r="L978" s="6">
        <v>46091.631944444445</v>
      </c>
      <c r="M978" s="7">
        <f>F978-E978</f>
        <v>2.4305555554747116E-2</v>
      </c>
      <c r="N978">
        <f>HOUR(M978)</f>
        <v>0</v>
      </c>
      <c r="O978">
        <f>MINUTE(M978)</f>
        <v>35</v>
      </c>
      <c r="P978">
        <f>N978*60+O978</f>
        <v>35</v>
      </c>
      <c r="Q978" s="7">
        <f>G978-F978</f>
        <v>3.5416666672972497E-2</v>
      </c>
      <c r="R978">
        <f>HOUR(Q978)</f>
        <v>0</v>
      </c>
      <c r="S978">
        <f>MINUTE(Q978)</f>
        <v>51</v>
      </c>
      <c r="T978">
        <f>R978*60+S978</f>
        <v>51</v>
      </c>
      <c r="U978" s="7">
        <f>H978-G978</f>
        <v>2.7083333327027503E-2</v>
      </c>
      <c r="V978">
        <f>HOUR(U978)</f>
        <v>0</v>
      </c>
      <c r="W978">
        <f>MINUTE(U978)</f>
        <v>39</v>
      </c>
      <c r="X978">
        <f>V978*60+W978</f>
        <v>39</v>
      </c>
      <c r="Y978" s="7">
        <f>I978-H978</f>
        <v>6.9444444452528842E-3</v>
      </c>
      <c r="Z978">
        <f>HOUR(Y978)</f>
        <v>0</v>
      </c>
      <c r="AA978">
        <f>MINUTE(Y978)</f>
        <v>10</v>
      </c>
      <c r="AB978">
        <f>Z978*60+AA978</f>
        <v>10</v>
      </c>
    </row>
    <row r="979" spans="1:28" x14ac:dyDescent="0.25">
      <c r="A979">
        <v>977</v>
      </c>
      <c r="B979" t="s">
        <v>31</v>
      </c>
      <c r="C979">
        <v>1</v>
      </c>
      <c r="D979" t="s">
        <v>30</v>
      </c>
      <c r="E979" s="6">
        <v>46092.34375</v>
      </c>
      <c r="F979" s="6">
        <v>46092.347222222219</v>
      </c>
      <c r="G979" s="6">
        <v>46092.361111111109</v>
      </c>
      <c r="H979" s="6">
        <v>46092.520833333336</v>
      </c>
      <c r="I979" s="6">
        <v>46092.527777777781</v>
      </c>
      <c r="J979" s="6">
        <v>46092.541666666664</v>
      </c>
      <c r="K979">
        <v>4.75</v>
      </c>
      <c r="L979" s="6">
        <v>46092.548611111109</v>
      </c>
      <c r="M979" s="7">
        <f>F979-E979</f>
        <v>3.4722222189884633E-3</v>
      </c>
      <c r="N979">
        <f>HOUR(M979)</f>
        <v>0</v>
      </c>
      <c r="O979">
        <f>MINUTE(M979)</f>
        <v>5</v>
      </c>
      <c r="P979">
        <f>N979*60+O979</f>
        <v>5</v>
      </c>
      <c r="Q979" s="7">
        <f>G979-F979</f>
        <v>1.3888888890505768E-2</v>
      </c>
      <c r="R979">
        <f>HOUR(Q979)</f>
        <v>0</v>
      </c>
      <c r="S979">
        <f>MINUTE(Q979)</f>
        <v>20</v>
      </c>
      <c r="T979">
        <f>R979*60+S979</f>
        <v>20</v>
      </c>
      <c r="U979" s="7">
        <f>H979-G979</f>
        <v>0.15972222222626442</v>
      </c>
      <c r="V979">
        <f>HOUR(U979)</f>
        <v>3</v>
      </c>
      <c r="W979">
        <f>MINUTE(U979)</f>
        <v>50</v>
      </c>
      <c r="X979">
        <f>V979*60+W979</f>
        <v>230</v>
      </c>
      <c r="Y979" s="7">
        <f>I979-H979</f>
        <v>6.9444444452528842E-3</v>
      </c>
      <c r="Z979">
        <f>HOUR(Y979)</f>
        <v>0</v>
      </c>
      <c r="AA979">
        <f>MINUTE(Y979)</f>
        <v>10</v>
      </c>
      <c r="AB979">
        <f>Z979*60+AA979</f>
        <v>10</v>
      </c>
    </row>
    <row r="980" spans="1:28" x14ac:dyDescent="0.25">
      <c r="A980">
        <v>978</v>
      </c>
      <c r="B980" t="s">
        <v>33</v>
      </c>
      <c r="C980">
        <v>1</v>
      </c>
      <c r="D980" t="s">
        <v>32</v>
      </c>
      <c r="E980" s="6">
        <v>46092.291666666664</v>
      </c>
      <c r="F980" s="6">
        <v>46092.322916666664</v>
      </c>
      <c r="G980" s="6">
        <v>46092.347222222219</v>
      </c>
      <c r="H980" s="6">
        <v>46092.513888888891</v>
      </c>
      <c r="I980" s="6">
        <v>46092.520833333336</v>
      </c>
      <c r="J980" s="6">
        <v>46092.534722222219</v>
      </c>
      <c r="K980">
        <v>5.83</v>
      </c>
      <c r="L980" s="6">
        <v>46092.541666666664</v>
      </c>
      <c r="M980" s="7">
        <f>F980-E980</f>
        <v>3.125E-2</v>
      </c>
      <c r="N980">
        <f>HOUR(M980)</f>
        <v>0</v>
      </c>
      <c r="O980">
        <f>MINUTE(M980)</f>
        <v>45</v>
      </c>
      <c r="P980">
        <f>N980*60+O980</f>
        <v>45</v>
      </c>
      <c r="Q980" s="7">
        <f>G980-F980</f>
        <v>2.4305555554747116E-2</v>
      </c>
      <c r="R980">
        <f>HOUR(Q980)</f>
        <v>0</v>
      </c>
      <c r="S980">
        <f>MINUTE(Q980)</f>
        <v>35</v>
      </c>
      <c r="T980">
        <f>R980*60+S980</f>
        <v>35</v>
      </c>
      <c r="U980" s="7">
        <f>H980-G980</f>
        <v>0.16666666667151731</v>
      </c>
      <c r="V980">
        <f>HOUR(U980)</f>
        <v>4</v>
      </c>
      <c r="W980">
        <f>MINUTE(U980)</f>
        <v>0</v>
      </c>
      <c r="X980">
        <f>V980*60+W980</f>
        <v>240</v>
      </c>
      <c r="Y980" s="7">
        <f>I980-H980</f>
        <v>6.9444444452528842E-3</v>
      </c>
      <c r="Z980">
        <f>HOUR(Y980)</f>
        <v>0</v>
      </c>
      <c r="AA980">
        <f>MINUTE(Y980)</f>
        <v>10</v>
      </c>
      <c r="AB980">
        <f>Z980*60+AA980</f>
        <v>10</v>
      </c>
    </row>
    <row r="981" spans="1:28" x14ac:dyDescent="0.25">
      <c r="A981">
        <v>979</v>
      </c>
      <c r="B981" t="s">
        <v>31</v>
      </c>
      <c r="C981">
        <v>1</v>
      </c>
      <c r="D981" t="s">
        <v>32</v>
      </c>
      <c r="E981" s="6">
        <v>46092.618055555555</v>
      </c>
      <c r="F981" s="6">
        <v>46092.630555555559</v>
      </c>
      <c r="G981" s="6">
        <v>46092.645833333336</v>
      </c>
      <c r="H981" s="6">
        <v>46092.819444444445</v>
      </c>
      <c r="I981" s="6">
        <v>46092.826388888891</v>
      </c>
      <c r="J981" s="6">
        <v>46092.864583333336</v>
      </c>
      <c r="K981">
        <v>5.92</v>
      </c>
      <c r="L981" s="6">
        <v>46092.868055555555</v>
      </c>
      <c r="M981" s="7">
        <f>F981-E981</f>
        <v>1.2500000004365575E-2</v>
      </c>
      <c r="N981">
        <f>HOUR(M981)</f>
        <v>0</v>
      </c>
      <c r="O981">
        <f>MINUTE(M981)</f>
        <v>18</v>
      </c>
      <c r="P981">
        <f>N981*60+O981</f>
        <v>18</v>
      </c>
      <c r="Q981" s="7">
        <f>G981-F981</f>
        <v>1.5277777776645962E-2</v>
      </c>
      <c r="R981">
        <f>HOUR(Q981)</f>
        <v>0</v>
      </c>
      <c r="S981">
        <f>MINUTE(Q981)</f>
        <v>22</v>
      </c>
      <c r="T981">
        <f>R981*60+S981</f>
        <v>22</v>
      </c>
      <c r="U981" s="7">
        <f>H981-G981</f>
        <v>0.17361111110949423</v>
      </c>
      <c r="V981">
        <f>HOUR(U981)</f>
        <v>4</v>
      </c>
      <c r="W981">
        <f>MINUTE(U981)</f>
        <v>10</v>
      </c>
      <c r="X981">
        <f>V981*60+W981</f>
        <v>250</v>
      </c>
      <c r="Y981" s="7">
        <f>I981-H981</f>
        <v>6.9444444452528842E-3</v>
      </c>
      <c r="Z981">
        <f>HOUR(Y981)</f>
        <v>0</v>
      </c>
      <c r="AA981">
        <f>MINUTE(Y981)</f>
        <v>10</v>
      </c>
      <c r="AB981">
        <f>Z981*60+AA981</f>
        <v>10</v>
      </c>
    </row>
    <row r="982" spans="1:28" x14ac:dyDescent="0.25">
      <c r="A982">
        <v>980</v>
      </c>
      <c r="B982" t="s">
        <v>31</v>
      </c>
      <c r="C982">
        <v>1</v>
      </c>
      <c r="D982" t="s">
        <v>37</v>
      </c>
      <c r="E982" s="6">
        <v>46092.5625</v>
      </c>
      <c r="F982" s="6">
        <v>46092.586805555555</v>
      </c>
      <c r="G982" s="6">
        <v>46092.631944444445</v>
      </c>
      <c r="H982" s="6">
        <v>46092.743055555555</v>
      </c>
      <c r="I982" s="6">
        <v>46092.756944444445</v>
      </c>
      <c r="J982" s="6">
        <v>46092.760416666664</v>
      </c>
      <c r="K982">
        <v>4.75</v>
      </c>
      <c r="L982" s="6">
        <v>46092.767361111109</v>
      </c>
      <c r="M982" s="7">
        <f>F982-E982</f>
        <v>2.4305555554747116E-2</v>
      </c>
      <c r="N982">
        <f>HOUR(M982)</f>
        <v>0</v>
      </c>
      <c r="O982">
        <f>MINUTE(M982)</f>
        <v>35</v>
      </c>
      <c r="P982">
        <f>N982*60+O982</f>
        <v>35</v>
      </c>
      <c r="Q982" s="7">
        <f>G982-F982</f>
        <v>4.5138888890505768E-2</v>
      </c>
      <c r="R982">
        <f>HOUR(Q982)</f>
        <v>1</v>
      </c>
      <c r="S982">
        <f>MINUTE(Q982)</f>
        <v>5</v>
      </c>
      <c r="T982">
        <f>R982*60+S982</f>
        <v>65</v>
      </c>
      <c r="U982" s="7">
        <f>H982-G982</f>
        <v>0.11111111110949423</v>
      </c>
      <c r="V982">
        <f>HOUR(U982)</f>
        <v>2</v>
      </c>
      <c r="W982">
        <f>MINUTE(U982)</f>
        <v>40</v>
      </c>
      <c r="X982">
        <f>V982*60+W982</f>
        <v>160</v>
      </c>
      <c r="Y982" s="7">
        <f>I982-H982</f>
        <v>1.3888888890505768E-2</v>
      </c>
      <c r="Z982">
        <f>HOUR(Y982)</f>
        <v>0</v>
      </c>
      <c r="AA982">
        <f>MINUTE(Y982)</f>
        <v>20</v>
      </c>
      <c r="AB982">
        <f>Z982*60+AA982</f>
        <v>20</v>
      </c>
    </row>
    <row r="983" spans="1:28" x14ac:dyDescent="0.25">
      <c r="A983">
        <v>981</v>
      </c>
      <c r="B983" t="s">
        <v>31</v>
      </c>
      <c r="C983">
        <v>1</v>
      </c>
      <c r="D983" t="s">
        <v>36</v>
      </c>
      <c r="E983" s="6">
        <v>46092.326388888891</v>
      </c>
      <c r="F983" s="6">
        <v>46092.34375</v>
      </c>
      <c r="G983" s="6">
        <v>46092.368055555555</v>
      </c>
      <c r="H983" s="6">
        <v>46092.465277777781</v>
      </c>
      <c r="I983" s="6">
        <v>46092.472222222219</v>
      </c>
      <c r="J983" s="6">
        <v>46092.486111111109</v>
      </c>
      <c r="K983">
        <v>3.83</v>
      </c>
      <c r="L983" s="6">
        <v>46092.493055555555</v>
      </c>
      <c r="M983" s="7">
        <f>F983-E983</f>
        <v>1.7361111109494232E-2</v>
      </c>
      <c r="N983">
        <f>HOUR(M983)</f>
        <v>0</v>
      </c>
      <c r="O983">
        <f>MINUTE(M983)</f>
        <v>25</v>
      </c>
      <c r="P983">
        <f>N983*60+O983</f>
        <v>25</v>
      </c>
      <c r="Q983" s="7">
        <f>G983-F983</f>
        <v>2.4305555554747116E-2</v>
      </c>
      <c r="R983">
        <f>HOUR(Q983)</f>
        <v>0</v>
      </c>
      <c r="S983">
        <f>MINUTE(Q983)</f>
        <v>35</v>
      </c>
      <c r="T983">
        <f>R983*60+S983</f>
        <v>35</v>
      </c>
      <c r="U983" s="7">
        <f>H983-G983</f>
        <v>9.7222222226264421E-2</v>
      </c>
      <c r="V983">
        <f>HOUR(U983)</f>
        <v>2</v>
      </c>
      <c r="W983">
        <f>MINUTE(U983)</f>
        <v>20</v>
      </c>
      <c r="X983">
        <f>V983*60+W983</f>
        <v>140</v>
      </c>
      <c r="Y983" s="7">
        <f>I983-H983</f>
        <v>6.9444444379769266E-3</v>
      </c>
      <c r="Z983">
        <f>HOUR(Y983)</f>
        <v>0</v>
      </c>
      <c r="AA983">
        <f>MINUTE(Y983)</f>
        <v>10</v>
      </c>
      <c r="AB983">
        <f>Z983*60+AA983</f>
        <v>10</v>
      </c>
    </row>
    <row r="984" spans="1:28" x14ac:dyDescent="0.25">
      <c r="A984">
        <v>982</v>
      </c>
      <c r="B984" t="s">
        <v>31</v>
      </c>
      <c r="C984">
        <v>1</v>
      </c>
      <c r="D984" t="s">
        <v>32</v>
      </c>
      <c r="E984" s="6">
        <v>46092.291666666664</v>
      </c>
      <c r="F984" s="6">
        <v>46092.305555555555</v>
      </c>
      <c r="G984" s="6">
        <v>46092.357638888891</v>
      </c>
      <c r="H984" s="6">
        <v>46092.434027777781</v>
      </c>
      <c r="I984" s="6">
        <v>46092.451388888891</v>
      </c>
      <c r="J984" s="6">
        <v>46092.454861111109</v>
      </c>
      <c r="K984">
        <v>3.92</v>
      </c>
      <c r="L984" s="6">
        <v>46092.455555555556</v>
      </c>
      <c r="M984" s="7">
        <f>F984-E984</f>
        <v>1.3888888890505768E-2</v>
      </c>
      <c r="N984">
        <f>HOUR(M984)</f>
        <v>0</v>
      </c>
      <c r="O984">
        <f>MINUTE(M984)</f>
        <v>20</v>
      </c>
      <c r="P984">
        <f>N984*60+O984</f>
        <v>20</v>
      </c>
      <c r="Q984" s="7">
        <f>G984-F984</f>
        <v>5.2083333335758653E-2</v>
      </c>
      <c r="R984">
        <f>HOUR(Q984)</f>
        <v>1</v>
      </c>
      <c r="S984">
        <f>MINUTE(Q984)</f>
        <v>15</v>
      </c>
      <c r="T984">
        <f>R984*60+S984</f>
        <v>75</v>
      </c>
      <c r="U984" s="7">
        <f>H984-G984</f>
        <v>7.6388888890505768E-2</v>
      </c>
      <c r="V984">
        <f>HOUR(U984)</f>
        <v>1</v>
      </c>
      <c r="W984">
        <f>MINUTE(U984)</f>
        <v>50</v>
      </c>
      <c r="X984">
        <f>V984*60+W984</f>
        <v>110</v>
      </c>
      <c r="Y984" s="7">
        <f>I984-H984</f>
        <v>1.7361111109494232E-2</v>
      </c>
      <c r="Z984">
        <f>HOUR(Y984)</f>
        <v>0</v>
      </c>
      <c r="AA984">
        <f>MINUTE(Y984)</f>
        <v>25</v>
      </c>
      <c r="AB984">
        <f>Z984*60+AA984</f>
        <v>25</v>
      </c>
    </row>
    <row r="985" spans="1:28" x14ac:dyDescent="0.25">
      <c r="A985">
        <v>983</v>
      </c>
      <c r="B985" t="s">
        <v>33</v>
      </c>
      <c r="C985">
        <v>1</v>
      </c>
      <c r="D985" t="s">
        <v>35</v>
      </c>
      <c r="E985" s="6">
        <v>46092.482638888891</v>
      </c>
      <c r="F985" s="6">
        <v>46092.489583333336</v>
      </c>
      <c r="G985" s="6">
        <v>46092.520833333336</v>
      </c>
      <c r="H985" s="6">
        <v>46092.597222222219</v>
      </c>
      <c r="I985" s="6">
        <v>46092.708333333336</v>
      </c>
      <c r="J985" s="6">
        <v>46092.743055555555</v>
      </c>
      <c r="K985">
        <v>6.25</v>
      </c>
      <c r="L985" s="6">
        <v>46092.744444444441</v>
      </c>
      <c r="M985" s="7">
        <f>F985-E985</f>
        <v>6.9444444452528842E-3</v>
      </c>
      <c r="N985">
        <f>HOUR(M985)</f>
        <v>0</v>
      </c>
      <c r="O985">
        <f>MINUTE(M985)</f>
        <v>10</v>
      </c>
      <c r="P985">
        <f>N985*60+O985</f>
        <v>10</v>
      </c>
      <c r="Q985" s="7">
        <f>G985-F985</f>
        <v>3.125E-2</v>
      </c>
      <c r="R985">
        <f>HOUR(Q985)</f>
        <v>0</v>
      </c>
      <c r="S985">
        <f>MINUTE(Q985)</f>
        <v>45</v>
      </c>
      <c r="T985">
        <f>R985*60+S985</f>
        <v>45</v>
      </c>
      <c r="U985" s="7">
        <f>H985-G985</f>
        <v>7.6388888883229811E-2</v>
      </c>
      <c r="V985">
        <f>HOUR(U985)</f>
        <v>1</v>
      </c>
      <c r="W985">
        <f>MINUTE(U985)</f>
        <v>50</v>
      </c>
      <c r="X985">
        <f>V985*60+W985</f>
        <v>110</v>
      </c>
      <c r="Y985" s="7">
        <f>I985-H985</f>
        <v>0.11111111111677019</v>
      </c>
      <c r="Z985">
        <f>HOUR(Y985)</f>
        <v>2</v>
      </c>
      <c r="AA985">
        <f>MINUTE(Y985)</f>
        <v>40</v>
      </c>
      <c r="AB985">
        <f>Z985*60+AA985</f>
        <v>160</v>
      </c>
    </row>
    <row r="986" spans="1:28" x14ac:dyDescent="0.25">
      <c r="A986">
        <v>984</v>
      </c>
      <c r="B986" t="s">
        <v>33</v>
      </c>
      <c r="C986">
        <v>1</v>
      </c>
      <c r="D986" t="s">
        <v>35</v>
      </c>
      <c r="E986" s="6">
        <v>46091.635416666664</v>
      </c>
      <c r="F986" s="6">
        <v>46091.642361111109</v>
      </c>
      <c r="G986" s="6">
        <v>46091.666666666664</v>
      </c>
      <c r="H986" s="6">
        <v>46091.751388888886</v>
      </c>
      <c r="I986" s="6">
        <v>46091.753472222219</v>
      </c>
      <c r="J986" s="6">
        <v>46091.754166666666</v>
      </c>
      <c r="K986">
        <v>2.85</v>
      </c>
      <c r="L986" s="6">
        <v>46091.754861111112</v>
      </c>
      <c r="M986" s="7">
        <f>F986-E986</f>
        <v>6.9444444452528842E-3</v>
      </c>
      <c r="N986">
        <f>HOUR(M986)</f>
        <v>0</v>
      </c>
      <c r="O986">
        <f>MINUTE(M986)</f>
        <v>10</v>
      </c>
      <c r="P986">
        <f>N986*60+O986</f>
        <v>10</v>
      </c>
      <c r="Q986" s="7">
        <f>G986-F986</f>
        <v>2.4305555554747116E-2</v>
      </c>
      <c r="R986">
        <f>HOUR(Q986)</f>
        <v>0</v>
      </c>
      <c r="S986">
        <f>MINUTE(Q986)</f>
        <v>35</v>
      </c>
      <c r="T986">
        <f>R986*60+S986</f>
        <v>35</v>
      </c>
      <c r="U986" s="7">
        <f>H986-G986</f>
        <v>8.4722222221898846E-2</v>
      </c>
      <c r="V986">
        <f>HOUR(U986)</f>
        <v>2</v>
      </c>
      <c r="W986">
        <f>MINUTE(U986)</f>
        <v>2</v>
      </c>
      <c r="X986">
        <f>V986*60+W986</f>
        <v>122</v>
      </c>
      <c r="Y986" s="7">
        <f>I986-H986</f>
        <v>2.0833333328482695E-3</v>
      </c>
      <c r="Z986">
        <f>HOUR(Y986)</f>
        <v>0</v>
      </c>
      <c r="AA986">
        <f>MINUTE(Y986)</f>
        <v>3</v>
      </c>
      <c r="AB986">
        <f>Z986*60+AA986</f>
        <v>3</v>
      </c>
    </row>
    <row r="987" spans="1:28" x14ac:dyDescent="0.25">
      <c r="A987">
        <v>985</v>
      </c>
      <c r="B987" t="s">
        <v>29</v>
      </c>
      <c r="C987">
        <v>1</v>
      </c>
      <c r="D987" t="s">
        <v>35</v>
      </c>
      <c r="E987" s="6">
        <v>46092.291666666664</v>
      </c>
      <c r="F987" s="6">
        <v>46092.322916666664</v>
      </c>
      <c r="G987" s="6">
        <v>46092.333333333336</v>
      </c>
      <c r="H987" s="6">
        <v>46092.395833333336</v>
      </c>
      <c r="I987" s="6">
        <v>46092.402777777781</v>
      </c>
      <c r="J987" s="6">
        <v>46092.444444444445</v>
      </c>
      <c r="K987">
        <v>3.67</v>
      </c>
      <c r="L987" s="6">
        <v>46092.445138888892</v>
      </c>
      <c r="M987" s="7">
        <f>F987-E987</f>
        <v>3.125E-2</v>
      </c>
      <c r="N987">
        <f>HOUR(M987)</f>
        <v>0</v>
      </c>
      <c r="O987">
        <f>MINUTE(M987)</f>
        <v>45</v>
      </c>
      <c r="P987">
        <f>N987*60+O987</f>
        <v>45</v>
      </c>
      <c r="Q987" s="7">
        <f>G987-F987</f>
        <v>1.0416666671517305E-2</v>
      </c>
      <c r="R987">
        <f>HOUR(Q987)</f>
        <v>0</v>
      </c>
      <c r="S987">
        <f>MINUTE(Q987)</f>
        <v>15</v>
      </c>
      <c r="T987">
        <f>R987*60+S987</f>
        <v>15</v>
      </c>
      <c r="U987" s="7">
        <f>H987-G987</f>
        <v>6.25E-2</v>
      </c>
      <c r="V987">
        <f>HOUR(U987)</f>
        <v>1</v>
      </c>
      <c r="W987">
        <f>MINUTE(U987)</f>
        <v>30</v>
      </c>
      <c r="X987">
        <f>V987*60+W987</f>
        <v>90</v>
      </c>
      <c r="Y987" s="7">
        <f>I987-H987</f>
        <v>6.9444444452528842E-3</v>
      </c>
      <c r="Z987">
        <f>HOUR(Y987)</f>
        <v>0</v>
      </c>
      <c r="AA987">
        <f>MINUTE(Y987)</f>
        <v>10</v>
      </c>
      <c r="AB987">
        <f>Z987*60+AA987</f>
        <v>10</v>
      </c>
    </row>
    <row r="988" spans="1:28" x14ac:dyDescent="0.25">
      <c r="A988">
        <v>986</v>
      </c>
      <c r="B988" t="s">
        <v>31</v>
      </c>
      <c r="C988">
        <v>1</v>
      </c>
      <c r="D988" t="s">
        <v>37</v>
      </c>
      <c r="E988" s="6">
        <v>46092.673611111109</v>
      </c>
      <c r="F988" s="6">
        <v>46092.6875</v>
      </c>
      <c r="G988" s="6">
        <v>46092.701388888891</v>
      </c>
      <c r="H988" s="6">
        <v>46092.74722222222</v>
      </c>
      <c r="I988" s="6">
        <v>46092.754166666666</v>
      </c>
      <c r="J988" s="6">
        <v>46092.777083333334</v>
      </c>
      <c r="K988">
        <v>2.48</v>
      </c>
      <c r="L988" s="6">
        <v>46092.779166666667</v>
      </c>
      <c r="M988" s="7">
        <f>F988-E988</f>
        <v>1.3888888890505768E-2</v>
      </c>
      <c r="N988">
        <f>HOUR(M988)</f>
        <v>0</v>
      </c>
      <c r="O988">
        <f>MINUTE(M988)</f>
        <v>20</v>
      </c>
      <c r="P988">
        <f>N988*60+O988</f>
        <v>20</v>
      </c>
      <c r="Q988" s="7">
        <f>G988-F988</f>
        <v>1.3888888890505768E-2</v>
      </c>
      <c r="R988">
        <f>HOUR(Q988)</f>
        <v>0</v>
      </c>
      <c r="S988">
        <f>MINUTE(Q988)</f>
        <v>20</v>
      </c>
      <c r="T988">
        <f>R988*60+S988</f>
        <v>20</v>
      </c>
      <c r="U988" s="7">
        <f>H988-G988</f>
        <v>4.5833333329937886E-2</v>
      </c>
      <c r="V988">
        <f>HOUR(U988)</f>
        <v>1</v>
      </c>
      <c r="W988">
        <f>MINUTE(U988)</f>
        <v>6</v>
      </c>
      <c r="X988">
        <f>V988*60+W988</f>
        <v>66</v>
      </c>
      <c r="Y988" s="7">
        <f>I988-H988</f>
        <v>6.9444444452528842E-3</v>
      </c>
      <c r="Z988">
        <f>HOUR(Y988)</f>
        <v>0</v>
      </c>
      <c r="AA988">
        <f>MINUTE(Y988)</f>
        <v>10</v>
      </c>
      <c r="AB988">
        <f>Z988*60+AA988</f>
        <v>10</v>
      </c>
    </row>
    <row r="989" spans="1:28" x14ac:dyDescent="0.25">
      <c r="A989">
        <v>987</v>
      </c>
      <c r="B989" t="s">
        <v>33</v>
      </c>
      <c r="C989">
        <v>1</v>
      </c>
      <c r="D989" t="s">
        <v>36</v>
      </c>
      <c r="E989" s="6">
        <v>46092.427083333336</v>
      </c>
      <c r="F989" s="6">
        <v>46092.461805555555</v>
      </c>
      <c r="G989" s="6">
        <v>46092.486111111109</v>
      </c>
      <c r="H989" s="6">
        <v>46092.513888888891</v>
      </c>
      <c r="I989" s="6">
        <v>46092.520833333336</v>
      </c>
      <c r="J989" s="6">
        <v>46092.53125</v>
      </c>
      <c r="K989">
        <v>2.5</v>
      </c>
      <c r="L989" s="6">
        <v>46092.531944444447</v>
      </c>
      <c r="M989" s="7">
        <f>F989-E989</f>
        <v>3.4722222218988463E-2</v>
      </c>
      <c r="N989">
        <f>HOUR(M989)</f>
        <v>0</v>
      </c>
      <c r="O989">
        <f>MINUTE(M989)</f>
        <v>50</v>
      </c>
      <c r="P989">
        <f>N989*60+O989</f>
        <v>50</v>
      </c>
      <c r="Q989" s="7">
        <f>G989-F989</f>
        <v>2.4305555554747116E-2</v>
      </c>
      <c r="R989">
        <f>HOUR(Q989)</f>
        <v>0</v>
      </c>
      <c r="S989">
        <f>MINUTE(Q989)</f>
        <v>35</v>
      </c>
      <c r="T989">
        <f>R989*60+S989</f>
        <v>35</v>
      </c>
      <c r="U989" s="7">
        <f>H989-G989</f>
        <v>2.7777777781011537E-2</v>
      </c>
      <c r="V989">
        <f>HOUR(U989)</f>
        <v>0</v>
      </c>
      <c r="W989">
        <f>MINUTE(U989)</f>
        <v>40</v>
      </c>
      <c r="X989">
        <f>V989*60+W989</f>
        <v>40</v>
      </c>
      <c r="Y989" s="7">
        <f>I989-H989</f>
        <v>6.9444444452528842E-3</v>
      </c>
      <c r="Z989">
        <f>HOUR(Y989)</f>
        <v>0</v>
      </c>
      <c r="AA989">
        <f>MINUTE(Y989)</f>
        <v>10</v>
      </c>
      <c r="AB989">
        <f>Z989*60+AA989</f>
        <v>10</v>
      </c>
    </row>
    <row r="990" spans="1:28" x14ac:dyDescent="0.25">
      <c r="A990">
        <v>988</v>
      </c>
      <c r="B990" t="s">
        <v>33</v>
      </c>
      <c r="C990">
        <v>1</v>
      </c>
      <c r="D990" t="s">
        <v>30</v>
      </c>
      <c r="E990" s="6">
        <v>46093.291666666664</v>
      </c>
      <c r="F990" s="6">
        <v>46093.298611111109</v>
      </c>
      <c r="G990" s="6">
        <v>46093.305555555555</v>
      </c>
      <c r="H990" s="6">
        <v>46093.332638888889</v>
      </c>
      <c r="I990" s="6">
        <v>46093.339583333334</v>
      </c>
      <c r="J990" s="6">
        <v>46093.341666666667</v>
      </c>
      <c r="K990">
        <v>1.2</v>
      </c>
      <c r="L990" s="6">
        <v>46093.348611111112</v>
      </c>
      <c r="M990" s="7">
        <f>F990-E990</f>
        <v>6.9444444452528842E-3</v>
      </c>
      <c r="N990">
        <f>HOUR(M990)</f>
        <v>0</v>
      </c>
      <c r="O990">
        <f>MINUTE(M990)</f>
        <v>10</v>
      </c>
      <c r="P990">
        <f>N990*60+O990</f>
        <v>10</v>
      </c>
      <c r="Q990" s="7">
        <f>G990-F990</f>
        <v>6.9444444452528842E-3</v>
      </c>
      <c r="R990">
        <f>HOUR(Q990)</f>
        <v>0</v>
      </c>
      <c r="S990">
        <f>MINUTE(Q990)</f>
        <v>10</v>
      </c>
      <c r="T990">
        <f>R990*60+S990</f>
        <v>10</v>
      </c>
      <c r="U990" s="7">
        <f>H990-G990</f>
        <v>2.7083333334303461E-2</v>
      </c>
      <c r="V990">
        <f>HOUR(U990)</f>
        <v>0</v>
      </c>
      <c r="W990">
        <f>MINUTE(U990)</f>
        <v>39</v>
      </c>
      <c r="X990">
        <f>V990*60+W990</f>
        <v>39</v>
      </c>
      <c r="Y990" s="7">
        <f>I990-H990</f>
        <v>6.9444444452528842E-3</v>
      </c>
      <c r="Z990">
        <f>HOUR(Y990)</f>
        <v>0</v>
      </c>
      <c r="AA990">
        <f>MINUTE(Y990)</f>
        <v>10</v>
      </c>
      <c r="AB990">
        <f>Z990*60+AA990</f>
        <v>10</v>
      </c>
    </row>
    <row r="991" spans="1:28" x14ac:dyDescent="0.25">
      <c r="A991">
        <v>989</v>
      </c>
      <c r="B991" t="s">
        <v>33</v>
      </c>
      <c r="C991">
        <v>1</v>
      </c>
      <c r="D991" t="s">
        <v>37</v>
      </c>
      <c r="E991" s="6">
        <v>46091.857638888891</v>
      </c>
      <c r="F991" s="6">
        <v>46091.864583333336</v>
      </c>
      <c r="G991" s="6">
        <v>46091.875</v>
      </c>
      <c r="H991" s="6">
        <v>46091.895833333336</v>
      </c>
      <c r="I991" s="6">
        <v>46091.902777777781</v>
      </c>
      <c r="J991" s="6">
        <v>46091.916666666664</v>
      </c>
      <c r="K991">
        <v>1.42</v>
      </c>
      <c r="L991" s="6">
        <v>46091.923611111109</v>
      </c>
      <c r="M991" s="7">
        <f>F991-E991</f>
        <v>6.9444444452528842E-3</v>
      </c>
      <c r="N991">
        <f>HOUR(M991)</f>
        <v>0</v>
      </c>
      <c r="O991">
        <f>MINUTE(M991)</f>
        <v>10</v>
      </c>
      <c r="P991">
        <f>N991*60+O991</f>
        <v>10</v>
      </c>
      <c r="Q991" s="7">
        <f>G991-F991</f>
        <v>1.0416666664241347E-2</v>
      </c>
      <c r="R991">
        <f>HOUR(Q991)</f>
        <v>0</v>
      </c>
      <c r="S991">
        <f>MINUTE(Q991)</f>
        <v>15</v>
      </c>
      <c r="T991">
        <f>R991*60+S991</f>
        <v>15</v>
      </c>
      <c r="U991" s="7">
        <f>H991-G991</f>
        <v>2.0833333335758653E-2</v>
      </c>
      <c r="V991">
        <f>HOUR(U991)</f>
        <v>0</v>
      </c>
      <c r="W991">
        <f>MINUTE(U991)</f>
        <v>30</v>
      </c>
      <c r="X991">
        <f>V991*60+W991</f>
        <v>30</v>
      </c>
      <c r="Y991" s="7">
        <f>I991-H991</f>
        <v>6.9444444452528842E-3</v>
      </c>
      <c r="Z991">
        <f>HOUR(Y991)</f>
        <v>0</v>
      </c>
      <c r="AA991">
        <f>MINUTE(Y991)</f>
        <v>10</v>
      </c>
      <c r="AB991">
        <f>Z991*60+AA991</f>
        <v>10</v>
      </c>
    </row>
    <row r="992" spans="1:28" x14ac:dyDescent="0.25">
      <c r="A992">
        <v>990</v>
      </c>
      <c r="B992" t="s">
        <v>29</v>
      </c>
      <c r="C992">
        <v>1</v>
      </c>
      <c r="D992" t="s">
        <v>35</v>
      </c>
      <c r="E992" s="6">
        <v>46092.086805555555</v>
      </c>
      <c r="F992" s="6">
        <v>46092.090277777781</v>
      </c>
      <c r="G992" s="6">
        <v>46092.09375</v>
      </c>
      <c r="H992" s="6">
        <v>46092.145833333336</v>
      </c>
      <c r="I992" s="6">
        <v>46092.152777777781</v>
      </c>
      <c r="J992" s="6">
        <v>46092.15625</v>
      </c>
      <c r="K992">
        <v>1.67</v>
      </c>
      <c r="L992" s="6">
        <v>46092.156944444447</v>
      </c>
      <c r="M992" s="7">
        <f>F992-E992</f>
        <v>3.4722222262644209E-3</v>
      </c>
      <c r="N992">
        <f>HOUR(M992)</f>
        <v>0</v>
      </c>
      <c r="O992">
        <f>MINUTE(M992)</f>
        <v>5</v>
      </c>
      <c r="P992">
        <f>N992*60+O992</f>
        <v>5</v>
      </c>
      <c r="Q992" s="7">
        <f>G992-F992</f>
        <v>3.4722222189884633E-3</v>
      </c>
      <c r="R992">
        <f>HOUR(Q992)</f>
        <v>0</v>
      </c>
      <c r="S992">
        <f>MINUTE(Q992)</f>
        <v>5</v>
      </c>
      <c r="T992">
        <f>R992*60+S992</f>
        <v>5</v>
      </c>
      <c r="U992" s="7">
        <f>H992-G992</f>
        <v>5.2083333335758653E-2</v>
      </c>
      <c r="V992">
        <f>HOUR(U992)</f>
        <v>1</v>
      </c>
      <c r="W992">
        <f>MINUTE(U992)</f>
        <v>15</v>
      </c>
      <c r="X992">
        <f>V992*60+W992</f>
        <v>75</v>
      </c>
      <c r="Y992" s="7">
        <f>I992-H992</f>
        <v>6.9444444452528842E-3</v>
      </c>
      <c r="Z992">
        <f>HOUR(Y992)</f>
        <v>0</v>
      </c>
      <c r="AA992">
        <f>MINUTE(Y992)</f>
        <v>10</v>
      </c>
      <c r="AB992">
        <f>Z992*60+AA992</f>
        <v>10</v>
      </c>
    </row>
    <row r="993" spans="1:28" x14ac:dyDescent="0.25">
      <c r="A993">
        <v>991</v>
      </c>
      <c r="B993" t="s">
        <v>29</v>
      </c>
      <c r="C993">
        <v>1</v>
      </c>
      <c r="D993" t="s">
        <v>30</v>
      </c>
      <c r="E993" s="6">
        <v>46092.598611111112</v>
      </c>
      <c r="F993" s="6">
        <v>46092.620138888888</v>
      </c>
      <c r="G993" s="6">
        <v>46092.621527777781</v>
      </c>
      <c r="H993" s="6">
        <v>46092.631944444445</v>
      </c>
      <c r="I993" s="6">
        <v>46092.632638888892</v>
      </c>
      <c r="J993" s="6">
        <v>46092.649305555555</v>
      </c>
      <c r="K993">
        <v>1.22</v>
      </c>
      <c r="L993" s="6">
        <v>46092.65</v>
      </c>
      <c r="M993" s="7">
        <f>F993-E993</f>
        <v>2.1527777775190771E-2</v>
      </c>
      <c r="N993">
        <f>HOUR(M993)</f>
        <v>0</v>
      </c>
      <c r="O993">
        <f>MINUTE(M993)</f>
        <v>31</v>
      </c>
      <c r="P993">
        <f>N993*60+O993</f>
        <v>31</v>
      </c>
      <c r="Q993" s="7">
        <f>G993-F993</f>
        <v>1.3888888934161514E-3</v>
      </c>
      <c r="R993">
        <f>HOUR(Q993)</f>
        <v>0</v>
      </c>
      <c r="S993">
        <f>MINUTE(Q993)</f>
        <v>2</v>
      </c>
      <c r="T993">
        <f>R993*60+S993</f>
        <v>2</v>
      </c>
      <c r="U993" s="7">
        <f>H993-G993</f>
        <v>1.0416666664241347E-2</v>
      </c>
      <c r="V993">
        <f>HOUR(U993)</f>
        <v>0</v>
      </c>
      <c r="W993">
        <f>MINUTE(U993)</f>
        <v>15</v>
      </c>
      <c r="X993">
        <f>V993*60+W993</f>
        <v>15</v>
      </c>
      <c r="Y993" s="7">
        <f>I993-H993</f>
        <v>6.944444467080757E-4</v>
      </c>
      <c r="Z993">
        <f>HOUR(Y993)</f>
        <v>0</v>
      </c>
      <c r="AA993">
        <f>MINUTE(Y993)</f>
        <v>1</v>
      </c>
      <c r="AB993">
        <f>Z993*60+AA993</f>
        <v>1</v>
      </c>
    </row>
    <row r="994" spans="1:28" x14ac:dyDescent="0.25">
      <c r="A994">
        <v>992</v>
      </c>
      <c r="B994" t="s">
        <v>31</v>
      </c>
      <c r="C994">
        <v>1</v>
      </c>
      <c r="D994" t="s">
        <v>36</v>
      </c>
      <c r="E994" s="6">
        <v>46092.581944444442</v>
      </c>
      <c r="F994" s="6">
        <v>46092.583333333336</v>
      </c>
      <c r="G994" s="6">
        <v>46092.59375</v>
      </c>
      <c r="H994" s="6">
        <v>46092.645833333336</v>
      </c>
      <c r="I994" s="6">
        <v>46092.652777777781</v>
      </c>
      <c r="J994" s="6">
        <v>46092.659722222219</v>
      </c>
      <c r="K994">
        <v>1.87</v>
      </c>
      <c r="L994" s="6">
        <v>46092.661111111112</v>
      </c>
      <c r="M994" s="7">
        <f>F994-E994</f>
        <v>1.3888888934161514E-3</v>
      </c>
      <c r="N994">
        <f>HOUR(M994)</f>
        <v>0</v>
      </c>
      <c r="O994">
        <f>MINUTE(M994)</f>
        <v>2</v>
      </c>
      <c r="P994">
        <f>N994*60+O994</f>
        <v>2</v>
      </c>
      <c r="Q994" s="7">
        <f>G994-F994</f>
        <v>1.0416666664241347E-2</v>
      </c>
      <c r="R994">
        <f>HOUR(Q994)</f>
        <v>0</v>
      </c>
      <c r="S994">
        <f>MINUTE(Q994)</f>
        <v>15</v>
      </c>
      <c r="T994">
        <f>R994*60+S994</f>
        <v>15</v>
      </c>
      <c r="U994" s="7">
        <f>H994-G994</f>
        <v>5.2083333335758653E-2</v>
      </c>
      <c r="V994">
        <f>HOUR(U994)</f>
        <v>1</v>
      </c>
      <c r="W994">
        <f>MINUTE(U994)</f>
        <v>15</v>
      </c>
      <c r="X994">
        <f>V994*60+W994</f>
        <v>75</v>
      </c>
      <c r="Y994" s="7">
        <f>I994-H994</f>
        <v>6.9444444452528842E-3</v>
      </c>
      <c r="Z994">
        <f>HOUR(Y994)</f>
        <v>0</v>
      </c>
      <c r="AA994">
        <f>MINUTE(Y994)</f>
        <v>10</v>
      </c>
      <c r="AB994">
        <f>Z994*60+AA994</f>
        <v>10</v>
      </c>
    </row>
    <row r="995" spans="1:28" x14ac:dyDescent="0.25">
      <c r="A995">
        <v>993</v>
      </c>
      <c r="B995" t="s">
        <v>31</v>
      </c>
      <c r="C995">
        <v>1</v>
      </c>
      <c r="D995" t="s">
        <v>30</v>
      </c>
      <c r="E995" s="6">
        <v>46092.692361111112</v>
      </c>
      <c r="F995" s="6">
        <v>46092.697916666664</v>
      </c>
      <c r="G995" s="6">
        <v>46092.729166666664</v>
      </c>
      <c r="H995" s="6">
        <v>46092.774305555555</v>
      </c>
      <c r="I995" s="6">
        <v>46092.788194444445</v>
      </c>
      <c r="J995" s="6">
        <v>46092.833333333336</v>
      </c>
      <c r="K995">
        <v>3.38</v>
      </c>
      <c r="L995" s="6">
        <v>46092.840277777781</v>
      </c>
      <c r="M995" s="7">
        <f>F995-E995</f>
        <v>5.5555555518367328E-3</v>
      </c>
      <c r="N995">
        <f>HOUR(M995)</f>
        <v>0</v>
      </c>
      <c r="O995">
        <f>MINUTE(M995)</f>
        <v>8</v>
      </c>
      <c r="P995">
        <f>N995*60+O995</f>
        <v>8</v>
      </c>
      <c r="Q995" s="7">
        <f>G995-F995</f>
        <v>3.125E-2</v>
      </c>
      <c r="R995">
        <f>HOUR(Q995)</f>
        <v>0</v>
      </c>
      <c r="S995">
        <f>MINUTE(Q995)</f>
        <v>45</v>
      </c>
      <c r="T995">
        <f>R995*60+S995</f>
        <v>45</v>
      </c>
      <c r="U995" s="7">
        <f>H995-G995</f>
        <v>4.5138888890505768E-2</v>
      </c>
      <c r="V995">
        <f>HOUR(U995)</f>
        <v>1</v>
      </c>
      <c r="W995">
        <f>MINUTE(U995)</f>
        <v>5</v>
      </c>
      <c r="X995">
        <f>V995*60+W995</f>
        <v>65</v>
      </c>
      <c r="Y995" s="7">
        <f>I995-H995</f>
        <v>1.3888888890505768E-2</v>
      </c>
      <c r="Z995">
        <f>HOUR(Y995)</f>
        <v>0</v>
      </c>
      <c r="AA995">
        <f>MINUTE(Y995)</f>
        <v>20</v>
      </c>
      <c r="AB995">
        <f>Z995*60+AA995</f>
        <v>20</v>
      </c>
    </row>
    <row r="996" spans="1:28" x14ac:dyDescent="0.25">
      <c r="A996">
        <v>994</v>
      </c>
      <c r="B996" t="s">
        <v>29</v>
      </c>
      <c r="C996">
        <v>1</v>
      </c>
      <c r="D996" t="s">
        <v>32</v>
      </c>
      <c r="E996" s="6">
        <v>46093.59375</v>
      </c>
      <c r="F996" s="6">
        <v>46093.600694444445</v>
      </c>
      <c r="G996" s="6">
        <v>46093.625</v>
      </c>
      <c r="H996" s="6">
        <v>46093.715277777781</v>
      </c>
      <c r="I996" s="6">
        <v>46093.71597222222</v>
      </c>
      <c r="J996" s="6">
        <v>46093.716666666667</v>
      </c>
      <c r="K996">
        <v>2.95</v>
      </c>
      <c r="L996" s="6">
        <v>46093.717361111114</v>
      </c>
      <c r="M996" s="7">
        <f>F996-E996</f>
        <v>6.9444444452528842E-3</v>
      </c>
      <c r="N996">
        <f>HOUR(M996)</f>
        <v>0</v>
      </c>
      <c r="O996">
        <f>MINUTE(M996)</f>
        <v>10</v>
      </c>
      <c r="P996">
        <f>N996*60+O996</f>
        <v>10</v>
      </c>
      <c r="Q996" s="7">
        <f>G996-F996</f>
        <v>2.4305555554747116E-2</v>
      </c>
      <c r="R996">
        <f>HOUR(Q996)</f>
        <v>0</v>
      </c>
      <c r="S996">
        <f>MINUTE(Q996)</f>
        <v>35</v>
      </c>
      <c r="T996">
        <f>R996*60+S996</f>
        <v>35</v>
      </c>
      <c r="U996" s="7">
        <f>H996-G996</f>
        <v>9.0277777781011537E-2</v>
      </c>
      <c r="V996">
        <f>HOUR(U996)</f>
        <v>2</v>
      </c>
      <c r="W996">
        <f>MINUTE(U996)</f>
        <v>10</v>
      </c>
      <c r="X996">
        <f>V996*60+W996</f>
        <v>130</v>
      </c>
      <c r="Y996" s="7">
        <f>I996-H996</f>
        <v>6.9444443943211809E-4</v>
      </c>
      <c r="Z996">
        <f>HOUR(Y996)</f>
        <v>0</v>
      </c>
      <c r="AA996">
        <f>MINUTE(Y996)</f>
        <v>1</v>
      </c>
      <c r="AB996">
        <f>Z996*60+AA996</f>
        <v>1</v>
      </c>
    </row>
    <row r="997" spans="1:28" x14ac:dyDescent="0.25">
      <c r="A997">
        <v>995</v>
      </c>
      <c r="B997" t="s">
        <v>29</v>
      </c>
      <c r="C997">
        <v>1</v>
      </c>
      <c r="D997" t="s">
        <v>37</v>
      </c>
      <c r="E997" s="6">
        <v>46093.291666666664</v>
      </c>
      <c r="F997" s="6">
        <v>46093.3125</v>
      </c>
      <c r="G997" s="6">
        <v>46093.333333333336</v>
      </c>
      <c r="H997" s="6">
        <v>46093.388888888891</v>
      </c>
      <c r="I997" s="6">
        <v>46093.395833333336</v>
      </c>
      <c r="J997" s="6">
        <v>46093.399305555555</v>
      </c>
      <c r="K997">
        <v>2.58</v>
      </c>
      <c r="L997" s="6">
        <v>46093.40625</v>
      </c>
      <c r="M997" s="7">
        <f>F997-E997</f>
        <v>2.0833333335758653E-2</v>
      </c>
      <c r="N997">
        <f>HOUR(M997)</f>
        <v>0</v>
      </c>
      <c r="O997">
        <f>MINUTE(M997)</f>
        <v>30</v>
      </c>
      <c r="P997">
        <f>N997*60+O997</f>
        <v>30</v>
      </c>
      <c r="Q997" s="7">
        <f>G997-F997</f>
        <v>2.0833333335758653E-2</v>
      </c>
      <c r="R997">
        <f>HOUR(Q997)</f>
        <v>0</v>
      </c>
      <c r="S997">
        <f>MINUTE(Q997)</f>
        <v>30</v>
      </c>
      <c r="T997">
        <f>R997*60+S997</f>
        <v>30</v>
      </c>
      <c r="U997" s="7">
        <f>H997-G997</f>
        <v>5.5555555554747116E-2</v>
      </c>
      <c r="V997">
        <f>HOUR(U997)</f>
        <v>1</v>
      </c>
      <c r="W997">
        <f>MINUTE(U997)</f>
        <v>20</v>
      </c>
      <c r="X997">
        <f>V997*60+W997</f>
        <v>80</v>
      </c>
      <c r="Y997" s="7">
        <f>I997-H997</f>
        <v>6.9444444452528842E-3</v>
      </c>
      <c r="Z997">
        <f>HOUR(Y997)</f>
        <v>0</v>
      </c>
      <c r="AA997">
        <f>MINUTE(Y997)</f>
        <v>10</v>
      </c>
      <c r="AB997">
        <f>Z997*60+AA997</f>
        <v>10</v>
      </c>
    </row>
    <row r="998" spans="1:28" x14ac:dyDescent="0.25">
      <c r="A998">
        <v>996</v>
      </c>
      <c r="B998" t="s">
        <v>31</v>
      </c>
      <c r="C998">
        <v>1</v>
      </c>
      <c r="D998" t="s">
        <v>35</v>
      </c>
      <c r="E998" s="6">
        <v>46093.291666666664</v>
      </c>
      <c r="F998" s="6">
        <v>46093.3125</v>
      </c>
      <c r="G998" s="6">
        <v>46093.326388888891</v>
      </c>
      <c r="H998" s="6">
        <v>46093.427083333336</v>
      </c>
      <c r="I998" s="6">
        <v>46093.434027777781</v>
      </c>
      <c r="J998" s="6">
        <v>46093.440972222219</v>
      </c>
      <c r="K998">
        <v>3.58</v>
      </c>
      <c r="L998" s="6">
        <v>46093.441666666666</v>
      </c>
      <c r="M998" s="7">
        <f>F998-E998</f>
        <v>2.0833333335758653E-2</v>
      </c>
      <c r="N998">
        <f>HOUR(M998)</f>
        <v>0</v>
      </c>
      <c r="O998">
        <f>MINUTE(M998)</f>
        <v>30</v>
      </c>
      <c r="P998">
        <f>N998*60+O998</f>
        <v>30</v>
      </c>
      <c r="Q998" s="7">
        <f>G998-F998</f>
        <v>1.3888888890505768E-2</v>
      </c>
      <c r="R998">
        <f>HOUR(Q998)</f>
        <v>0</v>
      </c>
      <c r="S998">
        <f>MINUTE(Q998)</f>
        <v>20</v>
      </c>
      <c r="T998">
        <f>R998*60+S998</f>
        <v>20</v>
      </c>
      <c r="U998" s="7">
        <f>H998-G998</f>
        <v>0.10069444444525288</v>
      </c>
      <c r="V998">
        <f>HOUR(U998)</f>
        <v>2</v>
      </c>
      <c r="W998">
        <f>MINUTE(U998)</f>
        <v>25</v>
      </c>
      <c r="X998">
        <f>V998*60+W998</f>
        <v>145</v>
      </c>
      <c r="Y998" s="7">
        <f>I998-H998</f>
        <v>6.9444444452528842E-3</v>
      </c>
      <c r="Z998">
        <f>HOUR(Y998)</f>
        <v>0</v>
      </c>
      <c r="AA998">
        <f>MINUTE(Y998)</f>
        <v>10</v>
      </c>
      <c r="AB998">
        <f>Z998*60+AA998</f>
        <v>10</v>
      </c>
    </row>
    <row r="999" spans="1:28" x14ac:dyDescent="0.25">
      <c r="A999">
        <v>997</v>
      </c>
      <c r="B999" t="s">
        <v>29</v>
      </c>
      <c r="C999">
        <v>1</v>
      </c>
      <c r="D999" t="s">
        <v>32</v>
      </c>
      <c r="E999" s="6">
        <v>46093.767361111109</v>
      </c>
      <c r="F999" s="6">
        <v>46093.772222222222</v>
      </c>
      <c r="G999" s="6">
        <v>46093.777777777781</v>
      </c>
      <c r="H999" s="6">
        <v>46093.791666666664</v>
      </c>
      <c r="I999" s="6">
        <v>46093.795138888891</v>
      </c>
      <c r="J999" s="6">
        <v>46093.805555555555</v>
      </c>
      <c r="K999">
        <v>0.92</v>
      </c>
      <c r="L999" s="6">
        <v>46093.809027777781</v>
      </c>
      <c r="M999" s="7">
        <f>F999-E999</f>
        <v>4.8611111124046147E-3</v>
      </c>
      <c r="N999">
        <f>HOUR(M999)</f>
        <v>0</v>
      </c>
      <c r="O999">
        <f>MINUTE(M999)</f>
        <v>7</v>
      </c>
      <c r="P999">
        <f>N999*60+O999</f>
        <v>7</v>
      </c>
      <c r="Q999" s="7">
        <f>G999-F999</f>
        <v>5.5555555591126904E-3</v>
      </c>
      <c r="R999">
        <f>HOUR(Q999)</f>
        <v>0</v>
      </c>
      <c r="S999">
        <f>MINUTE(Q999)</f>
        <v>8</v>
      </c>
      <c r="T999">
        <f>R999*60+S999</f>
        <v>8</v>
      </c>
      <c r="U999" s="7">
        <f>H999-G999</f>
        <v>1.3888888883229811E-2</v>
      </c>
      <c r="V999">
        <f>HOUR(U999)</f>
        <v>0</v>
      </c>
      <c r="W999">
        <f>MINUTE(U999)</f>
        <v>20</v>
      </c>
      <c r="X999">
        <f>V999*60+W999</f>
        <v>20</v>
      </c>
      <c r="Y999" s="7">
        <f>I999-H999</f>
        <v>3.4722222262644209E-3</v>
      </c>
      <c r="Z999">
        <f>HOUR(Y999)</f>
        <v>0</v>
      </c>
      <c r="AA999">
        <f>MINUTE(Y999)</f>
        <v>5</v>
      </c>
      <c r="AB999">
        <f>Z999*60+AA999</f>
        <v>5</v>
      </c>
    </row>
    <row r="1000" spans="1:28" x14ac:dyDescent="0.25">
      <c r="A1000">
        <v>998</v>
      </c>
      <c r="B1000" t="s">
        <v>31</v>
      </c>
      <c r="C1000">
        <v>1</v>
      </c>
      <c r="D1000" t="s">
        <v>30</v>
      </c>
      <c r="E1000" s="6">
        <v>46093.652777777781</v>
      </c>
      <c r="F1000" s="6">
        <v>46093.659722222219</v>
      </c>
      <c r="G1000" s="6">
        <v>46093.708333333336</v>
      </c>
      <c r="H1000" s="6">
        <v>46093.739583333336</v>
      </c>
      <c r="I1000" s="6">
        <v>46093.756944444445</v>
      </c>
      <c r="J1000" s="6">
        <v>46093.770833333336</v>
      </c>
      <c r="K1000">
        <v>2.83</v>
      </c>
      <c r="L1000" s="6">
        <v>46093.777777777781</v>
      </c>
      <c r="M1000" s="7">
        <f>F1000-E1000</f>
        <v>6.9444444379769266E-3</v>
      </c>
      <c r="N1000">
        <f>HOUR(M1000)</f>
        <v>0</v>
      </c>
      <c r="O1000">
        <f>MINUTE(M1000)</f>
        <v>10</v>
      </c>
      <c r="P1000">
        <f>N1000*60+O1000</f>
        <v>10</v>
      </c>
      <c r="Q1000" s="7">
        <f>G1000-F1000</f>
        <v>4.8611111116770189E-2</v>
      </c>
      <c r="R1000">
        <f>HOUR(Q1000)</f>
        <v>1</v>
      </c>
      <c r="S1000">
        <f>MINUTE(Q1000)</f>
        <v>10</v>
      </c>
      <c r="T1000">
        <f>R1000*60+S1000</f>
        <v>70</v>
      </c>
      <c r="U1000" s="7">
        <f>H1000-G1000</f>
        <v>3.125E-2</v>
      </c>
      <c r="V1000">
        <f>HOUR(U1000)</f>
        <v>0</v>
      </c>
      <c r="W1000">
        <f>MINUTE(U1000)</f>
        <v>45</v>
      </c>
      <c r="X1000">
        <f>V1000*60+W1000</f>
        <v>45</v>
      </c>
      <c r="Y1000" s="7">
        <f>I1000-H1000</f>
        <v>1.7361111109494232E-2</v>
      </c>
      <c r="Z1000">
        <f>HOUR(Y1000)</f>
        <v>0</v>
      </c>
      <c r="AA1000">
        <f>MINUTE(Y1000)</f>
        <v>25</v>
      </c>
      <c r="AB1000">
        <f>Z1000*60+AA1000</f>
        <v>25</v>
      </c>
    </row>
    <row r="1001" spans="1:28" x14ac:dyDescent="0.25">
      <c r="A1001">
        <v>999</v>
      </c>
      <c r="B1001" t="s">
        <v>33</v>
      </c>
      <c r="C1001">
        <v>1</v>
      </c>
      <c r="D1001" t="s">
        <v>36</v>
      </c>
      <c r="E1001" s="6">
        <v>46093.475694444445</v>
      </c>
      <c r="F1001" s="6">
        <v>46093.513888888891</v>
      </c>
      <c r="G1001" s="6">
        <v>46093.524305555555</v>
      </c>
      <c r="H1001" s="6">
        <v>46093.561111111114</v>
      </c>
      <c r="I1001" s="6">
        <v>46093.5625</v>
      </c>
      <c r="J1001" s="6">
        <v>46093.565972222219</v>
      </c>
      <c r="K1001">
        <v>2.17</v>
      </c>
      <c r="L1001" s="6">
        <v>46093.572916666664</v>
      </c>
      <c r="M1001" s="7">
        <f>F1001-E1001</f>
        <v>3.8194444445252884E-2</v>
      </c>
      <c r="N1001">
        <f>HOUR(M1001)</f>
        <v>0</v>
      </c>
      <c r="O1001">
        <f>MINUTE(M1001)</f>
        <v>55</v>
      </c>
      <c r="P1001">
        <f>N1001*60+O1001</f>
        <v>55</v>
      </c>
      <c r="Q1001" s="7">
        <f>G1001-F1001</f>
        <v>1.0416666664241347E-2</v>
      </c>
      <c r="R1001">
        <f>HOUR(Q1001)</f>
        <v>0</v>
      </c>
      <c r="S1001">
        <f>MINUTE(Q1001)</f>
        <v>15</v>
      </c>
      <c r="T1001">
        <f>R1001*60+S1001</f>
        <v>15</v>
      </c>
      <c r="U1001" s="7">
        <f>H1001-G1001</f>
        <v>3.680555555911269E-2</v>
      </c>
      <c r="V1001">
        <f>HOUR(U1001)</f>
        <v>0</v>
      </c>
      <c r="W1001">
        <f>MINUTE(U1001)</f>
        <v>53</v>
      </c>
      <c r="X1001">
        <f>V1001*60+W1001</f>
        <v>53</v>
      </c>
      <c r="Y1001" s="7">
        <f>I1001-H1001</f>
        <v>1.3888888861401938E-3</v>
      </c>
      <c r="Z1001">
        <f>HOUR(Y1001)</f>
        <v>0</v>
      </c>
      <c r="AA1001">
        <f>MINUTE(Y1001)</f>
        <v>2</v>
      </c>
      <c r="AB1001">
        <f>Z1001*60+AA1001</f>
        <v>2</v>
      </c>
    </row>
    <row r="1002" spans="1:28" x14ac:dyDescent="0.25">
      <c r="A1002">
        <v>1000</v>
      </c>
      <c r="B1002" t="s">
        <v>31</v>
      </c>
      <c r="C1002">
        <v>1</v>
      </c>
      <c r="D1002" t="s">
        <v>34</v>
      </c>
      <c r="E1002" s="6">
        <v>46093.291666666664</v>
      </c>
      <c r="F1002" s="6">
        <v>46093.315972222219</v>
      </c>
      <c r="G1002" s="6">
        <v>46093.326388888891</v>
      </c>
      <c r="H1002" s="6">
        <v>46093.416666666664</v>
      </c>
      <c r="I1002" s="6">
        <v>46093.423611111109</v>
      </c>
      <c r="J1002" s="6">
        <v>46093.427083333336</v>
      </c>
      <c r="K1002">
        <v>3.25</v>
      </c>
      <c r="L1002" s="6">
        <v>46093.434027777781</v>
      </c>
      <c r="M1002" s="7">
        <f>F1002-E1002</f>
        <v>2.4305555554747116E-2</v>
      </c>
      <c r="N1002">
        <f>HOUR(M1002)</f>
        <v>0</v>
      </c>
      <c r="O1002">
        <f>MINUTE(M1002)</f>
        <v>35</v>
      </c>
      <c r="P1002">
        <f>N1002*60+O1002</f>
        <v>35</v>
      </c>
      <c r="Q1002" s="7">
        <f>G1002-F1002</f>
        <v>1.0416666671517305E-2</v>
      </c>
      <c r="R1002">
        <f>HOUR(Q1002)</f>
        <v>0</v>
      </c>
      <c r="S1002">
        <f>MINUTE(Q1002)</f>
        <v>15</v>
      </c>
      <c r="T1002">
        <f>R1002*60+S1002</f>
        <v>15</v>
      </c>
      <c r="U1002" s="7">
        <f>H1002-G1002</f>
        <v>9.0277777773735579E-2</v>
      </c>
      <c r="V1002">
        <f>HOUR(U1002)</f>
        <v>2</v>
      </c>
      <c r="W1002">
        <f>MINUTE(U1002)</f>
        <v>10</v>
      </c>
      <c r="X1002">
        <f>V1002*60+W1002</f>
        <v>130</v>
      </c>
      <c r="Y1002" s="7">
        <f>I1002-H1002</f>
        <v>6.9444444452528842E-3</v>
      </c>
      <c r="Z1002">
        <f>HOUR(Y1002)</f>
        <v>0</v>
      </c>
      <c r="AA1002">
        <f>MINUTE(Y1002)</f>
        <v>10</v>
      </c>
      <c r="AB1002">
        <f>Z1002*60+AA1002</f>
        <v>10</v>
      </c>
    </row>
    <row r="1003" spans="1:28" x14ac:dyDescent="0.25">
      <c r="A1003">
        <v>1001</v>
      </c>
      <c r="B1003" t="s">
        <v>31</v>
      </c>
      <c r="C1003">
        <v>1</v>
      </c>
      <c r="D1003" t="s">
        <v>30</v>
      </c>
      <c r="E1003" s="6">
        <v>46092.861111111109</v>
      </c>
      <c r="F1003" s="6">
        <v>46092.868055555555</v>
      </c>
      <c r="G1003" s="6">
        <v>46092.885416666664</v>
      </c>
      <c r="H1003" s="6">
        <v>46092.993055555555</v>
      </c>
      <c r="I1003" s="6">
        <v>46093</v>
      </c>
      <c r="J1003" s="6">
        <v>46093.006944444445</v>
      </c>
      <c r="K1003">
        <v>3.5</v>
      </c>
      <c r="L1003" s="6">
        <v>46093.013888888891</v>
      </c>
      <c r="M1003" s="7">
        <f>F1003-E1003</f>
        <v>6.9444444452528842E-3</v>
      </c>
      <c r="N1003">
        <f>HOUR(M1003)</f>
        <v>0</v>
      </c>
      <c r="O1003">
        <f>MINUTE(M1003)</f>
        <v>10</v>
      </c>
      <c r="P1003">
        <f>N1003*60+O1003</f>
        <v>10</v>
      </c>
      <c r="Q1003" s="7">
        <f>G1003-F1003</f>
        <v>1.7361111109494232E-2</v>
      </c>
      <c r="R1003">
        <f>HOUR(Q1003)</f>
        <v>0</v>
      </c>
      <c r="S1003">
        <f>MINUTE(Q1003)</f>
        <v>25</v>
      </c>
      <c r="T1003">
        <f>R1003*60+S1003</f>
        <v>25</v>
      </c>
      <c r="U1003" s="7">
        <f>H1003-G1003</f>
        <v>0.10763888889050577</v>
      </c>
      <c r="V1003">
        <f>HOUR(U1003)</f>
        <v>2</v>
      </c>
      <c r="W1003">
        <f>MINUTE(U1003)</f>
        <v>35</v>
      </c>
      <c r="X1003">
        <f>V1003*60+W1003</f>
        <v>155</v>
      </c>
      <c r="Y1003" s="7">
        <f>I1003-H1003</f>
        <v>6.9444444452528842E-3</v>
      </c>
      <c r="Z1003">
        <f>HOUR(Y1003)</f>
        <v>0</v>
      </c>
      <c r="AA1003">
        <f>MINUTE(Y1003)</f>
        <v>10</v>
      </c>
      <c r="AB1003">
        <f>Z1003*60+AA1003</f>
        <v>10</v>
      </c>
    </row>
    <row r="1004" spans="1:28" x14ac:dyDescent="0.25">
      <c r="A1004">
        <v>1002</v>
      </c>
      <c r="B1004" t="s">
        <v>33</v>
      </c>
      <c r="C1004">
        <v>1</v>
      </c>
      <c r="D1004" t="s">
        <v>30</v>
      </c>
      <c r="E1004" s="6">
        <v>46093.451388888891</v>
      </c>
      <c r="F1004" s="6">
        <v>46093.465277777781</v>
      </c>
      <c r="G1004" s="6">
        <v>46093.482638888891</v>
      </c>
      <c r="H1004" s="6">
        <v>46093.53125</v>
      </c>
      <c r="I1004" s="6">
        <v>46093.538194444445</v>
      </c>
      <c r="J1004" s="6">
        <v>46093.541666666664</v>
      </c>
      <c r="K1004">
        <v>2.17</v>
      </c>
      <c r="L1004" s="6">
        <v>46093.542361111111</v>
      </c>
      <c r="M1004" s="7">
        <f>F1004-E1004</f>
        <v>1.3888888890505768E-2</v>
      </c>
      <c r="N1004">
        <f>HOUR(M1004)</f>
        <v>0</v>
      </c>
      <c r="O1004">
        <f>MINUTE(M1004)</f>
        <v>20</v>
      </c>
      <c r="P1004">
        <f>N1004*60+O1004</f>
        <v>20</v>
      </c>
      <c r="Q1004" s="7">
        <f>G1004-F1004</f>
        <v>1.7361111109494232E-2</v>
      </c>
      <c r="R1004">
        <f>HOUR(Q1004)</f>
        <v>0</v>
      </c>
      <c r="S1004">
        <f>MINUTE(Q1004)</f>
        <v>25</v>
      </c>
      <c r="T1004">
        <f>R1004*60+S1004</f>
        <v>25</v>
      </c>
      <c r="U1004" s="7">
        <f>H1004-G1004</f>
        <v>4.8611111109494232E-2</v>
      </c>
      <c r="V1004">
        <f>HOUR(U1004)</f>
        <v>1</v>
      </c>
      <c r="W1004">
        <f>MINUTE(U1004)</f>
        <v>10</v>
      </c>
      <c r="X1004">
        <f>V1004*60+W1004</f>
        <v>70</v>
      </c>
      <c r="Y1004" s="7">
        <f>I1004-H1004</f>
        <v>6.9444444452528842E-3</v>
      </c>
      <c r="Z1004">
        <f>HOUR(Y1004)</f>
        <v>0</v>
      </c>
      <c r="AA1004">
        <f>MINUTE(Y1004)</f>
        <v>10</v>
      </c>
      <c r="AB1004">
        <f>Z1004*60+AA1004</f>
        <v>10</v>
      </c>
    </row>
    <row r="1005" spans="1:28" x14ac:dyDescent="0.25">
      <c r="A1005">
        <v>1003</v>
      </c>
      <c r="B1005" t="s">
        <v>33</v>
      </c>
      <c r="C1005">
        <v>1</v>
      </c>
      <c r="D1005" t="s">
        <v>30</v>
      </c>
      <c r="E1005" s="6">
        <v>46092.815972222219</v>
      </c>
      <c r="F1005" s="6">
        <v>46092.829861111109</v>
      </c>
      <c r="G1005" s="6">
        <v>46092.84375</v>
      </c>
      <c r="H1005" s="6">
        <v>46092.923611111109</v>
      </c>
      <c r="I1005" s="6">
        <v>46092.927083333336</v>
      </c>
      <c r="J1005" s="6">
        <v>46092.930555555555</v>
      </c>
      <c r="K1005">
        <v>2.75</v>
      </c>
      <c r="L1005" s="6">
        <v>46092.9375</v>
      </c>
      <c r="M1005" s="7">
        <f>F1005-E1005</f>
        <v>1.3888888890505768E-2</v>
      </c>
      <c r="N1005">
        <f>HOUR(M1005)</f>
        <v>0</v>
      </c>
      <c r="O1005">
        <f>MINUTE(M1005)</f>
        <v>20</v>
      </c>
      <c r="P1005">
        <f>N1005*60+O1005</f>
        <v>20</v>
      </c>
      <c r="Q1005" s="7">
        <f>G1005-F1005</f>
        <v>1.3888888890505768E-2</v>
      </c>
      <c r="R1005">
        <f>HOUR(Q1005)</f>
        <v>0</v>
      </c>
      <c r="S1005">
        <f>MINUTE(Q1005)</f>
        <v>20</v>
      </c>
      <c r="T1005">
        <f>R1005*60+S1005</f>
        <v>20</v>
      </c>
      <c r="U1005" s="7">
        <f>H1005-G1005</f>
        <v>7.9861111109494232E-2</v>
      </c>
      <c r="V1005">
        <f>HOUR(U1005)</f>
        <v>1</v>
      </c>
      <c r="W1005">
        <f>MINUTE(U1005)</f>
        <v>55</v>
      </c>
      <c r="X1005">
        <f>V1005*60+W1005</f>
        <v>115</v>
      </c>
      <c r="Y1005" s="7">
        <f>I1005-H1005</f>
        <v>3.4722222262644209E-3</v>
      </c>
      <c r="Z1005">
        <f>HOUR(Y1005)</f>
        <v>0</v>
      </c>
      <c r="AA1005">
        <f>MINUTE(Y1005)</f>
        <v>5</v>
      </c>
      <c r="AB1005">
        <f>Z1005*60+AA1005</f>
        <v>5</v>
      </c>
    </row>
    <row r="1006" spans="1:28" x14ac:dyDescent="0.25">
      <c r="A1006">
        <v>1004</v>
      </c>
      <c r="B1006" t="s">
        <v>29</v>
      </c>
      <c r="C1006">
        <v>1</v>
      </c>
      <c r="D1006" t="s">
        <v>30</v>
      </c>
      <c r="E1006" s="6">
        <v>46092.878472222219</v>
      </c>
      <c r="F1006" s="6">
        <v>46092.881944444445</v>
      </c>
      <c r="G1006" s="6">
        <v>46092.916666666664</v>
      </c>
      <c r="H1006" s="6">
        <v>46092.9375</v>
      </c>
      <c r="I1006" s="6">
        <v>46092.944444444445</v>
      </c>
      <c r="J1006" s="6">
        <v>46092.945138888892</v>
      </c>
      <c r="K1006">
        <v>1.6</v>
      </c>
      <c r="L1006" s="6">
        <v>46092.95208333333</v>
      </c>
      <c r="M1006" s="7">
        <f>F1006-E1006</f>
        <v>3.4722222262644209E-3</v>
      </c>
      <c r="N1006">
        <f>HOUR(M1006)</f>
        <v>0</v>
      </c>
      <c r="O1006">
        <f>MINUTE(M1006)</f>
        <v>5</v>
      </c>
      <c r="P1006">
        <f>N1006*60+O1006</f>
        <v>5</v>
      </c>
      <c r="Q1006" s="7">
        <f>G1006-F1006</f>
        <v>3.4722222218988463E-2</v>
      </c>
      <c r="R1006">
        <f>HOUR(Q1006)</f>
        <v>0</v>
      </c>
      <c r="S1006">
        <f>MINUTE(Q1006)</f>
        <v>50</v>
      </c>
      <c r="T1006">
        <f>R1006*60+S1006</f>
        <v>50</v>
      </c>
      <c r="U1006" s="7">
        <f>H1006-G1006</f>
        <v>2.0833333335758653E-2</v>
      </c>
      <c r="V1006">
        <f>HOUR(U1006)</f>
        <v>0</v>
      </c>
      <c r="W1006">
        <f>MINUTE(U1006)</f>
        <v>30</v>
      </c>
      <c r="X1006">
        <f>V1006*60+W1006</f>
        <v>30</v>
      </c>
      <c r="Y1006" s="7">
        <f>I1006-H1006</f>
        <v>6.9444444452528842E-3</v>
      </c>
      <c r="Z1006">
        <f>HOUR(Y1006)</f>
        <v>0</v>
      </c>
      <c r="AA1006">
        <f>MINUTE(Y1006)</f>
        <v>10</v>
      </c>
      <c r="AB1006">
        <f>Z1006*60+AA1006</f>
        <v>10</v>
      </c>
    </row>
    <row r="1007" spans="1:28" x14ac:dyDescent="0.25">
      <c r="A1007">
        <v>1005</v>
      </c>
      <c r="B1007" t="s">
        <v>29</v>
      </c>
      <c r="C1007">
        <v>1</v>
      </c>
      <c r="D1007" t="s">
        <v>30</v>
      </c>
      <c r="E1007" s="6">
        <v>46092.9375</v>
      </c>
      <c r="F1007" s="6">
        <v>46092.947916666664</v>
      </c>
      <c r="G1007" s="6">
        <v>46092.958333333336</v>
      </c>
      <c r="H1007" s="6">
        <v>46093.020833333336</v>
      </c>
      <c r="I1007" s="6">
        <v>46093.027777777781</v>
      </c>
      <c r="J1007" s="6">
        <v>46093.604166666664</v>
      </c>
      <c r="K1007">
        <v>16</v>
      </c>
      <c r="L1007" s="6">
        <v>46093.611111111109</v>
      </c>
      <c r="M1007" s="7">
        <f>F1007-E1007</f>
        <v>1.0416666664241347E-2</v>
      </c>
      <c r="N1007">
        <f>HOUR(M1007)</f>
        <v>0</v>
      </c>
      <c r="O1007">
        <f>MINUTE(M1007)</f>
        <v>15</v>
      </c>
      <c r="P1007">
        <f>N1007*60+O1007</f>
        <v>15</v>
      </c>
      <c r="Q1007" s="7">
        <f>G1007-F1007</f>
        <v>1.0416666671517305E-2</v>
      </c>
      <c r="R1007">
        <f>HOUR(Q1007)</f>
        <v>0</v>
      </c>
      <c r="S1007">
        <f>MINUTE(Q1007)</f>
        <v>15</v>
      </c>
      <c r="T1007">
        <f>R1007*60+S1007</f>
        <v>15</v>
      </c>
      <c r="U1007" s="7">
        <f>H1007-G1007</f>
        <v>6.25E-2</v>
      </c>
      <c r="V1007">
        <f>HOUR(U1007)</f>
        <v>1</v>
      </c>
      <c r="W1007">
        <f>MINUTE(U1007)</f>
        <v>30</v>
      </c>
      <c r="X1007">
        <f>V1007*60+W1007</f>
        <v>90</v>
      </c>
      <c r="Y1007" s="7">
        <f>I1007-H1007</f>
        <v>6.9444444452528842E-3</v>
      </c>
      <c r="Z1007">
        <f>HOUR(Y1007)</f>
        <v>0</v>
      </c>
      <c r="AA1007">
        <f>MINUTE(Y1007)</f>
        <v>10</v>
      </c>
      <c r="AB1007">
        <f>Z1007*60+AA1007</f>
        <v>10</v>
      </c>
    </row>
    <row r="1008" spans="1:28" x14ac:dyDescent="0.25">
      <c r="A1008">
        <v>1006</v>
      </c>
      <c r="B1008" t="s">
        <v>33</v>
      </c>
      <c r="C1008">
        <v>1</v>
      </c>
      <c r="D1008" t="s">
        <v>30</v>
      </c>
      <c r="E1008" s="6">
        <v>46092.9375</v>
      </c>
      <c r="F1008" s="6">
        <v>46092.947916666664</v>
      </c>
      <c r="G1008" s="6">
        <v>46092.958333333336</v>
      </c>
      <c r="H1008" s="6">
        <v>46093.020833333336</v>
      </c>
      <c r="I1008" s="6">
        <v>46093.027777777781</v>
      </c>
      <c r="J1008" s="6">
        <v>46093.604166666664</v>
      </c>
      <c r="K1008">
        <v>16</v>
      </c>
      <c r="L1008" s="6">
        <v>46093.611111111109</v>
      </c>
      <c r="M1008" s="7">
        <f>F1008-E1008</f>
        <v>1.0416666664241347E-2</v>
      </c>
      <c r="N1008">
        <f>HOUR(M1008)</f>
        <v>0</v>
      </c>
      <c r="O1008">
        <f>MINUTE(M1008)</f>
        <v>15</v>
      </c>
      <c r="P1008">
        <f>N1008*60+O1008</f>
        <v>15</v>
      </c>
      <c r="Q1008" s="7">
        <f>G1008-F1008</f>
        <v>1.0416666671517305E-2</v>
      </c>
      <c r="R1008">
        <f>HOUR(Q1008)</f>
        <v>0</v>
      </c>
      <c r="S1008">
        <f>MINUTE(Q1008)</f>
        <v>15</v>
      </c>
      <c r="T1008">
        <f>R1008*60+S1008</f>
        <v>15</v>
      </c>
      <c r="U1008" s="7">
        <f>H1008-G1008</f>
        <v>6.25E-2</v>
      </c>
      <c r="V1008">
        <f>HOUR(U1008)</f>
        <v>1</v>
      </c>
      <c r="W1008">
        <f>MINUTE(U1008)</f>
        <v>30</v>
      </c>
      <c r="X1008">
        <f>V1008*60+W1008</f>
        <v>90</v>
      </c>
      <c r="Y1008" s="7">
        <f>I1008-H1008</f>
        <v>6.9444444452528842E-3</v>
      </c>
      <c r="Z1008">
        <f>HOUR(Y1008)</f>
        <v>0</v>
      </c>
      <c r="AA1008">
        <f>MINUTE(Y1008)</f>
        <v>10</v>
      </c>
      <c r="AB1008">
        <f>Z1008*60+AA1008</f>
        <v>10</v>
      </c>
    </row>
    <row r="1009" spans="1:28" x14ac:dyDescent="0.25">
      <c r="A1009">
        <v>1007</v>
      </c>
      <c r="B1009" t="s">
        <v>33</v>
      </c>
      <c r="C1009">
        <v>1</v>
      </c>
      <c r="D1009" t="s">
        <v>30</v>
      </c>
      <c r="E1009" s="6">
        <v>46093.361111111109</v>
      </c>
      <c r="F1009" s="6">
        <v>46093.381944444445</v>
      </c>
      <c r="G1009" s="6">
        <v>46093.392361111109</v>
      </c>
      <c r="H1009" s="6">
        <v>46093.416666666664</v>
      </c>
      <c r="I1009" s="6">
        <v>46093.417361111111</v>
      </c>
      <c r="J1009" s="6">
        <v>46093.418055555558</v>
      </c>
      <c r="K1009">
        <v>1.37</v>
      </c>
      <c r="L1009" s="6">
        <v>46093.425000000003</v>
      </c>
      <c r="M1009" s="7">
        <f>F1009-E1009</f>
        <v>2.0833333335758653E-2</v>
      </c>
      <c r="N1009">
        <f>HOUR(M1009)</f>
        <v>0</v>
      </c>
      <c r="O1009">
        <f>MINUTE(M1009)</f>
        <v>30</v>
      </c>
      <c r="P1009">
        <f>N1009*60+O1009</f>
        <v>30</v>
      </c>
      <c r="Q1009" s="7">
        <f>G1009-F1009</f>
        <v>1.0416666664241347E-2</v>
      </c>
      <c r="R1009">
        <f>HOUR(Q1009)</f>
        <v>0</v>
      </c>
      <c r="S1009">
        <f>MINUTE(Q1009)</f>
        <v>15</v>
      </c>
      <c r="T1009">
        <f>R1009*60+S1009</f>
        <v>15</v>
      </c>
      <c r="U1009" s="7">
        <f>H1009-G1009</f>
        <v>2.4305555554747116E-2</v>
      </c>
      <c r="V1009">
        <f>HOUR(U1009)</f>
        <v>0</v>
      </c>
      <c r="W1009">
        <f>MINUTE(U1009)</f>
        <v>35</v>
      </c>
      <c r="X1009">
        <f>V1009*60+W1009</f>
        <v>35</v>
      </c>
      <c r="Y1009" s="7">
        <f>I1009-H1009</f>
        <v>6.944444467080757E-4</v>
      </c>
      <c r="Z1009">
        <f>HOUR(Y1009)</f>
        <v>0</v>
      </c>
      <c r="AA1009">
        <f>MINUTE(Y1009)</f>
        <v>1</v>
      </c>
      <c r="AB1009">
        <f>Z1009*60+AA1009</f>
        <v>1</v>
      </c>
    </row>
    <row r="1010" spans="1:28" x14ac:dyDescent="0.25">
      <c r="A1010">
        <v>1008</v>
      </c>
      <c r="B1010" t="s">
        <v>31</v>
      </c>
      <c r="C1010">
        <v>1</v>
      </c>
      <c r="D1010" t="s">
        <v>36</v>
      </c>
      <c r="E1010" s="6">
        <v>46093.645833333336</v>
      </c>
      <c r="F1010" s="6">
        <v>46093.65625</v>
      </c>
      <c r="G1010" s="6">
        <v>46093.659722222219</v>
      </c>
      <c r="H1010" s="6">
        <v>46093.680555555555</v>
      </c>
      <c r="I1010" s="6">
        <v>46093.684027777781</v>
      </c>
      <c r="J1010" s="6">
        <v>46093.6875</v>
      </c>
      <c r="K1010">
        <v>1</v>
      </c>
      <c r="L1010" s="6">
        <v>46093.688194444447</v>
      </c>
      <c r="M1010" s="7">
        <f>F1010-E1010</f>
        <v>1.0416666664241347E-2</v>
      </c>
      <c r="N1010">
        <f>HOUR(M1010)</f>
        <v>0</v>
      </c>
      <c r="O1010">
        <f>MINUTE(M1010)</f>
        <v>15</v>
      </c>
      <c r="P1010">
        <f>N1010*60+O1010</f>
        <v>15</v>
      </c>
      <c r="Q1010" s="7">
        <f>G1010-F1010</f>
        <v>3.4722222189884633E-3</v>
      </c>
      <c r="R1010">
        <f>HOUR(Q1010)</f>
        <v>0</v>
      </c>
      <c r="S1010">
        <f>MINUTE(Q1010)</f>
        <v>5</v>
      </c>
      <c r="T1010">
        <f>R1010*60+S1010</f>
        <v>5</v>
      </c>
      <c r="U1010" s="7">
        <f>H1010-G1010</f>
        <v>2.0833333335758653E-2</v>
      </c>
      <c r="V1010">
        <f>HOUR(U1010)</f>
        <v>0</v>
      </c>
      <c r="W1010">
        <f>MINUTE(U1010)</f>
        <v>30</v>
      </c>
      <c r="X1010">
        <f>V1010*60+W1010</f>
        <v>30</v>
      </c>
      <c r="Y1010" s="7">
        <f>I1010-H1010</f>
        <v>3.4722222262644209E-3</v>
      </c>
      <c r="Z1010">
        <f>HOUR(Y1010)</f>
        <v>0</v>
      </c>
      <c r="AA1010">
        <f>MINUTE(Y1010)</f>
        <v>5</v>
      </c>
      <c r="AB1010">
        <f>Z1010*60+AA1010</f>
        <v>5</v>
      </c>
    </row>
    <row r="1011" spans="1:28" x14ac:dyDescent="0.25">
      <c r="A1011">
        <v>1009</v>
      </c>
      <c r="B1011" t="s">
        <v>29</v>
      </c>
      <c r="C1011">
        <v>1</v>
      </c>
      <c r="D1011" t="s">
        <v>35</v>
      </c>
      <c r="E1011" s="6">
        <v>46093.677083333336</v>
      </c>
      <c r="F1011" s="6">
        <v>46093.690972222219</v>
      </c>
      <c r="G1011" s="6">
        <v>46093.715277777781</v>
      </c>
      <c r="H1011" s="6">
        <v>46093.760416666664</v>
      </c>
      <c r="I1011" s="6">
        <v>46093.767361111109</v>
      </c>
      <c r="J1011" s="6">
        <v>46093.770833333336</v>
      </c>
      <c r="K1011">
        <v>2.25</v>
      </c>
      <c r="L1011" s="6">
        <v>46093.777777777781</v>
      </c>
      <c r="M1011" s="7">
        <f>F1011-E1011</f>
        <v>1.3888888883229811E-2</v>
      </c>
      <c r="N1011">
        <f>HOUR(M1011)</f>
        <v>0</v>
      </c>
      <c r="O1011">
        <f>MINUTE(M1011)</f>
        <v>20</v>
      </c>
      <c r="P1011">
        <f>N1011*60+O1011</f>
        <v>20</v>
      </c>
      <c r="Q1011" s="7">
        <f>G1011-F1011</f>
        <v>2.4305555562023073E-2</v>
      </c>
      <c r="R1011">
        <f>HOUR(Q1011)</f>
        <v>0</v>
      </c>
      <c r="S1011">
        <f>MINUTE(Q1011)</f>
        <v>35</v>
      </c>
      <c r="T1011">
        <f>R1011*60+S1011</f>
        <v>35</v>
      </c>
      <c r="U1011" s="7">
        <f>H1011-G1011</f>
        <v>4.5138888883229811E-2</v>
      </c>
      <c r="V1011">
        <f>HOUR(U1011)</f>
        <v>1</v>
      </c>
      <c r="W1011">
        <f>MINUTE(U1011)</f>
        <v>5</v>
      </c>
      <c r="X1011">
        <f>V1011*60+W1011</f>
        <v>65</v>
      </c>
      <c r="Y1011" s="7">
        <f>I1011-H1011</f>
        <v>6.9444444452528842E-3</v>
      </c>
      <c r="Z1011">
        <f>HOUR(Y1011)</f>
        <v>0</v>
      </c>
      <c r="AA1011">
        <f>MINUTE(Y1011)</f>
        <v>10</v>
      </c>
      <c r="AB1011">
        <f>Z1011*60+AA1011</f>
        <v>10</v>
      </c>
    </row>
    <row r="1012" spans="1:28" x14ac:dyDescent="0.25">
      <c r="A1012">
        <v>1010</v>
      </c>
      <c r="B1012" t="s">
        <v>31</v>
      </c>
      <c r="C1012">
        <v>1</v>
      </c>
      <c r="D1012" t="s">
        <v>35</v>
      </c>
      <c r="E1012" s="6">
        <v>46093.524305555555</v>
      </c>
      <c r="F1012" s="6">
        <v>46093.538194444445</v>
      </c>
      <c r="G1012" s="6">
        <v>46093.552083333336</v>
      </c>
      <c r="H1012" s="6">
        <v>46093.614583333336</v>
      </c>
      <c r="I1012" s="6">
        <v>46093.631944444445</v>
      </c>
      <c r="J1012" s="6">
        <v>46093.649305555555</v>
      </c>
      <c r="K1012">
        <v>3</v>
      </c>
      <c r="L1012" s="6">
        <v>46093.65</v>
      </c>
      <c r="M1012" s="7">
        <f>F1012-E1012</f>
        <v>1.3888888890505768E-2</v>
      </c>
      <c r="N1012">
        <f>HOUR(M1012)</f>
        <v>0</v>
      </c>
      <c r="O1012">
        <f>MINUTE(M1012)</f>
        <v>20</v>
      </c>
      <c r="P1012">
        <f>N1012*60+O1012</f>
        <v>20</v>
      </c>
      <c r="Q1012" s="7">
        <f>G1012-F1012</f>
        <v>1.3888888890505768E-2</v>
      </c>
      <c r="R1012">
        <f>HOUR(Q1012)</f>
        <v>0</v>
      </c>
      <c r="S1012">
        <f>MINUTE(Q1012)</f>
        <v>20</v>
      </c>
      <c r="T1012">
        <f>R1012*60+S1012</f>
        <v>20</v>
      </c>
      <c r="U1012" s="7">
        <f>H1012-G1012</f>
        <v>6.25E-2</v>
      </c>
      <c r="V1012">
        <f>HOUR(U1012)</f>
        <v>1</v>
      </c>
      <c r="W1012">
        <f>MINUTE(U1012)</f>
        <v>30</v>
      </c>
      <c r="X1012">
        <f>V1012*60+W1012</f>
        <v>90</v>
      </c>
      <c r="Y1012" s="7">
        <f>I1012-H1012</f>
        <v>1.7361111109494232E-2</v>
      </c>
      <c r="Z1012">
        <f>HOUR(Y1012)</f>
        <v>0</v>
      </c>
      <c r="AA1012">
        <f>MINUTE(Y1012)</f>
        <v>25</v>
      </c>
      <c r="AB1012">
        <f>Z1012*60+AA1012</f>
        <v>25</v>
      </c>
    </row>
    <row r="1013" spans="1:28" x14ac:dyDescent="0.25">
      <c r="A1013">
        <v>1011</v>
      </c>
      <c r="B1013" t="s">
        <v>33</v>
      </c>
      <c r="C1013">
        <v>1</v>
      </c>
      <c r="D1013" t="s">
        <v>30</v>
      </c>
      <c r="E1013" s="6">
        <v>46093.420138888891</v>
      </c>
      <c r="F1013" s="6">
        <v>46093.427083333336</v>
      </c>
      <c r="G1013" s="6">
        <v>46093.447916666664</v>
      </c>
      <c r="H1013" s="6">
        <v>46093.47152777778</v>
      </c>
      <c r="I1013" s="6">
        <v>46093.478472222225</v>
      </c>
      <c r="J1013" s="6">
        <v>46093.482638888891</v>
      </c>
      <c r="K1013">
        <v>1.5</v>
      </c>
      <c r="L1013" s="6">
        <v>46093.489583333336</v>
      </c>
      <c r="M1013" s="7">
        <f>F1013-E1013</f>
        <v>6.9444444452528842E-3</v>
      </c>
      <c r="N1013">
        <f>HOUR(M1013)</f>
        <v>0</v>
      </c>
      <c r="O1013">
        <f>MINUTE(M1013)</f>
        <v>10</v>
      </c>
      <c r="P1013">
        <f>N1013*60+O1013</f>
        <v>10</v>
      </c>
      <c r="Q1013" s="7">
        <f>G1013-F1013</f>
        <v>2.0833333328482695E-2</v>
      </c>
      <c r="R1013">
        <f>HOUR(Q1013)</f>
        <v>0</v>
      </c>
      <c r="S1013">
        <f>MINUTE(Q1013)</f>
        <v>30</v>
      </c>
      <c r="T1013">
        <f>R1013*60+S1013</f>
        <v>30</v>
      </c>
      <c r="U1013" s="7">
        <f>H1013-G1013</f>
        <v>2.3611111115314998E-2</v>
      </c>
      <c r="V1013">
        <f>HOUR(U1013)</f>
        <v>0</v>
      </c>
      <c r="W1013">
        <f>MINUTE(U1013)</f>
        <v>34</v>
      </c>
      <c r="X1013">
        <f>V1013*60+W1013</f>
        <v>34</v>
      </c>
      <c r="Y1013" s="7">
        <f>I1013-H1013</f>
        <v>6.9444444452528842E-3</v>
      </c>
      <c r="Z1013">
        <f>HOUR(Y1013)</f>
        <v>0</v>
      </c>
      <c r="AA1013">
        <f>MINUTE(Y1013)</f>
        <v>10</v>
      </c>
      <c r="AB1013">
        <f>Z1013*60+AA1013</f>
        <v>10</v>
      </c>
    </row>
    <row r="1014" spans="1:28" x14ac:dyDescent="0.25">
      <c r="A1014">
        <v>1012</v>
      </c>
      <c r="B1014" t="s">
        <v>29</v>
      </c>
      <c r="C1014">
        <v>1</v>
      </c>
      <c r="D1014" t="s">
        <v>34</v>
      </c>
      <c r="E1014" s="6">
        <v>46093.451388888891</v>
      </c>
      <c r="F1014" s="6">
        <v>46093.458333333336</v>
      </c>
      <c r="G1014" s="6">
        <v>46093.475694444445</v>
      </c>
      <c r="H1014" s="6">
        <v>46093.510416666664</v>
      </c>
      <c r="I1014" s="6">
        <v>46093.517361111109</v>
      </c>
      <c r="J1014" s="6">
        <v>46093.53125</v>
      </c>
      <c r="K1014">
        <v>1.92</v>
      </c>
      <c r="L1014" s="6">
        <v>46093.538194444445</v>
      </c>
      <c r="M1014" s="7">
        <f>F1014-E1014</f>
        <v>6.9444444452528842E-3</v>
      </c>
      <c r="N1014">
        <f>HOUR(M1014)</f>
        <v>0</v>
      </c>
      <c r="O1014">
        <f>MINUTE(M1014)</f>
        <v>10</v>
      </c>
      <c r="P1014">
        <f>N1014*60+O1014</f>
        <v>10</v>
      </c>
      <c r="Q1014" s="7">
        <f>G1014-F1014</f>
        <v>1.7361111109494232E-2</v>
      </c>
      <c r="R1014">
        <f>HOUR(Q1014)</f>
        <v>0</v>
      </c>
      <c r="S1014">
        <f>MINUTE(Q1014)</f>
        <v>25</v>
      </c>
      <c r="T1014">
        <f>R1014*60+S1014</f>
        <v>25</v>
      </c>
      <c r="U1014" s="7">
        <f>H1014-G1014</f>
        <v>3.4722222218988463E-2</v>
      </c>
      <c r="V1014">
        <f>HOUR(U1014)</f>
        <v>0</v>
      </c>
      <c r="W1014">
        <f>MINUTE(U1014)</f>
        <v>50</v>
      </c>
      <c r="X1014">
        <f>V1014*60+W1014</f>
        <v>50</v>
      </c>
      <c r="Y1014" s="7">
        <f>I1014-H1014</f>
        <v>6.9444444452528842E-3</v>
      </c>
      <c r="Z1014">
        <f>HOUR(Y1014)</f>
        <v>0</v>
      </c>
      <c r="AA1014">
        <f>MINUTE(Y1014)</f>
        <v>10</v>
      </c>
      <c r="AB1014">
        <f>Z1014*60+AA1014</f>
        <v>10</v>
      </c>
    </row>
    <row r="1015" spans="1:28" x14ac:dyDescent="0.25">
      <c r="A1015">
        <v>1013</v>
      </c>
      <c r="B1015" t="s">
        <v>29</v>
      </c>
      <c r="C1015">
        <v>1</v>
      </c>
      <c r="D1015" t="s">
        <v>36</v>
      </c>
      <c r="E1015" s="6">
        <v>46093.75</v>
      </c>
      <c r="F1015" s="6">
        <v>46093.763888888891</v>
      </c>
      <c r="G1015" s="6">
        <v>46093.78125</v>
      </c>
      <c r="H1015" s="6">
        <v>46093.788194444445</v>
      </c>
      <c r="I1015" s="6">
        <v>46093.791666666664</v>
      </c>
      <c r="J1015" s="6">
        <v>46093.795138888891</v>
      </c>
      <c r="K1015">
        <v>1.08</v>
      </c>
      <c r="L1015" s="6">
        <v>46093.79583333333</v>
      </c>
      <c r="M1015" s="7">
        <f>F1015-E1015</f>
        <v>1.3888888890505768E-2</v>
      </c>
      <c r="N1015">
        <f>HOUR(M1015)</f>
        <v>0</v>
      </c>
      <c r="O1015">
        <f>MINUTE(M1015)</f>
        <v>20</v>
      </c>
      <c r="P1015">
        <f>N1015*60+O1015</f>
        <v>20</v>
      </c>
      <c r="Q1015" s="7">
        <f>G1015-F1015</f>
        <v>1.7361111109494232E-2</v>
      </c>
      <c r="R1015">
        <f>HOUR(Q1015)</f>
        <v>0</v>
      </c>
      <c r="S1015">
        <f>MINUTE(Q1015)</f>
        <v>25</v>
      </c>
      <c r="T1015">
        <f>R1015*60+S1015</f>
        <v>25</v>
      </c>
      <c r="U1015" s="7">
        <f>H1015-G1015</f>
        <v>6.9444444452528842E-3</v>
      </c>
      <c r="V1015">
        <f>HOUR(U1015)</f>
        <v>0</v>
      </c>
      <c r="W1015">
        <f>MINUTE(U1015)</f>
        <v>10</v>
      </c>
      <c r="X1015">
        <f>V1015*60+W1015</f>
        <v>10</v>
      </c>
      <c r="Y1015" s="7">
        <f>I1015-H1015</f>
        <v>3.4722222189884633E-3</v>
      </c>
      <c r="Z1015">
        <f>HOUR(Y1015)</f>
        <v>0</v>
      </c>
      <c r="AA1015">
        <f>MINUTE(Y1015)</f>
        <v>5</v>
      </c>
      <c r="AB1015">
        <f>Z1015*60+AA1015</f>
        <v>5</v>
      </c>
    </row>
    <row r="1016" spans="1:28" x14ac:dyDescent="0.25">
      <c r="A1016">
        <v>1014</v>
      </c>
      <c r="B1016" t="s">
        <v>29</v>
      </c>
      <c r="C1016">
        <v>1</v>
      </c>
      <c r="D1016" t="s">
        <v>35</v>
      </c>
      <c r="E1016" s="6">
        <v>46093.590277777781</v>
      </c>
      <c r="F1016" s="6">
        <v>46093.604166666664</v>
      </c>
      <c r="G1016" s="6">
        <v>46093.652777777781</v>
      </c>
      <c r="H1016" s="6">
        <v>46093.78125</v>
      </c>
      <c r="I1016" s="6">
        <v>46093.798611111109</v>
      </c>
      <c r="J1016" s="6">
        <v>46093.833333333336</v>
      </c>
      <c r="K1016">
        <v>5.83</v>
      </c>
      <c r="L1016" s="6">
        <v>46093.834027777775</v>
      </c>
      <c r="M1016" s="7">
        <f>F1016-E1016</f>
        <v>1.3888888883229811E-2</v>
      </c>
      <c r="N1016">
        <f>HOUR(M1016)</f>
        <v>0</v>
      </c>
      <c r="O1016">
        <f>MINUTE(M1016)</f>
        <v>20</v>
      </c>
      <c r="P1016">
        <f>N1016*60+O1016</f>
        <v>20</v>
      </c>
      <c r="Q1016" s="7">
        <f>G1016-F1016</f>
        <v>4.8611111116770189E-2</v>
      </c>
      <c r="R1016">
        <f>HOUR(Q1016)</f>
        <v>1</v>
      </c>
      <c r="S1016">
        <f>MINUTE(Q1016)</f>
        <v>10</v>
      </c>
      <c r="T1016">
        <f>R1016*60+S1016</f>
        <v>70</v>
      </c>
      <c r="U1016" s="7">
        <f>H1016-G1016</f>
        <v>0.12847222221898846</v>
      </c>
      <c r="V1016">
        <f>HOUR(U1016)</f>
        <v>3</v>
      </c>
      <c r="W1016">
        <f>MINUTE(U1016)</f>
        <v>5</v>
      </c>
      <c r="X1016">
        <f>V1016*60+W1016</f>
        <v>185</v>
      </c>
      <c r="Y1016" s="7">
        <f>I1016-H1016</f>
        <v>1.7361111109494232E-2</v>
      </c>
      <c r="Z1016">
        <f>HOUR(Y1016)</f>
        <v>0</v>
      </c>
      <c r="AA1016">
        <f>MINUTE(Y1016)</f>
        <v>25</v>
      </c>
      <c r="AB1016">
        <f>Z1016*60+AA1016</f>
        <v>25</v>
      </c>
    </row>
    <row r="1017" spans="1:28" x14ac:dyDescent="0.25">
      <c r="A1017">
        <v>1015</v>
      </c>
      <c r="B1017" t="s">
        <v>31</v>
      </c>
      <c r="C1017">
        <v>1</v>
      </c>
      <c r="D1017" t="s">
        <v>35</v>
      </c>
      <c r="E1017" s="6">
        <v>46094.572916666664</v>
      </c>
      <c r="F1017" s="6">
        <v>46094.590277777781</v>
      </c>
      <c r="G1017" s="6">
        <v>46094.607638888891</v>
      </c>
      <c r="H1017" s="6">
        <v>46094.652777777781</v>
      </c>
      <c r="I1017" s="6">
        <v>46094.666666666664</v>
      </c>
      <c r="J1017" s="6">
        <v>46094.670138888891</v>
      </c>
      <c r="K1017">
        <v>2.33</v>
      </c>
      <c r="L1017" s="6">
        <v>46094.671527777777</v>
      </c>
      <c r="M1017" s="7">
        <f>F1017-E1017</f>
        <v>1.7361111116770189E-2</v>
      </c>
      <c r="N1017">
        <f>HOUR(M1017)</f>
        <v>0</v>
      </c>
      <c r="O1017">
        <f>MINUTE(M1017)</f>
        <v>25</v>
      </c>
      <c r="P1017">
        <f>N1017*60+O1017</f>
        <v>25</v>
      </c>
      <c r="Q1017" s="7">
        <f>G1017-F1017</f>
        <v>1.7361111109494232E-2</v>
      </c>
      <c r="R1017">
        <f>HOUR(Q1017)</f>
        <v>0</v>
      </c>
      <c r="S1017">
        <f>MINUTE(Q1017)</f>
        <v>25</v>
      </c>
      <c r="T1017">
        <f>R1017*60+S1017</f>
        <v>25</v>
      </c>
      <c r="U1017" s="7">
        <f>H1017-G1017</f>
        <v>4.5138888890505768E-2</v>
      </c>
      <c r="V1017">
        <f>HOUR(U1017)</f>
        <v>1</v>
      </c>
      <c r="W1017">
        <f>MINUTE(U1017)</f>
        <v>5</v>
      </c>
      <c r="X1017">
        <f>V1017*60+W1017</f>
        <v>65</v>
      </c>
      <c r="Y1017" s="7">
        <f>I1017-H1017</f>
        <v>1.3888888883229811E-2</v>
      </c>
      <c r="Z1017">
        <f>HOUR(Y1017)</f>
        <v>0</v>
      </c>
      <c r="AA1017">
        <f>MINUTE(Y1017)</f>
        <v>20</v>
      </c>
      <c r="AB1017">
        <f>Z1017*60+AA1017</f>
        <v>20</v>
      </c>
    </row>
    <row r="1018" spans="1:28" x14ac:dyDescent="0.25">
      <c r="A1018">
        <v>1016</v>
      </c>
      <c r="B1018" t="s">
        <v>33</v>
      </c>
      <c r="C1018">
        <v>1</v>
      </c>
      <c r="D1018" t="s">
        <v>32</v>
      </c>
      <c r="E1018" s="6">
        <v>46094.326388888891</v>
      </c>
      <c r="F1018" s="6">
        <v>46094.336805555555</v>
      </c>
      <c r="G1018" s="6">
        <v>46094.357638888891</v>
      </c>
      <c r="H1018" s="6">
        <v>46094.425000000003</v>
      </c>
      <c r="I1018" s="6">
        <v>46094.427083333336</v>
      </c>
      <c r="J1018" s="6">
        <v>46094.429166666669</v>
      </c>
      <c r="K1018">
        <v>2.4700000000000002</v>
      </c>
      <c r="L1018" s="6">
        <v>46094.430555555555</v>
      </c>
      <c r="M1018" s="7">
        <f>F1018-E1018</f>
        <v>1.0416666664241347E-2</v>
      </c>
      <c r="N1018">
        <f>HOUR(M1018)</f>
        <v>0</v>
      </c>
      <c r="O1018">
        <f>MINUTE(M1018)</f>
        <v>15</v>
      </c>
      <c r="P1018">
        <f>N1018*60+O1018</f>
        <v>15</v>
      </c>
      <c r="Q1018" s="7">
        <f>G1018-F1018</f>
        <v>2.0833333335758653E-2</v>
      </c>
      <c r="R1018">
        <f>HOUR(Q1018)</f>
        <v>0</v>
      </c>
      <c r="S1018">
        <f>MINUTE(Q1018)</f>
        <v>30</v>
      </c>
      <c r="T1018">
        <f>R1018*60+S1018</f>
        <v>30</v>
      </c>
      <c r="U1018" s="7">
        <f>H1018-G1018</f>
        <v>6.7361111112404615E-2</v>
      </c>
      <c r="V1018">
        <f>HOUR(U1018)</f>
        <v>1</v>
      </c>
      <c r="W1018">
        <f>MINUTE(U1018)</f>
        <v>37</v>
      </c>
      <c r="X1018">
        <f>V1018*60+W1018</f>
        <v>97</v>
      </c>
      <c r="Y1018" s="7">
        <f>I1018-H1018</f>
        <v>2.0833333328482695E-3</v>
      </c>
      <c r="Z1018">
        <f>HOUR(Y1018)</f>
        <v>0</v>
      </c>
      <c r="AA1018">
        <f>MINUTE(Y1018)</f>
        <v>3</v>
      </c>
      <c r="AB1018">
        <f>Z1018*60+AA1018</f>
        <v>3</v>
      </c>
    </row>
    <row r="1019" spans="1:28" x14ac:dyDescent="0.25">
      <c r="A1019">
        <v>1017</v>
      </c>
      <c r="B1019" t="s">
        <v>33</v>
      </c>
      <c r="C1019">
        <v>1</v>
      </c>
      <c r="D1019" t="s">
        <v>36</v>
      </c>
      <c r="E1019" s="6">
        <v>46094.333333333336</v>
      </c>
      <c r="F1019" s="6">
        <v>46094.34375</v>
      </c>
      <c r="G1019" s="6">
        <v>46094.364583333336</v>
      </c>
      <c r="H1019" s="6">
        <v>46094.427083333336</v>
      </c>
      <c r="I1019" s="6">
        <v>46094.434027777781</v>
      </c>
      <c r="J1019" s="6">
        <v>46094.444444444445</v>
      </c>
      <c r="K1019">
        <v>2.67</v>
      </c>
      <c r="L1019" s="6">
        <v>46094.451388888891</v>
      </c>
      <c r="M1019" s="7">
        <f>F1019-E1019</f>
        <v>1.0416666664241347E-2</v>
      </c>
      <c r="N1019">
        <f>HOUR(M1019)</f>
        <v>0</v>
      </c>
      <c r="O1019">
        <f>MINUTE(M1019)</f>
        <v>15</v>
      </c>
      <c r="P1019">
        <f>N1019*60+O1019</f>
        <v>15</v>
      </c>
      <c r="Q1019" s="7">
        <f>G1019-F1019</f>
        <v>2.0833333335758653E-2</v>
      </c>
      <c r="R1019">
        <f>HOUR(Q1019)</f>
        <v>0</v>
      </c>
      <c r="S1019">
        <f>MINUTE(Q1019)</f>
        <v>30</v>
      </c>
      <c r="T1019">
        <f>R1019*60+S1019</f>
        <v>30</v>
      </c>
      <c r="U1019" s="7">
        <f>H1019-G1019</f>
        <v>6.25E-2</v>
      </c>
      <c r="V1019">
        <f>HOUR(U1019)</f>
        <v>1</v>
      </c>
      <c r="W1019">
        <f>MINUTE(U1019)</f>
        <v>30</v>
      </c>
      <c r="X1019">
        <f>V1019*60+W1019</f>
        <v>90</v>
      </c>
      <c r="Y1019" s="7">
        <f>I1019-H1019</f>
        <v>6.9444444452528842E-3</v>
      </c>
      <c r="Z1019">
        <f>HOUR(Y1019)</f>
        <v>0</v>
      </c>
      <c r="AA1019">
        <f>MINUTE(Y1019)</f>
        <v>10</v>
      </c>
      <c r="AB1019">
        <f>Z1019*60+AA1019</f>
        <v>10</v>
      </c>
    </row>
    <row r="1020" spans="1:28" x14ac:dyDescent="0.25">
      <c r="A1020">
        <v>1018</v>
      </c>
      <c r="B1020" t="s">
        <v>33</v>
      </c>
      <c r="C1020">
        <v>1</v>
      </c>
      <c r="D1020" t="s">
        <v>30</v>
      </c>
      <c r="E1020" s="6">
        <v>46094.486111111109</v>
      </c>
      <c r="F1020" s="6">
        <v>46094.51458333333</v>
      </c>
      <c r="G1020" s="6">
        <v>46094.585416666669</v>
      </c>
      <c r="H1020" s="6">
        <v>46094.740972222222</v>
      </c>
      <c r="I1020" s="6">
        <v>46094.791666666664</v>
      </c>
      <c r="J1020" s="6">
        <v>46094.875</v>
      </c>
      <c r="K1020">
        <v>9.33</v>
      </c>
      <c r="L1020" s="6">
        <v>46094.881944444445</v>
      </c>
      <c r="M1020" s="7">
        <f>F1020-E1020</f>
        <v>2.8472222220443655E-2</v>
      </c>
      <c r="N1020">
        <f>HOUR(M1020)</f>
        <v>0</v>
      </c>
      <c r="O1020">
        <f>MINUTE(M1020)</f>
        <v>41</v>
      </c>
      <c r="P1020">
        <f>N1020*60+O1020</f>
        <v>41</v>
      </c>
      <c r="Q1020" s="7">
        <f>G1020-F1020</f>
        <v>7.0833333338669036E-2</v>
      </c>
      <c r="R1020">
        <f>HOUR(Q1020)</f>
        <v>1</v>
      </c>
      <c r="S1020">
        <f>MINUTE(Q1020)</f>
        <v>42</v>
      </c>
      <c r="T1020">
        <f>R1020*60+S1020</f>
        <v>102</v>
      </c>
      <c r="U1020" s="7">
        <f>H1020-G1020</f>
        <v>0.15555555555329192</v>
      </c>
      <c r="V1020">
        <f>HOUR(U1020)</f>
        <v>3</v>
      </c>
      <c r="W1020">
        <f>MINUTE(U1020)</f>
        <v>44</v>
      </c>
      <c r="X1020">
        <f>V1020*60+W1020</f>
        <v>224</v>
      </c>
      <c r="Y1020" s="7">
        <f>I1020-H1020</f>
        <v>5.0694444442342501E-2</v>
      </c>
      <c r="Z1020">
        <f>HOUR(Y1020)</f>
        <v>1</v>
      </c>
      <c r="AA1020">
        <f>MINUTE(Y1020)</f>
        <v>13</v>
      </c>
      <c r="AB1020">
        <f>Z1020*60+AA1020</f>
        <v>73</v>
      </c>
    </row>
    <row r="1021" spans="1:28" x14ac:dyDescent="0.25">
      <c r="A1021">
        <v>1019</v>
      </c>
      <c r="B1021" t="s">
        <v>31</v>
      </c>
      <c r="C1021">
        <v>1</v>
      </c>
      <c r="D1021" t="s">
        <v>35</v>
      </c>
      <c r="E1021" s="6">
        <v>46094.291666666664</v>
      </c>
      <c r="F1021" s="6">
        <v>46094.305555555555</v>
      </c>
      <c r="G1021" s="6">
        <v>46094.34375</v>
      </c>
      <c r="H1021" s="6">
        <v>46094.447916666664</v>
      </c>
      <c r="I1021" s="6">
        <v>46094.461805555555</v>
      </c>
      <c r="J1021" s="6">
        <v>46094.479166666664</v>
      </c>
      <c r="K1021">
        <v>4.5</v>
      </c>
      <c r="L1021" s="6">
        <v>46094.480555555558</v>
      </c>
      <c r="M1021" s="7">
        <f>F1021-E1021</f>
        <v>1.3888888890505768E-2</v>
      </c>
      <c r="N1021">
        <f>HOUR(M1021)</f>
        <v>0</v>
      </c>
      <c r="O1021">
        <f>MINUTE(M1021)</f>
        <v>20</v>
      </c>
      <c r="P1021">
        <f>N1021*60+O1021</f>
        <v>20</v>
      </c>
      <c r="Q1021" s="7">
        <f>G1021-F1021</f>
        <v>3.8194444445252884E-2</v>
      </c>
      <c r="R1021">
        <f>HOUR(Q1021)</f>
        <v>0</v>
      </c>
      <c r="S1021">
        <f>MINUTE(Q1021)</f>
        <v>55</v>
      </c>
      <c r="T1021">
        <f>R1021*60+S1021</f>
        <v>55</v>
      </c>
      <c r="U1021" s="7">
        <f>H1021-G1021</f>
        <v>0.10416666666424135</v>
      </c>
      <c r="V1021">
        <f>HOUR(U1021)</f>
        <v>2</v>
      </c>
      <c r="W1021">
        <f>MINUTE(U1021)</f>
        <v>30</v>
      </c>
      <c r="X1021">
        <f>V1021*60+W1021</f>
        <v>150</v>
      </c>
      <c r="Y1021" s="7">
        <f>I1021-H1021</f>
        <v>1.3888888890505768E-2</v>
      </c>
      <c r="Z1021">
        <f>HOUR(Y1021)</f>
        <v>0</v>
      </c>
      <c r="AA1021">
        <f>MINUTE(Y1021)</f>
        <v>20</v>
      </c>
      <c r="AB1021">
        <f>Z1021*60+AA1021</f>
        <v>20</v>
      </c>
    </row>
    <row r="1022" spans="1:28" x14ac:dyDescent="0.25">
      <c r="A1022">
        <v>1020</v>
      </c>
      <c r="B1022" t="s">
        <v>31</v>
      </c>
      <c r="C1022">
        <v>1</v>
      </c>
      <c r="D1022" t="s">
        <v>34</v>
      </c>
      <c r="E1022" s="6">
        <v>46094.295138888891</v>
      </c>
      <c r="F1022" s="6">
        <v>46094.326388888891</v>
      </c>
      <c r="G1022" s="6">
        <v>46094.340277777781</v>
      </c>
      <c r="H1022" s="6">
        <v>46094.486111111109</v>
      </c>
      <c r="I1022" s="6">
        <v>46094.493055555555</v>
      </c>
      <c r="J1022" s="6">
        <v>46094.5</v>
      </c>
      <c r="K1022">
        <v>4.92</v>
      </c>
      <c r="L1022" s="6">
        <v>46094.506944444445</v>
      </c>
      <c r="M1022" s="7">
        <f>F1022-E1022</f>
        <v>3.125E-2</v>
      </c>
      <c r="N1022">
        <f>HOUR(M1022)</f>
        <v>0</v>
      </c>
      <c r="O1022">
        <f>MINUTE(M1022)</f>
        <v>45</v>
      </c>
      <c r="P1022">
        <f>N1022*60+O1022</f>
        <v>45</v>
      </c>
      <c r="Q1022" s="7">
        <f>G1022-F1022</f>
        <v>1.3888888890505768E-2</v>
      </c>
      <c r="R1022">
        <f>HOUR(Q1022)</f>
        <v>0</v>
      </c>
      <c r="S1022">
        <f>MINUTE(Q1022)</f>
        <v>20</v>
      </c>
      <c r="T1022">
        <f>R1022*60+S1022</f>
        <v>20</v>
      </c>
      <c r="U1022" s="7">
        <f>H1022-G1022</f>
        <v>0.14583333332848269</v>
      </c>
      <c r="V1022">
        <f>HOUR(U1022)</f>
        <v>3</v>
      </c>
      <c r="W1022">
        <f>MINUTE(U1022)</f>
        <v>30</v>
      </c>
      <c r="X1022">
        <f>V1022*60+W1022</f>
        <v>210</v>
      </c>
      <c r="Y1022" s="7">
        <f>I1022-H1022</f>
        <v>6.9444444452528842E-3</v>
      </c>
      <c r="Z1022">
        <f>HOUR(Y1022)</f>
        <v>0</v>
      </c>
      <c r="AA1022">
        <f>MINUTE(Y1022)</f>
        <v>10</v>
      </c>
      <c r="AB1022">
        <f>Z1022*60+AA1022</f>
        <v>10</v>
      </c>
    </row>
    <row r="1023" spans="1:28" x14ac:dyDescent="0.25">
      <c r="A1023">
        <v>1021</v>
      </c>
      <c r="B1023" t="s">
        <v>31</v>
      </c>
      <c r="C1023">
        <v>1</v>
      </c>
      <c r="D1023" t="s">
        <v>36</v>
      </c>
      <c r="E1023" s="6">
        <v>46094.486111111109</v>
      </c>
      <c r="F1023" s="6">
        <v>46094.5</v>
      </c>
      <c r="G1023" s="6">
        <v>46094.527777777781</v>
      </c>
      <c r="H1023" s="6">
        <v>46094.715277777781</v>
      </c>
      <c r="I1023" s="6">
        <v>46094.722222222219</v>
      </c>
      <c r="J1023" s="6">
        <v>46094.770833333336</v>
      </c>
      <c r="K1023">
        <v>6.83</v>
      </c>
      <c r="L1023" s="6">
        <v>46094.772222222222</v>
      </c>
      <c r="M1023" s="7">
        <f>F1023-E1023</f>
        <v>1.3888888890505768E-2</v>
      </c>
      <c r="N1023">
        <f>HOUR(M1023)</f>
        <v>0</v>
      </c>
      <c r="O1023">
        <f>MINUTE(M1023)</f>
        <v>20</v>
      </c>
      <c r="P1023">
        <f>N1023*60+O1023</f>
        <v>20</v>
      </c>
      <c r="Q1023" s="7">
        <f>G1023-F1023</f>
        <v>2.7777777781011537E-2</v>
      </c>
      <c r="R1023">
        <f>HOUR(Q1023)</f>
        <v>0</v>
      </c>
      <c r="S1023">
        <f>MINUTE(Q1023)</f>
        <v>40</v>
      </c>
      <c r="T1023">
        <f>R1023*60+S1023</f>
        <v>40</v>
      </c>
      <c r="U1023" s="7">
        <f>H1023-G1023</f>
        <v>0.1875</v>
      </c>
      <c r="V1023">
        <f>HOUR(U1023)</f>
        <v>4</v>
      </c>
      <c r="W1023">
        <f>MINUTE(U1023)</f>
        <v>30</v>
      </c>
      <c r="X1023">
        <f>V1023*60+W1023</f>
        <v>270</v>
      </c>
      <c r="Y1023" s="7">
        <f>I1023-H1023</f>
        <v>6.9444444379769266E-3</v>
      </c>
      <c r="Z1023">
        <f>HOUR(Y1023)</f>
        <v>0</v>
      </c>
      <c r="AA1023">
        <f>MINUTE(Y1023)</f>
        <v>10</v>
      </c>
      <c r="AB1023">
        <f>Z1023*60+AA1023</f>
        <v>10</v>
      </c>
    </row>
    <row r="1024" spans="1:28" x14ac:dyDescent="0.25">
      <c r="A1024">
        <v>1022</v>
      </c>
      <c r="B1024" t="s">
        <v>31</v>
      </c>
      <c r="C1024">
        <v>1</v>
      </c>
      <c r="D1024" t="s">
        <v>32</v>
      </c>
      <c r="E1024" s="6">
        <v>46094.357638888891</v>
      </c>
      <c r="F1024" s="6">
        <v>46094.361111111109</v>
      </c>
      <c r="G1024" s="6">
        <v>46094.368055555555</v>
      </c>
      <c r="H1024" s="6">
        <v>46094.4375</v>
      </c>
      <c r="I1024" s="6">
        <v>46094.441666666666</v>
      </c>
      <c r="J1024" s="6">
        <v>46094.454861111109</v>
      </c>
      <c r="K1024">
        <v>2.33</v>
      </c>
      <c r="L1024" s="6">
        <v>46094.455555555556</v>
      </c>
      <c r="M1024" s="7">
        <f>F1024-E1024</f>
        <v>3.4722222189884633E-3</v>
      </c>
      <c r="N1024">
        <f>HOUR(M1024)</f>
        <v>0</v>
      </c>
      <c r="O1024">
        <f>MINUTE(M1024)</f>
        <v>5</v>
      </c>
      <c r="P1024">
        <f>N1024*60+O1024</f>
        <v>5</v>
      </c>
      <c r="Q1024" s="7">
        <f>G1024-F1024</f>
        <v>6.9444444452528842E-3</v>
      </c>
      <c r="R1024">
        <f>HOUR(Q1024)</f>
        <v>0</v>
      </c>
      <c r="S1024">
        <f>MINUTE(Q1024)</f>
        <v>10</v>
      </c>
      <c r="T1024">
        <f>R1024*60+S1024</f>
        <v>10</v>
      </c>
      <c r="U1024" s="7">
        <f>H1024-G1024</f>
        <v>6.9444444445252884E-2</v>
      </c>
      <c r="V1024">
        <f>HOUR(U1024)</f>
        <v>1</v>
      </c>
      <c r="W1024">
        <f>MINUTE(U1024)</f>
        <v>40</v>
      </c>
      <c r="X1024">
        <f>V1024*60+W1024</f>
        <v>100</v>
      </c>
      <c r="Y1024" s="7">
        <f>I1024-H1024</f>
        <v>4.166666665696539E-3</v>
      </c>
      <c r="Z1024">
        <f>HOUR(Y1024)</f>
        <v>0</v>
      </c>
      <c r="AA1024">
        <f>MINUTE(Y1024)</f>
        <v>6</v>
      </c>
      <c r="AB1024">
        <f>Z1024*60+AA1024</f>
        <v>6</v>
      </c>
    </row>
    <row r="1025" spans="1:28" x14ac:dyDescent="0.25">
      <c r="A1025">
        <v>1023</v>
      </c>
      <c r="B1025" t="s">
        <v>31</v>
      </c>
      <c r="C1025">
        <v>1</v>
      </c>
      <c r="D1025" t="s">
        <v>30</v>
      </c>
      <c r="E1025" s="6">
        <v>46094.628472222219</v>
      </c>
      <c r="F1025" s="6">
        <v>46094.629166666666</v>
      </c>
      <c r="G1025" s="6">
        <v>46094.65625</v>
      </c>
      <c r="H1025" s="6">
        <v>46094.711805555555</v>
      </c>
      <c r="I1025" s="6">
        <v>46094.760416666664</v>
      </c>
      <c r="J1025" s="6">
        <v>46094.763888888891</v>
      </c>
      <c r="K1025">
        <v>3.25</v>
      </c>
      <c r="L1025" s="6">
        <v>46094.76458333333</v>
      </c>
      <c r="M1025" s="7">
        <f>F1025-E1025</f>
        <v>6.944444467080757E-4</v>
      </c>
      <c r="N1025">
        <f>HOUR(M1025)</f>
        <v>0</v>
      </c>
      <c r="O1025">
        <f>MINUTE(M1025)</f>
        <v>1</v>
      </c>
      <c r="P1025">
        <f>N1025*60+O1025</f>
        <v>1</v>
      </c>
      <c r="Q1025" s="7">
        <f>G1025-F1025</f>
        <v>2.7083333334303461E-2</v>
      </c>
      <c r="R1025">
        <f>HOUR(Q1025)</f>
        <v>0</v>
      </c>
      <c r="S1025">
        <f>MINUTE(Q1025)</f>
        <v>39</v>
      </c>
      <c r="T1025">
        <f>R1025*60+S1025</f>
        <v>39</v>
      </c>
      <c r="U1025" s="7">
        <f>H1025-G1025</f>
        <v>5.5555555554747116E-2</v>
      </c>
      <c r="V1025">
        <f>HOUR(U1025)</f>
        <v>1</v>
      </c>
      <c r="W1025">
        <f>MINUTE(U1025)</f>
        <v>20</v>
      </c>
      <c r="X1025">
        <f>V1025*60+W1025</f>
        <v>80</v>
      </c>
      <c r="Y1025" s="7">
        <f>I1025-H1025</f>
        <v>4.8611111109494232E-2</v>
      </c>
      <c r="Z1025">
        <f>HOUR(Y1025)</f>
        <v>1</v>
      </c>
      <c r="AA1025">
        <f>MINUTE(Y1025)</f>
        <v>10</v>
      </c>
      <c r="AB1025">
        <f>Z1025*60+AA1025</f>
        <v>70</v>
      </c>
    </row>
    <row r="1026" spans="1:28" x14ac:dyDescent="0.25">
      <c r="A1026">
        <v>1024</v>
      </c>
      <c r="B1026" t="s">
        <v>33</v>
      </c>
      <c r="C1026">
        <v>1</v>
      </c>
      <c r="D1026" t="s">
        <v>35</v>
      </c>
      <c r="E1026" s="6">
        <v>46095.352777777778</v>
      </c>
      <c r="F1026" s="6">
        <v>46095.354166666664</v>
      </c>
      <c r="G1026" s="6">
        <v>46095.375</v>
      </c>
      <c r="H1026" s="6">
        <v>46095.434027777781</v>
      </c>
      <c r="I1026" s="6">
        <v>46095.444444444445</v>
      </c>
      <c r="J1026" s="6">
        <v>46095.450694444444</v>
      </c>
      <c r="K1026">
        <v>2.35</v>
      </c>
      <c r="L1026" s="6">
        <v>46095.451388888891</v>
      </c>
      <c r="M1026" s="7">
        <f>F1026-E1026</f>
        <v>1.3888888861401938E-3</v>
      </c>
      <c r="N1026">
        <f>HOUR(M1026)</f>
        <v>0</v>
      </c>
      <c r="O1026">
        <f>MINUTE(M1026)</f>
        <v>2</v>
      </c>
      <c r="P1026">
        <f>N1026*60+O1026</f>
        <v>2</v>
      </c>
      <c r="Q1026" s="7">
        <f>G1026-F1026</f>
        <v>2.0833333335758653E-2</v>
      </c>
      <c r="R1026">
        <f>HOUR(Q1026)</f>
        <v>0</v>
      </c>
      <c r="S1026">
        <f>MINUTE(Q1026)</f>
        <v>30</v>
      </c>
      <c r="T1026">
        <f>R1026*60+S1026</f>
        <v>30</v>
      </c>
      <c r="U1026" s="7">
        <f>H1026-G1026</f>
        <v>5.9027777781011537E-2</v>
      </c>
      <c r="V1026">
        <f>HOUR(U1026)</f>
        <v>1</v>
      </c>
      <c r="W1026">
        <f>MINUTE(U1026)</f>
        <v>25</v>
      </c>
      <c r="X1026">
        <f>V1026*60+W1026</f>
        <v>85</v>
      </c>
      <c r="Y1026" s="7">
        <f>I1026-H1026</f>
        <v>1.0416666664241347E-2</v>
      </c>
      <c r="Z1026">
        <f>HOUR(Y1026)</f>
        <v>0</v>
      </c>
      <c r="AA1026">
        <f>MINUTE(Y1026)</f>
        <v>15</v>
      </c>
      <c r="AB1026">
        <f>Z1026*60+AA1026</f>
        <v>15</v>
      </c>
    </row>
    <row r="1027" spans="1:28" x14ac:dyDescent="0.25">
      <c r="A1027">
        <v>1025</v>
      </c>
      <c r="B1027" t="s">
        <v>31</v>
      </c>
      <c r="C1027">
        <v>1</v>
      </c>
      <c r="D1027" t="s">
        <v>30</v>
      </c>
      <c r="E1027" s="6">
        <v>46094.888888888891</v>
      </c>
      <c r="F1027" s="6">
        <v>46094.895833333336</v>
      </c>
      <c r="G1027" s="6">
        <v>46094.909722222219</v>
      </c>
      <c r="H1027" s="6">
        <v>46094.9375</v>
      </c>
      <c r="I1027" s="6">
        <v>46094.944444444445</v>
      </c>
      <c r="J1027" s="6">
        <v>46094.947916666664</v>
      </c>
      <c r="K1027">
        <v>1.42</v>
      </c>
      <c r="L1027" s="6">
        <v>46094.954861111109</v>
      </c>
      <c r="M1027" s="7">
        <f>F1027-E1027</f>
        <v>6.9444444452528842E-3</v>
      </c>
      <c r="N1027">
        <f>HOUR(M1027)</f>
        <v>0</v>
      </c>
      <c r="O1027">
        <f>MINUTE(M1027)</f>
        <v>10</v>
      </c>
      <c r="P1027">
        <f>N1027*60+O1027</f>
        <v>10</v>
      </c>
      <c r="Q1027" s="7">
        <f>G1027-F1027</f>
        <v>1.3888888883229811E-2</v>
      </c>
      <c r="R1027">
        <f>HOUR(Q1027)</f>
        <v>0</v>
      </c>
      <c r="S1027">
        <f>MINUTE(Q1027)</f>
        <v>20</v>
      </c>
      <c r="T1027">
        <f>R1027*60+S1027</f>
        <v>20</v>
      </c>
      <c r="U1027" s="7">
        <f>H1027-G1027</f>
        <v>2.7777777781011537E-2</v>
      </c>
      <c r="V1027">
        <f>HOUR(U1027)</f>
        <v>0</v>
      </c>
      <c r="W1027">
        <f>MINUTE(U1027)</f>
        <v>40</v>
      </c>
      <c r="X1027">
        <f>V1027*60+W1027</f>
        <v>40</v>
      </c>
      <c r="Y1027" s="7">
        <f>I1027-H1027</f>
        <v>6.9444444452528842E-3</v>
      </c>
      <c r="Z1027">
        <f>HOUR(Y1027)</f>
        <v>0</v>
      </c>
      <c r="AA1027">
        <f>MINUTE(Y1027)</f>
        <v>10</v>
      </c>
      <c r="AB1027">
        <f>Z1027*60+AA1027</f>
        <v>10</v>
      </c>
    </row>
    <row r="1028" spans="1:28" x14ac:dyDescent="0.25">
      <c r="A1028">
        <v>1026</v>
      </c>
      <c r="B1028" t="s">
        <v>33</v>
      </c>
      <c r="C1028">
        <v>1</v>
      </c>
      <c r="D1028" t="s">
        <v>30</v>
      </c>
      <c r="E1028" s="6">
        <v>46094.557638888888</v>
      </c>
      <c r="F1028" s="6">
        <v>46094.5625</v>
      </c>
      <c r="G1028" s="6">
        <v>46094.576388888891</v>
      </c>
      <c r="H1028" s="6">
        <v>46094.672222222223</v>
      </c>
      <c r="I1028" s="6">
        <v>46094.680555555555</v>
      </c>
      <c r="J1028" s="6">
        <v>46094.704861111109</v>
      </c>
      <c r="K1028">
        <v>3.53</v>
      </c>
      <c r="L1028" s="6">
        <v>46094.708333333336</v>
      </c>
      <c r="M1028" s="7">
        <f>F1028-E1028</f>
        <v>4.8611111124046147E-3</v>
      </c>
      <c r="N1028">
        <f>HOUR(M1028)</f>
        <v>0</v>
      </c>
      <c r="O1028">
        <f>MINUTE(M1028)</f>
        <v>7</v>
      </c>
      <c r="P1028">
        <f>N1028*60+O1028</f>
        <v>7</v>
      </c>
      <c r="Q1028" s="7">
        <f>G1028-F1028</f>
        <v>1.3888888890505768E-2</v>
      </c>
      <c r="R1028">
        <f>HOUR(Q1028)</f>
        <v>0</v>
      </c>
      <c r="S1028">
        <f>MINUTE(Q1028)</f>
        <v>20</v>
      </c>
      <c r="T1028">
        <f>R1028*60+S1028</f>
        <v>20</v>
      </c>
      <c r="U1028" s="7">
        <f>H1028-G1028</f>
        <v>9.5833333332848269E-2</v>
      </c>
      <c r="V1028">
        <f>HOUR(U1028)</f>
        <v>2</v>
      </c>
      <c r="W1028">
        <f>MINUTE(U1028)</f>
        <v>18</v>
      </c>
      <c r="X1028">
        <f>V1028*60+W1028</f>
        <v>138</v>
      </c>
      <c r="Y1028" s="7">
        <f>I1028-H1028</f>
        <v>8.333333331393078E-3</v>
      </c>
      <c r="Z1028">
        <f>HOUR(Y1028)</f>
        <v>0</v>
      </c>
      <c r="AA1028">
        <f>MINUTE(Y1028)</f>
        <v>12</v>
      </c>
      <c r="AB1028">
        <f>Z1028*60+AA1028</f>
        <v>12</v>
      </c>
    </row>
    <row r="1029" spans="1:28" x14ac:dyDescent="0.25">
      <c r="A1029">
        <v>1027</v>
      </c>
      <c r="B1029" t="s">
        <v>29</v>
      </c>
      <c r="C1029">
        <v>1</v>
      </c>
      <c r="D1029" t="s">
        <v>35</v>
      </c>
      <c r="E1029" s="6">
        <v>46097.295138888891</v>
      </c>
      <c r="F1029" s="6">
        <v>46097.319444444445</v>
      </c>
      <c r="G1029" s="6">
        <v>46097.34375</v>
      </c>
      <c r="H1029" s="6">
        <v>46097.427083333336</v>
      </c>
      <c r="I1029" s="6">
        <v>46097.434027777781</v>
      </c>
      <c r="J1029" s="6">
        <v>46097.4375</v>
      </c>
      <c r="K1029">
        <v>3.42</v>
      </c>
      <c r="L1029" s="6">
        <v>46097.444444444445</v>
      </c>
      <c r="M1029" s="7">
        <f>F1029-E1029</f>
        <v>2.4305555554747116E-2</v>
      </c>
      <c r="N1029">
        <f>HOUR(M1029)</f>
        <v>0</v>
      </c>
      <c r="O1029">
        <f>MINUTE(M1029)</f>
        <v>35</v>
      </c>
      <c r="P1029">
        <f>N1029*60+O1029</f>
        <v>35</v>
      </c>
      <c r="Q1029" s="7">
        <f>G1029-F1029</f>
        <v>2.4305555554747116E-2</v>
      </c>
      <c r="R1029">
        <f>HOUR(Q1029)</f>
        <v>0</v>
      </c>
      <c r="S1029">
        <f>MINUTE(Q1029)</f>
        <v>35</v>
      </c>
      <c r="T1029">
        <f>R1029*60+S1029</f>
        <v>35</v>
      </c>
      <c r="U1029" s="7">
        <f>H1029-G1029</f>
        <v>8.3333333335758653E-2</v>
      </c>
      <c r="V1029">
        <f>HOUR(U1029)</f>
        <v>2</v>
      </c>
      <c r="W1029">
        <f>MINUTE(U1029)</f>
        <v>0</v>
      </c>
      <c r="X1029">
        <f>V1029*60+W1029</f>
        <v>120</v>
      </c>
      <c r="Y1029" s="7">
        <f>I1029-H1029</f>
        <v>6.9444444452528842E-3</v>
      </c>
      <c r="Z1029">
        <f>HOUR(Y1029)</f>
        <v>0</v>
      </c>
      <c r="AA1029">
        <f>MINUTE(Y1029)</f>
        <v>10</v>
      </c>
      <c r="AB1029">
        <f>Z1029*60+AA1029</f>
        <v>10</v>
      </c>
    </row>
    <row r="1030" spans="1:28" x14ac:dyDescent="0.25">
      <c r="A1030">
        <v>1028</v>
      </c>
      <c r="B1030" t="s">
        <v>33</v>
      </c>
      <c r="C1030">
        <v>1</v>
      </c>
      <c r="D1030" t="s">
        <v>37</v>
      </c>
      <c r="E1030" s="6">
        <v>46097.489583333336</v>
      </c>
      <c r="F1030" s="6">
        <v>46097.5</v>
      </c>
      <c r="G1030" s="6">
        <v>46097.513888888891</v>
      </c>
      <c r="H1030" s="6">
        <v>46097.538194444445</v>
      </c>
      <c r="I1030" s="6">
        <v>46097.545138888891</v>
      </c>
      <c r="J1030" s="6">
        <v>46097.552083333336</v>
      </c>
      <c r="K1030">
        <v>1.5</v>
      </c>
      <c r="L1030" s="6">
        <v>46097.559027777781</v>
      </c>
      <c r="M1030" s="7">
        <f>F1030-E1030</f>
        <v>1.0416666664241347E-2</v>
      </c>
      <c r="N1030">
        <f>HOUR(M1030)</f>
        <v>0</v>
      </c>
      <c r="O1030">
        <f>MINUTE(M1030)</f>
        <v>15</v>
      </c>
      <c r="P1030">
        <f>N1030*60+O1030</f>
        <v>15</v>
      </c>
      <c r="Q1030" s="7">
        <f>G1030-F1030</f>
        <v>1.3888888890505768E-2</v>
      </c>
      <c r="R1030">
        <f>HOUR(Q1030)</f>
        <v>0</v>
      </c>
      <c r="S1030">
        <f>MINUTE(Q1030)</f>
        <v>20</v>
      </c>
      <c r="T1030">
        <f>R1030*60+S1030</f>
        <v>20</v>
      </c>
      <c r="U1030" s="7">
        <f>H1030-G1030</f>
        <v>2.4305555554747116E-2</v>
      </c>
      <c r="V1030">
        <f>HOUR(U1030)</f>
        <v>0</v>
      </c>
      <c r="W1030">
        <f>MINUTE(U1030)</f>
        <v>35</v>
      </c>
      <c r="X1030">
        <f>V1030*60+W1030</f>
        <v>35</v>
      </c>
      <c r="Y1030" s="7">
        <f>I1030-H1030</f>
        <v>6.9444444452528842E-3</v>
      </c>
      <c r="Z1030">
        <f>HOUR(Y1030)</f>
        <v>0</v>
      </c>
      <c r="AA1030">
        <f>MINUTE(Y1030)</f>
        <v>10</v>
      </c>
      <c r="AB1030">
        <f>Z1030*60+AA1030</f>
        <v>10</v>
      </c>
    </row>
    <row r="1031" spans="1:28" x14ac:dyDescent="0.25">
      <c r="A1031">
        <v>1029</v>
      </c>
      <c r="B1031" t="s">
        <v>33</v>
      </c>
      <c r="C1031">
        <v>1</v>
      </c>
      <c r="D1031" t="s">
        <v>32</v>
      </c>
      <c r="E1031" s="6">
        <v>46097.607638888891</v>
      </c>
      <c r="F1031" s="6">
        <v>46097.618055555555</v>
      </c>
      <c r="G1031" s="6">
        <v>46097.645833333336</v>
      </c>
      <c r="H1031" s="6">
        <v>46097.798611111109</v>
      </c>
      <c r="I1031" s="6">
        <v>46097.805555555555</v>
      </c>
      <c r="J1031" s="6">
        <v>46097.811805555553</v>
      </c>
      <c r="K1031">
        <v>4.9000000000000004</v>
      </c>
      <c r="L1031" s="6">
        <v>46097.818749999999</v>
      </c>
      <c r="M1031" s="7">
        <f>F1031-E1031</f>
        <v>1.0416666664241347E-2</v>
      </c>
      <c r="N1031">
        <f>HOUR(M1031)</f>
        <v>0</v>
      </c>
      <c r="O1031">
        <f>MINUTE(M1031)</f>
        <v>15</v>
      </c>
      <c r="P1031">
        <f>N1031*60+O1031</f>
        <v>15</v>
      </c>
      <c r="Q1031" s="7">
        <f>G1031-F1031</f>
        <v>2.7777777781011537E-2</v>
      </c>
      <c r="R1031">
        <f>HOUR(Q1031)</f>
        <v>0</v>
      </c>
      <c r="S1031">
        <f>MINUTE(Q1031)</f>
        <v>40</v>
      </c>
      <c r="T1031">
        <f>R1031*60+S1031</f>
        <v>40</v>
      </c>
      <c r="U1031" s="7">
        <f>H1031-G1031</f>
        <v>0.15277777777373558</v>
      </c>
      <c r="V1031">
        <f>HOUR(U1031)</f>
        <v>3</v>
      </c>
      <c r="W1031">
        <f>MINUTE(U1031)</f>
        <v>40</v>
      </c>
      <c r="X1031">
        <f>V1031*60+W1031</f>
        <v>220</v>
      </c>
      <c r="Y1031" s="7">
        <f>I1031-H1031</f>
        <v>6.9444444452528842E-3</v>
      </c>
      <c r="Z1031">
        <f>HOUR(Y1031)</f>
        <v>0</v>
      </c>
      <c r="AA1031">
        <f>MINUTE(Y1031)</f>
        <v>10</v>
      </c>
      <c r="AB1031">
        <f>Z1031*60+AA1031</f>
        <v>10</v>
      </c>
    </row>
    <row r="1032" spans="1:28" x14ac:dyDescent="0.25">
      <c r="A1032">
        <v>1030</v>
      </c>
      <c r="B1032" t="s">
        <v>33</v>
      </c>
      <c r="C1032">
        <v>1</v>
      </c>
      <c r="D1032" t="s">
        <v>35</v>
      </c>
      <c r="E1032" s="6">
        <v>46097.465277777781</v>
      </c>
      <c r="F1032" s="6">
        <v>46097.472222222219</v>
      </c>
      <c r="G1032" s="6">
        <v>46097.493055555555</v>
      </c>
      <c r="H1032" s="6">
        <v>46097.53125</v>
      </c>
      <c r="I1032" s="6">
        <v>46097.534722222219</v>
      </c>
      <c r="J1032" s="6">
        <v>46097.548611111109</v>
      </c>
      <c r="K1032">
        <v>2</v>
      </c>
      <c r="L1032" s="6">
        <v>46097.549305555556</v>
      </c>
      <c r="M1032" s="7">
        <f>F1032-E1032</f>
        <v>6.9444444379769266E-3</v>
      </c>
      <c r="N1032">
        <f>HOUR(M1032)</f>
        <v>0</v>
      </c>
      <c r="O1032">
        <f>MINUTE(M1032)</f>
        <v>10</v>
      </c>
      <c r="P1032">
        <f>N1032*60+O1032</f>
        <v>10</v>
      </c>
      <c r="Q1032" s="7">
        <f>G1032-F1032</f>
        <v>2.0833333335758653E-2</v>
      </c>
      <c r="R1032">
        <f>HOUR(Q1032)</f>
        <v>0</v>
      </c>
      <c r="S1032">
        <f>MINUTE(Q1032)</f>
        <v>30</v>
      </c>
      <c r="T1032">
        <f>R1032*60+S1032</f>
        <v>30</v>
      </c>
      <c r="U1032" s="7">
        <f>H1032-G1032</f>
        <v>3.8194444445252884E-2</v>
      </c>
      <c r="V1032">
        <f>HOUR(U1032)</f>
        <v>0</v>
      </c>
      <c r="W1032">
        <f>MINUTE(U1032)</f>
        <v>55</v>
      </c>
      <c r="X1032">
        <f>V1032*60+W1032</f>
        <v>55</v>
      </c>
      <c r="Y1032" s="7">
        <f>I1032-H1032</f>
        <v>3.4722222189884633E-3</v>
      </c>
      <c r="Z1032">
        <f>HOUR(Y1032)</f>
        <v>0</v>
      </c>
      <c r="AA1032">
        <f>MINUTE(Y1032)</f>
        <v>5</v>
      </c>
      <c r="AB1032">
        <f>Z1032*60+AA1032</f>
        <v>5</v>
      </c>
    </row>
    <row r="1033" spans="1:28" x14ac:dyDescent="0.25">
      <c r="A1033">
        <v>1031</v>
      </c>
      <c r="B1033" t="s">
        <v>33</v>
      </c>
      <c r="C1033">
        <v>1</v>
      </c>
      <c r="D1033" t="s">
        <v>30</v>
      </c>
      <c r="E1033" s="6">
        <v>46094.607638888891</v>
      </c>
      <c r="F1033" s="6">
        <v>46094.611111111109</v>
      </c>
      <c r="G1033" s="6">
        <v>46094.614583333336</v>
      </c>
      <c r="H1033" s="6">
        <v>46094.618055555555</v>
      </c>
      <c r="I1033" s="6">
        <v>46094.625</v>
      </c>
      <c r="J1033" s="6">
        <v>46094.628472222219</v>
      </c>
      <c r="K1033">
        <v>0.5</v>
      </c>
      <c r="L1033" s="6">
        <v>46094.635416666664</v>
      </c>
      <c r="M1033" s="7">
        <f>F1033-E1033</f>
        <v>3.4722222189884633E-3</v>
      </c>
      <c r="N1033">
        <f>HOUR(M1033)</f>
        <v>0</v>
      </c>
      <c r="O1033">
        <f>MINUTE(M1033)</f>
        <v>5</v>
      </c>
      <c r="P1033">
        <f>N1033*60+O1033</f>
        <v>5</v>
      </c>
      <c r="Q1033" s="7">
        <f>G1033-F1033</f>
        <v>3.4722222262644209E-3</v>
      </c>
      <c r="R1033">
        <f>HOUR(Q1033)</f>
        <v>0</v>
      </c>
      <c r="S1033">
        <f>MINUTE(Q1033)</f>
        <v>5</v>
      </c>
      <c r="T1033">
        <f>R1033*60+S1033</f>
        <v>5</v>
      </c>
      <c r="U1033" s="7">
        <f>H1033-G1033</f>
        <v>3.4722222189884633E-3</v>
      </c>
      <c r="V1033">
        <f>HOUR(U1033)</f>
        <v>0</v>
      </c>
      <c r="W1033">
        <f>MINUTE(U1033)</f>
        <v>5</v>
      </c>
      <c r="X1033">
        <f>V1033*60+W1033</f>
        <v>5</v>
      </c>
      <c r="Y1033" s="7">
        <f>I1033-H1033</f>
        <v>6.9444444452528842E-3</v>
      </c>
      <c r="Z1033">
        <f>HOUR(Y1033)</f>
        <v>0</v>
      </c>
      <c r="AA1033">
        <f>MINUTE(Y1033)</f>
        <v>10</v>
      </c>
      <c r="AB1033">
        <f>Z1033*60+AA1033</f>
        <v>10</v>
      </c>
    </row>
    <row r="1034" spans="1:28" x14ac:dyDescent="0.25">
      <c r="A1034">
        <v>1032</v>
      </c>
      <c r="B1034" t="s">
        <v>33</v>
      </c>
      <c r="C1034">
        <v>1</v>
      </c>
      <c r="D1034" t="s">
        <v>30</v>
      </c>
      <c r="E1034" s="6">
        <v>46095.614583333336</v>
      </c>
      <c r="F1034" s="6">
        <v>46095.628472222219</v>
      </c>
      <c r="G1034" s="6">
        <v>46095.642361111109</v>
      </c>
      <c r="H1034" s="6">
        <v>46095.663194444445</v>
      </c>
      <c r="I1034" s="6">
        <v>46095.666666666664</v>
      </c>
      <c r="J1034" s="6">
        <v>46095.670138888891</v>
      </c>
      <c r="K1034">
        <v>1.33</v>
      </c>
      <c r="L1034" s="6">
        <v>46095.677083333336</v>
      </c>
      <c r="M1034" s="7">
        <f>F1034-E1034</f>
        <v>1.3888888883229811E-2</v>
      </c>
      <c r="N1034">
        <f>HOUR(M1034)</f>
        <v>0</v>
      </c>
      <c r="O1034">
        <f>MINUTE(M1034)</f>
        <v>20</v>
      </c>
      <c r="P1034">
        <f>N1034*60+O1034</f>
        <v>20</v>
      </c>
      <c r="Q1034" s="7">
        <f>G1034-F1034</f>
        <v>1.3888888890505768E-2</v>
      </c>
      <c r="R1034">
        <f>HOUR(Q1034)</f>
        <v>0</v>
      </c>
      <c r="S1034">
        <f>MINUTE(Q1034)</f>
        <v>20</v>
      </c>
      <c r="T1034">
        <f>R1034*60+S1034</f>
        <v>20</v>
      </c>
      <c r="U1034" s="7">
        <f>H1034-G1034</f>
        <v>2.0833333335758653E-2</v>
      </c>
      <c r="V1034">
        <f>HOUR(U1034)</f>
        <v>0</v>
      </c>
      <c r="W1034">
        <f>MINUTE(U1034)</f>
        <v>30</v>
      </c>
      <c r="X1034">
        <f>V1034*60+W1034</f>
        <v>30</v>
      </c>
      <c r="Y1034" s="7">
        <f>I1034-H1034</f>
        <v>3.4722222189884633E-3</v>
      </c>
      <c r="Z1034">
        <f>HOUR(Y1034)</f>
        <v>0</v>
      </c>
      <c r="AA1034">
        <f>MINUTE(Y1034)</f>
        <v>5</v>
      </c>
      <c r="AB1034">
        <f>Z1034*60+AA1034</f>
        <v>5</v>
      </c>
    </row>
    <row r="1035" spans="1:28" x14ac:dyDescent="0.25">
      <c r="A1035">
        <v>1033</v>
      </c>
      <c r="B1035" t="s">
        <v>33</v>
      </c>
      <c r="C1035">
        <v>1</v>
      </c>
      <c r="D1035" t="s">
        <v>30</v>
      </c>
      <c r="E1035" s="6">
        <v>46100.493055555555</v>
      </c>
      <c r="F1035" s="6">
        <v>46100.520833333336</v>
      </c>
      <c r="G1035" s="6">
        <v>46100.583333333336</v>
      </c>
      <c r="H1035" s="6">
        <v>46100.666666666664</v>
      </c>
      <c r="I1035" s="6">
        <v>46100.6875</v>
      </c>
      <c r="J1035" s="6">
        <v>46100.697916666664</v>
      </c>
      <c r="K1035">
        <v>4.92</v>
      </c>
      <c r="L1035" s="6">
        <v>46100.698611111111</v>
      </c>
      <c r="M1035" s="7">
        <f>F1035-E1035</f>
        <v>2.7777777781011537E-2</v>
      </c>
      <c r="N1035">
        <f>HOUR(M1035)</f>
        <v>0</v>
      </c>
      <c r="O1035">
        <f>MINUTE(M1035)</f>
        <v>40</v>
      </c>
      <c r="P1035">
        <f>N1035*60+O1035</f>
        <v>40</v>
      </c>
      <c r="Q1035" s="7">
        <f>G1035-F1035</f>
        <v>6.25E-2</v>
      </c>
      <c r="R1035">
        <f>HOUR(Q1035)</f>
        <v>1</v>
      </c>
      <c r="S1035">
        <f>MINUTE(Q1035)</f>
        <v>30</v>
      </c>
      <c r="T1035">
        <f>R1035*60+S1035</f>
        <v>90</v>
      </c>
      <c r="U1035" s="7">
        <f>H1035-G1035</f>
        <v>8.3333333328482695E-2</v>
      </c>
      <c r="V1035">
        <f>HOUR(U1035)</f>
        <v>2</v>
      </c>
      <c r="W1035">
        <f>MINUTE(U1035)</f>
        <v>0</v>
      </c>
      <c r="X1035">
        <f>V1035*60+W1035</f>
        <v>120</v>
      </c>
      <c r="Y1035" s="7">
        <f>I1035-H1035</f>
        <v>2.0833333335758653E-2</v>
      </c>
      <c r="Z1035">
        <f>HOUR(Y1035)</f>
        <v>0</v>
      </c>
      <c r="AA1035">
        <f>MINUTE(Y1035)</f>
        <v>30</v>
      </c>
      <c r="AB1035">
        <f>Z1035*60+AA1035</f>
        <v>30</v>
      </c>
    </row>
    <row r="1036" spans="1:28" x14ac:dyDescent="0.25">
      <c r="A1036">
        <v>1034</v>
      </c>
      <c r="B1036" t="s">
        <v>31</v>
      </c>
      <c r="C1036">
        <v>1</v>
      </c>
      <c r="D1036" t="s">
        <v>35</v>
      </c>
      <c r="E1036" s="6">
        <v>46094.711805555555</v>
      </c>
      <c r="F1036" s="6">
        <v>46094.722222222219</v>
      </c>
      <c r="G1036" s="6">
        <v>46094.743055555555</v>
      </c>
      <c r="H1036" s="6">
        <v>46094.977777777778</v>
      </c>
      <c r="I1036" s="6">
        <v>46094.982638888891</v>
      </c>
      <c r="J1036" s="6">
        <v>46094.986111111109</v>
      </c>
      <c r="K1036">
        <v>6.58</v>
      </c>
      <c r="L1036" s="6">
        <v>46094.993055555555</v>
      </c>
      <c r="M1036" s="7">
        <f>F1036-E1036</f>
        <v>1.0416666664241347E-2</v>
      </c>
      <c r="N1036">
        <f>HOUR(M1036)</f>
        <v>0</v>
      </c>
      <c r="O1036">
        <f>MINUTE(M1036)</f>
        <v>15</v>
      </c>
      <c r="P1036">
        <f>N1036*60+O1036</f>
        <v>15</v>
      </c>
      <c r="Q1036" s="7">
        <f>G1036-F1036</f>
        <v>2.0833333335758653E-2</v>
      </c>
      <c r="R1036">
        <f>HOUR(Q1036)</f>
        <v>0</v>
      </c>
      <c r="S1036">
        <f>MINUTE(Q1036)</f>
        <v>30</v>
      </c>
      <c r="T1036">
        <f>R1036*60+S1036</f>
        <v>30</v>
      </c>
      <c r="U1036" s="7">
        <f>H1036-G1036</f>
        <v>0.23472222222335404</v>
      </c>
      <c r="V1036">
        <f>HOUR(U1036)</f>
        <v>5</v>
      </c>
      <c r="W1036">
        <f>MINUTE(U1036)</f>
        <v>38</v>
      </c>
      <c r="X1036">
        <f>V1036*60+W1036</f>
        <v>338</v>
      </c>
      <c r="Y1036" s="7">
        <f>I1036-H1036</f>
        <v>4.8611111124046147E-3</v>
      </c>
      <c r="Z1036">
        <f>HOUR(Y1036)</f>
        <v>0</v>
      </c>
      <c r="AA1036">
        <f>MINUTE(Y1036)</f>
        <v>7</v>
      </c>
      <c r="AB1036">
        <f>Z1036*60+AA1036</f>
        <v>7</v>
      </c>
    </row>
    <row r="1037" spans="1:28" x14ac:dyDescent="0.25">
      <c r="A1037">
        <v>1035</v>
      </c>
      <c r="B1037" t="s">
        <v>31</v>
      </c>
      <c r="C1037">
        <v>1</v>
      </c>
      <c r="D1037" t="s">
        <v>30</v>
      </c>
      <c r="E1037" s="6">
        <v>46094.715277777781</v>
      </c>
      <c r="F1037" s="6">
        <v>46094.71875</v>
      </c>
      <c r="G1037" s="6">
        <v>46094.722222222219</v>
      </c>
      <c r="H1037" s="6">
        <v>46094.805555555555</v>
      </c>
      <c r="I1037" s="6">
        <v>46094.8125</v>
      </c>
      <c r="J1037" s="6">
        <v>46094.833333333336</v>
      </c>
      <c r="K1037">
        <v>2.83</v>
      </c>
      <c r="L1037" s="6">
        <v>46094.840277777781</v>
      </c>
      <c r="M1037" s="7">
        <f>F1037-E1037</f>
        <v>3.4722222189884633E-3</v>
      </c>
      <c r="N1037">
        <f>HOUR(M1037)</f>
        <v>0</v>
      </c>
      <c r="O1037">
        <f>MINUTE(M1037)</f>
        <v>5</v>
      </c>
      <c r="P1037">
        <f>N1037*60+O1037</f>
        <v>5</v>
      </c>
      <c r="Q1037" s="7">
        <f>G1037-F1037</f>
        <v>3.4722222189884633E-3</v>
      </c>
      <c r="R1037">
        <f>HOUR(Q1037)</f>
        <v>0</v>
      </c>
      <c r="S1037">
        <f>MINUTE(Q1037)</f>
        <v>5</v>
      </c>
      <c r="T1037">
        <f>R1037*60+S1037</f>
        <v>5</v>
      </c>
      <c r="U1037" s="7">
        <f>H1037-G1037</f>
        <v>8.3333333335758653E-2</v>
      </c>
      <c r="V1037">
        <f>HOUR(U1037)</f>
        <v>2</v>
      </c>
      <c r="W1037">
        <f>MINUTE(U1037)</f>
        <v>0</v>
      </c>
      <c r="X1037">
        <f>V1037*60+W1037</f>
        <v>120</v>
      </c>
      <c r="Y1037" s="7">
        <f>I1037-H1037</f>
        <v>6.9444444452528842E-3</v>
      </c>
      <c r="Z1037">
        <f>HOUR(Y1037)</f>
        <v>0</v>
      </c>
      <c r="AA1037">
        <f>MINUTE(Y1037)</f>
        <v>10</v>
      </c>
      <c r="AB1037">
        <f>Z1037*60+AA1037</f>
        <v>10</v>
      </c>
    </row>
    <row r="1038" spans="1:28" x14ac:dyDescent="0.25">
      <c r="A1038">
        <v>1036</v>
      </c>
      <c r="B1038" t="s">
        <v>33</v>
      </c>
      <c r="C1038">
        <v>1</v>
      </c>
      <c r="D1038" t="s">
        <v>30</v>
      </c>
      <c r="E1038" s="6">
        <v>46094.934027777781</v>
      </c>
      <c r="F1038" s="6">
        <v>46094.940972222219</v>
      </c>
      <c r="G1038" s="6">
        <v>46094.951388888891</v>
      </c>
      <c r="H1038" s="6">
        <v>46094.972222222219</v>
      </c>
      <c r="I1038" s="6">
        <v>46094.975694444445</v>
      </c>
      <c r="J1038" s="6">
        <v>46094.979166666664</v>
      </c>
      <c r="K1038">
        <v>1.08</v>
      </c>
      <c r="L1038" s="6">
        <v>46094.986111111109</v>
      </c>
      <c r="M1038" s="7">
        <f>F1038-E1038</f>
        <v>6.9444444379769266E-3</v>
      </c>
      <c r="N1038">
        <f>HOUR(M1038)</f>
        <v>0</v>
      </c>
      <c r="O1038">
        <f>MINUTE(M1038)</f>
        <v>10</v>
      </c>
      <c r="P1038">
        <f>N1038*60+O1038</f>
        <v>10</v>
      </c>
      <c r="Q1038" s="7">
        <f>G1038-F1038</f>
        <v>1.0416666671517305E-2</v>
      </c>
      <c r="R1038">
        <f>HOUR(Q1038)</f>
        <v>0</v>
      </c>
      <c r="S1038">
        <f>MINUTE(Q1038)</f>
        <v>15</v>
      </c>
      <c r="T1038">
        <f>R1038*60+S1038</f>
        <v>15</v>
      </c>
      <c r="U1038" s="7">
        <f>H1038-G1038</f>
        <v>2.0833333328482695E-2</v>
      </c>
      <c r="V1038">
        <f>HOUR(U1038)</f>
        <v>0</v>
      </c>
      <c r="W1038">
        <f>MINUTE(U1038)</f>
        <v>30</v>
      </c>
      <c r="X1038">
        <f>V1038*60+W1038</f>
        <v>30</v>
      </c>
      <c r="Y1038" s="7">
        <f>I1038-H1038</f>
        <v>3.4722222262644209E-3</v>
      </c>
      <c r="Z1038">
        <f>HOUR(Y1038)</f>
        <v>0</v>
      </c>
      <c r="AA1038">
        <f>MINUTE(Y1038)</f>
        <v>5</v>
      </c>
      <c r="AB1038">
        <f>Z1038*60+AA1038</f>
        <v>5</v>
      </c>
    </row>
    <row r="1039" spans="1:28" x14ac:dyDescent="0.25">
      <c r="A1039">
        <v>1037</v>
      </c>
      <c r="B1039" t="s">
        <v>31</v>
      </c>
      <c r="C1039">
        <v>1</v>
      </c>
      <c r="D1039" t="s">
        <v>30</v>
      </c>
      <c r="E1039" s="6">
        <v>46094.990972222222</v>
      </c>
      <c r="F1039" s="6">
        <v>46094.996527777781</v>
      </c>
      <c r="G1039" s="6">
        <v>46095.003472222219</v>
      </c>
      <c r="H1039" s="6">
        <v>46095.118055555555</v>
      </c>
      <c r="I1039" s="6">
        <v>46095.135416666664</v>
      </c>
      <c r="J1039" s="6">
        <v>46095.138888888891</v>
      </c>
      <c r="K1039">
        <v>3.55</v>
      </c>
      <c r="L1039" s="6">
        <v>46095.145833333336</v>
      </c>
      <c r="M1039" s="7">
        <f>F1039-E1039</f>
        <v>5.5555555591126904E-3</v>
      </c>
      <c r="N1039">
        <f>HOUR(M1039)</f>
        <v>0</v>
      </c>
      <c r="O1039">
        <f>MINUTE(M1039)</f>
        <v>8</v>
      </c>
      <c r="P1039">
        <f>N1039*60+O1039</f>
        <v>8</v>
      </c>
      <c r="Q1039" s="7">
        <f>G1039-F1039</f>
        <v>6.9444444379769266E-3</v>
      </c>
      <c r="R1039">
        <f>HOUR(Q1039)</f>
        <v>0</v>
      </c>
      <c r="S1039">
        <f>MINUTE(Q1039)</f>
        <v>10</v>
      </c>
      <c r="T1039">
        <f>R1039*60+S1039</f>
        <v>10</v>
      </c>
      <c r="U1039" s="7">
        <f>H1039-G1039</f>
        <v>0.11458333333575865</v>
      </c>
      <c r="V1039">
        <f>HOUR(U1039)</f>
        <v>2</v>
      </c>
      <c r="W1039">
        <f>MINUTE(U1039)</f>
        <v>45</v>
      </c>
      <c r="X1039">
        <f>V1039*60+W1039</f>
        <v>165</v>
      </c>
      <c r="Y1039" s="7">
        <f>I1039-H1039</f>
        <v>1.7361111109494232E-2</v>
      </c>
      <c r="Z1039">
        <f>HOUR(Y1039)</f>
        <v>0</v>
      </c>
      <c r="AA1039">
        <f>MINUTE(Y1039)</f>
        <v>25</v>
      </c>
      <c r="AB1039">
        <f>Z1039*60+AA1039</f>
        <v>25</v>
      </c>
    </row>
    <row r="1040" spans="1:28" x14ac:dyDescent="0.25">
      <c r="A1040">
        <v>1038</v>
      </c>
      <c r="B1040" t="s">
        <v>31</v>
      </c>
      <c r="C1040">
        <v>1</v>
      </c>
      <c r="D1040" t="s">
        <v>30</v>
      </c>
      <c r="E1040" s="6">
        <v>46095.354166666664</v>
      </c>
      <c r="F1040" s="6">
        <v>46095.357638888891</v>
      </c>
      <c r="G1040" s="6">
        <v>46095.368055555555</v>
      </c>
      <c r="H1040" s="6">
        <v>46095.444444444445</v>
      </c>
      <c r="I1040" s="6">
        <v>46095.451388888891</v>
      </c>
      <c r="J1040" s="6">
        <v>46095.572916666664</v>
      </c>
      <c r="K1040">
        <v>5.25</v>
      </c>
      <c r="L1040" s="6">
        <v>46095.579861111109</v>
      </c>
      <c r="M1040" s="7">
        <f>F1040-E1040</f>
        <v>3.4722222262644209E-3</v>
      </c>
      <c r="N1040">
        <f>HOUR(M1040)</f>
        <v>0</v>
      </c>
      <c r="O1040">
        <f>MINUTE(M1040)</f>
        <v>5</v>
      </c>
      <c r="P1040">
        <f>N1040*60+O1040</f>
        <v>5</v>
      </c>
      <c r="Q1040" s="7">
        <f>G1040-F1040</f>
        <v>1.0416666664241347E-2</v>
      </c>
      <c r="R1040">
        <f>HOUR(Q1040)</f>
        <v>0</v>
      </c>
      <c r="S1040">
        <f>MINUTE(Q1040)</f>
        <v>15</v>
      </c>
      <c r="T1040">
        <f>R1040*60+S1040</f>
        <v>15</v>
      </c>
      <c r="U1040" s="7">
        <f>H1040-G1040</f>
        <v>7.6388888890505768E-2</v>
      </c>
      <c r="V1040">
        <f>HOUR(U1040)</f>
        <v>1</v>
      </c>
      <c r="W1040">
        <f>MINUTE(U1040)</f>
        <v>50</v>
      </c>
      <c r="X1040">
        <f>V1040*60+W1040</f>
        <v>110</v>
      </c>
      <c r="Y1040" s="7">
        <f>I1040-H1040</f>
        <v>6.9444444452528842E-3</v>
      </c>
      <c r="Z1040">
        <f>HOUR(Y1040)</f>
        <v>0</v>
      </c>
      <c r="AA1040">
        <f>MINUTE(Y1040)</f>
        <v>10</v>
      </c>
      <c r="AB1040">
        <f>Z1040*60+AA1040</f>
        <v>10</v>
      </c>
    </row>
    <row r="1041" spans="1:28" x14ac:dyDescent="0.25">
      <c r="A1041">
        <v>1039</v>
      </c>
      <c r="B1041" t="s">
        <v>33</v>
      </c>
      <c r="C1041">
        <v>1</v>
      </c>
      <c r="D1041" t="s">
        <v>34</v>
      </c>
      <c r="E1041" s="6">
        <v>46095.371527777781</v>
      </c>
      <c r="F1041" s="6">
        <v>46095.375</v>
      </c>
      <c r="G1041" s="6">
        <v>46095.40625</v>
      </c>
      <c r="H1041" s="6">
        <v>46095.426388888889</v>
      </c>
      <c r="I1041" s="6">
        <v>46095.427777777775</v>
      </c>
      <c r="J1041" s="6">
        <v>46095.430555555555</v>
      </c>
      <c r="K1041">
        <v>1.42</v>
      </c>
      <c r="L1041" s="6">
        <v>46095.432638888888</v>
      </c>
      <c r="M1041" s="7">
        <f>F1041-E1041</f>
        <v>3.4722222189884633E-3</v>
      </c>
      <c r="N1041">
        <f>HOUR(M1041)</f>
        <v>0</v>
      </c>
      <c r="O1041">
        <f>MINUTE(M1041)</f>
        <v>5</v>
      </c>
      <c r="P1041">
        <f>N1041*60+O1041</f>
        <v>5</v>
      </c>
      <c r="Q1041" s="7">
        <f>G1041-F1041</f>
        <v>3.125E-2</v>
      </c>
      <c r="R1041">
        <f>HOUR(Q1041)</f>
        <v>0</v>
      </c>
      <c r="S1041">
        <f>MINUTE(Q1041)</f>
        <v>45</v>
      </c>
      <c r="T1041">
        <f>R1041*60+S1041</f>
        <v>45</v>
      </c>
      <c r="U1041" s="7">
        <f>H1041-G1041</f>
        <v>2.0138888889050577E-2</v>
      </c>
      <c r="V1041">
        <f>HOUR(U1041)</f>
        <v>0</v>
      </c>
      <c r="W1041">
        <f>MINUTE(U1041)</f>
        <v>29</v>
      </c>
      <c r="X1041">
        <f>V1041*60+W1041</f>
        <v>29</v>
      </c>
      <c r="Y1041" s="7">
        <f>I1041-H1041</f>
        <v>1.3888888861401938E-3</v>
      </c>
      <c r="Z1041">
        <f>HOUR(Y1041)</f>
        <v>0</v>
      </c>
      <c r="AA1041">
        <f>MINUTE(Y1041)</f>
        <v>2</v>
      </c>
      <c r="AB1041">
        <f>Z1041*60+AA1041</f>
        <v>2</v>
      </c>
    </row>
    <row r="1042" spans="1:28" x14ac:dyDescent="0.25">
      <c r="A1042">
        <v>1040</v>
      </c>
      <c r="B1042" t="s">
        <v>31</v>
      </c>
      <c r="C1042">
        <v>1</v>
      </c>
      <c r="D1042" t="s">
        <v>34</v>
      </c>
      <c r="E1042" s="6">
        <v>46095.486111111109</v>
      </c>
      <c r="F1042" s="6">
        <v>46095.493055555555</v>
      </c>
      <c r="G1042" s="6">
        <v>46095.5</v>
      </c>
      <c r="H1042" s="6">
        <v>46095.522916666669</v>
      </c>
      <c r="I1042" s="6">
        <v>46095.534722222219</v>
      </c>
      <c r="J1042" s="6">
        <v>46095.543055555558</v>
      </c>
      <c r="K1042">
        <v>1.37</v>
      </c>
      <c r="L1042" s="6">
        <v>46095.55</v>
      </c>
      <c r="M1042" s="7">
        <f>F1042-E1042</f>
        <v>6.9444444452528842E-3</v>
      </c>
      <c r="N1042">
        <f>HOUR(M1042)</f>
        <v>0</v>
      </c>
      <c r="O1042">
        <f>MINUTE(M1042)</f>
        <v>10</v>
      </c>
      <c r="P1042">
        <f>N1042*60+O1042</f>
        <v>10</v>
      </c>
      <c r="Q1042" s="7">
        <f>G1042-F1042</f>
        <v>6.9444444452528842E-3</v>
      </c>
      <c r="R1042">
        <f>HOUR(Q1042)</f>
        <v>0</v>
      </c>
      <c r="S1042">
        <f>MINUTE(Q1042)</f>
        <v>10</v>
      </c>
      <c r="T1042">
        <f>R1042*60+S1042</f>
        <v>10</v>
      </c>
      <c r="U1042" s="7">
        <f>H1042-G1042</f>
        <v>2.2916666668606922E-2</v>
      </c>
      <c r="V1042">
        <f>HOUR(U1042)</f>
        <v>0</v>
      </c>
      <c r="W1042">
        <f>MINUTE(U1042)</f>
        <v>33</v>
      </c>
      <c r="X1042">
        <f>V1042*60+W1042</f>
        <v>33</v>
      </c>
      <c r="Y1042" s="7">
        <f>I1042-H1042</f>
        <v>1.1805555550381541E-2</v>
      </c>
      <c r="Z1042">
        <f>HOUR(Y1042)</f>
        <v>0</v>
      </c>
      <c r="AA1042">
        <f>MINUTE(Y1042)</f>
        <v>17</v>
      </c>
      <c r="AB1042">
        <f>Z1042*60+AA1042</f>
        <v>17</v>
      </c>
    </row>
    <row r="1043" spans="1:28" x14ac:dyDescent="0.25">
      <c r="A1043">
        <v>1041</v>
      </c>
      <c r="B1043" t="s">
        <v>31</v>
      </c>
      <c r="C1043">
        <v>1</v>
      </c>
      <c r="D1043" t="s">
        <v>30</v>
      </c>
      <c r="E1043" s="6">
        <v>46095.576388888891</v>
      </c>
      <c r="F1043" s="6">
        <v>46095.586805555555</v>
      </c>
      <c r="G1043" s="6">
        <v>46095.590277777781</v>
      </c>
      <c r="H1043" s="6">
        <v>46095.646527777775</v>
      </c>
      <c r="I1043" s="6">
        <v>46095.65347222222</v>
      </c>
      <c r="J1043" s="6">
        <v>46095.663194444445</v>
      </c>
      <c r="K1043">
        <v>2.08</v>
      </c>
      <c r="L1043" s="6">
        <v>46095.670138888891</v>
      </c>
      <c r="M1043" s="7">
        <f>F1043-E1043</f>
        <v>1.0416666664241347E-2</v>
      </c>
      <c r="N1043">
        <f>HOUR(M1043)</f>
        <v>0</v>
      </c>
      <c r="O1043">
        <f>MINUTE(M1043)</f>
        <v>15</v>
      </c>
      <c r="P1043">
        <f>N1043*60+O1043</f>
        <v>15</v>
      </c>
      <c r="Q1043" s="7">
        <f>G1043-F1043</f>
        <v>3.4722222262644209E-3</v>
      </c>
      <c r="R1043">
        <f>HOUR(Q1043)</f>
        <v>0</v>
      </c>
      <c r="S1043">
        <f>MINUTE(Q1043)</f>
        <v>5</v>
      </c>
      <c r="T1043">
        <f>R1043*60+S1043</f>
        <v>5</v>
      </c>
      <c r="U1043" s="7">
        <f>H1043-G1043</f>
        <v>5.6249999994179234E-2</v>
      </c>
      <c r="V1043">
        <f>HOUR(U1043)</f>
        <v>1</v>
      </c>
      <c r="W1043">
        <f>MINUTE(U1043)</f>
        <v>21</v>
      </c>
      <c r="X1043">
        <f>V1043*60+W1043</f>
        <v>81</v>
      </c>
      <c r="Y1043" s="7">
        <f>I1043-H1043</f>
        <v>6.9444444452528842E-3</v>
      </c>
      <c r="Z1043">
        <f>HOUR(Y1043)</f>
        <v>0</v>
      </c>
      <c r="AA1043">
        <f>MINUTE(Y1043)</f>
        <v>10</v>
      </c>
      <c r="AB1043">
        <f>Z1043*60+AA1043</f>
        <v>10</v>
      </c>
    </row>
    <row r="1044" spans="1:28" x14ac:dyDescent="0.25">
      <c r="A1044">
        <v>1042</v>
      </c>
      <c r="B1044" t="s">
        <v>29</v>
      </c>
      <c r="C1044">
        <v>1</v>
      </c>
      <c r="D1044" t="s">
        <v>30</v>
      </c>
      <c r="E1044" s="6">
        <v>46096.482638888891</v>
      </c>
      <c r="F1044" s="6">
        <v>46096.496527777781</v>
      </c>
      <c r="G1044" s="6">
        <v>46096.506944444445</v>
      </c>
      <c r="H1044" s="6">
        <v>46096.555555555555</v>
      </c>
      <c r="I1044" s="6">
        <v>46096.556250000001</v>
      </c>
      <c r="J1044" s="6">
        <v>46096.558333333334</v>
      </c>
      <c r="K1044">
        <v>1.82</v>
      </c>
      <c r="L1044" s="6">
        <v>46096.56527777778</v>
      </c>
      <c r="M1044" s="7">
        <f>F1044-E1044</f>
        <v>1.3888888890505768E-2</v>
      </c>
      <c r="N1044">
        <f>HOUR(M1044)</f>
        <v>0</v>
      </c>
      <c r="O1044">
        <f>MINUTE(M1044)</f>
        <v>20</v>
      </c>
      <c r="P1044">
        <f>N1044*60+O1044</f>
        <v>20</v>
      </c>
      <c r="Q1044" s="7">
        <f>G1044-F1044</f>
        <v>1.0416666664241347E-2</v>
      </c>
      <c r="R1044">
        <f>HOUR(Q1044)</f>
        <v>0</v>
      </c>
      <c r="S1044">
        <f>MINUTE(Q1044)</f>
        <v>15</v>
      </c>
      <c r="T1044">
        <f>R1044*60+S1044</f>
        <v>15</v>
      </c>
      <c r="U1044" s="7">
        <f>H1044-G1044</f>
        <v>4.8611111109494232E-2</v>
      </c>
      <c r="V1044">
        <f>HOUR(U1044)</f>
        <v>1</v>
      </c>
      <c r="W1044">
        <f>MINUTE(U1044)</f>
        <v>10</v>
      </c>
      <c r="X1044">
        <f>V1044*60+W1044</f>
        <v>70</v>
      </c>
      <c r="Y1044" s="7">
        <f>I1044-H1044</f>
        <v>6.944444467080757E-4</v>
      </c>
      <c r="Z1044">
        <f>HOUR(Y1044)</f>
        <v>0</v>
      </c>
      <c r="AA1044">
        <f>MINUTE(Y1044)</f>
        <v>1</v>
      </c>
      <c r="AB1044">
        <f>Z1044*60+AA1044</f>
        <v>1</v>
      </c>
    </row>
    <row r="1045" spans="1:28" x14ac:dyDescent="0.25">
      <c r="A1045">
        <v>1043</v>
      </c>
      <c r="B1045" t="s">
        <v>33</v>
      </c>
      <c r="C1045">
        <v>1</v>
      </c>
      <c r="D1045" t="s">
        <v>35</v>
      </c>
      <c r="E1045" s="6">
        <v>46096.4375</v>
      </c>
      <c r="F1045" s="6">
        <v>46096.451388888891</v>
      </c>
      <c r="G1045" s="6">
        <v>46096.46875</v>
      </c>
      <c r="H1045" s="6">
        <v>46096.484722222223</v>
      </c>
      <c r="I1045" s="6">
        <v>46096.486111111109</v>
      </c>
      <c r="J1045" s="6">
        <v>46096.496527777781</v>
      </c>
      <c r="K1045">
        <v>1.42</v>
      </c>
      <c r="L1045" s="6">
        <v>46096.497916666667</v>
      </c>
      <c r="M1045" s="7">
        <f>F1045-E1045</f>
        <v>1.3888888890505768E-2</v>
      </c>
      <c r="N1045">
        <f>HOUR(M1045)</f>
        <v>0</v>
      </c>
      <c r="O1045">
        <f>MINUTE(M1045)</f>
        <v>20</v>
      </c>
      <c r="P1045">
        <f>N1045*60+O1045</f>
        <v>20</v>
      </c>
      <c r="Q1045" s="7">
        <f>G1045-F1045</f>
        <v>1.7361111109494232E-2</v>
      </c>
      <c r="R1045">
        <f>HOUR(Q1045)</f>
        <v>0</v>
      </c>
      <c r="S1045">
        <f>MINUTE(Q1045)</f>
        <v>25</v>
      </c>
      <c r="T1045">
        <f>R1045*60+S1045</f>
        <v>25</v>
      </c>
      <c r="U1045" s="7">
        <f>H1045-G1045</f>
        <v>1.5972222223354038E-2</v>
      </c>
      <c r="V1045">
        <f>HOUR(U1045)</f>
        <v>0</v>
      </c>
      <c r="W1045">
        <f>MINUTE(U1045)</f>
        <v>23</v>
      </c>
      <c r="X1045">
        <f>V1045*60+W1045</f>
        <v>23</v>
      </c>
      <c r="Y1045" s="7">
        <f>I1045-H1045</f>
        <v>1.3888888861401938E-3</v>
      </c>
      <c r="Z1045">
        <f>HOUR(Y1045)</f>
        <v>0</v>
      </c>
      <c r="AA1045">
        <f>MINUTE(Y1045)</f>
        <v>2</v>
      </c>
      <c r="AB1045">
        <f>Z1045*60+AA1045</f>
        <v>2</v>
      </c>
    </row>
    <row r="1046" spans="1:28" x14ac:dyDescent="0.25">
      <c r="A1046">
        <v>1044</v>
      </c>
      <c r="B1046" t="s">
        <v>33</v>
      </c>
      <c r="C1046">
        <v>1</v>
      </c>
      <c r="D1046" t="s">
        <v>30</v>
      </c>
      <c r="E1046" s="6">
        <v>46095.65625</v>
      </c>
      <c r="F1046" s="6">
        <v>46095.663194444445</v>
      </c>
      <c r="G1046" s="6">
        <v>46095.673611111109</v>
      </c>
      <c r="H1046" s="6">
        <v>46095.72152777778</v>
      </c>
      <c r="I1046" s="6">
        <v>46095.743055555555</v>
      </c>
      <c r="J1046" s="6">
        <v>46095.746527777781</v>
      </c>
      <c r="K1046">
        <v>2.17</v>
      </c>
      <c r="L1046" s="6">
        <v>46095.753472222219</v>
      </c>
      <c r="M1046" s="7">
        <f>F1046-E1046</f>
        <v>6.9444444452528842E-3</v>
      </c>
      <c r="N1046">
        <f>HOUR(M1046)</f>
        <v>0</v>
      </c>
      <c r="O1046">
        <f>MINUTE(M1046)</f>
        <v>10</v>
      </c>
      <c r="P1046">
        <f>N1046*60+O1046</f>
        <v>10</v>
      </c>
      <c r="Q1046" s="7">
        <f>G1046-F1046</f>
        <v>1.0416666664241347E-2</v>
      </c>
      <c r="R1046">
        <f>HOUR(Q1046)</f>
        <v>0</v>
      </c>
      <c r="S1046">
        <f>MINUTE(Q1046)</f>
        <v>15</v>
      </c>
      <c r="T1046">
        <f>R1046*60+S1046</f>
        <v>15</v>
      </c>
      <c r="U1046" s="7">
        <f>H1046-G1046</f>
        <v>4.7916666670062114E-2</v>
      </c>
      <c r="V1046">
        <f>HOUR(U1046)</f>
        <v>1</v>
      </c>
      <c r="W1046">
        <f>MINUTE(U1046)</f>
        <v>9</v>
      </c>
      <c r="X1046">
        <f>V1046*60+W1046</f>
        <v>69</v>
      </c>
      <c r="Y1046" s="7">
        <f>I1046-H1046</f>
        <v>2.1527777775190771E-2</v>
      </c>
      <c r="Z1046">
        <f>HOUR(Y1046)</f>
        <v>0</v>
      </c>
      <c r="AA1046">
        <f>MINUTE(Y1046)</f>
        <v>31</v>
      </c>
      <c r="AB1046">
        <f>Z1046*60+AA1046</f>
        <v>31</v>
      </c>
    </row>
    <row r="1047" spans="1:28" x14ac:dyDescent="0.25">
      <c r="A1047">
        <v>1045</v>
      </c>
      <c r="B1047" t="s">
        <v>33</v>
      </c>
      <c r="C1047">
        <v>1</v>
      </c>
      <c r="D1047" t="s">
        <v>34</v>
      </c>
      <c r="E1047" s="6">
        <v>46095.680555555555</v>
      </c>
      <c r="F1047" s="6">
        <v>46095.684027777781</v>
      </c>
      <c r="G1047" s="6">
        <v>46095.6875</v>
      </c>
      <c r="H1047" s="6">
        <v>46095.725694444445</v>
      </c>
      <c r="I1047" s="6">
        <v>46095.736111111109</v>
      </c>
      <c r="J1047" s="6">
        <v>46095.743055555555</v>
      </c>
      <c r="K1047">
        <v>1.5</v>
      </c>
      <c r="L1047" s="6">
        <v>46095.743750000001</v>
      </c>
      <c r="M1047" s="7">
        <f>F1047-E1047</f>
        <v>3.4722222262644209E-3</v>
      </c>
      <c r="N1047">
        <f>HOUR(M1047)</f>
        <v>0</v>
      </c>
      <c r="O1047">
        <f>MINUTE(M1047)</f>
        <v>5</v>
      </c>
      <c r="P1047">
        <f>N1047*60+O1047</f>
        <v>5</v>
      </c>
      <c r="Q1047" s="7">
        <f>G1047-F1047</f>
        <v>3.4722222189884633E-3</v>
      </c>
      <c r="R1047">
        <f>HOUR(Q1047)</f>
        <v>0</v>
      </c>
      <c r="S1047">
        <f>MINUTE(Q1047)</f>
        <v>5</v>
      </c>
      <c r="T1047">
        <f>R1047*60+S1047</f>
        <v>5</v>
      </c>
      <c r="U1047" s="7">
        <f>H1047-G1047</f>
        <v>3.8194444445252884E-2</v>
      </c>
      <c r="V1047">
        <f>HOUR(U1047)</f>
        <v>0</v>
      </c>
      <c r="W1047">
        <f>MINUTE(U1047)</f>
        <v>55</v>
      </c>
      <c r="X1047">
        <f>V1047*60+W1047</f>
        <v>55</v>
      </c>
      <c r="Y1047" s="7">
        <f>I1047-H1047</f>
        <v>1.0416666664241347E-2</v>
      </c>
      <c r="Z1047">
        <f>HOUR(Y1047)</f>
        <v>0</v>
      </c>
      <c r="AA1047">
        <f>MINUTE(Y1047)</f>
        <v>15</v>
      </c>
      <c r="AB1047">
        <f>Z1047*60+AA1047</f>
        <v>15</v>
      </c>
    </row>
    <row r="1048" spans="1:28" x14ac:dyDescent="0.25">
      <c r="A1048">
        <v>1046</v>
      </c>
      <c r="B1048" t="s">
        <v>33</v>
      </c>
      <c r="C1048">
        <v>1</v>
      </c>
      <c r="D1048" t="s">
        <v>35</v>
      </c>
      <c r="E1048" s="6">
        <v>46095.711805555555</v>
      </c>
      <c r="F1048" s="6">
        <v>46095.722222222219</v>
      </c>
      <c r="G1048" s="6">
        <v>46095.746527777781</v>
      </c>
      <c r="H1048" s="6">
        <v>46095.786805555559</v>
      </c>
      <c r="I1048" s="6">
        <v>46095.798611111109</v>
      </c>
      <c r="J1048" s="6">
        <v>46095.815972222219</v>
      </c>
      <c r="K1048">
        <v>2.5</v>
      </c>
      <c r="L1048" s="6">
        <v>46095.822916666664</v>
      </c>
      <c r="M1048" s="7">
        <f>F1048-E1048</f>
        <v>1.0416666664241347E-2</v>
      </c>
      <c r="N1048">
        <f>HOUR(M1048)</f>
        <v>0</v>
      </c>
      <c r="O1048">
        <f>MINUTE(M1048)</f>
        <v>15</v>
      </c>
      <c r="P1048">
        <f>N1048*60+O1048</f>
        <v>15</v>
      </c>
      <c r="Q1048" s="7">
        <f>G1048-F1048</f>
        <v>2.4305555562023073E-2</v>
      </c>
      <c r="R1048">
        <f>HOUR(Q1048)</f>
        <v>0</v>
      </c>
      <c r="S1048">
        <f>MINUTE(Q1048)</f>
        <v>35</v>
      </c>
      <c r="T1048">
        <f>R1048*60+S1048</f>
        <v>35</v>
      </c>
      <c r="U1048" s="7">
        <f>H1048-G1048</f>
        <v>4.0277777778101154E-2</v>
      </c>
      <c r="V1048">
        <f>HOUR(U1048)</f>
        <v>0</v>
      </c>
      <c r="W1048">
        <f>MINUTE(U1048)</f>
        <v>58</v>
      </c>
      <c r="X1048">
        <f>V1048*60+W1048</f>
        <v>58</v>
      </c>
      <c r="Y1048" s="7">
        <f>I1048-H1048</f>
        <v>1.1805555550381541E-2</v>
      </c>
      <c r="Z1048">
        <f>HOUR(Y1048)</f>
        <v>0</v>
      </c>
      <c r="AA1048">
        <f>MINUTE(Y1048)</f>
        <v>17</v>
      </c>
      <c r="AB1048">
        <f>Z1048*60+AA1048</f>
        <v>17</v>
      </c>
    </row>
    <row r="1049" spans="1:28" x14ac:dyDescent="0.25">
      <c r="A1049">
        <v>1047</v>
      </c>
      <c r="B1049" t="s">
        <v>33</v>
      </c>
      <c r="C1049">
        <v>1</v>
      </c>
      <c r="D1049" t="s">
        <v>36</v>
      </c>
      <c r="E1049" s="6">
        <v>46095.725694444445</v>
      </c>
      <c r="F1049" s="6">
        <v>46095.736111111109</v>
      </c>
      <c r="G1049" s="6">
        <v>46095.753472222219</v>
      </c>
      <c r="H1049" s="6">
        <v>46095.786111111112</v>
      </c>
      <c r="I1049" s="6">
        <v>46095.788194444445</v>
      </c>
      <c r="J1049" s="6">
        <v>46095.798611111109</v>
      </c>
      <c r="K1049">
        <v>1.75</v>
      </c>
      <c r="L1049" s="6">
        <v>46095.799305555556</v>
      </c>
      <c r="M1049" s="7">
        <f>F1049-E1049</f>
        <v>1.0416666664241347E-2</v>
      </c>
      <c r="N1049">
        <f>HOUR(M1049)</f>
        <v>0</v>
      </c>
      <c r="O1049">
        <f>MINUTE(M1049)</f>
        <v>15</v>
      </c>
      <c r="P1049">
        <f>N1049*60+O1049</f>
        <v>15</v>
      </c>
      <c r="Q1049" s="7">
        <f>G1049-F1049</f>
        <v>1.7361111109494232E-2</v>
      </c>
      <c r="R1049">
        <f>HOUR(Q1049)</f>
        <v>0</v>
      </c>
      <c r="S1049">
        <f>MINUTE(Q1049)</f>
        <v>25</v>
      </c>
      <c r="T1049">
        <f>R1049*60+S1049</f>
        <v>25</v>
      </c>
      <c r="U1049" s="7">
        <f>H1049-G1049</f>
        <v>3.2638888893416151E-2</v>
      </c>
      <c r="V1049">
        <f>HOUR(U1049)</f>
        <v>0</v>
      </c>
      <c r="W1049">
        <f>MINUTE(U1049)</f>
        <v>47</v>
      </c>
      <c r="X1049">
        <f>V1049*60+W1049</f>
        <v>47</v>
      </c>
      <c r="Y1049" s="7">
        <f>I1049-H1049</f>
        <v>2.0833333328482695E-3</v>
      </c>
      <c r="Z1049">
        <f>HOUR(Y1049)</f>
        <v>0</v>
      </c>
      <c r="AA1049">
        <f>MINUTE(Y1049)</f>
        <v>3</v>
      </c>
      <c r="AB1049">
        <f>Z1049*60+AA1049</f>
        <v>3</v>
      </c>
    </row>
    <row r="1050" spans="1:28" x14ac:dyDescent="0.25">
      <c r="A1050">
        <v>1048</v>
      </c>
      <c r="B1050" t="s">
        <v>29</v>
      </c>
      <c r="C1050">
        <v>1</v>
      </c>
      <c r="D1050" t="s">
        <v>34</v>
      </c>
      <c r="E1050" s="6">
        <v>46095.877083333333</v>
      </c>
      <c r="F1050" s="6">
        <v>46095.881944444445</v>
      </c>
      <c r="G1050" s="6">
        <v>46095.895833333336</v>
      </c>
      <c r="H1050" s="6">
        <v>46095.950694444444</v>
      </c>
      <c r="I1050" s="6">
        <v>46095.951388888891</v>
      </c>
      <c r="J1050" s="6">
        <v>46095.958333333336</v>
      </c>
      <c r="K1050">
        <v>1.95</v>
      </c>
      <c r="L1050" s="6">
        <v>46095.959722222222</v>
      </c>
      <c r="M1050" s="7">
        <f>F1050-E1050</f>
        <v>4.8611111124046147E-3</v>
      </c>
      <c r="N1050">
        <f>HOUR(M1050)</f>
        <v>0</v>
      </c>
      <c r="O1050">
        <f>MINUTE(M1050)</f>
        <v>7</v>
      </c>
      <c r="P1050">
        <f>N1050*60+O1050</f>
        <v>7</v>
      </c>
      <c r="Q1050" s="7">
        <f>G1050-F1050</f>
        <v>1.3888888890505768E-2</v>
      </c>
      <c r="R1050">
        <f>HOUR(Q1050)</f>
        <v>0</v>
      </c>
      <c r="S1050">
        <f>MINUTE(Q1050)</f>
        <v>20</v>
      </c>
      <c r="T1050">
        <f>R1050*60+S1050</f>
        <v>20</v>
      </c>
      <c r="U1050" s="7">
        <f>H1050-G1050</f>
        <v>5.486111110803904E-2</v>
      </c>
      <c r="V1050">
        <f>HOUR(U1050)</f>
        <v>1</v>
      </c>
      <c r="W1050">
        <f>MINUTE(U1050)</f>
        <v>19</v>
      </c>
      <c r="X1050">
        <f>V1050*60+W1050</f>
        <v>79</v>
      </c>
      <c r="Y1050" s="7">
        <f>I1050-H1050</f>
        <v>6.944444467080757E-4</v>
      </c>
      <c r="Z1050">
        <f>HOUR(Y1050)</f>
        <v>0</v>
      </c>
      <c r="AA1050">
        <f>MINUTE(Y1050)</f>
        <v>1</v>
      </c>
      <c r="AB1050">
        <f>Z1050*60+AA1050</f>
        <v>1</v>
      </c>
    </row>
    <row r="1051" spans="1:28" x14ac:dyDescent="0.25">
      <c r="A1051">
        <v>1049</v>
      </c>
      <c r="B1051" t="s">
        <v>33</v>
      </c>
      <c r="C1051">
        <v>1</v>
      </c>
      <c r="D1051" t="s">
        <v>30</v>
      </c>
      <c r="E1051" s="6">
        <v>46095.991666666669</v>
      </c>
      <c r="F1051" s="6">
        <v>46095.999305555553</v>
      </c>
      <c r="G1051" s="6">
        <v>46096.013888888891</v>
      </c>
      <c r="H1051" s="6">
        <v>46096.069444444445</v>
      </c>
      <c r="I1051" s="6">
        <v>46096.072916666664</v>
      </c>
      <c r="J1051" s="6">
        <v>46096.076388888891</v>
      </c>
      <c r="K1051">
        <v>2.0299999999999998</v>
      </c>
      <c r="L1051" s="6">
        <v>46096.07708333333</v>
      </c>
      <c r="M1051" s="7">
        <f>F1051-E1051</f>
        <v>7.6388888846850023E-3</v>
      </c>
      <c r="N1051">
        <f>HOUR(M1051)</f>
        <v>0</v>
      </c>
      <c r="O1051">
        <f>MINUTE(M1051)</f>
        <v>11</v>
      </c>
      <c r="P1051">
        <f>N1051*60+O1051</f>
        <v>11</v>
      </c>
      <c r="Q1051" s="7">
        <f>G1051-F1051</f>
        <v>1.4583333337213844E-2</v>
      </c>
      <c r="R1051">
        <f>HOUR(Q1051)</f>
        <v>0</v>
      </c>
      <c r="S1051">
        <f>MINUTE(Q1051)</f>
        <v>21</v>
      </c>
      <c r="T1051">
        <f>R1051*60+S1051</f>
        <v>21</v>
      </c>
      <c r="U1051" s="7">
        <f>H1051-G1051</f>
        <v>5.5555555554747116E-2</v>
      </c>
      <c r="V1051">
        <f>HOUR(U1051)</f>
        <v>1</v>
      </c>
      <c r="W1051">
        <f>MINUTE(U1051)</f>
        <v>20</v>
      </c>
      <c r="X1051">
        <f>V1051*60+W1051</f>
        <v>80</v>
      </c>
      <c r="Y1051" s="7">
        <f>I1051-H1051</f>
        <v>3.4722222189884633E-3</v>
      </c>
      <c r="Z1051">
        <f>HOUR(Y1051)</f>
        <v>0</v>
      </c>
      <c r="AA1051">
        <f>MINUTE(Y1051)</f>
        <v>5</v>
      </c>
      <c r="AB1051">
        <f>Z1051*60+AA1051</f>
        <v>5</v>
      </c>
    </row>
    <row r="1052" spans="1:28" x14ac:dyDescent="0.25">
      <c r="A1052">
        <v>1050</v>
      </c>
      <c r="B1052" t="s">
        <v>33</v>
      </c>
      <c r="C1052">
        <v>1</v>
      </c>
      <c r="D1052" t="s">
        <v>34</v>
      </c>
      <c r="E1052" s="6">
        <v>46096.215277777781</v>
      </c>
      <c r="F1052" s="6">
        <v>46096.216666666667</v>
      </c>
      <c r="G1052" s="6">
        <v>46096.236111111109</v>
      </c>
      <c r="H1052" s="6">
        <v>46096.326388888891</v>
      </c>
      <c r="I1052" s="6">
        <v>46096.333333333336</v>
      </c>
      <c r="J1052" s="6">
        <v>46096.458333333336</v>
      </c>
      <c r="K1052">
        <v>5.83</v>
      </c>
      <c r="L1052" s="6">
        <v>46096.465277777781</v>
      </c>
      <c r="M1052" s="7">
        <f>F1052-E1052</f>
        <v>1.3888888861401938E-3</v>
      </c>
      <c r="N1052">
        <f>HOUR(M1052)</f>
        <v>0</v>
      </c>
      <c r="O1052">
        <f>MINUTE(M1052)</f>
        <v>2</v>
      </c>
      <c r="P1052">
        <f>N1052*60+O1052</f>
        <v>2</v>
      </c>
      <c r="Q1052" s="7">
        <f>G1052-F1052</f>
        <v>1.9444444442342501E-2</v>
      </c>
      <c r="R1052">
        <f>HOUR(Q1052)</f>
        <v>0</v>
      </c>
      <c r="S1052">
        <f>MINUTE(Q1052)</f>
        <v>28</v>
      </c>
      <c r="T1052">
        <f>R1052*60+S1052</f>
        <v>28</v>
      </c>
      <c r="U1052" s="7">
        <f>H1052-G1052</f>
        <v>9.0277777781011537E-2</v>
      </c>
      <c r="V1052">
        <f>HOUR(U1052)</f>
        <v>2</v>
      </c>
      <c r="W1052">
        <f>MINUTE(U1052)</f>
        <v>10</v>
      </c>
      <c r="X1052">
        <f>V1052*60+W1052</f>
        <v>130</v>
      </c>
      <c r="Y1052" s="7">
        <f>I1052-H1052</f>
        <v>6.9444444452528842E-3</v>
      </c>
      <c r="Z1052">
        <f>HOUR(Y1052)</f>
        <v>0</v>
      </c>
      <c r="AA1052">
        <f>MINUTE(Y1052)</f>
        <v>10</v>
      </c>
      <c r="AB1052">
        <f>Z1052*60+AA1052</f>
        <v>10</v>
      </c>
    </row>
    <row r="1053" spans="1:28" x14ac:dyDescent="0.25">
      <c r="A1053">
        <v>1051</v>
      </c>
      <c r="B1053" t="s">
        <v>29</v>
      </c>
      <c r="C1053">
        <v>1</v>
      </c>
      <c r="D1053" t="s">
        <v>34</v>
      </c>
      <c r="E1053" s="6">
        <v>46096.215277777781</v>
      </c>
      <c r="F1053" s="6">
        <v>46096.216666666667</v>
      </c>
      <c r="G1053" s="6">
        <v>46096.236111111109</v>
      </c>
      <c r="H1053" s="6">
        <v>46096.326388888891</v>
      </c>
      <c r="I1053" s="6">
        <v>46096.333333333336</v>
      </c>
      <c r="J1053" s="6">
        <v>46096.458333333336</v>
      </c>
      <c r="K1053">
        <v>5.83</v>
      </c>
      <c r="L1053" s="6">
        <v>46096.465277777781</v>
      </c>
      <c r="M1053" s="7">
        <f>F1053-E1053</f>
        <v>1.3888888861401938E-3</v>
      </c>
      <c r="N1053">
        <f>HOUR(M1053)</f>
        <v>0</v>
      </c>
      <c r="O1053">
        <f>MINUTE(M1053)</f>
        <v>2</v>
      </c>
      <c r="P1053">
        <f>N1053*60+O1053</f>
        <v>2</v>
      </c>
      <c r="Q1053" s="7">
        <f>G1053-F1053</f>
        <v>1.9444444442342501E-2</v>
      </c>
      <c r="R1053">
        <f>HOUR(Q1053)</f>
        <v>0</v>
      </c>
      <c r="S1053">
        <f>MINUTE(Q1053)</f>
        <v>28</v>
      </c>
      <c r="T1053">
        <f>R1053*60+S1053</f>
        <v>28</v>
      </c>
      <c r="U1053" s="7">
        <f>H1053-G1053</f>
        <v>9.0277777781011537E-2</v>
      </c>
      <c r="V1053">
        <f>HOUR(U1053)</f>
        <v>2</v>
      </c>
      <c r="W1053">
        <f>MINUTE(U1053)</f>
        <v>10</v>
      </c>
      <c r="X1053">
        <f>V1053*60+W1053</f>
        <v>130</v>
      </c>
      <c r="Y1053" s="7">
        <f>I1053-H1053</f>
        <v>6.9444444452528842E-3</v>
      </c>
      <c r="Z1053">
        <f>HOUR(Y1053)</f>
        <v>0</v>
      </c>
      <c r="AA1053">
        <f>MINUTE(Y1053)</f>
        <v>10</v>
      </c>
      <c r="AB1053">
        <f>Z1053*60+AA1053</f>
        <v>10</v>
      </c>
    </row>
    <row r="1054" spans="1:28" x14ac:dyDescent="0.25">
      <c r="A1054">
        <v>1052</v>
      </c>
      <c r="B1054" t="s">
        <v>33</v>
      </c>
      <c r="C1054">
        <v>1</v>
      </c>
      <c r="D1054" t="s">
        <v>30</v>
      </c>
      <c r="E1054" s="6">
        <v>46096.364583333336</v>
      </c>
      <c r="F1054" s="6">
        <v>46096.385416666664</v>
      </c>
      <c r="G1054" s="6">
        <v>46096.395833333336</v>
      </c>
      <c r="H1054" s="6">
        <v>46096.461111111108</v>
      </c>
      <c r="I1054" s="6">
        <v>46096.463888888888</v>
      </c>
      <c r="J1054" s="6">
        <v>46096.465277777781</v>
      </c>
      <c r="K1054">
        <v>2.42</v>
      </c>
      <c r="L1054" s="6">
        <v>46096.472222222219</v>
      </c>
      <c r="M1054" s="7">
        <f>F1054-E1054</f>
        <v>2.0833333328482695E-2</v>
      </c>
      <c r="N1054">
        <f>HOUR(M1054)</f>
        <v>0</v>
      </c>
      <c r="O1054">
        <f>MINUTE(M1054)</f>
        <v>30</v>
      </c>
      <c r="P1054">
        <f>N1054*60+O1054</f>
        <v>30</v>
      </c>
      <c r="Q1054" s="7">
        <f>G1054-F1054</f>
        <v>1.0416666671517305E-2</v>
      </c>
      <c r="R1054">
        <f>HOUR(Q1054)</f>
        <v>0</v>
      </c>
      <c r="S1054">
        <f>MINUTE(Q1054)</f>
        <v>15</v>
      </c>
      <c r="T1054">
        <f>R1054*60+S1054</f>
        <v>15</v>
      </c>
      <c r="U1054" s="7">
        <f>H1054-G1054</f>
        <v>6.5277777772280388E-2</v>
      </c>
      <c r="V1054">
        <f>HOUR(U1054)</f>
        <v>1</v>
      </c>
      <c r="W1054">
        <f>MINUTE(U1054)</f>
        <v>34</v>
      </c>
      <c r="X1054">
        <f>V1054*60+W1054</f>
        <v>94</v>
      </c>
      <c r="Y1054" s="7">
        <f>I1054-H1054</f>
        <v>2.7777777795563452E-3</v>
      </c>
      <c r="Z1054">
        <f>HOUR(Y1054)</f>
        <v>0</v>
      </c>
      <c r="AA1054">
        <f>MINUTE(Y1054)</f>
        <v>4</v>
      </c>
      <c r="AB1054">
        <f>Z1054*60+AA1054</f>
        <v>4</v>
      </c>
    </row>
    <row r="1055" spans="1:28" x14ac:dyDescent="0.25">
      <c r="A1055">
        <v>1053</v>
      </c>
      <c r="B1055" t="s">
        <v>31</v>
      </c>
      <c r="C1055">
        <v>1</v>
      </c>
      <c r="D1055" t="s">
        <v>36</v>
      </c>
      <c r="E1055" s="6">
        <v>46097.4375</v>
      </c>
      <c r="F1055" s="6">
        <v>46097.451388888891</v>
      </c>
      <c r="G1055" s="6">
        <v>46097.465277777781</v>
      </c>
      <c r="H1055" s="6">
        <v>46097.548611111109</v>
      </c>
      <c r="I1055" s="6">
        <v>46097.555555555555</v>
      </c>
      <c r="J1055" s="6">
        <v>46097.556250000001</v>
      </c>
      <c r="K1055">
        <v>2.85</v>
      </c>
      <c r="L1055" s="6">
        <v>46097.556944444441</v>
      </c>
      <c r="M1055" s="7">
        <f>F1055-E1055</f>
        <v>1.3888888890505768E-2</v>
      </c>
      <c r="N1055">
        <f>HOUR(M1055)</f>
        <v>0</v>
      </c>
      <c r="O1055">
        <f>MINUTE(M1055)</f>
        <v>20</v>
      </c>
      <c r="P1055">
        <f>N1055*60+O1055</f>
        <v>20</v>
      </c>
      <c r="Q1055" s="7">
        <f>G1055-F1055</f>
        <v>1.3888888890505768E-2</v>
      </c>
      <c r="R1055">
        <f>HOUR(Q1055)</f>
        <v>0</v>
      </c>
      <c r="S1055">
        <f>MINUTE(Q1055)</f>
        <v>20</v>
      </c>
      <c r="T1055">
        <f>R1055*60+S1055</f>
        <v>20</v>
      </c>
      <c r="U1055" s="7">
        <f>H1055-G1055</f>
        <v>8.3333333328482695E-2</v>
      </c>
      <c r="V1055">
        <f>HOUR(U1055)</f>
        <v>2</v>
      </c>
      <c r="W1055">
        <f>MINUTE(U1055)</f>
        <v>0</v>
      </c>
      <c r="X1055">
        <f>V1055*60+W1055</f>
        <v>120</v>
      </c>
      <c r="Y1055" s="7">
        <f>I1055-H1055</f>
        <v>6.9444444452528842E-3</v>
      </c>
      <c r="Z1055">
        <f>HOUR(Y1055)</f>
        <v>0</v>
      </c>
      <c r="AA1055">
        <f>MINUTE(Y1055)</f>
        <v>10</v>
      </c>
      <c r="AB1055">
        <f>Z1055*60+AA1055</f>
        <v>10</v>
      </c>
    </row>
    <row r="1056" spans="1:28" x14ac:dyDescent="0.25">
      <c r="A1056">
        <v>1054</v>
      </c>
      <c r="B1056" t="s">
        <v>31</v>
      </c>
      <c r="C1056">
        <v>1</v>
      </c>
      <c r="D1056" t="s">
        <v>34</v>
      </c>
      <c r="E1056" s="6">
        <v>46097.3125</v>
      </c>
      <c r="F1056" s="6">
        <v>46097.329861111109</v>
      </c>
      <c r="G1056" s="6">
        <v>46097.350694444445</v>
      </c>
      <c r="H1056" s="6">
        <v>46097.409722222219</v>
      </c>
      <c r="I1056" s="6">
        <v>46097.416666666664</v>
      </c>
      <c r="J1056" s="6">
        <v>46097.423611111109</v>
      </c>
      <c r="K1056">
        <v>2.67</v>
      </c>
      <c r="L1056" s="6">
        <v>46097.430555555555</v>
      </c>
      <c r="M1056" s="7">
        <f>F1056-E1056</f>
        <v>1.7361111109494232E-2</v>
      </c>
      <c r="N1056">
        <f>HOUR(M1056)</f>
        <v>0</v>
      </c>
      <c r="O1056">
        <f>MINUTE(M1056)</f>
        <v>25</v>
      </c>
      <c r="P1056">
        <f>N1056*60+O1056</f>
        <v>25</v>
      </c>
      <c r="Q1056" s="7">
        <f>G1056-F1056</f>
        <v>2.0833333335758653E-2</v>
      </c>
      <c r="R1056">
        <f>HOUR(Q1056)</f>
        <v>0</v>
      </c>
      <c r="S1056">
        <f>MINUTE(Q1056)</f>
        <v>30</v>
      </c>
      <c r="T1056">
        <f>R1056*60+S1056</f>
        <v>30</v>
      </c>
      <c r="U1056" s="7">
        <f>H1056-G1056</f>
        <v>5.9027777773735579E-2</v>
      </c>
      <c r="V1056">
        <f>HOUR(U1056)</f>
        <v>1</v>
      </c>
      <c r="W1056">
        <f>MINUTE(U1056)</f>
        <v>25</v>
      </c>
      <c r="X1056">
        <f>V1056*60+W1056</f>
        <v>85</v>
      </c>
      <c r="Y1056" s="7">
        <f>I1056-H1056</f>
        <v>6.9444444452528842E-3</v>
      </c>
      <c r="Z1056">
        <f>HOUR(Y1056)</f>
        <v>0</v>
      </c>
      <c r="AA1056">
        <f>MINUTE(Y1056)</f>
        <v>10</v>
      </c>
      <c r="AB1056">
        <f>Z1056*60+AA1056</f>
        <v>10</v>
      </c>
    </row>
    <row r="1057" spans="1:28" x14ac:dyDescent="0.25">
      <c r="A1057">
        <v>1055</v>
      </c>
      <c r="B1057" t="s">
        <v>33</v>
      </c>
      <c r="C1057">
        <v>1</v>
      </c>
      <c r="D1057" t="s">
        <v>30</v>
      </c>
      <c r="E1057" s="6">
        <v>46097.333333333336</v>
      </c>
      <c r="F1057" s="6">
        <v>46097.347222222219</v>
      </c>
      <c r="G1057" s="6">
        <v>46097.361111111109</v>
      </c>
      <c r="H1057" s="6">
        <v>46097.395833333336</v>
      </c>
      <c r="I1057" s="6">
        <v>46097.402777777781</v>
      </c>
      <c r="J1057" s="6">
        <v>46097.420138888891</v>
      </c>
      <c r="K1057">
        <v>2.08</v>
      </c>
      <c r="L1057" s="6">
        <v>46097.427083333336</v>
      </c>
      <c r="M1057" s="7">
        <f>F1057-E1057</f>
        <v>1.3888888883229811E-2</v>
      </c>
      <c r="N1057">
        <f>HOUR(M1057)</f>
        <v>0</v>
      </c>
      <c r="O1057">
        <f>MINUTE(M1057)</f>
        <v>20</v>
      </c>
      <c r="P1057">
        <f>N1057*60+O1057</f>
        <v>20</v>
      </c>
      <c r="Q1057" s="7">
        <f>G1057-F1057</f>
        <v>1.3888888890505768E-2</v>
      </c>
      <c r="R1057">
        <f>HOUR(Q1057)</f>
        <v>0</v>
      </c>
      <c r="S1057">
        <f>MINUTE(Q1057)</f>
        <v>20</v>
      </c>
      <c r="T1057">
        <f>R1057*60+S1057</f>
        <v>20</v>
      </c>
      <c r="U1057" s="7">
        <f>H1057-G1057</f>
        <v>3.4722222226264421E-2</v>
      </c>
      <c r="V1057">
        <f>HOUR(U1057)</f>
        <v>0</v>
      </c>
      <c r="W1057">
        <f>MINUTE(U1057)</f>
        <v>50</v>
      </c>
      <c r="X1057">
        <f>V1057*60+W1057</f>
        <v>50</v>
      </c>
      <c r="Y1057" s="7">
        <f>I1057-H1057</f>
        <v>6.9444444452528842E-3</v>
      </c>
      <c r="Z1057">
        <f>HOUR(Y1057)</f>
        <v>0</v>
      </c>
      <c r="AA1057">
        <f>MINUTE(Y1057)</f>
        <v>10</v>
      </c>
      <c r="AB1057">
        <f>Z1057*60+AA1057</f>
        <v>10</v>
      </c>
    </row>
    <row r="1058" spans="1:28" x14ac:dyDescent="0.25">
      <c r="A1058">
        <v>1056</v>
      </c>
      <c r="B1058" t="s">
        <v>33</v>
      </c>
      <c r="C1058">
        <v>1</v>
      </c>
      <c r="D1058" t="s">
        <v>34</v>
      </c>
      <c r="E1058" s="6">
        <v>46097.638888888891</v>
      </c>
      <c r="F1058" s="6">
        <v>46097.645833333336</v>
      </c>
      <c r="G1058" s="6">
        <v>46097.659722222219</v>
      </c>
      <c r="H1058" s="6">
        <v>46097.680555555555</v>
      </c>
      <c r="I1058" s="6">
        <v>46097.6875</v>
      </c>
      <c r="J1058" s="6">
        <v>46097.711805555555</v>
      </c>
      <c r="K1058">
        <v>1.75</v>
      </c>
      <c r="L1058" s="6">
        <v>46097.715277777781</v>
      </c>
      <c r="M1058" s="7">
        <f>F1058-E1058</f>
        <v>6.9444444452528842E-3</v>
      </c>
      <c r="N1058">
        <f>HOUR(M1058)</f>
        <v>0</v>
      </c>
      <c r="O1058">
        <f>MINUTE(M1058)</f>
        <v>10</v>
      </c>
      <c r="P1058">
        <f>N1058*60+O1058</f>
        <v>10</v>
      </c>
      <c r="Q1058" s="7">
        <f>G1058-F1058</f>
        <v>1.3888888883229811E-2</v>
      </c>
      <c r="R1058">
        <f>HOUR(Q1058)</f>
        <v>0</v>
      </c>
      <c r="S1058">
        <f>MINUTE(Q1058)</f>
        <v>20</v>
      </c>
      <c r="T1058">
        <f>R1058*60+S1058</f>
        <v>20</v>
      </c>
      <c r="U1058" s="7">
        <f>H1058-G1058</f>
        <v>2.0833333335758653E-2</v>
      </c>
      <c r="V1058">
        <f>HOUR(U1058)</f>
        <v>0</v>
      </c>
      <c r="W1058">
        <f>MINUTE(U1058)</f>
        <v>30</v>
      </c>
      <c r="X1058">
        <f>V1058*60+W1058</f>
        <v>30</v>
      </c>
      <c r="Y1058" s="7">
        <f>I1058-H1058</f>
        <v>6.9444444452528842E-3</v>
      </c>
      <c r="Z1058">
        <f>HOUR(Y1058)</f>
        <v>0</v>
      </c>
      <c r="AA1058">
        <f>MINUTE(Y1058)</f>
        <v>10</v>
      </c>
      <c r="AB1058">
        <f>Z1058*60+AA1058</f>
        <v>10</v>
      </c>
    </row>
    <row r="1059" spans="1:28" x14ac:dyDescent="0.25">
      <c r="A1059">
        <v>1057</v>
      </c>
      <c r="B1059" t="s">
        <v>33</v>
      </c>
      <c r="C1059">
        <v>1</v>
      </c>
      <c r="D1059" t="s">
        <v>34</v>
      </c>
      <c r="E1059" s="6">
        <v>46097.291666666664</v>
      </c>
      <c r="F1059" s="6">
        <v>46097.3125</v>
      </c>
      <c r="G1059" s="6">
        <v>46097.333333333336</v>
      </c>
      <c r="H1059" s="6">
        <v>46097.404861111114</v>
      </c>
      <c r="I1059" s="6">
        <v>46097.411805555559</v>
      </c>
      <c r="J1059" s="6">
        <v>46097.413194444445</v>
      </c>
      <c r="K1059">
        <v>2.92</v>
      </c>
      <c r="L1059" s="6">
        <v>46097.420138888891</v>
      </c>
      <c r="M1059" s="7">
        <f>F1059-E1059</f>
        <v>2.0833333335758653E-2</v>
      </c>
      <c r="N1059">
        <f>HOUR(M1059)</f>
        <v>0</v>
      </c>
      <c r="O1059">
        <f>MINUTE(M1059)</f>
        <v>30</v>
      </c>
      <c r="P1059">
        <f>N1059*60+O1059</f>
        <v>30</v>
      </c>
      <c r="Q1059" s="7">
        <f>G1059-F1059</f>
        <v>2.0833333335758653E-2</v>
      </c>
      <c r="R1059">
        <f>HOUR(Q1059)</f>
        <v>0</v>
      </c>
      <c r="S1059">
        <f>MINUTE(Q1059)</f>
        <v>30</v>
      </c>
      <c r="T1059">
        <f>R1059*60+S1059</f>
        <v>30</v>
      </c>
      <c r="U1059" s="7">
        <f>H1059-G1059</f>
        <v>7.1527777778101154E-2</v>
      </c>
      <c r="V1059">
        <f>HOUR(U1059)</f>
        <v>1</v>
      </c>
      <c r="W1059">
        <f>MINUTE(U1059)</f>
        <v>43</v>
      </c>
      <c r="X1059">
        <f>V1059*60+W1059</f>
        <v>103</v>
      </c>
      <c r="Y1059" s="7">
        <f>I1059-H1059</f>
        <v>6.9444444452528842E-3</v>
      </c>
      <c r="Z1059">
        <f>HOUR(Y1059)</f>
        <v>0</v>
      </c>
      <c r="AA1059">
        <f>MINUTE(Y1059)</f>
        <v>10</v>
      </c>
      <c r="AB1059">
        <f>Z1059*60+AA1059</f>
        <v>10</v>
      </c>
    </row>
    <row r="1060" spans="1:28" x14ac:dyDescent="0.25">
      <c r="A1060">
        <v>1058</v>
      </c>
      <c r="B1060" t="s">
        <v>31</v>
      </c>
      <c r="C1060">
        <v>1</v>
      </c>
      <c r="D1060" t="s">
        <v>36</v>
      </c>
      <c r="E1060" s="6">
        <v>46097.46875</v>
      </c>
      <c r="F1060" s="6">
        <v>46097.479166666664</v>
      </c>
      <c r="G1060" s="6">
        <v>46097.534722222219</v>
      </c>
      <c r="H1060" s="6">
        <v>46097.567361111112</v>
      </c>
      <c r="I1060" s="6">
        <v>46097.569444444445</v>
      </c>
      <c r="J1060" s="6">
        <v>46097.572916666664</v>
      </c>
      <c r="K1060">
        <v>2.5</v>
      </c>
      <c r="L1060" s="6">
        <v>46097.576388888891</v>
      </c>
      <c r="M1060" s="7">
        <f>F1060-E1060</f>
        <v>1.0416666664241347E-2</v>
      </c>
      <c r="N1060">
        <f>HOUR(M1060)</f>
        <v>0</v>
      </c>
      <c r="O1060">
        <f>MINUTE(M1060)</f>
        <v>15</v>
      </c>
      <c r="P1060">
        <f>N1060*60+O1060</f>
        <v>15</v>
      </c>
      <c r="Q1060" s="7">
        <f>G1060-F1060</f>
        <v>5.5555555554747116E-2</v>
      </c>
      <c r="R1060">
        <f>HOUR(Q1060)</f>
        <v>1</v>
      </c>
      <c r="S1060">
        <f>MINUTE(Q1060)</f>
        <v>20</v>
      </c>
      <c r="T1060">
        <f>R1060*60+S1060</f>
        <v>80</v>
      </c>
      <c r="U1060" s="7">
        <f>H1060-G1060</f>
        <v>3.2638888893416151E-2</v>
      </c>
      <c r="V1060">
        <f>HOUR(U1060)</f>
        <v>0</v>
      </c>
      <c r="W1060">
        <f>MINUTE(U1060)</f>
        <v>47</v>
      </c>
      <c r="X1060">
        <f>V1060*60+W1060</f>
        <v>47</v>
      </c>
      <c r="Y1060" s="7">
        <f>I1060-H1060</f>
        <v>2.0833333328482695E-3</v>
      </c>
      <c r="Z1060">
        <f>HOUR(Y1060)</f>
        <v>0</v>
      </c>
      <c r="AA1060">
        <f>MINUTE(Y1060)</f>
        <v>3</v>
      </c>
      <c r="AB1060">
        <f>Z1060*60+AA1060</f>
        <v>3</v>
      </c>
    </row>
    <row r="1061" spans="1:28" x14ac:dyDescent="0.25">
      <c r="A1061">
        <v>1059</v>
      </c>
      <c r="B1061" t="s">
        <v>29</v>
      </c>
      <c r="C1061">
        <v>1</v>
      </c>
      <c r="D1061" t="s">
        <v>35</v>
      </c>
      <c r="E1061" s="6">
        <v>46097.75</v>
      </c>
      <c r="F1061" s="6">
        <v>46097.756944444445</v>
      </c>
      <c r="G1061" s="6">
        <v>46097.758333333331</v>
      </c>
      <c r="H1061" s="6">
        <v>46097.76458333333</v>
      </c>
      <c r="I1061" s="6">
        <v>46097.771527777775</v>
      </c>
      <c r="J1061" s="6">
        <v>46097.774305555555</v>
      </c>
      <c r="K1061">
        <v>0.57999999999999996</v>
      </c>
      <c r="L1061" s="6">
        <v>46097.775000000001</v>
      </c>
      <c r="M1061" s="7">
        <f>F1061-E1061</f>
        <v>6.9444444452528842E-3</v>
      </c>
      <c r="N1061">
        <f>HOUR(M1061)</f>
        <v>0</v>
      </c>
      <c r="O1061">
        <f>MINUTE(M1061)</f>
        <v>10</v>
      </c>
      <c r="P1061">
        <f>N1061*60+O1061</f>
        <v>10</v>
      </c>
      <c r="Q1061" s="7">
        <f>G1061-F1061</f>
        <v>1.3888888861401938E-3</v>
      </c>
      <c r="R1061">
        <f>HOUR(Q1061)</f>
        <v>0</v>
      </c>
      <c r="S1061">
        <f>MINUTE(Q1061)</f>
        <v>2</v>
      </c>
      <c r="T1061">
        <f>R1061*60+S1061</f>
        <v>2</v>
      </c>
      <c r="U1061" s="7">
        <f>H1061-G1061</f>
        <v>6.2499999985448085E-3</v>
      </c>
      <c r="V1061">
        <f>HOUR(U1061)</f>
        <v>0</v>
      </c>
      <c r="W1061">
        <f>MINUTE(U1061)</f>
        <v>9</v>
      </c>
      <c r="X1061">
        <f>V1061*60+W1061</f>
        <v>9</v>
      </c>
      <c r="Y1061" s="7">
        <f>I1061-H1061</f>
        <v>6.9444444452528842E-3</v>
      </c>
      <c r="Z1061">
        <f>HOUR(Y1061)</f>
        <v>0</v>
      </c>
      <c r="AA1061">
        <f>MINUTE(Y1061)</f>
        <v>10</v>
      </c>
      <c r="AB1061">
        <f>Z1061*60+AA1061</f>
        <v>10</v>
      </c>
    </row>
    <row r="1062" spans="1:28" x14ac:dyDescent="0.25">
      <c r="A1062">
        <v>1060</v>
      </c>
      <c r="B1062" t="s">
        <v>33</v>
      </c>
      <c r="C1062">
        <v>1</v>
      </c>
      <c r="D1062" t="s">
        <v>30</v>
      </c>
      <c r="E1062" s="6">
        <v>46096.645833333336</v>
      </c>
      <c r="F1062" s="6">
        <v>46096.652777777781</v>
      </c>
      <c r="G1062" s="6">
        <v>46096.661805555559</v>
      </c>
      <c r="H1062" s="6">
        <v>46096.75</v>
      </c>
      <c r="I1062" s="6">
        <v>46096.756944444445</v>
      </c>
      <c r="J1062" s="6">
        <v>46096.758333333331</v>
      </c>
      <c r="K1062">
        <v>2.7</v>
      </c>
      <c r="L1062" s="6">
        <v>46096.765277777777</v>
      </c>
      <c r="M1062" s="7">
        <f>F1062-E1062</f>
        <v>6.9444444452528842E-3</v>
      </c>
      <c r="N1062">
        <f>HOUR(M1062)</f>
        <v>0</v>
      </c>
      <c r="O1062">
        <f>MINUTE(M1062)</f>
        <v>10</v>
      </c>
      <c r="P1062">
        <f>N1062*60+O1062</f>
        <v>10</v>
      </c>
      <c r="Q1062" s="7">
        <f>G1062-F1062</f>
        <v>9.0277777781011537E-3</v>
      </c>
      <c r="R1062">
        <f>HOUR(Q1062)</f>
        <v>0</v>
      </c>
      <c r="S1062">
        <f>MINUTE(Q1062)</f>
        <v>13</v>
      </c>
      <c r="T1062">
        <f>R1062*60+S1062</f>
        <v>13</v>
      </c>
      <c r="U1062" s="7">
        <f>H1062-G1062</f>
        <v>8.819444444088731E-2</v>
      </c>
      <c r="V1062">
        <f>HOUR(U1062)</f>
        <v>2</v>
      </c>
      <c r="W1062">
        <f>MINUTE(U1062)</f>
        <v>7</v>
      </c>
      <c r="X1062">
        <f>V1062*60+W1062</f>
        <v>127</v>
      </c>
      <c r="Y1062" s="7">
        <f>I1062-H1062</f>
        <v>6.9444444452528842E-3</v>
      </c>
      <c r="Z1062">
        <f>HOUR(Y1062)</f>
        <v>0</v>
      </c>
      <c r="AA1062">
        <f>MINUTE(Y1062)</f>
        <v>10</v>
      </c>
      <c r="AB1062">
        <f>Z1062*60+AA1062</f>
        <v>10</v>
      </c>
    </row>
    <row r="1063" spans="1:28" x14ac:dyDescent="0.25">
      <c r="A1063">
        <v>1061</v>
      </c>
      <c r="B1063" t="s">
        <v>29</v>
      </c>
      <c r="C1063">
        <v>1</v>
      </c>
      <c r="D1063" t="s">
        <v>34</v>
      </c>
      <c r="E1063" s="6">
        <v>46096.666666666664</v>
      </c>
      <c r="F1063" s="6">
        <v>46096.678472222222</v>
      </c>
      <c r="G1063" s="6">
        <v>46096.681250000001</v>
      </c>
      <c r="H1063" s="6">
        <v>46096.716666666667</v>
      </c>
      <c r="I1063" s="6">
        <v>46096.720833333333</v>
      </c>
      <c r="J1063" s="6">
        <v>46096.75</v>
      </c>
      <c r="K1063">
        <v>2</v>
      </c>
      <c r="L1063" s="6">
        <v>46096.750694444447</v>
      </c>
      <c r="M1063" s="7">
        <f>F1063-E1063</f>
        <v>1.1805555557657499E-2</v>
      </c>
      <c r="N1063">
        <f>HOUR(M1063)</f>
        <v>0</v>
      </c>
      <c r="O1063">
        <f>MINUTE(M1063)</f>
        <v>17</v>
      </c>
      <c r="P1063">
        <f>N1063*60+O1063</f>
        <v>17</v>
      </c>
      <c r="Q1063" s="7">
        <f>G1063-F1063</f>
        <v>2.7777777795563452E-3</v>
      </c>
      <c r="R1063">
        <f>HOUR(Q1063)</f>
        <v>0</v>
      </c>
      <c r="S1063">
        <f>MINUTE(Q1063)</f>
        <v>4</v>
      </c>
      <c r="T1063">
        <f>R1063*60+S1063</f>
        <v>4</v>
      </c>
      <c r="U1063" s="7">
        <f>H1063-G1063</f>
        <v>3.5416666665696539E-2</v>
      </c>
      <c r="V1063">
        <f>HOUR(U1063)</f>
        <v>0</v>
      </c>
      <c r="W1063">
        <f>MINUTE(U1063)</f>
        <v>51</v>
      </c>
      <c r="X1063">
        <f>V1063*60+W1063</f>
        <v>51</v>
      </c>
      <c r="Y1063" s="7">
        <f>I1063-H1063</f>
        <v>4.166666665696539E-3</v>
      </c>
      <c r="Z1063">
        <f>HOUR(Y1063)</f>
        <v>0</v>
      </c>
      <c r="AA1063">
        <f>MINUTE(Y1063)</f>
        <v>6</v>
      </c>
      <c r="AB1063">
        <f>Z1063*60+AA1063</f>
        <v>6</v>
      </c>
    </row>
    <row r="1064" spans="1:28" x14ac:dyDescent="0.25">
      <c r="A1064">
        <v>1062</v>
      </c>
      <c r="B1064" t="s">
        <v>31</v>
      </c>
      <c r="C1064">
        <v>1</v>
      </c>
      <c r="D1064" t="s">
        <v>30</v>
      </c>
      <c r="E1064" s="6">
        <v>46096.9375</v>
      </c>
      <c r="F1064" s="6">
        <v>46096.947916666664</v>
      </c>
      <c r="G1064" s="6">
        <v>46096.958333333336</v>
      </c>
      <c r="H1064" s="6">
        <v>46097.01666666667</v>
      </c>
      <c r="I1064" s="6">
        <v>46097.023611111108</v>
      </c>
      <c r="J1064" s="6">
        <v>46097.041666666664</v>
      </c>
      <c r="K1064">
        <v>2.5</v>
      </c>
      <c r="L1064" s="6">
        <v>46097.048611111109</v>
      </c>
      <c r="M1064" s="7">
        <f>F1064-E1064</f>
        <v>1.0416666664241347E-2</v>
      </c>
      <c r="N1064">
        <f>HOUR(M1064)</f>
        <v>0</v>
      </c>
      <c r="O1064">
        <f>MINUTE(M1064)</f>
        <v>15</v>
      </c>
      <c r="P1064">
        <f>N1064*60+O1064</f>
        <v>15</v>
      </c>
      <c r="Q1064" s="7">
        <f>G1064-F1064</f>
        <v>1.0416666671517305E-2</v>
      </c>
      <c r="R1064">
        <f>HOUR(Q1064)</f>
        <v>0</v>
      </c>
      <c r="S1064">
        <f>MINUTE(Q1064)</f>
        <v>15</v>
      </c>
      <c r="T1064">
        <f>R1064*60+S1064</f>
        <v>15</v>
      </c>
      <c r="U1064" s="7">
        <f>H1064-G1064</f>
        <v>5.8333333334303461E-2</v>
      </c>
      <c r="V1064">
        <f>HOUR(U1064)</f>
        <v>1</v>
      </c>
      <c r="W1064">
        <f>MINUTE(U1064)</f>
        <v>24</v>
      </c>
      <c r="X1064">
        <f>V1064*60+W1064</f>
        <v>84</v>
      </c>
      <c r="Y1064" s="7">
        <f>I1064-H1064</f>
        <v>6.9444444379769266E-3</v>
      </c>
      <c r="Z1064">
        <f>HOUR(Y1064)</f>
        <v>0</v>
      </c>
      <c r="AA1064">
        <f>MINUTE(Y1064)</f>
        <v>10</v>
      </c>
      <c r="AB1064">
        <f>Z1064*60+AA1064</f>
        <v>10</v>
      </c>
    </row>
    <row r="1065" spans="1:28" x14ac:dyDescent="0.25">
      <c r="A1065">
        <v>1063</v>
      </c>
      <c r="B1065" t="s">
        <v>29</v>
      </c>
      <c r="C1065">
        <v>1</v>
      </c>
      <c r="D1065" t="s">
        <v>30</v>
      </c>
      <c r="E1065" s="6">
        <v>46097.041666666664</v>
      </c>
      <c r="F1065" s="6">
        <v>46097.048611111109</v>
      </c>
      <c r="G1065" s="6">
        <v>46097.052083333336</v>
      </c>
      <c r="H1065" s="6">
        <v>46097.083333333336</v>
      </c>
      <c r="I1065" s="6">
        <v>46097.090277777781</v>
      </c>
      <c r="J1065" s="6">
        <v>46097.091666666667</v>
      </c>
      <c r="K1065">
        <v>1.2</v>
      </c>
      <c r="L1065" s="6">
        <v>46097.093055555553</v>
      </c>
      <c r="M1065" s="7">
        <f>F1065-E1065</f>
        <v>6.9444444452528842E-3</v>
      </c>
      <c r="N1065">
        <f>HOUR(M1065)</f>
        <v>0</v>
      </c>
      <c r="O1065">
        <f>MINUTE(M1065)</f>
        <v>10</v>
      </c>
      <c r="P1065">
        <f>N1065*60+O1065</f>
        <v>10</v>
      </c>
      <c r="Q1065" s="7">
        <f>G1065-F1065</f>
        <v>3.4722222262644209E-3</v>
      </c>
      <c r="R1065">
        <f>HOUR(Q1065)</f>
        <v>0</v>
      </c>
      <c r="S1065">
        <f>MINUTE(Q1065)</f>
        <v>5</v>
      </c>
      <c r="T1065">
        <f>R1065*60+S1065</f>
        <v>5</v>
      </c>
      <c r="U1065" s="7">
        <f>H1065-G1065</f>
        <v>3.125E-2</v>
      </c>
      <c r="V1065">
        <f>HOUR(U1065)</f>
        <v>0</v>
      </c>
      <c r="W1065">
        <f>MINUTE(U1065)</f>
        <v>45</v>
      </c>
      <c r="X1065">
        <f>V1065*60+W1065</f>
        <v>45</v>
      </c>
      <c r="Y1065" s="7">
        <f>I1065-H1065</f>
        <v>6.9444444452528842E-3</v>
      </c>
      <c r="Z1065">
        <f>HOUR(Y1065)</f>
        <v>0</v>
      </c>
      <c r="AA1065">
        <f>MINUTE(Y1065)</f>
        <v>10</v>
      </c>
      <c r="AB1065">
        <f>Z1065*60+AA1065</f>
        <v>10</v>
      </c>
    </row>
    <row r="1066" spans="1:28" x14ac:dyDescent="0.25">
      <c r="A1066">
        <v>1064</v>
      </c>
      <c r="B1066" t="s">
        <v>33</v>
      </c>
      <c r="C1066">
        <v>1</v>
      </c>
      <c r="D1066" t="s">
        <v>30</v>
      </c>
      <c r="E1066" s="6">
        <v>46097.447916666664</v>
      </c>
      <c r="F1066" s="6">
        <v>46097.458333333336</v>
      </c>
      <c r="G1066" s="6">
        <v>46097.475694444445</v>
      </c>
      <c r="H1066" s="6">
        <v>46097.535416666666</v>
      </c>
      <c r="I1066" s="6">
        <v>46097.542361111111</v>
      </c>
      <c r="J1066" s="6">
        <v>46097.548611111109</v>
      </c>
      <c r="K1066">
        <v>2.42</v>
      </c>
      <c r="L1066" s="6">
        <v>46097.555555555555</v>
      </c>
      <c r="M1066" s="7">
        <f>F1066-E1066</f>
        <v>1.0416666671517305E-2</v>
      </c>
      <c r="N1066">
        <f>HOUR(M1066)</f>
        <v>0</v>
      </c>
      <c r="O1066">
        <f>MINUTE(M1066)</f>
        <v>15</v>
      </c>
      <c r="P1066">
        <f>N1066*60+O1066</f>
        <v>15</v>
      </c>
      <c r="Q1066" s="7">
        <f>G1066-F1066</f>
        <v>1.7361111109494232E-2</v>
      </c>
      <c r="R1066">
        <f>HOUR(Q1066)</f>
        <v>0</v>
      </c>
      <c r="S1066">
        <f>MINUTE(Q1066)</f>
        <v>25</v>
      </c>
      <c r="T1066">
        <f>R1066*60+S1066</f>
        <v>25</v>
      </c>
      <c r="U1066" s="7">
        <f>H1066-G1066</f>
        <v>5.9722222220443655E-2</v>
      </c>
      <c r="V1066">
        <f>HOUR(U1066)</f>
        <v>1</v>
      </c>
      <c r="W1066">
        <f>MINUTE(U1066)</f>
        <v>26</v>
      </c>
      <c r="X1066">
        <f>V1066*60+W1066</f>
        <v>86</v>
      </c>
      <c r="Y1066" s="7">
        <f>I1066-H1066</f>
        <v>6.9444444452528842E-3</v>
      </c>
      <c r="Z1066">
        <f>HOUR(Y1066)</f>
        <v>0</v>
      </c>
      <c r="AA1066">
        <f>MINUTE(Y1066)</f>
        <v>10</v>
      </c>
      <c r="AB1066">
        <f>Z1066*60+AA1066</f>
        <v>10</v>
      </c>
    </row>
    <row r="1067" spans="1:28" x14ac:dyDescent="0.25">
      <c r="A1067">
        <v>1065</v>
      </c>
      <c r="B1067" t="s">
        <v>29</v>
      </c>
      <c r="C1067">
        <v>1</v>
      </c>
      <c r="D1067" t="s">
        <v>30</v>
      </c>
      <c r="E1067" s="6">
        <v>46097.850694444445</v>
      </c>
      <c r="F1067" s="6">
        <v>46097.855555555558</v>
      </c>
      <c r="G1067" s="6">
        <v>46097.864583333336</v>
      </c>
      <c r="H1067" s="6">
        <v>46097.888888888891</v>
      </c>
      <c r="I1067" s="6">
        <v>46097.895833333336</v>
      </c>
      <c r="J1067" s="6">
        <v>46097.897222222222</v>
      </c>
      <c r="K1067">
        <v>1.1200000000000001</v>
      </c>
      <c r="L1067" s="6">
        <v>46097.904166666667</v>
      </c>
      <c r="M1067" s="7">
        <f>F1067-E1067</f>
        <v>4.8611111124046147E-3</v>
      </c>
      <c r="N1067">
        <f>HOUR(M1067)</f>
        <v>0</v>
      </c>
      <c r="O1067">
        <f>MINUTE(M1067)</f>
        <v>7</v>
      </c>
      <c r="P1067">
        <f>N1067*60+O1067</f>
        <v>7</v>
      </c>
      <c r="Q1067" s="7">
        <f>G1067-F1067</f>
        <v>9.0277777781011537E-3</v>
      </c>
      <c r="R1067">
        <f>HOUR(Q1067)</f>
        <v>0</v>
      </c>
      <c r="S1067">
        <f>MINUTE(Q1067)</f>
        <v>13</v>
      </c>
      <c r="T1067">
        <f>R1067*60+S1067</f>
        <v>13</v>
      </c>
      <c r="U1067" s="7">
        <f>H1067-G1067</f>
        <v>2.4305555554747116E-2</v>
      </c>
      <c r="V1067">
        <f>HOUR(U1067)</f>
        <v>0</v>
      </c>
      <c r="W1067">
        <f>MINUTE(U1067)</f>
        <v>35</v>
      </c>
      <c r="X1067">
        <f>V1067*60+W1067</f>
        <v>35</v>
      </c>
      <c r="Y1067" s="7">
        <f>I1067-H1067</f>
        <v>6.9444444452528842E-3</v>
      </c>
      <c r="Z1067">
        <f>HOUR(Y1067)</f>
        <v>0</v>
      </c>
      <c r="AA1067">
        <f>MINUTE(Y1067)</f>
        <v>10</v>
      </c>
      <c r="AB1067">
        <f>Z1067*60+AA1067</f>
        <v>10</v>
      </c>
    </row>
    <row r="1068" spans="1:28" x14ac:dyDescent="0.25">
      <c r="A1068">
        <v>1066</v>
      </c>
      <c r="B1068" t="s">
        <v>33</v>
      </c>
      <c r="C1068">
        <v>1</v>
      </c>
      <c r="D1068" t="s">
        <v>35</v>
      </c>
      <c r="E1068" s="6">
        <v>46097.590277777781</v>
      </c>
      <c r="F1068" s="6">
        <v>46097.600694444445</v>
      </c>
      <c r="G1068" s="6">
        <v>46097.614583333336</v>
      </c>
      <c r="H1068" s="6">
        <v>46097.69027777778</v>
      </c>
      <c r="I1068" s="6">
        <v>46097.694444444445</v>
      </c>
      <c r="J1068" s="6">
        <v>46097.697916666664</v>
      </c>
      <c r="K1068">
        <v>2.58</v>
      </c>
      <c r="L1068" s="6">
        <v>46097.701388888891</v>
      </c>
      <c r="M1068" s="7">
        <f>F1068-E1068</f>
        <v>1.0416666664241347E-2</v>
      </c>
      <c r="N1068">
        <f>HOUR(M1068)</f>
        <v>0</v>
      </c>
      <c r="O1068">
        <f>MINUTE(M1068)</f>
        <v>15</v>
      </c>
      <c r="P1068">
        <f>N1068*60+O1068</f>
        <v>15</v>
      </c>
      <c r="Q1068" s="7">
        <f>G1068-F1068</f>
        <v>1.3888888890505768E-2</v>
      </c>
      <c r="R1068">
        <f>HOUR(Q1068)</f>
        <v>0</v>
      </c>
      <c r="S1068">
        <f>MINUTE(Q1068)</f>
        <v>20</v>
      </c>
      <c r="T1068">
        <f>R1068*60+S1068</f>
        <v>20</v>
      </c>
      <c r="U1068" s="7">
        <f>H1068-G1068</f>
        <v>7.5694444443797693E-2</v>
      </c>
      <c r="V1068">
        <f>HOUR(U1068)</f>
        <v>1</v>
      </c>
      <c r="W1068">
        <f>MINUTE(U1068)</f>
        <v>49</v>
      </c>
      <c r="X1068">
        <f>V1068*60+W1068</f>
        <v>109</v>
      </c>
      <c r="Y1068" s="7">
        <f>I1068-H1068</f>
        <v>4.166666665696539E-3</v>
      </c>
      <c r="Z1068">
        <f>HOUR(Y1068)</f>
        <v>0</v>
      </c>
      <c r="AA1068">
        <f>MINUTE(Y1068)</f>
        <v>6</v>
      </c>
      <c r="AB1068">
        <f>Z1068*60+AA1068</f>
        <v>6</v>
      </c>
    </row>
    <row r="1069" spans="1:28" x14ac:dyDescent="0.25">
      <c r="A1069">
        <v>1067</v>
      </c>
      <c r="B1069" t="s">
        <v>33</v>
      </c>
      <c r="C1069">
        <v>1</v>
      </c>
      <c r="D1069" t="s">
        <v>30</v>
      </c>
      <c r="E1069" s="6">
        <v>46097.604166666664</v>
      </c>
      <c r="F1069" s="6">
        <v>46097.611111111109</v>
      </c>
      <c r="G1069" s="6">
        <v>46097.635416666664</v>
      </c>
      <c r="H1069" s="6">
        <v>46097.697222222225</v>
      </c>
      <c r="I1069" s="6">
        <v>46097.715277777781</v>
      </c>
      <c r="J1069" s="6">
        <v>46097.722222222219</v>
      </c>
      <c r="K1069">
        <v>2.83</v>
      </c>
      <c r="L1069" s="6">
        <v>46097.729166666664</v>
      </c>
      <c r="M1069" s="7">
        <f>F1069-E1069</f>
        <v>6.9444444452528842E-3</v>
      </c>
      <c r="N1069">
        <f>HOUR(M1069)</f>
        <v>0</v>
      </c>
      <c r="O1069">
        <f>MINUTE(M1069)</f>
        <v>10</v>
      </c>
      <c r="P1069">
        <f>N1069*60+O1069</f>
        <v>10</v>
      </c>
      <c r="Q1069" s="7">
        <f>G1069-F1069</f>
        <v>2.4305555554747116E-2</v>
      </c>
      <c r="R1069">
        <f>HOUR(Q1069)</f>
        <v>0</v>
      </c>
      <c r="S1069">
        <f>MINUTE(Q1069)</f>
        <v>35</v>
      </c>
      <c r="T1069">
        <f>R1069*60+S1069</f>
        <v>35</v>
      </c>
      <c r="U1069" s="7">
        <f>H1069-G1069</f>
        <v>6.1805555560567882E-2</v>
      </c>
      <c r="V1069">
        <f>HOUR(U1069)</f>
        <v>1</v>
      </c>
      <c r="W1069">
        <f>MINUTE(U1069)</f>
        <v>29</v>
      </c>
      <c r="X1069">
        <f>V1069*60+W1069</f>
        <v>89</v>
      </c>
      <c r="Y1069" s="7">
        <f>I1069-H1069</f>
        <v>1.8055555556202307E-2</v>
      </c>
      <c r="Z1069">
        <f>HOUR(Y1069)</f>
        <v>0</v>
      </c>
      <c r="AA1069">
        <f>MINUTE(Y1069)</f>
        <v>26</v>
      </c>
      <c r="AB1069">
        <f>Z1069*60+AA1069</f>
        <v>26</v>
      </c>
    </row>
    <row r="1070" spans="1:28" x14ac:dyDescent="0.25">
      <c r="A1070">
        <v>1068</v>
      </c>
      <c r="B1070" t="s">
        <v>33</v>
      </c>
      <c r="C1070">
        <v>1</v>
      </c>
      <c r="D1070" t="s">
        <v>30</v>
      </c>
      <c r="E1070" s="6">
        <v>46097.722222222219</v>
      </c>
      <c r="F1070" s="6">
        <v>46097.729166666664</v>
      </c>
      <c r="G1070" s="6">
        <v>46097.75</v>
      </c>
      <c r="H1070" s="6">
        <v>46097.786111111112</v>
      </c>
      <c r="I1070" s="6">
        <v>46097.795138888891</v>
      </c>
      <c r="J1070" s="6">
        <v>46097.79583333333</v>
      </c>
      <c r="K1070">
        <v>1.77</v>
      </c>
      <c r="L1070" s="6">
        <v>46097.796527777777</v>
      </c>
      <c r="M1070" s="7">
        <f>F1070-E1070</f>
        <v>6.9444444452528842E-3</v>
      </c>
      <c r="N1070">
        <f>HOUR(M1070)</f>
        <v>0</v>
      </c>
      <c r="O1070">
        <f>MINUTE(M1070)</f>
        <v>10</v>
      </c>
      <c r="P1070">
        <f>N1070*60+O1070</f>
        <v>10</v>
      </c>
      <c r="Q1070" s="7">
        <f>G1070-F1070</f>
        <v>2.0833333335758653E-2</v>
      </c>
      <c r="R1070">
        <f>HOUR(Q1070)</f>
        <v>0</v>
      </c>
      <c r="S1070">
        <f>MINUTE(Q1070)</f>
        <v>30</v>
      </c>
      <c r="T1070">
        <f>R1070*60+S1070</f>
        <v>30</v>
      </c>
      <c r="U1070" s="7">
        <f>H1070-G1070</f>
        <v>3.6111111112404615E-2</v>
      </c>
      <c r="V1070">
        <f>HOUR(U1070)</f>
        <v>0</v>
      </c>
      <c r="W1070">
        <f>MINUTE(U1070)</f>
        <v>52</v>
      </c>
      <c r="X1070">
        <f>V1070*60+W1070</f>
        <v>52</v>
      </c>
      <c r="Y1070" s="7">
        <f>I1070-H1070</f>
        <v>9.0277777781011537E-3</v>
      </c>
      <c r="Z1070">
        <f>HOUR(Y1070)</f>
        <v>0</v>
      </c>
      <c r="AA1070">
        <f>MINUTE(Y1070)</f>
        <v>13</v>
      </c>
      <c r="AB1070">
        <f>Z1070*60+AA1070</f>
        <v>13</v>
      </c>
    </row>
    <row r="1071" spans="1:28" x14ac:dyDescent="0.25">
      <c r="A1071">
        <v>1069</v>
      </c>
      <c r="B1071" t="s">
        <v>31</v>
      </c>
      <c r="C1071">
        <v>1</v>
      </c>
      <c r="D1071" t="s">
        <v>37</v>
      </c>
      <c r="E1071" s="6">
        <v>46097.57708333333</v>
      </c>
      <c r="F1071" s="6">
        <v>46097.577777777777</v>
      </c>
      <c r="G1071" s="6">
        <v>46097.578472222223</v>
      </c>
      <c r="H1071" s="6">
        <v>46097.585416666669</v>
      </c>
      <c r="I1071" s="6">
        <v>46097.78125</v>
      </c>
      <c r="J1071" s="6">
        <v>46097.888888888891</v>
      </c>
      <c r="K1071">
        <v>7.48</v>
      </c>
      <c r="L1071" s="6">
        <v>46097.895833333336</v>
      </c>
      <c r="M1071" s="7">
        <f>F1071-E1071</f>
        <v>6.944444467080757E-4</v>
      </c>
      <c r="N1071">
        <f>HOUR(M1071)</f>
        <v>0</v>
      </c>
      <c r="O1071">
        <f>MINUTE(M1071)</f>
        <v>1</v>
      </c>
      <c r="P1071">
        <f>N1071*60+O1071</f>
        <v>1</v>
      </c>
      <c r="Q1071" s="7">
        <f>G1071-F1071</f>
        <v>6.944444467080757E-4</v>
      </c>
      <c r="R1071">
        <f>HOUR(Q1071)</f>
        <v>0</v>
      </c>
      <c r="S1071">
        <f>MINUTE(Q1071)</f>
        <v>1</v>
      </c>
      <c r="T1071">
        <f>R1071*60+S1071</f>
        <v>1</v>
      </c>
      <c r="U1071" s="7">
        <f>H1071-G1071</f>
        <v>6.9444444452528842E-3</v>
      </c>
      <c r="V1071">
        <f>HOUR(U1071)</f>
        <v>0</v>
      </c>
      <c r="W1071">
        <f>MINUTE(U1071)</f>
        <v>10</v>
      </c>
      <c r="X1071">
        <f>V1071*60+W1071</f>
        <v>10</v>
      </c>
      <c r="Y1071" s="7">
        <f>I1071-H1071</f>
        <v>0.19583333333139308</v>
      </c>
      <c r="Z1071">
        <f>HOUR(Y1071)</f>
        <v>4</v>
      </c>
      <c r="AA1071">
        <f>MINUTE(Y1071)</f>
        <v>42</v>
      </c>
      <c r="AB1071">
        <f>Z1071*60+AA1071</f>
        <v>282</v>
      </c>
    </row>
    <row r="1072" spans="1:28" x14ac:dyDescent="0.25">
      <c r="A1072">
        <v>1070</v>
      </c>
      <c r="B1072" t="s">
        <v>29</v>
      </c>
      <c r="C1072">
        <v>1</v>
      </c>
      <c r="D1072" t="s">
        <v>36</v>
      </c>
      <c r="E1072" s="6">
        <v>46098.477083333331</v>
      </c>
      <c r="F1072" s="6">
        <v>46098.486111111109</v>
      </c>
      <c r="G1072" s="6">
        <v>46098.486805555556</v>
      </c>
      <c r="H1072" s="6">
        <v>46098.489583333336</v>
      </c>
      <c r="I1072" s="6">
        <v>46098.496527777781</v>
      </c>
      <c r="J1072" s="6">
        <v>46098.506944444445</v>
      </c>
      <c r="K1072">
        <v>0.72</v>
      </c>
      <c r="L1072" s="6">
        <v>46098.513888888891</v>
      </c>
      <c r="M1072" s="7">
        <f>F1072-E1072</f>
        <v>9.0277777781011537E-3</v>
      </c>
      <c r="N1072">
        <f>HOUR(M1072)</f>
        <v>0</v>
      </c>
      <c r="O1072">
        <f>MINUTE(M1072)</f>
        <v>13</v>
      </c>
      <c r="P1072">
        <f>N1072*60+O1072</f>
        <v>13</v>
      </c>
      <c r="Q1072" s="7">
        <f>G1072-F1072</f>
        <v>6.944444467080757E-4</v>
      </c>
      <c r="R1072">
        <f>HOUR(Q1072)</f>
        <v>0</v>
      </c>
      <c r="S1072">
        <f>MINUTE(Q1072)</f>
        <v>1</v>
      </c>
      <c r="T1072">
        <f>R1072*60+S1072</f>
        <v>1</v>
      </c>
      <c r="U1072" s="7">
        <f>H1072-G1072</f>
        <v>2.7777777795563452E-3</v>
      </c>
      <c r="V1072">
        <f>HOUR(U1072)</f>
        <v>0</v>
      </c>
      <c r="W1072">
        <f>MINUTE(U1072)</f>
        <v>4</v>
      </c>
      <c r="X1072">
        <f>V1072*60+W1072</f>
        <v>4</v>
      </c>
      <c r="Y1072" s="7">
        <f>I1072-H1072</f>
        <v>6.9444444452528842E-3</v>
      </c>
      <c r="Z1072">
        <f>HOUR(Y1072)</f>
        <v>0</v>
      </c>
      <c r="AA1072">
        <f>MINUTE(Y1072)</f>
        <v>10</v>
      </c>
      <c r="AB1072">
        <f>Z1072*60+AA1072</f>
        <v>10</v>
      </c>
    </row>
    <row r="1073" spans="1:28" x14ac:dyDescent="0.25">
      <c r="A1073">
        <v>1071</v>
      </c>
      <c r="B1073" t="s">
        <v>33</v>
      </c>
      <c r="C1073">
        <v>1</v>
      </c>
      <c r="D1073" t="s">
        <v>32</v>
      </c>
      <c r="E1073" s="6">
        <v>46098.302083333336</v>
      </c>
      <c r="F1073" s="6">
        <v>46098.309027777781</v>
      </c>
      <c r="G1073" s="6">
        <v>46098.319444444445</v>
      </c>
      <c r="H1073" s="6">
        <v>46098.453472222223</v>
      </c>
      <c r="I1073" s="6">
        <v>46098.45416666667</v>
      </c>
      <c r="J1073" s="6">
        <v>46098.460416666669</v>
      </c>
      <c r="K1073">
        <v>3.8</v>
      </c>
      <c r="L1073" s="6">
        <v>46098.467361111114</v>
      </c>
      <c r="M1073" s="7">
        <f>F1073-E1073</f>
        <v>6.9444444452528842E-3</v>
      </c>
      <c r="N1073">
        <f>HOUR(M1073)</f>
        <v>0</v>
      </c>
      <c r="O1073">
        <f>MINUTE(M1073)</f>
        <v>10</v>
      </c>
      <c r="P1073">
        <f>N1073*60+O1073</f>
        <v>10</v>
      </c>
      <c r="Q1073" s="7">
        <f>G1073-F1073</f>
        <v>1.0416666664241347E-2</v>
      </c>
      <c r="R1073">
        <f>HOUR(Q1073)</f>
        <v>0</v>
      </c>
      <c r="S1073">
        <f>MINUTE(Q1073)</f>
        <v>15</v>
      </c>
      <c r="T1073">
        <f>R1073*60+S1073</f>
        <v>15</v>
      </c>
      <c r="U1073" s="7">
        <f>H1073-G1073</f>
        <v>0.13402777777810115</v>
      </c>
      <c r="V1073">
        <f>HOUR(U1073)</f>
        <v>3</v>
      </c>
      <c r="W1073">
        <f>MINUTE(U1073)</f>
        <v>13</v>
      </c>
      <c r="X1073">
        <f>V1073*60+W1073</f>
        <v>193</v>
      </c>
      <c r="Y1073" s="7">
        <f>I1073-H1073</f>
        <v>6.944444467080757E-4</v>
      </c>
      <c r="Z1073">
        <f>HOUR(Y1073)</f>
        <v>0</v>
      </c>
      <c r="AA1073">
        <f>MINUTE(Y1073)</f>
        <v>1</v>
      </c>
      <c r="AB1073">
        <f>Z1073*60+AA1073</f>
        <v>1</v>
      </c>
    </row>
    <row r="1074" spans="1:28" x14ac:dyDescent="0.25">
      <c r="A1074">
        <v>1072</v>
      </c>
      <c r="B1074" t="s">
        <v>29</v>
      </c>
      <c r="C1074">
        <v>1</v>
      </c>
      <c r="D1074" t="s">
        <v>35</v>
      </c>
      <c r="E1074" s="6">
        <v>46099.291666666664</v>
      </c>
      <c r="F1074" s="6">
        <v>46099.326388888891</v>
      </c>
      <c r="G1074" s="6">
        <v>46099.364583333336</v>
      </c>
      <c r="H1074" s="6">
        <v>46099.520833333336</v>
      </c>
      <c r="I1074" s="6">
        <v>46099.527777777781</v>
      </c>
      <c r="J1074" s="6">
        <v>46099.548611111109</v>
      </c>
      <c r="K1074">
        <v>6.17</v>
      </c>
      <c r="L1074" s="6">
        <v>46099.549305555556</v>
      </c>
      <c r="M1074" s="7">
        <f>F1074-E1074</f>
        <v>3.4722222226264421E-2</v>
      </c>
      <c r="N1074">
        <f>HOUR(M1074)</f>
        <v>0</v>
      </c>
      <c r="O1074">
        <f>MINUTE(M1074)</f>
        <v>50</v>
      </c>
      <c r="P1074">
        <f>N1074*60+O1074</f>
        <v>50</v>
      </c>
      <c r="Q1074" s="7">
        <f>G1074-F1074</f>
        <v>3.8194444445252884E-2</v>
      </c>
      <c r="R1074">
        <f>HOUR(Q1074)</f>
        <v>0</v>
      </c>
      <c r="S1074">
        <f>MINUTE(Q1074)</f>
        <v>55</v>
      </c>
      <c r="T1074">
        <f>R1074*60+S1074</f>
        <v>55</v>
      </c>
      <c r="U1074" s="7">
        <f>H1074-G1074</f>
        <v>0.15625</v>
      </c>
      <c r="V1074">
        <f>HOUR(U1074)</f>
        <v>3</v>
      </c>
      <c r="W1074">
        <f>MINUTE(U1074)</f>
        <v>45</v>
      </c>
      <c r="X1074">
        <f>V1074*60+W1074</f>
        <v>225</v>
      </c>
      <c r="Y1074" s="7">
        <f>I1074-H1074</f>
        <v>6.9444444452528842E-3</v>
      </c>
      <c r="Z1074">
        <f>HOUR(Y1074)</f>
        <v>0</v>
      </c>
      <c r="AA1074">
        <f>MINUTE(Y1074)</f>
        <v>10</v>
      </c>
      <c r="AB1074">
        <f>Z1074*60+AA1074</f>
        <v>10</v>
      </c>
    </row>
    <row r="1075" spans="1:28" x14ac:dyDescent="0.25">
      <c r="A1075">
        <v>1073</v>
      </c>
      <c r="B1075" t="s">
        <v>33</v>
      </c>
      <c r="C1075">
        <v>1</v>
      </c>
      <c r="D1075" t="s">
        <v>35</v>
      </c>
      <c r="E1075" s="6">
        <v>46100.569444444445</v>
      </c>
      <c r="F1075" s="6">
        <v>46100.588194444441</v>
      </c>
      <c r="G1075" s="6">
        <v>46100.625</v>
      </c>
      <c r="H1075" s="6">
        <v>46100.745833333334</v>
      </c>
      <c r="I1075" s="6">
        <v>46100.791666666664</v>
      </c>
      <c r="J1075" s="6">
        <v>46100.8125</v>
      </c>
      <c r="K1075">
        <v>5.83</v>
      </c>
      <c r="L1075" s="6">
        <v>46100.819444444445</v>
      </c>
      <c r="M1075" s="7">
        <f>F1075-E1075</f>
        <v>1.8749999995634425E-2</v>
      </c>
      <c r="N1075">
        <f>HOUR(M1075)</f>
        <v>0</v>
      </c>
      <c r="O1075">
        <f>MINUTE(M1075)</f>
        <v>27</v>
      </c>
      <c r="P1075">
        <f>N1075*60+O1075</f>
        <v>27</v>
      </c>
      <c r="Q1075" s="7">
        <f>G1075-F1075</f>
        <v>3.680555555911269E-2</v>
      </c>
      <c r="R1075">
        <f>HOUR(Q1075)</f>
        <v>0</v>
      </c>
      <c r="S1075">
        <f>MINUTE(Q1075)</f>
        <v>53</v>
      </c>
      <c r="T1075">
        <f>R1075*60+S1075</f>
        <v>53</v>
      </c>
      <c r="U1075" s="7">
        <f>H1075-G1075</f>
        <v>0.12083333333430346</v>
      </c>
      <c r="V1075">
        <f>HOUR(U1075)</f>
        <v>2</v>
      </c>
      <c r="W1075">
        <f>MINUTE(U1075)</f>
        <v>54</v>
      </c>
      <c r="X1075">
        <f>V1075*60+W1075</f>
        <v>174</v>
      </c>
      <c r="Y1075" s="7">
        <f>I1075-H1075</f>
        <v>4.5833333329937886E-2</v>
      </c>
      <c r="Z1075">
        <f>HOUR(Y1075)</f>
        <v>1</v>
      </c>
      <c r="AA1075">
        <f>MINUTE(Y1075)</f>
        <v>6</v>
      </c>
      <c r="AB1075">
        <f>Z1075*60+AA1075</f>
        <v>66</v>
      </c>
    </row>
    <row r="1076" spans="1:28" x14ac:dyDescent="0.25">
      <c r="A1076">
        <v>1074</v>
      </c>
      <c r="B1076" t="s">
        <v>33</v>
      </c>
      <c r="C1076">
        <v>1</v>
      </c>
      <c r="D1076" t="s">
        <v>35</v>
      </c>
      <c r="E1076" s="6">
        <v>46098.329861111109</v>
      </c>
      <c r="F1076" s="6">
        <v>46098.333333333336</v>
      </c>
      <c r="G1076" s="6">
        <v>46098.364583333336</v>
      </c>
      <c r="H1076" s="6">
        <v>46098.440972222219</v>
      </c>
      <c r="I1076" s="6">
        <v>46098.451388888891</v>
      </c>
      <c r="J1076" s="6">
        <v>46098.46875</v>
      </c>
      <c r="K1076">
        <v>3.33</v>
      </c>
      <c r="L1076" s="6">
        <v>46098.469444444447</v>
      </c>
      <c r="M1076" s="7">
        <f>F1076-E1076</f>
        <v>3.4722222262644209E-3</v>
      </c>
      <c r="N1076">
        <f>HOUR(M1076)</f>
        <v>0</v>
      </c>
      <c r="O1076">
        <f>MINUTE(M1076)</f>
        <v>5</v>
      </c>
      <c r="P1076">
        <f>N1076*60+O1076</f>
        <v>5</v>
      </c>
      <c r="Q1076" s="7">
        <f>G1076-F1076</f>
        <v>3.125E-2</v>
      </c>
      <c r="R1076">
        <f>HOUR(Q1076)</f>
        <v>0</v>
      </c>
      <c r="S1076">
        <f>MINUTE(Q1076)</f>
        <v>45</v>
      </c>
      <c r="T1076">
        <f>R1076*60+S1076</f>
        <v>45</v>
      </c>
      <c r="U1076" s="7">
        <f>H1076-G1076</f>
        <v>7.6388888883229811E-2</v>
      </c>
      <c r="V1076">
        <f>HOUR(U1076)</f>
        <v>1</v>
      </c>
      <c r="W1076">
        <f>MINUTE(U1076)</f>
        <v>50</v>
      </c>
      <c r="X1076">
        <f>V1076*60+W1076</f>
        <v>110</v>
      </c>
      <c r="Y1076" s="7">
        <f>I1076-H1076</f>
        <v>1.0416666671517305E-2</v>
      </c>
      <c r="Z1076">
        <f>HOUR(Y1076)</f>
        <v>0</v>
      </c>
      <c r="AA1076">
        <f>MINUTE(Y1076)</f>
        <v>15</v>
      </c>
      <c r="AB1076">
        <f>Z1076*60+AA1076</f>
        <v>15</v>
      </c>
    </row>
    <row r="1077" spans="1:28" x14ac:dyDescent="0.25">
      <c r="A1077">
        <v>1075</v>
      </c>
      <c r="B1077" t="s">
        <v>33</v>
      </c>
      <c r="C1077">
        <v>1</v>
      </c>
      <c r="D1077" t="s">
        <v>36</v>
      </c>
      <c r="E1077" s="6">
        <v>46098.327777777777</v>
      </c>
      <c r="F1077" s="6">
        <v>46098.333333333336</v>
      </c>
      <c r="G1077" s="6">
        <v>46098.354166666664</v>
      </c>
      <c r="H1077" s="6">
        <v>46098.4375</v>
      </c>
      <c r="I1077" s="6">
        <v>46098.444444444445</v>
      </c>
      <c r="J1077" s="6">
        <v>46098.458333333336</v>
      </c>
      <c r="K1077">
        <v>3.13</v>
      </c>
      <c r="L1077" s="6">
        <v>46098.465277777781</v>
      </c>
      <c r="M1077" s="7">
        <f>F1077-E1077</f>
        <v>5.5555555591126904E-3</v>
      </c>
      <c r="N1077">
        <f>HOUR(M1077)</f>
        <v>0</v>
      </c>
      <c r="O1077">
        <f>MINUTE(M1077)</f>
        <v>8</v>
      </c>
      <c r="P1077">
        <f>N1077*60+O1077</f>
        <v>8</v>
      </c>
      <c r="Q1077" s="7">
        <f>G1077-F1077</f>
        <v>2.0833333328482695E-2</v>
      </c>
      <c r="R1077">
        <f>HOUR(Q1077)</f>
        <v>0</v>
      </c>
      <c r="S1077">
        <f>MINUTE(Q1077)</f>
        <v>30</v>
      </c>
      <c r="T1077">
        <f>R1077*60+S1077</f>
        <v>30</v>
      </c>
      <c r="U1077" s="7">
        <f>H1077-G1077</f>
        <v>8.3333333335758653E-2</v>
      </c>
      <c r="V1077">
        <f>HOUR(U1077)</f>
        <v>2</v>
      </c>
      <c r="W1077">
        <f>MINUTE(U1077)</f>
        <v>0</v>
      </c>
      <c r="X1077">
        <f>V1077*60+W1077</f>
        <v>120</v>
      </c>
      <c r="Y1077" s="7">
        <f>I1077-H1077</f>
        <v>6.9444444452528842E-3</v>
      </c>
      <c r="Z1077">
        <f>HOUR(Y1077)</f>
        <v>0</v>
      </c>
      <c r="AA1077">
        <f>MINUTE(Y1077)</f>
        <v>10</v>
      </c>
      <c r="AB1077">
        <f>Z1077*60+AA1077</f>
        <v>10</v>
      </c>
    </row>
    <row r="1078" spans="1:28" x14ac:dyDescent="0.25">
      <c r="A1078">
        <v>1076</v>
      </c>
      <c r="B1078" t="s">
        <v>29</v>
      </c>
      <c r="C1078">
        <v>1</v>
      </c>
      <c r="D1078" t="s">
        <v>30</v>
      </c>
      <c r="E1078" s="6">
        <v>46097.756944444445</v>
      </c>
      <c r="F1078" s="6">
        <v>46097.760416666664</v>
      </c>
      <c r="G1078" s="6">
        <v>46097.763888888891</v>
      </c>
      <c r="H1078" s="6">
        <v>46097.770833333336</v>
      </c>
      <c r="I1078" s="6">
        <v>46097.772222222222</v>
      </c>
      <c r="J1078" s="6">
        <v>46097.774305555555</v>
      </c>
      <c r="K1078">
        <v>0.42</v>
      </c>
      <c r="L1078" s="6">
        <v>46097.775694444441</v>
      </c>
      <c r="M1078" s="7">
        <f>F1078-E1078</f>
        <v>3.4722222189884633E-3</v>
      </c>
      <c r="N1078">
        <f>HOUR(M1078)</f>
        <v>0</v>
      </c>
      <c r="O1078">
        <f>MINUTE(M1078)</f>
        <v>5</v>
      </c>
      <c r="P1078">
        <f>N1078*60+O1078</f>
        <v>5</v>
      </c>
      <c r="Q1078" s="7">
        <f>G1078-F1078</f>
        <v>3.4722222262644209E-3</v>
      </c>
      <c r="R1078">
        <f>HOUR(Q1078)</f>
        <v>0</v>
      </c>
      <c r="S1078">
        <f>MINUTE(Q1078)</f>
        <v>5</v>
      </c>
      <c r="T1078">
        <f>R1078*60+S1078</f>
        <v>5</v>
      </c>
      <c r="U1078" s="7">
        <f>H1078-G1078</f>
        <v>6.9444444452528842E-3</v>
      </c>
      <c r="V1078">
        <f>HOUR(U1078)</f>
        <v>0</v>
      </c>
      <c r="W1078">
        <f>MINUTE(U1078)</f>
        <v>10</v>
      </c>
      <c r="X1078">
        <f>V1078*60+W1078</f>
        <v>10</v>
      </c>
      <c r="Y1078" s="7">
        <f>I1078-H1078</f>
        <v>1.3888888861401938E-3</v>
      </c>
      <c r="Z1078">
        <f>HOUR(Y1078)</f>
        <v>0</v>
      </c>
      <c r="AA1078">
        <f>MINUTE(Y1078)</f>
        <v>2</v>
      </c>
      <c r="AB1078">
        <f>Z1078*60+AA1078</f>
        <v>2</v>
      </c>
    </row>
    <row r="1079" spans="1:28" x14ac:dyDescent="0.25">
      <c r="A1079">
        <v>1077</v>
      </c>
      <c r="B1079" t="s">
        <v>29</v>
      </c>
      <c r="C1079">
        <v>1</v>
      </c>
      <c r="D1079" t="s">
        <v>35</v>
      </c>
      <c r="E1079" s="6">
        <v>46098.413194444445</v>
      </c>
      <c r="F1079" s="6">
        <v>46098.416666666664</v>
      </c>
      <c r="G1079" s="6">
        <v>46098.423611111109</v>
      </c>
      <c r="H1079" s="6">
        <v>46098.430555555555</v>
      </c>
      <c r="I1079" s="6">
        <v>46098.4375</v>
      </c>
      <c r="J1079" s="6">
        <v>46098.440972222219</v>
      </c>
      <c r="K1079">
        <v>0.67</v>
      </c>
      <c r="L1079" s="6">
        <v>46098.445138888892</v>
      </c>
      <c r="M1079" s="7">
        <f>F1079-E1079</f>
        <v>3.4722222189884633E-3</v>
      </c>
      <c r="N1079">
        <f>HOUR(M1079)</f>
        <v>0</v>
      </c>
      <c r="O1079">
        <f>MINUTE(M1079)</f>
        <v>5</v>
      </c>
      <c r="P1079">
        <f>N1079*60+O1079</f>
        <v>5</v>
      </c>
      <c r="Q1079" s="7">
        <f>G1079-F1079</f>
        <v>6.9444444452528842E-3</v>
      </c>
      <c r="R1079">
        <f>HOUR(Q1079)</f>
        <v>0</v>
      </c>
      <c r="S1079">
        <f>MINUTE(Q1079)</f>
        <v>10</v>
      </c>
      <c r="T1079">
        <f>R1079*60+S1079</f>
        <v>10</v>
      </c>
      <c r="U1079" s="7">
        <f>H1079-G1079</f>
        <v>6.9444444452528842E-3</v>
      </c>
      <c r="V1079">
        <f>HOUR(U1079)</f>
        <v>0</v>
      </c>
      <c r="W1079">
        <f>MINUTE(U1079)</f>
        <v>10</v>
      </c>
      <c r="X1079">
        <f>V1079*60+W1079</f>
        <v>10</v>
      </c>
      <c r="Y1079" s="7">
        <f>I1079-H1079</f>
        <v>6.9444444452528842E-3</v>
      </c>
      <c r="Z1079">
        <f>HOUR(Y1079)</f>
        <v>0</v>
      </c>
      <c r="AA1079">
        <f>MINUTE(Y1079)</f>
        <v>10</v>
      </c>
      <c r="AB1079">
        <f>Z1079*60+AA1079</f>
        <v>10</v>
      </c>
    </row>
    <row r="1080" spans="1:28" x14ac:dyDescent="0.25">
      <c r="A1080">
        <v>1078</v>
      </c>
      <c r="B1080" t="s">
        <v>33</v>
      </c>
      <c r="C1080">
        <v>1</v>
      </c>
      <c r="D1080" t="s">
        <v>35</v>
      </c>
      <c r="E1080" s="6">
        <v>46097.934027777781</v>
      </c>
      <c r="F1080" s="6">
        <v>46097.940972222219</v>
      </c>
      <c r="G1080" s="6">
        <v>46097.951388888891</v>
      </c>
      <c r="H1080" s="6">
        <v>46097.96875</v>
      </c>
      <c r="I1080" s="6">
        <v>46097.975694444445</v>
      </c>
      <c r="J1080" s="6">
        <v>46097.982638888891</v>
      </c>
      <c r="K1080">
        <v>1.17</v>
      </c>
      <c r="L1080" s="6">
        <v>46097.98333333333</v>
      </c>
      <c r="M1080" s="7">
        <f>F1080-E1080</f>
        <v>6.9444444379769266E-3</v>
      </c>
      <c r="N1080">
        <f>HOUR(M1080)</f>
        <v>0</v>
      </c>
      <c r="O1080">
        <f>MINUTE(M1080)</f>
        <v>10</v>
      </c>
      <c r="P1080">
        <f>N1080*60+O1080</f>
        <v>10</v>
      </c>
      <c r="Q1080" s="7">
        <f>G1080-F1080</f>
        <v>1.0416666671517305E-2</v>
      </c>
      <c r="R1080">
        <f>HOUR(Q1080)</f>
        <v>0</v>
      </c>
      <c r="S1080">
        <f>MINUTE(Q1080)</f>
        <v>15</v>
      </c>
      <c r="T1080">
        <f>R1080*60+S1080</f>
        <v>15</v>
      </c>
      <c r="U1080" s="7">
        <f>H1080-G1080</f>
        <v>1.7361111109494232E-2</v>
      </c>
      <c r="V1080">
        <f>HOUR(U1080)</f>
        <v>0</v>
      </c>
      <c r="W1080">
        <f>MINUTE(U1080)</f>
        <v>25</v>
      </c>
      <c r="X1080">
        <f>V1080*60+W1080</f>
        <v>25</v>
      </c>
      <c r="Y1080" s="7">
        <f>I1080-H1080</f>
        <v>6.9444444452528842E-3</v>
      </c>
      <c r="Z1080">
        <f>HOUR(Y1080)</f>
        <v>0</v>
      </c>
      <c r="AA1080">
        <f>MINUTE(Y1080)</f>
        <v>10</v>
      </c>
      <c r="AB1080">
        <f>Z1080*60+AA1080</f>
        <v>10</v>
      </c>
    </row>
    <row r="1081" spans="1:28" x14ac:dyDescent="0.25">
      <c r="A1081">
        <v>1079</v>
      </c>
      <c r="B1081" t="s">
        <v>33</v>
      </c>
      <c r="C1081">
        <v>1</v>
      </c>
      <c r="D1081" t="s">
        <v>30</v>
      </c>
      <c r="E1081" s="6">
        <v>46098.315972222219</v>
      </c>
      <c r="F1081" s="6">
        <v>46098.322916666664</v>
      </c>
      <c r="G1081" s="6">
        <v>46098.333333333336</v>
      </c>
      <c r="H1081" s="6">
        <v>46098.340277777781</v>
      </c>
      <c r="I1081" s="6">
        <v>46098.354166666664</v>
      </c>
      <c r="J1081" s="6">
        <v>46098.357638888891</v>
      </c>
      <c r="K1081">
        <v>1</v>
      </c>
      <c r="L1081" s="6">
        <v>46098.364583333336</v>
      </c>
      <c r="M1081" s="7">
        <f>F1081-E1081</f>
        <v>6.9444444452528842E-3</v>
      </c>
      <c r="N1081">
        <f>HOUR(M1081)</f>
        <v>0</v>
      </c>
      <c r="O1081">
        <f>MINUTE(M1081)</f>
        <v>10</v>
      </c>
      <c r="P1081">
        <f>N1081*60+O1081</f>
        <v>10</v>
      </c>
      <c r="Q1081" s="7">
        <f>G1081-F1081</f>
        <v>1.0416666671517305E-2</v>
      </c>
      <c r="R1081">
        <f>HOUR(Q1081)</f>
        <v>0</v>
      </c>
      <c r="S1081">
        <f>MINUTE(Q1081)</f>
        <v>15</v>
      </c>
      <c r="T1081">
        <f>R1081*60+S1081</f>
        <v>15</v>
      </c>
      <c r="U1081" s="7">
        <f>H1081-G1081</f>
        <v>6.9444444452528842E-3</v>
      </c>
      <c r="V1081">
        <f>HOUR(U1081)</f>
        <v>0</v>
      </c>
      <c r="W1081">
        <f>MINUTE(U1081)</f>
        <v>10</v>
      </c>
      <c r="X1081">
        <f>V1081*60+W1081</f>
        <v>10</v>
      </c>
      <c r="Y1081" s="7">
        <f>I1081-H1081</f>
        <v>1.3888888883229811E-2</v>
      </c>
      <c r="Z1081">
        <f>HOUR(Y1081)</f>
        <v>0</v>
      </c>
      <c r="AA1081">
        <f>MINUTE(Y1081)</f>
        <v>20</v>
      </c>
      <c r="AB1081">
        <f>Z1081*60+AA1081</f>
        <v>20</v>
      </c>
    </row>
    <row r="1082" spans="1:28" x14ac:dyDescent="0.25">
      <c r="A1082">
        <v>1080</v>
      </c>
      <c r="B1082" t="s">
        <v>31</v>
      </c>
      <c r="C1082">
        <v>1</v>
      </c>
      <c r="D1082" t="s">
        <v>30</v>
      </c>
      <c r="E1082" s="6">
        <v>46098.385416666664</v>
      </c>
      <c r="F1082" s="6">
        <v>46098.388888888891</v>
      </c>
      <c r="G1082" s="6">
        <v>46098.416666666664</v>
      </c>
      <c r="H1082" s="6">
        <v>46098.513888888891</v>
      </c>
      <c r="I1082" s="6">
        <v>46098.520833333336</v>
      </c>
      <c r="J1082" s="6">
        <v>46098.875</v>
      </c>
      <c r="K1082">
        <v>11.75</v>
      </c>
      <c r="L1082" s="6">
        <v>46098.881944444445</v>
      </c>
      <c r="M1082" s="7">
        <f>F1082-E1082</f>
        <v>3.4722222262644209E-3</v>
      </c>
      <c r="N1082">
        <f>HOUR(M1082)</f>
        <v>0</v>
      </c>
      <c r="O1082">
        <f>MINUTE(M1082)</f>
        <v>5</v>
      </c>
      <c r="P1082">
        <f>N1082*60+O1082</f>
        <v>5</v>
      </c>
      <c r="Q1082" s="7">
        <f>G1082-F1082</f>
        <v>2.7777777773735579E-2</v>
      </c>
      <c r="R1082">
        <f>HOUR(Q1082)</f>
        <v>0</v>
      </c>
      <c r="S1082">
        <f>MINUTE(Q1082)</f>
        <v>40</v>
      </c>
      <c r="T1082">
        <f>R1082*60+S1082</f>
        <v>40</v>
      </c>
      <c r="U1082" s="7">
        <f>H1082-G1082</f>
        <v>9.7222222226264421E-2</v>
      </c>
      <c r="V1082">
        <f>HOUR(U1082)</f>
        <v>2</v>
      </c>
      <c r="W1082">
        <f>MINUTE(U1082)</f>
        <v>20</v>
      </c>
      <c r="X1082">
        <f>V1082*60+W1082</f>
        <v>140</v>
      </c>
      <c r="Y1082" s="7">
        <f>I1082-H1082</f>
        <v>6.9444444452528842E-3</v>
      </c>
      <c r="Z1082">
        <f>HOUR(Y1082)</f>
        <v>0</v>
      </c>
      <c r="AA1082">
        <f>MINUTE(Y1082)</f>
        <v>10</v>
      </c>
      <c r="AB1082">
        <f>Z1082*60+AA1082</f>
        <v>10</v>
      </c>
    </row>
    <row r="1083" spans="1:28" x14ac:dyDescent="0.25">
      <c r="A1083">
        <v>1081</v>
      </c>
      <c r="B1083" t="s">
        <v>31</v>
      </c>
      <c r="C1083">
        <v>1</v>
      </c>
      <c r="D1083" t="s">
        <v>30</v>
      </c>
      <c r="E1083" s="6">
        <v>46098.510416666664</v>
      </c>
      <c r="F1083" s="6">
        <v>46098.517361111109</v>
      </c>
      <c r="G1083" s="6">
        <v>46098.527777777781</v>
      </c>
      <c r="H1083" s="6">
        <v>46098.611805555556</v>
      </c>
      <c r="I1083" s="6">
        <v>46098.666666666664</v>
      </c>
      <c r="J1083" s="6">
        <v>46098.753472222219</v>
      </c>
      <c r="K1083">
        <v>5.83</v>
      </c>
      <c r="L1083" s="6">
        <v>46098.760416666664</v>
      </c>
      <c r="M1083" s="7">
        <f>F1083-E1083</f>
        <v>6.9444444452528842E-3</v>
      </c>
      <c r="N1083">
        <f>HOUR(M1083)</f>
        <v>0</v>
      </c>
      <c r="O1083">
        <f>MINUTE(M1083)</f>
        <v>10</v>
      </c>
      <c r="P1083">
        <f>N1083*60+O1083</f>
        <v>10</v>
      </c>
      <c r="Q1083" s="7">
        <f>G1083-F1083</f>
        <v>1.0416666671517305E-2</v>
      </c>
      <c r="R1083">
        <f>HOUR(Q1083)</f>
        <v>0</v>
      </c>
      <c r="S1083">
        <f>MINUTE(Q1083)</f>
        <v>15</v>
      </c>
      <c r="T1083">
        <f>R1083*60+S1083</f>
        <v>15</v>
      </c>
      <c r="U1083" s="7">
        <f>H1083-G1083</f>
        <v>8.4027777775190771E-2</v>
      </c>
      <c r="V1083">
        <f>HOUR(U1083)</f>
        <v>2</v>
      </c>
      <c r="W1083">
        <f>MINUTE(U1083)</f>
        <v>1</v>
      </c>
      <c r="X1083">
        <f>V1083*60+W1083</f>
        <v>121</v>
      </c>
      <c r="Y1083" s="7">
        <f>I1083-H1083</f>
        <v>5.486111110803904E-2</v>
      </c>
      <c r="Z1083">
        <f>HOUR(Y1083)</f>
        <v>1</v>
      </c>
      <c r="AA1083">
        <f>MINUTE(Y1083)</f>
        <v>19</v>
      </c>
      <c r="AB1083">
        <f>Z1083*60+AA1083</f>
        <v>79</v>
      </c>
    </row>
    <row r="1084" spans="1:28" x14ac:dyDescent="0.25">
      <c r="A1084">
        <v>1082</v>
      </c>
      <c r="B1084" t="s">
        <v>31</v>
      </c>
      <c r="C1084">
        <v>1</v>
      </c>
      <c r="D1084" t="s">
        <v>30</v>
      </c>
      <c r="E1084" s="6">
        <v>46098.677083333336</v>
      </c>
      <c r="F1084" s="6">
        <v>46098.680555555555</v>
      </c>
      <c r="G1084" s="6">
        <v>46098.694444444445</v>
      </c>
      <c r="H1084" s="6">
        <v>46098.819444444445</v>
      </c>
      <c r="I1084" s="6">
        <v>46098.840277777781</v>
      </c>
      <c r="J1084" s="6">
        <v>46098.847222222219</v>
      </c>
      <c r="K1084">
        <v>4.08</v>
      </c>
      <c r="L1084" s="6">
        <v>46098.854166666664</v>
      </c>
      <c r="M1084" s="7">
        <f>F1084-E1084</f>
        <v>3.4722222189884633E-3</v>
      </c>
      <c r="N1084">
        <f>HOUR(M1084)</f>
        <v>0</v>
      </c>
      <c r="O1084">
        <f>MINUTE(M1084)</f>
        <v>5</v>
      </c>
      <c r="P1084">
        <f>N1084*60+O1084</f>
        <v>5</v>
      </c>
      <c r="Q1084" s="7">
        <f>G1084-F1084</f>
        <v>1.3888888890505768E-2</v>
      </c>
      <c r="R1084">
        <f>HOUR(Q1084)</f>
        <v>0</v>
      </c>
      <c r="S1084">
        <f>MINUTE(Q1084)</f>
        <v>20</v>
      </c>
      <c r="T1084">
        <f>R1084*60+S1084</f>
        <v>20</v>
      </c>
      <c r="U1084" s="7">
        <f>H1084-G1084</f>
        <v>0.125</v>
      </c>
      <c r="V1084">
        <f>HOUR(U1084)</f>
        <v>3</v>
      </c>
      <c r="W1084">
        <f>MINUTE(U1084)</f>
        <v>0</v>
      </c>
      <c r="X1084">
        <f>V1084*60+W1084</f>
        <v>180</v>
      </c>
      <c r="Y1084" s="7">
        <f>I1084-H1084</f>
        <v>2.0833333335758653E-2</v>
      </c>
      <c r="Z1084">
        <f>HOUR(Y1084)</f>
        <v>0</v>
      </c>
      <c r="AA1084">
        <f>MINUTE(Y1084)</f>
        <v>30</v>
      </c>
      <c r="AB1084">
        <f>Z1084*60+AA1084</f>
        <v>30</v>
      </c>
    </row>
    <row r="1085" spans="1:28" x14ac:dyDescent="0.25">
      <c r="A1085">
        <v>1083</v>
      </c>
      <c r="B1085" t="s">
        <v>33</v>
      </c>
      <c r="C1085">
        <v>1</v>
      </c>
      <c r="D1085" t="s">
        <v>35</v>
      </c>
      <c r="E1085" s="6">
        <v>46098.513888888891</v>
      </c>
      <c r="F1085" s="6">
        <v>46098.520833333336</v>
      </c>
      <c r="G1085" s="6">
        <v>46098.5625</v>
      </c>
      <c r="H1085" s="6">
        <v>46098.715277777781</v>
      </c>
      <c r="I1085" s="6">
        <v>46098.722222222219</v>
      </c>
      <c r="J1085" s="6">
        <v>46098.725694444445</v>
      </c>
      <c r="K1085">
        <v>5.08</v>
      </c>
      <c r="L1085" s="6">
        <v>46098.727083333331</v>
      </c>
      <c r="M1085" s="7">
        <f>F1085-E1085</f>
        <v>6.9444444452528842E-3</v>
      </c>
      <c r="N1085">
        <f>HOUR(M1085)</f>
        <v>0</v>
      </c>
      <c r="O1085">
        <f>MINUTE(M1085)</f>
        <v>10</v>
      </c>
      <c r="P1085">
        <f>N1085*60+O1085</f>
        <v>10</v>
      </c>
      <c r="Q1085" s="7">
        <f>G1085-F1085</f>
        <v>4.1666666664241347E-2</v>
      </c>
      <c r="R1085">
        <f>HOUR(Q1085)</f>
        <v>1</v>
      </c>
      <c r="S1085">
        <f>MINUTE(Q1085)</f>
        <v>0</v>
      </c>
      <c r="T1085">
        <f>R1085*60+S1085</f>
        <v>60</v>
      </c>
      <c r="U1085" s="7">
        <f>H1085-G1085</f>
        <v>0.15277777778101154</v>
      </c>
      <c r="V1085">
        <f>HOUR(U1085)</f>
        <v>3</v>
      </c>
      <c r="W1085">
        <f>MINUTE(U1085)</f>
        <v>40</v>
      </c>
      <c r="X1085">
        <f>V1085*60+W1085</f>
        <v>220</v>
      </c>
      <c r="Y1085" s="7">
        <f>I1085-H1085</f>
        <v>6.9444444379769266E-3</v>
      </c>
      <c r="Z1085">
        <f>HOUR(Y1085)</f>
        <v>0</v>
      </c>
      <c r="AA1085">
        <f>MINUTE(Y1085)</f>
        <v>10</v>
      </c>
      <c r="AB1085">
        <f>Z1085*60+AA1085</f>
        <v>10</v>
      </c>
    </row>
    <row r="1086" spans="1:28" x14ac:dyDescent="0.25">
      <c r="A1086">
        <v>1084</v>
      </c>
      <c r="B1086" t="s">
        <v>29</v>
      </c>
      <c r="C1086">
        <v>1</v>
      </c>
      <c r="D1086" t="s">
        <v>36</v>
      </c>
      <c r="E1086" s="6">
        <v>46098.46875</v>
      </c>
      <c r="F1086" s="6">
        <v>46098.479166666664</v>
      </c>
      <c r="G1086" s="6">
        <v>46098.513888888891</v>
      </c>
      <c r="H1086" s="6">
        <v>46098.520833333336</v>
      </c>
      <c r="I1086" s="6">
        <v>46098.527777777781</v>
      </c>
      <c r="J1086" s="6">
        <v>46098.534722222219</v>
      </c>
      <c r="K1086">
        <v>1.58</v>
      </c>
      <c r="L1086" s="6">
        <v>46098.541666666664</v>
      </c>
      <c r="M1086" s="7">
        <f>F1086-E1086</f>
        <v>1.0416666664241347E-2</v>
      </c>
      <c r="N1086">
        <f>HOUR(M1086)</f>
        <v>0</v>
      </c>
      <c r="O1086">
        <f>MINUTE(M1086)</f>
        <v>15</v>
      </c>
      <c r="P1086">
        <f>N1086*60+O1086</f>
        <v>15</v>
      </c>
      <c r="Q1086" s="7">
        <f>G1086-F1086</f>
        <v>3.4722222226264421E-2</v>
      </c>
      <c r="R1086">
        <f>HOUR(Q1086)</f>
        <v>0</v>
      </c>
      <c r="S1086">
        <f>MINUTE(Q1086)</f>
        <v>50</v>
      </c>
      <c r="T1086">
        <f>R1086*60+S1086</f>
        <v>50</v>
      </c>
      <c r="U1086" s="7">
        <f>H1086-G1086</f>
        <v>6.9444444452528842E-3</v>
      </c>
      <c r="V1086">
        <f>HOUR(U1086)</f>
        <v>0</v>
      </c>
      <c r="W1086">
        <f>MINUTE(U1086)</f>
        <v>10</v>
      </c>
      <c r="X1086">
        <f>V1086*60+W1086</f>
        <v>10</v>
      </c>
      <c r="Y1086" s="7">
        <f>I1086-H1086</f>
        <v>6.9444444452528842E-3</v>
      </c>
      <c r="Z1086">
        <f>HOUR(Y1086)</f>
        <v>0</v>
      </c>
      <c r="AA1086">
        <f>MINUTE(Y1086)</f>
        <v>10</v>
      </c>
      <c r="AB1086">
        <f>Z1086*60+AA1086</f>
        <v>10</v>
      </c>
    </row>
    <row r="1087" spans="1:28" x14ac:dyDescent="0.25">
      <c r="A1087">
        <v>1085</v>
      </c>
      <c r="B1087" t="s">
        <v>33</v>
      </c>
      <c r="C1087">
        <v>1</v>
      </c>
      <c r="D1087" t="s">
        <v>35</v>
      </c>
      <c r="E1087" s="6">
        <v>46098.763888888891</v>
      </c>
      <c r="F1087" s="6">
        <v>46098.770833333336</v>
      </c>
      <c r="G1087" s="6">
        <v>46098.79791666667</v>
      </c>
      <c r="H1087" s="6">
        <v>46098.863194444442</v>
      </c>
      <c r="I1087" s="6">
        <v>46098.870138888888</v>
      </c>
      <c r="J1087" s="6">
        <v>46098.881944444445</v>
      </c>
      <c r="K1087">
        <v>2.83</v>
      </c>
      <c r="L1087" s="6">
        <v>46098.888888888891</v>
      </c>
      <c r="M1087" s="7">
        <f>F1087-E1087</f>
        <v>6.9444444452528842E-3</v>
      </c>
      <c r="N1087">
        <f>HOUR(M1087)</f>
        <v>0</v>
      </c>
      <c r="O1087">
        <f>MINUTE(M1087)</f>
        <v>10</v>
      </c>
      <c r="P1087">
        <f>N1087*60+O1087</f>
        <v>10</v>
      </c>
      <c r="Q1087" s="7">
        <f>G1087-F1087</f>
        <v>2.7083333334303461E-2</v>
      </c>
      <c r="R1087">
        <f>HOUR(Q1087)</f>
        <v>0</v>
      </c>
      <c r="S1087">
        <f>MINUTE(Q1087)</f>
        <v>39</v>
      </c>
      <c r="T1087">
        <f>R1087*60+S1087</f>
        <v>39</v>
      </c>
      <c r="U1087" s="7">
        <f>H1087-G1087</f>
        <v>6.5277777772280388E-2</v>
      </c>
      <c r="V1087">
        <f>HOUR(U1087)</f>
        <v>1</v>
      </c>
      <c r="W1087">
        <f>MINUTE(U1087)</f>
        <v>34</v>
      </c>
      <c r="X1087">
        <f>V1087*60+W1087</f>
        <v>94</v>
      </c>
      <c r="Y1087" s="7">
        <f>I1087-H1087</f>
        <v>6.9444444452528842E-3</v>
      </c>
      <c r="Z1087">
        <f>HOUR(Y1087)</f>
        <v>0</v>
      </c>
      <c r="AA1087">
        <f>MINUTE(Y1087)</f>
        <v>10</v>
      </c>
      <c r="AB1087">
        <f>Z1087*60+AA1087</f>
        <v>10</v>
      </c>
    </row>
    <row r="1088" spans="1:28" x14ac:dyDescent="0.25">
      <c r="A1088">
        <v>1086</v>
      </c>
      <c r="B1088" t="s">
        <v>31</v>
      </c>
      <c r="C1088">
        <v>1</v>
      </c>
      <c r="D1088" t="s">
        <v>36</v>
      </c>
      <c r="E1088" s="6">
        <v>46098.625</v>
      </c>
      <c r="F1088" s="6">
        <v>46098.631944444445</v>
      </c>
      <c r="G1088" s="6">
        <v>46098.652777777781</v>
      </c>
      <c r="H1088" s="6">
        <v>46098.743055555555</v>
      </c>
      <c r="I1088" s="6">
        <v>46098.763888888891</v>
      </c>
      <c r="J1088" s="6">
        <v>46098.770833333336</v>
      </c>
      <c r="K1088">
        <v>3.5</v>
      </c>
      <c r="L1088" s="6">
        <v>46098.772222222222</v>
      </c>
      <c r="M1088" s="7">
        <f>F1088-E1088</f>
        <v>6.9444444452528842E-3</v>
      </c>
      <c r="N1088">
        <f>HOUR(M1088)</f>
        <v>0</v>
      </c>
      <c r="O1088">
        <f>MINUTE(M1088)</f>
        <v>10</v>
      </c>
      <c r="P1088">
        <f>N1088*60+O1088</f>
        <v>10</v>
      </c>
      <c r="Q1088" s="7">
        <f>G1088-F1088</f>
        <v>2.0833333335758653E-2</v>
      </c>
      <c r="R1088">
        <f>HOUR(Q1088)</f>
        <v>0</v>
      </c>
      <c r="S1088">
        <f>MINUTE(Q1088)</f>
        <v>30</v>
      </c>
      <c r="T1088">
        <f>R1088*60+S1088</f>
        <v>30</v>
      </c>
      <c r="U1088" s="7">
        <f>H1088-G1088</f>
        <v>9.0277777773735579E-2</v>
      </c>
      <c r="V1088">
        <f>HOUR(U1088)</f>
        <v>2</v>
      </c>
      <c r="W1088">
        <f>MINUTE(U1088)</f>
        <v>10</v>
      </c>
      <c r="X1088">
        <f>V1088*60+W1088</f>
        <v>130</v>
      </c>
      <c r="Y1088" s="7">
        <f>I1088-H1088</f>
        <v>2.0833333335758653E-2</v>
      </c>
      <c r="Z1088">
        <f>HOUR(Y1088)</f>
        <v>0</v>
      </c>
      <c r="AA1088">
        <f>MINUTE(Y1088)</f>
        <v>30</v>
      </c>
      <c r="AB1088">
        <f>Z1088*60+AA1088</f>
        <v>30</v>
      </c>
    </row>
    <row r="1089" spans="1:28" x14ac:dyDescent="0.25">
      <c r="A1089">
        <v>1087</v>
      </c>
      <c r="B1089" t="s">
        <v>31</v>
      </c>
      <c r="C1089">
        <v>1</v>
      </c>
      <c r="D1089" t="s">
        <v>30</v>
      </c>
      <c r="E1089" s="6">
        <v>46098.538194444445</v>
      </c>
      <c r="F1089" s="6">
        <v>46098.539583333331</v>
      </c>
      <c r="G1089" s="6">
        <v>46098.541666666664</v>
      </c>
      <c r="H1089" s="6">
        <v>46098.590277777781</v>
      </c>
      <c r="I1089" s="6">
        <v>46098.642361111109</v>
      </c>
      <c r="J1089" s="6">
        <v>46098.645833333336</v>
      </c>
      <c r="K1089">
        <v>2.58</v>
      </c>
      <c r="L1089" s="6">
        <v>46098.652777777781</v>
      </c>
      <c r="M1089" s="7">
        <f>F1089-E1089</f>
        <v>1.3888888861401938E-3</v>
      </c>
      <c r="N1089">
        <f>HOUR(M1089)</f>
        <v>0</v>
      </c>
      <c r="O1089">
        <f>MINUTE(M1089)</f>
        <v>2</v>
      </c>
      <c r="P1089">
        <f>N1089*60+O1089</f>
        <v>2</v>
      </c>
      <c r="Q1089" s="7">
        <f>G1089-F1089</f>
        <v>2.0833333328482695E-3</v>
      </c>
      <c r="R1089">
        <f>HOUR(Q1089)</f>
        <v>0</v>
      </c>
      <c r="S1089">
        <f>MINUTE(Q1089)</f>
        <v>3</v>
      </c>
      <c r="T1089">
        <f>R1089*60+S1089</f>
        <v>3</v>
      </c>
      <c r="U1089" s="7">
        <f>H1089-G1089</f>
        <v>4.8611111116770189E-2</v>
      </c>
      <c r="V1089">
        <f>HOUR(U1089)</f>
        <v>1</v>
      </c>
      <c r="W1089">
        <f>MINUTE(U1089)</f>
        <v>10</v>
      </c>
      <c r="X1089">
        <f>V1089*60+W1089</f>
        <v>70</v>
      </c>
      <c r="Y1089" s="7">
        <f>I1089-H1089</f>
        <v>5.2083333328482695E-2</v>
      </c>
      <c r="Z1089">
        <f>HOUR(Y1089)</f>
        <v>1</v>
      </c>
      <c r="AA1089">
        <f>MINUTE(Y1089)</f>
        <v>15</v>
      </c>
      <c r="AB1089">
        <f>Z1089*60+AA1089</f>
        <v>75</v>
      </c>
    </row>
    <row r="1090" spans="1:28" x14ac:dyDescent="0.25">
      <c r="A1090">
        <v>1088</v>
      </c>
      <c r="B1090" t="s">
        <v>31</v>
      </c>
      <c r="C1090">
        <v>1</v>
      </c>
      <c r="D1090" t="s">
        <v>32</v>
      </c>
      <c r="E1090" s="6">
        <v>46105.291666666664</v>
      </c>
      <c r="F1090" s="6">
        <v>46105.309027777781</v>
      </c>
      <c r="G1090" s="6">
        <v>46105.315972222219</v>
      </c>
      <c r="H1090" s="6">
        <v>46105.370138888888</v>
      </c>
      <c r="I1090" s="6">
        <v>46105.381944444445</v>
      </c>
      <c r="J1090" s="6">
        <v>46105.388888888891</v>
      </c>
      <c r="K1090">
        <v>2.33</v>
      </c>
      <c r="L1090" s="6">
        <v>46105.395833333336</v>
      </c>
      <c r="M1090" s="7">
        <f>F1090-E1090</f>
        <v>1.7361111116770189E-2</v>
      </c>
      <c r="N1090">
        <f>HOUR(M1090)</f>
        <v>0</v>
      </c>
      <c r="O1090">
        <f>MINUTE(M1090)</f>
        <v>25</v>
      </c>
      <c r="P1090">
        <f>N1090*60+O1090</f>
        <v>25</v>
      </c>
      <c r="Q1090" s="7">
        <f>G1090-F1090</f>
        <v>6.9444444379769266E-3</v>
      </c>
      <c r="R1090">
        <f>HOUR(Q1090)</f>
        <v>0</v>
      </c>
      <c r="S1090">
        <f>MINUTE(Q1090)</f>
        <v>10</v>
      </c>
      <c r="T1090">
        <f>R1090*60+S1090</f>
        <v>10</v>
      </c>
      <c r="U1090" s="7">
        <f>H1090-G1090</f>
        <v>5.4166666668606922E-2</v>
      </c>
      <c r="V1090">
        <f>HOUR(U1090)</f>
        <v>1</v>
      </c>
      <c r="W1090">
        <f>MINUTE(U1090)</f>
        <v>18</v>
      </c>
      <c r="X1090">
        <f>V1090*60+W1090</f>
        <v>78</v>
      </c>
      <c r="Y1090" s="7">
        <f>I1090-H1090</f>
        <v>1.1805555557657499E-2</v>
      </c>
      <c r="Z1090">
        <f>HOUR(Y1090)</f>
        <v>0</v>
      </c>
      <c r="AA1090">
        <f>MINUTE(Y1090)</f>
        <v>17</v>
      </c>
      <c r="AB1090">
        <f>Z1090*60+AA1090</f>
        <v>17</v>
      </c>
    </row>
    <row r="1091" spans="1:28" x14ac:dyDescent="0.25">
      <c r="A1091">
        <v>1089</v>
      </c>
      <c r="B1091" t="s">
        <v>31</v>
      </c>
      <c r="C1091">
        <v>1</v>
      </c>
      <c r="D1091" t="s">
        <v>35</v>
      </c>
      <c r="E1091" s="6">
        <v>46099.586805555555</v>
      </c>
      <c r="F1091" s="6">
        <v>46099.59375</v>
      </c>
      <c r="G1091" s="6">
        <v>46099.621527777781</v>
      </c>
      <c r="H1091" s="6">
        <v>46099.708333333336</v>
      </c>
      <c r="I1091" s="6">
        <v>46099.715277777781</v>
      </c>
      <c r="J1091" s="6">
        <v>46099.729166666664</v>
      </c>
      <c r="K1091">
        <v>3.42</v>
      </c>
      <c r="L1091" s="6">
        <v>46099.729861111111</v>
      </c>
      <c r="M1091" s="7">
        <f>F1091-E1091</f>
        <v>6.9444444452528842E-3</v>
      </c>
      <c r="N1091">
        <f>HOUR(M1091)</f>
        <v>0</v>
      </c>
      <c r="O1091">
        <f>MINUTE(M1091)</f>
        <v>10</v>
      </c>
      <c r="P1091">
        <f>N1091*60+O1091</f>
        <v>10</v>
      </c>
      <c r="Q1091" s="7">
        <f>G1091-F1091</f>
        <v>2.7777777781011537E-2</v>
      </c>
      <c r="R1091">
        <f>HOUR(Q1091)</f>
        <v>0</v>
      </c>
      <c r="S1091">
        <f>MINUTE(Q1091)</f>
        <v>40</v>
      </c>
      <c r="T1091">
        <f>R1091*60+S1091</f>
        <v>40</v>
      </c>
      <c r="U1091" s="7">
        <f>H1091-G1091</f>
        <v>8.6805555554747116E-2</v>
      </c>
      <c r="V1091">
        <f>HOUR(U1091)</f>
        <v>2</v>
      </c>
      <c r="W1091">
        <f>MINUTE(U1091)</f>
        <v>5</v>
      </c>
      <c r="X1091">
        <f>V1091*60+W1091</f>
        <v>125</v>
      </c>
      <c r="Y1091" s="7">
        <f>I1091-H1091</f>
        <v>6.9444444452528842E-3</v>
      </c>
      <c r="Z1091">
        <f>HOUR(Y1091)</f>
        <v>0</v>
      </c>
      <c r="AA1091">
        <f>MINUTE(Y1091)</f>
        <v>10</v>
      </c>
      <c r="AB1091">
        <f>Z1091*60+AA1091</f>
        <v>10</v>
      </c>
    </row>
    <row r="1092" spans="1:28" x14ac:dyDescent="0.25">
      <c r="A1092">
        <v>1090</v>
      </c>
      <c r="B1092" t="s">
        <v>29</v>
      </c>
      <c r="C1092">
        <v>1</v>
      </c>
      <c r="D1092" t="s">
        <v>34</v>
      </c>
      <c r="E1092" s="6">
        <v>46099.659722222219</v>
      </c>
      <c r="F1092" s="6">
        <v>46099.673611111109</v>
      </c>
      <c r="G1092" s="6">
        <v>46099.6875</v>
      </c>
      <c r="H1092" s="6">
        <v>46099.84652777778</v>
      </c>
      <c r="I1092" s="6">
        <v>46099.853472222225</v>
      </c>
      <c r="J1092" s="6">
        <v>46099.857638888891</v>
      </c>
      <c r="K1092">
        <v>4.75</v>
      </c>
      <c r="L1092" s="6">
        <v>46099.864583333336</v>
      </c>
      <c r="M1092" s="7">
        <f>F1092-E1092</f>
        <v>1.3888888890505768E-2</v>
      </c>
      <c r="N1092">
        <f>HOUR(M1092)</f>
        <v>0</v>
      </c>
      <c r="O1092">
        <f>MINUTE(M1092)</f>
        <v>20</v>
      </c>
      <c r="P1092">
        <f>N1092*60+O1092</f>
        <v>20</v>
      </c>
      <c r="Q1092" s="7">
        <f>G1092-F1092</f>
        <v>1.3888888890505768E-2</v>
      </c>
      <c r="R1092">
        <f>HOUR(Q1092)</f>
        <v>0</v>
      </c>
      <c r="S1092">
        <f>MINUTE(Q1092)</f>
        <v>20</v>
      </c>
      <c r="T1092">
        <f>R1092*60+S1092</f>
        <v>20</v>
      </c>
      <c r="U1092" s="7">
        <f>H1092-G1092</f>
        <v>0.15902777777955635</v>
      </c>
      <c r="V1092">
        <f>HOUR(U1092)</f>
        <v>3</v>
      </c>
      <c r="W1092">
        <f>MINUTE(U1092)</f>
        <v>49</v>
      </c>
      <c r="X1092">
        <f>V1092*60+W1092</f>
        <v>229</v>
      </c>
      <c r="Y1092" s="7">
        <f>I1092-H1092</f>
        <v>6.9444444452528842E-3</v>
      </c>
      <c r="Z1092">
        <f>HOUR(Y1092)</f>
        <v>0</v>
      </c>
      <c r="AA1092">
        <f>MINUTE(Y1092)</f>
        <v>10</v>
      </c>
      <c r="AB1092">
        <f>Z1092*60+AA1092</f>
        <v>10</v>
      </c>
    </row>
    <row r="1093" spans="1:28" x14ac:dyDescent="0.25">
      <c r="A1093">
        <v>1091</v>
      </c>
      <c r="B1093" t="s">
        <v>29</v>
      </c>
      <c r="C1093">
        <v>1</v>
      </c>
      <c r="D1093" t="s">
        <v>30</v>
      </c>
      <c r="E1093" s="6">
        <v>46099.288194444445</v>
      </c>
      <c r="F1093" s="6">
        <v>46099.319444444445</v>
      </c>
      <c r="G1093" s="6">
        <v>46099.354166666664</v>
      </c>
      <c r="H1093" s="6">
        <v>46099.40625</v>
      </c>
      <c r="I1093" s="6">
        <v>46099.416666666664</v>
      </c>
      <c r="J1093" s="6">
        <v>46099.423611111109</v>
      </c>
      <c r="K1093">
        <v>3.25</v>
      </c>
      <c r="L1093" s="6">
        <v>46099.424305555556</v>
      </c>
      <c r="M1093" s="7">
        <f>F1093-E1093</f>
        <v>3.125E-2</v>
      </c>
      <c r="N1093">
        <f>HOUR(M1093)</f>
        <v>0</v>
      </c>
      <c r="O1093">
        <f>MINUTE(M1093)</f>
        <v>45</v>
      </c>
      <c r="P1093">
        <f>N1093*60+O1093</f>
        <v>45</v>
      </c>
      <c r="Q1093" s="7">
        <f>G1093-F1093</f>
        <v>3.4722222218988463E-2</v>
      </c>
      <c r="R1093">
        <f>HOUR(Q1093)</f>
        <v>0</v>
      </c>
      <c r="S1093">
        <f>MINUTE(Q1093)</f>
        <v>50</v>
      </c>
      <c r="T1093">
        <f>R1093*60+S1093</f>
        <v>50</v>
      </c>
      <c r="U1093" s="7">
        <f>H1093-G1093</f>
        <v>5.2083333335758653E-2</v>
      </c>
      <c r="V1093">
        <f>HOUR(U1093)</f>
        <v>1</v>
      </c>
      <c r="W1093">
        <f>MINUTE(U1093)</f>
        <v>15</v>
      </c>
      <c r="X1093">
        <f>V1093*60+W1093</f>
        <v>75</v>
      </c>
      <c r="Y1093" s="7">
        <f>I1093-H1093</f>
        <v>1.0416666664241347E-2</v>
      </c>
      <c r="Z1093">
        <f>HOUR(Y1093)</f>
        <v>0</v>
      </c>
      <c r="AA1093">
        <f>MINUTE(Y1093)</f>
        <v>15</v>
      </c>
      <c r="AB1093">
        <f>Z1093*60+AA1093</f>
        <v>15</v>
      </c>
    </row>
    <row r="1094" spans="1:28" x14ac:dyDescent="0.25">
      <c r="A1094">
        <v>1092</v>
      </c>
      <c r="B1094" t="s">
        <v>33</v>
      </c>
      <c r="C1094">
        <v>1</v>
      </c>
      <c r="D1094" t="s">
        <v>34</v>
      </c>
      <c r="E1094" s="6">
        <v>46099.621527777781</v>
      </c>
      <c r="F1094" s="6">
        <v>46099.628472222219</v>
      </c>
      <c r="G1094" s="6">
        <v>46099.642361111109</v>
      </c>
      <c r="H1094" s="6">
        <v>46099.666666666664</v>
      </c>
      <c r="I1094" s="6">
        <v>46099.673611111109</v>
      </c>
      <c r="J1094" s="6">
        <v>46099.677083333336</v>
      </c>
      <c r="K1094">
        <v>1.33</v>
      </c>
      <c r="L1094" s="6">
        <v>46099.684027777781</v>
      </c>
      <c r="M1094" s="7">
        <f>F1094-E1094</f>
        <v>6.9444444379769266E-3</v>
      </c>
      <c r="N1094">
        <f>HOUR(M1094)</f>
        <v>0</v>
      </c>
      <c r="O1094">
        <f>MINUTE(M1094)</f>
        <v>10</v>
      </c>
      <c r="P1094">
        <f>N1094*60+O1094</f>
        <v>10</v>
      </c>
      <c r="Q1094" s="7">
        <f>G1094-F1094</f>
        <v>1.3888888890505768E-2</v>
      </c>
      <c r="R1094">
        <f>HOUR(Q1094)</f>
        <v>0</v>
      </c>
      <c r="S1094">
        <f>MINUTE(Q1094)</f>
        <v>20</v>
      </c>
      <c r="T1094">
        <f>R1094*60+S1094</f>
        <v>20</v>
      </c>
      <c r="U1094" s="7">
        <f>H1094-G1094</f>
        <v>2.4305555554747116E-2</v>
      </c>
      <c r="V1094">
        <f>HOUR(U1094)</f>
        <v>0</v>
      </c>
      <c r="W1094">
        <f>MINUTE(U1094)</f>
        <v>35</v>
      </c>
      <c r="X1094">
        <f>V1094*60+W1094</f>
        <v>35</v>
      </c>
      <c r="Y1094" s="7">
        <f>I1094-H1094</f>
        <v>6.9444444452528842E-3</v>
      </c>
      <c r="Z1094">
        <f>HOUR(Y1094)</f>
        <v>0</v>
      </c>
      <c r="AA1094">
        <f>MINUTE(Y1094)</f>
        <v>10</v>
      </c>
      <c r="AB1094">
        <f>Z1094*60+AA1094</f>
        <v>10</v>
      </c>
    </row>
    <row r="1095" spans="1:28" x14ac:dyDescent="0.25">
      <c r="A1095">
        <v>1093</v>
      </c>
      <c r="B1095" t="s">
        <v>33</v>
      </c>
      <c r="C1095">
        <v>1</v>
      </c>
      <c r="D1095" t="s">
        <v>30</v>
      </c>
      <c r="E1095" s="6">
        <v>46099.322916666664</v>
      </c>
      <c r="F1095" s="6">
        <v>46099.329861111109</v>
      </c>
      <c r="G1095" s="6">
        <v>46099.34375</v>
      </c>
      <c r="H1095" s="6">
        <v>46099.385416666664</v>
      </c>
      <c r="I1095" s="6">
        <v>46099.392361111109</v>
      </c>
      <c r="J1095" s="6">
        <v>46099.40625</v>
      </c>
      <c r="K1095">
        <v>2</v>
      </c>
      <c r="L1095" s="6">
        <v>46099.413194444445</v>
      </c>
      <c r="M1095" s="7">
        <f>F1095-E1095</f>
        <v>6.9444444452528842E-3</v>
      </c>
      <c r="N1095">
        <f>HOUR(M1095)</f>
        <v>0</v>
      </c>
      <c r="O1095">
        <f>MINUTE(M1095)</f>
        <v>10</v>
      </c>
      <c r="P1095">
        <f>N1095*60+O1095</f>
        <v>10</v>
      </c>
      <c r="Q1095" s="7">
        <f>G1095-F1095</f>
        <v>1.3888888890505768E-2</v>
      </c>
      <c r="R1095">
        <f>HOUR(Q1095)</f>
        <v>0</v>
      </c>
      <c r="S1095">
        <f>MINUTE(Q1095)</f>
        <v>20</v>
      </c>
      <c r="T1095">
        <f>R1095*60+S1095</f>
        <v>20</v>
      </c>
      <c r="U1095" s="7">
        <f>H1095-G1095</f>
        <v>4.1666666664241347E-2</v>
      </c>
      <c r="V1095">
        <f>HOUR(U1095)</f>
        <v>1</v>
      </c>
      <c r="W1095">
        <f>MINUTE(U1095)</f>
        <v>0</v>
      </c>
      <c r="X1095">
        <f>V1095*60+W1095</f>
        <v>60</v>
      </c>
      <c r="Y1095" s="7">
        <f>I1095-H1095</f>
        <v>6.9444444452528842E-3</v>
      </c>
      <c r="Z1095">
        <f>HOUR(Y1095)</f>
        <v>0</v>
      </c>
      <c r="AA1095">
        <f>MINUTE(Y1095)</f>
        <v>10</v>
      </c>
      <c r="AB1095">
        <f>Z1095*60+AA1095</f>
        <v>10</v>
      </c>
    </row>
    <row r="1096" spans="1:28" x14ac:dyDescent="0.25">
      <c r="A1096">
        <v>1094</v>
      </c>
      <c r="B1096" t="s">
        <v>33</v>
      </c>
      <c r="C1096">
        <v>1</v>
      </c>
      <c r="D1096" t="s">
        <v>30</v>
      </c>
      <c r="E1096" s="6">
        <v>46099.434027777781</v>
      </c>
      <c r="F1096" s="6">
        <v>46099.444444444445</v>
      </c>
      <c r="G1096" s="6">
        <v>46099.461805555555</v>
      </c>
      <c r="H1096" s="6">
        <v>46099.479166666664</v>
      </c>
      <c r="I1096" s="6">
        <v>46099.482638888891</v>
      </c>
      <c r="J1096" s="6">
        <v>46099.486111111109</v>
      </c>
      <c r="K1096">
        <v>1.25</v>
      </c>
      <c r="L1096" s="6">
        <v>46099.493055555555</v>
      </c>
      <c r="M1096" s="7">
        <f>F1096-E1096</f>
        <v>1.0416666664241347E-2</v>
      </c>
      <c r="N1096">
        <f>HOUR(M1096)</f>
        <v>0</v>
      </c>
      <c r="O1096">
        <f>MINUTE(M1096)</f>
        <v>15</v>
      </c>
      <c r="P1096">
        <f>N1096*60+O1096</f>
        <v>15</v>
      </c>
      <c r="Q1096" s="7">
        <f>G1096-F1096</f>
        <v>1.7361111109494232E-2</v>
      </c>
      <c r="R1096">
        <f>HOUR(Q1096)</f>
        <v>0</v>
      </c>
      <c r="S1096">
        <f>MINUTE(Q1096)</f>
        <v>25</v>
      </c>
      <c r="T1096">
        <f>R1096*60+S1096</f>
        <v>25</v>
      </c>
      <c r="U1096" s="7">
        <f>H1096-G1096</f>
        <v>1.7361111109494232E-2</v>
      </c>
      <c r="V1096">
        <f>HOUR(U1096)</f>
        <v>0</v>
      </c>
      <c r="W1096">
        <f>MINUTE(U1096)</f>
        <v>25</v>
      </c>
      <c r="X1096">
        <f>V1096*60+W1096</f>
        <v>25</v>
      </c>
      <c r="Y1096" s="7">
        <f>I1096-H1096</f>
        <v>3.4722222262644209E-3</v>
      </c>
      <c r="Z1096">
        <f>HOUR(Y1096)</f>
        <v>0</v>
      </c>
      <c r="AA1096">
        <f>MINUTE(Y1096)</f>
        <v>5</v>
      </c>
      <c r="AB1096">
        <f>Z1096*60+AA1096</f>
        <v>5</v>
      </c>
    </row>
    <row r="1097" spans="1:28" x14ac:dyDescent="0.25">
      <c r="A1097">
        <v>1095</v>
      </c>
      <c r="B1097" t="s">
        <v>31</v>
      </c>
      <c r="C1097">
        <v>1</v>
      </c>
      <c r="D1097" t="s">
        <v>34</v>
      </c>
      <c r="E1097" s="6">
        <v>46099.291666666664</v>
      </c>
      <c r="F1097" s="6">
        <v>46099.3125</v>
      </c>
      <c r="G1097" s="6">
        <v>46099.326388888891</v>
      </c>
      <c r="H1097" s="6">
        <v>46099.418055555558</v>
      </c>
      <c r="I1097" s="6">
        <v>46099.425000000003</v>
      </c>
      <c r="J1097" s="6">
        <v>46099.434027777781</v>
      </c>
      <c r="K1097">
        <v>3.42</v>
      </c>
      <c r="L1097" s="6">
        <v>46099.440972222219</v>
      </c>
      <c r="M1097" s="7">
        <f>F1097-E1097</f>
        <v>2.0833333335758653E-2</v>
      </c>
      <c r="N1097">
        <f>HOUR(M1097)</f>
        <v>0</v>
      </c>
      <c r="O1097">
        <f>MINUTE(M1097)</f>
        <v>30</v>
      </c>
      <c r="P1097">
        <f>N1097*60+O1097</f>
        <v>30</v>
      </c>
      <c r="Q1097" s="7">
        <f>G1097-F1097</f>
        <v>1.3888888890505768E-2</v>
      </c>
      <c r="R1097">
        <f>HOUR(Q1097)</f>
        <v>0</v>
      </c>
      <c r="S1097">
        <f>MINUTE(Q1097)</f>
        <v>20</v>
      </c>
      <c r="T1097">
        <f>R1097*60+S1097</f>
        <v>20</v>
      </c>
      <c r="U1097" s="7">
        <f>H1097-G1097</f>
        <v>9.1666666667151731E-2</v>
      </c>
      <c r="V1097">
        <f>HOUR(U1097)</f>
        <v>2</v>
      </c>
      <c r="W1097">
        <f>MINUTE(U1097)</f>
        <v>12</v>
      </c>
      <c r="X1097">
        <f>V1097*60+W1097</f>
        <v>132</v>
      </c>
      <c r="Y1097" s="7">
        <f>I1097-H1097</f>
        <v>6.9444444452528842E-3</v>
      </c>
      <c r="Z1097">
        <f>HOUR(Y1097)</f>
        <v>0</v>
      </c>
      <c r="AA1097">
        <f>MINUTE(Y1097)</f>
        <v>10</v>
      </c>
      <c r="AB1097">
        <f>Z1097*60+AA1097</f>
        <v>10</v>
      </c>
    </row>
    <row r="1098" spans="1:28" x14ac:dyDescent="0.25">
      <c r="A1098">
        <v>1096</v>
      </c>
      <c r="B1098" t="s">
        <v>33</v>
      </c>
      <c r="C1098">
        <v>1</v>
      </c>
      <c r="D1098" t="s">
        <v>30</v>
      </c>
      <c r="E1098" s="6">
        <v>46098.951388888891</v>
      </c>
      <c r="F1098" s="6">
        <v>46098.961805555555</v>
      </c>
      <c r="G1098" s="6">
        <v>46098.982638888891</v>
      </c>
      <c r="H1098" s="6">
        <v>46099.083333333336</v>
      </c>
      <c r="I1098" s="6">
        <v>46099.086805555555</v>
      </c>
      <c r="J1098" s="6">
        <v>46099.090277777781</v>
      </c>
      <c r="K1098">
        <v>3.33</v>
      </c>
      <c r="L1098" s="6">
        <v>46099.09375</v>
      </c>
      <c r="M1098" s="7">
        <f>F1098-E1098</f>
        <v>1.0416666664241347E-2</v>
      </c>
      <c r="N1098">
        <f>HOUR(M1098)</f>
        <v>0</v>
      </c>
      <c r="O1098">
        <f>MINUTE(M1098)</f>
        <v>15</v>
      </c>
      <c r="P1098">
        <f>N1098*60+O1098</f>
        <v>15</v>
      </c>
      <c r="Q1098" s="7">
        <f>G1098-F1098</f>
        <v>2.0833333335758653E-2</v>
      </c>
      <c r="R1098">
        <f>HOUR(Q1098)</f>
        <v>0</v>
      </c>
      <c r="S1098">
        <f>MINUTE(Q1098)</f>
        <v>30</v>
      </c>
      <c r="T1098">
        <f>R1098*60+S1098</f>
        <v>30</v>
      </c>
      <c r="U1098" s="7">
        <f>H1098-G1098</f>
        <v>0.10069444444525288</v>
      </c>
      <c r="V1098">
        <f>HOUR(U1098)</f>
        <v>2</v>
      </c>
      <c r="W1098">
        <f>MINUTE(U1098)</f>
        <v>25</v>
      </c>
      <c r="X1098">
        <f>V1098*60+W1098</f>
        <v>145</v>
      </c>
      <c r="Y1098" s="7">
        <f>I1098-H1098</f>
        <v>3.4722222189884633E-3</v>
      </c>
      <c r="Z1098">
        <f>HOUR(Y1098)</f>
        <v>0</v>
      </c>
      <c r="AA1098">
        <f>MINUTE(Y1098)</f>
        <v>5</v>
      </c>
      <c r="AB1098">
        <f>Z1098*60+AA1098</f>
        <v>5</v>
      </c>
    </row>
    <row r="1099" spans="1:28" x14ac:dyDescent="0.25">
      <c r="A1099">
        <v>1097</v>
      </c>
      <c r="B1099" t="s">
        <v>33</v>
      </c>
      <c r="C1099">
        <v>1</v>
      </c>
      <c r="D1099" t="s">
        <v>30</v>
      </c>
      <c r="E1099" s="6">
        <v>46098.951388888891</v>
      </c>
      <c r="F1099" s="6">
        <v>46098.958333333336</v>
      </c>
      <c r="G1099" s="6">
        <v>46098.989583333336</v>
      </c>
      <c r="H1099" s="6">
        <v>46099.044444444444</v>
      </c>
      <c r="I1099" s="6">
        <v>46099.046527777777</v>
      </c>
      <c r="J1099" s="6">
        <v>46099.048611111109</v>
      </c>
      <c r="K1099">
        <v>2.33</v>
      </c>
      <c r="L1099" s="6">
        <v>46099.052083333336</v>
      </c>
      <c r="M1099" s="7">
        <f>F1099-E1099</f>
        <v>6.9444444452528842E-3</v>
      </c>
      <c r="N1099">
        <f>HOUR(M1099)</f>
        <v>0</v>
      </c>
      <c r="O1099">
        <f>MINUTE(M1099)</f>
        <v>10</v>
      </c>
      <c r="P1099">
        <f>N1099*60+O1099</f>
        <v>10</v>
      </c>
      <c r="Q1099" s="7">
        <f>G1099-F1099</f>
        <v>3.125E-2</v>
      </c>
      <c r="R1099">
        <f>HOUR(Q1099)</f>
        <v>0</v>
      </c>
      <c r="S1099">
        <f>MINUTE(Q1099)</f>
        <v>45</v>
      </c>
      <c r="T1099">
        <f>R1099*60+S1099</f>
        <v>45</v>
      </c>
      <c r="U1099" s="7">
        <f>H1099-G1099</f>
        <v>5.486111110803904E-2</v>
      </c>
      <c r="V1099">
        <f>HOUR(U1099)</f>
        <v>1</v>
      </c>
      <c r="W1099">
        <f>MINUTE(U1099)</f>
        <v>19</v>
      </c>
      <c r="X1099">
        <f>V1099*60+W1099</f>
        <v>79</v>
      </c>
      <c r="Y1099" s="7">
        <f>I1099-H1099</f>
        <v>2.0833333328482695E-3</v>
      </c>
      <c r="Z1099">
        <f>HOUR(Y1099)</f>
        <v>0</v>
      </c>
      <c r="AA1099">
        <f>MINUTE(Y1099)</f>
        <v>3</v>
      </c>
      <c r="AB1099">
        <f>Z1099*60+AA1099</f>
        <v>3</v>
      </c>
    </row>
    <row r="1100" spans="1:28" x14ac:dyDescent="0.25">
      <c r="A1100">
        <v>1098</v>
      </c>
      <c r="B1100" t="s">
        <v>29</v>
      </c>
      <c r="C1100">
        <v>1</v>
      </c>
      <c r="D1100" t="s">
        <v>30</v>
      </c>
      <c r="E1100" s="6">
        <v>46099.177083333336</v>
      </c>
      <c r="F1100" s="6">
        <v>46099.184027777781</v>
      </c>
      <c r="G1100" s="6">
        <v>46099.1875</v>
      </c>
      <c r="H1100" s="6">
        <v>46099.194444444445</v>
      </c>
      <c r="I1100" s="6">
        <v>46099.195833333331</v>
      </c>
      <c r="J1100" s="6">
        <v>46099.197916666664</v>
      </c>
      <c r="K1100">
        <v>0.75</v>
      </c>
      <c r="L1100" s="6">
        <v>46099.198611111111</v>
      </c>
      <c r="M1100" s="7">
        <f>F1100-E1100</f>
        <v>6.9444444452528842E-3</v>
      </c>
      <c r="N1100">
        <f>HOUR(M1100)</f>
        <v>0</v>
      </c>
      <c r="O1100">
        <f>MINUTE(M1100)</f>
        <v>10</v>
      </c>
      <c r="P1100">
        <f>N1100*60+O1100</f>
        <v>10</v>
      </c>
      <c r="Q1100" s="7">
        <f>G1100-F1100</f>
        <v>3.4722222189884633E-3</v>
      </c>
      <c r="R1100">
        <f>HOUR(Q1100)</f>
        <v>0</v>
      </c>
      <c r="S1100">
        <f>MINUTE(Q1100)</f>
        <v>5</v>
      </c>
      <c r="T1100">
        <f>R1100*60+S1100</f>
        <v>5</v>
      </c>
      <c r="U1100" s="7">
        <f>H1100-G1100</f>
        <v>6.9444444452528842E-3</v>
      </c>
      <c r="V1100">
        <f>HOUR(U1100)</f>
        <v>0</v>
      </c>
      <c r="W1100">
        <f>MINUTE(U1100)</f>
        <v>10</v>
      </c>
      <c r="X1100">
        <f>V1100*60+W1100</f>
        <v>10</v>
      </c>
      <c r="Y1100" s="7">
        <f>I1100-H1100</f>
        <v>1.3888888861401938E-3</v>
      </c>
      <c r="Z1100">
        <f>HOUR(Y1100)</f>
        <v>0</v>
      </c>
      <c r="AA1100">
        <f>MINUTE(Y1100)</f>
        <v>2</v>
      </c>
      <c r="AB1100">
        <f>Z1100*60+AA1100</f>
        <v>2</v>
      </c>
    </row>
    <row r="1101" spans="1:28" x14ac:dyDescent="0.25">
      <c r="A1101">
        <v>1099</v>
      </c>
      <c r="B1101" t="s">
        <v>31</v>
      </c>
      <c r="C1101">
        <v>8</v>
      </c>
      <c r="D1101" t="s">
        <v>30</v>
      </c>
      <c r="E1101" s="6">
        <v>46099.638888888891</v>
      </c>
      <c r="F1101" s="6">
        <v>46099.680555555555</v>
      </c>
      <c r="G1101" s="6">
        <v>46099.694444444445</v>
      </c>
      <c r="H1101" s="6">
        <v>46099.729166666664</v>
      </c>
      <c r="I1101" s="6">
        <v>46099.736111111109</v>
      </c>
      <c r="J1101" s="6">
        <v>46099.743055555555</v>
      </c>
      <c r="K1101">
        <v>2.5</v>
      </c>
      <c r="L1101" s="6">
        <v>46099.75</v>
      </c>
      <c r="M1101" s="7">
        <f>F1101-E1101</f>
        <v>4.1666666664241347E-2</v>
      </c>
      <c r="N1101">
        <f>HOUR(M1101)</f>
        <v>1</v>
      </c>
      <c r="O1101">
        <f>MINUTE(M1101)</f>
        <v>0</v>
      </c>
      <c r="P1101">
        <f>N1101*60+O1101</f>
        <v>60</v>
      </c>
      <c r="Q1101" s="7">
        <f>G1101-F1101</f>
        <v>1.3888888890505768E-2</v>
      </c>
      <c r="R1101">
        <f>HOUR(Q1101)</f>
        <v>0</v>
      </c>
      <c r="S1101">
        <f>MINUTE(Q1101)</f>
        <v>20</v>
      </c>
      <c r="T1101">
        <f>R1101*60+S1101</f>
        <v>20</v>
      </c>
      <c r="U1101" s="7">
        <f>H1101-G1101</f>
        <v>3.4722222218988463E-2</v>
      </c>
      <c r="V1101">
        <f>HOUR(U1101)</f>
        <v>0</v>
      </c>
      <c r="W1101">
        <f>MINUTE(U1101)</f>
        <v>50</v>
      </c>
      <c r="X1101">
        <f>V1101*60+W1101</f>
        <v>50</v>
      </c>
      <c r="Y1101" s="7">
        <f>I1101-H1101</f>
        <v>6.9444444452528842E-3</v>
      </c>
      <c r="Z1101">
        <f>HOUR(Y1101)</f>
        <v>0</v>
      </c>
      <c r="AA1101">
        <f>MINUTE(Y1101)</f>
        <v>10</v>
      </c>
      <c r="AB1101">
        <f>Z1101*60+AA1101</f>
        <v>10</v>
      </c>
    </row>
    <row r="1102" spans="1:28" x14ac:dyDescent="0.25">
      <c r="A1102">
        <v>1100</v>
      </c>
      <c r="B1102" t="s">
        <v>31</v>
      </c>
      <c r="C1102">
        <v>1</v>
      </c>
      <c r="D1102" t="s">
        <v>36</v>
      </c>
      <c r="E1102" s="6">
        <v>46099.444444444445</v>
      </c>
      <c r="F1102" s="6">
        <v>46099.445833333331</v>
      </c>
      <c r="G1102" s="6">
        <v>46099.447916666664</v>
      </c>
      <c r="H1102" s="6">
        <v>46099.541666666664</v>
      </c>
      <c r="I1102" s="6">
        <v>46099.548611111109</v>
      </c>
      <c r="J1102" s="6">
        <v>46099.555555555555</v>
      </c>
      <c r="K1102">
        <v>2.67</v>
      </c>
      <c r="L1102" s="6">
        <v>46099.5625</v>
      </c>
      <c r="M1102" s="7">
        <f>F1102-E1102</f>
        <v>1.3888888861401938E-3</v>
      </c>
      <c r="N1102">
        <f>HOUR(M1102)</f>
        <v>0</v>
      </c>
      <c r="O1102">
        <f>MINUTE(M1102)</f>
        <v>2</v>
      </c>
      <c r="P1102">
        <f>N1102*60+O1102</f>
        <v>2</v>
      </c>
      <c r="Q1102" s="7">
        <f>G1102-F1102</f>
        <v>2.0833333328482695E-3</v>
      </c>
      <c r="R1102">
        <f>HOUR(Q1102)</f>
        <v>0</v>
      </c>
      <c r="S1102">
        <f>MINUTE(Q1102)</f>
        <v>3</v>
      </c>
      <c r="T1102">
        <f>R1102*60+S1102</f>
        <v>3</v>
      </c>
      <c r="U1102" s="7">
        <f>H1102-G1102</f>
        <v>9.375E-2</v>
      </c>
      <c r="V1102">
        <f>HOUR(U1102)</f>
        <v>2</v>
      </c>
      <c r="W1102">
        <f>MINUTE(U1102)</f>
        <v>15</v>
      </c>
      <c r="X1102">
        <f>V1102*60+W1102</f>
        <v>135</v>
      </c>
      <c r="Y1102" s="7">
        <f>I1102-H1102</f>
        <v>6.9444444452528842E-3</v>
      </c>
      <c r="Z1102">
        <f>HOUR(Y1102)</f>
        <v>0</v>
      </c>
      <c r="AA1102">
        <f>MINUTE(Y1102)</f>
        <v>10</v>
      </c>
      <c r="AB1102">
        <f>Z1102*60+AA1102</f>
        <v>10</v>
      </c>
    </row>
    <row r="1103" spans="1:28" x14ac:dyDescent="0.25">
      <c r="A1103">
        <v>1101</v>
      </c>
      <c r="B1103" t="s">
        <v>29</v>
      </c>
      <c r="C1103">
        <v>1</v>
      </c>
      <c r="D1103" t="s">
        <v>35</v>
      </c>
      <c r="E1103" s="6">
        <v>46099.724305555559</v>
      </c>
      <c r="F1103" s="6">
        <v>46099.725694444445</v>
      </c>
      <c r="G1103" s="6">
        <v>46099.729166666664</v>
      </c>
      <c r="H1103" s="6">
        <v>46099.802083333336</v>
      </c>
      <c r="I1103" s="6">
        <v>46099.809027777781</v>
      </c>
      <c r="J1103" s="6">
        <v>46099.8125</v>
      </c>
      <c r="K1103">
        <v>2.12</v>
      </c>
      <c r="L1103" s="6">
        <v>46099.819444444445</v>
      </c>
      <c r="M1103" s="7">
        <f>F1103-E1103</f>
        <v>1.3888888861401938E-3</v>
      </c>
      <c r="N1103">
        <f>HOUR(M1103)</f>
        <v>0</v>
      </c>
      <c r="O1103">
        <f>MINUTE(M1103)</f>
        <v>2</v>
      </c>
      <c r="P1103">
        <f>N1103*60+O1103</f>
        <v>2</v>
      </c>
      <c r="Q1103" s="7">
        <f>G1103-F1103</f>
        <v>3.4722222189884633E-3</v>
      </c>
      <c r="R1103">
        <f>HOUR(Q1103)</f>
        <v>0</v>
      </c>
      <c r="S1103">
        <f>MINUTE(Q1103)</f>
        <v>5</v>
      </c>
      <c r="T1103">
        <f>R1103*60+S1103</f>
        <v>5</v>
      </c>
      <c r="U1103" s="7">
        <f>H1103-G1103</f>
        <v>7.2916666671517305E-2</v>
      </c>
      <c r="V1103">
        <f>HOUR(U1103)</f>
        <v>1</v>
      </c>
      <c r="W1103">
        <f>MINUTE(U1103)</f>
        <v>45</v>
      </c>
      <c r="X1103">
        <f>V1103*60+W1103</f>
        <v>105</v>
      </c>
      <c r="Y1103" s="7">
        <f>I1103-H1103</f>
        <v>6.9444444452528842E-3</v>
      </c>
      <c r="Z1103">
        <f>HOUR(Y1103)</f>
        <v>0</v>
      </c>
      <c r="AA1103">
        <f>MINUTE(Y1103)</f>
        <v>10</v>
      </c>
      <c r="AB1103">
        <f>Z1103*60+AA1103</f>
        <v>10</v>
      </c>
    </row>
    <row r="1104" spans="1:28" x14ac:dyDescent="0.25">
      <c r="A1104">
        <v>1102</v>
      </c>
      <c r="B1104" t="s">
        <v>31</v>
      </c>
      <c r="C1104">
        <v>1</v>
      </c>
      <c r="D1104" t="s">
        <v>36</v>
      </c>
      <c r="E1104" s="6">
        <v>46099.479166666664</v>
      </c>
      <c r="F1104" s="6">
        <v>46099.493055555555</v>
      </c>
      <c r="G1104" s="6">
        <v>46099.506944444445</v>
      </c>
      <c r="H1104" s="6">
        <v>46099.673611111109</v>
      </c>
      <c r="I1104" s="6">
        <v>46099.71875</v>
      </c>
      <c r="J1104" s="6">
        <v>46099.722222222219</v>
      </c>
      <c r="K1104">
        <v>5.83</v>
      </c>
      <c r="L1104" s="6">
        <v>46099.729166666664</v>
      </c>
      <c r="M1104" s="7">
        <f>F1104-E1104</f>
        <v>1.3888888890505768E-2</v>
      </c>
      <c r="N1104">
        <f>HOUR(M1104)</f>
        <v>0</v>
      </c>
      <c r="O1104">
        <f>MINUTE(M1104)</f>
        <v>20</v>
      </c>
      <c r="P1104">
        <f>N1104*60+O1104</f>
        <v>20</v>
      </c>
      <c r="Q1104" s="7">
        <f>G1104-F1104</f>
        <v>1.3888888890505768E-2</v>
      </c>
      <c r="R1104">
        <f>HOUR(Q1104)</f>
        <v>0</v>
      </c>
      <c r="S1104">
        <f>MINUTE(Q1104)</f>
        <v>20</v>
      </c>
      <c r="T1104">
        <f>R1104*60+S1104</f>
        <v>20</v>
      </c>
      <c r="U1104" s="7">
        <f>H1104-G1104</f>
        <v>0.16666666666424135</v>
      </c>
      <c r="V1104">
        <f>HOUR(U1104)</f>
        <v>4</v>
      </c>
      <c r="W1104">
        <f>MINUTE(U1104)</f>
        <v>0</v>
      </c>
      <c r="X1104">
        <f>V1104*60+W1104</f>
        <v>240</v>
      </c>
      <c r="Y1104" s="7">
        <f>I1104-H1104</f>
        <v>4.5138888890505768E-2</v>
      </c>
      <c r="Z1104">
        <f>HOUR(Y1104)</f>
        <v>1</v>
      </c>
      <c r="AA1104">
        <f>MINUTE(Y1104)</f>
        <v>5</v>
      </c>
      <c r="AB1104">
        <f>Z1104*60+AA1104</f>
        <v>65</v>
      </c>
    </row>
    <row r="1105" spans="1:28" x14ac:dyDescent="0.25">
      <c r="A1105">
        <v>1103</v>
      </c>
      <c r="B1105" t="s">
        <v>31</v>
      </c>
      <c r="C1105">
        <v>1</v>
      </c>
      <c r="D1105" t="s">
        <v>34</v>
      </c>
      <c r="E1105" s="6">
        <v>46099.498611111114</v>
      </c>
      <c r="F1105" s="6">
        <v>46099.506944444445</v>
      </c>
      <c r="G1105" s="6">
        <v>46099.513888888891</v>
      </c>
      <c r="H1105" s="6">
        <v>46099.586111111108</v>
      </c>
      <c r="I1105" s="6">
        <v>46099.593055555553</v>
      </c>
      <c r="J1105" s="6">
        <v>46099.597222222219</v>
      </c>
      <c r="K1105">
        <v>2.37</v>
      </c>
      <c r="L1105" s="6">
        <v>46099.604166666664</v>
      </c>
      <c r="M1105" s="7">
        <f>F1105-E1105</f>
        <v>8.333333331393078E-3</v>
      </c>
      <c r="N1105">
        <f>HOUR(M1105)</f>
        <v>0</v>
      </c>
      <c r="O1105">
        <f>MINUTE(M1105)</f>
        <v>12</v>
      </c>
      <c r="P1105">
        <f>N1105*60+O1105</f>
        <v>12</v>
      </c>
      <c r="Q1105" s="7">
        <f>G1105-F1105</f>
        <v>6.9444444452528842E-3</v>
      </c>
      <c r="R1105">
        <f>HOUR(Q1105)</f>
        <v>0</v>
      </c>
      <c r="S1105">
        <f>MINUTE(Q1105)</f>
        <v>10</v>
      </c>
      <c r="T1105">
        <f>R1105*60+S1105</f>
        <v>10</v>
      </c>
      <c r="U1105" s="7">
        <f>H1105-G1105</f>
        <v>7.2222222217533272E-2</v>
      </c>
      <c r="V1105">
        <f>HOUR(U1105)</f>
        <v>1</v>
      </c>
      <c r="W1105">
        <f>MINUTE(U1105)</f>
        <v>44</v>
      </c>
      <c r="X1105">
        <f>V1105*60+W1105</f>
        <v>104</v>
      </c>
      <c r="Y1105" s="7">
        <f>I1105-H1105</f>
        <v>6.9444444452528842E-3</v>
      </c>
      <c r="Z1105">
        <f>HOUR(Y1105)</f>
        <v>0</v>
      </c>
      <c r="AA1105">
        <f>MINUTE(Y1105)</f>
        <v>10</v>
      </c>
      <c r="AB1105">
        <f>Z1105*60+AA1105</f>
        <v>10</v>
      </c>
    </row>
    <row r="1106" spans="1:28" x14ac:dyDescent="0.25">
      <c r="A1106">
        <v>1104</v>
      </c>
      <c r="B1106" t="s">
        <v>31</v>
      </c>
      <c r="C1106">
        <v>1</v>
      </c>
      <c r="D1106" t="s">
        <v>30</v>
      </c>
      <c r="E1106" s="6">
        <v>46099.522222222222</v>
      </c>
      <c r="F1106" s="6">
        <v>46099.527777777781</v>
      </c>
      <c r="G1106" s="6">
        <v>46099.534722222219</v>
      </c>
      <c r="H1106" s="6">
        <v>46099.570138888892</v>
      </c>
      <c r="I1106" s="6">
        <v>46099.571527777778</v>
      </c>
      <c r="J1106" s="6">
        <v>46099.572916666664</v>
      </c>
      <c r="K1106">
        <v>1.22</v>
      </c>
      <c r="L1106" s="6">
        <v>46099.579861111109</v>
      </c>
      <c r="M1106" s="7">
        <f>F1106-E1106</f>
        <v>5.5555555591126904E-3</v>
      </c>
      <c r="N1106">
        <f>HOUR(M1106)</f>
        <v>0</v>
      </c>
      <c r="O1106">
        <f>MINUTE(M1106)</f>
        <v>8</v>
      </c>
      <c r="P1106">
        <f>N1106*60+O1106</f>
        <v>8</v>
      </c>
      <c r="Q1106" s="7">
        <f>G1106-F1106</f>
        <v>6.9444444379769266E-3</v>
      </c>
      <c r="R1106">
        <f>HOUR(Q1106)</f>
        <v>0</v>
      </c>
      <c r="S1106">
        <f>MINUTE(Q1106)</f>
        <v>10</v>
      </c>
      <c r="T1106">
        <f>R1106*60+S1106</f>
        <v>10</v>
      </c>
      <c r="U1106" s="7">
        <f>H1106-G1106</f>
        <v>3.5416666672972497E-2</v>
      </c>
      <c r="V1106">
        <f>HOUR(U1106)</f>
        <v>0</v>
      </c>
      <c r="W1106">
        <f>MINUTE(U1106)</f>
        <v>51</v>
      </c>
      <c r="X1106">
        <f>V1106*60+W1106</f>
        <v>51</v>
      </c>
      <c r="Y1106" s="7">
        <f>I1106-H1106</f>
        <v>1.3888888861401938E-3</v>
      </c>
      <c r="Z1106">
        <f>HOUR(Y1106)</f>
        <v>0</v>
      </c>
      <c r="AA1106">
        <f>MINUTE(Y1106)</f>
        <v>2</v>
      </c>
      <c r="AB1106">
        <f>Z1106*60+AA1106</f>
        <v>2</v>
      </c>
    </row>
    <row r="1107" spans="1:28" x14ac:dyDescent="0.25">
      <c r="A1107">
        <v>1105</v>
      </c>
      <c r="B1107" t="s">
        <v>31</v>
      </c>
      <c r="C1107">
        <v>1</v>
      </c>
      <c r="D1107" t="s">
        <v>36</v>
      </c>
      <c r="E1107" s="6">
        <v>46100.427083333336</v>
      </c>
      <c r="F1107" s="6">
        <v>46100.4375</v>
      </c>
      <c r="G1107" s="6">
        <v>46100.486111111109</v>
      </c>
      <c r="H1107" s="6">
        <v>46100.510416666664</v>
      </c>
      <c r="I1107" s="6">
        <v>46100.517361111109</v>
      </c>
      <c r="J1107" s="6">
        <v>46100.520833333336</v>
      </c>
      <c r="K1107">
        <v>2.25</v>
      </c>
      <c r="L1107" s="6">
        <v>46100.527777777781</v>
      </c>
      <c r="M1107" s="7">
        <f>F1107-E1107</f>
        <v>1.0416666664241347E-2</v>
      </c>
      <c r="N1107">
        <f>HOUR(M1107)</f>
        <v>0</v>
      </c>
      <c r="O1107">
        <f>MINUTE(M1107)</f>
        <v>15</v>
      </c>
      <c r="P1107">
        <f>N1107*60+O1107</f>
        <v>15</v>
      </c>
      <c r="Q1107" s="7">
        <f>G1107-F1107</f>
        <v>4.8611111109494232E-2</v>
      </c>
      <c r="R1107">
        <f>HOUR(Q1107)</f>
        <v>1</v>
      </c>
      <c r="S1107">
        <f>MINUTE(Q1107)</f>
        <v>10</v>
      </c>
      <c r="T1107">
        <f>R1107*60+S1107</f>
        <v>70</v>
      </c>
      <c r="U1107" s="7">
        <f>H1107-G1107</f>
        <v>2.4305555554747116E-2</v>
      </c>
      <c r="V1107">
        <f>HOUR(U1107)</f>
        <v>0</v>
      </c>
      <c r="W1107">
        <f>MINUTE(U1107)</f>
        <v>35</v>
      </c>
      <c r="X1107">
        <f>V1107*60+W1107</f>
        <v>35</v>
      </c>
      <c r="Y1107" s="7">
        <f>I1107-H1107</f>
        <v>6.9444444452528842E-3</v>
      </c>
      <c r="Z1107">
        <f>HOUR(Y1107)</f>
        <v>0</v>
      </c>
      <c r="AA1107">
        <f>MINUTE(Y1107)</f>
        <v>10</v>
      </c>
      <c r="AB1107">
        <f>Z1107*60+AA1107</f>
        <v>10</v>
      </c>
    </row>
    <row r="1108" spans="1:28" x14ac:dyDescent="0.25">
      <c r="A1108">
        <v>1106</v>
      </c>
      <c r="B1108" t="s">
        <v>33</v>
      </c>
      <c r="C1108">
        <v>1</v>
      </c>
      <c r="D1108" t="s">
        <v>36</v>
      </c>
      <c r="E1108" s="6">
        <v>46100.291666666664</v>
      </c>
      <c r="F1108" s="6">
        <v>46100.319444444445</v>
      </c>
      <c r="G1108" s="6">
        <v>46100.333333333336</v>
      </c>
      <c r="H1108" s="6">
        <v>46100.395833333336</v>
      </c>
      <c r="I1108" s="6">
        <v>46100.399305555555</v>
      </c>
      <c r="J1108" s="6">
        <v>46100.401388888888</v>
      </c>
      <c r="K1108">
        <v>2.63</v>
      </c>
      <c r="L1108" s="6">
        <v>46100.408333333333</v>
      </c>
      <c r="M1108" s="7">
        <f>F1108-E1108</f>
        <v>2.7777777781011537E-2</v>
      </c>
      <c r="N1108">
        <f>HOUR(M1108)</f>
        <v>0</v>
      </c>
      <c r="O1108">
        <f>MINUTE(M1108)</f>
        <v>40</v>
      </c>
      <c r="P1108">
        <f>N1108*60+O1108</f>
        <v>40</v>
      </c>
      <c r="Q1108" s="7">
        <f>G1108-F1108</f>
        <v>1.3888888890505768E-2</v>
      </c>
      <c r="R1108">
        <f>HOUR(Q1108)</f>
        <v>0</v>
      </c>
      <c r="S1108">
        <f>MINUTE(Q1108)</f>
        <v>20</v>
      </c>
      <c r="T1108">
        <f>R1108*60+S1108</f>
        <v>20</v>
      </c>
      <c r="U1108" s="7">
        <f>H1108-G1108</f>
        <v>6.25E-2</v>
      </c>
      <c r="V1108">
        <f>HOUR(U1108)</f>
        <v>1</v>
      </c>
      <c r="W1108">
        <f>MINUTE(U1108)</f>
        <v>30</v>
      </c>
      <c r="X1108">
        <f>V1108*60+W1108</f>
        <v>90</v>
      </c>
      <c r="Y1108" s="7">
        <f>I1108-H1108</f>
        <v>3.4722222189884633E-3</v>
      </c>
      <c r="Z1108">
        <f>HOUR(Y1108)</f>
        <v>0</v>
      </c>
      <c r="AA1108">
        <f>MINUTE(Y1108)</f>
        <v>5</v>
      </c>
      <c r="AB1108">
        <f>Z1108*60+AA1108</f>
        <v>5</v>
      </c>
    </row>
    <row r="1109" spans="1:28" x14ac:dyDescent="0.25">
      <c r="A1109">
        <v>1107</v>
      </c>
      <c r="B1109" t="s">
        <v>29</v>
      </c>
      <c r="C1109">
        <v>1</v>
      </c>
      <c r="D1109" t="s">
        <v>30</v>
      </c>
      <c r="E1109" s="6">
        <v>46101.333333333336</v>
      </c>
      <c r="F1109" s="6">
        <v>46101.340277777781</v>
      </c>
      <c r="G1109" s="6">
        <v>46101.347222222219</v>
      </c>
      <c r="H1109" s="6">
        <v>46101.427083333336</v>
      </c>
      <c r="I1109" s="6">
        <v>46101.434027777781</v>
      </c>
      <c r="J1109" s="6">
        <v>46101.4375</v>
      </c>
      <c r="K1109">
        <v>2.5</v>
      </c>
      <c r="L1109" s="6">
        <v>46101.444444444445</v>
      </c>
      <c r="M1109" s="7">
        <f>F1109-E1109</f>
        <v>6.9444444452528842E-3</v>
      </c>
      <c r="N1109">
        <f>HOUR(M1109)</f>
        <v>0</v>
      </c>
      <c r="O1109">
        <f>MINUTE(M1109)</f>
        <v>10</v>
      </c>
      <c r="P1109">
        <f>N1109*60+O1109</f>
        <v>10</v>
      </c>
      <c r="Q1109" s="7">
        <f>G1109-F1109</f>
        <v>6.9444444379769266E-3</v>
      </c>
      <c r="R1109">
        <f>HOUR(Q1109)</f>
        <v>0</v>
      </c>
      <c r="S1109">
        <f>MINUTE(Q1109)</f>
        <v>10</v>
      </c>
      <c r="T1109">
        <f>R1109*60+S1109</f>
        <v>10</v>
      </c>
      <c r="U1109" s="7">
        <f>H1109-G1109</f>
        <v>7.9861111116770189E-2</v>
      </c>
      <c r="V1109">
        <f>HOUR(U1109)</f>
        <v>1</v>
      </c>
      <c r="W1109">
        <f>MINUTE(U1109)</f>
        <v>55</v>
      </c>
      <c r="X1109">
        <f>V1109*60+W1109</f>
        <v>115</v>
      </c>
      <c r="Y1109" s="7">
        <f>I1109-H1109</f>
        <v>6.9444444452528842E-3</v>
      </c>
      <c r="Z1109">
        <f>HOUR(Y1109)</f>
        <v>0</v>
      </c>
      <c r="AA1109">
        <f>MINUTE(Y1109)</f>
        <v>10</v>
      </c>
      <c r="AB1109">
        <f>Z1109*60+AA1109</f>
        <v>10</v>
      </c>
    </row>
    <row r="1110" spans="1:28" x14ac:dyDescent="0.25">
      <c r="A1110">
        <v>1108</v>
      </c>
      <c r="B1110" t="s">
        <v>31</v>
      </c>
      <c r="C1110">
        <v>1</v>
      </c>
      <c r="D1110" t="s">
        <v>35</v>
      </c>
      <c r="E1110" s="6">
        <v>46100.288194444445</v>
      </c>
      <c r="F1110" s="6">
        <v>46100.302083333336</v>
      </c>
      <c r="G1110" s="6">
        <v>46100.319444444445</v>
      </c>
      <c r="H1110" s="6">
        <v>46100.397222222222</v>
      </c>
      <c r="I1110" s="6">
        <v>46100.404166666667</v>
      </c>
      <c r="J1110" s="6">
        <v>46100.411111111112</v>
      </c>
      <c r="K1110">
        <v>2.95</v>
      </c>
      <c r="L1110" s="6">
        <v>46100.418055555558</v>
      </c>
      <c r="M1110" s="7">
        <f>F1110-E1110</f>
        <v>1.3888888890505768E-2</v>
      </c>
      <c r="N1110">
        <f>HOUR(M1110)</f>
        <v>0</v>
      </c>
      <c r="O1110">
        <f>MINUTE(M1110)</f>
        <v>20</v>
      </c>
      <c r="P1110">
        <f>N1110*60+O1110</f>
        <v>20</v>
      </c>
      <c r="Q1110" s="7">
        <f>G1110-F1110</f>
        <v>1.7361111109494232E-2</v>
      </c>
      <c r="R1110">
        <f>HOUR(Q1110)</f>
        <v>0</v>
      </c>
      <c r="S1110">
        <f>MINUTE(Q1110)</f>
        <v>25</v>
      </c>
      <c r="T1110">
        <f>R1110*60+S1110</f>
        <v>25</v>
      </c>
      <c r="U1110" s="7">
        <f>H1110-G1110</f>
        <v>7.7777777776645962E-2</v>
      </c>
      <c r="V1110">
        <f>HOUR(U1110)</f>
        <v>1</v>
      </c>
      <c r="W1110">
        <f>MINUTE(U1110)</f>
        <v>52</v>
      </c>
      <c r="X1110">
        <f>V1110*60+W1110</f>
        <v>112</v>
      </c>
      <c r="Y1110" s="7">
        <f>I1110-H1110</f>
        <v>6.9444444452528842E-3</v>
      </c>
      <c r="Z1110">
        <f>HOUR(Y1110)</f>
        <v>0</v>
      </c>
      <c r="AA1110">
        <f>MINUTE(Y1110)</f>
        <v>10</v>
      </c>
      <c r="AB1110">
        <f>Z1110*60+AA1110</f>
        <v>10</v>
      </c>
    </row>
    <row r="1111" spans="1:28" x14ac:dyDescent="0.25">
      <c r="A1111">
        <v>1109</v>
      </c>
      <c r="B1111" t="s">
        <v>31</v>
      </c>
      <c r="C1111">
        <v>1</v>
      </c>
      <c r="D1111" t="s">
        <v>32</v>
      </c>
      <c r="E1111" s="6">
        <v>46100.552083333336</v>
      </c>
      <c r="F1111" s="6">
        <v>46100.5625</v>
      </c>
      <c r="G1111" s="6">
        <v>46100.59375</v>
      </c>
      <c r="H1111" s="6">
        <v>46100.708333333336</v>
      </c>
      <c r="I1111" s="6">
        <v>46100.715277777781</v>
      </c>
      <c r="J1111" s="6">
        <v>46100.722222222219</v>
      </c>
      <c r="K1111">
        <v>4.08</v>
      </c>
      <c r="L1111" s="6">
        <v>46100.724305555559</v>
      </c>
      <c r="M1111" s="7">
        <f>F1111-E1111</f>
        <v>1.0416666664241347E-2</v>
      </c>
      <c r="N1111">
        <f>HOUR(M1111)</f>
        <v>0</v>
      </c>
      <c r="O1111">
        <f>MINUTE(M1111)</f>
        <v>15</v>
      </c>
      <c r="P1111">
        <f>N1111*60+O1111</f>
        <v>15</v>
      </c>
      <c r="Q1111" s="7">
        <f>G1111-F1111</f>
        <v>3.125E-2</v>
      </c>
      <c r="R1111">
        <f>HOUR(Q1111)</f>
        <v>0</v>
      </c>
      <c r="S1111">
        <f>MINUTE(Q1111)</f>
        <v>45</v>
      </c>
      <c r="T1111">
        <f>R1111*60+S1111</f>
        <v>45</v>
      </c>
      <c r="U1111" s="7">
        <f>H1111-G1111</f>
        <v>0.11458333333575865</v>
      </c>
      <c r="V1111">
        <f>HOUR(U1111)</f>
        <v>2</v>
      </c>
      <c r="W1111">
        <f>MINUTE(U1111)</f>
        <v>45</v>
      </c>
      <c r="X1111">
        <f>V1111*60+W1111</f>
        <v>165</v>
      </c>
      <c r="Y1111" s="7">
        <f>I1111-H1111</f>
        <v>6.9444444452528842E-3</v>
      </c>
      <c r="Z1111">
        <f>HOUR(Y1111)</f>
        <v>0</v>
      </c>
      <c r="AA1111">
        <f>MINUTE(Y1111)</f>
        <v>10</v>
      </c>
      <c r="AB1111">
        <f>Z1111*60+AA1111</f>
        <v>10</v>
      </c>
    </row>
    <row r="1112" spans="1:28" x14ac:dyDescent="0.25">
      <c r="A1112">
        <v>1110</v>
      </c>
      <c r="B1112" t="s">
        <v>33</v>
      </c>
      <c r="C1112">
        <v>1</v>
      </c>
      <c r="D1112" t="s">
        <v>35</v>
      </c>
      <c r="E1112" s="6">
        <v>46100.315972222219</v>
      </c>
      <c r="F1112" s="6">
        <v>46100.322916666664</v>
      </c>
      <c r="G1112" s="6">
        <v>46100.354166666664</v>
      </c>
      <c r="H1112" s="6">
        <v>46100.458333333336</v>
      </c>
      <c r="I1112" s="6">
        <v>46100.46875</v>
      </c>
      <c r="J1112" s="6">
        <v>46100.479166666664</v>
      </c>
      <c r="K1112">
        <v>3.92</v>
      </c>
      <c r="L1112" s="6">
        <v>46100.479861111111</v>
      </c>
      <c r="M1112" s="7">
        <f>F1112-E1112</f>
        <v>6.9444444452528842E-3</v>
      </c>
      <c r="N1112">
        <f>HOUR(M1112)</f>
        <v>0</v>
      </c>
      <c r="O1112">
        <f>MINUTE(M1112)</f>
        <v>10</v>
      </c>
      <c r="P1112">
        <f>N1112*60+O1112</f>
        <v>10</v>
      </c>
      <c r="Q1112" s="7">
        <f>G1112-F1112</f>
        <v>3.125E-2</v>
      </c>
      <c r="R1112">
        <f>HOUR(Q1112)</f>
        <v>0</v>
      </c>
      <c r="S1112">
        <f>MINUTE(Q1112)</f>
        <v>45</v>
      </c>
      <c r="T1112">
        <f>R1112*60+S1112</f>
        <v>45</v>
      </c>
      <c r="U1112" s="7">
        <f>H1112-G1112</f>
        <v>0.10416666667151731</v>
      </c>
      <c r="V1112">
        <f>HOUR(U1112)</f>
        <v>2</v>
      </c>
      <c r="W1112">
        <f>MINUTE(U1112)</f>
        <v>30</v>
      </c>
      <c r="X1112">
        <f>V1112*60+W1112</f>
        <v>150</v>
      </c>
      <c r="Y1112" s="7">
        <f>I1112-H1112</f>
        <v>1.0416666664241347E-2</v>
      </c>
      <c r="Z1112">
        <f>HOUR(Y1112)</f>
        <v>0</v>
      </c>
      <c r="AA1112">
        <f>MINUTE(Y1112)</f>
        <v>15</v>
      </c>
      <c r="AB1112">
        <f>Z1112*60+AA1112</f>
        <v>15</v>
      </c>
    </row>
    <row r="1113" spans="1:28" x14ac:dyDescent="0.25">
      <c r="A1113">
        <v>1111</v>
      </c>
      <c r="B1113" t="s">
        <v>29</v>
      </c>
      <c r="C1113">
        <v>1</v>
      </c>
      <c r="D1113" t="s">
        <v>34</v>
      </c>
      <c r="E1113" s="6">
        <v>46100.40625</v>
      </c>
      <c r="F1113" s="6">
        <v>46100.413194444445</v>
      </c>
      <c r="G1113" s="6">
        <v>46100.444444444445</v>
      </c>
      <c r="H1113" s="6">
        <v>46100.517361111109</v>
      </c>
      <c r="I1113" s="6">
        <v>46100.527777777781</v>
      </c>
      <c r="J1113" s="6">
        <v>46100.541666666664</v>
      </c>
      <c r="K1113">
        <v>3.25</v>
      </c>
      <c r="L1113" s="6">
        <v>46100.545138888891</v>
      </c>
      <c r="M1113" s="7">
        <f>F1113-E1113</f>
        <v>6.9444444452528842E-3</v>
      </c>
      <c r="N1113">
        <f>HOUR(M1113)</f>
        <v>0</v>
      </c>
      <c r="O1113">
        <f>MINUTE(M1113)</f>
        <v>10</v>
      </c>
      <c r="P1113">
        <f>N1113*60+O1113</f>
        <v>10</v>
      </c>
      <c r="Q1113" s="7">
        <f>G1113-F1113</f>
        <v>3.125E-2</v>
      </c>
      <c r="R1113">
        <f>HOUR(Q1113)</f>
        <v>0</v>
      </c>
      <c r="S1113">
        <f>MINUTE(Q1113)</f>
        <v>45</v>
      </c>
      <c r="T1113">
        <f>R1113*60+S1113</f>
        <v>45</v>
      </c>
      <c r="U1113" s="7">
        <f>H1113-G1113</f>
        <v>7.2916666664241347E-2</v>
      </c>
      <c r="V1113">
        <f>HOUR(U1113)</f>
        <v>1</v>
      </c>
      <c r="W1113">
        <f>MINUTE(U1113)</f>
        <v>45</v>
      </c>
      <c r="X1113">
        <f>V1113*60+W1113</f>
        <v>105</v>
      </c>
      <c r="Y1113" s="7">
        <f>I1113-H1113</f>
        <v>1.0416666671517305E-2</v>
      </c>
      <c r="Z1113">
        <f>HOUR(Y1113)</f>
        <v>0</v>
      </c>
      <c r="AA1113">
        <f>MINUTE(Y1113)</f>
        <v>15</v>
      </c>
      <c r="AB1113">
        <f>Z1113*60+AA1113</f>
        <v>15</v>
      </c>
    </row>
    <row r="1114" spans="1:28" x14ac:dyDescent="0.25">
      <c r="A1114">
        <v>1112</v>
      </c>
      <c r="B1114" t="s">
        <v>33</v>
      </c>
      <c r="C1114">
        <v>1</v>
      </c>
      <c r="D1114" t="s">
        <v>34</v>
      </c>
      <c r="E1114" s="6">
        <v>46100.305555555555</v>
      </c>
      <c r="F1114" s="6">
        <v>46100.315972222219</v>
      </c>
      <c r="G1114" s="6">
        <v>46100.336805555555</v>
      </c>
      <c r="H1114" s="6">
        <v>46100.357638888891</v>
      </c>
      <c r="I1114" s="6">
        <v>46100.364583333336</v>
      </c>
      <c r="J1114" s="6">
        <v>46100.371527777781</v>
      </c>
      <c r="K1114">
        <v>1.58</v>
      </c>
      <c r="L1114" s="6">
        <v>46100.381944444445</v>
      </c>
      <c r="M1114" s="7">
        <f>F1114-E1114</f>
        <v>1.0416666664241347E-2</v>
      </c>
      <c r="N1114">
        <f>HOUR(M1114)</f>
        <v>0</v>
      </c>
      <c r="O1114">
        <f>MINUTE(M1114)</f>
        <v>15</v>
      </c>
      <c r="P1114">
        <f>N1114*60+O1114</f>
        <v>15</v>
      </c>
      <c r="Q1114" s="7">
        <f>G1114-F1114</f>
        <v>2.0833333335758653E-2</v>
      </c>
      <c r="R1114">
        <f>HOUR(Q1114)</f>
        <v>0</v>
      </c>
      <c r="S1114">
        <f>MINUTE(Q1114)</f>
        <v>30</v>
      </c>
      <c r="T1114">
        <f>R1114*60+S1114</f>
        <v>30</v>
      </c>
      <c r="U1114" s="7">
        <f>H1114-G1114</f>
        <v>2.0833333335758653E-2</v>
      </c>
      <c r="V1114">
        <f>HOUR(U1114)</f>
        <v>0</v>
      </c>
      <c r="W1114">
        <f>MINUTE(U1114)</f>
        <v>30</v>
      </c>
      <c r="X1114">
        <f>V1114*60+W1114</f>
        <v>30</v>
      </c>
      <c r="Y1114" s="7">
        <f>I1114-H1114</f>
        <v>6.9444444452528842E-3</v>
      </c>
      <c r="Z1114">
        <f>HOUR(Y1114)</f>
        <v>0</v>
      </c>
      <c r="AA1114">
        <f>MINUTE(Y1114)</f>
        <v>10</v>
      </c>
      <c r="AB1114">
        <f>Z1114*60+AA1114</f>
        <v>10</v>
      </c>
    </row>
    <row r="1115" spans="1:28" x14ac:dyDescent="0.25">
      <c r="A1115">
        <v>1113</v>
      </c>
      <c r="B1115" t="s">
        <v>31</v>
      </c>
      <c r="C1115">
        <v>1</v>
      </c>
      <c r="D1115" t="s">
        <v>37</v>
      </c>
      <c r="E1115" s="6">
        <v>46099.784722222219</v>
      </c>
      <c r="F1115" s="6">
        <v>46099.798611111109</v>
      </c>
      <c r="G1115" s="6">
        <v>46099.805555555555</v>
      </c>
      <c r="H1115" s="6">
        <v>46099.927083333336</v>
      </c>
      <c r="I1115" s="6">
        <v>46099.934027777781</v>
      </c>
      <c r="J1115" s="6">
        <v>46099.954861111109</v>
      </c>
      <c r="K1115">
        <v>4.08</v>
      </c>
      <c r="L1115" s="6">
        <v>46099.961805555555</v>
      </c>
      <c r="M1115" s="7">
        <f>F1115-E1115</f>
        <v>1.3888888890505768E-2</v>
      </c>
      <c r="N1115">
        <f>HOUR(M1115)</f>
        <v>0</v>
      </c>
      <c r="O1115">
        <f>MINUTE(M1115)</f>
        <v>20</v>
      </c>
      <c r="P1115">
        <f>N1115*60+O1115</f>
        <v>20</v>
      </c>
      <c r="Q1115" s="7">
        <f>G1115-F1115</f>
        <v>6.9444444452528842E-3</v>
      </c>
      <c r="R1115">
        <f>HOUR(Q1115)</f>
        <v>0</v>
      </c>
      <c r="S1115">
        <f>MINUTE(Q1115)</f>
        <v>10</v>
      </c>
      <c r="T1115">
        <f>R1115*60+S1115</f>
        <v>10</v>
      </c>
      <c r="U1115" s="7">
        <f>H1115-G1115</f>
        <v>0.12152777778101154</v>
      </c>
      <c r="V1115">
        <f>HOUR(U1115)</f>
        <v>2</v>
      </c>
      <c r="W1115">
        <f>MINUTE(U1115)</f>
        <v>55</v>
      </c>
      <c r="X1115">
        <f>V1115*60+W1115</f>
        <v>175</v>
      </c>
      <c r="Y1115" s="7">
        <f>I1115-H1115</f>
        <v>6.9444444452528842E-3</v>
      </c>
      <c r="Z1115">
        <f>HOUR(Y1115)</f>
        <v>0</v>
      </c>
      <c r="AA1115">
        <f>MINUTE(Y1115)</f>
        <v>10</v>
      </c>
      <c r="AB1115">
        <f>Z1115*60+AA1115</f>
        <v>10</v>
      </c>
    </row>
    <row r="1116" spans="1:28" x14ac:dyDescent="0.25">
      <c r="A1116">
        <v>1114</v>
      </c>
      <c r="B1116" t="s">
        <v>31</v>
      </c>
      <c r="C1116">
        <v>1</v>
      </c>
      <c r="D1116" t="s">
        <v>30</v>
      </c>
      <c r="E1116" s="6">
        <v>46099.84375</v>
      </c>
      <c r="F1116" s="6">
        <v>46099.864583333336</v>
      </c>
      <c r="G1116" s="6">
        <v>46099.875</v>
      </c>
      <c r="H1116" s="6">
        <v>46099.888888888891</v>
      </c>
      <c r="I1116" s="6">
        <v>46099.895833333336</v>
      </c>
      <c r="J1116" s="6">
        <v>46099.896527777775</v>
      </c>
      <c r="K1116">
        <v>1.27</v>
      </c>
      <c r="L1116" s="6">
        <v>46099.90347222222</v>
      </c>
      <c r="M1116" s="7">
        <f>F1116-E1116</f>
        <v>2.0833333335758653E-2</v>
      </c>
      <c r="N1116">
        <f>HOUR(M1116)</f>
        <v>0</v>
      </c>
      <c r="O1116">
        <f>MINUTE(M1116)</f>
        <v>30</v>
      </c>
      <c r="P1116">
        <f>N1116*60+O1116</f>
        <v>30</v>
      </c>
      <c r="Q1116" s="7">
        <f>G1116-F1116</f>
        <v>1.0416666664241347E-2</v>
      </c>
      <c r="R1116">
        <f>HOUR(Q1116)</f>
        <v>0</v>
      </c>
      <c r="S1116">
        <f>MINUTE(Q1116)</f>
        <v>15</v>
      </c>
      <c r="T1116">
        <f>R1116*60+S1116</f>
        <v>15</v>
      </c>
      <c r="U1116" s="7">
        <f>H1116-G1116</f>
        <v>1.3888888890505768E-2</v>
      </c>
      <c r="V1116">
        <f>HOUR(U1116)</f>
        <v>0</v>
      </c>
      <c r="W1116">
        <f>MINUTE(U1116)</f>
        <v>20</v>
      </c>
      <c r="X1116">
        <f>V1116*60+W1116</f>
        <v>20</v>
      </c>
      <c r="Y1116" s="7">
        <f>I1116-H1116</f>
        <v>6.9444444452528842E-3</v>
      </c>
      <c r="Z1116">
        <f>HOUR(Y1116)</f>
        <v>0</v>
      </c>
      <c r="AA1116">
        <f>MINUTE(Y1116)</f>
        <v>10</v>
      </c>
      <c r="AB1116">
        <f>Z1116*60+AA1116</f>
        <v>10</v>
      </c>
    </row>
    <row r="1117" spans="1:28" x14ac:dyDescent="0.25">
      <c r="A1117">
        <v>1115</v>
      </c>
      <c r="B1117" t="s">
        <v>33</v>
      </c>
      <c r="C1117">
        <v>1</v>
      </c>
      <c r="D1117" t="s">
        <v>35</v>
      </c>
      <c r="E1117" s="6">
        <v>46099.909722222219</v>
      </c>
      <c r="F1117" s="6">
        <v>46099.920138888891</v>
      </c>
      <c r="G1117" s="6">
        <v>46099.9375</v>
      </c>
      <c r="H1117" s="6">
        <v>46099.979166666664</v>
      </c>
      <c r="I1117" s="6">
        <v>46099.986111111109</v>
      </c>
      <c r="J1117" s="6">
        <v>46099.987500000003</v>
      </c>
      <c r="K1117">
        <v>1.87</v>
      </c>
      <c r="L1117" s="6">
        <v>46099.988194444442</v>
      </c>
      <c r="M1117" s="7">
        <f>F1117-E1117</f>
        <v>1.0416666671517305E-2</v>
      </c>
      <c r="N1117">
        <f>HOUR(M1117)</f>
        <v>0</v>
      </c>
      <c r="O1117">
        <f>MINUTE(M1117)</f>
        <v>15</v>
      </c>
      <c r="P1117">
        <f>N1117*60+O1117</f>
        <v>15</v>
      </c>
      <c r="Q1117" s="7">
        <f>G1117-F1117</f>
        <v>1.7361111109494232E-2</v>
      </c>
      <c r="R1117">
        <f>HOUR(Q1117)</f>
        <v>0</v>
      </c>
      <c r="S1117">
        <f>MINUTE(Q1117)</f>
        <v>25</v>
      </c>
      <c r="T1117">
        <f>R1117*60+S1117</f>
        <v>25</v>
      </c>
      <c r="U1117" s="7">
        <f>H1117-G1117</f>
        <v>4.1666666664241347E-2</v>
      </c>
      <c r="V1117">
        <f>HOUR(U1117)</f>
        <v>1</v>
      </c>
      <c r="W1117">
        <f>MINUTE(U1117)</f>
        <v>0</v>
      </c>
      <c r="X1117">
        <f>V1117*60+W1117</f>
        <v>60</v>
      </c>
      <c r="Y1117" s="7">
        <f>I1117-H1117</f>
        <v>6.9444444452528842E-3</v>
      </c>
      <c r="Z1117">
        <f>HOUR(Y1117)</f>
        <v>0</v>
      </c>
      <c r="AA1117">
        <f>MINUTE(Y1117)</f>
        <v>10</v>
      </c>
      <c r="AB1117">
        <f>Z1117*60+AA1117</f>
        <v>10</v>
      </c>
    </row>
    <row r="1118" spans="1:28" x14ac:dyDescent="0.25">
      <c r="A1118">
        <v>1116</v>
      </c>
      <c r="B1118" t="s">
        <v>33</v>
      </c>
      <c r="C1118">
        <v>1</v>
      </c>
      <c r="D1118" t="s">
        <v>30</v>
      </c>
      <c r="E1118" s="6">
        <v>46100.322916666664</v>
      </c>
      <c r="F1118" s="6">
        <v>46100.326388888891</v>
      </c>
      <c r="G1118" s="6">
        <v>46100.354166666664</v>
      </c>
      <c r="H1118" s="6">
        <v>46100.392361111109</v>
      </c>
      <c r="I1118" s="6">
        <v>46100.399305555555</v>
      </c>
      <c r="J1118" s="6">
        <v>46100.416666666664</v>
      </c>
      <c r="K1118">
        <v>2.25</v>
      </c>
      <c r="L1118" s="6">
        <v>46100.423611111109</v>
      </c>
      <c r="M1118" s="7">
        <f>F1118-E1118</f>
        <v>3.4722222262644209E-3</v>
      </c>
      <c r="N1118">
        <f>HOUR(M1118)</f>
        <v>0</v>
      </c>
      <c r="O1118">
        <f>MINUTE(M1118)</f>
        <v>5</v>
      </c>
      <c r="P1118">
        <f>N1118*60+O1118</f>
        <v>5</v>
      </c>
      <c r="Q1118" s="7">
        <f>G1118-F1118</f>
        <v>2.7777777773735579E-2</v>
      </c>
      <c r="R1118">
        <f>HOUR(Q1118)</f>
        <v>0</v>
      </c>
      <c r="S1118">
        <f>MINUTE(Q1118)</f>
        <v>40</v>
      </c>
      <c r="T1118">
        <f>R1118*60+S1118</f>
        <v>40</v>
      </c>
      <c r="U1118" s="7">
        <f>H1118-G1118</f>
        <v>3.8194444445252884E-2</v>
      </c>
      <c r="V1118">
        <f>HOUR(U1118)</f>
        <v>0</v>
      </c>
      <c r="W1118">
        <f>MINUTE(U1118)</f>
        <v>55</v>
      </c>
      <c r="X1118">
        <f>V1118*60+W1118</f>
        <v>55</v>
      </c>
      <c r="Y1118" s="7">
        <f>I1118-H1118</f>
        <v>6.9444444452528842E-3</v>
      </c>
      <c r="Z1118">
        <f>HOUR(Y1118)</f>
        <v>0</v>
      </c>
      <c r="AA1118">
        <f>MINUTE(Y1118)</f>
        <v>10</v>
      </c>
      <c r="AB1118">
        <f>Z1118*60+AA1118</f>
        <v>10</v>
      </c>
    </row>
    <row r="1119" spans="1:28" x14ac:dyDescent="0.25">
      <c r="A1119">
        <v>1117</v>
      </c>
      <c r="B1119" t="s">
        <v>33</v>
      </c>
      <c r="C1119">
        <v>1</v>
      </c>
      <c r="D1119" t="s">
        <v>30</v>
      </c>
      <c r="E1119" s="6">
        <v>46100.442361111112</v>
      </c>
      <c r="F1119" s="6">
        <v>46100.454861111109</v>
      </c>
      <c r="G1119" s="6">
        <v>46100.472222222219</v>
      </c>
      <c r="H1119" s="6">
        <v>46100.534722222219</v>
      </c>
      <c r="I1119" s="6">
        <v>46100.552083333336</v>
      </c>
      <c r="J1119" s="6">
        <v>46100.552777777775</v>
      </c>
      <c r="K1119">
        <v>2.65</v>
      </c>
      <c r="L1119" s="6">
        <v>46100.553472222222</v>
      </c>
      <c r="M1119" s="7">
        <f>F1119-E1119</f>
        <v>1.2499999997089617E-2</v>
      </c>
      <c r="N1119">
        <f>HOUR(M1119)</f>
        <v>0</v>
      </c>
      <c r="O1119">
        <f>MINUTE(M1119)</f>
        <v>18</v>
      </c>
      <c r="P1119">
        <f>N1119*60+O1119</f>
        <v>18</v>
      </c>
      <c r="Q1119" s="7">
        <f>G1119-F1119</f>
        <v>1.7361111109494232E-2</v>
      </c>
      <c r="R1119">
        <f>HOUR(Q1119)</f>
        <v>0</v>
      </c>
      <c r="S1119">
        <f>MINUTE(Q1119)</f>
        <v>25</v>
      </c>
      <c r="T1119">
        <f>R1119*60+S1119</f>
        <v>25</v>
      </c>
      <c r="U1119" s="7">
        <f>H1119-G1119</f>
        <v>6.25E-2</v>
      </c>
      <c r="V1119">
        <f>HOUR(U1119)</f>
        <v>1</v>
      </c>
      <c r="W1119">
        <f>MINUTE(U1119)</f>
        <v>30</v>
      </c>
      <c r="X1119">
        <f>V1119*60+W1119</f>
        <v>90</v>
      </c>
      <c r="Y1119" s="7">
        <f>I1119-H1119</f>
        <v>1.7361111116770189E-2</v>
      </c>
      <c r="Z1119">
        <f>HOUR(Y1119)</f>
        <v>0</v>
      </c>
      <c r="AA1119">
        <f>MINUTE(Y1119)</f>
        <v>25</v>
      </c>
      <c r="AB1119">
        <f>Z1119*60+AA1119</f>
        <v>25</v>
      </c>
    </row>
    <row r="1120" spans="1:28" x14ac:dyDescent="0.25">
      <c r="A1120">
        <v>1118</v>
      </c>
      <c r="B1120" t="s">
        <v>31</v>
      </c>
      <c r="C1120">
        <v>1</v>
      </c>
      <c r="D1120" t="s">
        <v>30</v>
      </c>
      <c r="E1120" s="6">
        <v>46100.454861111109</v>
      </c>
      <c r="F1120" s="6">
        <v>46100.461805555555</v>
      </c>
      <c r="G1120" s="6">
        <v>46100.46875</v>
      </c>
      <c r="H1120" s="6">
        <v>46100.505555555559</v>
      </c>
      <c r="I1120" s="6">
        <v>46100.506944444445</v>
      </c>
      <c r="J1120" s="6">
        <v>46100.510416666664</v>
      </c>
      <c r="K1120">
        <v>1.33</v>
      </c>
      <c r="L1120" s="6">
        <v>46100.517361111109</v>
      </c>
      <c r="M1120" s="7">
        <f>F1120-E1120</f>
        <v>6.9444444452528842E-3</v>
      </c>
      <c r="N1120">
        <f>HOUR(M1120)</f>
        <v>0</v>
      </c>
      <c r="O1120">
        <f>MINUTE(M1120)</f>
        <v>10</v>
      </c>
      <c r="P1120">
        <f>N1120*60+O1120</f>
        <v>10</v>
      </c>
      <c r="Q1120" s="7">
        <f>G1120-F1120</f>
        <v>6.9444444452528842E-3</v>
      </c>
      <c r="R1120">
        <f>HOUR(Q1120)</f>
        <v>0</v>
      </c>
      <c r="S1120">
        <f>MINUTE(Q1120)</f>
        <v>10</v>
      </c>
      <c r="T1120">
        <f>R1120*60+S1120</f>
        <v>10</v>
      </c>
      <c r="U1120" s="7">
        <f>H1120-G1120</f>
        <v>3.680555555911269E-2</v>
      </c>
      <c r="V1120">
        <f>HOUR(U1120)</f>
        <v>0</v>
      </c>
      <c r="W1120">
        <f>MINUTE(U1120)</f>
        <v>53</v>
      </c>
      <c r="X1120">
        <f>V1120*60+W1120</f>
        <v>53</v>
      </c>
      <c r="Y1120" s="7">
        <f>I1120-H1120</f>
        <v>1.3888888861401938E-3</v>
      </c>
      <c r="Z1120">
        <f>HOUR(Y1120)</f>
        <v>0</v>
      </c>
      <c r="AA1120">
        <f>MINUTE(Y1120)</f>
        <v>2</v>
      </c>
      <c r="AB1120">
        <f>Z1120*60+AA1120</f>
        <v>2</v>
      </c>
    </row>
    <row r="1121" spans="1:28" x14ac:dyDescent="0.25">
      <c r="A1121">
        <v>1119</v>
      </c>
      <c r="B1121" t="s">
        <v>31</v>
      </c>
      <c r="C1121">
        <v>1</v>
      </c>
      <c r="D1121" t="s">
        <v>34</v>
      </c>
      <c r="E1121" s="6">
        <v>46101.329861111109</v>
      </c>
      <c r="F1121" s="6">
        <v>46101.331250000003</v>
      </c>
      <c r="G1121" s="6">
        <v>46101.347222222219</v>
      </c>
      <c r="H1121" s="6">
        <v>46101.409722222219</v>
      </c>
      <c r="I1121" s="6">
        <v>46101.461805555555</v>
      </c>
      <c r="J1121" s="6">
        <v>46101.465277777781</v>
      </c>
      <c r="K1121">
        <v>3.25</v>
      </c>
      <c r="L1121" s="6">
        <v>46101.472222222219</v>
      </c>
      <c r="M1121" s="7">
        <f>F1121-E1121</f>
        <v>1.3888888934161514E-3</v>
      </c>
      <c r="N1121">
        <f>HOUR(M1121)</f>
        <v>0</v>
      </c>
      <c r="O1121">
        <f>MINUTE(M1121)</f>
        <v>2</v>
      </c>
      <c r="P1121">
        <f>N1121*60+O1121</f>
        <v>2</v>
      </c>
      <c r="Q1121" s="7">
        <f>G1121-F1121</f>
        <v>1.597222221607808E-2</v>
      </c>
      <c r="R1121">
        <f>HOUR(Q1121)</f>
        <v>0</v>
      </c>
      <c r="S1121">
        <f>MINUTE(Q1121)</f>
        <v>23</v>
      </c>
      <c r="T1121">
        <f>R1121*60+S1121</f>
        <v>23</v>
      </c>
      <c r="U1121" s="7">
        <f>H1121-G1121</f>
        <v>6.25E-2</v>
      </c>
      <c r="V1121">
        <f>HOUR(U1121)</f>
        <v>1</v>
      </c>
      <c r="W1121">
        <f>MINUTE(U1121)</f>
        <v>30</v>
      </c>
      <c r="X1121">
        <f>V1121*60+W1121</f>
        <v>90</v>
      </c>
      <c r="Y1121" s="7">
        <f>I1121-H1121</f>
        <v>5.2083333335758653E-2</v>
      </c>
      <c r="Z1121">
        <f>HOUR(Y1121)</f>
        <v>1</v>
      </c>
      <c r="AA1121">
        <f>MINUTE(Y1121)</f>
        <v>15</v>
      </c>
      <c r="AB1121">
        <f>Z1121*60+AA1121</f>
        <v>75</v>
      </c>
    </row>
    <row r="1122" spans="1:28" x14ac:dyDescent="0.25">
      <c r="A1122">
        <v>1120</v>
      </c>
      <c r="B1122" t="s">
        <v>33</v>
      </c>
      <c r="C1122">
        <v>1</v>
      </c>
      <c r="D1122" t="s">
        <v>30</v>
      </c>
      <c r="E1122" s="6">
        <v>46101.291666666664</v>
      </c>
      <c r="F1122" s="6">
        <v>46101.329861111109</v>
      </c>
      <c r="G1122" s="6">
        <v>46101.388888888891</v>
      </c>
      <c r="H1122" s="6">
        <v>46101.611111111109</v>
      </c>
      <c r="I1122" s="6">
        <v>46101.635416666664</v>
      </c>
      <c r="J1122" s="6">
        <v>46101.645833333336</v>
      </c>
      <c r="K1122">
        <v>8.5</v>
      </c>
      <c r="L1122" s="6">
        <v>46101.652777777781</v>
      </c>
      <c r="M1122" s="7">
        <f>F1122-E1122</f>
        <v>3.8194444445252884E-2</v>
      </c>
      <c r="N1122">
        <f>HOUR(M1122)</f>
        <v>0</v>
      </c>
      <c r="O1122">
        <f>MINUTE(M1122)</f>
        <v>55</v>
      </c>
      <c r="P1122">
        <f>N1122*60+O1122</f>
        <v>55</v>
      </c>
      <c r="Q1122" s="7">
        <f>G1122-F1122</f>
        <v>5.9027777781011537E-2</v>
      </c>
      <c r="R1122">
        <f>HOUR(Q1122)</f>
        <v>1</v>
      </c>
      <c r="S1122">
        <f>MINUTE(Q1122)</f>
        <v>25</v>
      </c>
      <c r="T1122">
        <f>R1122*60+S1122</f>
        <v>85</v>
      </c>
      <c r="U1122" s="7">
        <f>H1122-G1122</f>
        <v>0.22222222221898846</v>
      </c>
      <c r="V1122">
        <f>HOUR(U1122)</f>
        <v>5</v>
      </c>
      <c r="W1122">
        <f>MINUTE(U1122)</f>
        <v>20</v>
      </c>
      <c r="X1122">
        <f>V1122*60+W1122</f>
        <v>320</v>
      </c>
      <c r="Y1122" s="7">
        <f>I1122-H1122</f>
        <v>2.4305555554747116E-2</v>
      </c>
      <c r="Z1122">
        <f>HOUR(Y1122)</f>
        <v>0</v>
      </c>
      <c r="AA1122">
        <f>MINUTE(Y1122)</f>
        <v>35</v>
      </c>
      <c r="AB1122">
        <f>Z1122*60+AA1122</f>
        <v>35</v>
      </c>
    </row>
    <row r="1123" spans="1:28" x14ac:dyDescent="0.25">
      <c r="A1123">
        <v>1121</v>
      </c>
      <c r="B1123" t="s">
        <v>31</v>
      </c>
      <c r="C1123">
        <v>1</v>
      </c>
      <c r="D1123" t="s">
        <v>36</v>
      </c>
      <c r="E1123" s="6">
        <v>46101.739583333336</v>
      </c>
      <c r="F1123" s="6">
        <v>46101.746527777781</v>
      </c>
      <c r="G1123" s="6">
        <v>46101.75</v>
      </c>
      <c r="H1123" s="6">
        <v>46101.850694444445</v>
      </c>
      <c r="I1123" s="6">
        <v>46101.857638888891</v>
      </c>
      <c r="J1123" s="6">
        <v>46101.885416666664</v>
      </c>
      <c r="K1123">
        <v>3.5</v>
      </c>
      <c r="L1123" s="6">
        <v>46101.892361111109</v>
      </c>
      <c r="M1123" s="7">
        <f>F1123-E1123</f>
        <v>6.9444444452528842E-3</v>
      </c>
      <c r="N1123">
        <f>HOUR(M1123)</f>
        <v>0</v>
      </c>
      <c r="O1123">
        <f>MINUTE(M1123)</f>
        <v>10</v>
      </c>
      <c r="P1123">
        <f>N1123*60+O1123</f>
        <v>10</v>
      </c>
      <c r="Q1123" s="7">
        <f>G1123-F1123</f>
        <v>3.4722222189884633E-3</v>
      </c>
      <c r="R1123">
        <f>HOUR(Q1123)</f>
        <v>0</v>
      </c>
      <c r="S1123">
        <f>MINUTE(Q1123)</f>
        <v>5</v>
      </c>
      <c r="T1123">
        <f>R1123*60+S1123</f>
        <v>5</v>
      </c>
      <c r="U1123" s="7">
        <f>H1123-G1123</f>
        <v>0.10069444444525288</v>
      </c>
      <c r="V1123">
        <f>HOUR(U1123)</f>
        <v>2</v>
      </c>
      <c r="W1123">
        <f>MINUTE(U1123)</f>
        <v>25</v>
      </c>
      <c r="X1123">
        <f>V1123*60+W1123</f>
        <v>145</v>
      </c>
      <c r="Y1123" s="7">
        <f>I1123-H1123</f>
        <v>6.9444444452528842E-3</v>
      </c>
      <c r="Z1123">
        <f>HOUR(Y1123)</f>
        <v>0</v>
      </c>
      <c r="AA1123">
        <f>MINUTE(Y1123)</f>
        <v>10</v>
      </c>
      <c r="AB1123">
        <f>Z1123*60+AA1123</f>
        <v>10</v>
      </c>
    </row>
    <row r="1124" spans="1:28" x14ac:dyDescent="0.25">
      <c r="A1124">
        <v>1122</v>
      </c>
      <c r="B1124" t="s">
        <v>31</v>
      </c>
      <c r="C1124">
        <v>1</v>
      </c>
      <c r="D1124" t="s">
        <v>35</v>
      </c>
      <c r="E1124" s="6">
        <v>46101.322916666664</v>
      </c>
      <c r="F1124" s="6">
        <v>46101.336805555555</v>
      </c>
      <c r="G1124" s="6">
        <v>46101.354166666664</v>
      </c>
      <c r="H1124" s="6">
        <v>46101.385416666664</v>
      </c>
      <c r="I1124" s="6">
        <v>46101.392361111109</v>
      </c>
      <c r="J1124" s="6">
        <v>46101.399305555555</v>
      </c>
      <c r="K1124">
        <v>1.83</v>
      </c>
      <c r="L1124" s="6">
        <v>46101.40625</v>
      </c>
      <c r="M1124" s="7">
        <f>F1124-E1124</f>
        <v>1.3888888890505768E-2</v>
      </c>
      <c r="N1124">
        <f>HOUR(M1124)</f>
        <v>0</v>
      </c>
      <c r="O1124">
        <f>MINUTE(M1124)</f>
        <v>20</v>
      </c>
      <c r="P1124">
        <f>N1124*60+O1124</f>
        <v>20</v>
      </c>
      <c r="Q1124" s="7">
        <f>G1124-F1124</f>
        <v>1.7361111109494232E-2</v>
      </c>
      <c r="R1124">
        <f>HOUR(Q1124)</f>
        <v>0</v>
      </c>
      <c r="S1124">
        <f>MINUTE(Q1124)</f>
        <v>25</v>
      </c>
      <c r="T1124">
        <f>R1124*60+S1124</f>
        <v>25</v>
      </c>
      <c r="U1124" s="7">
        <f>H1124-G1124</f>
        <v>3.125E-2</v>
      </c>
      <c r="V1124">
        <f>HOUR(U1124)</f>
        <v>0</v>
      </c>
      <c r="W1124">
        <f>MINUTE(U1124)</f>
        <v>45</v>
      </c>
      <c r="X1124">
        <f>V1124*60+W1124</f>
        <v>45</v>
      </c>
      <c r="Y1124" s="7">
        <f>I1124-H1124</f>
        <v>6.9444444452528842E-3</v>
      </c>
      <c r="Z1124">
        <f>HOUR(Y1124)</f>
        <v>0</v>
      </c>
      <c r="AA1124">
        <f>MINUTE(Y1124)</f>
        <v>10</v>
      </c>
      <c r="AB1124">
        <f>Z1124*60+AA1124</f>
        <v>10</v>
      </c>
    </row>
    <row r="1125" spans="1:28" x14ac:dyDescent="0.25">
      <c r="A1125">
        <v>1123</v>
      </c>
      <c r="B1125" t="s">
        <v>33</v>
      </c>
      <c r="C1125">
        <v>1</v>
      </c>
      <c r="D1125" t="s">
        <v>30</v>
      </c>
      <c r="E1125" s="6">
        <v>46100.715277777781</v>
      </c>
      <c r="F1125" s="6">
        <v>46100.725694444445</v>
      </c>
      <c r="G1125" s="6">
        <v>46100.73541666667</v>
      </c>
      <c r="H1125" s="6">
        <v>46100.757638888892</v>
      </c>
      <c r="I1125" s="6">
        <v>46100.762499999997</v>
      </c>
      <c r="J1125" s="6">
        <v>46100.767361111109</v>
      </c>
      <c r="K1125">
        <v>1.25</v>
      </c>
      <c r="L1125" s="6">
        <v>46100.773611111108</v>
      </c>
      <c r="M1125" s="7">
        <f>F1125-E1125</f>
        <v>1.0416666664241347E-2</v>
      </c>
      <c r="N1125">
        <f>HOUR(M1125)</f>
        <v>0</v>
      </c>
      <c r="O1125">
        <f>MINUTE(M1125)</f>
        <v>15</v>
      </c>
      <c r="P1125">
        <f>N1125*60+O1125</f>
        <v>15</v>
      </c>
      <c r="Q1125" s="7">
        <f>G1125-F1125</f>
        <v>9.7222222248092294E-3</v>
      </c>
      <c r="R1125">
        <f>HOUR(Q1125)</f>
        <v>0</v>
      </c>
      <c r="S1125">
        <f>MINUTE(Q1125)</f>
        <v>14</v>
      </c>
      <c r="T1125">
        <f>R1125*60+S1125</f>
        <v>14</v>
      </c>
      <c r="U1125" s="7">
        <f>H1125-G1125</f>
        <v>2.2222222221898846E-2</v>
      </c>
      <c r="V1125">
        <f>HOUR(U1125)</f>
        <v>0</v>
      </c>
      <c r="W1125">
        <f>MINUTE(U1125)</f>
        <v>32</v>
      </c>
      <c r="X1125">
        <f>V1125*60+W1125</f>
        <v>32</v>
      </c>
      <c r="Y1125" s="7">
        <f>I1125-H1125</f>
        <v>4.8611111051286571E-3</v>
      </c>
      <c r="Z1125">
        <f>HOUR(Y1125)</f>
        <v>0</v>
      </c>
      <c r="AA1125">
        <f>MINUTE(Y1125)</f>
        <v>7</v>
      </c>
      <c r="AB1125">
        <f>Z1125*60+AA1125</f>
        <v>7</v>
      </c>
    </row>
    <row r="1126" spans="1:28" x14ac:dyDescent="0.25">
      <c r="A1126">
        <v>1124</v>
      </c>
      <c r="B1126" t="s">
        <v>31</v>
      </c>
      <c r="C1126">
        <v>1</v>
      </c>
      <c r="D1126" t="s">
        <v>36</v>
      </c>
      <c r="E1126" s="6">
        <v>46101.288194444445</v>
      </c>
      <c r="F1126" s="6">
        <v>46101.3125</v>
      </c>
      <c r="G1126" s="6">
        <v>46101.354166666664</v>
      </c>
      <c r="H1126" s="6">
        <v>46101.458333333336</v>
      </c>
      <c r="I1126" s="6">
        <v>46101.479166666664</v>
      </c>
      <c r="J1126" s="6">
        <v>46101.489583333336</v>
      </c>
      <c r="K1126">
        <v>4.83</v>
      </c>
      <c r="L1126" s="6">
        <v>46101.496527777781</v>
      </c>
      <c r="M1126" s="7">
        <f>F1126-E1126</f>
        <v>2.4305555554747116E-2</v>
      </c>
      <c r="N1126">
        <f>HOUR(M1126)</f>
        <v>0</v>
      </c>
      <c r="O1126">
        <f>MINUTE(M1126)</f>
        <v>35</v>
      </c>
      <c r="P1126">
        <f>N1126*60+O1126</f>
        <v>35</v>
      </c>
      <c r="Q1126" s="7">
        <f>G1126-F1126</f>
        <v>4.1666666664241347E-2</v>
      </c>
      <c r="R1126">
        <f>HOUR(Q1126)</f>
        <v>1</v>
      </c>
      <c r="S1126">
        <f>MINUTE(Q1126)</f>
        <v>0</v>
      </c>
      <c r="T1126">
        <f>R1126*60+S1126</f>
        <v>60</v>
      </c>
      <c r="U1126" s="7">
        <f>H1126-G1126</f>
        <v>0.10416666667151731</v>
      </c>
      <c r="V1126">
        <f>HOUR(U1126)</f>
        <v>2</v>
      </c>
      <c r="W1126">
        <f>MINUTE(U1126)</f>
        <v>30</v>
      </c>
      <c r="X1126">
        <f>V1126*60+W1126</f>
        <v>150</v>
      </c>
      <c r="Y1126" s="7">
        <f>I1126-H1126</f>
        <v>2.0833333328482695E-2</v>
      </c>
      <c r="Z1126">
        <f>HOUR(Y1126)</f>
        <v>0</v>
      </c>
      <c r="AA1126">
        <f>MINUTE(Y1126)</f>
        <v>30</v>
      </c>
      <c r="AB1126">
        <f>Z1126*60+AA1126</f>
        <v>30</v>
      </c>
    </row>
    <row r="1127" spans="1:28" x14ac:dyDescent="0.25">
      <c r="A1127">
        <v>1125</v>
      </c>
      <c r="B1127" t="s">
        <v>31</v>
      </c>
      <c r="C1127">
        <v>1</v>
      </c>
      <c r="D1127" t="s">
        <v>34</v>
      </c>
      <c r="E1127" s="6">
        <v>46100.597222222219</v>
      </c>
      <c r="F1127" s="6">
        <v>46100.607638888891</v>
      </c>
      <c r="G1127" s="6">
        <v>46100.625</v>
      </c>
      <c r="H1127" s="6">
        <v>46100.75</v>
      </c>
      <c r="I1127" s="6">
        <v>46100.756944444445</v>
      </c>
      <c r="J1127" s="6">
        <v>46100.833333333336</v>
      </c>
      <c r="K1127">
        <v>5.67</v>
      </c>
      <c r="L1127" s="6">
        <v>46100.840277777781</v>
      </c>
      <c r="M1127" s="7">
        <f>F1127-E1127</f>
        <v>1.0416666671517305E-2</v>
      </c>
      <c r="N1127">
        <f>HOUR(M1127)</f>
        <v>0</v>
      </c>
      <c r="O1127">
        <f>MINUTE(M1127)</f>
        <v>15</v>
      </c>
      <c r="P1127">
        <f>N1127*60+O1127</f>
        <v>15</v>
      </c>
      <c r="Q1127" s="7">
        <f>G1127-F1127</f>
        <v>1.7361111109494232E-2</v>
      </c>
      <c r="R1127">
        <f>HOUR(Q1127)</f>
        <v>0</v>
      </c>
      <c r="S1127">
        <f>MINUTE(Q1127)</f>
        <v>25</v>
      </c>
      <c r="T1127">
        <f>R1127*60+S1127</f>
        <v>25</v>
      </c>
      <c r="U1127" s="7">
        <f>H1127-G1127</f>
        <v>0.125</v>
      </c>
      <c r="V1127">
        <f>HOUR(U1127)</f>
        <v>3</v>
      </c>
      <c r="W1127">
        <f>MINUTE(U1127)</f>
        <v>0</v>
      </c>
      <c r="X1127">
        <f>V1127*60+W1127</f>
        <v>180</v>
      </c>
      <c r="Y1127" s="7">
        <f>I1127-H1127</f>
        <v>6.9444444452528842E-3</v>
      </c>
      <c r="Z1127">
        <f>HOUR(Y1127)</f>
        <v>0</v>
      </c>
      <c r="AA1127">
        <f>MINUTE(Y1127)</f>
        <v>10</v>
      </c>
      <c r="AB1127">
        <f>Z1127*60+AA1127</f>
        <v>10</v>
      </c>
    </row>
    <row r="1128" spans="1:28" x14ac:dyDescent="0.25">
      <c r="A1128">
        <v>1126</v>
      </c>
      <c r="B1128" t="s">
        <v>33</v>
      </c>
      <c r="C1128">
        <v>1</v>
      </c>
      <c r="D1128" t="s">
        <v>34</v>
      </c>
      <c r="E1128" s="6">
        <v>46101.493055555555</v>
      </c>
      <c r="F1128" s="6">
        <v>46101.5</v>
      </c>
      <c r="G1128" s="6">
        <v>46101.506944444445</v>
      </c>
      <c r="H1128" s="6">
        <v>46101.604166666664</v>
      </c>
      <c r="I1128" s="6">
        <v>46101.611111111109</v>
      </c>
      <c r="J1128" s="6">
        <v>46101.612500000003</v>
      </c>
      <c r="K1128">
        <v>2.87</v>
      </c>
      <c r="L1128" s="6">
        <v>46101.619444444441</v>
      </c>
      <c r="M1128" s="7">
        <f>F1128-E1128</f>
        <v>6.9444444452528842E-3</v>
      </c>
      <c r="N1128">
        <f>HOUR(M1128)</f>
        <v>0</v>
      </c>
      <c r="O1128">
        <f>MINUTE(M1128)</f>
        <v>10</v>
      </c>
      <c r="P1128">
        <f>N1128*60+O1128</f>
        <v>10</v>
      </c>
      <c r="Q1128" s="7">
        <f>G1128-F1128</f>
        <v>6.9444444452528842E-3</v>
      </c>
      <c r="R1128">
        <f>HOUR(Q1128)</f>
        <v>0</v>
      </c>
      <c r="S1128">
        <f>MINUTE(Q1128)</f>
        <v>10</v>
      </c>
      <c r="T1128">
        <f>R1128*60+S1128</f>
        <v>10</v>
      </c>
      <c r="U1128" s="7">
        <f>H1128-G1128</f>
        <v>9.7222222218988463E-2</v>
      </c>
      <c r="V1128">
        <f>HOUR(U1128)</f>
        <v>2</v>
      </c>
      <c r="W1128">
        <f>MINUTE(U1128)</f>
        <v>20</v>
      </c>
      <c r="X1128">
        <f>V1128*60+W1128</f>
        <v>140</v>
      </c>
      <c r="Y1128" s="7">
        <f>I1128-H1128</f>
        <v>6.9444444452528842E-3</v>
      </c>
      <c r="Z1128">
        <f>HOUR(Y1128)</f>
        <v>0</v>
      </c>
      <c r="AA1128">
        <f>MINUTE(Y1128)</f>
        <v>10</v>
      </c>
      <c r="AB1128">
        <f>Z1128*60+AA1128</f>
        <v>10</v>
      </c>
    </row>
    <row r="1129" spans="1:28" x14ac:dyDescent="0.25">
      <c r="A1129">
        <v>1127</v>
      </c>
      <c r="B1129" t="s">
        <v>31</v>
      </c>
      <c r="C1129">
        <v>1</v>
      </c>
      <c r="D1129" t="s">
        <v>37</v>
      </c>
      <c r="E1129" s="6">
        <v>46101.694444444445</v>
      </c>
      <c r="F1129" s="6">
        <v>46101.708333333336</v>
      </c>
      <c r="G1129" s="6">
        <v>46101.729166666664</v>
      </c>
      <c r="H1129" s="6">
        <v>46101.788194444445</v>
      </c>
      <c r="I1129" s="6">
        <v>46101.819444444445</v>
      </c>
      <c r="J1129" s="6">
        <v>46101.861111111109</v>
      </c>
      <c r="K1129">
        <v>4</v>
      </c>
      <c r="L1129" s="6">
        <v>46101.862500000003</v>
      </c>
      <c r="M1129" s="7">
        <f>F1129-E1129</f>
        <v>1.3888888890505768E-2</v>
      </c>
      <c r="N1129">
        <f>HOUR(M1129)</f>
        <v>0</v>
      </c>
      <c r="O1129">
        <f>MINUTE(M1129)</f>
        <v>20</v>
      </c>
      <c r="P1129">
        <f>N1129*60+O1129</f>
        <v>20</v>
      </c>
      <c r="Q1129" s="7">
        <f>G1129-F1129</f>
        <v>2.0833333328482695E-2</v>
      </c>
      <c r="R1129">
        <f>HOUR(Q1129)</f>
        <v>0</v>
      </c>
      <c r="S1129">
        <f>MINUTE(Q1129)</f>
        <v>30</v>
      </c>
      <c r="T1129">
        <f>R1129*60+S1129</f>
        <v>30</v>
      </c>
      <c r="U1129" s="7">
        <f>H1129-G1129</f>
        <v>5.9027777781011537E-2</v>
      </c>
      <c r="V1129">
        <f>HOUR(U1129)</f>
        <v>1</v>
      </c>
      <c r="W1129">
        <f>MINUTE(U1129)</f>
        <v>25</v>
      </c>
      <c r="X1129">
        <f>V1129*60+W1129</f>
        <v>85</v>
      </c>
      <c r="Y1129" s="7">
        <f>I1129-H1129</f>
        <v>3.125E-2</v>
      </c>
      <c r="Z1129">
        <f>HOUR(Y1129)</f>
        <v>0</v>
      </c>
      <c r="AA1129">
        <f>MINUTE(Y1129)</f>
        <v>45</v>
      </c>
      <c r="AB1129">
        <f>Z1129*60+AA1129</f>
        <v>45</v>
      </c>
    </row>
    <row r="1130" spans="1:28" x14ac:dyDescent="0.25">
      <c r="A1130">
        <v>1128</v>
      </c>
      <c r="B1130" t="s">
        <v>31</v>
      </c>
      <c r="C1130">
        <v>1</v>
      </c>
      <c r="D1130" t="s">
        <v>30</v>
      </c>
      <c r="E1130" s="6">
        <v>46100.65625</v>
      </c>
      <c r="F1130" s="6">
        <v>46100.666666666664</v>
      </c>
      <c r="G1130" s="6">
        <v>46100.677083333336</v>
      </c>
      <c r="H1130" s="6">
        <v>46100.760416666664</v>
      </c>
      <c r="I1130" s="6">
        <v>46100.767361111109</v>
      </c>
      <c r="J1130" s="6">
        <v>46100.770833333336</v>
      </c>
      <c r="K1130">
        <v>2.75</v>
      </c>
      <c r="L1130" s="6">
        <v>46100.772222222222</v>
      </c>
      <c r="M1130" s="7">
        <f>F1130-E1130</f>
        <v>1.0416666664241347E-2</v>
      </c>
      <c r="N1130">
        <f>HOUR(M1130)</f>
        <v>0</v>
      </c>
      <c r="O1130">
        <f>MINUTE(M1130)</f>
        <v>15</v>
      </c>
      <c r="P1130">
        <f>N1130*60+O1130</f>
        <v>15</v>
      </c>
      <c r="Q1130" s="7">
        <f>G1130-F1130</f>
        <v>1.0416666671517305E-2</v>
      </c>
      <c r="R1130">
        <f>HOUR(Q1130)</f>
        <v>0</v>
      </c>
      <c r="S1130">
        <f>MINUTE(Q1130)</f>
        <v>15</v>
      </c>
      <c r="T1130">
        <f>R1130*60+S1130</f>
        <v>15</v>
      </c>
      <c r="U1130" s="7">
        <f>H1130-G1130</f>
        <v>8.3333333328482695E-2</v>
      </c>
      <c r="V1130">
        <f>HOUR(U1130)</f>
        <v>2</v>
      </c>
      <c r="W1130">
        <f>MINUTE(U1130)</f>
        <v>0</v>
      </c>
      <c r="X1130">
        <f>V1130*60+W1130</f>
        <v>120</v>
      </c>
      <c r="Y1130" s="7">
        <f>I1130-H1130</f>
        <v>6.9444444452528842E-3</v>
      </c>
      <c r="Z1130">
        <f>HOUR(Y1130)</f>
        <v>0</v>
      </c>
      <c r="AA1130">
        <f>MINUTE(Y1130)</f>
        <v>10</v>
      </c>
      <c r="AB1130">
        <f>Z1130*60+AA1130</f>
        <v>10</v>
      </c>
    </row>
    <row r="1131" spans="1:28" x14ac:dyDescent="0.25">
      <c r="A1131">
        <v>1129</v>
      </c>
      <c r="B1131" t="s">
        <v>33</v>
      </c>
      <c r="C1131">
        <v>1</v>
      </c>
      <c r="D1131" t="s">
        <v>34</v>
      </c>
      <c r="E1131" s="6">
        <v>46101.649305555555</v>
      </c>
      <c r="F1131" s="6">
        <v>46101.663194444445</v>
      </c>
      <c r="G1131" s="6">
        <v>46101.694444444445</v>
      </c>
      <c r="H1131" s="6">
        <v>46101.802083333336</v>
      </c>
      <c r="I1131" s="6">
        <v>46101.820833333331</v>
      </c>
      <c r="J1131" s="6">
        <v>46101.821527777778</v>
      </c>
      <c r="K1131">
        <v>4.13</v>
      </c>
      <c r="L1131" s="6">
        <v>46101.822222222225</v>
      </c>
      <c r="M1131" s="7">
        <f>F1131-E1131</f>
        <v>1.3888888890505768E-2</v>
      </c>
      <c r="N1131">
        <f>HOUR(M1131)</f>
        <v>0</v>
      </c>
      <c r="O1131">
        <f>MINUTE(M1131)</f>
        <v>20</v>
      </c>
      <c r="P1131">
        <f>N1131*60+O1131</f>
        <v>20</v>
      </c>
      <c r="Q1131" s="7">
        <f>G1131-F1131</f>
        <v>3.125E-2</v>
      </c>
      <c r="R1131">
        <f>HOUR(Q1131)</f>
        <v>0</v>
      </c>
      <c r="S1131">
        <f>MINUTE(Q1131)</f>
        <v>45</v>
      </c>
      <c r="T1131">
        <f>R1131*60+S1131</f>
        <v>45</v>
      </c>
      <c r="U1131" s="7">
        <f>H1131-G1131</f>
        <v>0.10763888889050577</v>
      </c>
      <c r="V1131">
        <f>HOUR(U1131)</f>
        <v>2</v>
      </c>
      <c r="W1131">
        <f>MINUTE(U1131)</f>
        <v>35</v>
      </c>
      <c r="X1131">
        <f>V1131*60+W1131</f>
        <v>155</v>
      </c>
      <c r="Y1131" s="7">
        <f>I1131-H1131</f>
        <v>1.8749999995634425E-2</v>
      </c>
      <c r="Z1131">
        <f>HOUR(Y1131)</f>
        <v>0</v>
      </c>
      <c r="AA1131">
        <f>MINUTE(Y1131)</f>
        <v>27</v>
      </c>
      <c r="AB1131">
        <f>Z1131*60+AA1131</f>
        <v>27</v>
      </c>
    </row>
    <row r="1132" spans="1:28" x14ac:dyDescent="0.25">
      <c r="A1132">
        <v>1130</v>
      </c>
      <c r="B1132" t="s">
        <v>33</v>
      </c>
      <c r="C1132">
        <v>1</v>
      </c>
      <c r="D1132" t="s">
        <v>30</v>
      </c>
      <c r="E1132" s="6">
        <v>46102.512499999997</v>
      </c>
      <c r="F1132" s="6">
        <v>46102.513888888891</v>
      </c>
      <c r="G1132" s="6">
        <v>46102.524305555555</v>
      </c>
      <c r="H1132" s="6">
        <v>46102.552083333336</v>
      </c>
      <c r="I1132" s="6">
        <v>46102.5625</v>
      </c>
      <c r="J1132" s="6">
        <v>46102.565972222219</v>
      </c>
      <c r="K1132">
        <v>1.28</v>
      </c>
      <c r="L1132" s="6">
        <v>46102.572916666664</v>
      </c>
      <c r="M1132" s="7">
        <f>F1132-E1132</f>
        <v>1.3888888934161514E-3</v>
      </c>
      <c r="N1132">
        <f>HOUR(M1132)</f>
        <v>0</v>
      </c>
      <c r="O1132">
        <f>MINUTE(M1132)</f>
        <v>2</v>
      </c>
      <c r="P1132">
        <f>N1132*60+O1132</f>
        <v>2</v>
      </c>
      <c r="Q1132" s="7">
        <f>G1132-F1132</f>
        <v>1.0416666664241347E-2</v>
      </c>
      <c r="R1132">
        <f>HOUR(Q1132)</f>
        <v>0</v>
      </c>
      <c r="S1132">
        <f>MINUTE(Q1132)</f>
        <v>15</v>
      </c>
      <c r="T1132">
        <f>R1132*60+S1132</f>
        <v>15</v>
      </c>
      <c r="U1132" s="7">
        <f>H1132-G1132</f>
        <v>2.7777777781011537E-2</v>
      </c>
      <c r="V1132">
        <f>HOUR(U1132)</f>
        <v>0</v>
      </c>
      <c r="W1132">
        <f>MINUTE(U1132)</f>
        <v>40</v>
      </c>
      <c r="X1132">
        <f>V1132*60+W1132</f>
        <v>40</v>
      </c>
      <c r="Y1132" s="7">
        <f>I1132-H1132</f>
        <v>1.0416666664241347E-2</v>
      </c>
      <c r="Z1132">
        <f>HOUR(Y1132)</f>
        <v>0</v>
      </c>
      <c r="AA1132">
        <f>MINUTE(Y1132)</f>
        <v>15</v>
      </c>
      <c r="AB1132">
        <f>Z1132*60+AA1132</f>
        <v>15</v>
      </c>
    </row>
    <row r="1133" spans="1:28" x14ac:dyDescent="0.25">
      <c r="A1133">
        <v>1131</v>
      </c>
      <c r="B1133" t="s">
        <v>31</v>
      </c>
      <c r="C1133">
        <v>1</v>
      </c>
      <c r="D1133" t="s">
        <v>32</v>
      </c>
      <c r="E1133" s="6">
        <v>46101.5625</v>
      </c>
      <c r="F1133" s="6">
        <v>46101.572916666664</v>
      </c>
      <c r="G1133" s="6">
        <v>46101.597222222219</v>
      </c>
      <c r="H1133" s="6">
        <v>46101.634027777778</v>
      </c>
      <c r="I1133" s="6">
        <v>46101.652777777781</v>
      </c>
      <c r="J1133" s="6">
        <v>46101.65625</v>
      </c>
      <c r="K1133">
        <v>2.25</v>
      </c>
      <c r="L1133" s="6">
        <v>46101.663194444445</v>
      </c>
      <c r="M1133" s="7">
        <f>F1133-E1133</f>
        <v>1.0416666664241347E-2</v>
      </c>
      <c r="N1133">
        <f>HOUR(M1133)</f>
        <v>0</v>
      </c>
      <c r="O1133">
        <f>MINUTE(M1133)</f>
        <v>15</v>
      </c>
      <c r="P1133">
        <f>N1133*60+O1133</f>
        <v>15</v>
      </c>
      <c r="Q1133" s="7">
        <f>G1133-F1133</f>
        <v>2.4305555554747116E-2</v>
      </c>
      <c r="R1133">
        <f>HOUR(Q1133)</f>
        <v>0</v>
      </c>
      <c r="S1133">
        <f>MINUTE(Q1133)</f>
        <v>35</v>
      </c>
      <c r="T1133">
        <f>R1133*60+S1133</f>
        <v>35</v>
      </c>
      <c r="U1133" s="7">
        <f>H1133-G1133</f>
        <v>3.680555555911269E-2</v>
      </c>
      <c r="V1133">
        <f>HOUR(U1133)</f>
        <v>0</v>
      </c>
      <c r="W1133">
        <f>MINUTE(U1133)</f>
        <v>53</v>
      </c>
      <c r="X1133">
        <f>V1133*60+W1133</f>
        <v>53</v>
      </c>
      <c r="Y1133" s="7">
        <f>I1133-H1133</f>
        <v>1.8750000002910383E-2</v>
      </c>
      <c r="Z1133">
        <f>HOUR(Y1133)</f>
        <v>0</v>
      </c>
      <c r="AA1133">
        <f>MINUTE(Y1133)</f>
        <v>27</v>
      </c>
      <c r="AB1133">
        <f>Z1133*60+AA1133</f>
        <v>27</v>
      </c>
    </row>
    <row r="1134" spans="1:28" x14ac:dyDescent="0.25">
      <c r="A1134">
        <v>1132</v>
      </c>
      <c r="B1134" t="s">
        <v>31</v>
      </c>
      <c r="C1134">
        <v>1</v>
      </c>
      <c r="D1134" t="s">
        <v>35</v>
      </c>
      <c r="E1134" s="6">
        <v>46101.4375</v>
      </c>
      <c r="F1134" s="6">
        <v>46101.444444444445</v>
      </c>
      <c r="G1134" s="6">
        <v>46101.458333333336</v>
      </c>
      <c r="H1134" s="6">
        <v>46101.618055555555</v>
      </c>
      <c r="I1134" s="6">
        <v>46101.625</v>
      </c>
      <c r="J1134" s="6">
        <v>46101.638888888891</v>
      </c>
      <c r="K1134">
        <v>4.83</v>
      </c>
      <c r="L1134" s="6">
        <v>46101.645833333336</v>
      </c>
      <c r="M1134" s="7">
        <f>F1134-E1134</f>
        <v>6.9444444452528842E-3</v>
      </c>
      <c r="N1134">
        <f>HOUR(M1134)</f>
        <v>0</v>
      </c>
      <c r="O1134">
        <f>MINUTE(M1134)</f>
        <v>10</v>
      </c>
      <c r="P1134">
        <f>N1134*60+O1134</f>
        <v>10</v>
      </c>
      <c r="Q1134" s="7">
        <f>G1134-F1134</f>
        <v>1.3888888890505768E-2</v>
      </c>
      <c r="R1134">
        <f>HOUR(Q1134)</f>
        <v>0</v>
      </c>
      <c r="S1134">
        <f>MINUTE(Q1134)</f>
        <v>20</v>
      </c>
      <c r="T1134">
        <f>R1134*60+S1134</f>
        <v>20</v>
      </c>
      <c r="U1134" s="7">
        <f>H1134-G1134</f>
        <v>0.15972222221898846</v>
      </c>
      <c r="V1134">
        <f>HOUR(U1134)</f>
        <v>3</v>
      </c>
      <c r="W1134">
        <f>MINUTE(U1134)</f>
        <v>50</v>
      </c>
      <c r="X1134">
        <f>V1134*60+W1134</f>
        <v>230</v>
      </c>
      <c r="Y1134" s="7">
        <f>I1134-H1134</f>
        <v>6.9444444452528842E-3</v>
      </c>
      <c r="Z1134">
        <f>HOUR(Y1134)</f>
        <v>0</v>
      </c>
      <c r="AA1134">
        <f>MINUTE(Y1134)</f>
        <v>10</v>
      </c>
      <c r="AB1134">
        <f>Z1134*60+AA1134</f>
        <v>10</v>
      </c>
    </row>
    <row r="1135" spans="1:28" x14ac:dyDescent="0.25">
      <c r="A1135">
        <v>1133</v>
      </c>
      <c r="B1135" t="s">
        <v>33</v>
      </c>
      <c r="C1135">
        <v>1</v>
      </c>
      <c r="D1135" t="s">
        <v>36</v>
      </c>
      <c r="E1135" s="6">
        <v>46101.538194444445</v>
      </c>
      <c r="F1135" s="6">
        <v>46101.548611111109</v>
      </c>
      <c r="G1135" s="6">
        <v>46101.604166666664</v>
      </c>
      <c r="H1135" s="6">
        <v>46101.715277777781</v>
      </c>
      <c r="I1135" s="6">
        <v>46101.729166666664</v>
      </c>
      <c r="J1135" s="6">
        <v>46101.756944444445</v>
      </c>
      <c r="K1135">
        <v>5.25</v>
      </c>
      <c r="L1135" s="6">
        <v>46101.760416666664</v>
      </c>
      <c r="M1135" s="7">
        <f>F1135-E1135</f>
        <v>1.0416666664241347E-2</v>
      </c>
      <c r="N1135">
        <f>HOUR(M1135)</f>
        <v>0</v>
      </c>
      <c r="O1135">
        <f>MINUTE(M1135)</f>
        <v>15</v>
      </c>
      <c r="P1135">
        <f>N1135*60+O1135</f>
        <v>15</v>
      </c>
      <c r="Q1135" s="7">
        <f>G1135-F1135</f>
        <v>5.5555555554747116E-2</v>
      </c>
      <c r="R1135">
        <f>HOUR(Q1135)</f>
        <v>1</v>
      </c>
      <c r="S1135">
        <f>MINUTE(Q1135)</f>
        <v>20</v>
      </c>
      <c r="T1135">
        <f>R1135*60+S1135</f>
        <v>80</v>
      </c>
      <c r="U1135" s="7">
        <f>H1135-G1135</f>
        <v>0.11111111111677019</v>
      </c>
      <c r="V1135">
        <f>HOUR(U1135)</f>
        <v>2</v>
      </c>
      <c r="W1135">
        <f>MINUTE(U1135)</f>
        <v>40</v>
      </c>
      <c r="X1135">
        <f>V1135*60+W1135</f>
        <v>160</v>
      </c>
      <c r="Y1135" s="7">
        <f>I1135-H1135</f>
        <v>1.3888888883229811E-2</v>
      </c>
      <c r="Z1135">
        <f>HOUR(Y1135)</f>
        <v>0</v>
      </c>
      <c r="AA1135">
        <f>MINUTE(Y1135)</f>
        <v>20</v>
      </c>
      <c r="AB1135">
        <f>Z1135*60+AA1135</f>
        <v>20</v>
      </c>
    </row>
    <row r="1136" spans="1:28" x14ac:dyDescent="0.25">
      <c r="A1136">
        <v>1134</v>
      </c>
      <c r="B1136" t="s">
        <v>29</v>
      </c>
      <c r="C1136">
        <v>1</v>
      </c>
      <c r="D1136" t="s">
        <v>35</v>
      </c>
      <c r="E1136" s="6">
        <v>46104.291666666664</v>
      </c>
      <c r="F1136" s="6">
        <v>46104.315972222219</v>
      </c>
      <c r="G1136" s="6">
        <v>46104.347222222219</v>
      </c>
      <c r="H1136" s="6">
        <v>46104.4375</v>
      </c>
      <c r="I1136" s="6">
        <v>46104.444444444445</v>
      </c>
      <c r="J1136" s="6">
        <v>46104.447916666664</v>
      </c>
      <c r="K1136">
        <v>3.75</v>
      </c>
      <c r="L1136" s="6">
        <v>46104.454861111109</v>
      </c>
      <c r="M1136" s="7">
        <f>F1136-E1136</f>
        <v>2.4305555554747116E-2</v>
      </c>
      <c r="N1136">
        <f>HOUR(M1136)</f>
        <v>0</v>
      </c>
      <c r="O1136">
        <f>MINUTE(M1136)</f>
        <v>35</v>
      </c>
      <c r="P1136">
        <f>N1136*60+O1136</f>
        <v>35</v>
      </c>
      <c r="Q1136" s="7">
        <f>G1136-F1136</f>
        <v>3.125E-2</v>
      </c>
      <c r="R1136">
        <f>HOUR(Q1136)</f>
        <v>0</v>
      </c>
      <c r="S1136">
        <f>MINUTE(Q1136)</f>
        <v>45</v>
      </c>
      <c r="T1136">
        <f>R1136*60+S1136</f>
        <v>45</v>
      </c>
      <c r="U1136" s="7">
        <f>H1136-G1136</f>
        <v>9.0277777781011537E-2</v>
      </c>
      <c r="V1136">
        <f>HOUR(U1136)</f>
        <v>2</v>
      </c>
      <c r="W1136">
        <f>MINUTE(U1136)</f>
        <v>10</v>
      </c>
      <c r="X1136">
        <f>V1136*60+W1136</f>
        <v>130</v>
      </c>
      <c r="Y1136" s="7">
        <f>I1136-H1136</f>
        <v>6.9444444452528842E-3</v>
      </c>
      <c r="Z1136">
        <f>HOUR(Y1136)</f>
        <v>0</v>
      </c>
      <c r="AA1136">
        <f>MINUTE(Y1136)</f>
        <v>10</v>
      </c>
      <c r="AB1136">
        <f>Z1136*60+AA1136</f>
        <v>10</v>
      </c>
    </row>
    <row r="1137" spans="1:28" x14ac:dyDescent="0.25">
      <c r="A1137">
        <v>1135</v>
      </c>
      <c r="B1137" t="s">
        <v>29</v>
      </c>
      <c r="C1137">
        <v>1</v>
      </c>
      <c r="D1137" t="s">
        <v>36</v>
      </c>
      <c r="E1137" s="6">
        <v>46104.463194444441</v>
      </c>
      <c r="F1137" s="6">
        <v>46104.479166666664</v>
      </c>
      <c r="G1137" s="6">
        <v>46104.534722222219</v>
      </c>
      <c r="H1137" s="6">
        <v>46104.552083333336</v>
      </c>
      <c r="I1137" s="6">
        <v>46104.559027777781</v>
      </c>
      <c r="J1137" s="6">
        <v>46104.5625</v>
      </c>
      <c r="K1137">
        <v>2.38</v>
      </c>
      <c r="L1137" s="6">
        <v>46104.569444444445</v>
      </c>
      <c r="M1137" s="7">
        <f>F1137-E1137</f>
        <v>1.5972222223354038E-2</v>
      </c>
      <c r="N1137">
        <f>HOUR(M1137)</f>
        <v>0</v>
      </c>
      <c r="O1137">
        <f>MINUTE(M1137)</f>
        <v>23</v>
      </c>
      <c r="P1137">
        <f>N1137*60+O1137</f>
        <v>23</v>
      </c>
      <c r="Q1137" s="7">
        <f>G1137-F1137</f>
        <v>5.5555555554747116E-2</v>
      </c>
      <c r="R1137">
        <f>HOUR(Q1137)</f>
        <v>1</v>
      </c>
      <c r="S1137">
        <f>MINUTE(Q1137)</f>
        <v>20</v>
      </c>
      <c r="T1137">
        <f>R1137*60+S1137</f>
        <v>80</v>
      </c>
      <c r="U1137" s="7">
        <f>H1137-G1137</f>
        <v>1.7361111116770189E-2</v>
      </c>
      <c r="V1137">
        <f>HOUR(U1137)</f>
        <v>0</v>
      </c>
      <c r="W1137">
        <f>MINUTE(U1137)</f>
        <v>25</v>
      </c>
      <c r="X1137">
        <f>V1137*60+W1137</f>
        <v>25</v>
      </c>
      <c r="Y1137" s="7">
        <f>I1137-H1137</f>
        <v>6.9444444452528842E-3</v>
      </c>
      <c r="Z1137">
        <f>HOUR(Y1137)</f>
        <v>0</v>
      </c>
      <c r="AA1137">
        <f>MINUTE(Y1137)</f>
        <v>10</v>
      </c>
      <c r="AB1137">
        <f>Z1137*60+AA1137</f>
        <v>10</v>
      </c>
    </row>
    <row r="1138" spans="1:28" x14ac:dyDescent="0.25">
      <c r="A1138">
        <v>1136</v>
      </c>
      <c r="B1138" t="s">
        <v>29</v>
      </c>
      <c r="C1138">
        <v>1</v>
      </c>
      <c r="D1138" t="s">
        <v>32</v>
      </c>
      <c r="E1138" s="6">
        <v>46104.638888888891</v>
      </c>
      <c r="F1138" s="6">
        <v>46104.645833333336</v>
      </c>
      <c r="G1138" s="6">
        <v>46104.680555555555</v>
      </c>
      <c r="H1138" s="6">
        <v>46104.723611111112</v>
      </c>
      <c r="I1138" s="6">
        <v>46104.730555555558</v>
      </c>
      <c r="J1138" s="6">
        <v>46104.732638888891</v>
      </c>
      <c r="K1138">
        <v>2.25</v>
      </c>
      <c r="L1138" s="6">
        <v>46104.739583333336</v>
      </c>
      <c r="M1138" s="7">
        <f>F1138-E1138</f>
        <v>6.9444444452528842E-3</v>
      </c>
      <c r="N1138">
        <f>HOUR(M1138)</f>
        <v>0</v>
      </c>
      <c r="O1138">
        <f>MINUTE(M1138)</f>
        <v>10</v>
      </c>
      <c r="P1138">
        <f>N1138*60+O1138</f>
        <v>10</v>
      </c>
      <c r="Q1138" s="7">
        <f>G1138-F1138</f>
        <v>3.4722222218988463E-2</v>
      </c>
      <c r="R1138">
        <f>HOUR(Q1138)</f>
        <v>0</v>
      </c>
      <c r="S1138">
        <f>MINUTE(Q1138)</f>
        <v>50</v>
      </c>
      <c r="T1138">
        <f>R1138*60+S1138</f>
        <v>50</v>
      </c>
      <c r="U1138" s="7">
        <f>H1138-G1138</f>
        <v>4.3055555557657499E-2</v>
      </c>
      <c r="V1138">
        <f>HOUR(U1138)</f>
        <v>1</v>
      </c>
      <c r="W1138">
        <f>MINUTE(U1138)</f>
        <v>2</v>
      </c>
      <c r="X1138">
        <f>V1138*60+W1138</f>
        <v>62</v>
      </c>
      <c r="Y1138" s="7">
        <f>I1138-H1138</f>
        <v>6.9444444452528842E-3</v>
      </c>
      <c r="Z1138">
        <f>HOUR(Y1138)</f>
        <v>0</v>
      </c>
      <c r="AA1138">
        <f>MINUTE(Y1138)</f>
        <v>10</v>
      </c>
      <c r="AB1138">
        <f>Z1138*60+AA1138</f>
        <v>10</v>
      </c>
    </row>
    <row r="1139" spans="1:28" x14ac:dyDescent="0.25">
      <c r="A1139">
        <v>1137</v>
      </c>
      <c r="B1139" t="s">
        <v>29</v>
      </c>
      <c r="C1139">
        <v>1</v>
      </c>
      <c r="D1139" t="s">
        <v>30</v>
      </c>
      <c r="E1139" s="6">
        <v>46102.347222222219</v>
      </c>
      <c r="F1139" s="6">
        <v>46102.357638888891</v>
      </c>
      <c r="G1139" s="6">
        <v>46102.363194444442</v>
      </c>
      <c r="H1139" s="6">
        <v>46102.39166666667</v>
      </c>
      <c r="I1139" s="6">
        <v>46102.398611111108</v>
      </c>
      <c r="J1139" s="6">
        <v>46102.402777777781</v>
      </c>
      <c r="K1139">
        <v>1.33</v>
      </c>
      <c r="L1139" s="6">
        <v>46102.409722222219</v>
      </c>
      <c r="M1139" s="7">
        <f>F1139-E1139</f>
        <v>1.0416666671517305E-2</v>
      </c>
      <c r="N1139">
        <f>HOUR(M1139)</f>
        <v>0</v>
      </c>
      <c r="O1139">
        <f>MINUTE(M1139)</f>
        <v>15</v>
      </c>
      <c r="P1139">
        <f>N1139*60+O1139</f>
        <v>15</v>
      </c>
      <c r="Q1139" s="7">
        <f>G1139-F1139</f>
        <v>5.5555555518367328E-3</v>
      </c>
      <c r="R1139">
        <f>HOUR(Q1139)</f>
        <v>0</v>
      </c>
      <c r="S1139">
        <f>MINUTE(Q1139)</f>
        <v>8</v>
      </c>
      <c r="T1139">
        <f>R1139*60+S1139</f>
        <v>8</v>
      </c>
      <c r="U1139" s="7">
        <f>H1139-G1139</f>
        <v>2.8472222227719612E-2</v>
      </c>
      <c r="V1139">
        <f>HOUR(U1139)</f>
        <v>0</v>
      </c>
      <c r="W1139">
        <f>MINUTE(U1139)</f>
        <v>41</v>
      </c>
      <c r="X1139">
        <f>V1139*60+W1139</f>
        <v>41</v>
      </c>
      <c r="Y1139" s="7">
        <f>I1139-H1139</f>
        <v>6.9444444379769266E-3</v>
      </c>
      <c r="Z1139">
        <f>HOUR(Y1139)</f>
        <v>0</v>
      </c>
      <c r="AA1139">
        <f>MINUTE(Y1139)</f>
        <v>10</v>
      </c>
      <c r="AB1139">
        <f>Z1139*60+AA1139</f>
        <v>10</v>
      </c>
    </row>
    <row r="1140" spans="1:28" x14ac:dyDescent="0.25">
      <c r="A1140">
        <v>1138</v>
      </c>
      <c r="B1140" t="s">
        <v>31</v>
      </c>
      <c r="C1140">
        <v>1</v>
      </c>
      <c r="D1140" t="s">
        <v>34</v>
      </c>
      <c r="E1140" s="6">
        <v>46102.454861111109</v>
      </c>
      <c r="F1140" s="6">
        <v>46102.46875</v>
      </c>
      <c r="G1140" s="6">
        <v>46102.472222222219</v>
      </c>
      <c r="H1140" s="6">
        <v>46102.5</v>
      </c>
      <c r="I1140" s="6">
        <v>46102.506944444445</v>
      </c>
      <c r="J1140" s="6">
        <v>46102.510416666664</v>
      </c>
      <c r="K1140">
        <v>1.33</v>
      </c>
      <c r="L1140" s="6">
        <v>46102.513888888891</v>
      </c>
      <c r="M1140" s="7">
        <f>F1140-E1140</f>
        <v>1.3888888890505768E-2</v>
      </c>
      <c r="N1140">
        <f>HOUR(M1140)</f>
        <v>0</v>
      </c>
      <c r="O1140">
        <f>MINUTE(M1140)</f>
        <v>20</v>
      </c>
      <c r="P1140">
        <f>N1140*60+O1140</f>
        <v>20</v>
      </c>
      <c r="Q1140" s="7">
        <f>G1140-F1140</f>
        <v>3.4722222189884633E-3</v>
      </c>
      <c r="R1140">
        <f>HOUR(Q1140)</f>
        <v>0</v>
      </c>
      <c r="S1140">
        <f>MINUTE(Q1140)</f>
        <v>5</v>
      </c>
      <c r="T1140">
        <f>R1140*60+S1140</f>
        <v>5</v>
      </c>
      <c r="U1140" s="7">
        <f>H1140-G1140</f>
        <v>2.7777777781011537E-2</v>
      </c>
      <c r="V1140">
        <f>HOUR(U1140)</f>
        <v>0</v>
      </c>
      <c r="W1140">
        <f>MINUTE(U1140)</f>
        <v>40</v>
      </c>
      <c r="X1140">
        <f>V1140*60+W1140</f>
        <v>40</v>
      </c>
      <c r="Y1140" s="7">
        <f>I1140-H1140</f>
        <v>6.9444444452528842E-3</v>
      </c>
      <c r="Z1140">
        <f>HOUR(Y1140)</f>
        <v>0</v>
      </c>
      <c r="AA1140">
        <f>MINUTE(Y1140)</f>
        <v>10</v>
      </c>
      <c r="AB1140">
        <f>Z1140*60+AA1140</f>
        <v>10</v>
      </c>
    </row>
    <row r="1141" spans="1:28" x14ac:dyDescent="0.25">
      <c r="A1141">
        <v>1139</v>
      </c>
      <c r="B1141" t="s">
        <v>33</v>
      </c>
      <c r="C1141">
        <v>1</v>
      </c>
      <c r="D1141" t="s">
        <v>34</v>
      </c>
      <c r="E1141" s="6">
        <v>46104.621527777781</v>
      </c>
      <c r="F1141" s="6">
        <v>46104.625</v>
      </c>
      <c r="G1141" s="6">
        <v>46104.659722222219</v>
      </c>
      <c r="H1141" s="6">
        <v>46104.760416666664</v>
      </c>
      <c r="I1141" s="6">
        <v>46104.767361111109</v>
      </c>
      <c r="J1141" s="6">
        <v>46104.774305555555</v>
      </c>
      <c r="K1141">
        <v>3.67</v>
      </c>
      <c r="L1141" s="6">
        <v>46104.78125</v>
      </c>
      <c r="M1141" s="7">
        <f>F1141-E1141</f>
        <v>3.4722222189884633E-3</v>
      </c>
      <c r="N1141">
        <f>HOUR(M1141)</f>
        <v>0</v>
      </c>
      <c r="O1141">
        <f>MINUTE(M1141)</f>
        <v>5</v>
      </c>
      <c r="P1141">
        <f>N1141*60+O1141</f>
        <v>5</v>
      </c>
      <c r="Q1141" s="7">
        <f>G1141-F1141</f>
        <v>3.4722222218988463E-2</v>
      </c>
      <c r="R1141">
        <f>HOUR(Q1141)</f>
        <v>0</v>
      </c>
      <c r="S1141">
        <f>MINUTE(Q1141)</f>
        <v>50</v>
      </c>
      <c r="T1141">
        <f>R1141*60+S1141</f>
        <v>50</v>
      </c>
      <c r="U1141" s="7">
        <f>H1141-G1141</f>
        <v>0.10069444444525288</v>
      </c>
      <c r="V1141">
        <f>HOUR(U1141)</f>
        <v>2</v>
      </c>
      <c r="W1141">
        <f>MINUTE(U1141)</f>
        <v>25</v>
      </c>
      <c r="X1141">
        <f>V1141*60+W1141</f>
        <v>145</v>
      </c>
      <c r="Y1141" s="7">
        <f>I1141-H1141</f>
        <v>6.9444444452528842E-3</v>
      </c>
      <c r="Z1141">
        <f>HOUR(Y1141)</f>
        <v>0</v>
      </c>
      <c r="AA1141">
        <f>MINUTE(Y1141)</f>
        <v>10</v>
      </c>
      <c r="AB1141">
        <f>Z1141*60+AA1141</f>
        <v>10</v>
      </c>
    </row>
    <row r="1142" spans="1:28" x14ac:dyDescent="0.25">
      <c r="A1142">
        <v>1140</v>
      </c>
      <c r="B1142" t="s">
        <v>33</v>
      </c>
      <c r="C1142">
        <v>1</v>
      </c>
      <c r="D1142" t="s">
        <v>34</v>
      </c>
      <c r="E1142" s="6">
        <v>46101.895833333336</v>
      </c>
      <c r="F1142" s="6">
        <v>46101.90625</v>
      </c>
      <c r="G1142" s="6">
        <v>46101.916666666664</v>
      </c>
      <c r="H1142" s="6">
        <v>46101.948611111111</v>
      </c>
      <c r="I1142" s="6">
        <v>46101.955555555556</v>
      </c>
      <c r="J1142" s="6">
        <v>46102.263888888891</v>
      </c>
      <c r="K1142">
        <v>8.83</v>
      </c>
      <c r="L1142" s="6">
        <v>46102.270833333336</v>
      </c>
      <c r="M1142" s="7">
        <f>F1142-E1142</f>
        <v>1.0416666664241347E-2</v>
      </c>
      <c r="N1142">
        <f>HOUR(M1142)</f>
        <v>0</v>
      </c>
      <c r="O1142">
        <f>MINUTE(M1142)</f>
        <v>15</v>
      </c>
      <c r="P1142">
        <f>N1142*60+O1142</f>
        <v>15</v>
      </c>
      <c r="Q1142" s="7">
        <f>G1142-F1142</f>
        <v>1.0416666664241347E-2</v>
      </c>
      <c r="R1142">
        <f>HOUR(Q1142)</f>
        <v>0</v>
      </c>
      <c r="S1142">
        <f>MINUTE(Q1142)</f>
        <v>15</v>
      </c>
      <c r="T1142">
        <f>R1142*60+S1142</f>
        <v>15</v>
      </c>
      <c r="U1142" s="7">
        <f>H1142-G1142</f>
        <v>3.1944444446708076E-2</v>
      </c>
      <c r="V1142">
        <f>HOUR(U1142)</f>
        <v>0</v>
      </c>
      <c r="W1142">
        <f>MINUTE(U1142)</f>
        <v>46</v>
      </c>
      <c r="X1142">
        <f>V1142*60+W1142</f>
        <v>46</v>
      </c>
      <c r="Y1142" s="7">
        <f>I1142-H1142</f>
        <v>6.9444444452528842E-3</v>
      </c>
      <c r="Z1142">
        <f>HOUR(Y1142)</f>
        <v>0</v>
      </c>
      <c r="AA1142">
        <f>MINUTE(Y1142)</f>
        <v>10</v>
      </c>
      <c r="AB1142">
        <f>Z1142*60+AA1142</f>
        <v>10</v>
      </c>
    </row>
    <row r="1143" spans="1:28" x14ac:dyDescent="0.25">
      <c r="A1143">
        <v>1141</v>
      </c>
      <c r="B1143" t="s">
        <v>33</v>
      </c>
      <c r="C1143">
        <v>1</v>
      </c>
      <c r="D1143" t="s">
        <v>35</v>
      </c>
      <c r="E1143" s="6">
        <v>46102.34375</v>
      </c>
      <c r="F1143" s="6">
        <v>46102.364583333336</v>
      </c>
      <c r="G1143" s="6">
        <v>46102.368055555555</v>
      </c>
      <c r="H1143" s="6">
        <v>46102.583333333336</v>
      </c>
      <c r="I1143" s="6">
        <v>46102.590277777781</v>
      </c>
      <c r="J1143" s="6">
        <v>46102.829861111109</v>
      </c>
      <c r="K1143">
        <v>11.67</v>
      </c>
      <c r="L1143" s="6">
        <v>46102.836805555555</v>
      </c>
      <c r="M1143" s="7">
        <f>F1143-E1143</f>
        <v>2.0833333335758653E-2</v>
      </c>
      <c r="N1143">
        <f>HOUR(M1143)</f>
        <v>0</v>
      </c>
      <c r="O1143">
        <f>MINUTE(M1143)</f>
        <v>30</v>
      </c>
      <c r="P1143">
        <f>N1143*60+O1143</f>
        <v>30</v>
      </c>
      <c r="Q1143" s="7">
        <f>G1143-F1143</f>
        <v>3.4722222189884633E-3</v>
      </c>
      <c r="R1143">
        <f>HOUR(Q1143)</f>
        <v>0</v>
      </c>
      <c r="S1143">
        <f>MINUTE(Q1143)</f>
        <v>5</v>
      </c>
      <c r="T1143">
        <f>R1143*60+S1143</f>
        <v>5</v>
      </c>
      <c r="U1143" s="7">
        <f>H1143-G1143</f>
        <v>0.21527777778101154</v>
      </c>
      <c r="V1143">
        <f>HOUR(U1143)</f>
        <v>5</v>
      </c>
      <c r="W1143">
        <f>MINUTE(U1143)</f>
        <v>10</v>
      </c>
      <c r="X1143">
        <f>V1143*60+W1143</f>
        <v>310</v>
      </c>
      <c r="Y1143" s="7">
        <f>I1143-H1143</f>
        <v>6.9444444452528842E-3</v>
      </c>
      <c r="Z1143">
        <f>HOUR(Y1143)</f>
        <v>0</v>
      </c>
      <c r="AA1143">
        <f>MINUTE(Y1143)</f>
        <v>10</v>
      </c>
      <c r="AB1143">
        <f>Z1143*60+AA1143</f>
        <v>10</v>
      </c>
    </row>
    <row r="1144" spans="1:28" x14ac:dyDescent="0.25">
      <c r="A1144">
        <v>1142</v>
      </c>
      <c r="B1144" t="s">
        <v>31</v>
      </c>
      <c r="C1144">
        <v>1</v>
      </c>
      <c r="D1144" t="s">
        <v>34</v>
      </c>
      <c r="E1144" s="6">
        <v>46102.607638888891</v>
      </c>
      <c r="F1144" s="6">
        <v>46102.618055555555</v>
      </c>
      <c r="G1144" s="6">
        <v>46102.631944444445</v>
      </c>
      <c r="H1144" s="6">
        <v>46102.65625</v>
      </c>
      <c r="I1144" s="6">
        <v>46102.677083333336</v>
      </c>
      <c r="J1144" s="6">
        <v>46102.680555555555</v>
      </c>
      <c r="K1144">
        <v>1.75</v>
      </c>
      <c r="L1144" s="6">
        <v>46102.684027777781</v>
      </c>
      <c r="M1144" s="7">
        <f>F1144-E1144</f>
        <v>1.0416666664241347E-2</v>
      </c>
      <c r="N1144">
        <f>HOUR(M1144)</f>
        <v>0</v>
      </c>
      <c r="O1144">
        <f>MINUTE(M1144)</f>
        <v>15</v>
      </c>
      <c r="P1144">
        <f>N1144*60+O1144</f>
        <v>15</v>
      </c>
      <c r="Q1144" s="7">
        <f>G1144-F1144</f>
        <v>1.3888888890505768E-2</v>
      </c>
      <c r="R1144">
        <f>HOUR(Q1144)</f>
        <v>0</v>
      </c>
      <c r="S1144">
        <f>MINUTE(Q1144)</f>
        <v>20</v>
      </c>
      <c r="T1144">
        <f>R1144*60+S1144</f>
        <v>20</v>
      </c>
      <c r="U1144" s="7">
        <f>H1144-G1144</f>
        <v>2.4305555554747116E-2</v>
      </c>
      <c r="V1144">
        <f>HOUR(U1144)</f>
        <v>0</v>
      </c>
      <c r="W1144">
        <f>MINUTE(U1144)</f>
        <v>35</v>
      </c>
      <c r="X1144">
        <f>V1144*60+W1144</f>
        <v>35</v>
      </c>
      <c r="Y1144" s="7">
        <f>I1144-H1144</f>
        <v>2.0833333335758653E-2</v>
      </c>
      <c r="Z1144">
        <f>HOUR(Y1144)</f>
        <v>0</v>
      </c>
      <c r="AA1144">
        <f>MINUTE(Y1144)</f>
        <v>30</v>
      </c>
      <c r="AB1144">
        <f>Z1144*60+AA1144</f>
        <v>30</v>
      </c>
    </row>
    <row r="1145" spans="1:28" x14ac:dyDescent="0.25">
      <c r="A1145">
        <v>1143</v>
      </c>
      <c r="B1145" t="s">
        <v>31</v>
      </c>
      <c r="C1145">
        <v>1</v>
      </c>
      <c r="D1145" t="s">
        <v>30</v>
      </c>
      <c r="E1145" s="6">
        <v>46102.704861111109</v>
      </c>
      <c r="F1145" s="6">
        <v>46102.711805555555</v>
      </c>
      <c r="G1145" s="6">
        <v>46102.722222222219</v>
      </c>
      <c r="H1145" s="6">
        <v>46102.753472222219</v>
      </c>
      <c r="I1145" s="6">
        <v>46102.760416666664</v>
      </c>
      <c r="J1145" s="6">
        <v>46102.763888888891</v>
      </c>
      <c r="K1145">
        <v>1.42</v>
      </c>
      <c r="L1145" s="6">
        <v>46102.770833333336</v>
      </c>
      <c r="M1145" s="7">
        <f>F1145-E1145</f>
        <v>6.9444444452528842E-3</v>
      </c>
      <c r="N1145">
        <f>HOUR(M1145)</f>
        <v>0</v>
      </c>
      <c r="O1145">
        <f>MINUTE(M1145)</f>
        <v>10</v>
      </c>
      <c r="P1145">
        <f>N1145*60+O1145</f>
        <v>10</v>
      </c>
      <c r="Q1145" s="7">
        <f>G1145-F1145</f>
        <v>1.0416666664241347E-2</v>
      </c>
      <c r="R1145">
        <f>HOUR(Q1145)</f>
        <v>0</v>
      </c>
      <c r="S1145">
        <f>MINUTE(Q1145)</f>
        <v>15</v>
      </c>
      <c r="T1145">
        <f>R1145*60+S1145</f>
        <v>15</v>
      </c>
      <c r="U1145" s="7">
        <f>H1145-G1145</f>
        <v>3.125E-2</v>
      </c>
      <c r="V1145">
        <f>HOUR(U1145)</f>
        <v>0</v>
      </c>
      <c r="W1145">
        <f>MINUTE(U1145)</f>
        <v>45</v>
      </c>
      <c r="X1145">
        <f>V1145*60+W1145</f>
        <v>45</v>
      </c>
      <c r="Y1145" s="7">
        <f>I1145-H1145</f>
        <v>6.9444444452528842E-3</v>
      </c>
      <c r="Z1145">
        <f>HOUR(Y1145)</f>
        <v>0</v>
      </c>
      <c r="AA1145">
        <f>MINUTE(Y1145)</f>
        <v>10</v>
      </c>
      <c r="AB1145">
        <f>Z1145*60+AA1145</f>
        <v>10</v>
      </c>
    </row>
    <row r="1146" spans="1:28" x14ac:dyDescent="0.25">
      <c r="A1146">
        <v>1144</v>
      </c>
      <c r="B1146" t="s">
        <v>33</v>
      </c>
      <c r="C1146">
        <v>1</v>
      </c>
      <c r="D1146" t="s">
        <v>30</v>
      </c>
      <c r="E1146" s="6">
        <v>46102.474305555559</v>
      </c>
      <c r="F1146" s="6">
        <v>46102.5</v>
      </c>
      <c r="G1146" s="6">
        <v>46102.524305555555</v>
      </c>
      <c r="H1146" s="6">
        <v>46102.583333333336</v>
      </c>
      <c r="I1146" s="6">
        <v>46102.597222222219</v>
      </c>
      <c r="J1146" s="6">
        <v>46102.604166666664</v>
      </c>
      <c r="K1146">
        <v>3.12</v>
      </c>
      <c r="L1146" s="6">
        <v>46102.604861111111</v>
      </c>
      <c r="M1146" s="7">
        <f>F1146-E1146</f>
        <v>2.569444444088731E-2</v>
      </c>
      <c r="N1146">
        <f>HOUR(M1146)</f>
        <v>0</v>
      </c>
      <c r="O1146">
        <f>MINUTE(M1146)</f>
        <v>37</v>
      </c>
      <c r="P1146">
        <f>N1146*60+O1146</f>
        <v>37</v>
      </c>
      <c r="Q1146" s="7">
        <f>G1146-F1146</f>
        <v>2.4305555554747116E-2</v>
      </c>
      <c r="R1146">
        <f>HOUR(Q1146)</f>
        <v>0</v>
      </c>
      <c r="S1146">
        <f>MINUTE(Q1146)</f>
        <v>35</v>
      </c>
      <c r="T1146">
        <f>R1146*60+S1146</f>
        <v>35</v>
      </c>
      <c r="U1146" s="7">
        <f>H1146-G1146</f>
        <v>5.9027777781011537E-2</v>
      </c>
      <c r="V1146">
        <f>HOUR(U1146)</f>
        <v>1</v>
      </c>
      <c r="W1146">
        <f>MINUTE(U1146)</f>
        <v>25</v>
      </c>
      <c r="X1146">
        <f>V1146*60+W1146</f>
        <v>85</v>
      </c>
      <c r="Y1146" s="7">
        <f>I1146-H1146</f>
        <v>1.3888888883229811E-2</v>
      </c>
      <c r="Z1146">
        <f>HOUR(Y1146)</f>
        <v>0</v>
      </c>
      <c r="AA1146">
        <f>MINUTE(Y1146)</f>
        <v>20</v>
      </c>
      <c r="AB1146">
        <f>Z1146*60+AA1146</f>
        <v>20</v>
      </c>
    </row>
    <row r="1147" spans="1:28" x14ac:dyDescent="0.25">
      <c r="A1147">
        <v>1145</v>
      </c>
      <c r="B1147" t="s">
        <v>33</v>
      </c>
      <c r="C1147">
        <v>1</v>
      </c>
      <c r="D1147" t="s">
        <v>30</v>
      </c>
      <c r="E1147" s="6">
        <v>46102.621527777781</v>
      </c>
      <c r="F1147" s="6">
        <v>46102.628472222219</v>
      </c>
      <c r="G1147" s="6">
        <v>46102.642361111109</v>
      </c>
      <c r="H1147" s="6">
        <v>46102.708333333336</v>
      </c>
      <c r="I1147" s="6">
        <v>46102.711805555555</v>
      </c>
      <c r="J1147" s="6">
        <v>46102.715277777781</v>
      </c>
      <c r="K1147">
        <v>2.25</v>
      </c>
      <c r="L1147" s="6">
        <v>46102.722222222219</v>
      </c>
      <c r="M1147" s="7">
        <f>F1147-E1147</f>
        <v>6.9444444379769266E-3</v>
      </c>
      <c r="N1147">
        <f>HOUR(M1147)</f>
        <v>0</v>
      </c>
      <c r="O1147">
        <f>MINUTE(M1147)</f>
        <v>10</v>
      </c>
      <c r="P1147">
        <f>N1147*60+O1147</f>
        <v>10</v>
      </c>
      <c r="Q1147" s="7">
        <f>G1147-F1147</f>
        <v>1.3888888890505768E-2</v>
      </c>
      <c r="R1147">
        <f>HOUR(Q1147)</f>
        <v>0</v>
      </c>
      <c r="S1147">
        <f>MINUTE(Q1147)</f>
        <v>20</v>
      </c>
      <c r="T1147">
        <f>R1147*60+S1147</f>
        <v>20</v>
      </c>
      <c r="U1147" s="7">
        <f>H1147-G1147</f>
        <v>6.5972222226264421E-2</v>
      </c>
      <c r="V1147">
        <f>HOUR(U1147)</f>
        <v>1</v>
      </c>
      <c r="W1147">
        <f>MINUTE(U1147)</f>
        <v>35</v>
      </c>
      <c r="X1147">
        <f>V1147*60+W1147</f>
        <v>95</v>
      </c>
      <c r="Y1147" s="7">
        <f>I1147-H1147</f>
        <v>3.4722222189884633E-3</v>
      </c>
      <c r="Z1147">
        <f>HOUR(Y1147)</f>
        <v>0</v>
      </c>
      <c r="AA1147">
        <f>MINUTE(Y1147)</f>
        <v>5</v>
      </c>
      <c r="AB1147">
        <f>Z1147*60+AA1147</f>
        <v>5</v>
      </c>
    </row>
    <row r="1148" spans="1:28" x14ac:dyDescent="0.25">
      <c r="A1148">
        <v>1146</v>
      </c>
      <c r="B1148" t="s">
        <v>33</v>
      </c>
      <c r="C1148">
        <v>1</v>
      </c>
      <c r="D1148" t="s">
        <v>30</v>
      </c>
      <c r="E1148" s="6">
        <v>46103.652777777781</v>
      </c>
      <c r="F1148" s="6">
        <v>46103.65625</v>
      </c>
      <c r="G1148" s="6">
        <v>46103.659722222219</v>
      </c>
      <c r="H1148" s="6">
        <v>46103.684027777781</v>
      </c>
      <c r="I1148" s="6">
        <v>46103.690972222219</v>
      </c>
      <c r="J1148" s="6">
        <v>46103.694444444445</v>
      </c>
      <c r="K1148">
        <v>1</v>
      </c>
      <c r="L1148" s="6">
        <v>46103.701388888891</v>
      </c>
      <c r="M1148" s="7">
        <f>F1148-E1148</f>
        <v>3.4722222189884633E-3</v>
      </c>
      <c r="N1148">
        <f>HOUR(M1148)</f>
        <v>0</v>
      </c>
      <c r="O1148">
        <f>MINUTE(M1148)</f>
        <v>5</v>
      </c>
      <c r="P1148">
        <f>N1148*60+O1148</f>
        <v>5</v>
      </c>
      <c r="Q1148" s="7">
        <f>G1148-F1148</f>
        <v>3.4722222189884633E-3</v>
      </c>
      <c r="R1148">
        <f>HOUR(Q1148)</f>
        <v>0</v>
      </c>
      <c r="S1148">
        <f>MINUTE(Q1148)</f>
        <v>5</v>
      </c>
      <c r="T1148">
        <f>R1148*60+S1148</f>
        <v>5</v>
      </c>
      <c r="U1148" s="7">
        <f>H1148-G1148</f>
        <v>2.4305555562023073E-2</v>
      </c>
      <c r="V1148">
        <f>HOUR(U1148)</f>
        <v>0</v>
      </c>
      <c r="W1148">
        <f>MINUTE(U1148)</f>
        <v>35</v>
      </c>
      <c r="X1148">
        <f>V1148*60+W1148</f>
        <v>35</v>
      </c>
      <c r="Y1148" s="7">
        <f>I1148-H1148</f>
        <v>6.9444444379769266E-3</v>
      </c>
      <c r="Z1148">
        <f>HOUR(Y1148)</f>
        <v>0</v>
      </c>
      <c r="AA1148">
        <f>MINUTE(Y1148)</f>
        <v>10</v>
      </c>
      <c r="AB1148">
        <f>Z1148*60+AA1148</f>
        <v>10</v>
      </c>
    </row>
    <row r="1149" spans="1:28" x14ac:dyDescent="0.25">
      <c r="A1149">
        <v>1147</v>
      </c>
      <c r="B1149" t="s">
        <v>31</v>
      </c>
      <c r="C1149">
        <v>1</v>
      </c>
      <c r="D1149" t="s">
        <v>35</v>
      </c>
      <c r="E1149" s="6">
        <v>46103.434027777781</v>
      </c>
      <c r="F1149" s="6">
        <v>46103.440972222219</v>
      </c>
      <c r="G1149" s="6">
        <v>46103.447916666664</v>
      </c>
      <c r="H1149" s="6">
        <v>46103.479166666664</v>
      </c>
      <c r="I1149" s="6">
        <v>46103.482638888891</v>
      </c>
      <c r="J1149" s="6">
        <v>46103.493055555555</v>
      </c>
      <c r="K1149">
        <v>1.42</v>
      </c>
      <c r="L1149" s="6">
        <v>46103.5</v>
      </c>
      <c r="M1149" s="7">
        <f>F1149-E1149</f>
        <v>6.9444444379769266E-3</v>
      </c>
      <c r="N1149">
        <f>HOUR(M1149)</f>
        <v>0</v>
      </c>
      <c r="O1149">
        <f>MINUTE(M1149)</f>
        <v>10</v>
      </c>
      <c r="P1149">
        <f>N1149*60+O1149</f>
        <v>10</v>
      </c>
      <c r="Q1149" s="7">
        <f>G1149-F1149</f>
        <v>6.9444444452528842E-3</v>
      </c>
      <c r="R1149">
        <f>HOUR(Q1149)</f>
        <v>0</v>
      </c>
      <c r="S1149">
        <f>MINUTE(Q1149)</f>
        <v>10</v>
      </c>
      <c r="T1149">
        <f>R1149*60+S1149</f>
        <v>10</v>
      </c>
      <c r="U1149" s="7">
        <f>H1149-G1149</f>
        <v>3.125E-2</v>
      </c>
      <c r="V1149">
        <f>HOUR(U1149)</f>
        <v>0</v>
      </c>
      <c r="W1149">
        <f>MINUTE(U1149)</f>
        <v>45</v>
      </c>
      <c r="X1149">
        <f>V1149*60+W1149</f>
        <v>45</v>
      </c>
      <c r="Y1149" s="7">
        <f>I1149-H1149</f>
        <v>3.4722222262644209E-3</v>
      </c>
      <c r="Z1149">
        <f>HOUR(Y1149)</f>
        <v>0</v>
      </c>
      <c r="AA1149">
        <f>MINUTE(Y1149)</f>
        <v>5</v>
      </c>
      <c r="AB1149">
        <f>Z1149*60+AA1149</f>
        <v>5</v>
      </c>
    </row>
    <row r="1150" spans="1:28" x14ac:dyDescent="0.25">
      <c r="A1150">
        <v>1148</v>
      </c>
      <c r="B1150" t="s">
        <v>33</v>
      </c>
      <c r="C1150">
        <v>1</v>
      </c>
      <c r="D1150" t="s">
        <v>34</v>
      </c>
      <c r="E1150" s="6">
        <v>46102.716666666667</v>
      </c>
      <c r="F1150" s="6">
        <v>46102.71875</v>
      </c>
      <c r="G1150" s="6">
        <v>46102.732638888891</v>
      </c>
      <c r="H1150" s="6">
        <v>46102.756944444445</v>
      </c>
      <c r="I1150" s="6">
        <v>46102.763888888891</v>
      </c>
      <c r="J1150" s="6">
        <v>46102.765277777777</v>
      </c>
      <c r="K1150">
        <v>1.17</v>
      </c>
      <c r="L1150" s="6">
        <v>46102.765972222223</v>
      </c>
      <c r="M1150" s="7">
        <f>F1150-E1150</f>
        <v>2.0833333328482695E-3</v>
      </c>
      <c r="N1150">
        <f>HOUR(M1150)</f>
        <v>0</v>
      </c>
      <c r="O1150">
        <f>MINUTE(M1150)</f>
        <v>3</v>
      </c>
      <c r="P1150">
        <f>N1150*60+O1150</f>
        <v>3</v>
      </c>
      <c r="Q1150" s="7">
        <f>G1150-F1150</f>
        <v>1.3888888890505768E-2</v>
      </c>
      <c r="R1150">
        <f>HOUR(Q1150)</f>
        <v>0</v>
      </c>
      <c r="S1150">
        <f>MINUTE(Q1150)</f>
        <v>20</v>
      </c>
      <c r="T1150">
        <f>R1150*60+S1150</f>
        <v>20</v>
      </c>
      <c r="U1150" s="7">
        <f>H1150-G1150</f>
        <v>2.4305555554747116E-2</v>
      </c>
      <c r="V1150">
        <f>HOUR(U1150)</f>
        <v>0</v>
      </c>
      <c r="W1150">
        <f>MINUTE(U1150)</f>
        <v>35</v>
      </c>
      <c r="X1150">
        <f>V1150*60+W1150</f>
        <v>35</v>
      </c>
      <c r="Y1150" s="7">
        <f>I1150-H1150</f>
        <v>6.9444444452528842E-3</v>
      </c>
      <c r="Z1150">
        <f>HOUR(Y1150)</f>
        <v>0</v>
      </c>
      <c r="AA1150">
        <f>MINUTE(Y1150)</f>
        <v>10</v>
      </c>
      <c r="AB1150">
        <f>Z1150*60+AA1150</f>
        <v>10</v>
      </c>
    </row>
    <row r="1151" spans="1:28" x14ac:dyDescent="0.25">
      <c r="A1151">
        <v>1149</v>
      </c>
      <c r="B1151" t="s">
        <v>33</v>
      </c>
      <c r="C1151">
        <v>1</v>
      </c>
      <c r="D1151" t="s">
        <v>30</v>
      </c>
      <c r="E1151" s="6">
        <v>46102.868055555555</v>
      </c>
      <c r="F1151" s="6">
        <v>46102.875</v>
      </c>
      <c r="G1151" s="6">
        <v>46102.888888888891</v>
      </c>
      <c r="H1151" s="6">
        <v>46102.927083333336</v>
      </c>
      <c r="I1151" s="6">
        <v>46102.930555555555</v>
      </c>
      <c r="J1151" s="6">
        <v>46102.934027777781</v>
      </c>
      <c r="K1151">
        <v>1.58</v>
      </c>
      <c r="L1151" s="6">
        <v>46102.9375</v>
      </c>
      <c r="M1151" s="7">
        <f>F1151-E1151</f>
        <v>6.9444444452528842E-3</v>
      </c>
      <c r="N1151">
        <f>HOUR(M1151)</f>
        <v>0</v>
      </c>
      <c r="O1151">
        <f>MINUTE(M1151)</f>
        <v>10</v>
      </c>
      <c r="P1151">
        <f>N1151*60+O1151</f>
        <v>10</v>
      </c>
      <c r="Q1151" s="7">
        <f>G1151-F1151</f>
        <v>1.3888888890505768E-2</v>
      </c>
      <c r="R1151">
        <f>HOUR(Q1151)</f>
        <v>0</v>
      </c>
      <c r="S1151">
        <f>MINUTE(Q1151)</f>
        <v>20</v>
      </c>
      <c r="T1151">
        <f>R1151*60+S1151</f>
        <v>20</v>
      </c>
      <c r="U1151" s="7">
        <f>H1151-G1151</f>
        <v>3.8194444445252884E-2</v>
      </c>
      <c r="V1151">
        <f>HOUR(U1151)</f>
        <v>0</v>
      </c>
      <c r="W1151">
        <f>MINUTE(U1151)</f>
        <v>55</v>
      </c>
      <c r="X1151">
        <f>V1151*60+W1151</f>
        <v>55</v>
      </c>
      <c r="Y1151" s="7">
        <f>I1151-H1151</f>
        <v>3.4722222189884633E-3</v>
      </c>
      <c r="Z1151">
        <f>HOUR(Y1151)</f>
        <v>0</v>
      </c>
      <c r="AA1151">
        <f>MINUTE(Y1151)</f>
        <v>5</v>
      </c>
      <c r="AB1151">
        <f>Z1151*60+AA1151</f>
        <v>5</v>
      </c>
    </row>
    <row r="1152" spans="1:28" x14ac:dyDescent="0.25">
      <c r="A1152">
        <v>1150</v>
      </c>
      <c r="B1152" t="s">
        <v>29</v>
      </c>
      <c r="C1152">
        <v>1</v>
      </c>
      <c r="D1152" t="s">
        <v>30</v>
      </c>
      <c r="E1152" s="6">
        <v>46102.986111111109</v>
      </c>
      <c r="F1152" s="6">
        <v>46102.989583333336</v>
      </c>
      <c r="G1152" s="6">
        <v>46103</v>
      </c>
      <c r="H1152" s="6">
        <v>46103.036111111112</v>
      </c>
      <c r="I1152" s="6">
        <v>46103.036805555559</v>
      </c>
      <c r="J1152" s="6">
        <v>46103.037499999999</v>
      </c>
      <c r="K1152">
        <v>1.23</v>
      </c>
      <c r="L1152" s="6">
        <v>46103.038194444445</v>
      </c>
      <c r="M1152" s="7">
        <f>F1152-E1152</f>
        <v>3.4722222262644209E-3</v>
      </c>
      <c r="N1152">
        <f>HOUR(M1152)</f>
        <v>0</v>
      </c>
      <c r="O1152">
        <f>MINUTE(M1152)</f>
        <v>5</v>
      </c>
      <c r="P1152">
        <f>N1152*60+O1152</f>
        <v>5</v>
      </c>
      <c r="Q1152" s="7">
        <f>G1152-F1152</f>
        <v>1.0416666664241347E-2</v>
      </c>
      <c r="R1152">
        <f>HOUR(Q1152)</f>
        <v>0</v>
      </c>
      <c r="S1152">
        <f>MINUTE(Q1152)</f>
        <v>15</v>
      </c>
      <c r="T1152">
        <f>R1152*60+S1152</f>
        <v>15</v>
      </c>
      <c r="U1152" s="7">
        <f>H1152-G1152</f>
        <v>3.6111111112404615E-2</v>
      </c>
      <c r="V1152">
        <f>HOUR(U1152)</f>
        <v>0</v>
      </c>
      <c r="W1152">
        <f>MINUTE(U1152)</f>
        <v>52</v>
      </c>
      <c r="X1152">
        <f>V1152*60+W1152</f>
        <v>52</v>
      </c>
      <c r="Y1152" s="7">
        <f>I1152-H1152</f>
        <v>6.944444467080757E-4</v>
      </c>
      <c r="Z1152">
        <f>HOUR(Y1152)</f>
        <v>0</v>
      </c>
      <c r="AA1152">
        <f>MINUTE(Y1152)</f>
        <v>1</v>
      </c>
      <c r="AB1152">
        <f>Z1152*60+AA1152</f>
        <v>1</v>
      </c>
    </row>
    <row r="1153" spans="1:28" x14ac:dyDescent="0.25">
      <c r="A1153">
        <v>1151</v>
      </c>
      <c r="B1153" t="s">
        <v>29</v>
      </c>
      <c r="C1153">
        <v>1</v>
      </c>
      <c r="D1153" t="s">
        <v>30</v>
      </c>
      <c r="E1153" s="6">
        <v>46103.020833333336</v>
      </c>
      <c r="F1153" s="6">
        <v>46103.024305555555</v>
      </c>
      <c r="G1153" s="6">
        <v>46103.041666666664</v>
      </c>
      <c r="H1153" s="6">
        <v>46103.10833333333</v>
      </c>
      <c r="I1153" s="6">
        <v>46103.125</v>
      </c>
      <c r="J1153" s="6">
        <v>46103.135416666664</v>
      </c>
      <c r="K1153">
        <v>2.75</v>
      </c>
      <c r="L1153" s="6">
        <v>46103.142361111109</v>
      </c>
      <c r="M1153" s="7">
        <f>F1153-E1153</f>
        <v>3.4722222189884633E-3</v>
      </c>
      <c r="N1153">
        <f>HOUR(M1153)</f>
        <v>0</v>
      </c>
      <c r="O1153">
        <f>MINUTE(M1153)</f>
        <v>5</v>
      </c>
      <c r="P1153">
        <f>N1153*60+O1153</f>
        <v>5</v>
      </c>
      <c r="Q1153" s="7">
        <f>G1153-F1153</f>
        <v>1.7361111109494232E-2</v>
      </c>
      <c r="R1153">
        <f>HOUR(Q1153)</f>
        <v>0</v>
      </c>
      <c r="S1153">
        <f>MINUTE(Q1153)</f>
        <v>25</v>
      </c>
      <c r="T1153">
        <f>R1153*60+S1153</f>
        <v>25</v>
      </c>
      <c r="U1153" s="7">
        <f>H1153-G1153</f>
        <v>6.6666666665696539E-2</v>
      </c>
      <c r="V1153">
        <f>HOUR(U1153)</f>
        <v>1</v>
      </c>
      <c r="W1153">
        <f>MINUTE(U1153)</f>
        <v>36</v>
      </c>
      <c r="X1153">
        <f>V1153*60+W1153</f>
        <v>96</v>
      </c>
      <c r="Y1153" s="7">
        <f>I1153-H1153</f>
        <v>1.6666666670062114E-2</v>
      </c>
      <c r="Z1153">
        <f>HOUR(Y1153)</f>
        <v>0</v>
      </c>
      <c r="AA1153">
        <f>MINUTE(Y1153)</f>
        <v>24</v>
      </c>
      <c r="AB1153">
        <f>Z1153*60+AA1153</f>
        <v>24</v>
      </c>
    </row>
    <row r="1154" spans="1:28" x14ac:dyDescent="0.25">
      <c r="A1154">
        <v>1152</v>
      </c>
      <c r="B1154" t="s">
        <v>33</v>
      </c>
      <c r="C1154">
        <v>1</v>
      </c>
      <c r="D1154" t="s">
        <v>30</v>
      </c>
      <c r="E1154" s="6">
        <v>46103.055555555555</v>
      </c>
      <c r="F1154" s="6">
        <v>46103.0625</v>
      </c>
      <c r="G1154" s="6">
        <v>46103.076388888891</v>
      </c>
      <c r="H1154" s="6">
        <v>46103.145833333336</v>
      </c>
      <c r="I1154" s="6">
        <v>46103.152777777781</v>
      </c>
      <c r="J1154" s="6">
        <v>46103.159722222219</v>
      </c>
      <c r="K1154">
        <v>2.5</v>
      </c>
      <c r="L1154" s="6">
        <v>46103.166666666664</v>
      </c>
      <c r="M1154" s="7">
        <f>F1154-E1154</f>
        <v>6.9444444452528842E-3</v>
      </c>
      <c r="N1154">
        <f>HOUR(M1154)</f>
        <v>0</v>
      </c>
      <c r="O1154">
        <f>MINUTE(M1154)</f>
        <v>10</v>
      </c>
      <c r="P1154">
        <f>N1154*60+O1154</f>
        <v>10</v>
      </c>
      <c r="Q1154" s="7">
        <f>G1154-F1154</f>
        <v>1.3888888890505768E-2</v>
      </c>
      <c r="R1154">
        <f>HOUR(Q1154)</f>
        <v>0</v>
      </c>
      <c r="S1154">
        <f>MINUTE(Q1154)</f>
        <v>20</v>
      </c>
      <c r="T1154">
        <f>R1154*60+S1154</f>
        <v>20</v>
      </c>
      <c r="U1154" s="7">
        <f>H1154-G1154</f>
        <v>6.9444444445252884E-2</v>
      </c>
      <c r="V1154">
        <f>HOUR(U1154)</f>
        <v>1</v>
      </c>
      <c r="W1154">
        <f>MINUTE(U1154)</f>
        <v>40</v>
      </c>
      <c r="X1154">
        <f>V1154*60+W1154</f>
        <v>100</v>
      </c>
      <c r="Y1154" s="7">
        <f>I1154-H1154</f>
        <v>6.9444444452528842E-3</v>
      </c>
      <c r="Z1154">
        <f>HOUR(Y1154)</f>
        <v>0</v>
      </c>
      <c r="AA1154">
        <f>MINUTE(Y1154)</f>
        <v>10</v>
      </c>
      <c r="AB1154">
        <f>Z1154*60+AA1154</f>
        <v>10</v>
      </c>
    </row>
    <row r="1155" spans="1:28" x14ac:dyDescent="0.25">
      <c r="A1155">
        <v>1153</v>
      </c>
      <c r="B1155" t="s">
        <v>31</v>
      </c>
      <c r="C1155">
        <v>1</v>
      </c>
      <c r="D1155" t="s">
        <v>30</v>
      </c>
      <c r="E1155" s="6">
        <v>46103.416666666664</v>
      </c>
      <c r="F1155" s="6">
        <v>46103.423611111109</v>
      </c>
      <c r="G1155" s="6">
        <v>46103.427083333336</v>
      </c>
      <c r="H1155" s="6">
        <v>46103.444444444445</v>
      </c>
      <c r="I1155" s="6">
        <v>46103.447916666664</v>
      </c>
      <c r="J1155" s="6">
        <v>46103.458333333336</v>
      </c>
      <c r="K1155">
        <v>1</v>
      </c>
      <c r="L1155" s="6">
        <v>46103.465277777781</v>
      </c>
      <c r="M1155" s="7">
        <f>F1155-E1155</f>
        <v>6.9444444452528842E-3</v>
      </c>
      <c r="N1155">
        <f>HOUR(M1155)</f>
        <v>0</v>
      </c>
      <c r="O1155">
        <f>MINUTE(M1155)</f>
        <v>10</v>
      </c>
      <c r="P1155">
        <f>N1155*60+O1155</f>
        <v>10</v>
      </c>
      <c r="Q1155" s="7">
        <f>G1155-F1155</f>
        <v>3.4722222262644209E-3</v>
      </c>
      <c r="R1155">
        <f>HOUR(Q1155)</f>
        <v>0</v>
      </c>
      <c r="S1155">
        <f>MINUTE(Q1155)</f>
        <v>5</v>
      </c>
      <c r="T1155">
        <f>R1155*60+S1155</f>
        <v>5</v>
      </c>
      <c r="U1155" s="7">
        <f>H1155-G1155</f>
        <v>1.7361111109494232E-2</v>
      </c>
      <c r="V1155">
        <f>HOUR(U1155)</f>
        <v>0</v>
      </c>
      <c r="W1155">
        <f>MINUTE(U1155)</f>
        <v>25</v>
      </c>
      <c r="X1155">
        <f>V1155*60+W1155</f>
        <v>25</v>
      </c>
      <c r="Y1155" s="7">
        <f>I1155-H1155</f>
        <v>3.4722222189884633E-3</v>
      </c>
      <c r="Z1155">
        <f>HOUR(Y1155)</f>
        <v>0</v>
      </c>
      <c r="AA1155">
        <f>MINUTE(Y1155)</f>
        <v>5</v>
      </c>
      <c r="AB1155">
        <f>Z1155*60+AA1155</f>
        <v>5</v>
      </c>
    </row>
    <row r="1156" spans="1:28" x14ac:dyDescent="0.25">
      <c r="A1156">
        <v>1154</v>
      </c>
      <c r="B1156" t="s">
        <v>29</v>
      </c>
      <c r="C1156">
        <v>1</v>
      </c>
      <c r="D1156" t="s">
        <v>35</v>
      </c>
      <c r="E1156" s="6">
        <v>46103.399305555555</v>
      </c>
      <c r="F1156" s="6">
        <v>46103.402777777781</v>
      </c>
      <c r="G1156" s="6">
        <v>46103.416666666664</v>
      </c>
      <c r="H1156" s="6">
        <v>46103.4375</v>
      </c>
      <c r="I1156" s="6">
        <v>46103.444444444445</v>
      </c>
      <c r="J1156" s="6">
        <v>46103.447916666664</v>
      </c>
      <c r="K1156">
        <v>1.17</v>
      </c>
      <c r="L1156" s="6">
        <v>46103.448611111111</v>
      </c>
      <c r="M1156" s="7">
        <f>F1156-E1156</f>
        <v>3.4722222262644209E-3</v>
      </c>
      <c r="N1156">
        <f>HOUR(M1156)</f>
        <v>0</v>
      </c>
      <c r="O1156">
        <f>MINUTE(M1156)</f>
        <v>5</v>
      </c>
      <c r="P1156">
        <f>N1156*60+O1156</f>
        <v>5</v>
      </c>
      <c r="Q1156" s="7">
        <f>G1156-F1156</f>
        <v>1.3888888883229811E-2</v>
      </c>
      <c r="R1156">
        <f>HOUR(Q1156)</f>
        <v>0</v>
      </c>
      <c r="S1156">
        <f>MINUTE(Q1156)</f>
        <v>20</v>
      </c>
      <c r="T1156">
        <f>R1156*60+S1156</f>
        <v>20</v>
      </c>
      <c r="U1156" s="7">
        <f>H1156-G1156</f>
        <v>2.0833333335758653E-2</v>
      </c>
      <c r="V1156">
        <f>HOUR(U1156)</f>
        <v>0</v>
      </c>
      <c r="W1156">
        <f>MINUTE(U1156)</f>
        <v>30</v>
      </c>
      <c r="X1156">
        <f>V1156*60+W1156</f>
        <v>30</v>
      </c>
      <c r="Y1156" s="7">
        <f>I1156-H1156</f>
        <v>6.9444444452528842E-3</v>
      </c>
      <c r="Z1156">
        <f>HOUR(Y1156)</f>
        <v>0</v>
      </c>
      <c r="AA1156">
        <f>MINUTE(Y1156)</f>
        <v>10</v>
      </c>
      <c r="AB1156">
        <f>Z1156*60+AA1156</f>
        <v>10</v>
      </c>
    </row>
    <row r="1157" spans="1:28" x14ac:dyDescent="0.25">
      <c r="A1157">
        <v>1155</v>
      </c>
      <c r="B1157" t="s">
        <v>33</v>
      </c>
      <c r="C1157">
        <v>1</v>
      </c>
      <c r="D1157" t="s">
        <v>30</v>
      </c>
      <c r="E1157" s="6">
        <v>46103.454861111109</v>
      </c>
      <c r="F1157" s="6">
        <v>46103.475694444445</v>
      </c>
      <c r="G1157" s="6">
        <v>46103.479166666664</v>
      </c>
      <c r="H1157" s="6">
        <v>46103.5</v>
      </c>
      <c r="I1157" s="6">
        <v>46103.506944444445</v>
      </c>
      <c r="J1157" s="6">
        <v>46103.507638888892</v>
      </c>
      <c r="K1157">
        <v>1.27</v>
      </c>
      <c r="L1157" s="6">
        <v>46103.508333333331</v>
      </c>
      <c r="M1157" s="7">
        <f>F1157-E1157</f>
        <v>2.0833333335758653E-2</v>
      </c>
      <c r="N1157">
        <f>HOUR(M1157)</f>
        <v>0</v>
      </c>
      <c r="O1157">
        <f>MINUTE(M1157)</f>
        <v>30</v>
      </c>
      <c r="P1157">
        <f>N1157*60+O1157</f>
        <v>30</v>
      </c>
      <c r="Q1157" s="7">
        <f>G1157-F1157</f>
        <v>3.4722222189884633E-3</v>
      </c>
      <c r="R1157">
        <f>HOUR(Q1157)</f>
        <v>0</v>
      </c>
      <c r="S1157">
        <f>MINUTE(Q1157)</f>
        <v>5</v>
      </c>
      <c r="T1157">
        <f>R1157*60+S1157</f>
        <v>5</v>
      </c>
      <c r="U1157" s="7">
        <f>H1157-G1157</f>
        <v>2.0833333335758653E-2</v>
      </c>
      <c r="V1157">
        <f>HOUR(U1157)</f>
        <v>0</v>
      </c>
      <c r="W1157">
        <f>MINUTE(U1157)</f>
        <v>30</v>
      </c>
      <c r="X1157">
        <f>V1157*60+W1157</f>
        <v>30</v>
      </c>
      <c r="Y1157" s="7">
        <f>I1157-H1157</f>
        <v>6.9444444452528842E-3</v>
      </c>
      <c r="Z1157">
        <f>HOUR(Y1157)</f>
        <v>0</v>
      </c>
      <c r="AA1157">
        <f>MINUTE(Y1157)</f>
        <v>10</v>
      </c>
      <c r="AB1157">
        <f>Z1157*60+AA1157</f>
        <v>10</v>
      </c>
    </row>
    <row r="1158" spans="1:28" x14ac:dyDescent="0.25">
      <c r="A1158">
        <v>1156</v>
      </c>
      <c r="B1158" t="s">
        <v>31</v>
      </c>
      <c r="C1158">
        <v>1</v>
      </c>
      <c r="D1158" t="s">
        <v>35</v>
      </c>
      <c r="E1158" s="6">
        <v>46103.583333333336</v>
      </c>
      <c r="F1158" s="6">
        <v>46103.590277777781</v>
      </c>
      <c r="G1158" s="6">
        <v>46103.600694444445</v>
      </c>
      <c r="H1158" s="6">
        <v>46103.625</v>
      </c>
      <c r="I1158" s="6">
        <v>46103.631944444445</v>
      </c>
      <c r="J1158" s="6">
        <v>46103.635416666664</v>
      </c>
      <c r="K1158">
        <v>1.25</v>
      </c>
      <c r="L1158" s="6">
        <v>46103.642361111109</v>
      </c>
      <c r="M1158" s="7">
        <f>F1158-E1158</f>
        <v>6.9444444452528842E-3</v>
      </c>
      <c r="N1158">
        <f>HOUR(M1158)</f>
        <v>0</v>
      </c>
      <c r="O1158">
        <f>MINUTE(M1158)</f>
        <v>10</v>
      </c>
      <c r="P1158">
        <f>N1158*60+O1158</f>
        <v>10</v>
      </c>
      <c r="Q1158" s="7">
        <f>G1158-F1158</f>
        <v>1.0416666664241347E-2</v>
      </c>
      <c r="R1158">
        <f>HOUR(Q1158)</f>
        <v>0</v>
      </c>
      <c r="S1158">
        <f>MINUTE(Q1158)</f>
        <v>15</v>
      </c>
      <c r="T1158">
        <f>R1158*60+S1158</f>
        <v>15</v>
      </c>
      <c r="U1158" s="7">
        <f>H1158-G1158</f>
        <v>2.4305555554747116E-2</v>
      </c>
      <c r="V1158">
        <f>HOUR(U1158)</f>
        <v>0</v>
      </c>
      <c r="W1158">
        <f>MINUTE(U1158)</f>
        <v>35</v>
      </c>
      <c r="X1158">
        <f>V1158*60+W1158</f>
        <v>35</v>
      </c>
      <c r="Y1158" s="7">
        <f>I1158-H1158</f>
        <v>6.9444444452528842E-3</v>
      </c>
      <c r="Z1158">
        <f>HOUR(Y1158)</f>
        <v>0</v>
      </c>
      <c r="AA1158">
        <f>MINUTE(Y1158)</f>
        <v>10</v>
      </c>
      <c r="AB1158">
        <f>Z1158*60+AA1158</f>
        <v>10</v>
      </c>
    </row>
    <row r="1159" spans="1:28" x14ac:dyDescent="0.25">
      <c r="A1159">
        <v>1157</v>
      </c>
      <c r="B1159" t="s">
        <v>33</v>
      </c>
      <c r="C1159">
        <v>1</v>
      </c>
      <c r="D1159" t="s">
        <v>30</v>
      </c>
      <c r="E1159" s="6">
        <v>46103.663194444445</v>
      </c>
      <c r="F1159" s="6">
        <v>46103.677083333336</v>
      </c>
      <c r="G1159" s="6">
        <v>46103.690972222219</v>
      </c>
      <c r="H1159" s="6">
        <v>46103.711805555555</v>
      </c>
      <c r="I1159" s="6">
        <v>46103.71875</v>
      </c>
      <c r="J1159" s="6">
        <v>46103.732638888891</v>
      </c>
      <c r="K1159">
        <v>1.67</v>
      </c>
      <c r="L1159" s="6">
        <v>46103.739583333336</v>
      </c>
      <c r="M1159" s="7">
        <f>F1159-E1159</f>
        <v>1.3888888890505768E-2</v>
      </c>
      <c r="N1159">
        <f>HOUR(M1159)</f>
        <v>0</v>
      </c>
      <c r="O1159">
        <f>MINUTE(M1159)</f>
        <v>20</v>
      </c>
      <c r="P1159">
        <f>N1159*60+O1159</f>
        <v>20</v>
      </c>
      <c r="Q1159" s="7">
        <f>G1159-F1159</f>
        <v>1.3888888883229811E-2</v>
      </c>
      <c r="R1159">
        <f>HOUR(Q1159)</f>
        <v>0</v>
      </c>
      <c r="S1159">
        <f>MINUTE(Q1159)</f>
        <v>20</v>
      </c>
      <c r="T1159">
        <f>R1159*60+S1159</f>
        <v>20</v>
      </c>
      <c r="U1159" s="7">
        <f>H1159-G1159</f>
        <v>2.0833333335758653E-2</v>
      </c>
      <c r="V1159">
        <f>HOUR(U1159)</f>
        <v>0</v>
      </c>
      <c r="W1159">
        <f>MINUTE(U1159)</f>
        <v>30</v>
      </c>
      <c r="X1159">
        <f>V1159*60+W1159</f>
        <v>30</v>
      </c>
      <c r="Y1159" s="7">
        <f>I1159-H1159</f>
        <v>6.9444444452528842E-3</v>
      </c>
      <c r="Z1159">
        <f>HOUR(Y1159)</f>
        <v>0</v>
      </c>
      <c r="AA1159">
        <f>MINUTE(Y1159)</f>
        <v>10</v>
      </c>
      <c r="AB1159">
        <f>Z1159*60+AA1159</f>
        <v>10</v>
      </c>
    </row>
    <row r="1160" spans="1:28" x14ac:dyDescent="0.25">
      <c r="A1160">
        <v>1158</v>
      </c>
      <c r="B1160" t="s">
        <v>33</v>
      </c>
      <c r="C1160">
        <v>1</v>
      </c>
      <c r="D1160" t="s">
        <v>35</v>
      </c>
      <c r="E1160" s="6">
        <v>46104.329861111109</v>
      </c>
      <c r="F1160" s="6">
        <v>46104.340277777781</v>
      </c>
      <c r="G1160" s="6">
        <v>46104.436111111114</v>
      </c>
      <c r="H1160" s="6">
        <v>46104.436805555553</v>
      </c>
      <c r="I1160" s="6">
        <v>46104.443749999999</v>
      </c>
      <c r="J1160" s="6">
        <v>46104.625</v>
      </c>
      <c r="K1160">
        <v>7.08</v>
      </c>
      <c r="L1160" s="6">
        <v>46104.631944444445</v>
      </c>
      <c r="M1160" s="7">
        <f>F1160-E1160</f>
        <v>1.0416666671517305E-2</v>
      </c>
      <c r="N1160">
        <f>HOUR(M1160)</f>
        <v>0</v>
      </c>
      <c r="O1160">
        <f>MINUTE(M1160)</f>
        <v>15</v>
      </c>
      <c r="P1160">
        <f>N1160*60+O1160</f>
        <v>15</v>
      </c>
      <c r="Q1160" s="7">
        <f>G1160-F1160</f>
        <v>9.5833333332848269E-2</v>
      </c>
      <c r="R1160">
        <f>HOUR(Q1160)</f>
        <v>2</v>
      </c>
      <c r="S1160">
        <f>MINUTE(Q1160)</f>
        <v>18</v>
      </c>
      <c r="T1160">
        <f>R1160*60+S1160</f>
        <v>138</v>
      </c>
      <c r="U1160" s="7">
        <f>H1160-G1160</f>
        <v>6.9444443943211809E-4</v>
      </c>
      <c r="V1160">
        <f>HOUR(U1160)</f>
        <v>0</v>
      </c>
      <c r="W1160">
        <f>MINUTE(U1160)</f>
        <v>1</v>
      </c>
      <c r="X1160">
        <f>V1160*60+W1160</f>
        <v>1</v>
      </c>
      <c r="Y1160" s="7">
        <f>I1160-H1160</f>
        <v>6.9444444452528842E-3</v>
      </c>
      <c r="Z1160">
        <f>HOUR(Y1160)</f>
        <v>0</v>
      </c>
      <c r="AA1160">
        <f>MINUTE(Y1160)</f>
        <v>10</v>
      </c>
      <c r="AB1160">
        <f>Z1160*60+AA1160</f>
        <v>10</v>
      </c>
    </row>
    <row r="1161" spans="1:28" x14ac:dyDescent="0.25">
      <c r="A1161">
        <v>1159</v>
      </c>
      <c r="B1161" t="s">
        <v>31</v>
      </c>
      <c r="C1161">
        <v>1</v>
      </c>
      <c r="D1161" t="s">
        <v>30</v>
      </c>
      <c r="E1161" s="6">
        <v>46104.288194444445</v>
      </c>
      <c r="F1161" s="6">
        <v>46104.3125</v>
      </c>
      <c r="G1161" s="6">
        <v>46104.329861111109</v>
      </c>
      <c r="H1161" s="6">
        <v>46104.412499999999</v>
      </c>
      <c r="I1161" s="6">
        <v>46104.423611111109</v>
      </c>
      <c r="J1161" s="6">
        <v>46104.4375</v>
      </c>
      <c r="K1161">
        <v>3.58</v>
      </c>
      <c r="L1161" s="6">
        <v>46104.444444444445</v>
      </c>
      <c r="M1161" s="7">
        <f>F1161-E1161</f>
        <v>2.4305555554747116E-2</v>
      </c>
      <c r="N1161">
        <f>HOUR(M1161)</f>
        <v>0</v>
      </c>
      <c r="O1161">
        <f>MINUTE(M1161)</f>
        <v>35</v>
      </c>
      <c r="P1161">
        <f>N1161*60+O1161</f>
        <v>35</v>
      </c>
      <c r="Q1161" s="7">
        <f>G1161-F1161</f>
        <v>1.7361111109494232E-2</v>
      </c>
      <c r="R1161">
        <f>HOUR(Q1161)</f>
        <v>0</v>
      </c>
      <c r="S1161">
        <f>MINUTE(Q1161)</f>
        <v>25</v>
      </c>
      <c r="T1161">
        <f>R1161*60+S1161</f>
        <v>25</v>
      </c>
      <c r="U1161" s="7">
        <f>H1161-G1161</f>
        <v>8.2638888889050577E-2</v>
      </c>
      <c r="V1161">
        <f>HOUR(U1161)</f>
        <v>1</v>
      </c>
      <c r="W1161">
        <f>MINUTE(U1161)</f>
        <v>59</v>
      </c>
      <c r="X1161">
        <f>V1161*60+W1161</f>
        <v>119</v>
      </c>
      <c r="Y1161" s="7">
        <f>I1161-H1161</f>
        <v>1.1111111110949423E-2</v>
      </c>
      <c r="Z1161">
        <f>HOUR(Y1161)</f>
        <v>0</v>
      </c>
      <c r="AA1161">
        <f>MINUTE(Y1161)</f>
        <v>16</v>
      </c>
      <c r="AB1161">
        <f>Z1161*60+AA1161</f>
        <v>16</v>
      </c>
    </row>
    <row r="1162" spans="1:28" x14ac:dyDescent="0.25">
      <c r="A1162">
        <v>1160</v>
      </c>
      <c r="B1162" t="s">
        <v>31</v>
      </c>
      <c r="C1162">
        <v>1</v>
      </c>
      <c r="D1162" t="s">
        <v>32</v>
      </c>
      <c r="E1162" s="6">
        <v>46104.423611111109</v>
      </c>
      <c r="F1162" s="6">
        <v>46104.430555555555</v>
      </c>
      <c r="G1162" s="6">
        <v>46104.451388888891</v>
      </c>
      <c r="H1162" s="6">
        <v>46104.569444444445</v>
      </c>
      <c r="I1162" s="6">
        <v>46104.576388888891</v>
      </c>
      <c r="J1162" s="6">
        <v>46104.583333333336</v>
      </c>
      <c r="K1162">
        <v>3.83</v>
      </c>
      <c r="L1162" s="6">
        <v>46104.586805555555</v>
      </c>
      <c r="M1162" s="7">
        <f>F1162-E1162</f>
        <v>6.9444444452528842E-3</v>
      </c>
      <c r="N1162">
        <f>HOUR(M1162)</f>
        <v>0</v>
      </c>
      <c r="O1162">
        <f>MINUTE(M1162)</f>
        <v>10</v>
      </c>
      <c r="P1162">
        <f>N1162*60+O1162</f>
        <v>10</v>
      </c>
      <c r="Q1162" s="7">
        <f>G1162-F1162</f>
        <v>2.0833333335758653E-2</v>
      </c>
      <c r="R1162">
        <f>HOUR(Q1162)</f>
        <v>0</v>
      </c>
      <c r="S1162">
        <f>MINUTE(Q1162)</f>
        <v>30</v>
      </c>
      <c r="T1162">
        <f>R1162*60+S1162</f>
        <v>30</v>
      </c>
      <c r="U1162" s="7">
        <f>H1162-G1162</f>
        <v>0.11805555555474712</v>
      </c>
      <c r="V1162">
        <f>HOUR(U1162)</f>
        <v>2</v>
      </c>
      <c r="W1162">
        <f>MINUTE(U1162)</f>
        <v>50</v>
      </c>
      <c r="X1162">
        <f>V1162*60+W1162</f>
        <v>170</v>
      </c>
      <c r="Y1162" s="7">
        <f>I1162-H1162</f>
        <v>6.9444444452528842E-3</v>
      </c>
      <c r="Z1162">
        <f>HOUR(Y1162)</f>
        <v>0</v>
      </c>
      <c r="AA1162">
        <f>MINUTE(Y1162)</f>
        <v>10</v>
      </c>
      <c r="AB1162">
        <f>Z1162*60+AA1162</f>
        <v>10</v>
      </c>
    </row>
    <row r="1163" spans="1:28" x14ac:dyDescent="0.25">
      <c r="A1163">
        <v>1161</v>
      </c>
      <c r="B1163" t="s">
        <v>29</v>
      </c>
      <c r="C1163">
        <v>1</v>
      </c>
      <c r="D1163" t="s">
        <v>35</v>
      </c>
      <c r="E1163" s="6">
        <v>46103.736111111109</v>
      </c>
      <c r="F1163" s="6">
        <v>46103.746527777781</v>
      </c>
      <c r="G1163" s="6">
        <v>46103.75</v>
      </c>
      <c r="H1163" s="6">
        <v>46103.770833333336</v>
      </c>
      <c r="I1163" s="6">
        <v>46103.774305555555</v>
      </c>
      <c r="J1163" s="6">
        <v>46103.777777777781</v>
      </c>
      <c r="K1163">
        <v>1</v>
      </c>
      <c r="L1163" s="6">
        <v>46103.78125</v>
      </c>
      <c r="M1163" s="7">
        <f>F1163-E1163</f>
        <v>1.0416666671517305E-2</v>
      </c>
      <c r="N1163">
        <f>HOUR(M1163)</f>
        <v>0</v>
      </c>
      <c r="O1163">
        <f>MINUTE(M1163)</f>
        <v>15</v>
      </c>
      <c r="P1163">
        <f>N1163*60+O1163</f>
        <v>15</v>
      </c>
      <c r="Q1163" s="7">
        <f>G1163-F1163</f>
        <v>3.4722222189884633E-3</v>
      </c>
      <c r="R1163">
        <f>HOUR(Q1163)</f>
        <v>0</v>
      </c>
      <c r="S1163">
        <f>MINUTE(Q1163)</f>
        <v>5</v>
      </c>
      <c r="T1163">
        <f>R1163*60+S1163</f>
        <v>5</v>
      </c>
      <c r="U1163" s="7">
        <f>H1163-G1163</f>
        <v>2.0833333335758653E-2</v>
      </c>
      <c r="V1163">
        <f>HOUR(U1163)</f>
        <v>0</v>
      </c>
      <c r="W1163">
        <f>MINUTE(U1163)</f>
        <v>30</v>
      </c>
      <c r="X1163">
        <f>V1163*60+W1163</f>
        <v>30</v>
      </c>
      <c r="Y1163" s="7">
        <f>I1163-H1163</f>
        <v>3.4722222189884633E-3</v>
      </c>
      <c r="Z1163">
        <f>HOUR(Y1163)</f>
        <v>0</v>
      </c>
      <c r="AA1163">
        <f>MINUTE(Y1163)</f>
        <v>5</v>
      </c>
      <c r="AB1163">
        <f>Z1163*60+AA1163</f>
        <v>5</v>
      </c>
    </row>
    <row r="1164" spans="1:28" x14ac:dyDescent="0.25">
      <c r="A1164">
        <v>1162</v>
      </c>
      <c r="B1164" t="s">
        <v>31</v>
      </c>
      <c r="C1164">
        <v>1</v>
      </c>
      <c r="D1164" t="s">
        <v>30</v>
      </c>
      <c r="E1164" s="6">
        <v>46103.818055555559</v>
      </c>
      <c r="F1164" s="6">
        <v>46103.824999999997</v>
      </c>
      <c r="G1164" s="6">
        <v>46103.833333333336</v>
      </c>
      <c r="H1164" s="6">
        <v>46103.881944444445</v>
      </c>
      <c r="I1164" s="6">
        <v>46103.885416666664</v>
      </c>
      <c r="J1164" s="6">
        <v>46103.895833333336</v>
      </c>
      <c r="K1164">
        <v>1.87</v>
      </c>
      <c r="L1164" s="6">
        <v>46103.899305555555</v>
      </c>
      <c r="M1164" s="7">
        <f>F1164-E1164</f>
        <v>6.9444444379769266E-3</v>
      </c>
      <c r="N1164">
        <f>HOUR(M1164)</f>
        <v>0</v>
      </c>
      <c r="O1164">
        <f>MINUTE(M1164)</f>
        <v>10</v>
      </c>
      <c r="P1164">
        <f>N1164*60+O1164</f>
        <v>10</v>
      </c>
      <c r="Q1164" s="7">
        <f>G1164-F1164</f>
        <v>8.3333333386690356E-3</v>
      </c>
      <c r="R1164">
        <f>HOUR(Q1164)</f>
        <v>0</v>
      </c>
      <c r="S1164">
        <f>MINUTE(Q1164)</f>
        <v>12</v>
      </c>
      <c r="T1164">
        <f>R1164*60+S1164</f>
        <v>12</v>
      </c>
      <c r="U1164" s="7">
        <f>H1164-G1164</f>
        <v>4.8611111109494232E-2</v>
      </c>
      <c r="V1164">
        <f>HOUR(U1164)</f>
        <v>1</v>
      </c>
      <c r="W1164">
        <f>MINUTE(U1164)</f>
        <v>10</v>
      </c>
      <c r="X1164">
        <f>V1164*60+W1164</f>
        <v>70</v>
      </c>
      <c r="Y1164" s="7">
        <f>I1164-H1164</f>
        <v>3.4722222189884633E-3</v>
      </c>
      <c r="Z1164">
        <f>HOUR(Y1164)</f>
        <v>0</v>
      </c>
      <c r="AA1164">
        <f>MINUTE(Y1164)</f>
        <v>5</v>
      </c>
      <c r="AB1164">
        <f>Z1164*60+AA1164</f>
        <v>5</v>
      </c>
    </row>
    <row r="1165" spans="1:28" x14ac:dyDescent="0.25">
      <c r="A1165">
        <v>1163</v>
      </c>
      <c r="B1165" t="s">
        <v>29</v>
      </c>
      <c r="C1165">
        <v>1</v>
      </c>
      <c r="D1165" t="s">
        <v>35</v>
      </c>
      <c r="E1165" s="6">
        <v>46103.975694444445</v>
      </c>
      <c r="F1165" s="6">
        <v>46103.982638888891</v>
      </c>
      <c r="G1165" s="6">
        <v>46103.989583333336</v>
      </c>
      <c r="H1165" s="6">
        <v>46104.027777777781</v>
      </c>
      <c r="I1165" s="6">
        <v>46104.034722222219</v>
      </c>
      <c r="J1165" s="6">
        <v>46104.038194444445</v>
      </c>
      <c r="K1165">
        <v>1.5</v>
      </c>
      <c r="L1165" s="6">
        <v>46104.045138888891</v>
      </c>
      <c r="M1165" s="7">
        <f>F1165-E1165</f>
        <v>6.9444444452528842E-3</v>
      </c>
      <c r="N1165">
        <f>HOUR(M1165)</f>
        <v>0</v>
      </c>
      <c r="O1165">
        <f>MINUTE(M1165)</f>
        <v>10</v>
      </c>
      <c r="P1165">
        <f>N1165*60+O1165</f>
        <v>10</v>
      </c>
      <c r="Q1165" s="7">
        <f>G1165-F1165</f>
        <v>6.9444444452528842E-3</v>
      </c>
      <c r="R1165">
        <f>HOUR(Q1165)</f>
        <v>0</v>
      </c>
      <c r="S1165">
        <f>MINUTE(Q1165)</f>
        <v>10</v>
      </c>
      <c r="T1165">
        <f>R1165*60+S1165</f>
        <v>10</v>
      </c>
      <c r="U1165" s="7">
        <f>H1165-G1165</f>
        <v>3.8194444445252884E-2</v>
      </c>
      <c r="V1165">
        <f>HOUR(U1165)</f>
        <v>0</v>
      </c>
      <c r="W1165">
        <f>MINUTE(U1165)</f>
        <v>55</v>
      </c>
      <c r="X1165">
        <f>V1165*60+W1165</f>
        <v>55</v>
      </c>
      <c r="Y1165" s="7">
        <f>I1165-H1165</f>
        <v>6.9444444379769266E-3</v>
      </c>
      <c r="Z1165">
        <f>HOUR(Y1165)</f>
        <v>0</v>
      </c>
      <c r="AA1165">
        <f>MINUTE(Y1165)</f>
        <v>10</v>
      </c>
      <c r="AB1165">
        <f>Z1165*60+AA1165</f>
        <v>10</v>
      </c>
    </row>
    <row r="1166" spans="1:28" x14ac:dyDescent="0.25">
      <c r="A1166">
        <v>1164</v>
      </c>
      <c r="B1166" t="s">
        <v>29</v>
      </c>
      <c r="C1166">
        <v>1</v>
      </c>
      <c r="D1166" t="s">
        <v>30</v>
      </c>
      <c r="E1166" s="6">
        <v>46104.032638888886</v>
      </c>
      <c r="F1166" s="6">
        <v>46104.041666666664</v>
      </c>
      <c r="G1166" s="6">
        <v>46104.052083333336</v>
      </c>
      <c r="H1166" s="6">
        <v>46104.086111111108</v>
      </c>
      <c r="I1166" s="6">
        <v>46104.093055555553</v>
      </c>
      <c r="J1166" s="6">
        <v>46104.097222222219</v>
      </c>
      <c r="K1166">
        <v>1.55</v>
      </c>
      <c r="L1166" s="6">
        <v>46104.098611111112</v>
      </c>
      <c r="M1166" s="7">
        <f>F1166-E1166</f>
        <v>9.0277777781011537E-3</v>
      </c>
      <c r="N1166">
        <f>HOUR(M1166)</f>
        <v>0</v>
      </c>
      <c r="O1166">
        <f>MINUTE(M1166)</f>
        <v>13</v>
      </c>
      <c r="P1166">
        <f>N1166*60+O1166</f>
        <v>13</v>
      </c>
      <c r="Q1166" s="7">
        <f>G1166-F1166</f>
        <v>1.0416666671517305E-2</v>
      </c>
      <c r="R1166">
        <f>HOUR(Q1166)</f>
        <v>0</v>
      </c>
      <c r="S1166">
        <f>MINUTE(Q1166)</f>
        <v>15</v>
      </c>
      <c r="T1166">
        <f>R1166*60+S1166</f>
        <v>15</v>
      </c>
      <c r="U1166" s="7">
        <f>H1166-G1166</f>
        <v>3.4027777772280388E-2</v>
      </c>
      <c r="V1166">
        <f>HOUR(U1166)</f>
        <v>0</v>
      </c>
      <c r="W1166">
        <f>MINUTE(U1166)</f>
        <v>49</v>
      </c>
      <c r="X1166">
        <f>V1166*60+W1166</f>
        <v>49</v>
      </c>
      <c r="Y1166" s="7">
        <f>I1166-H1166</f>
        <v>6.9444444452528842E-3</v>
      </c>
      <c r="Z1166">
        <f>HOUR(Y1166)</f>
        <v>0</v>
      </c>
      <c r="AA1166">
        <f>MINUTE(Y1166)</f>
        <v>10</v>
      </c>
      <c r="AB1166">
        <f>Z1166*60+AA1166</f>
        <v>10</v>
      </c>
    </row>
    <row r="1167" spans="1:28" x14ac:dyDescent="0.25">
      <c r="A1167">
        <v>1165</v>
      </c>
      <c r="B1167" t="s">
        <v>33</v>
      </c>
      <c r="C1167">
        <v>1</v>
      </c>
      <c r="D1167" t="s">
        <v>36</v>
      </c>
      <c r="E1167" s="6">
        <v>46104.565972222219</v>
      </c>
      <c r="F1167" s="6">
        <v>46104.569444444445</v>
      </c>
      <c r="G1167" s="6">
        <v>46104.583333333336</v>
      </c>
      <c r="H1167" s="6">
        <v>46104.663194444445</v>
      </c>
      <c r="I1167" s="6">
        <v>46104.666666666664</v>
      </c>
      <c r="J1167" s="6">
        <v>46104.704861111109</v>
      </c>
      <c r="K1167">
        <v>3.33</v>
      </c>
      <c r="L1167" s="6">
        <v>46104.708333333336</v>
      </c>
      <c r="M1167" s="7">
        <f>F1167-E1167</f>
        <v>3.4722222262644209E-3</v>
      </c>
      <c r="N1167">
        <f>HOUR(M1167)</f>
        <v>0</v>
      </c>
      <c r="O1167">
        <f>MINUTE(M1167)</f>
        <v>5</v>
      </c>
      <c r="P1167">
        <f>N1167*60+O1167</f>
        <v>5</v>
      </c>
      <c r="Q1167" s="7">
        <f>G1167-F1167</f>
        <v>1.3888888890505768E-2</v>
      </c>
      <c r="R1167">
        <f>HOUR(Q1167)</f>
        <v>0</v>
      </c>
      <c r="S1167">
        <f>MINUTE(Q1167)</f>
        <v>20</v>
      </c>
      <c r="T1167">
        <f>R1167*60+S1167</f>
        <v>20</v>
      </c>
      <c r="U1167" s="7">
        <f>H1167-G1167</f>
        <v>7.9861111109494232E-2</v>
      </c>
      <c r="V1167">
        <f>HOUR(U1167)</f>
        <v>1</v>
      </c>
      <c r="W1167">
        <f>MINUTE(U1167)</f>
        <v>55</v>
      </c>
      <c r="X1167">
        <f>V1167*60+W1167</f>
        <v>115</v>
      </c>
      <c r="Y1167" s="7">
        <f>I1167-H1167</f>
        <v>3.4722222189884633E-3</v>
      </c>
      <c r="Z1167">
        <f>HOUR(Y1167)</f>
        <v>0</v>
      </c>
      <c r="AA1167">
        <f>MINUTE(Y1167)</f>
        <v>5</v>
      </c>
      <c r="AB1167">
        <f>Z1167*60+AA1167</f>
        <v>5</v>
      </c>
    </row>
    <row r="1168" spans="1:28" x14ac:dyDescent="0.25">
      <c r="A1168">
        <v>1166</v>
      </c>
      <c r="B1168" t="s">
        <v>29</v>
      </c>
      <c r="C1168">
        <v>1</v>
      </c>
      <c r="D1168" t="s">
        <v>36</v>
      </c>
      <c r="E1168" s="6">
        <v>46104.416666666664</v>
      </c>
      <c r="F1168" s="6">
        <v>46104.4375</v>
      </c>
      <c r="G1168" s="6">
        <v>46104.438888888886</v>
      </c>
      <c r="H1168" s="6">
        <v>46104.458333333336</v>
      </c>
      <c r="I1168" s="6">
        <v>46104.465277777781</v>
      </c>
      <c r="J1168" s="6">
        <v>46104.513888888891</v>
      </c>
      <c r="K1168">
        <v>2.33</v>
      </c>
      <c r="L1168" s="6">
        <v>46104.520833333336</v>
      </c>
      <c r="M1168" s="7">
        <f>F1168-E1168</f>
        <v>2.0833333335758653E-2</v>
      </c>
      <c r="N1168">
        <f>HOUR(M1168)</f>
        <v>0</v>
      </c>
      <c r="O1168">
        <f>MINUTE(M1168)</f>
        <v>30</v>
      </c>
      <c r="P1168">
        <f>N1168*60+O1168</f>
        <v>30</v>
      </c>
      <c r="Q1168" s="7">
        <f>G1168-F1168</f>
        <v>1.3888888861401938E-3</v>
      </c>
      <c r="R1168">
        <f>HOUR(Q1168)</f>
        <v>0</v>
      </c>
      <c r="S1168">
        <f>MINUTE(Q1168)</f>
        <v>2</v>
      </c>
      <c r="T1168">
        <f>R1168*60+S1168</f>
        <v>2</v>
      </c>
      <c r="U1168" s="7">
        <f>H1168-G1168</f>
        <v>1.9444444449618459E-2</v>
      </c>
      <c r="V1168">
        <f>HOUR(U1168)</f>
        <v>0</v>
      </c>
      <c r="W1168">
        <f>MINUTE(U1168)</f>
        <v>28</v>
      </c>
      <c r="X1168">
        <f>V1168*60+W1168</f>
        <v>28</v>
      </c>
      <c r="Y1168" s="7">
        <f>I1168-H1168</f>
        <v>6.9444444452528842E-3</v>
      </c>
      <c r="Z1168">
        <f>HOUR(Y1168)</f>
        <v>0</v>
      </c>
      <c r="AA1168">
        <f>MINUTE(Y1168)</f>
        <v>10</v>
      </c>
      <c r="AB1168">
        <f>Z1168*60+AA1168</f>
        <v>10</v>
      </c>
    </row>
    <row r="1169" spans="1:28" x14ac:dyDescent="0.25">
      <c r="A1169">
        <v>1167</v>
      </c>
      <c r="B1169" t="s">
        <v>31</v>
      </c>
      <c r="C1169">
        <v>1</v>
      </c>
      <c r="D1169" t="s">
        <v>30</v>
      </c>
      <c r="E1169" s="6">
        <v>46104.486111111109</v>
      </c>
      <c r="F1169" s="6">
        <v>46104.5</v>
      </c>
      <c r="G1169" s="6">
        <v>46104.513888888891</v>
      </c>
      <c r="H1169" s="6">
        <v>46104.543055555558</v>
      </c>
      <c r="I1169" s="6">
        <v>46104.55</v>
      </c>
      <c r="J1169" s="6">
        <v>46104.552083333336</v>
      </c>
      <c r="K1169">
        <v>1.58</v>
      </c>
      <c r="L1169" s="6">
        <v>46104.559027777781</v>
      </c>
      <c r="M1169" s="7">
        <f>F1169-E1169</f>
        <v>1.3888888890505768E-2</v>
      </c>
      <c r="N1169">
        <f>HOUR(M1169)</f>
        <v>0</v>
      </c>
      <c r="O1169">
        <f>MINUTE(M1169)</f>
        <v>20</v>
      </c>
      <c r="P1169">
        <f>N1169*60+O1169</f>
        <v>20</v>
      </c>
      <c r="Q1169" s="7">
        <f>G1169-F1169</f>
        <v>1.3888888890505768E-2</v>
      </c>
      <c r="R1169">
        <f>HOUR(Q1169)</f>
        <v>0</v>
      </c>
      <c r="S1169">
        <f>MINUTE(Q1169)</f>
        <v>20</v>
      </c>
      <c r="T1169">
        <f>R1169*60+S1169</f>
        <v>20</v>
      </c>
      <c r="U1169" s="7">
        <f>H1169-G1169</f>
        <v>2.9166666667151731E-2</v>
      </c>
      <c r="V1169">
        <f>HOUR(U1169)</f>
        <v>0</v>
      </c>
      <c r="W1169">
        <f>MINUTE(U1169)</f>
        <v>42</v>
      </c>
      <c r="X1169">
        <f>V1169*60+W1169</f>
        <v>42</v>
      </c>
      <c r="Y1169" s="7">
        <f>I1169-H1169</f>
        <v>6.9444444452528842E-3</v>
      </c>
      <c r="Z1169">
        <f>HOUR(Y1169)</f>
        <v>0</v>
      </c>
      <c r="AA1169">
        <f>MINUTE(Y1169)</f>
        <v>10</v>
      </c>
      <c r="AB1169">
        <f>Z1169*60+AA1169</f>
        <v>10</v>
      </c>
    </row>
    <row r="1170" spans="1:28" x14ac:dyDescent="0.25">
      <c r="A1170">
        <v>1168</v>
      </c>
      <c r="B1170" t="s">
        <v>33</v>
      </c>
      <c r="C1170">
        <v>1</v>
      </c>
      <c r="D1170" t="s">
        <v>30</v>
      </c>
      <c r="E1170" s="6">
        <v>46104.638888888891</v>
      </c>
      <c r="F1170" s="6">
        <v>46104.645833333336</v>
      </c>
      <c r="G1170" s="6">
        <v>46104.71875</v>
      </c>
      <c r="H1170" s="6">
        <v>46104.739583333336</v>
      </c>
      <c r="I1170" s="6">
        <v>46104.763888888891</v>
      </c>
      <c r="J1170" s="6">
        <v>46104.791666666664</v>
      </c>
      <c r="K1170">
        <v>3.67</v>
      </c>
      <c r="L1170" s="6">
        <v>46104.798611111109</v>
      </c>
      <c r="M1170" s="7">
        <f>F1170-E1170</f>
        <v>6.9444444452528842E-3</v>
      </c>
      <c r="N1170">
        <f>HOUR(M1170)</f>
        <v>0</v>
      </c>
      <c r="O1170">
        <f>MINUTE(M1170)</f>
        <v>10</v>
      </c>
      <c r="P1170">
        <f>N1170*60+O1170</f>
        <v>10</v>
      </c>
      <c r="Q1170" s="7">
        <f>G1170-F1170</f>
        <v>7.2916666664241347E-2</v>
      </c>
      <c r="R1170">
        <f>HOUR(Q1170)</f>
        <v>1</v>
      </c>
      <c r="S1170">
        <f>MINUTE(Q1170)</f>
        <v>45</v>
      </c>
      <c r="T1170">
        <f>R1170*60+S1170</f>
        <v>105</v>
      </c>
      <c r="U1170" s="7">
        <f>H1170-G1170</f>
        <v>2.0833333335758653E-2</v>
      </c>
      <c r="V1170">
        <f>HOUR(U1170)</f>
        <v>0</v>
      </c>
      <c r="W1170">
        <f>MINUTE(U1170)</f>
        <v>30</v>
      </c>
      <c r="X1170">
        <f>V1170*60+W1170</f>
        <v>30</v>
      </c>
      <c r="Y1170" s="7">
        <f>I1170-H1170</f>
        <v>2.4305555554747116E-2</v>
      </c>
      <c r="Z1170">
        <f>HOUR(Y1170)</f>
        <v>0</v>
      </c>
      <c r="AA1170">
        <f>MINUTE(Y1170)</f>
        <v>35</v>
      </c>
      <c r="AB1170">
        <f>Z1170*60+AA1170</f>
        <v>35</v>
      </c>
    </row>
    <row r="1171" spans="1:28" x14ac:dyDescent="0.25">
      <c r="A1171">
        <v>1169</v>
      </c>
      <c r="B1171" t="s">
        <v>33</v>
      </c>
      <c r="C1171">
        <v>1</v>
      </c>
      <c r="D1171" t="s">
        <v>34</v>
      </c>
      <c r="E1171" s="6">
        <v>46104.677083333336</v>
      </c>
      <c r="F1171" s="6">
        <v>46104.684027777781</v>
      </c>
      <c r="G1171" s="6">
        <v>46104.701388888891</v>
      </c>
      <c r="H1171" s="6">
        <v>46104.722222222219</v>
      </c>
      <c r="I1171" s="6">
        <v>46104.732638888891</v>
      </c>
      <c r="J1171" s="6">
        <v>46104.739583333336</v>
      </c>
      <c r="K1171">
        <v>1.5</v>
      </c>
      <c r="L1171" s="6">
        <v>46104.746527777781</v>
      </c>
      <c r="M1171" s="7">
        <f>F1171-E1171</f>
        <v>6.9444444452528842E-3</v>
      </c>
      <c r="N1171">
        <f>HOUR(M1171)</f>
        <v>0</v>
      </c>
      <c r="O1171">
        <f>MINUTE(M1171)</f>
        <v>10</v>
      </c>
      <c r="P1171">
        <f>N1171*60+O1171</f>
        <v>10</v>
      </c>
      <c r="Q1171" s="7">
        <f>G1171-F1171</f>
        <v>1.7361111109494232E-2</v>
      </c>
      <c r="R1171">
        <f>HOUR(Q1171)</f>
        <v>0</v>
      </c>
      <c r="S1171">
        <f>MINUTE(Q1171)</f>
        <v>25</v>
      </c>
      <c r="T1171">
        <f>R1171*60+S1171</f>
        <v>25</v>
      </c>
      <c r="U1171" s="7">
        <f>H1171-G1171</f>
        <v>2.0833333328482695E-2</v>
      </c>
      <c r="V1171">
        <f>HOUR(U1171)</f>
        <v>0</v>
      </c>
      <c r="W1171">
        <f>MINUTE(U1171)</f>
        <v>30</v>
      </c>
      <c r="X1171">
        <f>V1171*60+W1171</f>
        <v>30</v>
      </c>
      <c r="Y1171" s="7">
        <f>I1171-H1171</f>
        <v>1.0416666671517305E-2</v>
      </c>
      <c r="Z1171">
        <f>HOUR(Y1171)</f>
        <v>0</v>
      </c>
      <c r="AA1171">
        <f>MINUTE(Y1171)</f>
        <v>15</v>
      </c>
      <c r="AB1171">
        <f>Z1171*60+AA1171</f>
        <v>15</v>
      </c>
    </row>
    <row r="1172" spans="1:28" x14ac:dyDescent="0.25">
      <c r="A1172">
        <v>1170</v>
      </c>
      <c r="B1172" t="s">
        <v>29</v>
      </c>
      <c r="C1172">
        <v>1</v>
      </c>
      <c r="D1172" t="s">
        <v>30</v>
      </c>
      <c r="E1172" s="6">
        <v>46104.774305555555</v>
      </c>
      <c r="F1172" s="6">
        <v>46104.777777777781</v>
      </c>
      <c r="G1172" s="6">
        <v>46104.78125</v>
      </c>
      <c r="H1172" s="6">
        <v>46104.805555555555</v>
      </c>
      <c r="I1172" s="6">
        <v>46104.826388888891</v>
      </c>
      <c r="J1172" s="6">
        <v>46104.833333333336</v>
      </c>
      <c r="K1172">
        <v>1.42</v>
      </c>
      <c r="L1172" s="6">
        <v>46104.836805555555</v>
      </c>
      <c r="M1172" s="7">
        <f>F1172-E1172</f>
        <v>3.4722222262644209E-3</v>
      </c>
      <c r="N1172">
        <f>HOUR(M1172)</f>
        <v>0</v>
      </c>
      <c r="O1172">
        <f>MINUTE(M1172)</f>
        <v>5</v>
      </c>
      <c r="P1172">
        <f>N1172*60+O1172</f>
        <v>5</v>
      </c>
      <c r="Q1172" s="7">
        <f>G1172-F1172</f>
        <v>3.4722222189884633E-3</v>
      </c>
      <c r="R1172">
        <f>HOUR(Q1172)</f>
        <v>0</v>
      </c>
      <c r="S1172">
        <f>MINUTE(Q1172)</f>
        <v>5</v>
      </c>
      <c r="T1172">
        <f>R1172*60+S1172</f>
        <v>5</v>
      </c>
      <c r="U1172" s="7">
        <f>H1172-G1172</f>
        <v>2.4305555554747116E-2</v>
      </c>
      <c r="V1172">
        <f>HOUR(U1172)</f>
        <v>0</v>
      </c>
      <c r="W1172">
        <f>MINUTE(U1172)</f>
        <v>35</v>
      </c>
      <c r="X1172">
        <f>V1172*60+W1172</f>
        <v>35</v>
      </c>
      <c r="Y1172" s="7">
        <f>I1172-H1172</f>
        <v>2.0833333335758653E-2</v>
      </c>
      <c r="Z1172">
        <f>HOUR(Y1172)</f>
        <v>0</v>
      </c>
      <c r="AA1172">
        <f>MINUTE(Y1172)</f>
        <v>30</v>
      </c>
      <c r="AB1172">
        <f>Z1172*60+AA1172</f>
        <v>30</v>
      </c>
    </row>
    <row r="1173" spans="1:28" x14ac:dyDescent="0.25">
      <c r="A1173">
        <v>1171</v>
      </c>
      <c r="B1173" t="s">
        <v>29</v>
      </c>
      <c r="C1173">
        <v>1</v>
      </c>
      <c r="D1173" t="s">
        <v>32</v>
      </c>
      <c r="E1173" s="6">
        <v>46105.513888888891</v>
      </c>
      <c r="F1173" s="6">
        <v>46105.520833333336</v>
      </c>
      <c r="G1173" s="6">
        <v>46105.541666666664</v>
      </c>
      <c r="H1173" s="6">
        <v>46105.659722222219</v>
      </c>
      <c r="I1173" s="6">
        <v>46105.666666666664</v>
      </c>
      <c r="J1173" s="6">
        <v>46105.670138888891</v>
      </c>
      <c r="K1173">
        <v>3.75</v>
      </c>
      <c r="L1173" s="6">
        <v>46105.67083333333</v>
      </c>
      <c r="M1173" s="7">
        <f>F1173-E1173</f>
        <v>6.9444444452528842E-3</v>
      </c>
      <c r="N1173">
        <f>HOUR(M1173)</f>
        <v>0</v>
      </c>
      <c r="O1173">
        <f>MINUTE(M1173)</f>
        <v>10</v>
      </c>
      <c r="P1173">
        <f>N1173*60+O1173</f>
        <v>10</v>
      </c>
      <c r="Q1173" s="7">
        <f>G1173-F1173</f>
        <v>2.0833333328482695E-2</v>
      </c>
      <c r="R1173">
        <f>HOUR(Q1173)</f>
        <v>0</v>
      </c>
      <c r="S1173">
        <f>MINUTE(Q1173)</f>
        <v>30</v>
      </c>
      <c r="T1173">
        <f>R1173*60+S1173</f>
        <v>30</v>
      </c>
      <c r="U1173" s="7">
        <f>H1173-G1173</f>
        <v>0.11805555555474712</v>
      </c>
      <c r="V1173">
        <f>HOUR(U1173)</f>
        <v>2</v>
      </c>
      <c r="W1173">
        <f>MINUTE(U1173)</f>
        <v>50</v>
      </c>
      <c r="X1173">
        <f>V1173*60+W1173</f>
        <v>170</v>
      </c>
      <c r="Y1173" s="7">
        <f>I1173-H1173</f>
        <v>6.9444444452528842E-3</v>
      </c>
      <c r="Z1173">
        <f>HOUR(Y1173)</f>
        <v>0</v>
      </c>
      <c r="AA1173">
        <f>MINUTE(Y1173)</f>
        <v>10</v>
      </c>
      <c r="AB1173">
        <f>Z1173*60+AA1173</f>
        <v>10</v>
      </c>
    </row>
    <row r="1174" spans="1:28" x14ac:dyDescent="0.25">
      <c r="A1174">
        <v>1172</v>
      </c>
      <c r="B1174" t="s">
        <v>31</v>
      </c>
      <c r="C1174">
        <v>1</v>
      </c>
      <c r="D1174" t="s">
        <v>30</v>
      </c>
      <c r="E1174" s="6">
        <v>46105.701388888891</v>
      </c>
      <c r="F1174" s="6">
        <v>46105.729166666664</v>
      </c>
      <c r="G1174" s="6">
        <v>46105.763888888891</v>
      </c>
      <c r="H1174" s="6">
        <v>46105.880555555559</v>
      </c>
      <c r="I1174" s="6">
        <v>46105.887499999997</v>
      </c>
      <c r="J1174" s="6">
        <v>46105.888888888891</v>
      </c>
      <c r="K1174">
        <v>4.5</v>
      </c>
      <c r="L1174" s="6">
        <v>46105.892361111109</v>
      </c>
      <c r="M1174" s="7">
        <f>F1174-E1174</f>
        <v>2.7777777773735579E-2</v>
      </c>
      <c r="N1174">
        <f>HOUR(M1174)</f>
        <v>0</v>
      </c>
      <c r="O1174">
        <f>MINUTE(M1174)</f>
        <v>40</v>
      </c>
      <c r="P1174">
        <f>N1174*60+O1174</f>
        <v>40</v>
      </c>
      <c r="Q1174" s="7">
        <f>G1174-F1174</f>
        <v>3.4722222226264421E-2</v>
      </c>
      <c r="R1174">
        <f>HOUR(Q1174)</f>
        <v>0</v>
      </c>
      <c r="S1174">
        <f>MINUTE(Q1174)</f>
        <v>50</v>
      </c>
      <c r="T1174">
        <f>R1174*60+S1174</f>
        <v>50</v>
      </c>
      <c r="U1174" s="7">
        <f>H1174-G1174</f>
        <v>0.11666666666860692</v>
      </c>
      <c r="V1174">
        <f>HOUR(U1174)</f>
        <v>2</v>
      </c>
      <c r="W1174">
        <f>MINUTE(U1174)</f>
        <v>48</v>
      </c>
      <c r="X1174">
        <f>V1174*60+W1174</f>
        <v>168</v>
      </c>
      <c r="Y1174" s="7">
        <f>I1174-H1174</f>
        <v>6.9444444379769266E-3</v>
      </c>
      <c r="Z1174">
        <f>HOUR(Y1174)</f>
        <v>0</v>
      </c>
      <c r="AA1174">
        <f>MINUTE(Y1174)</f>
        <v>10</v>
      </c>
      <c r="AB1174">
        <f>Z1174*60+AA1174</f>
        <v>10</v>
      </c>
    </row>
    <row r="1175" spans="1:28" x14ac:dyDescent="0.25">
      <c r="A1175">
        <v>1173</v>
      </c>
      <c r="B1175" t="s">
        <v>31</v>
      </c>
      <c r="C1175">
        <v>1</v>
      </c>
      <c r="D1175" t="s">
        <v>32</v>
      </c>
      <c r="E1175" s="6">
        <v>46105.378472222219</v>
      </c>
      <c r="F1175" s="6">
        <v>46105.385416666664</v>
      </c>
      <c r="G1175" s="6">
        <v>46105.395833333336</v>
      </c>
      <c r="H1175" s="6">
        <v>46105.402777777781</v>
      </c>
      <c r="I1175" s="6">
        <v>46105.409722222219</v>
      </c>
      <c r="J1175" s="6">
        <v>46105.416666666664</v>
      </c>
      <c r="K1175">
        <v>0.92</v>
      </c>
      <c r="L1175" s="6">
        <v>46105.423611111109</v>
      </c>
      <c r="M1175" s="7">
        <f>F1175-E1175</f>
        <v>6.9444444452528842E-3</v>
      </c>
      <c r="N1175">
        <f>HOUR(M1175)</f>
        <v>0</v>
      </c>
      <c r="O1175">
        <f>MINUTE(M1175)</f>
        <v>10</v>
      </c>
      <c r="P1175">
        <f>N1175*60+O1175</f>
        <v>10</v>
      </c>
      <c r="Q1175" s="7">
        <f>G1175-F1175</f>
        <v>1.0416666671517305E-2</v>
      </c>
      <c r="R1175">
        <f>HOUR(Q1175)</f>
        <v>0</v>
      </c>
      <c r="S1175">
        <f>MINUTE(Q1175)</f>
        <v>15</v>
      </c>
      <c r="T1175">
        <f>R1175*60+S1175</f>
        <v>15</v>
      </c>
      <c r="U1175" s="7">
        <f>H1175-G1175</f>
        <v>6.9444444452528842E-3</v>
      </c>
      <c r="V1175">
        <f>HOUR(U1175)</f>
        <v>0</v>
      </c>
      <c r="W1175">
        <f>MINUTE(U1175)</f>
        <v>10</v>
      </c>
      <c r="X1175">
        <f>V1175*60+W1175</f>
        <v>10</v>
      </c>
      <c r="Y1175" s="7">
        <f>I1175-H1175</f>
        <v>6.9444444379769266E-3</v>
      </c>
      <c r="Z1175">
        <f>HOUR(Y1175)</f>
        <v>0</v>
      </c>
      <c r="AA1175">
        <f>MINUTE(Y1175)</f>
        <v>10</v>
      </c>
      <c r="AB1175">
        <f>Z1175*60+AA1175</f>
        <v>10</v>
      </c>
    </row>
    <row r="1176" spans="1:28" x14ac:dyDescent="0.25">
      <c r="A1176">
        <v>1174</v>
      </c>
      <c r="B1176" t="s">
        <v>31</v>
      </c>
      <c r="C1176">
        <v>1</v>
      </c>
      <c r="D1176" t="s">
        <v>35</v>
      </c>
      <c r="E1176" s="6">
        <v>46105.305555555555</v>
      </c>
      <c r="F1176" s="6">
        <v>46105.315972222219</v>
      </c>
      <c r="G1176" s="6">
        <v>46105.333333333336</v>
      </c>
      <c r="H1176" s="6">
        <v>46105.357638888891</v>
      </c>
      <c r="I1176" s="6">
        <v>46105.364583333336</v>
      </c>
      <c r="J1176" s="6">
        <v>46105.375</v>
      </c>
      <c r="K1176">
        <v>1.67</v>
      </c>
      <c r="L1176" s="6">
        <v>46105.381944444445</v>
      </c>
      <c r="M1176" s="7">
        <f>F1176-E1176</f>
        <v>1.0416666664241347E-2</v>
      </c>
      <c r="N1176">
        <f>HOUR(M1176)</f>
        <v>0</v>
      </c>
      <c r="O1176">
        <f>MINUTE(M1176)</f>
        <v>15</v>
      </c>
      <c r="P1176">
        <f>N1176*60+O1176</f>
        <v>15</v>
      </c>
      <c r="Q1176" s="7">
        <f>G1176-F1176</f>
        <v>1.7361111116770189E-2</v>
      </c>
      <c r="R1176">
        <f>HOUR(Q1176)</f>
        <v>0</v>
      </c>
      <c r="S1176">
        <f>MINUTE(Q1176)</f>
        <v>25</v>
      </c>
      <c r="T1176">
        <f>R1176*60+S1176</f>
        <v>25</v>
      </c>
      <c r="U1176" s="7">
        <f>H1176-G1176</f>
        <v>2.4305555554747116E-2</v>
      </c>
      <c r="V1176">
        <f>HOUR(U1176)</f>
        <v>0</v>
      </c>
      <c r="W1176">
        <f>MINUTE(U1176)</f>
        <v>35</v>
      </c>
      <c r="X1176">
        <f>V1176*60+W1176</f>
        <v>35</v>
      </c>
      <c r="Y1176" s="7">
        <f>I1176-H1176</f>
        <v>6.9444444452528842E-3</v>
      </c>
      <c r="Z1176">
        <f>HOUR(Y1176)</f>
        <v>0</v>
      </c>
      <c r="AA1176">
        <f>MINUTE(Y1176)</f>
        <v>10</v>
      </c>
      <c r="AB1176">
        <f>Z1176*60+AA1176</f>
        <v>10</v>
      </c>
    </row>
    <row r="1177" spans="1:28" x14ac:dyDescent="0.25">
      <c r="A1177">
        <v>1175</v>
      </c>
      <c r="B1177" t="s">
        <v>33</v>
      </c>
      <c r="C1177">
        <v>1</v>
      </c>
      <c r="D1177" t="s">
        <v>30</v>
      </c>
      <c r="E1177" s="6">
        <v>46105.3125</v>
      </c>
      <c r="F1177" s="6">
        <v>46105.319444444445</v>
      </c>
      <c r="G1177" s="6">
        <v>46105.354166666664</v>
      </c>
      <c r="H1177" s="6">
        <v>46105.510416666664</v>
      </c>
      <c r="I1177" s="6">
        <v>46105.513888888891</v>
      </c>
      <c r="J1177" s="6">
        <v>46105.524305555555</v>
      </c>
      <c r="K1177">
        <v>5.08</v>
      </c>
      <c r="L1177" s="6">
        <v>46105.53125</v>
      </c>
      <c r="M1177" s="7">
        <f>F1177-E1177</f>
        <v>6.9444444452528842E-3</v>
      </c>
      <c r="N1177">
        <f>HOUR(M1177)</f>
        <v>0</v>
      </c>
      <c r="O1177">
        <f>MINUTE(M1177)</f>
        <v>10</v>
      </c>
      <c r="P1177">
        <f>N1177*60+O1177</f>
        <v>10</v>
      </c>
      <c r="Q1177" s="7">
        <f>G1177-F1177</f>
        <v>3.4722222218988463E-2</v>
      </c>
      <c r="R1177">
        <f>HOUR(Q1177)</f>
        <v>0</v>
      </c>
      <c r="S1177">
        <f>MINUTE(Q1177)</f>
        <v>50</v>
      </c>
      <c r="T1177">
        <f>R1177*60+S1177</f>
        <v>50</v>
      </c>
      <c r="U1177" s="7">
        <f>H1177-G1177</f>
        <v>0.15625</v>
      </c>
      <c r="V1177">
        <f>HOUR(U1177)</f>
        <v>3</v>
      </c>
      <c r="W1177">
        <f>MINUTE(U1177)</f>
        <v>45</v>
      </c>
      <c r="X1177">
        <f>V1177*60+W1177</f>
        <v>225</v>
      </c>
      <c r="Y1177" s="7">
        <f>I1177-H1177</f>
        <v>3.4722222262644209E-3</v>
      </c>
      <c r="Z1177">
        <f>HOUR(Y1177)</f>
        <v>0</v>
      </c>
      <c r="AA1177">
        <f>MINUTE(Y1177)</f>
        <v>5</v>
      </c>
      <c r="AB1177">
        <f>Z1177*60+AA1177</f>
        <v>5</v>
      </c>
    </row>
    <row r="1178" spans="1:28" x14ac:dyDescent="0.25">
      <c r="A1178">
        <v>1176</v>
      </c>
      <c r="B1178" t="s">
        <v>29</v>
      </c>
      <c r="C1178">
        <v>1</v>
      </c>
      <c r="D1178" t="s">
        <v>30</v>
      </c>
      <c r="E1178" s="6">
        <v>46105.575694444444</v>
      </c>
      <c r="F1178" s="6">
        <v>46105.579861111109</v>
      </c>
      <c r="G1178" s="6">
        <v>46105.59375</v>
      </c>
      <c r="H1178" s="6">
        <v>46105.625</v>
      </c>
      <c r="I1178" s="6">
        <v>46105.631944444445</v>
      </c>
      <c r="J1178" s="6">
        <v>46105.638888888891</v>
      </c>
      <c r="K1178">
        <v>1.52</v>
      </c>
      <c r="L1178" s="6">
        <v>46105.645833333336</v>
      </c>
      <c r="M1178" s="7">
        <f>F1178-E1178</f>
        <v>4.166666665696539E-3</v>
      </c>
      <c r="N1178">
        <f>HOUR(M1178)</f>
        <v>0</v>
      </c>
      <c r="O1178">
        <f>MINUTE(M1178)</f>
        <v>6</v>
      </c>
      <c r="P1178">
        <f>N1178*60+O1178</f>
        <v>6</v>
      </c>
      <c r="Q1178" s="7">
        <f>G1178-F1178</f>
        <v>1.3888888890505768E-2</v>
      </c>
      <c r="R1178">
        <f>HOUR(Q1178)</f>
        <v>0</v>
      </c>
      <c r="S1178">
        <f>MINUTE(Q1178)</f>
        <v>20</v>
      </c>
      <c r="T1178">
        <f>R1178*60+S1178</f>
        <v>20</v>
      </c>
      <c r="U1178" s="7">
        <f>H1178-G1178</f>
        <v>3.125E-2</v>
      </c>
      <c r="V1178">
        <f>HOUR(U1178)</f>
        <v>0</v>
      </c>
      <c r="W1178">
        <f>MINUTE(U1178)</f>
        <v>45</v>
      </c>
      <c r="X1178">
        <f>V1178*60+W1178</f>
        <v>45</v>
      </c>
      <c r="Y1178" s="7">
        <f>I1178-H1178</f>
        <v>6.9444444452528842E-3</v>
      </c>
      <c r="Z1178">
        <f>HOUR(Y1178)</f>
        <v>0</v>
      </c>
      <c r="AA1178">
        <f>MINUTE(Y1178)</f>
        <v>10</v>
      </c>
      <c r="AB1178">
        <f>Z1178*60+AA1178</f>
        <v>10</v>
      </c>
    </row>
    <row r="1179" spans="1:28" x14ac:dyDescent="0.25">
      <c r="A1179">
        <v>1177</v>
      </c>
      <c r="B1179" t="s">
        <v>33</v>
      </c>
      <c r="C1179">
        <v>1</v>
      </c>
      <c r="D1179" t="s">
        <v>34</v>
      </c>
      <c r="E1179" s="6">
        <v>46105.65625</v>
      </c>
      <c r="F1179" s="6">
        <v>46105.659722222219</v>
      </c>
      <c r="G1179" s="6">
        <v>46105.670138888891</v>
      </c>
      <c r="H1179" s="6">
        <v>46105.697916666664</v>
      </c>
      <c r="I1179" s="6">
        <v>46105.704861111109</v>
      </c>
      <c r="J1179" s="6">
        <v>46105.711805555555</v>
      </c>
      <c r="K1179">
        <v>1.33</v>
      </c>
      <c r="L1179" s="6">
        <v>46105.715277777781</v>
      </c>
      <c r="M1179" s="7">
        <f>F1179-E1179</f>
        <v>3.4722222189884633E-3</v>
      </c>
      <c r="N1179">
        <f>HOUR(M1179)</f>
        <v>0</v>
      </c>
      <c r="O1179">
        <f>MINUTE(M1179)</f>
        <v>5</v>
      </c>
      <c r="P1179">
        <f>N1179*60+O1179</f>
        <v>5</v>
      </c>
      <c r="Q1179" s="7">
        <f>G1179-F1179</f>
        <v>1.0416666671517305E-2</v>
      </c>
      <c r="R1179">
        <f>HOUR(Q1179)</f>
        <v>0</v>
      </c>
      <c r="S1179">
        <f>MINUTE(Q1179)</f>
        <v>15</v>
      </c>
      <c r="T1179">
        <f>R1179*60+S1179</f>
        <v>15</v>
      </c>
      <c r="U1179" s="7">
        <f>H1179-G1179</f>
        <v>2.7777777773735579E-2</v>
      </c>
      <c r="V1179">
        <f>HOUR(U1179)</f>
        <v>0</v>
      </c>
      <c r="W1179">
        <f>MINUTE(U1179)</f>
        <v>40</v>
      </c>
      <c r="X1179">
        <f>V1179*60+W1179</f>
        <v>40</v>
      </c>
      <c r="Y1179" s="7">
        <f>I1179-H1179</f>
        <v>6.9444444452528842E-3</v>
      </c>
      <c r="Z1179">
        <f>HOUR(Y1179)</f>
        <v>0</v>
      </c>
      <c r="AA1179">
        <f>MINUTE(Y1179)</f>
        <v>10</v>
      </c>
      <c r="AB1179">
        <f>Z1179*60+AA1179</f>
        <v>10</v>
      </c>
    </row>
    <row r="1180" spans="1:28" x14ac:dyDescent="0.25">
      <c r="A1180">
        <v>1178</v>
      </c>
      <c r="B1180" t="s">
        <v>31</v>
      </c>
      <c r="C1180">
        <v>1</v>
      </c>
      <c r="D1180" t="s">
        <v>35</v>
      </c>
      <c r="E1180" s="6">
        <v>46105.451388888891</v>
      </c>
      <c r="F1180" s="6">
        <v>46105.454861111109</v>
      </c>
      <c r="G1180" s="6">
        <v>46105.475694444445</v>
      </c>
      <c r="H1180" s="6">
        <v>46105.548611111109</v>
      </c>
      <c r="I1180" s="6">
        <v>46105.552083333336</v>
      </c>
      <c r="J1180" s="6">
        <v>46105.555555555555</v>
      </c>
      <c r="K1180">
        <v>2.5</v>
      </c>
      <c r="L1180" s="6">
        <v>46105.5625</v>
      </c>
      <c r="M1180" s="7">
        <f>F1180-E1180</f>
        <v>3.4722222189884633E-3</v>
      </c>
      <c r="N1180">
        <f>HOUR(M1180)</f>
        <v>0</v>
      </c>
      <c r="O1180">
        <f>MINUTE(M1180)</f>
        <v>5</v>
      </c>
      <c r="P1180">
        <f>N1180*60+O1180</f>
        <v>5</v>
      </c>
      <c r="Q1180" s="7">
        <f>G1180-F1180</f>
        <v>2.0833333335758653E-2</v>
      </c>
      <c r="R1180">
        <f>HOUR(Q1180)</f>
        <v>0</v>
      </c>
      <c r="S1180">
        <f>MINUTE(Q1180)</f>
        <v>30</v>
      </c>
      <c r="T1180">
        <f>R1180*60+S1180</f>
        <v>30</v>
      </c>
      <c r="U1180" s="7">
        <f>H1180-G1180</f>
        <v>7.2916666664241347E-2</v>
      </c>
      <c r="V1180">
        <f>HOUR(U1180)</f>
        <v>1</v>
      </c>
      <c r="W1180">
        <f>MINUTE(U1180)</f>
        <v>45</v>
      </c>
      <c r="X1180">
        <f>V1180*60+W1180</f>
        <v>105</v>
      </c>
      <c r="Y1180" s="7">
        <f>I1180-H1180</f>
        <v>3.4722222262644209E-3</v>
      </c>
      <c r="Z1180">
        <f>HOUR(Y1180)</f>
        <v>0</v>
      </c>
      <c r="AA1180">
        <f>MINUTE(Y1180)</f>
        <v>5</v>
      </c>
      <c r="AB1180">
        <f>Z1180*60+AA1180</f>
        <v>5</v>
      </c>
    </row>
    <row r="1181" spans="1:28" x14ac:dyDescent="0.25">
      <c r="A1181">
        <v>1179</v>
      </c>
      <c r="B1181" t="s">
        <v>33</v>
      </c>
      <c r="C1181">
        <v>1</v>
      </c>
      <c r="D1181" t="s">
        <v>30</v>
      </c>
      <c r="E1181" s="6">
        <v>46104.756944444445</v>
      </c>
      <c r="F1181" s="6">
        <v>46104.770833333336</v>
      </c>
      <c r="G1181" s="6">
        <v>46104.78125</v>
      </c>
      <c r="H1181" s="6">
        <v>46104.85833333333</v>
      </c>
      <c r="I1181" s="6">
        <v>46104.865277777775</v>
      </c>
      <c r="J1181" s="6">
        <v>46104.9375</v>
      </c>
      <c r="K1181">
        <v>4.33</v>
      </c>
      <c r="L1181" s="6">
        <v>46104.938888888886</v>
      </c>
      <c r="M1181" s="7">
        <f>F1181-E1181</f>
        <v>1.3888888890505768E-2</v>
      </c>
      <c r="N1181">
        <f>HOUR(M1181)</f>
        <v>0</v>
      </c>
      <c r="O1181">
        <f>MINUTE(M1181)</f>
        <v>20</v>
      </c>
      <c r="P1181">
        <f>N1181*60+O1181</f>
        <v>20</v>
      </c>
      <c r="Q1181" s="7">
        <f>G1181-F1181</f>
        <v>1.0416666664241347E-2</v>
      </c>
      <c r="R1181">
        <f>HOUR(Q1181)</f>
        <v>0</v>
      </c>
      <c r="S1181">
        <f>MINUTE(Q1181)</f>
        <v>15</v>
      </c>
      <c r="T1181">
        <f>R1181*60+S1181</f>
        <v>15</v>
      </c>
      <c r="U1181" s="7">
        <f>H1181-G1181</f>
        <v>7.7083333329937886E-2</v>
      </c>
      <c r="V1181">
        <f>HOUR(U1181)</f>
        <v>1</v>
      </c>
      <c r="W1181">
        <f>MINUTE(U1181)</f>
        <v>51</v>
      </c>
      <c r="X1181">
        <f>V1181*60+W1181</f>
        <v>111</v>
      </c>
      <c r="Y1181" s="7">
        <f>I1181-H1181</f>
        <v>6.9444444452528842E-3</v>
      </c>
      <c r="Z1181">
        <f>HOUR(Y1181)</f>
        <v>0</v>
      </c>
      <c r="AA1181">
        <f>MINUTE(Y1181)</f>
        <v>10</v>
      </c>
      <c r="AB1181">
        <f>Z1181*60+AA1181</f>
        <v>10</v>
      </c>
    </row>
    <row r="1182" spans="1:28" x14ac:dyDescent="0.25">
      <c r="A1182">
        <v>1180</v>
      </c>
      <c r="B1182" t="s">
        <v>29</v>
      </c>
      <c r="C1182">
        <v>1</v>
      </c>
      <c r="D1182" t="s">
        <v>30</v>
      </c>
      <c r="E1182" s="6">
        <v>46105.291666666664</v>
      </c>
      <c r="F1182" s="6">
        <v>46105.298611111109</v>
      </c>
      <c r="G1182" s="6">
        <v>46105.302083333336</v>
      </c>
      <c r="H1182" s="6">
        <v>46105.305555555555</v>
      </c>
      <c r="I1182" s="6">
        <v>46105.309027777781</v>
      </c>
      <c r="J1182" s="6">
        <v>46105.3125</v>
      </c>
      <c r="K1182">
        <v>0.5</v>
      </c>
      <c r="L1182" s="6">
        <v>46105.319444444445</v>
      </c>
      <c r="M1182" s="7">
        <f>F1182-E1182</f>
        <v>6.9444444452528842E-3</v>
      </c>
      <c r="N1182">
        <f>HOUR(M1182)</f>
        <v>0</v>
      </c>
      <c r="O1182">
        <f>MINUTE(M1182)</f>
        <v>10</v>
      </c>
      <c r="P1182">
        <f>N1182*60+O1182</f>
        <v>10</v>
      </c>
      <c r="Q1182" s="7">
        <f>G1182-F1182</f>
        <v>3.4722222262644209E-3</v>
      </c>
      <c r="R1182">
        <f>HOUR(Q1182)</f>
        <v>0</v>
      </c>
      <c r="S1182">
        <f>MINUTE(Q1182)</f>
        <v>5</v>
      </c>
      <c r="T1182">
        <f>R1182*60+S1182</f>
        <v>5</v>
      </c>
      <c r="U1182" s="7">
        <f>H1182-G1182</f>
        <v>3.4722222189884633E-3</v>
      </c>
      <c r="V1182">
        <f>HOUR(U1182)</f>
        <v>0</v>
      </c>
      <c r="W1182">
        <f>MINUTE(U1182)</f>
        <v>5</v>
      </c>
      <c r="X1182">
        <f>V1182*60+W1182</f>
        <v>5</v>
      </c>
      <c r="Y1182" s="7">
        <f>I1182-H1182</f>
        <v>3.4722222262644209E-3</v>
      </c>
      <c r="Z1182">
        <f>HOUR(Y1182)</f>
        <v>0</v>
      </c>
      <c r="AA1182">
        <f>MINUTE(Y1182)</f>
        <v>5</v>
      </c>
      <c r="AB1182">
        <f>Z1182*60+AA1182</f>
        <v>5</v>
      </c>
    </row>
    <row r="1183" spans="1:28" x14ac:dyDescent="0.25">
      <c r="A1183">
        <v>1181</v>
      </c>
      <c r="B1183" t="s">
        <v>31</v>
      </c>
      <c r="C1183">
        <v>1</v>
      </c>
      <c r="D1183" t="s">
        <v>34</v>
      </c>
      <c r="E1183" s="6">
        <v>46105.291666666664</v>
      </c>
      <c r="F1183" s="6">
        <v>46105.309027777781</v>
      </c>
      <c r="G1183" s="6">
        <v>46105.326388888891</v>
      </c>
      <c r="H1183" s="6">
        <v>46105.451388888891</v>
      </c>
      <c r="I1183" s="6">
        <v>46105.458333333336</v>
      </c>
      <c r="J1183" s="6">
        <v>46105.461805555555</v>
      </c>
      <c r="K1183">
        <v>4.08</v>
      </c>
      <c r="L1183" s="6">
        <v>46105.46875</v>
      </c>
      <c r="M1183" s="7">
        <f>F1183-E1183</f>
        <v>1.7361111116770189E-2</v>
      </c>
      <c r="N1183">
        <f>HOUR(M1183)</f>
        <v>0</v>
      </c>
      <c r="O1183">
        <f>MINUTE(M1183)</f>
        <v>25</v>
      </c>
      <c r="P1183">
        <f>N1183*60+O1183</f>
        <v>25</v>
      </c>
      <c r="Q1183" s="7">
        <f>G1183-F1183</f>
        <v>1.7361111109494232E-2</v>
      </c>
      <c r="R1183">
        <f>HOUR(Q1183)</f>
        <v>0</v>
      </c>
      <c r="S1183">
        <f>MINUTE(Q1183)</f>
        <v>25</v>
      </c>
      <c r="T1183">
        <f>R1183*60+S1183</f>
        <v>25</v>
      </c>
      <c r="U1183" s="7">
        <f>H1183-G1183</f>
        <v>0.125</v>
      </c>
      <c r="V1183">
        <f>HOUR(U1183)</f>
        <v>3</v>
      </c>
      <c r="W1183">
        <f>MINUTE(U1183)</f>
        <v>0</v>
      </c>
      <c r="X1183">
        <f>V1183*60+W1183</f>
        <v>180</v>
      </c>
      <c r="Y1183" s="7">
        <f>I1183-H1183</f>
        <v>6.9444444452528842E-3</v>
      </c>
      <c r="Z1183">
        <f>HOUR(Y1183)</f>
        <v>0</v>
      </c>
      <c r="AA1183">
        <f>MINUTE(Y1183)</f>
        <v>10</v>
      </c>
      <c r="AB1183">
        <f>Z1183*60+AA1183</f>
        <v>10</v>
      </c>
    </row>
    <row r="1184" spans="1:28" x14ac:dyDescent="0.25">
      <c r="A1184">
        <v>1182</v>
      </c>
      <c r="B1184" t="s">
        <v>31</v>
      </c>
      <c r="C1184">
        <v>1</v>
      </c>
      <c r="D1184" t="s">
        <v>34</v>
      </c>
      <c r="E1184" s="6">
        <v>46105.597222222219</v>
      </c>
      <c r="F1184" s="6">
        <v>46105.604166666664</v>
      </c>
      <c r="G1184" s="6">
        <v>46105.625</v>
      </c>
      <c r="H1184" s="6">
        <v>46105.729166666664</v>
      </c>
      <c r="I1184" s="6">
        <v>46105.736111111109</v>
      </c>
      <c r="J1184" s="6">
        <v>46105.739583333336</v>
      </c>
      <c r="K1184">
        <v>3.42</v>
      </c>
      <c r="L1184" s="6">
        <v>46105.746527777781</v>
      </c>
      <c r="M1184" s="7">
        <f>F1184-E1184</f>
        <v>6.9444444452528842E-3</v>
      </c>
      <c r="N1184">
        <f>HOUR(M1184)</f>
        <v>0</v>
      </c>
      <c r="O1184">
        <f>MINUTE(M1184)</f>
        <v>10</v>
      </c>
      <c r="P1184">
        <f>N1184*60+O1184</f>
        <v>10</v>
      </c>
      <c r="Q1184" s="7">
        <f>G1184-F1184</f>
        <v>2.0833333335758653E-2</v>
      </c>
      <c r="R1184">
        <f>HOUR(Q1184)</f>
        <v>0</v>
      </c>
      <c r="S1184">
        <f>MINUTE(Q1184)</f>
        <v>30</v>
      </c>
      <c r="T1184">
        <f>R1184*60+S1184</f>
        <v>30</v>
      </c>
      <c r="U1184" s="7">
        <f>H1184-G1184</f>
        <v>0.10416666666424135</v>
      </c>
      <c r="V1184">
        <f>HOUR(U1184)</f>
        <v>2</v>
      </c>
      <c r="W1184">
        <f>MINUTE(U1184)</f>
        <v>30</v>
      </c>
      <c r="X1184">
        <f>V1184*60+W1184</f>
        <v>150</v>
      </c>
      <c r="Y1184" s="7">
        <f>I1184-H1184</f>
        <v>6.9444444452528842E-3</v>
      </c>
      <c r="Z1184">
        <f>HOUR(Y1184)</f>
        <v>0</v>
      </c>
      <c r="AA1184">
        <f>MINUTE(Y1184)</f>
        <v>10</v>
      </c>
      <c r="AB1184">
        <f>Z1184*60+AA1184</f>
        <v>10</v>
      </c>
    </row>
    <row r="1185" spans="1:28" x14ac:dyDescent="0.25">
      <c r="A1185">
        <v>1183</v>
      </c>
      <c r="B1185" t="s">
        <v>29</v>
      </c>
      <c r="C1185">
        <v>1</v>
      </c>
      <c r="D1185" t="s">
        <v>32</v>
      </c>
      <c r="E1185" s="6">
        <v>46104.763888888891</v>
      </c>
      <c r="F1185" s="6">
        <v>46104.767361111109</v>
      </c>
      <c r="G1185" s="6">
        <v>46104.770833333336</v>
      </c>
      <c r="H1185" s="6">
        <v>46104.776388888888</v>
      </c>
      <c r="I1185" s="6">
        <v>46104.777777777781</v>
      </c>
      <c r="J1185" s="6">
        <v>46104.779166666667</v>
      </c>
      <c r="K1185">
        <v>0.37</v>
      </c>
      <c r="L1185" s="6">
        <v>46104.78125</v>
      </c>
      <c r="M1185" s="7">
        <f>F1185-E1185</f>
        <v>3.4722222189884633E-3</v>
      </c>
      <c r="N1185">
        <f>HOUR(M1185)</f>
        <v>0</v>
      </c>
      <c r="O1185">
        <f>MINUTE(M1185)</f>
        <v>5</v>
      </c>
      <c r="P1185">
        <f>N1185*60+O1185</f>
        <v>5</v>
      </c>
      <c r="Q1185" s="7">
        <f>G1185-F1185</f>
        <v>3.4722222262644209E-3</v>
      </c>
      <c r="R1185">
        <f>HOUR(Q1185)</f>
        <v>0</v>
      </c>
      <c r="S1185">
        <f>MINUTE(Q1185)</f>
        <v>5</v>
      </c>
      <c r="T1185">
        <f>R1185*60+S1185</f>
        <v>5</v>
      </c>
      <c r="U1185" s="7">
        <f>H1185-G1185</f>
        <v>5.5555555518367328E-3</v>
      </c>
      <c r="V1185">
        <f>HOUR(U1185)</f>
        <v>0</v>
      </c>
      <c r="W1185">
        <f>MINUTE(U1185)</f>
        <v>8</v>
      </c>
      <c r="X1185">
        <f>V1185*60+W1185</f>
        <v>8</v>
      </c>
      <c r="Y1185" s="7">
        <f>I1185-H1185</f>
        <v>1.3888888934161514E-3</v>
      </c>
      <c r="Z1185">
        <f>HOUR(Y1185)</f>
        <v>0</v>
      </c>
      <c r="AA1185">
        <f>MINUTE(Y1185)</f>
        <v>2</v>
      </c>
      <c r="AB1185">
        <f>Z1185*60+AA1185</f>
        <v>2</v>
      </c>
    </row>
    <row r="1186" spans="1:28" x14ac:dyDescent="0.25">
      <c r="A1186">
        <v>1184</v>
      </c>
      <c r="B1186" t="s">
        <v>29</v>
      </c>
      <c r="C1186">
        <v>1</v>
      </c>
      <c r="D1186" t="s">
        <v>30</v>
      </c>
      <c r="E1186" s="6">
        <v>46104.905555555553</v>
      </c>
      <c r="F1186" s="6">
        <v>46104.913194444445</v>
      </c>
      <c r="G1186" s="6">
        <v>46104.923611111109</v>
      </c>
      <c r="H1186" s="6">
        <v>46104.965277777781</v>
      </c>
      <c r="I1186" s="6">
        <v>46104.96875</v>
      </c>
      <c r="J1186" s="6">
        <v>46104.969444444447</v>
      </c>
      <c r="K1186">
        <v>1.53</v>
      </c>
      <c r="L1186" s="6">
        <v>46104.976388888892</v>
      </c>
      <c r="M1186" s="7">
        <f>F1186-E1186</f>
        <v>7.6388888919609599E-3</v>
      </c>
      <c r="N1186">
        <f>HOUR(M1186)</f>
        <v>0</v>
      </c>
      <c r="O1186">
        <f>MINUTE(M1186)</f>
        <v>11</v>
      </c>
      <c r="P1186">
        <f>N1186*60+O1186</f>
        <v>11</v>
      </c>
      <c r="Q1186" s="7">
        <f>G1186-F1186</f>
        <v>1.0416666664241347E-2</v>
      </c>
      <c r="R1186">
        <f>HOUR(Q1186)</f>
        <v>0</v>
      </c>
      <c r="S1186">
        <f>MINUTE(Q1186)</f>
        <v>15</v>
      </c>
      <c r="T1186">
        <f>R1186*60+S1186</f>
        <v>15</v>
      </c>
      <c r="U1186" s="7">
        <f>H1186-G1186</f>
        <v>4.1666666671517305E-2</v>
      </c>
      <c r="V1186">
        <f>HOUR(U1186)</f>
        <v>1</v>
      </c>
      <c r="W1186">
        <f>MINUTE(U1186)</f>
        <v>0</v>
      </c>
      <c r="X1186">
        <f>V1186*60+W1186</f>
        <v>60</v>
      </c>
      <c r="Y1186" s="7">
        <f>I1186-H1186</f>
        <v>3.4722222189884633E-3</v>
      </c>
      <c r="Z1186">
        <f>HOUR(Y1186)</f>
        <v>0</v>
      </c>
      <c r="AA1186">
        <f>MINUTE(Y1186)</f>
        <v>5</v>
      </c>
      <c r="AB1186">
        <f>Z1186*60+AA1186</f>
        <v>5</v>
      </c>
    </row>
    <row r="1187" spans="1:28" x14ac:dyDescent="0.25">
      <c r="A1187">
        <v>1185</v>
      </c>
      <c r="B1187" t="s">
        <v>33</v>
      </c>
      <c r="C1187">
        <v>1</v>
      </c>
      <c r="D1187" t="s">
        <v>35</v>
      </c>
      <c r="E1187" s="6">
        <v>46105.652777777781</v>
      </c>
      <c r="F1187" s="6">
        <v>46105.659722222219</v>
      </c>
      <c r="G1187" s="6">
        <v>46105.680555555555</v>
      </c>
      <c r="H1187" s="6">
        <v>46105.770833333336</v>
      </c>
      <c r="I1187" s="6">
        <v>46105.774305555555</v>
      </c>
      <c r="J1187" s="6">
        <v>46105.777777777781</v>
      </c>
      <c r="K1187">
        <v>3</v>
      </c>
      <c r="L1187" s="6">
        <v>46105.77847222222</v>
      </c>
      <c r="M1187" s="7">
        <f>F1187-E1187</f>
        <v>6.9444444379769266E-3</v>
      </c>
      <c r="N1187">
        <f>HOUR(M1187)</f>
        <v>0</v>
      </c>
      <c r="O1187">
        <f>MINUTE(M1187)</f>
        <v>10</v>
      </c>
      <c r="P1187">
        <f>N1187*60+O1187</f>
        <v>10</v>
      </c>
      <c r="Q1187" s="7">
        <f>G1187-F1187</f>
        <v>2.0833333335758653E-2</v>
      </c>
      <c r="R1187">
        <f>HOUR(Q1187)</f>
        <v>0</v>
      </c>
      <c r="S1187">
        <f>MINUTE(Q1187)</f>
        <v>30</v>
      </c>
      <c r="T1187">
        <f>R1187*60+S1187</f>
        <v>30</v>
      </c>
      <c r="U1187" s="7">
        <f>H1187-G1187</f>
        <v>9.0277777781011537E-2</v>
      </c>
      <c r="V1187">
        <f>HOUR(U1187)</f>
        <v>2</v>
      </c>
      <c r="W1187">
        <f>MINUTE(U1187)</f>
        <v>10</v>
      </c>
      <c r="X1187">
        <f>V1187*60+W1187</f>
        <v>130</v>
      </c>
      <c r="Y1187" s="7">
        <f>I1187-H1187</f>
        <v>3.4722222189884633E-3</v>
      </c>
      <c r="Z1187">
        <f>HOUR(Y1187)</f>
        <v>0</v>
      </c>
      <c r="AA1187">
        <f>MINUTE(Y1187)</f>
        <v>5</v>
      </c>
      <c r="AB1187">
        <f>Z1187*60+AA1187</f>
        <v>5</v>
      </c>
    </row>
    <row r="1188" spans="1:28" x14ac:dyDescent="0.25">
      <c r="A1188">
        <v>1186</v>
      </c>
      <c r="B1188" t="s">
        <v>31</v>
      </c>
      <c r="C1188">
        <v>1</v>
      </c>
      <c r="D1188" t="s">
        <v>34</v>
      </c>
      <c r="E1188" s="6">
        <v>46105.554166666669</v>
      </c>
      <c r="F1188" s="6">
        <v>46105.559027777781</v>
      </c>
      <c r="G1188" s="6">
        <v>46105.565972222219</v>
      </c>
      <c r="H1188" s="6">
        <v>46105.604166666664</v>
      </c>
      <c r="I1188" s="6">
        <v>46105.611111111109</v>
      </c>
      <c r="J1188" s="6">
        <v>46105.614583333336</v>
      </c>
      <c r="K1188">
        <v>1.45</v>
      </c>
      <c r="L1188" s="6">
        <v>46105.621527777781</v>
      </c>
      <c r="M1188" s="7">
        <f>F1188-E1188</f>
        <v>4.8611111124046147E-3</v>
      </c>
      <c r="N1188">
        <f>HOUR(M1188)</f>
        <v>0</v>
      </c>
      <c r="O1188">
        <f>MINUTE(M1188)</f>
        <v>7</v>
      </c>
      <c r="P1188">
        <f>N1188*60+O1188</f>
        <v>7</v>
      </c>
      <c r="Q1188" s="7">
        <f>G1188-F1188</f>
        <v>6.9444444379769266E-3</v>
      </c>
      <c r="R1188">
        <f>HOUR(Q1188)</f>
        <v>0</v>
      </c>
      <c r="S1188">
        <f>MINUTE(Q1188)</f>
        <v>10</v>
      </c>
      <c r="T1188">
        <f>R1188*60+S1188</f>
        <v>10</v>
      </c>
      <c r="U1188" s="7">
        <f>H1188-G1188</f>
        <v>3.8194444445252884E-2</v>
      </c>
      <c r="V1188">
        <f>HOUR(U1188)</f>
        <v>0</v>
      </c>
      <c r="W1188">
        <f>MINUTE(U1188)</f>
        <v>55</v>
      </c>
      <c r="X1188">
        <f>V1188*60+W1188</f>
        <v>55</v>
      </c>
      <c r="Y1188" s="7">
        <f>I1188-H1188</f>
        <v>6.9444444452528842E-3</v>
      </c>
      <c r="Z1188">
        <f>HOUR(Y1188)</f>
        <v>0</v>
      </c>
      <c r="AA1188">
        <f>MINUTE(Y1188)</f>
        <v>10</v>
      </c>
      <c r="AB1188">
        <f>Z1188*60+AA1188</f>
        <v>10</v>
      </c>
    </row>
    <row r="1189" spans="1:28" x14ac:dyDescent="0.25">
      <c r="A1189">
        <v>1187</v>
      </c>
      <c r="B1189" t="s">
        <v>33</v>
      </c>
      <c r="C1189">
        <v>1</v>
      </c>
      <c r="D1189" t="s">
        <v>30</v>
      </c>
      <c r="E1189" s="6">
        <v>46107.372916666667</v>
      </c>
      <c r="F1189" s="6">
        <v>46107.373611111114</v>
      </c>
      <c r="G1189" s="6">
        <v>46107.375</v>
      </c>
      <c r="H1189" s="6">
        <v>46107.376388888886</v>
      </c>
      <c r="I1189" s="6">
        <v>46107.377083333333</v>
      </c>
      <c r="J1189" s="6">
        <v>46107.385416666664</v>
      </c>
      <c r="K1189">
        <v>0.3</v>
      </c>
      <c r="L1189" s="6">
        <v>46107.392361111109</v>
      </c>
      <c r="M1189" s="7">
        <f>F1189-E1189</f>
        <v>6.944444467080757E-4</v>
      </c>
      <c r="N1189">
        <f>HOUR(M1189)</f>
        <v>0</v>
      </c>
      <c r="O1189">
        <f>MINUTE(M1189)</f>
        <v>1</v>
      </c>
      <c r="P1189">
        <f>N1189*60+O1189</f>
        <v>1</v>
      </c>
      <c r="Q1189" s="7">
        <f>G1189-F1189</f>
        <v>1.3888888861401938E-3</v>
      </c>
      <c r="R1189">
        <f>HOUR(Q1189)</f>
        <v>0</v>
      </c>
      <c r="S1189">
        <f>MINUTE(Q1189)</f>
        <v>2</v>
      </c>
      <c r="T1189">
        <f>R1189*60+S1189</f>
        <v>2</v>
      </c>
      <c r="U1189" s="7">
        <f>H1189-G1189</f>
        <v>1.3888888861401938E-3</v>
      </c>
      <c r="V1189">
        <f>HOUR(U1189)</f>
        <v>0</v>
      </c>
      <c r="W1189">
        <f>MINUTE(U1189)</f>
        <v>2</v>
      </c>
      <c r="X1189">
        <f>V1189*60+W1189</f>
        <v>2</v>
      </c>
      <c r="Y1189" s="7">
        <f>I1189-H1189</f>
        <v>6.944444467080757E-4</v>
      </c>
      <c r="Z1189">
        <f>HOUR(Y1189)</f>
        <v>0</v>
      </c>
      <c r="AA1189">
        <f>MINUTE(Y1189)</f>
        <v>1</v>
      </c>
      <c r="AB1189">
        <f>Z1189*60+AA1189</f>
        <v>1</v>
      </c>
    </row>
    <row r="1190" spans="1:28" x14ac:dyDescent="0.25">
      <c r="A1190">
        <v>1188</v>
      </c>
      <c r="B1190" t="s">
        <v>33</v>
      </c>
      <c r="C1190">
        <v>1</v>
      </c>
      <c r="D1190" t="s">
        <v>35</v>
      </c>
      <c r="E1190" s="6">
        <v>46107.288194444445</v>
      </c>
      <c r="F1190" s="6">
        <v>46107.295138888891</v>
      </c>
      <c r="G1190" s="6">
        <v>46107.298611111109</v>
      </c>
      <c r="H1190" s="6">
        <v>46107.305555555555</v>
      </c>
      <c r="I1190" s="6">
        <v>46107.306250000001</v>
      </c>
      <c r="J1190" s="6">
        <v>46107.3125</v>
      </c>
      <c r="K1190">
        <v>0.57999999999999996</v>
      </c>
      <c r="L1190" s="6">
        <v>46107.313194444447</v>
      </c>
      <c r="M1190" s="7">
        <f>F1190-E1190</f>
        <v>6.9444444452528842E-3</v>
      </c>
      <c r="N1190">
        <f>HOUR(M1190)</f>
        <v>0</v>
      </c>
      <c r="O1190">
        <f>MINUTE(M1190)</f>
        <v>10</v>
      </c>
      <c r="P1190">
        <f>N1190*60+O1190</f>
        <v>10</v>
      </c>
      <c r="Q1190" s="7">
        <f>G1190-F1190</f>
        <v>3.4722222189884633E-3</v>
      </c>
      <c r="R1190">
        <f>HOUR(Q1190)</f>
        <v>0</v>
      </c>
      <c r="S1190">
        <f>MINUTE(Q1190)</f>
        <v>5</v>
      </c>
      <c r="T1190">
        <f>R1190*60+S1190</f>
        <v>5</v>
      </c>
      <c r="U1190" s="7">
        <f>H1190-G1190</f>
        <v>6.9444444452528842E-3</v>
      </c>
      <c r="V1190">
        <f>HOUR(U1190)</f>
        <v>0</v>
      </c>
      <c r="W1190">
        <f>MINUTE(U1190)</f>
        <v>10</v>
      </c>
      <c r="X1190">
        <f>V1190*60+W1190</f>
        <v>10</v>
      </c>
      <c r="Y1190" s="7">
        <f>I1190-H1190</f>
        <v>6.944444467080757E-4</v>
      </c>
      <c r="Z1190">
        <f>HOUR(Y1190)</f>
        <v>0</v>
      </c>
      <c r="AA1190">
        <f>MINUTE(Y1190)</f>
        <v>1</v>
      </c>
      <c r="AB1190">
        <f>Z1190*60+AA1190</f>
        <v>1</v>
      </c>
    </row>
    <row r="1191" spans="1:28" x14ac:dyDescent="0.25">
      <c r="A1191">
        <v>1189</v>
      </c>
      <c r="B1191" t="s">
        <v>29</v>
      </c>
      <c r="C1191">
        <v>1</v>
      </c>
      <c r="D1191" t="s">
        <v>32</v>
      </c>
      <c r="E1191" s="6">
        <v>46106.291666666664</v>
      </c>
      <c r="F1191" s="6">
        <v>46106.315972222219</v>
      </c>
      <c r="G1191" s="6">
        <v>46106.350694444445</v>
      </c>
      <c r="H1191" s="6">
        <v>46106.413194444445</v>
      </c>
      <c r="I1191" s="6">
        <v>46106.420138888891</v>
      </c>
      <c r="J1191" s="6">
        <v>46106.423611111109</v>
      </c>
      <c r="K1191">
        <v>3.17</v>
      </c>
      <c r="L1191" s="6">
        <v>46106.430555555555</v>
      </c>
      <c r="M1191" s="7">
        <f>F1191-E1191</f>
        <v>2.4305555554747116E-2</v>
      </c>
      <c r="N1191">
        <f>HOUR(M1191)</f>
        <v>0</v>
      </c>
      <c r="O1191">
        <f>MINUTE(M1191)</f>
        <v>35</v>
      </c>
      <c r="P1191">
        <f>N1191*60+O1191</f>
        <v>35</v>
      </c>
      <c r="Q1191" s="7">
        <f>G1191-F1191</f>
        <v>3.4722222226264421E-2</v>
      </c>
      <c r="R1191">
        <f>HOUR(Q1191)</f>
        <v>0</v>
      </c>
      <c r="S1191">
        <f>MINUTE(Q1191)</f>
        <v>50</v>
      </c>
      <c r="T1191">
        <f>R1191*60+S1191</f>
        <v>50</v>
      </c>
      <c r="U1191" s="7">
        <f>H1191-G1191</f>
        <v>6.25E-2</v>
      </c>
      <c r="V1191">
        <f>HOUR(U1191)</f>
        <v>1</v>
      </c>
      <c r="W1191">
        <f>MINUTE(U1191)</f>
        <v>30</v>
      </c>
      <c r="X1191">
        <f>V1191*60+W1191</f>
        <v>90</v>
      </c>
      <c r="Y1191" s="7">
        <f>I1191-H1191</f>
        <v>6.9444444452528842E-3</v>
      </c>
      <c r="Z1191">
        <f>HOUR(Y1191)</f>
        <v>0</v>
      </c>
      <c r="AA1191">
        <f>MINUTE(Y1191)</f>
        <v>10</v>
      </c>
      <c r="AB1191">
        <f>Z1191*60+AA1191</f>
        <v>10</v>
      </c>
    </row>
    <row r="1192" spans="1:28" x14ac:dyDescent="0.25">
      <c r="A1192">
        <v>1190</v>
      </c>
      <c r="B1192" t="s">
        <v>33</v>
      </c>
      <c r="C1192">
        <v>1</v>
      </c>
      <c r="D1192" t="s">
        <v>36</v>
      </c>
      <c r="E1192" s="6">
        <v>46106.743055555555</v>
      </c>
      <c r="F1192" s="6">
        <v>46106.746527777781</v>
      </c>
      <c r="G1192" s="6">
        <v>46106.75</v>
      </c>
      <c r="H1192" s="6">
        <v>46106.777777777781</v>
      </c>
      <c r="I1192" s="6">
        <v>46106.78125</v>
      </c>
      <c r="J1192" s="6">
        <v>46106.784722222219</v>
      </c>
      <c r="K1192">
        <v>1</v>
      </c>
      <c r="L1192" s="6">
        <v>46106.791666666664</v>
      </c>
      <c r="M1192" s="7">
        <f>F1192-E1192</f>
        <v>3.4722222262644209E-3</v>
      </c>
      <c r="N1192">
        <f>HOUR(M1192)</f>
        <v>0</v>
      </c>
      <c r="O1192">
        <f>MINUTE(M1192)</f>
        <v>5</v>
      </c>
      <c r="P1192">
        <f>N1192*60+O1192</f>
        <v>5</v>
      </c>
      <c r="Q1192" s="7">
        <f>G1192-F1192</f>
        <v>3.4722222189884633E-3</v>
      </c>
      <c r="R1192">
        <f>HOUR(Q1192)</f>
        <v>0</v>
      </c>
      <c r="S1192">
        <f>MINUTE(Q1192)</f>
        <v>5</v>
      </c>
      <c r="T1192">
        <f>R1192*60+S1192</f>
        <v>5</v>
      </c>
      <c r="U1192" s="7">
        <f>H1192-G1192</f>
        <v>2.7777777781011537E-2</v>
      </c>
      <c r="V1192">
        <f>HOUR(U1192)</f>
        <v>0</v>
      </c>
      <c r="W1192">
        <f>MINUTE(U1192)</f>
        <v>40</v>
      </c>
      <c r="X1192">
        <f>V1192*60+W1192</f>
        <v>40</v>
      </c>
      <c r="Y1192" s="7">
        <f>I1192-H1192</f>
        <v>3.4722222189884633E-3</v>
      </c>
      <c r="Z1192">
        <f>HOUR(Y1192)</f>
        <v>0</v>
      </c>
      <c r="AA1192">
        <f>MINUTE(Y1192)</f>
        <v>5</v>
      </c>
      <c r="AB1192">
        <f>Z1192*60+AA1192</f>
        <v>5</v>
      </c>
    </row>
    <row r="1193" spans="1:28" x14ac:dyDescent="0.25">
      <c r="A1193">
        <v>1191</v>
      </c>
      <c r="B1193" t="s">
        <v>31</v>
      </c>
      <c r="C1193">
        <v>1</v>
      </c>
      <c r="D1193" t="s">
        <v>30</v>
      </c>
      <c r="E1193" s="6">
        <v>46112.376388888886</v>
      </c>
      <c r="F1193" s="6">
        <v>46112.385416666664</v>
      </c>
      <c r="G1193" s="6">
        <v>46112.387499999997</v>
      </c>
      <c r="H1193" s="6">
        <v>46112.390277777777</v>
      </c>
      <c r="I1193" s="6">
        <v>46112.390972222223</v>
      </c>
      <c r="J1193" s="6">
        <v>46112.392361111109</v>
      </c>
      <c r="K1193">
        <v>0.38</v>
      </c>
      <c r="L1193" s="6">
        <v>46112.399305555555</v>
      </c>
      <c r="M1193" s="7">
        <f>F1193-E1193</f>
        <v>9.0277777781011537E-3</v>
      </c>
      <c r="N1193">
        <f>HOUR(M1193)</f>
        <v>0</v>
      </c>
      <c r="O1193">
        <f>MINUTE(M1193)</f>
        <v>13</v>
      </c>
      <c r="P1193">
        <f>N1193*60+O1193</f>
        <v>13</v>
      </c>
      <c r="Q1193" s="7">
        <f>G1193-F1193</f>
        <v>2.0833333328482695E-3</v>
      </c>
      <c r="R1193">
        <f>HOUR(Q1193)</f>
        <v>0</v>
      </c>
      <c r="S1193">
        <f>MINUTE(Q1193)</f>
        <v>3</v>
      </c>
      <c r="T1193">
        <f>R1193*60+S1193</f>
        <v>3</v>
      </c>
      <c r="U1193" s="7">
        <f>H1193-G1193</f>
        <v>2.7777777795563452E-3</v>
      </c>
      <c r="V1193">
        <f>HOUR(U1193)</f>
        <v>0</v>
      </c>
      <c r="W1193">
        <f>MINUTE(U1193)</f>
        <v>4</v>
      </c>
      <c r="X1193">
        <f>V1193*60+W1193</f>
        <v>4</v>
      </c>
      <c r="Y1193" s="7">
        <f>I1193-H1193</f>
        <v>6.944444467080757E-4</v>
      </c>
      <c r="Z1193">
        <f>HOUR(Y1193)</f>
        <v>0</v>
      </c>
      <c r="AA1193">
        <f>MINUTE(Y1193)</f>
        <v>1</v>
      </c>
      <c r="AB1193">
        <f>Z1193*60+AA1193</f>
        <v>1</v>
      </c>
    </row>
    <row r="1194" spans="1:28" x14ac:dyDescent="0.25">
      <c r="A1194">
        <v>1192</v>
      </c>
      <c r="B1194" t="s">
        <v>31</v>
      </c>
      <c r="C1194">
        <v>1</v>
      </c>
      <c r="D1194" t="s">
        <v>35</v>
      </c>
      <c r="E1194" s="6">
        <v>46106.291666666664</v>
      </c>
      <c r="F1194" s="6">
        <v>46106.322916666664</v>
      </c>
      <c r="G1194" s="6">
        <v>46106.375</v>
      </c>
      <c r="H1194" s="6">
        <v>46106.451388888891</v>
      </c>
      <c r="I1194" s="6">
        <v>46106.465277777781</v>
      </c>
      <c r="J1194" s="6">
        <v>46106.46875</v>
      </c>
      <c r="K1194">
        <v>4.25</v>
      </c>
      <c r="L1194" s="6">
        <v>46106.469444444447</v>
      </c>
      <c r="M1194" s="7">
        <f>F1194-E1194</f>
        <v>3.125E-2</v>
      </c>
      <c r="N1194">
        <f>HOUR(M1194)</f>
        <v>0</v>
      </c>
      <c r="O1194">
        <f>MINUTE(M1194)</f>
        <v>45</v>
      </c>
      <c r="P1194">
        <f>N1194*60+O1194</f>
        <v>45</v>
      </c>
      <c r="Q1194" s="7">
        <f>G1194-F1194</f>
        <v>5.2083333335758653E-2</v>
      </c>
      <c r="R1194">
        <f>HOUR(Q1194)</f>
        <v>1</v>
      </c>
      <c r="S1194">
        <f>MINUTE(Q1194)</f>
        <v>15</v>
      </c>
      <c r="T1194">
        <f>R1194*60+S1194</f>
        <v>75</v>
      </c>
      <c r="U1194" s="7">
        <f>H1194-G1194</f>
        <v>7.6388888890505768E-2</v>
      </c>
      <c r="V1194">
        <f>HOUR(U1194)</f>
        <v>1</v>
      </c>
      <c r="W1194">
        <f>MINUTE(U1194)</f>
        <v>50</v>
      </c>
      <c r="X1194">
        <f>V1194*60+W1194</f>
        <v>110</v>
      </c>
      <c r="Y1194" s="7">
        <f>I1194-H1194</f>
        <v>1.3888888890505768E-2</v>
      </c>
      <c r="Z1194">
        <f>HOUR(Y1194)</f>
        <v>0</v>
      </c>
      <c r="AA1194">
        <f>MINUTE(Y1194)</f>
        <v>20</v>
      </c>
      <c r="AB1194">
        <f>Z1194*60+AA1194</f>
        <v>20</v>
      </c>
    </row>
    <row r="1195" spans="1:28" x14ac:dyDescent="0.25">
      <c r="A1195">
        <v>1193</v>
      </c>
      <c r="B1195" t="s">
        <v>29</v>
      </c>
      <c r="C1195">
        <v>1</v>
      </c>
      <c r="D1195" t="s">
        <v>32</v>
      </c>
      <c r="E1195" s="6">
        <v>46107.339583333334</v>
      </c>
      <c r="F1195" s="6">
        <v>46107.340277777781</v>
      </c>
      <c r="G1195" s="6">
        <v>46107.34097222222</v>
      </c>
      <c r="H1195" s="6">
        <v>46107.345833333333</v>
      </c>
      <c r="I1195" s="6">
        <v>46107.34652777778</v>
      </c>
      <c r="J1195" s="6">
        <v>46107.347222222219</v>
      </c>
      <c r="K1195">
        <v>0.18</v>
      </c>
      <c r="L1195" s="6">
        <v>46107.347916666666</v>
      </c>
      <c r="M1195" s="7">
        <f>F1195-E1195</f>
        <v>6.944444467080757E-4</v>
      </c>
      <c r="N1195">
        <f>HOUR(M1195)</f>
        <v>0</v>
      </c>
      <c r="O1195">
        <f>MINUTE(M1195)</f>
        <v>1</v>
      </c>
      <c r="P1195">
        <f>N1195*60+O1195</f>
        <v>1</v>
      </c>
      <c r="Q1195" s="7">
        <f>G1195-F1195</f>
        <v>6.9444443943211809E-4</v>
      </c>
      <c r="R1195">
        <f>HOUR(Q1195)</f>
        <v>0</v>
      </c>
      <c r="S1195">
        <f>MINUTE(Q1195)</f>
        <v>1</v>
      </c>
      <c r="T1195">
        <f>R1195*60+S1195</f>
        <v>1</v>
      </c>
      <c r="U1195" s="7">
        <f>H1195-G1195</f>
        <v>4.8611111124046147E-3</v>
      </c>
      <c r="V1195">
        <f>HOUR(U1195)</f>
        <v>0</v>
      </c>
      <c r="W1195">
        <f>MINUTE(U1195)</f>
        <v>7</v>
      </c>
      <c r="X1195">
        <f>V1195*60+W1195</f>
        <v>7</v>
      </c>
      <c r="Y1195" s="7">
        <f>I1195-H1195</f>
        <v>6.944444467080757E-4</v>
      </c>
      <c r="Z1195">
        <f>HOUR(Y1195)</f>
        <v>0</v>
      </c>
      <c r="AA1195">
        <f>MINUTE(Y1195)</f>
        <v>1</v>
      </c>
      <c r="AB1195">
        <f>Z1195*60+AA1195</f>
        <v>1</v>
      </c>
    </row>
    <row r="1196" spans="1:28" x14ac:dyDescent="0.25">
      <c r="A1196">
        <v>1194</v>
      </c>
      <c r="B1196" t="s">
        <v>31</v>
      </c>
      <c r="C1196">
        <v>1</v>
      </c>
      <c r="D1196" t="s">
        <v>34</v>
      </c>
      <c r="E1196" s="6">
        <v>46106.290277777778</v>
      </c>
      <c r="F1196" s="6">
        <v>46106.3125</v>
      </c>
      <c r="G1196" s="6">
        <v>46106.336805555555</v>
      </c>
      <c r="H1196" s="6">
        <v>46106.559027777781</v>
      </c>
      <c r="I1196" s="6">
        <v>46106.5625</v>
      </c>
      <c r="J1196" s="6">
        <v>46106.563194444447</v>
      </c>
      <c r="K1196">
        <v>6.55</v>
      </c>
      <c r="L1196" s="6">
        <v>46106.563888888886</v>
      </c>
      <c r="M1196" s="7">
        <f>F1196-E1196</f>
        <v>2.2222222221898846E-2</v>
      </c>
      <c r="N1196">
        <f>HOUR(M1196)</f>
        <v>0</v>
      </c>
      <c r="O1196">
        <f>MINUTE(M1196)</f>
        <v>32</v>
      </c>
      <c r="P1196">
        <f>N1196*60+O1196</f>
        <v>32</v>
      </c>
      <c r="Q1196" s="7">
        <f>G1196-F1196</f>
        <v>2.4305555554747116E-2</v>
      </c>
      <c r="R1196">
        <f>HOUR(Q1196)</f>
        <v>0</v>
      </c>
      <c r="S1196">
        <f>MINUTE(Q1196)</f>
        <v>35</v>
      </c>
      <c r="T1196">
        <f>R1196*60+S1196</f>
        <v>35</v>
      </c>
      <c r="U1196" s="7">
        <f>H1196-G1196</f>
        <v>0.22222222222626442</v>
      </c>
      <c r="V1196">
        <f>HOUR(U1196)</f>
        <v>5</v>
      </c>
      <c r="W1196">
        <f>MINUTE(U1196)</f>
        <v>20</v>
      </c>
      <c r="X1196">
        <f>V1196*60+W1196</f>
        <v>320</v>
      </c>
      <c r="Y1196" s="7">
        <f>I1196-H1196</f>
        <v>3.4722222189884633E-3</v>
      </c>
      <c r="Z1196">
        <f>HOUR(Y1196)</f>
        <v>0</v>
      </c>
      <c r="AA1196">
        <f>MINUTE(Y1196)</f>
        <v>5</v>
      </c>
      <c r="AB1196">
        <f>Z1196*60+AA1196</f>
        <v>5</v>
      </c>
    </row>
    <row r="1197" spans="1:28" x14ac:dyDescent="0.25">
      <c r="A1197">
        <v>1195</v>
      </c>
      <c r="B1197" t="s">
        <v>33</v>
      </c>
      <c r="C1197">
        <v>1</v>
      </c>
      <c r="D1197" t="s">
        <v>37</v>
      </c>
      <c r="E1197" s="6">
        <v>46106.475694444445</v>
      </c>
      <c r="F1197" s="6">
        <v>46106.486111111109</v>
      </c>
      <c r="G1197" s="6">
        <v>46106.555555555555</v>
      </c>
      <c r="H1197" s="6">
        <v>46106.6875</v>
      </c>
      <c r="I1197" s="6">
        <v>46106.736111111109</v>
      </c>
      <c r="J1197" s="6">
        <v>46106.753472222219</v>
      </c>
      <c r="K1197">
        <v>6.67</v>
      </c>
      <c r="L1197" s="6">
        <v>46106.754166666666</v>
      </c>
      <c r="M1197" s="7">
        <f>F1197-E1197</f>
        <v>1.0416666664241347E-2</v>
      </c>
      <c r="N1197">
        <f>HOUR(M1197)</f>
        <v>0</v>
      </c>
      <c r="O1197">
        <f>MINUTE(M1197)</f>
        <v>15</v>
      </c>
      <c r="P1197">
        <f>N1197*60+O1197</f>
        <v>15</v>
      </c>
      <c r="Q1197" s="7">
        <f>G1197-F1197</f>
        <v>6.9444444445252884E-2</v>
      </c>
      <c r="R1197">
        <f>HOUR(Q1197)</f>
        <v>1</v>
      </c>
      <c r="S1197">
        <f>MINUTE(Q1197)</f>
        <v>40</v>
      </c>
      <c r="T1197">
        <f>R1197*60+S1197</f>
        <v>100</v>
      </c>
      <c r="U1197" s="7">
        <f>H1197-G1197</f>
        <v>0.13194444444525288</v>
      </c>
      <c r="V1197">
        <f>HOUR(U1197)</f>
        <v>3</v>
      </c>
      <c r="W1197">
        <f>MINUTE(U1197)</f>
        <v>10</v>
      </c>
      <c r="X1197">
        <f>V1197*60+W1197</f>
        <v>190</v>
      </c>
      <c r="Y1197" s="7">
        <f>I1197-H1197</f>
        <v>4.8611111109494232E-2</v>
      </c>
      <c r="Z1197">
        <f>HOUR(Y1197)</f>
        <v>1</v>
      </c>
      <c r="AA1197">
        <f>MINUTE(Y1197)</f>
        <v>10</v>
      </c>
      <c r="AB1197">
        <f>Z1197*60+AA1197</f>
        <v>70</v>
      </c>
    </row>
    <row r="1198" spans="1:28" x14ac:dyDescent="0.25">
      <c r="A1198">
        <v>1196</v>
      </c>
      <c r="B1198" t="s">
        <v>31</v>
      </c>
      <c r="C1198">
        <v>1</v>
      </c>
      <c r="D1198" t="s">
        <v>32</v>
      </c>
      <c r="E1198" s="6">
        <v>46106.305555555555</v>
      </c>
      <c r="F1198" s="6">
        <v>46106.340277777781</v>
      </c>
      <c r="G1198" s="6">
        <v>46106.361111111109</v>
      </c>
      <c r="H1198" s="6">
        <v>46106.605555555558</v>
      </c>
      <c r="I1198" s="6">
        <v>46106.618055555555</v>
      </c>
      <c r="J1198" s="6">
        <v>46106.6875</v>
      </c>
      <c r="K1198">
        <v>9.17</v>
      </c>
      <c r="L1198" s="6">
        <v>46106.692361111112</v>
      </c>
      <c r="M1198" s="7">
        <f>F1198-E1198</f>
        <v>3.4722222226264421E-2</v>
      </c>
      <c r="N1198">
        <f>HOUR(M1198)</f>
        <v>0</v>
      </c>
      <c r="O1198">
        <f>MINUTE(M1198)</f>
        <v>50</v>
      </c>
      <c r="P1198">
        <f>N1198*60+O1198</f>
        <v>50</v>
      </c>
      <c r="Q1198" s="7">
        <f>G1198-F1198</f>
        <v>2.0833333328482695E-2</v>
      </c>
      <c r="R1198">
        <f>HOUR(Q1198)</f>
        <v>0</v>
      </c>
      <c r="S1198">
        <f>MINUTE(Q1198)</f>
        <v>30</v>
      </c>
      <c r="T1198">
        <f>R1198*60+S1198</f>
        <v>30</v>
      </c>
      <c r="U1198" s="7">
        <f>H1198-G1198</f>
        <v>0.24444444444816327</v>
      </c>
      <c r="V1198">
        <f>HOUR(U1198)</f>
        <v>5</v>
      </c>
      <c r="W1198">
        <f>MINUTE(U1198)</f>
        <v>52</v>
      </c>
      <c r="X1198">
        <f>V1198*60+W1198</f>
        <v>352</v>
      </c>
      <c r="Y1198" s="7">
        <f>I1198-H1198</f>
        <v>1.2499999997089617E-2</v>
      </c>
      <c r="Z1198">
        <f>HOUR(Y1198)</f>
        <v>0</v>
      </c>
      <c r="AA1198">
        <f>MINUTE(Y1198)</f>
        <v>18</v>
      </c>
      <c r="AB1198">
        <f>Z1198*60+AA1198</f>
        <v>18</v>
      </c>
    </row>
    <row r="1199" spans="1:28" x14ac:dyDescent="0.25">
      <c r="A1199">
        <v>1197</v>
      </c>
      <c r="B1199" t="s">
        <v>29</v>
      </c>
      <c r="C1199">
        <v>1</v>
      </c>
      <c r="D1199" t="s">
        <v>35</v>
      </c>
      <c r="E1199" s="6">
        <v>46106.736111111109</v>
      </c>
      <c r="F1199" s="6">
        <v>46106.75</v>
      </c>
      <c r="G1199" s="6">
        <v>46106.763888888891</v>
      </c>
      <c r="H1199" s="6">
        <v>46106.777777777781</v>
      </c>
      <c r="I1199" s="6">
        <v>46106.784722222219</v>
      </c>
      <c r="J1199" s="6">
        <v>46106.791666666664</v>
      </c>
      <c r="K1199">
        <v>1.33</v>
      </c>
      <c r="L1199" s="6">
        <v>46106.792361111111</v>
      </c>
      <c r="M1199" s="7">
        <f>F1199-E1199</f>
        <v>1.3888888890505768E-2</v>
      </c>
      <c r="N1199">
        <f>HOUR(M1199)</f>
        <v>0</v>
      </c>
      <c r="O1199">
        <f>MINUTE(M1199)</f>
        <v>20</v>
      </c>
      <c r="P1199">
        <f>N1199*60+O1199</f>
        <v>20</v>
      </c>
      <c r="Q1199" s="7">
        <f>G1199-F1199</f>
        <v>1.3888888890505768E-2</v>
      </c>
      <c r="R1199">
        <f>HOUR(Q1199)</f>
        <v>0</v>
      </c>
      <c r="S1199">
        <f>MINUTE(Q1199)</f>
        <v>20</v>
      </c>
      <c r="T1199">
        <f>R1199*60+S1199</f>
        <v>20</v>
      </c>
      <c r="U1199" s="7">
        <f>H1199-G1199</f>
        <v>1.3888888890505768E-2</v>
      </c>
      <c r="V1199">
        <f>HOUR(U1199)</f>
        <v>0</v>
      </c>
      <c r="W1199">
        <f>MINUTE(U1199)</f>
        <v>20</v>
      </c>
      <c r="X1199">
        <f>V1199*60+W1199</f>
        <v>20</v>
      </c>
      <c r="Y1199" s="7">
        <f>I1199-H1199</f>
        <v>6.9444444379769266E-3</v>
      </c>
      <c r="Z1199">
        <f>HOUR(Y1199)</f>
        <v>0</v>
      </c>
      <c r="AA1199">
        <f>MINUTE(Y1199)</f>
        <v>10</v>
      </c>
      <c r="AB1199">
        <f>Z1199*60+AA1199</f>
        <v>10</v>
      </c>
    </row>
    <row r="1200" spans="1:28" x14ac:dyDescent="0.25">
      <c r="A1200">
        <v>1198</v>
      </c>
      <c r="B1200" t="s">
        <v>29</v>
      </c>
      <c r="C1200">
        <v>1</v>
      </c>
      <c r="D1200" t="s">
        <v>32</v>
      </c>
      <c r="E1200" s="6">
        <v>46105.75</v>
      </c>
      <c r="F1200" s="6">
        <v>46105.756944444445</v>
      </c>
      <c r="G1200" s="6">
        <v>46105.758333333331</v>
      </c>
      <c r="H1200" s="6">
        <v>46105.781944444447</v>
      </c>
      <c r="I1200" s="6">
        <v>46105.784722222219</v>
      </c>
      <c r="J1200" s="6">
        <v>46105.785416666666</v>
      </c>
      <c r="K1200">
        <v>0.85</v>
      </c>
      <c r="L1200" s="6">
        <v>46105.792361111111</v>
      </c>
      <c r="M1200" s="7">
        <f>F1200-E1200</f>
        <v>6.9444444452528842E-3</v>
      </c>
      <c r="N1200">
        <f>HOUR(M1200)</f>
        <v>0</v>
      </c>
      <c r="O1200">
        <f>MINUTE(M1200)</f>
        <v>10</v>
      </c>
      <c r="P1200">
        <f>N1200*60+O1200</f>
        <v>10</v>
      </c>
      <c r="Q1200" s="7">
        <f>G1200-F1200</f>
        <v>1.3888888861401938E-3</v>
      </c>
      <c r="R1200">
        <f>HOUR(Q1200)</f>
        <v>0</v>
      </c>
      <c r="S1200">
        <f>MINUTE(Q1200)</f>
        <v>2</v>
      </c>
      <c r="T1200">
        <f>R1200*60+S1200</f>
        <v>2</v>
      </c>
      <c r="U1200" s="7">
        <f>H1200-G1200</f>
        <v>2.3611111115314998E-2</v>
      </c>
      <c r="V1200">
        <f>HOUR(U1200)</f>
        <v>0</v>
      </c>
      <c r="W1200">
        <f>MINUTE(U1200)</f>
        <v>34</v>
      </c>
      <c r="X1200">
        <f>V1200*60+W1200</f>
        <v>34</v>
      </c>
      <c r="Y1200" s="7">
        <f>I1200-H1200</f>
        <v>2.7777777722803876E-3</v>
      </c>
      <c r="Z1200">
        <f>HOUR(Y1200)</f>
        <v>0</v>
      </c>
      <c r="AA1200">
        <f>MINUTE(Y1200)</f>
        <v>4</v>
      </c>
      <c r="AB1200">
        <f>Z1200*60+AA1200</f>
        <v>4</v>
      </c>
    </row>
    <row r="1201" spans="1:28" x14ac:dyDescent="0.25">
      <c r="A1201">
        <v>1199</v>
      </c>
      <c r="B1201" t="s">
        <v>31</v>
      </c>
      <c r="C1201">
        <v>1</v>
      </c>
      <c r="D1201" t="s">
        <v>30</v>
      </c>
      <c r="E1201" s="6">
        <v>46105.78125</v>
      </c>
      <c r="F1201" s="6">
        <v>46105.783333333333</v>
      </c>
      <c r="G1201" s="6">
        <v>46105.784722222219</v>
      </c>
      <c r="H1201" s="6">
        <v>46105.805555555555</v>
      </c>
      <c r="I1201" s="6">
        <v>46105.8125</v>
      </c>
      <c r="J1201" s="6">
        <v>46105.819444444445</v>
      </c>
      <c r="K1201">
        <v>0.92</v>
      </c>
      <c r="L1201" s="6">
        <v>46105.826388888891</v>
      </c>
      <c r="M1201" s="7">
        <f>F1201-E1201</f>
        <v>2.0833333328482695E-3</v>
      </c>
      <c r="N1201">
        <f>HOUR(M1201)</f>
        <v>0</v>
      </c>
      <c r="O1201">
        <f>MINUTE(M1201)</f>
        <v>3</v>
      </c>
      <c r="P1201">
        <f>N1201*60+O1201</f>
        <v>3</v>
      </c>
      <c r="Q1201" s="7">
        <f>G1201-F1201</f>
        <v>1.3888888861401938E-3</v>
      </c>
      <c r="R1201">
        <f>HOUR(Q1201)</f>
        <v>0</v>
      </c>
      <c r="S1201">
        <f>MINUTE(Q1201)</f>
        <v>2</v>
      </c>
      <c r="T1201">
        <f>R1201*60+S1201</f>
        <v>2</v>
      </c>
      <c r="U1201" s="7">
        <f>H1201-G1201</f>
        <v>2.0833333335758653E-2</v>
      </c>
      <c r="V1201">
        <f>HOUR(U1201)</f>
        <v>0</v>
      </c>
      <c r="W1201">
        <f>MINUTE(U1201)</f>
        <v>30</v>
      </c>
      <c r="X1201">
        <f>V1201*60+W1201</f>
        <v>30</v>
      </c>
      <c r="Y1201" s="7">
        <f>I1201-H1201</f>
        <v>6.9444444452528842E-3</v>
      </c>
      <c r="Z1201">
        <f>HOUR(Y1201)</f>
        <v>0</v>
      </c>
      <c r="AA1201">
        <f>MINUTE(Y1201)</f>
        <v>10</v>
      </c>
      <c r="AB1201">
        <f>Z1201*60+AA1201</f>
        <v>10</v>
      </c>
    </row>
    <row r="1202" spans="1:28" x14ac:dyDescent="0.25">
      <c r="A1202">
        <v>1200</v>
      </c>
      <c r="B1202" t="s">
        <v>31</v>
      </c>
      <c r="C1202">
        <v>1</v>
      </c>
      <c r="D1202" t="s">
        <v>35</v>
      </c>
      <c r="E1202" s="6">
        <v>46106.166666666664</v>
      </c>
      <c r="F1202" s="6">
        <v>46106.173611111109</v>
      </c>
      <c r="G1202" s="6">
        <v>46106.180555555555</v>
      </c>
      <c r="H1202" s="6">
        <v>46106.243055555555</v>
      </c>
      <c r="I1202" s="6">
        <v>46106.25</v>
      </c>
      <c r="J1202" s="6">
        <v>46106.256944444445</v>
      </c>
      <c r="K1202">
        <v>2.17</v>
      </c>
      <c r="L1202" s="6">
        <v>46106.263888888891</v>
      </c>
      <c r="M1202" s="7">
        <f>F1202-E1202</f>
        <v>6.9444444452528842E-3</v>
      </c>
      <c r="N1202">
        <f>HOUR(M1202)</f>
        <v>0</v>
      </c>
      <c r="O1202">
        <f>MINUTE(M1202)</f>
        <v>10</v>
      </c>
      <c r="P1202">
        <f>N1202*60+O1202</f>
        <v>10</v>
      </c>
      <c r="Q1202" s="7">
        <f>G1202-F1202</f>
        <v>6.9444444452528842E-3</v>
      </c>
      <c r="R1202">
        <f>HOUR(Q1202)</f>
        <v>0</v>
      </c>
      <c r="S1202">
        <f>MINUTE(Q1202)</f>
        <v>10</v>
      </c>
      <c r="T1202">
        <f>R1202*60+S1202</f>
        <v>10</v>
      </c>
      <c r="U1202" s="7">
        <f>H1202-G1202</f>
        <v>6.25E-2</v>
      </c>
      <c r="V1202">
        <f>HOUR(U1202)</f>
        <v>1</v>
      </c>
      <c r="W1202">
        <f>MINUTE(U1202)</f>
        <v>30</v>
      </c>
      <c r="X1202">
        <f>V1202*60+W1202</f>
        <v>90</v>
      </c>
      <c r="Y1202" s="7">
        <f>I1202-H1202</f>
        <v>6.9444444452528842E-3</v>
      </c>
      <c r="Z1202">
        <f>HOUR(Y1202)</f>
        <v>0</v>
      </c>
      <c r="AA1202">
        <f>MINUTE(Y1202)</f>
        <v>10</v>
      </c>
      <c r="AB1202">
        <f>Z1202*60+AA1202</f>
        <v>10</v>
      </c>
    </row>
    <row r="1203" spans="1:28" x14ac:dyDescent="0.25">
      <c r="A1203">
        <v>1201</v>
      </c>
      <c r="B1203" t="s">
        <v>33</v>
      </c>
      <c r="C1203">
        <v>1</v>
      </c>
      <c r="D1203" t="s">
        <v>30</v>
      </c>
      <c r="E1203" s="6">
        <v>46106.326388888891</v>
      </c>
      <c r="F1203" s="6">
        <v>46106.333333333336</v>
      </c>
      <c r="G1203" s="6">
        <v>46106.354166666664</v>
      </c>
      <c r="H1203" s="6">
        <v>46106.4375</v>
      </c>
      <c r="I1203" s="6">
        <v>46106.440972222219</v>
      </c>
      <c r="J1203" s="6">
        <v>46106.443055555559</v>
      </c>
      <c r="K1203">
        <v>2.8</v>
      </c>
      <c r="L1203" s="6">
        <v>46106.45</v>
      </c>
      <c r="M1203" s="7">
        <f>F1203-E1203</f>
        <v>6.9444444452528842E-3</v>
      </c>
      <c r="N1203">
        <f>HOUR(M1203)</f>
        <v>0</v>
      </c>
      <c r="O1203">
        <f>MINUTE(M1203)</f>
        <v>10</v>
      </c>
      <c r="P1203">
        <f>N1203*60+O1203</f>
        <v>10</v>
      </c>
      <c r="Q1203" s="7">
        <f>G1203-F1203</f>
        <v>2.0833333328482695E-2</v>
      </c>
      <c r="R1203">
        <f>HOUR(Q1203)</f>
        <v>0</v>
      </c>
      <c r="S1203">
        <f>MINUTE(Q1203)</f>
        <v>30</v>
      </c>
      <c r="T1203">
        <f>R1203*60+S1203</f>
        <v>30</v>
      </c>
      <c r="U1203" s="7">
        <f>H1203-G1203</f>
        <v>8.3333333335758653E-2</v>
      </c>
      <c r="V1203">
        <f>HOUR(U1203)</f>
        <v>2</v>
      </c>
      <c r="W1203">
        <f>MINUTE(U1203)</f>
        <v>0</v>
      </c>
      <c r="X1203">
        <f>V1203*60+W1203</f>
        <v>120</v>
      </c>
      <c r="Y1203" s="7">
        <f>I1203-H1203</f>
        <v>3.4722222189884633E-3</v>
      </c>
      <c r="Z1203">
        <f>HOUR(Y1203)</f>
        <v>0</v>
      </c>
      <c r="AA1203">
        <f>MINUTE(Y1203)</f>
        <v>5</v>
      </c>
      <c r="AB1203">
        <f>Z1203*60+AA1203</f>
        <v>5</v>
      </c>
    </row>
    <row r="1204" spans="1:28" x14ac:dyDescent="0.25">
      <c r="A1204">
        <v>1202</v>
      </c>
      <c r="B1204" t="s">
        <v>31</v>
      </c>
      <c r="C1204">
        <v>1</v>
      </c>
      <c r="D1204" t="s">
        <v>30</v>
      </c>
      <c r="E1204" s="6">
        <v>46106.625</v>
      </c>
      <c r="F1204" s="6">
        <v>46106.638888888891</v>
      </c>
      <c r="G1204" s="6">
        <v>46106.645833333336</v>
      </c>
      <c r="H1204" s="6">
        <v>46106.715277777781</v>
      </c>
      <c r="I1204" s="6">
        <v>46106.71875</v>
      </c>
      <c r="J1204" s="6">
        <v>46106.722222222219</v>
      </c>
      <c r="K1204">
        <v>2.33</v>
      </c>
      <c r="L1204" s="6">
        <v>46106.729166666664</v>
      </c>
      <c r="M1204" s="7">
        <f>F1204-E1204</f>
        <v>1.3888888890505768E-2</v>
      </c>
      <c r="N1204">
        <f>HOUR(M1204)</f>
        <v>0</v>
      </c>
      <c r="O1204">
        <f>MINUTE(M1204)</f>
        <v>20</v>
      </c>
      <c r="P1204">
        <f>N1204*60+O1204</f>
        <v>20</v>
      </c>
      <c r="Q1204" s="7">
        <f>G1204-F1204</f>
        <v>6.9444444452528842E-3</v>
      </c>
      <c r="R1204">
        <f>HOUR(Q1204)</f>
        <v>0</v>
      </c>
      <c r="S1204">
        <f>MINUTE(Q1204)</f>
        <v>10</v>
      </c>
      <c r="T1204">
        <f>R1204*60+S1204</f>
        <v>10</v>
      </c>
      <c r="U1204" s="7">
        <f>H1204-G1204</f>
        <v>6.9444444445252884E-2</v>
      </c>
      <c r="V1204">
        <f>HOUR(U1204)</f>
        <v>1</v>
      </c>
      <c r="W1204">
        <f>MINUTE(U1204)</f>
        <v>40</v>
      </c>
      <c r="X1204">
        <f>V1204*60+W1204</f>
        <v>100</v>
      </c>
      <c r="Y1204" s="7">
        <f>I1204-H1204</f>
        <v>3.4722222189884633E-3</v>
      </c>
      <c r="Z1204">
        <f>HOUR(Y1204)</f>
        <v>0</v>
      </c>
      <c r="AA1204">
        <f>MINUTE(Y1204)</f>
        <v>5</v>
      </c>
      <c r="AB1204">
        <f>Z1204*60+AA1204</f>
        <v>5</v>
      </c>
    </row>
    <row r="1205" spans="1:28" x14ac:dyDescent="0.25">
      <c r="A1205">
        <v>1203</v>
      </c>
      <c r="B1205" t="s">
        <v>33</v>
      </c>
      <c r="C1205">
        <v>1</v>
      </c>
      <c r="D1205" t="s">
        <v>35</v>
      </c>
      <c r="E1205" s="6">
        <v>46106.489583333336</v>
      </c>
      <c r="F1205" s="6">
        <v>46106.506944444445</v>
      </c>
      <c r="G1205" s="6">
        <v>46106.53125</v>
      </c>
      <c r="H1205" s="6">
        <v>46106.552083333336</v>
      </c>
      <c r="I1205" s="6">
        <v>46106.559027777781</v>
      </c>
      <c r="J1205" s="6">
        <v>46106.569444444445</v>
      </c>
      <c r="K1205">
        <v>1.92</v>
      </c>
      <c r="L1205" s="6">
        <v>46106.572916666664</v>
      </c>
      <c r="M1205" s="7">
        <f>F1205-E1205</f>
        <v>1.7361111109494232E-2</v>
      </c>
      <c r="N1205">
        <f>HOUR(M1205)</f>
        <v>0</v>
      </c>
      <c r="O1205">
        <f>MINUTE(M1205)</f>
        <v>25</v>
      </c>
      <c r="P1205">
        <f>N1205*60+O1205</f>
        <v>25</v>
      </c>
      <c r="Q1205" s="7">
        <f>G1205-F1205</f>
        <v>2.4305555554747116E-2</v>
      </c>
      <c r="R1205">
        <f>HOUR(Q1205)</f>
        <v>0</v>
      </c>
      <c r="S1205">
        <f>MINUTE(Q1205)</f>
        <v>35</v>
      </c>
      <c r="T1205">
        <f>R1205*60+S1205</f>
        <v>35</v>
      </c>
      <c r="U1205" s="7">
        <f>H1205-G1205</f>
        <v>2.0833333335758653E-2</v>
      </c>
      <c r="V1205">
        <f>HOUR(U1205)</f>
        <v>0</v>
      </c>
      <c r="W1205">
        <f>MINUTE(U1205)</f>
        <v>30</v>
      </c>
      <c r="X1205">
        <f>V1205*60+W1205</f>
        <v>30</v>
      </c>
      <c r="Y1205" s="7">
        <f>I1205-H1205</f>
        <v>6.9444444452528842E-3</v>
      </c>
      <c r="Z1205">
        <f>HOUR(Y1205)</f>
        <v>0</v>
      </c>
      <c r="AA1205">
        <f>MINUTE(Y1205)</f>
        <v>10</v>
      </c>
      <c r="AB1205">
        <f>Z1205*60+AA1205</f>
        <v>10</v>
      </c>
    </row>
    <row r="1206" spans="1:28" x14ac:dyDescent="0.25">
      <c r="A1206">
        <v>1204</v>
      </c>
      <c r="B1206" t="s">
        <v>33</v>
      </c>
      <c r="C1206">
        <v>1</v>
      </c>
      <c r="D1206" t="s">
        <v>30</v>
      </c>
      <c r="E1206" s="6">
        <v>46106.472222222219</v>
      </c>
      <c r="F1206" s="6">
        <v>46106.482638888891</v>
      </c>
      <c r="G1206" s="6">
        <v>46106.497916666667</v>
      </c>
      <c r="H1206" s="6">
        <v>46106.576388888891</v>
      </c>
      <c r="I1206" s="6">
        <v>46106.583333333336</v>
      </c>
      <c r="J1206" s="6">
        <v>46106.59375</v>
      </c>
      <c r="K1206">
        <v>2.92</v>
      </c>
      <c r="L1206" s="6">
        <v>46106.600694444445</v>
      </c>
      <c r="M1206" s="7">
        <f>F1206-E1206</f>
        <v>1.0416666671517305E-2</v>
      </c>
      <c r="N1206">
        <f>HOUR(M1206)</f>
        <v>0</v>
      </c>
      <c r="O1206">
        <f>MINUTE(M1206)</f>
        <v>15</v>
      </c>
      <c r="P1206">
        <f>N1206*60+O1206</f>
        <v>15</v>
      </c>
      <c r="Q1206" s="7">
        <f>G1206-F1206</f>
        <v>1.5277777776645962E-2</v>
      </c>
      <c r="R1206">
        <f>HOUR(Q1206)</f>
        <v>0</v>
      </c>
      <c r="S1206">
        <f>MINUTE(Q1206)</f>
        <v>22</v>
      </c>
      <c r="T1206">
        <f>R1206*60+S1206</f>
        <v>22</v>
      </c>
      <c r="U1206" s="7">
        <f>H1206-G1206</f>
        <v>7.8472222223354038E-2</v>
      </c>
      <c r="V1206">
        <f>HOUR(U1206)</f>
        <v>1</v>
      </c>
      <c r="W1206">
        <f>MINUTE(U1206)</f>
        <v>53</v>
      </c>
      <c r="X1206">
        <f>V1206*60+W1206</f>
        <v>113</v>
      </c>
      <c r="Y1206" s="7">
        <f>I1206-H1206</f>
        <v>6.9444444452528842E-3</v>
      </c>
      <c r="Z1206">
        <f>HOUR(Y1206)</f>
        <v>0</v>
      </c>
      <c r="AA1206">
        <f>MINUTE(Y1206)</f>
        <v>10</v>
      </c>
      <c r="AB1206">
        <f>Z1206*60+AA1206</f>
        <v>10</v>
      </c>
    </row>
    <row r="1207" spans="1:28" x14ac:dyDescent="0.25">
      <c r="A1207">
        <v>1205</v>
      </c>
      <c r="B1207" t="s">
        <v>33</v>
      </c>
      <c r="C1207">
        <v>1</v>
      </c>
      <c r="D1207" t="s">
        <v>30</v>
      </c>
      <c r="E1207" s="6">
        <v>46106.618055555555</v>
      </c>
      <c r="F1207" s="6">
        <v>46106.625</v>
      </c>
      <c r="G1207" s="6">
        <v>46106.638888888891</v>
      </c>
      <c r="H1207" s="6">
        <v>46106.715277777781</v>
      </c>
      <c r="I1207" s="6">
        <v>46106.722222222219</v>
      </c>
      <c r="J1207" s="6">
        <v>46106.739583333336</v>
      </c>
      <c r="K1207">
        <v>2.92</v>
      </c>
      <c r="L1207" s="6">
        <v>46106.740277777775</v>
      </c>
      <c r="M1207" s="7">
        <f>F1207-E1207</f>
        <v>6.9444444452528842E-3</v>
      </c>
      <c r="N1207">
        <f>HOUR(M1207)</f>
        <v>0</v>
      </c>
      <c r="O1207">
        <f>MINUTE(M1207)</f>
        <v>10</v>
      </c>
      <c r="P1207">
        <f>N1207*60+O1207</f>
        <v>10</v>
      </c>
      <c r="Q1207" s="7">
        <f>G1207-F1207</f>
        <v>1.3888888890505768E-2</v>
      </c>
      <c r="R1207">
        <f>HOUR(Q1207)</f>
        <v>0</v>
      </c>
      <c r="S1207">
        <f>MINUTE(Q1207)</f>
        <v>20</v>
      </c>
      <c r="T1207">
        <f>R1207*60+S1207</f>
        <v>20</v>
      </c>
      <c r="U1207" s="7">
        <f>H1207-G1207</f>
        <v>7.6388888890505768E-2</v>
      </c>
      <c r="V1207">
        <f>HOUR(U1207)</f>
        <v>1</v>
      </c>
      <c r="W1207">
        <f>MINUTE(U1207)</f>
        <v>50</v>
      </c>
      <c r="X1207">
        <f>V1207*60+W1207</f>
        <v>110</v>
      </c>
      <c r="Y1207" s="7">
        <f>I1207-H1207</f>
        <v>6.9444444379769266E-3</v>
      </c>
      <c r="Z1207">
        <f>HOUR(Y1207)</f>
        <v>0</v>
      </c>
      <c r="AA1207">
        <f>MINUTE(Y1207)</f>
        <v>10</v>
      </c>
      <c r="AB1207">
        <f>Z1207*60+AA1207</f>
        <v>10</v>
      </c>
    </row>
    <row r="1208" spans="1:28" x14ac:dyDescent="0.25">
      <c r="A1208">
        <v>1206</v>
      </c>
      <c r="B1208" t="s">
        <v>33</v>
      </c>
      <c r="C1208">
        <v>1</v>
      </c>
      <c r="D1208" t="s">
        <v>35</v>
      </c>
      <c r="E1208" s="6">
        <v>46107.291666666664</v>
      </c>
      <c r="F1208" s="6">
        <v>46107.302083333336</v>
      </c>
      <c r="G1208" s="6">
        <v>46107.347222222219</v>
      </c>
      <c r="H1208" s="6">
        <v>46107.555555555555</v>
      </c>
      <c r="I1208" s="6">
        <v>46107.569444444445</v>
      </c>
      <c r="J1208" s="6">
        <v>46107.576388888891</v>
      </c>
      <c r="K1208">
        <v>6.83</v>
      </c>
      <c r="L1208" s="6">
        <v>46107.583333333336</v>
      </c>
      <c r="M1208" s="7">
        <f>F1208-E1208</f>
        <v>1.0416666671517305E-2</v>
      </c>
      <c r="N1208">
        <f>HOUR(M1208)</f>
        <v>0</v>
      </c>
      <c r="O1208">
        <f>MINUTE(M1208)</f>
        <v>15</v>
      </c>
      <c r="P1208">
        <f>N1208*60+O1208</f>
        <v>15</v>
      </c>
      <c r="Q1208" s="7">
        <f>G1208-F1208</f>
        <v>4.5138888883229811E-2</v>
      </c>
      <c r="R1208">
        <f>HOUR(Q1208)</f>
        <v>1</v>
      </c>
      <c r="S1208">
        <f>MINUTE(Q1208)</f>
        <v>5</v>
      </c>
      <c r="T1208">
        <f>R1208*60+S1208</f>
        <v>65</v>
      </c>
      <c r="U1208" s="7">
        <f>H1208-G1208</f>
        <v>0.20833333333575865</v>
      </c>
      <c r="V1208">
        <f>HOUR(U1208)</f>
        <v>5</v>
      </c>
      <c r="W1208">
        <f>MINUTE(U1208)</f>
        <v>0</v>
      </c>
      <c r="X1208">
        <f>V1208*60+W1208</f>
        <v>300</v>
      </c>
      <c r="Y1208" s="7">
        <f>I1208-H1208</f>
        <v>1.3888888890505768E-2</v>
      </c>
      <c r="Z1208">
        <f>HOUR(Y1208)</f>
        <v>0</v>
      </c>
      <c r="AA1208">
        <f>MINUTE(Y1208)</f>
        <v>20</v>
      </c>
      <c r="AB1208">
        <f>Z1208*60+AA1208</f>
        <v>20</v>
      </c>
    </row>
    <row r="1209" spans="1:28" x14ac:dyDescent="0.25">
      <c r="A1209">
        <v>1207</v>
      </c>
      <c r="B1209" t="s">
        <v>29</v>
      </c>
      <c r="C1209">
        <v>1</v>
      </c>
      <c r="D1209" t="s">
        <v>34</v>
      </c>
      <c r="E1209" s="6">
        <v>46107.291666666664</v>
      </c>
      <c r="F1209" s="6">
        <v>46107.315972222219</v>
      </c>
      <c r="G1209" s="6">
        <v>46107.322916666664</v>
      </c>
      <c r="H1209" s="6">
        <v>46107.381944444445</v>
      </c>
      <c r="I1209" s="6">
        <v>46107.388888888891</v>
      </c>
      <c r="J1209" s="6">
        <v>46107.392361111109</v>
      </c>
      <c r="K1209">
        <v>2.42</v>
      </c>
      <c r="L1209" s="6">
        <v>46107.399305555555</v>
      </c>
      <c r="M1209" s="7">
        <f>F1209-E1209</f>
        <v>2.4305555554747116E-2</v>
      </c>
      <c r="N1209">
        <f>HOUR(M1209)</f>
        <v>0</v>
      </c>
      <c r="O1209">
        <f>MINUTE(M1209)</f>
        <v>35</v>
      </c>
      <c r="P1209">
        <f>N1209*60+O1209</f>
        <v>35</v>
      </c>
      <c r="Q1209" s="7">
        <f>G1209-F1209</f>
        <v>6.9444444452528842E-3</v>
      </c>
      <c r="R1209">
        <f>HOUR(Q1209)</f>
        <v>0</v>
      </c>
      <c r="S1209">
        <f>MINUTE(Q1209)</f>
        <v>10</v>
      </c>
      <c r="T1209">
        <f>R1209*60+S1209</f>
        <v>10</v>
      </c>
      <c r="U1209" s="7">
        <f>H1209-G1209</f>
        <v>5.9027777781011537E-2</v>
      </c>
      <c r="V1209">
        <f>HOUR(U1209)</f>
        <v>1</v>
      </c>
      <c r="W1209">
        <f>MINUTE(U1209)</f>
        <v>25</v>
      </c>
      <c r="X1209">
        <f>V1209*60+W1209</f>
        <v>85</v>
      </c>
      <c r="Y1209" s="7">
        <f>I1209-H1209</f>
        <v>6.9444444452528842E-3</v>
      </c>
      <c r="Z1209">
        <f>HOUR(Y1209)</f>
        <v>0</v>
      </c>
      <c r="AA1209">
        <f>MINUTE(Y1209)</f>
        <v>10</v>
      </c>
      <c r="AB1209">
        <f>Z1209*60+AA1209</f>
        <v>10</v>
      </c>
    </row>
    <row r="1210" spans="1:28" x14ac:dyDescent="0.25">
      <c r="A1210">
        <v>1208</v>
      </c>
      <c r="B1210" t="s">
        <v>33</v>
      </c>
      <c r="C1210">
        <v>1</v>
      </c>
      <c r="D1210" t="s">
        <v>30</v>
      </c>
      <c r="E1210" s="6">
        <v>46107.291666666664</v>
      </c>
      <c r="F1210" s="6">
        <v>46107.3125</v>
      </c>
      <c r="G1210" s="6">
        <v>46107.333333333336</v>
      </c>
      <c r="H1210" s="6">
        <v>46107.354166666664</v>
      </c>
      <c r="I1210" s="6">
        <v>46107.361111111109</v>
      </c>
      <c r="J1210" s="6">
        <v>46107.364583333336</v>
      </c>
      <c r="K1210">
        <v>1.75</v>
      </c>
      <c r="L1210" s="6">
        <v>46107.371527777781</v>
      </c>
      <c r="M1210" s="7">
        <f>F1210-E1210</f>
        <v>2.0833333335758653E-2</v>
      </c>
      <c r="N1210">
        <f>HOUR(M1210)</f>
        <v>0</v>
      </c>
      <c r="O1210">
        <f>MINUTE(M1210)</f>
        <v>30</v>
      </c>
      <c r="P1210">
        <f>N1210*60+O1210</f>
        <v>30</v>
      </c>
      <c r="Q1210" s="7">
        <f>G1210-F1210</f>
        <v>2.0833333335758653E-2</v>
      </c>
      <c r="R1210">
        <f>HOUR(Q1210)</f>
        <v>0</v>
      </c>
      <c r="S1210">
        <f>MINUTE(Q1210)</f>
        <v>30</v>
      </c>
      <c r="T1210">
        <f>R1210*60+S1210</f>
        <v>30</v>
      </c>
      <c r="U1210" s="7">
        <f>H1210-G1210</f>
        <v>2.0833333328482695E-2</v>
      </c>
      <c r="V1210">
        <f>HOUR(U1210)</f>
        <v>0</v>
      </c>
      <c r="W1210">
        <f>MINUTE(U1210)</f>
        <v>30</v>
      </c>
      <c r="X1210">
        <f>V1210*60+W1210</f>
        <v>30</v>
      </c>
      <c r="Y1210" s="7">
        <f>I1210-H1210</f>
        <v>6.9444444452528842E-3</v>
      </c>
      <c r="Z1210">
        <f>HOUR(Y1210)</f>
        <v>0</v>
      </c>
      <c r="AA1210">
        <f>MINUTE(Y1210)</f>
        <v>10</v>
      </c>
      <c r="AB1210">
        <f>Z1210*60+AA1210</f>
        <v>10</v>
      </c>
    </row>
    <row r="1211" spans="1:28" x14ac:dyDescent="0.25">
      <c r="A1211">
        <v>1209</v>
      </c>
      <c r="B1211" t="s">
        <v>33</v>
      </c>
      <c r="C1211">
        <v>1</v>
      </c>
      <c r="D1211" t="s">
        <v>32</v>
      </c>
      <c r="E1211" s="6">
        <v>46106.631944444445</v>
      </c>
      <c r="F1211" s="6">
        <v>46106.642361111109</v>
      </c>
      <c r="G1211" s="6">
        <v>46106.663194444445</v>
      </c>
      <c r="H1211" s="6">
        <v>46106.694444444445</v>
      </c>
      <c r="I1211" s="6">
        <v>46106.697916666664</v>
      </c>
      <c r="J1211" s="6">
        <v>46106.701388888891</v>
      </c>
      <c r="K1211">
        <v>1.67</v>
      </c>
      <c r="L1211" s="6">
        <v>46106.708333333336</v>
      </c>
      <c r="M1211" s="7">
        <f>F1211-E1211</f>
        <v>1.0416666664241347E-2</v>
      </c>
      <c r="N1211">
        <f>HOUR(M1211)</f>
        <v>0</v>
      </c>
      <c r="O1211">
        <f>MINUTE(M1211)</f>
        <v>15</v>
      </c>
      <c r="P1211">
        <f>N1211*60+O1211</f>
        <v>15</v>
      </c>
      <c r="Q1211" s="7">
        <f>G1211-F1211</f>
        <v>2.0833333335758653E-2</v>
      </c>
      <c r="R1211">
        <f>HOUR(Q1211)</f>
        <v>0</v>
      </c>
      <c r="S1211">
        <f>MINUTE(Q1211)</f>
        <v>30</v>
      </c>
      <c r="T1211">
        <f>R1211*60+S1211</f>
        <v>30</v>
      </c>
      <c r="U1211" s="7">
        <f>H1211-G1211</f>
        <v>3.125E-2</v>
      </c>
      <c r="V1211">
        <f>HOUR(U1211)</f>
        <v>0</v>
      </c>
      <c r="W1211">
        <f>MINUTE(U1211)</f>
        <v>45</v>
      </c>
      <c r="X1211">
        <f>V1211*60+W1211</f>
        <v>45</v>
      </c>
      <c r="Y1211" s="7">
        <f>I1211-H1211</f>
        <v>3.4722222189884633E-3</v>
      </c>
      <c r="Z1211">
        <f>HOUR(Y1211)</f>
        <v>0</v>
      </c>
      <c r="AA1211">
        <f>MINUTE(Y1211)</f>
        <v>5</v>
      </c>
      <c r="AB1211">
        <f>Z1211*60+AA1211</f>
        <v>5</v>
      </c>
    </row>
    <row r="1212" spans="1:28" x14ac:dyDescent="0.25">
      <c r="A1212">
        <v>1210</v>
      </c>
      <c r="B1212" t="s">
        <v>31</v>
      </c>
      <c r="C1212">
        <v>1</v>
      </c>
      <c r="D1212" t="s">
        <v>30</v>
      </c>
      <c r="E1212" s="6">
        <v>46107.708333333336</v>
      </c>
      <c r="F1212" s="6">
        <v>46107.715277777781</v>
      </c>
      <c r="G1212" s="6">
        <v>46107.736111111109</v>
      </c>
      <c r="H1212" s="6">
        <v>46107.774305555555</v>
      </c>
      <c r="I1212" s="6">
        <v>46107.777777777781</v>
      </c>
      <c r="J1212" s="6">
        <v>46107.78125</v>
      </c>
      <c r="K1212">
        <v>1.75</v>
      </c>
      <c r="L1212" s="6">
        <v>46107.784722222219</v>
      </c>
      <c r="M1212" s="7">
        <f>F1212-E1212</f>
        <v>6.9444444452528842E-3</v>
      </c>
      <c r="N1212">
        <f>HOUR(M1212)</f>
        <v>0</v>
      </c>
      <c r="O1212">
        <f>MINUTE(M1212)</f>
        <v>10</v>
      </c>
      <c r="P1212">
        <f>N1212*60+O1212</f>
        <v>10</v>
      </c>
      <c r="Q1212" s="7">
        <f>G1212-F1212</f>
        <v>2.0833333328482695E-2</v>
      </c>
      <c r="R1212">
        <f>HOUR(Q1212)</f>
        <v>0</v>
      </c>
      <c r="S1212">
        <f>MINUTE(Q1212)</f>
        <v>30</v>
      </c>
      <c r="T1212">
        <f>R1212*60+S1212</f>
        <v>30</v>
      </c>
      <c r="U1212" s="7">
        <f>H1212-G1212</f>
        <v>3.8194444445252884E-2</v>
      </c>
      <c r="V1212">
        <f>HOUR(U1212)</f>
        <v>0</v>
      </c>
      <c r="W1212">
        <f>MINUTE(U1212)</f>
        <v>55</v>
      </c>
      <c r="X1212">
        <f>V1212*60+W1212</f>
        <v>55</v>
      </c>
      <c r="Y1212" s="7">
        <f>I1212-H1212</f>
        <v>3.4722222262644209E-3</v>
      </c>
      <c r="Z1212">
        <f>HOUR(Y1212)</f>
        <v>0</v>
      </c>
      <c r="AA1212">
        <f>MINUTE(Y1212)</f>
        <v>5</v>
      </c>
      <c r="AB1212">
        <f>Z1212*60+AA1212</f>
        <v>5</v>
      </c>
    </row>
    <row r="1213" spans="1:28" x14ac:dyDescent="0.25">
      <c r="A1213">
        <v>1211</v>
      </c>
      <c r="B1213" t="s">
        <v>31</v>
      </c>
      <c r="C1213">
        <v>1</v>
      </c>
      <c r="D1213" t="s">
        <v>34</v>
      </c>
      <c r="E1213" s="6">
        <v>46107.291666666664</v>
      </c>
      <c r="F1213" s="6">
        <v>46107.3125</v>
      </c>
      <c r="G1213" s="6">
        <v>46107.375</v>
      </c>
      <c r="H1213" s="6">
        <v>46107.409722222219</v>
      </c>
      <c r="I1213" s="6">
        <v>46107.413194444445</v>
      </c>
      <c r="J1213" s="6">
        <v>46107.415277777778</v>
      </c>
      <c r="K1213">
        <v>2.97</v>
      </c>
      <c r="L1213" s="6">
        <v>46107.422222222223</v>
      </c>
      <c r="M1213" s="7">
        <f>F1213-E1213</f>
        <v>2.0833333335758653E-2</v>
      </c>
      <c r="N1213">
        <f>HOUR(M1213)</f>
        <v>0</v>
      </c>
      <c r="O1213">
        <f>MINUTE(M1213)</f>
        <v>30</v>
      </c>
      <c r="P1213">
        <f>N1213*60+O1213</f>
        <v>30</v>
      </c>
      <c r="Q1213" s="7">
        <f>G1213-F1213</f>
        <v>6.25E-2</v>
      </c>
      <c r="R1213">
        <f>HOUR(Q1213)</f>
        <v>1</v>
      </c>
      <c r="S1213">
        <f>MINUTE(Q1213)</f>
        <v>30</v>
      </c>
      <c r="T1213">
        <f>R1213*60+S1213</f>
        <v>90</v>
      </c>
      <c r="U1213" s="7">
        <f>H1213-G1213</f>
        <v>3.4722222218988463E-2</v>
      </c>
      <c r="V1213">
        <f>HOUR(U1213)</f>
        <v>0</v>
      </c>
      <c r="W1213">
        <f>MINUTE(U1213)</f>
        <v>50</v>
      </c>
      <c r="X1213">
        <f>V1213*60+W1213</f>
        <v>50</v>
      </c>
      <c r="Y1213" s="7">
        <f>I1213-H1213</f>
        <v>3.4722222262644209E-3</v>
      </c>
      <c r="Z1213">
        <f>HOUR(Y1213)</f>
        <v>0</v>
      </c>
      <c r="AA1213">
        <f>MINUTE(Y1213)</f>
        <v>5</v>
      </c>
      <c r="AB1213">
        <f>Z1213*60+AA1213</f>
        <v>5</v>
      </c>
    </row>
    <row r="1214" spans="1:28" x14ac:dyDescent="0.25">
      <c r="A1214">
        <v>1212</v>
      </c>
      <c r="B1214" t="s">
        <v>33</v>
      </c>
      <c r="C1214">
        <v>1</v>
      </c>
      <c r="D1214" t="s">
        <v>35</v>
      </c>
      <c r="E1214" s="6">
        <v>46107.736111111109</v>
      </c>
      <c r="F1214" s="6">
        <v>46107.743055555555</v>
      </c>
      <c r="G1214" s="6">
        <v>46107.756944444445</v>
      </c>
      <c r="H1214" s="6">
        <v>46107.802083333336</v>
      </c>
      <c r="I1214" s="6">
        <v>46107.805555555555</v>
      </c>
      <c r="J1214" s="6">
        <v>46107.806250000001</v>
      </c>
      <c r="K1214">
        <v>1.68</v>
      </c>
      <c r="L1214" s="6">
        <v>46107.806944444441</v>
      </c>
      <c r="M1214" s="7">
        <f>F1214-E1214</f>
        <v>6.9444444452528842E-3</v>
      </c>
      <c r="N1214">
        <f>HOUR(M1214)</f>
        <v>0</v>
      </c>
      <c r="O1214">
        <f>MINUTE(M1214)</f>
        <v>10</v>
      </c>
      <c r="P1214">
        <f>N1214*60+O1214</f>
        <v>10</v>
      </c>
      <c r="Q1214" s="7">
        <f>G1214-F1214</f>
        <v>1.3888888890505768E-2</v>
      </c>
      <c r="R1214">
        <f>HOUR(Q1214)</f>
        <v>0</v>
      </c>
      <c r="S1214">
        <f>MINUTE(Q1214)</f>
        <v>20</v>
      </c>
      <c r="T1214">
        <f>R1214*60+S1214</f>
        <v>20</v>
      </c>
      <c r="U1214" s="7">
        <f>H1214-G1214</f>
        <v>4.5138888890505768E-2</v>
      </c>
      <c r="V1214">
        <f>HOUR(U1214)</f>
        <v>1</v>
      </c>
      <c r="W1214">
        <f>MINUTE(U1214)</f>
        <v>5</v>
      </c>
      <c r="X1214">
        <f>V1214*60+W1214</f>
        <v>65</v>
      </c>
      <c r="Y1214" s="7">
        <f>I1214-H1214</f>
        <v>3.4722222189884633E-3</v>
      </c>
      <c r="Z1214">
        <f>HOUR(Y1214)</f>
        <v>0</v>
      </c>
      <c r="AA1214">
        <f>MINUTE(Y1214)</f>
        <v>5</v>
      </c>
      <c r="AB1214">
        <f>Z1214*60+AA1214</f>
        <v>5</v>
      </c>
    </row>
    <row r="1215" spans="1:28" x14ac:dyDescent="0.25">
      <c r="A1215">
        <v>1213</v>
      </c>
      <c r="B1215" t="s">
        <v>29</v>
      </c>
      <c r="C1215">
        <v>1</v>
      </c>
      <c r="D1215" t="s">
        <v>30</v>
      </c>
      <c r="E1215" s="6">
        <v>46106.881944444445</v>
      </c>
      <c r="F1215" s="6">
        <v>46106.892361111109</v>
      </c>
      <c r="G1215" s="6">
        <v>46106.899305555555</v>
      </c>
      <c r="H1215" s="6">
        <v>46106.923611111109</v>
      </c>
      <c r="I1215" s="6">
        <v>46106.927083333336</v>
      </c>
      <c r="J1215" s="6">
        <v>46106.936111111114</v>
      </c>
      <c r="K1215">
        <v>1.3</v>
      </c>
      <c r="L1215" s="6">
        <v>46106.936805555553</v>
      </c>
      <c r="M1215" s="7">
        <f>F1215-E1215</f>
        <v>1.0416666664241347E-2</v>
      </c>
      <c r="N1215">
        <f>HOUR(M1215)</f>
        <v>0</v>
      </c>
      <c r="O1215">
        <f>MINUTE(M1215)</f>
        <v>15</v>
      </c>
      <c r="P1215">
        <f>N1215*60+O1215</f>
        <v>15</v>
      </c>
      <c r="Q1215" s="7">
        <f>G1215-F1215</f>
        <v>6.9444444452528842E-3</v>
      </c>
      <c r="R1215">
        <f>HOUR(Q1215)</f>
        <v>0</v>
      </c>
      <c r="S1215">
        <f>MINUTE(Q1215)</f>
        <v>10</v>
      </c>
      <c r="T1215">
        <f>R1215*60+S1215</f>
        <v>10</v>
      </c>
      <c r="U1215" s="7">
        <f>H1215-G1215</f>
        <v>2.4305555554747116E-2</v>
      </c>
      <c r="V1215">
        <f>HOUR(U1215)</f>
        <v>0</v>
      </c>
      <c r="W1215">
        <f>MINUTE(U1215)</f>
        <v>35</v>
      </c>
      <c r="X1215">
        <f>V1215*60+W1215</f>
        <v>35</v>
      </c>
      <c r="Y1215" s="7">
        <f>I1215-H1215</f>
        <v>3.4722222262644209E-3</v>
      </c>
      <c r="Z1215">
        <f>HOUR(Y1215)</f>
        <v>0</v>
      </c>
      <c r="AA1215">
        <f>MINUTE(Y1215)</f>
        <v>5</v>
      </c>
      <c r="AB1215">
        <f>Z1215*60+AA1215</f>
        <v>5</v>
      </c>
    </row>
    <row r="1216" spans="1:28" x14ac:dyDescent="0.25">
      <c r="A1216">
        <v>1214</v>
      </c>
      <c r="B1216" t="s">
        <v>29</v>
      </c>
      <c r="C1216">
        <v>1</v>
      </c>
      <c r="D1216" t="s">
        <v>30</v>
      </c>
      <c r="E1216" s="6">
        <v>46106.881944444445</v>
      </c>
      <c r="F1216" s="6">
        <v>46106.902777777781</v>
      </c>
      <c r="G1216" s="6">
        <v>46106.923611111109</v>
      </c>
      <c r="H1216" s="6">
        <v>46106.947916666664</v>
      </c>
      <c r="I1216" s="6">
        <v>46106.954861111109</v>
      </c>
      <c r="J1216" s="6">
        <v>46106.958333333336</v>
      </c>
      <c r="K1216">
        <v>1.83</v>
      </c>
      <c r="L1216" s="6">
        <v>46106.965277777781</v>
      </c>
      <c r="M1216" s="7">
        <f>F1216-E1216</f>
        <v>2.0833333335758653E-2</v>
      </c>
      <c r="N1216">
        <f>HOUR(M1216)</f>
        <v>0</v>
      </c>
      <c r="O1216">
        <f>MINUTE(M1216)</f>
        <v>30</v>
      </c>
      <c r="P1216">
        <f>N1216*60+O1216</f>
        <v>30</v>
      </c>
      <c r="Q1216" s="7">
        <f>G1216-F1216</f>
        <v>2.0833333328482695E-2</v>
      </c>
      <c r="R1216">
        <f>HOUR(Q1216)</f>
        <v>0</v>
      </c>
      <c r="S1216">
        <f>MINUTE(Q1216)</f>
        <v>30</v>
      </c>
      <c r="T1216">
        <f>R1216*60+S1216</f>
        <v>30</v>
      </c>
      <c r="U1216" s="7">
        <f>H1216-G1216</f>
        <v>2.4305555554747116E-2</v>
      </c>
      <c r="V1216">
        <f>HOUR(U1216)</f>
        <v>0</v>
      </c>
      <c r="W1216">
        <f>MINUTE(U1216)</f>
        <v>35</v>
      </c>
      <c r="X1216">
        <f>V1216*60+W1216</f>
        <v>35</v>
      </c>
      <c r="Y1216" s="7">
        <f>I1216-H1216</f>
        <v>6.9444444452528842E-3</v>
      </c>
      <c r="Z1216">
        <f>HOUR(Y1216)</f>
        <v>0</v>
      </c>
      <c r="AA1216">
        <f>MINUTE(Y1216)</f>
        <v>10</v>
      </c>
      <c r="AB1216">
        <f>Z1216*60+AA1216</f>
        <v>10</v>
      </c>
    </row>
    <row r="1217" spans="1:28" x14ac:dyDescent="0.25">
      <c r="A1217">
        <v>1215</v>
      </c>
      <c r="B1217" t="s">
        <v>33</v>
      </c>
      <c r="C1217">
        <v>1</v>
      </c>
      <c r="D1217" t="s">
        <v>30</v>
      </c>
      <c r="E1217" s="6">
        <v>46106.978472222225</v>
      </c>
      <c r="F1217" s="6">
        <v>46106.979166666664</v>
      </c>
      <c r="G1217" s="6">
        <v>46106.989583333336</v>
      </c>
      <c r="H1217" s="6">
        <v>46106.999305555553</v>
      </c>
      <c r="I1217" s="6">
        <v>46107.006249999999</v>
      </c>
      <c r="J1217" s="6">
        <v>46107.010416666664</v>
      </c>
      <c r="K1217">
        <v>0.77</v>
      </c>
      <c r="L1217" s="6">
        <v>46107.017361111109</v>
      </c>
      <c r="M1217" s="7">
        <f>F1217-E1217</f>
        <v>6.9444443943211809E-4</v>
      </c>
      <c r="N1217">
        <f>HOUR(M1217)</f>
        <v>0</v>
      </c>
      <c r="O1217">
        <f>MINUTE(M1217)</f>
        <v>1</v>
      </c>
      <c r="P1217">
        <f>N1217*60+O1217</f>
        <v>1</v>
      </c>
      <c r="Q1217" s="7">
        <f>G1217-F1217</f>
        <v>1.0416666671517305E-2</v>
      </c>
      <c r="R1217">
        <f>HOUR(Q1217)</f>
        <v>0</v>
      </c>
      <c r="S1217">
        <f>MINUTE(Q1217)</f>
        <v>15</v>
      </c>
      <c r="T1217">
        <f>R1217*60+S1217</f>
        <v>15</v>
      </c>
      <c r="U1217" s="7">
        <f>H1217-G1217</f>
        <v>9.7222222175332718E-3</v>
      </c>
      <c r="V1217">
        <f>HOUR(U1217)</f>
        <v>0</v>
      </c>
      <c r="W1217">
        <f>MINUTE(U1217)</f>
        <v>14</v>
      </c>
      <c r="X1217">
        <f>V1217*60+W1217</f>
        <v>14</v>
      </c>
      <c r="Y1217" s="7">
        <f>I1217-H1217</f>
        <v>6.9444444452528842E-3</v>
      </c>
      <c r="Z1217">
        <f>HOUR(Y1217)</f>
        <v>0</v>
      </c>
      <c r="AA1217">
        <f>MINUTE(Y1217)</f>
        <v>10</v>
      </c>
      <c r="AB1217">
        <f>Z1217*60+AA1217</f>
        <v>10</v>
      </c>
    </row>
    <row r="1218" spans="1:28" x14ac:dyDescent="0.25">
      <c r="A1218">
        <v>1216</v>
      </c>
      <c r="B1218" t="s">
        <v>31</v>
      </c>
      <c r="C1218">
        <v>1</v>
      </c>
      <c r="D1218" t="s">
        <v>30</v>
      </c>
      <c r="E1218" s="6">
        <v>46107.388888888891</v>
      </c>
      <c r="F1218" s="6">
        <v>46107.409722222219</v>
      </c>
      <c r="G1218" s="6">
        <v>46107.420138888891</v>
      </c>
      <c r="H1218" s="6">
        <v>46107.506944444445</v>
      </c>
      <c r="I1218" s="6">
        <v>46107.513888888891</v>
      </c>
      <c r="J1218" s="6">
        <v>46107.51458333333</v>
      </c>
      <c r="K1218">
        <v>3.02</v>
      </c>
      <c r="L1218" s="6">
        <v>46107.517361111109</v>
      </c>
      <c r="M1218" s="7">
        <f>F1218-E1218</f>
        <v>2.0833333328482695E-2</v>
      </c>
      <c r="N1218">
        <f>HOUR(M1218)</f>
        <v>0</v>
      </c>
      <c r="O1218">
        <f>MINUTE(M1218)</f>
        <v>30</v>
      </c>
      <c r="P1218">
        <f>N1218*60+O1218</f>
        <v>30</v>
      </c>
      <c r="Q1218" s="7">
        <f>G1218-F1218</f>
        <v>1.0416666671517305E-2</v>
      </c>
      <c r="R1218">
        <f>HOUR(Q1218)</f>
        <v>0</v>
      </c>
      <c r="S1218">
        <f>MINUTE(Q1218)</f>
        <v>15</v>
      </c>
      <c r="T1218">
        <f>R1218*60+S1218</f>
        <v>15</v>
      </c>
      <c r="U1218" s="7">
        <f>H1218-G1218</f>
        <v>8.6805555554747116E-2</v>
      </c>
      <c r="V1218">
        <f>HOUR(U1218)</f>
        <v>2</v>
      </c>
      <c r="W1218">
        <f>MINUTE(U1218)</f>
        <v>5</v>
      </c>
      <c r="X1218">
        <f>V1218*60+W1218</f>
        <v>125</v>
      </c>
      <c r="Y1218" s="7">
        <f>I1218-H1218</f>
        <v>6.9444444452528842E-3</v>
      </c>
      <c r="Z1218">
        <f>HOUR(Y1218)</f>
        <v>0</v>
      </c>
      <c r="AA1218">
        <f>MINUTE(Y1218)</f>
        <v>10</v>
      </c>
      <c r="AB1218">
        <f>Z1218*60+AA1218</f>
        <v>10</v>
      </c>
    </row>
    <row r="1219" spans="1:28" x14ac:dyDescent="0.25">
      <c r="A1219">
        <v>1217</v>
      </c>
      <c r="B1219" t="s">
        <v>31</v>
      </c>
      <c r="C1219">
        <v>1</v>
      </c>
      <c r="D1219" t="s">
        <v>30</v>
      </c>
      <c r="E1219" s="6">
        <v>46107.565972222219</v>
      </c>
      <c r="F1219" s="6">
        <v>46107.572916666664</v>
      </c>
      <c r="G1219" s="6">
        <v>46107.583333333336</v>
      </c>
      <c r="H1219" s="6">
        <v>46107.625</v>
      </c>
      <c r="I1219" s="6">
        <v>46107.631944444445</v>
      </c>
      <c r="J1219" s="6">
        <v>46107.635416666664</v>
      </c>
      <c r="K1219">
        <v>1.67</v>
      </c>
      <c r="L1219" s="6">
        <v>46107.642361111109</v>
      </c>
      <c r="M1219" s="7">
        <f>F1219-E1219</f>
        <v>6.9444444452528842E-3</v>
      </c>
      <c r="N1219">
        <f>HOUR(M1219)</f>
        <v>0</v>
      </c>
      <c r="O1219">
        <f>MINUTE(M1219)</f>
        <v>10</v>
      </c>
      <c r="P1219">
        <f>N1219*60+O1219</f>
        <v>10</v>
      </c>
      <c r="Q1219" s="7">
        <f>G1219-F1219</f>
        <v>1.0416666671517305E-2</v>
      </c>
      <c r="R1219">
        <f>HOUR(Q1219)</f>
        <v>0</v>
      </c>
      <c r="S1219">
        <f>MINUTE(Q1219)</f>
        <v>15</v>
      </c>
      <c r="T1219">
        <f>R1219*60+S1219</f>
        <v>15</v>
      </c>
      <c r="U1219" s="7">
        <f>H1219-G1219</f>
        <v>4.1666666664241347E-2</v>
      </c>
      <c r="V1219">
        <f>HOUR(U1219)</f>
        <v>1</v>
      </c>
      <c r="W1219">
        <f>MINUTE(U1219)</f>
        <v>0</v>
      </c>
      <c r="X1219">
        <f>V1219*60+W1219</f>
        <v>60</v>
      </c>
      <c r="Y1219" s="7">
        <f>I1219-H1219</f>
        <v>6.9444444452528842E-3</v>
      </c>
      <c r="Z1219">
        <f>HOUR(Y1219)</f>
        <v>0</v>
      </c>
      <c r="AA1219">
        <f>MINUTE(Y1219)</f>
        <v>10</v>
      </c>
      <c r="AB1219">
        <f>Z1219*60+AA1219</f>
        <v>10</v>
      </c>
    </row>
    <row r="1220" spans="1:28" x14ac:dyDescent="0.25">
      <c r="A1220">
        <v>1218</v>
      </c>
      <c r="B1220" t="s">
        <v>29</v>
      </c>
      <c r="C1220">
        <v>1</v>
      </c>
      <c r="D1220" t="s">
        <v>32</v>
      </c>
      <c r="E1220" s="6">
        <v>46107.416666666664</v>
      </c>
      <c r="F1220" s="6">
        <v>46107.427083333336</v>
      </c>
      <c r="G1220" s="6">
        <v>46107.447916666664</v>
      </c>
      <c r="H1220" s="6">
        <v>46107.552777777775</v>
      </c>
      <c r="I1220" s="6">
        <v>46107.55972222222</v>
      </c>
      <c r="J1220" s="6">
        <v>46107.614583333336</v>
      </c>
      <c r="K1220">
        <v>4.75</v>
      </c>
      <c r="L1220" s="6">
        <v>46107.621527777781</v>
      </c>
      <c r="M1220" s="7">
        <f>F1220-E1220</f>
        <v>1.0416666671517305E-2</v>
      </c>
      <c r="N1220">
        <f>HOUR(M1220)</f>
        <v>0</v>
      </c>
      <c r="O1220">
        <f>MINUTE(M1220)</f>
        <v>15</v>
      </c>
      <c r="P1220">
        <f>N1220*60+O1220</f>
        <v>15</v>
      </c>
      <c r="Q1220" s="7">
        <f>G1220-F1220</f>
        <v>2.0833333328482695E-2</v>
      </c>
      <c r="R1220">
        <f>HOUR(Q1220)</f>
        <v>0</v>
      </c>
      <c r="S1220">
        <f>MINUTE(Q1220)</f>
        <v>30</v>
      </c>
      <c r="T1220">
        <f>R1220*60+S1220</f>
        <v>30</v>
      </c>
      <c r="U1220" s="7">
        <f>H1220-G1220</f>
        <v>0.10486111111094942</v>
      </c>
      <c r="V1220">
        <f>HOUR(U1220)</f>
        <v>2</v>
      </c>
      <c r="W1220">
        <f>MINUTE(U1220)</f>
        <v>31</v>
      </c>
      <c r="X1220">
        <f>V1220*60+W1220</f>
        <v>151</v>
      </c>
      <c r="Y1220" s="7">
        <f>I1220-H1220</f>
        <v>6.9444444452528842E-3</v>
      </c>
      <c r="Z1220">
        <f>HOUR(Y1220)</f>
        <v>0</v>
      </c>
      <c r="AA1220">
        <f>MINUTE(Y1220)</f>
        <v>10</v>
      </c>
      <c r="AB1220">
        <f>Z1220*60+AA1220</f>
        <v>10</v>
      </c>
    </row>
    <row r="1221" spans="1:28" x14ac:dyDescent="0.25">
      <c r="A1221">
        <v>1219</v>
      </c>
      <c r="B1221" t="s">
        <v>29</v>
      </c>
      <c r="C1221">
        <v>1</v>
      </c>
      <c r="D1221" t="s">
        <v>30</v>
      </c>
      <c r="E1221" s="6">
        <v>46107.454861111109</v>
      </c>
      <c r="F1221" s="6">
        <v>46107.465277777781</v>
      </c>
      <c r="G1221" s="6">
        <v>46107.493055555555</v>
      </c>
      <c r="H1221" s="6">
        <v>46107.548611111109</v>
      </c>
      <c r="I1221" s="6">
        <v>46107.555555555555</v>
      </c>
      <c r="J1221" s="6">
        <v>46107.565972222219</v>
      </c>
      <c r="K1221">
        <v>2.67</v>
      </c>
      <c r="L1221" s="6">
        <v>46107.566666666666</v>
      </c>
      <c r="M1221" s="7">
        <f>F1221-E1221</f>
        <v>1.0416666671517305E-2</v>
      </c>
      <c r="N1221">
        <f>HOUR(M1221)</f>
        <v>0</v>
      </c>
      <c r="O1221">
        <f>MINUTE(M1221)</f>
        <v>15</v>
      </c>
      <c r="P1221">
        <f>N1221*60+O1221</f>
        <v>15</v>
      </c>
      <c r="Q1221" s="7">
        <f>G1221-F1221</f>
        <v>2.7777777773735579E-2</v>
      </c>
      <c r="R1221">
        <f>HOUR(Q1221)</f>
        <v>0</v>
      </c>
      <c r="S1221">
        <f>MINUTE(Q1221)</f>
        <v>40</v>
      </c>
      <c r="T1221">
        <f>R1221*60+S1221</f>
        <v>40</v>
      </c>
      <c r="U1221" s="7">
        <f>H1221-G1221</f>
        <v>5.5555555554747116E-2</v>
      </c>
      <c r="V1221">
        <f>HOUR(U1221)</f>
        <v>1</v>
      </c>
      <c r="W1221">
        <f>MINUTE(U1221)</f>
        <v>20</v>
      </c>
      <c r="X1221">
        <f>V1221*60+W1221</f>
        <v>80</v>
      </c>
      <c r="Y1221" s="7">
        <f>I1221-H1221</f>
        <v>6.9444444452528842E-3</v>
      </c>
      <c r="Z1221">
        <f>HOUR(Y1221)</f>
        <v>0</v>
      </c>
      <c r="AA1221">
        <f>MINUTE(Y1221)</f>
        <v>10</v>
      </c>
      <c r="AB1221">
        <f>Z1221*60+AA1221</f>
        <v>10</v>
      </c>
    </row>
    <row r="1222" spans="1:28" x14ac:dyDescent="0.25">
      <c r="A1222">
        <v>1220</v>
      </c>
      <c r="B1222" t="s">
        <v>31</v>
      </c>
      <c r="C1222">
        <v>1</v>
      </c>
      <c r="D1222" t="s">
        <v>30</v>
      </c>
      <c r="E1222" s="6">
        <v>46107.458333333336</v>
      </c>
      <c r="F1222" s="6">
        <v>46107.46875</v>
      </c>
      <c r="G1222" s="6">
        <v>46107.475694444445</v>
      </c>
      <c r="H1222" s="6">
        <v>46107.659722222219</v>
      </c>
      <c r="I1222" s="6">
        <v>46107.666666666664</v>
      </c>
      <c r="J1222" s="6">
        <v>46107.668055555558</v>
      </c>
      <c r="K1222">
        <v>5.03</v>
      </c>
      <c r="L1222" s="6">
        <v>46107.671527777777</v>
      </c>
      <c r="M1222" s="7">
        <f>F1222-E1222</f>
        <v>1.0416666664241347E-2</v>
      </c>
      <c r="N1222">
        <f>HOUR(M1222)</f>
        <v>0</v>
      </c>
      <c r="O1222">
        <f>MINUTE(M1222)</f>
        <v>15</v>
      </c>
      <c r="P1222">
        <f>N1222*60+O1222</f>
        <v>15</v>
      </c>
      <c r="Q1222" s="7">
        <f>G1222-F1222</f>
        <v>6.9444444452528842E-3</v>
      </c>
      <c r="R1222">
        <f>HOUR(Q1222)</f>
        <v>0</v>
      </c>
      <c r="S1222">
        <f>MINUTE(Q1222)</f>
        <v>10</v>
      </c>
      <c r="T1222">
        <f>R1222*60+S1222</f>
        <v>10</v>
      </c>
      <c r="U1222" s="7">
        <f>H1222-G1222</f>
        <v>0.18402777777373558</v>
      </c>
      <c r="V1222">
        <f>HOUR(U1222)</f>
        <v>4</v>
      </c>
      <c r="W1222">
        <f>MINUTE(U1222)</f>
        <v>25</v>
      </c>
      <c r="X1222">
        <f>V1222*60+W1222</f>
        <v>265</v>
      </c>
      <c r="Y1222" s="7">
        <f>I1222-H1222</f>
        <v>6.9444444452528842E-3</v>
      </c>
      <c r="Z1222">
        <f>HOUR(Y1222)</f>
        <v>0</v>
      </c>
      <c r="AA1222">
        <f>MINUTE(Y1222)</f>
        <v>10</v>
      </c>
      <c r="AB1222">
        <f>Z1222*60+AA1222</f>
        <v>10</v>
      </c>
    </row>
    <row r="1223" spans="1:28" x14ac:dyDescent="0.25">
      <c r="A1223">
        <v>1221</v>
      </c>
      <c r="B1223" t="s">
        <v>33</v>
      </c>
      <c r="C1223">
        <v>1</v>
      </c>
      <c r="D1223" t="s">
        <v>36</v>
      </c>
      <c r="E1223" s="6">
        <v>46107.625</v>
      </c>
      <c r="F1223" s="6">
        <v>46107.626388888886</v>
      </c>
      <c r="G1223" s="6">
        <v>46107.642361111109</v>
      </c>
      <c r="H1223" s="6">
        <v>46107.659722222219</v>
      </c>
      <c r="I1223" s="6">
        <v>46107.666666666664</v>
      </c>
      <c r="J1223" s="6">
        <v>46107.84375</v>
      </c>
      <c r="K1223">
        <v>5.25</v>
      </c>
      <c r="L1223" s="6">
        <v>46107.850694444445</v>
      </c>
      <c r="M1223" s="7">
        <f>F1223-E1223</f>
        <v>1.3888888861401938E-3</v>
      </c>
      <c r="N1223">
        <f>HOUR(M1223)</f>
        <v>0</v>
      </c>
      <c r="O1223">
        <f>MINUTE(M1223)</f>
        <v>2</v>
      </c>
      <c r="P1223">
        <f>N1223*60+O1223</f>
        <v>2</v>
      </c>
      <c r="Q1223" s="7">
        <f>G1223-F1223</f>
        <v>1.5972222223354038E-2</v>
      </c>
      <c r="R1223">
        <f>HOUR(Q1223)</f>
        <v>0</v>
      </c>
      <c r="S1223">
        <f>MINUTE(Q1223)</f>
        <v>23</v>
      </c>
      <c r="T1223">
        <f>R1223*60+S1223</f>
        <v>23</v>
      </c>
      <c r="U1223" s="7">
        <f>H1223-G1223</f>
        <v>1.7361111109494232E-2</v>
      </c>
      <c r="V1223">
        <f>HOUR(U1223)</f>
        <v>0</v>
      </c>
      <c r="W1223">
        <f>MINUTE(U1223)</f>
        <v>25</v>
      </c>
      <c r="X1223">
        <f>V1223*60+W1223</f>
        <v>25</v>
      </c>
      <c r="Y1223" s="7">
        <f>I1223-H1223</f>
        <v>6.9444444452528842E-3</v>
      </c>
      <c r="Z1223">
        <f>HOUR(Y1223)</f>
        <v>0</v>
      </c>
      <c r="AA1223">
        <f>MINUTE(Y1223)</f>
        <v>10</v>
      </c>
      <c r="AB1223">
        <f>Z1223*60+AA1223</f>
        <v>10</v>
      </c>
    </row>
    <row r="1224" spans="1:28" x14ac:dyDescent="0.25">
      <c r="A1224">
        <v>1222</v>
      </c>
      <c r="B1224" t="s">
        <v>31</v>
      </c>
      <c r="C1224">
        <v>1</v>
      </c>
      <c r="D1224" t="s">
        <v>32</v>
      </c>
      <c r="E1224" s="6">
        <v>46107.621527777781</v>
      </c>
      <c r="F1224" s="6">
        <v>46107.635416666664</v>
      </c>
      <c r="G1224" s="6">
        <v>46107.649305555555</v>
      </c>
      <c r="H1224" s="6">
        <v>46107.682638888888</v>
      </c>
      <c r="I1224" s="6">
        <v>46107.694444444445</v>
      </c>
      <c r="J1224" s="6">
        <v>46107.701388888891</v>
      </c>
      <c r="K1224">
        <v>1.92</v>
      </c>
      <c r="L1224" s="6">
        <v>46107.708333333336</v>
      </c>
      <c r="M1224" s="7">
        <f>F1224-E1224</f>
        <v>1.3888888883229811E-2</v>
      </c>
      <c r="N1224">
        <f>HOUR(M1224)</f>
        <v>0</v>
      </c>
      <c r="O1224">
        <f>MINUTE(M1224)</f>
        <v>20</v>
      </c>
      <c r="P1224">
        <f>N1224*60+O1224</f>
        <v>20</v>
      </c>
      <c r="Q1224" s="7">
        <f>G1224-F1224</f>
        <v>1.3888888890505768E-2</v>
      </c>
      <c r="R1224">
        <f>HOUR(Q1224)</f>
        <v>0</v>
      </c>
      <c r="S1224">
        <f>MINUTE(Q1224)</f>
        <v>20</v>
      </c>
      <c r="T1224">
        <f>R1224*60+S1224</f>
        <v>20</v>
      </c>
      <c r="U1224" s="7">
        <f>H1224-G1224</f>
        <v>3.3333333332848269E-2</v>
      </c>
      <c r="V1224">
        <f>HOUR(U1224)</f>
        <v>0</v>
      </c>
      <c r="W1224">
        <f>MINUTE(U1224)</f>
        <v>48</v>
      </c>
      <c r="X1224">
        <f>V1224*60+W1224</f>
        <v>48</v>
      </c>
      <c r="Y1224" s="7">
        <f>I1224-H1224</f>
        <v>1.1805555557657499E-2</v>
      </c>
      <c r="Z1224">
        <f>HOUR(Y1224)</f>
        <v>0</v>
      </c>
      <c r="AA1224">
        <f>MINUTE(Y1224)</f>
        <v>17</v>
      </c>
      <c r="AB1224">
        <f>Z1224*60+AA1224</f>
        <v>17</v>
      </c>
    </row>
    <row r="1225" spans="1:28" x14ac:dyDescent="0.25">
      <c r="A1225">
        <v>1223</v>
      </c>
      <c r="B1225" t="s">
        <v>29</v>
      </c>
      <c r="C1225">
        <v>1</v>
      </c>
      <c r="D1225" t="s">
        <v>30</v>
      </c>
      <c r="E1225" s="6">
        <v>46107.663194444445</v>
      </c>
      <c r="F1225" s="6">
        <v>46107.673611111109</v>
      </c>
      <c r="G1225" s="6">
        <v>46107.690972222219</v>
      </c>
      <c r="H1225" s="6">
        <v>46107.736111111109</v>
      </c>
      <c r="I1225" s="6">
        <v>46107.743055555555</v>
      </c>
      <c r="J1225" s="6">
        <v>46107.746527777781</v>
      </c>
      <c r="K1225">
        <v>2</v>
      </c>
      <c r="L1225" s="6">
        <v>46107.74722222222</v>
      </c>
      <c r="M1225" s="7">
        <f>F1225-E1225</f>
        <v>1.0416666664241347E-2</v>
      </c>
      <c r="N1225">
        <f>HOUR(M1225)</f>
        <v>0</v>
      </c>
      <c r="O1225">
        <f>MINUTE(M1225)</f>
        <v>15</v>
      </c>
      <c r="P1225">
        <f>N1225*60+O1225</f>
        <v>15</v>
      </c>
      <c r="Q1225" s="7">
        <f>G1225-F1225</f>
        <v>1.7361111109494232E-2</v>
      </c>
      <c r="R1225">
        <f>HOUR(Q1225)</f>
        <v>0</v>
      </c>
      <c r="S1225">
        <f>MINUTE(Q1225)</f>
        <v>25</v>
      </c>
      <c r="T1225">
        <f>R1225*60+S1225</f>
        <v>25</v>
      </c>
      <c r="U1225" s="7">
        <f>H1225-G1225</f>
        <v>4.5138888890505768E-2</v>
      </c>
      <c r="V1225">
        <f>HOUR(U1225)</f>
        <v>1</v>
      </c>
      <c r="W1225">
        <f>MINUTE(U1225)</f>
        <v>5</v>
      </c>
      <c r="X1225">
        <f>V1225*60+W1225</f>
        <v>65</v>
      </c>
      <c r="Y1225" s="7">
        <f>I1225-H1225</f>
        <v>6.9444444452528842E-3</v>
      </c>
      <c r="Z1225">
        <f>HOUR(Y1225)</f>
        <v>0</v>
      </c>
      <c r="AA1225">
        <f>MINUTE(Y1225)</f>
        <v>10</v>
      </c>
      <c r="AB1225">
        <f>Z1225*60+AA1225</f>
        <v>10</v>
      </c>
    </row>
    <row r="1226" spans="1:28" x14ac:dyDescent="0.25">
      <c r="A1226">
        <v>1224</v>
      </c>
      <c r="B1226" t="s">
        <v>29</v>
      </c>
      <c r="C1226">
        <v>1</v>
      </c>
      <c r="D1226" t="s">
        <v>35</v>
      </c>
      <c r="E1226" s="6">
        <v>46107.621527777781</v>
      </c>
      <c r="F1226" s="6">
        <v>46107.638888888891</v>
      </c>
      <c r="G1226" s="6">
        <v>46107.642361111109</v>
      </c>
      <c r="H1226" s="6">
        <v>46107.659722222219</v>
      </c>
      <c r="I1226" s="6">
        <v>46107.666666666664</v>
      </c>
      <c r="J1226" s="6">
        <v>46107.684027777781</v>
      </c>
      <c r="K1226">
        <v>1.5</v>
      </c>
      <c r="L1226" s="6">
        <v>46107.68472222222</v>
      </c>
      <c r="M1226" s="7">
        <f>F1226-E1226</f>
        <v>1.7361111109494232E-2</v>
      </c>
      <c r="N1226">
        <f>HOUR(M1226)</f>
        <v>0</v>
      </c>
      <c r="O1226">
        <f>MINUTE(M1226)</f>
        <v>25</v>
      </c>
      <c r="P1226">
        <f>N1226*60+O1226</f>
        <v>25</v>
      </c>
      <c r="Q1226" s="7">
        <f>G1226-F1226</f>
        <v>3.4722222189884633E-3</v>
      </c>
      <c r="R1226">
        <f>HOUR(Q1226)</f>
        <v>0</v>
      </c>
      <c r="S1226">
        <f>MINUTE(Q1226)</f>
        <v>5</v>
      </c>
      <c r="T1226">
        <f>R1226*60+S1226</f>
        <v>5</v>
      </c>
      <c r="U1226" s="7">
        <f>H1226-G1226</f>
        <v>1.7361111109494232E-2</v>
      </c>
      <c r="V1226">
        <f>HOUR(U1226)</f>
        <v>0</v>
      </c>
      <c r="W1226">
        <f>MINUTE(U1226)</f>
        <v>25</v>
      </c>
      <c r="X1226">
        <f>V1226*60+W1226</f>
        <v>25</v>
      </c>
      <c r="Y1226" s="7">
        <f>I1226-H1226</f>
        <v>6.9444444452528842E-3</v>
      </c>
      <c r="Z1226">
        <f>HOUR(Y1226)</f>
        <v>0</v>
      </c>
      <c r="AA1226">
        <f>MINUTE(Y1226)</f>
        <v>10</v>
      </c>
      <c r="AB1226">
        <f>Z1226*60+AA1226</f>
        <v>10</v>
      </c>
    </row>
    <row r="1227" spans="1:28" x14ac:dyDescent="0.25">
      <c r="A1227">
        <v>1225</v>
      </c>
      <c r="B1227" t="s">
        <v>29</v>
      </c>
      <c r="C1227">
        <v>1</v>
      </c>
      <c r="D1227" t="s">
        <v>32</v>
      </c>
      <c r="E1227" s="6">
        <v>46112.288194444445</v>
      </c>
      <c r="F1227" s="6">
        <v>46112.309027777781</v>
      </c>
      <c r="G1227" s="6">
        <v>46112.319444444445</v>
      </c>
      <c r="H1227" s="6">
        <v>46112.347222222219</v>
      </c>
      <c r="I1227" s="6">
        <v>46112.350694444445</v>
      </c>
      <c r="J1227" s="6">
        <v>46112.361111111109</v>
      </c>
      <c r="K1227">
        <v>1.75</v>
      </c>
      <c r="L1227" s="6">
        <v>46112.364583333336</v>
      </c>
      <c r="M1227" s="7">
        <f>F1227-E1227</f>
        <v>2.0833333335758653E-2</v>
      </c>
      <c r="N1227">
        <f>HOUR(M1227)</f>
        <v>0</v>
      </c>
      <c r="O1227">
        <f>MINUTE(M1227)</f>
        <v>30</v>
      </c>
      <c r="P1227">
        <f>N1227*60+O1227</f>
        <v>30</v>
      </c>
      <c r="Q1227" s="7">
        <f>G1227-F1227</f>
        <v>1.0416666664241347E-2</v>
      </c>
      <c r="R1227">
        <f>HOUR(Q1227)</f>
        <v>0</v>
      </c>
      <c r="S1227">
        <f>MINUTE(Q1227)</f>
        <v>15</v>
      </c>
      <c r="T1227">
        <f>R1227*60+S1227</f>
        <v>15</v>
      </c>
      <c r="U1227" s="7">
        <f>H1227-G1227</f>
        <v>2.7777777773735579E-2</v>
      </c>
      <c r="V1227">
        <f>HOUR(U1227)</f>
        <v>0</v>
      </c>
      <c r="W1227">
        <f>MINUTE(U1227)</f>
        <v>40</v>
      </c>
      <c r="X1227">
        <f>V1227*60+W1227</f>
        <v>40</v>
      </c>
      <c r="Y1227" s="7">
        <f>I1227-H1227</f>
        <v>3.4722222262644209E-3</v>
      </c>
      <c r="Z1227">
        <f>HOUR(Y1227)</f>
        <v>0</v>
      </c>
      <c r="AA1227">
        <f>MINUTE(Y1227)</f>
        <v>5</v>
      </c>
      <c r="AB1227">
        <f>Z1227*60+AA1227</f>
        <v>5</v>
      </c>
    </row>
    <row r="1228" spans="1:28" x14ac:dyDescent="0.25">
      <c r="A1228">
        <v>1226</v>
      </c>
      <c r="B1228" t="s">
        <v>31</v>
      </c>
      <c r="C1228">
        <v>1</v>
      </c>
      <c r="D1228" t="s">
        <v>30</v>
      </c>
      <c r="E1228" s="6">
        <v>46108.722222222219</v>
      </c>
      <c r="F1228" s="6">
        <v>46108.736111111109</v>
      </c>
      <c r="G1228" s="6">
        <v>46108.75</v>
      </c>
      <c r="H1228" s="6">
        <v>46108.833333333336</v>
      </c>
      <c r="I1228" s="6">
        <v>46108.836805555555</v>
      </c>
      <c r="J1228" s="6">
        <v>46108.838888888888</v>
      </c>
      <c r="K1228">
        <v>2.8</v>
      </c>
      <c r="L1228" s="6">
        <v>46108.845833333333</v>
      </c>
      <c r="M1228" s="7">
        <f>F1228-E1228</f>
        <v>1.3888888890505768E-2</v>
      </c>
      <c r="N1228">
        <f>HOUR(M1228)</f>
        <v>0</v>
      </c>
      <c r="O1228">
        <f>MINUTE(M1228)</f>
        <v>20</v>
      </c>
      <c r="P1228">
        <f>N1228*60+O1228</f>
        <v>20</v>
      </c>
      <c r="Q1228" s="7">
        <f>G1228-F1228</f>
        <v>1.3888888890505768E-2</v>
      </c>
      <c r="R1228">
        <f>HOUR(Q1228)</f>
        <v>0</v>
      </c>
      <c r="S1228">
        <f>MINUTE(Q1228)</f>
        <v>20</v>
      </c>
      <c r="T1228">
        <f>R1228*60+S1228</f>
        <v>20</v>
      </c>
      <c r="U1228" s="7">
        <f>H1228-G1228</f>
        <v>8.3333333335758653E-2</v>
      </c>
      <c r="V1228">
        <f>HOUR(U1228)</f>
        <v>2</v>
      </c>
      <c r="W1228">
        <f>MINUTE(U1228)</f>
        <v>0</v>
      </c>
      <c r="X1228">
        <f>V1228*60+W1228</f>
        <v>120</v>
      </c>
      <c r="Y1228" s="7">
        <f>I1228-H1228</f>
        <v>3.4722222189884633E-3</v>
      </c>
      <c r="Z1228">
        <f>HOUR(Y1228)</f>
        <v>0</v>
      </c>
      <c r="AA1228">
        <f>MINUTE(Y1228)</f>
        <v>5</v>
      </c>
      <c r="AB1228">
        <f>Z1228*60+AA1228</f>
        <v>5</v>
      </c>
    </row>
    <row r="1229" spans="1:28" x14ac:dyDescent="0.25">
      <c r="A1229">
        <v>1227</v>
      </c>
      <c r="B1229" t="s">
        <v>33</v>
      </c>
      <c r="C1229">
        <v>1</v>
      </c>
      <c r="D1229" t="s">
        <v>32</v>
      </c>
      <c r="E1229" s="6">
        <v>46108.298611111109</v>
      </c>
      <c r="F1229" s="6">
        <v>46108.326388888891</v>
      </c>
      <c r="G1229" s="6">
        <v>46108.354166666664</v>
      </c>
      <c r="H1229" s="6">
        <v>46108.420138888891</v>
      </c>
      <c r="I1229" s="6">
        <v>46108.423611111109</v>
      </c>
      <c r="J1229" s="6">
        <v>46108.426388888889</v>
      </c>
      <c r="K1229">
        <v>3.07</v>
      </c>
      <c r="L1229" s="6">
        <v>46108.434027777781</v>
      </c>
      <c r="M1229" s="7">
        <f>F1229-E1229</f>
        <v>2.7777777781011537E-2</v>
      </c>
      <c r="N1229">
        <f>HOUR(M1229)</f>
        <v>0</v>
      </c>
      <c r="O1229">
        <f>MINUTE(M1229)</f>
        <v>40</v>
      </c>
      <c r="P1229">
        <f>N1229*60+O1229</f>
        <v>40</v>
      </c>
      <c r="Q1229" s="7">
        <f>G1229-F1229</f>
        <v>2.7777777773735579E-2</v>
      </c>
      <c r="R1229">
        <f>HOUR(Q1229)</f>
        <v>0</v>
      </c>
      <c r="S1229">
        <f>MINUTE(Q1229)</f>
        <v>40</v>
      </c>
      <c r="T1229">
        <f>R1229*60+S1229</f>
        <v>40</v>
      </c>
      <c r="U1229" s="7">
        <f>H1229-G1229</f>
        <v>6.5972222226264421E-2</v>
      </c>
      <c r="V1229">
        <f>HOUR(U1229)</f>
        <v>1</v>
      </c>
      <c r="W1229">
        <f>MINUTE(U1229)</f>
        <v>35</v>
      </c>
      <c r="X1229">
        <f>V1229*60+W1229</f>
        <v>95</v>
      </c>
      <c r="Y1229" s="7">
        <f>I1229-H1229</f>
        <v>3.4722222189884633E-3</v>
      </c>
      <c r="Z1229">
        <f>HOUR(Y1229)</f>
        <v>0</v>
      </c>
      <c r="AA1229">
        <f>MINUTE(Y1229)</f>
        <v>5</v>
      </c>
      <c r="AB1229">
        <f>Z1229*60+AA1229</f>
        <v>5</v>
      </c>
    </row>
    <row r="1230" spans="1:28" x14ac:dyDescent="0.25">
      <c r="A1230">
        <v>1228</v>
      </c>
      <c r="B1230" t="s">
        <v>33</v>
      </c>
      <c r="C1230">
        <v>1</v>
      </c>
      <c r="D1230" t="s">
        <v>35</v>
      </c>
      <c r="E1230" s="6">
        <v>46108.291666666664</v>
      </c>
      <c r="F1230" s="6">
        <v>46108.3125</v>
      </c>
      <c r="G1230" s="6">
        <v>46108.368055555555</v>
      </c>
      <c r="H1230" s="6">
        <v>46108.506944444445</v>
      </c>
      <c r="I1230" s="6">
        <v>46108.513888888891</v>
      </c>
      <c r="J1230" s="6">
        <v>46108.625</v>
      </c>
      <c r="K1230">
        <v>8</v>
      </c>
      <c r="L1230" s="6">
        <v>46108.627083333333</v>
      </c>
      <c r="M1230" s="7">
        <f>F1230-E1230</f>
        <v>2.0833333335758653E-2</v>
      </c>
      <c r="N1230">
        <f>HOUR(M1230)</f>
        <v>0</v>
      </c>
      <c r="O1230">
        <f>MINUTE(M1230)</f>
        <v>30</v>
      </c>
      <c r="P1230">
        <f>N1230*60+O1230</f>
        <v>30</v>
      </c>
      <c r="Q1230" s="7">
        <f>G1230-F1230</f>
        <v>5.5555555554747116E-2</v>
      </c>
      <c r="R1230">
        <f>HOUR(Q1230)</f>
        <v>1</v>
      </c>
      <c r="S1230">
        <f>MINUTE(Q1230)</f>
        <v>20</v>
      </c>
      <c r="T1230">
        <f>R1230*60+S1230</f>
        <v>80</v>
      </c>
      <c r="U1230" s="7">
        <f>H1230-G1230</f>
        <v>0.13888888889050577</v>
      </c>
      <c r="V1230">
        <f>HOUR(U1230)</f>
        <v>3</v>
      </c>
      <c r="W1230">
        <f>MINUTE(U1230)</f>
        <v>20</v>
      </c>
      <c r="X1230">
        <f>V1230*60+W1230</f>
        <v>200</v>
      </c>
      <c r="Y1230" s="7">
        <f>I1230-H1230</f>
        <v>6.9444444452528842E-3</v>
      </c>
      <c r="Z1230">
        <f>HOUR(Y1230)</f>
        <v>0</v>
      </c>
      <c r="AA1230">
        <f>MINUTE(Y1230)</f>
        <v>10</v>
      </c>
      <c r="AB1230">
        <f>Z1230*60+AA1230</f>
        <v>10</v>
      </c>
    </row>
    <row r="1231" spans="1:28" x14ac:dyDescent="0.25">
      <c r="A1231">
        <v>1229</v>
      </c>
      <c r="B1231" t="s">
        <v>33</v>
      </c>
      <c r="C1231">
        <v>1</v>
      </c>
      <c r="D1231" t="s">
        <v>30</v>
      </c>
      <c r="E1231" s="6">
        <v>46108.463888888888</v>
      </c>
      <c r="F1231" s="6">
        <v>46108.46875</v>
      </c>
      <c r="G1231" s="6">
        <v>46108.510416666664</v>
      </c>
      <c r="H1231" s="6">
        <v>46108.618055555555</v>
      </c>
      <c r="I1231" s="6">
        <v>46108.642361111109</v>
      </c>
      <c r="J1231" s="6">
        <v>46108.645833333336</v>
      </c>
      <c r="K1231">
        <v>4.37</v>
      </c>
      <c r="L1231" s="6">
        <v>46108.652777777781</v>
      </c>
      <c r="M1231" s="7">
        <f>F1231-E1231</f>
        <v>4.8611111124046147E-3</v>
      </c>
      <c r="N1231">
        <f>HOUR(M1231)</f>
        <v>0</v>
      </c>
      <c r="O1231">
        <f>MINUTE(M1231)</f>
        <v>7</v>
      </c>
      <c r="P1231">
        <f>N1231*60+O1231</f>
        <v>7</v>
      </c>
      <c r="Q1231" s="7">
        <f>G1231-F1231</f>
        <v>4.1666666664241347E-2</v>
      </c>
      <c r="R1231">
        <f>HOUR(Q1231)</f>
        <v>1</v>
      </c>
      <c r="S1231">
        <f>MINUTE(Q1231)</f>
        <v>0</v>
      </c>
      <c r="T1231">
        <f>R1231*60+S1231</f>
        <v>60</v>
      </c>
      <c r="U1231" s="7">
        <f>H1231-G1231</f>
        <v>0.10763888889050577</v>
      </c>
      <c r="V1231">
        <f>HOUR(U1231)</f>
        <v>2</v>
      </c>
      <c r="W1231">
        <f>MINUTE(U1231)</f>
        <v>35</v>
      </c>
      <c r="X1231">
        <f>V1231*60+W1231</f>
        <v>155</v>
      </c>
      <c r="Y1231" s="7">
        <f>I1231-H1231</f>
        <v>2.4305555554747116E-2</v>
      </c>
      <c r="Z1231">
        <f>HOUR(Y1231)</f>
        <v>0</v>
      </c>
      <c r="AA1231">
        <f>MINUTE(Y1231)</f>
        <v>35</v>
      </c>
      <c r="AB1231">
        <f>Z1231*60+AA1231</f>
        <v>35</v>
      </c>
    </row>
    <row r="1232" spans="1:28" x14ac:dyDescent="0.25">
      <c r="A1232">
        <v>1230</v>
      </c>
      <c r="B1232" t="s">
        <v>31</v>
      </c>
      <c r="C1232">
        <v>1</v>
      </c>
      <c r="D1232" t="s">
        <v>36</v>
      </c>
      <c r="E1232" s="6">
        <v>46108.6875</v>
      </c>
      <c r="F1232" s="6">
        <v>46108.697916666664</v>
      </c>
      <c r="G1232" s="6">
        <v>46108.711805555555</v>
      </c>
      <c r="H1232" s="6">
        <v>46108.729166666664</v>
      </c>
      <c r="I1232" s="6">
        <v>46108.736111111109</v>
      </c>
      <c r="J1232" s="6">
        <v>46108.736805555556</v>
      </c>
      <c r="K1232">
        <v>1.18</v>
      </c>
      <c r="L1232" s="6">
        <v>46108.737500000003</v>
      </c>
      <c r="M1232" s="7">
        <f>F1232-E1232</f>
        <v>1.0416666664241347E-2</v>
      </c>
      <c r="N1232">
        <f>HOUR(M1232)</f>
        <v>0</v>
      </c>
      <c r="O1232">
        <f>MINUTE(M1232)</f>
        <v>15</v>
      </c>
      <c r="P1232">
        <f>N1232*60+O1232</f>
        <v>15</v>
      </c>
      <c r="Q1232" s="7">
        <f>G1232-F1232</f>
        <v>1.3888888890505768E-2</v>
      </c>
      <c r="R1232">
        <f>HOUR(Q1232)</f>
        <v>0</v>
      </c>
      <c r="S1232">
        <f>MINUTE(Q1232)</f>
        <v>20</v>
      </c>
      <c r="T1232">
        <f>R1232*60+S1232</f>
        <v>20</v>
      </c>
      <c r="U1232" s="7">
        <f>H1232-G1232</f>
        <v>1.7361111109494232E-2</v>
      </c>
      <c r="V1232">
        <f>HOUR(U1232)</f>
        <v>0</v>
      </c>
      <c r="W1232">
        <f>MINUTE(U1232)</f>
        <v>25</v>
      </c>
      <c r="X1232">
        <f>V1232*60+W1232</f>
        <v>25</v>
      </c>
      <c r="Y1232" s="7">
        <f>I1232-H1232</f>
        <v>6.9444444452528842E-3</v>
      </c>
      <c r="Z1232">
        <f>HOUR(Y1232)</f>
        <v>0</v>
      </c>
      <c r="AA1232">
        <f>MINUTE(Y1232)</f>
        <v>10</v>
      </c>
      <c r="AB1232">
        <f>Z1232*60+AA1232</f>
        <v>10</v>
      </c>
    </row>
    <row r="1233" spans="1:28" x14ac:dyDescent="0.25">
      <c r="A1233">
        <v>1231</v>
      </c>
      <c r="B1233" t="s">
        <v>33</v>
      </c>
      <c r="C1233">
        <v>1</v>
      </c>
      <c r="D1233" t="s">
        <v>36</v>
      </c>
      <c r="E1233" s="6">
        <v>46108.75</v>
      </c>
      <c r="F1233" s="6">
        <v>46108.756944444445</v>
      </c>
      <c r="G1233" s="6">
        <v>46108.763888888891</v>
      </c>
      <c r="H1233" s="6">
        <v>46108.777777777781</v>
      </c>
      <c r="I1233" s="6">
        <v>46108.779166666667</v>
      </c>
      <c r="J1233" s="6">
        <v>46108.78125</v>
      </c>
      <c r="K1233">
        <v>0.75</v>
      </c>
      <c r="L1233" s="6">
        <v>46108.791666666664</v>
      </c>
      <c r="M1233" s="7">
        <f>F1233-E1233</f>
        <v>6.9444444452528842E-3</v>
      </c>
      <c r="N1233">
        <f>HOUR(M1233)</f>
        <v>0</v>
      </c>
      <c r="O1233">
        <f>MINUTE(M1233)</f>
        <v>10</v>
      </c>
      <c r="P1233">
        <f>N1233*60+O1233</f>
        <v>10</v>
      </c>
      <c r="Q1233" s="7">
        <f>G1233-F1233</f>
        <v>6.9444444452528842E-3</v>
      </c>
      <c r="R1233">
        <f>HOUR(Q1233)</f>
        <v>0</v>
      </c>
      <c r="S1233">
        <f>MINUTE(Q1233)</f>
        <v>10</v>
      </c>
      <c r="T1233">
        <f>R1233*60+S1233</f>
        <v>10</v>
      </c>
      <c r="U1233" s="7">
        <f>H1233-G1233</f>
        <v>1.3888888890505768E-2</v>
      </c>
      <c r="V1233">
        <f>HOUR(U1233)</f>
        <v>0</v>
      </c>
      <c r="W1233">
        <f>MINUTE(U1233)</f>
        <v>20</v>
      </c>
      <c r="X1233">
        <f>V1233*60+W1233</f>
        <v>20</v>
      </c>
      <c r="Y1233" s="7">
        <f>I1233-H1233</f>
        <v>1.3888888861401938E-3</v>
      </c>
      <c r="Z1233">
        <f>HOUR(Y1233)</f>
        <v>0</v>
      </c>
      <c r="AA1233">
        <f>MINUTE(Y1233)</f>
        <v>2</v>
      </c>
      <c r="AB1233">
        <f>Z1233*60+AA1233</f>
        <v>2</v>
      </c>
    </row>
    <row r="1234" spans="1:28" x14ac:dyDescent="0.25">
      <c r="A1234">
        <v>1232</v>
      </c>
      <c r="B1234" t="s">
        <v>29</v>
      </c>
      <c r="C1234">
        <v>1</v>
      </c>
      <c r="D1234" t="s">
        <v>30</v>
      </c>
      <c r="E1234" s="6">
        <v>46108.493055555555</v>
      </c>
      <c r="F1234" s="6">
        <v>46108.496527777781</v>
      </c>
      <c r="G1234" s="6">
        <v>46108.5</v>
      </c>
      <c r="H1234" s="6">
        <v>46108.506944444445</v>
      </c>
      <c r="I1234" s="6">
        <v>46108.520833333336</v>
      </c>
      <c r="J1234" s="6">
        <v>46108.524305555555</v>
      </c>
      <c r="K1234">
        <v>0.75</v>
      </c>
      <c r="L1234" s="6">
        <v>46108.53125</v>
      </c>
      <c r="M1234" s="7">
        <f>F1234-E1234</f>
        <v>3.4722222262644209E-3</v>
      </c>
      <c r="N1234">
        <f>HOUR(M1234)</f>
        <v>0</v>
      </c>
      <c r="O1234">
        <f>MINUTE(M1234)</f>
        <v>5</v>
      </c>
      <c r="P1234">
        <f>N1234*60+O1234</f>
        <v>5</v>
      </c>
      <c r="Q1234" s="7">
        <f>G1234-F1234</f>
        <v>3.4722222189884633E-3</v>
      </c>
      <c r="R1234">
        <f>HOUR(Q1234)</f>
        <v>0</v>
      </c>
      <c r="S1234">
        <f>MINUTE(Q1234)</f>
        <v>5</v>
      </c>
      <c r="T1234">
        <f>R1234*60+S1234</f>
        <v>5</v>
      </c>
      <c r="U1234" s="7">
        <f>H1234-G1234</f>
        <v>6.9444444452528842E-3</v>
      </c>
      <c r="V1234">
        <f>HOUR(U1234)</f>
        <v>0</v>
      </c>
      <c r="W1234">
        <f>MINUTE(U1234)</f>
        <v>10</v>
      </c>
      <c r="X1234">
        <f>V1234*60+W1234</f>
        <v>10</v>
      </c>
      <c r="Y1234" s="7">
        <f>I1234-H1234</f>
        <v>1.3888888890505768E-2</v>
      </c>
      <c r="Z1234">
        <f>HOUR(Y1234)</f>
        <v>0</v>
      </c>
      <c r="AA1234">
        <f>MINUTE(Y1234)</f>
        <v>20</v>
      </c>
      <c r="AB1234">
        <f>Z1234*60+AA1234</f>
        <v>20</v>
      </c>
    </row>
    <row r="1235" spans="1:28" x14ac:dyDescent="0.25">
      <c r="A1235">
        <v>1233</v>
      </c>
      <c r="B1235" t="s">
        <v>31</v>
      </c>
      <c r="C1235">
        <v>1</v>
      </c>
      <c r="D1235" t="s">
        <v>36</v>
      </c>
      <c r="E1235" s="6">
        <v>46108.291666666664</v>
      </c>
      <c r="F1235" s="6">
        <v>46108.34375</v>
      </c>
      <c r="G1235" s="6">
        <v>46108.364583333336</v>
      </c>
      <c r="H1235" s="6">
        <v>46108.465277777781</v>
      </c>
      <c r="I1235" s="6">
        <v>46108.46875</v>
      </c>
      <c r="J1235" s="6">
        <v>46108.470833333333</v>
      </c>
      <c r="K1235">
        <v>4.3</v>
      </c>
      <c r="L1235" s="6">
        <v>46108.477777777778</v>
      </c>
      <c r="M1235" s="7">
        <f>F1235-E1235</f>
        <v>5.2083333335758653E-2</v>
      </c>
      <c r="N1235">
        <f>HOUR(M1235)</f>
        <v>1</v>
      </c>
      <c r="O1235">
        <f>MINUTE(M1235)</f>
        <v>15</v>
      </c>
      <c r="P1235">
        <f>N1235*60+O1235</f>
        <v>75</v>
      </c>
      <c r="Q1235" s="7">
        <f>G1235-F1235</f>
        <v>2.0833333335758653E-2</v>
      </c>
      <c r="R1235">
        <f>HOUR(Q1235)</f>
        <v>0</v>
      </c>
      <c r="S1235">
        <f>MINUTE(Q1235)</f>
        <v>30</v>
      </c>
      <c r="T1235">
        <f>R1235*60+S1235</f>
        <v>30</v>
      </c>
      <c r="U1235" s="7">
        <f>H1235-G1235</f>
        <v>0.10069444444525288</v>
      </c>
      <c r="V1235">
        <f>HOUR(U1235)</f>
        <v>2</v>
      </c>
      <c r="W1235">
        <f>MINUTE(U1235)</f>
        <v>25</v>
      </c>
      <c r="X1235">
        <f>V1235*60+W1235</f>
        <v>145</v>
      </c>
      <c r="Y1235" s="7">
        <f>I1235-H1235</f>
        <v>3.4722222189884633E-3</v>
      </c>
      <c r="Z1235">
        <f>HOUR(Y1235)</f>
        <v>0</v>
      </c>
      <c r="AA1235">
        <f>MINUTE(Y1235)</f>
        <v>5</v>
      </c>
      <c r="AB1235">
        <f>Z1235*60+AA1235</f>
        <v>5</v>
      </c>
    </row>
    <row r="1236" spans="1:28" x14ac:dyDescent="0.25">
      <c r="A1236">
        <v>1234</v>
      </c>
      <c r="B1236" t="s">
        <v>33</v>
      </c>
      <c r="C1236">
        <v>1</v>
      </c>
      <c r="D1236" t="s">
        <v>35</v>
      </c>
      <c r="E1236" s="6">
        <v>46107.826388888891</v>
      </c>
      <c r="F1236" s="6">
        <v>46107.833333333336</v>
      </c>
      <c r="G1236" s="6">
        <v>46107.847222222219</v>
      </c>
      <c r="H1236" s="6">
        <v>46107.895833333336</v>
      </c>
      <c r="I1236" s="6">
        <v>46107.902777777781</v>
      </c>
      <c r="J1236" s="6">
        <v>46107.916666666664</v>
      </c>
      <c r="K1236">
        <v>2.17</v>
      </c>
      <c r="L1236" s="6">
        <v>46107.923611111109</v>
      </c>
      <c r="M1236" s="7">
        <f>F1236-E1236</f>
        <v>6.9444444452528842E-3</v>
      </c>
      <c r="N1236">
        <f>HOUR(M1236)</f>
        <v>0</v>
      </c>
      <c r="O1236">
        <f>MINUTE(M1236)</f>
        <v>10</v>
      </c>
      <c r="P1236">
        <f>N1236*60+O1236</f>
        <v>10</v>
      </c>
      <c r="Q1236" s="7">
        <f>G1236-F1236</f>
        <v>1.3888888883229811E-2</v>
      </c>
      <c r="R1236">
        <f>HOUR(Q1236)</f>
        <v>0</v>
      </c>
      <c r="S1236">
        <f>MINUTE(Q1236)</f>
        <v>20</v>
      </c>
      <c r="T1236">
        <f>R1236*60+S1236</f>
        <v>20</v>
      </c>
      <c r="U1236" s="7">
        <f>H1236-G1236</f>
        <v>4.8611111116770189E-2</v>
      </c>
      <c r="V1236">
        <f>HOUR(U1236)</f>
        <v>1</v>
      </c>
      <c r="W1236">
        <f>MINUTE(U1236)</f>
        <v>10</v>
      </c>
      <c r="X1236">
        <f>V1236*60+W1236</f>
        <v>70</v>
      </c>
      <c r="Y1236" s="7">
        <f>I1236-H1236</f>
        <v>6.9444444452528842E-3</v>
      </c>
      <c r="Z1236">
        <f>HOUR(Y1236)</f>
        <v>0</v>
      </c>
      <c r="AA1236">
        <f>MINUTE(Y1236)</f>
        <v>10</v>
      </c>
      <c r="AB1236">
        <f>Z1236*60+AA1236</f>
        <v>10</v>
      </c>
    </row>
    <row r="1237" spans="1:28" x14ac:dyDescent="0.25">
      <c r="A1237">
        <v>1235</v>
      </c>
      <c r="B1237" t="s">
        <v>31</v>
      </c>
      <c r="C1237">
        <v>1</v>
      </c>
      <c r="D1237" t="s">
        <v>34</v>
      </c>
      <c r="E1237" s="6">
        <v>46107.875</v>
      </c>
      <c r="F1237" s="6">
        <v>46107.881944444445</v>
      </c>
      <c r="G1237" s="6">
        <v>46107.930555555555</v>
      </c>
      <c r="H1237" s="6">
        <v>46107.979166666664</v>
      </c>
      <c r="I1237" s="6">
        <v>46107.986111111109</v>
      </c>
      <c r="J1237" s="6">
        <v>46108.081944444442</v>
      </c>
      <c r="K1237">
        <v>4.97</v>
      </c>
      <c r="L1237" s="6">
        <v>46108.084027777775</v>
      </c>
      <c r="M1237" s="7">
        <f>F1237-E1237</f>
        <v>6.9444444452528842E-3</v>
      </c>
      <c r="N1237">
        <f>HOUR(M1237)</f>
        <v>0</v>
      </c>
      <c r="O1237">
        <f>MINUTE(M1237)</f>
        <v>10</v>
      </c>
      <c r="P1237">
        <f>N1237*60+O1237</f>
        <v>10</v>
      </c>
      <c r="Q1237" s="7">
        <f>G1237-F1237</f>
        <v>4.8611111109494232E-2</v>
      </c>
      <c r="R1237">
        <f>HOUR(Q1237)</f>
        <v>1</v>
      </c>
      <c r="S1237">
        <f>MINUTE(Q1237)</f>
        <v>10</v>
      </c>
      <c r="T1237">
        <f>R1237*60+S1237</f>
        <v>70</v>
      </c>
      <c r="U1237" s="7">
        <f>H1237-G1237</f>
        <v>4.8611111109494232E-2</v>
      </c>
      <c r="V1237">
        <f>HOUR(U1237)</f>
        <v>1</v>
      </c>
      <c r="W1237">
        <f>MINUTE(U1237)</f>
        <v>10</v>
      </c>
      <c r="X1237">
        <f>V1237*60+W1237</f>
        <v>70</v>
      </c>
      <c r="Y1237" s="7">
        <f>I1237-H1237</f>
        <v>6.9444444452528842E-3</v>
      </c>
      <c r="Z1237">
        <f>HOUR(Y1237)</f>
        <v>0</v>
      </c>
      <c r="AA1237">
        <f>MINUTE(Y1237)</f>
        <v>10</v>
      </c>
      <c r="AB1237">
        <f>Z1237*60+AA1237</f>
        <v>10</v>
      </c>
    </row>
    <row r="1238" spans="1:28" x14ac:dyDescent="0.25">
      <c r="A1238">
        <v>1236</v>
      </c>
      <c r="B1238" t="s">
        <v>33</v>
      </c>
      <c r="C1238">
        <v>1</v>
      </c>
      <c r="D1238" t="s">
        <v>34</v>
      </c>
      <c r="E1238" s="6">
        <v>46107.944444444445</v>
      </c>
      <c r="F1238" s="6">
        <v>46107.947916666664</v>
      </c>
      <c r="G1238" s="6">
        <v>46107.954861111109</v>
      </c>
      <c r="H1238" s="6">
        <v>46107.958333333336</v>
      </c>
      <c r="I1238" s="6">
        <v>46107.965277777781</v>
      </c>
      <c r="J1238" s="6">
        <v>46107.970833333333</v>
      </c>
      <c r="K1238">
        <v>0.63</v>
      </c>
      <c r="L1238" s="6">
        <v>46107.972222222219</v>
      </c>
      <c r="M1238" s="7">
        <f>F1238-E1238</f>
        <v>3.4722222189884633E-3</v>
      </c>
      <c r="N1238">
        <f>HOUR(M1238)</f>
        <v>0</v>
      </c>
      <c r="O1238">
        <f>MINUTE(M1238)</f>
        <v>5</v>
      </c>
      <c r="P1238">
        <f>N1238*60+O1238</f>
        <v>5</v>
      </c>
      <c r="Q1238" s="7">
        <f>G1238-F1238</f>
        <v>6.9444444452528842E-3</v>
      </c>
      <c r="R1238">
        <f>HOUR(Q1238)</f>
        <v>0</v>
      </c>
      <c r="S1238">
        <f>MINUTE(Q1238)</f>
        <v>10</v>
      </c>
      <c r="T1238">
        <f>R1238*60+S1238</f>
        <v>10</v>
      </c>
      <c r="U1238" s="7">
        <f>H1238-G1238</f>
        <v>3.4722222262644209E-3</v>
      </c>
      <c r="V1238">
        <f>HOUR(U1238)</f>
        <v>0</v>
      </c>
      <c r="W1238">
        <f>MINUTE(U1238)</f>
        <v>5</v>
      </c>
      <c r="X1238">
        <f>V1238*60+W1238</f>
        <v>5</v>
      </c>
      <c r="Y1238" s="7">
        <f>I1238-H1238</f>
        <v>6.9444444452528842E-3</v>
      </c>
      <c r="Z1238">
        <f>HOUR(Y1238)</f>
        <v>0</v>
      </c>
      <c r="AA1238">
        <f>MINUTE(Y1238)</f>
        <v>10</v>
      </c>
      <c r="AB1238">
        <f>Z1238*60+AA1238</f>
        <v>10</v>
      </c>
    </row>
    <row r="1239" spans="1:28" x14ac:dyDescent="0.25">
      <c r="A1239">
        <v>1237</v>
      </c>
      <c r="B1239" t="s">
        <v>31</v>
      </c>
      <c r="C1239">
        <v>1</v>
      </c>
      <c r="D1239" t="s">
        <v>30</v>
      </c>
      <c r="E1239" s="6">
        <v>46107.958333333336</v>
      </c>
      <c r="F1239" s="6">
        <v>46107.961805555555</v>
      </c>
      <c r="G1239" s="6">
        <v>46107.965277777781</v>
      </c>
      <c r="H1239" s="6">
        <v>46108.020833333336</v>
      </c>
      <c r="I1239" s="6">
        <v>46108.027777777781</v>
      </c>
      <c r="J1239" s="6">
        <v>46108.03125</v>
      </c>
      <c r="K1239">
        <v>1.75</v>
      </c>
      <c r="L1239" s="6">
        <v>46108.038194444445</v>
      </c>
      <c r="M1239" s="7">
        <f>F1239-E1239</f>
        <v>3.4722222189884633E-3</v>
      </c>
      <c r="N1239">
        <f>HOUR(M1239)</f>
        <v>0</v>
      </c>
      <c r="O1239">
        <f>MINUTE(M1239)</f>
        <v>5</v>
      </c>
      <c r="P1239">
        <f>N1239*60+O1239</f>
        <v>5</v>
      </c>
      <c r="Q1239" s="7">
        <f>G1239-F1239</f>
        <v>3.4722222262644209E-3</v>
      </c>
      <c r="R1239">
        <f>HOUR(Q1239)</f>
        <v>0</v>
      </c>
      <c r="S1239">
        <f>MINUTE(Q1239)</f>
        <v>5</v>
      </c>
      <c r="T1239">
        <f>R1239*60+S1239</f>
        <v>5</v>
      </c>
      <c r="U1239" s="7">
        <f>H1239-G1239</f>
        <v>5.5555555554747116E-2</v>
      </c>
      <c r="V1239">
        <f>HOUR(U1239)</f>
        <v>1</v>
      </c>
      <c r="W1239">
        <f>MINUTE(U1239)</f>
        <v>20</v>
      </c>
      <c r="X1239">
        <f>V1239*60+W1239</f>
        <v>80</v>
      </c>
      <c r="Y1239" s="7">
        <f>I1239-H1239</f>
        <v>6.9444444452528842E-3</v>
      </c>
      <c r="Z1239">
        <f>HOUR(Y1239)</f>
        <v>0</v>
      </c>
      <c r="AA1239">
        <f>MINUTE(Y1239)</f>
        <v>10</v>
      </c>
      <c r="AB1239">
        <f>Z1239*60+AA1239</f>
        <v>10</v>
      </c>
    </row>
    <row r="1240" spans="1:28" x14ac:dyDescent="0.25">
      <c r="A1240">
        <v>1238</v>
      </c>
      <c r="B1240" t="s">
        <v>31</v>
      </c>
      <c r="C1240">
        <v>1</v>
      </c>
      <c r="D1240" t="s">
        <v>34</v>
      </c>
      <c r="E1240" s="6">
        <v>46108.298611111109</v>
      </c>
      <c r="F1240" s="6">
        <v>46108.333333333336</v>
      </c>
      <c r="G1240" s="6">
        <v>46108.354166666664</v>
      </c>
      <c r="H1240" s="6">
        <v>46108.375694444447</v>
      </c>
      <c r="I1240" s="6">
        <v>46108.381944444445</v>
      </c>
      <c r="J1240" s="6">
        <v>46108.583333333336</v>
      </c>
      <c r="K1240">
        <v>6.83</v>
      </c>
      <c r="L1240" s="6">
        <v>46108.590277777781</v>
      </c>
      <c r="M1240" s="7">
        <f>F1240-E1240</f>
        <v>3.4722222226264421E-2</v>
      </c>
      <c r="N1240">
        <f>HOUR(M1240)</f>
        <v>0</v>
      </c>
      <c r="O1240">
        <f>MINUTE(M1240)</f>
        <v>50</v>
      </c>
      <c r="P1240">
        <f>N1240*60+O1240</f>
        <v>50</v>
      </c>
      <c r="Q1240" s="7">
        <f>G1240-F1240</f>
        <v>2.0833333328482695E-2</v>
      </c>
      <c r="R1240">
        <f>HOUR(Q1240)</f>
        <v>0</v>
      </c>
      <c r="S1240">
        <f>MINUTE(Q1240)</f>
        <v>30</v>
      </c>
      <c r="T1240">
        <f>R1240*60+S1240</f>
        <v>30</v>
      </c>
      <c r="U1240" s="7">
        <f>H1240-G1240</f>
        <v>2.1527777782466728E-2</v>
      </c>
      <c r="V1240">
        <f>HOUR(U1240)</f>
        <v>0</v>
      </c>
      <c r="W1240">
        <f>MINUTE(U1240)</f>
        <v>31</v>
      </c>
      <c r="X1240">
        <f>V1240*60+W1240</f>
        <v>31</v>
      </c>
      <c r="Y1240" s="7">
        <f>I1240-H1240</f>
        <v>6.2499999985448085E-3</v>
      </c>
      <c r="Z1240">
        <f>HOUR(Y1240)</f>
        <v>0</v>
      </c>
      <c r="AA1240">
        <f>MINUTE(Y1240)</f>
        <v>9</v>
      </c>
      <c r="AB1240">
        <f>Z1240*60+AA1240</f>
        <v>9</v>
      </c>
    </row>
    <row r="1241" spans="1:28" x14ac:dyDescent="0.25">
      <c r="A1241">
        <v>1239</v>
      </c>
      <c r="B1241" t="s">
        <v>33</v>
      </c>
      <c r="C1241">
        <v>1</v>
      </c>
      <c r="D1241" t="s">
        <v>30</v>
      </c>
      <c r="E1241" s="6">
        <v>46108.368055555555</v>
      </c>
      <c r="F1241" s="6">
        <v>46108.371527777781</v>
      </c>
      <c r="G1241" s="6">
        <v>46108.384722222225</v>
      </c>
      <c r="H1241" s="6">
        <v>46108.541666666664</v>
      </c>
      <c r="I1241" s="6">
        <v>46108.545138888891</v>
      </c>
      <c r="J1241" s="6">
        <v>46108.572916666664</v>
      </c>
      <c r="K1241">
        <v>4.92</v>
      </c>
      <c r="L1241" s="6">
        <v>46108.573611111111</v>
      </c>
      <c r="M1241" s="7">
        <f>F1241-E1241</f>
        <v>3.4722222262644209E-3</v>
      </c>
      <c r="N1241">
        <f>HOUR(M1241)</f>
        <v>0</v>
      </c>
      <c r="O1241">
        <f>MINUTE(M1241)</f>
        <v>5</v>
      </c>
      <c r="P1241">
        <f>N1241*60+O1241</f>
        <v>5</v>
      </c>
      <c r="Q1241" s="7">
        <f>G1241-F1241</f>
        <v>1.3194444443797693E-2</v>
      </c>
      <c r="R1241">
        <f>HOUR(Q1241)</f>
        <v>0</v>
      </c>
      <c r="S1241">
        <f>MINUTE(Q1241)</f>
        <v>19</v>
      </c>
      <c r="T1241">
        <f>R1241*60+S1241</f>
        <v>19</v>
      </c>
      <c r="U1241" s="7">
        <f>H1241-G1241</f>
        <v>0.15694444443943212</v>
      </c>
      <c r="V1241">
        <f>HOUR(U1241)</f>
        <v>3</v>
      </c>
      <c r="W1241">
        <f>MINUTE(U1241)</f>
        <v>46</v>
      </c>
      <c r="X1241">
        <f>V1241*60+W1241</f>
        <v>226</v>
      </c>
      <c r="Y1241" s="7">
        <f>I1241-H1241</f>
        <v>3.4722222262644209E-3</v>
      </c>
      <c r="Z1241">
        <f>HOUR(Y1241)</f>
        <v>0</v>
      </c>
      <c r="AA1241">
        <f>MINUTE(Y1241)</f>
        <v>5</v>
      </c>
      <c r="AB1241">
        <f>Z1241*60+AA1241</f>
        <v>5</v>
      </c>
    </row>
    <row r="1242" spans="1:28" x14ac:dyDescent="0.25">
      <c r="A1242">
        <v>1240</v>
      </c>
      <c r="B1242" t="s">
        <v>33</v>
      </c>
      <c r="C1242">
        <v>1</v>
      </c>
      <c r="D1242" t="s">
        <v>36</v>
      </c>
      <c r="E1242" s="6">
        <v>46108.581250000003</v>
      </c>
      <c r="F1242" s="6">
        <v>46108.59375</v>
      </c>
      <c r="G1242" s="6">
        <v>46108.597222222219</v>
      </c>
      <c r="H1242" s="6">
        <v>46108.659722222219</v>
      </c>
      <c r="I1242" s="6">
        <v>46108.663194444445</v>
      </c>
      <c r="J1242" s="6">
        <v>46108.666666666664</v>
      </c>
      <c r="K1242">
        <v>2.0499999999999998</v>
      </c>
      <c r="L1242" s="6">
        <v>46108.673611111109</v>
      </c>
      <c r="M1242" s="7">
        <f>F1242-E1242</f>
        <v>1.2499999997089617E-2</v>
      </c>
      <c r="N1242">
        <f>HOUR(M1242)</f>
        <v>0</v>
      </c>
      <c r="O1242">
        <f>MINUTE(M1242)</f>
        <v>18</v>
      </c>
      <c r="P1242">
        <f>N1242*60+O1242</f>
        <v>18</v>
      </c>
      <c r="Q1242" s="7">
        <f>G1242-F1242</f>
        <v>3.4722222189884633E-3</v>
      </c>
      <c r="R1242">
        <f>HOUR(Q1242)</f>
        <v>0</v>
      </c>
      <c r="S1242">
        <f>MINUTE(Q1242)</f>
        <v>5</v>
      </c>
      <c r="T1242">
        <f>R1242*60+S1242</f>
        <v>5</v>
      </c>
      <c r="U1242" s="7">
        <f>H1242-G1242</f>
        <v>6.25E-2</v>
      </c>
      <c r="V1242">
        <f>HOUR(U1242)</f>
        <v>1</v>
      </c>
      <c r="W1242">
        <f>MINUTE(U1242)</f>
        <v>30</v>
      </c>
      <c r="X1242">
        <f>V1242*60+W1242</f>
        <v>90</v>
      </c>
      <c r="Y1242" s="7">
        <f>I1242-H1242</f>
        <v>3.4722222262644209E-3</v>
      </c>
      <c r="Z1242">
        <f>HOUR(Y1242)</f>
        <v>0</v>
      </c>
      <c r="AA1242">
        <f>MINUTE(Y1242)</f>
        <v>5</v>
      </c>
      <c r="AB1242">
        <f>Z1242*60+AA1242</f>
        <v>5</v>
      </c>
    </row>
    <row r="1243" spans="1:28" x14ac:dyDescent="0.25">
      <c r="A1243">
        <v>1241</v>
      </c>
      <c r="B1243" t="s">
        <v>29</v>
      </c>
      <c r="C1243">
        <v>1</v>
      </c>
      <c r="D1243" t="s">
        <v>36</v>
      </c>
      <c r="E1243" s="6">
        <v>46108.5</v>
      </c>
      <c r="F1243" s="6">
        <v>46108.506944444445</v>
      </c>
      <c r="G1243" s="6">
        <v>46108.524305555555</v>
      </c>
      <c r="H1243" s="6">
        <v>46108.527777777781</v>
      </c>
      <c r="I1243" s="6">
        <v>46108.53125</v>
      </c>
      <c r="J1243" s="6">
        <v>46108.534722222219</v>
      </c>
      <c r="K1243">
        <v>0.83</v>
      </c>
      <c r="L1243" s="6">
        <v>46108.536111111112</v>
      </c>
      <c r="M1243" s="7">
        <f>F1243-E1243</f>
        <v>6.9444444452528842E-3</v>
      </c>
      <c r="N1243">
        <f>HOUR(M1243)</f>
        <v>0</v>
      </c>
      <c r="O1243">
        <f>MINUTE(M1243)</f>
        <v>10</v>
      </c>
      <c r="P1243">
        <f>N1243*60+O1243</f>
        <v>10</v>
      </c>
      <c r="Q1243" s="7">
        <f>G1243-F1243</f>
        <v>1.7361111109494232E-2</v>
      </c>
      <c r="R1243">
        <f>HOUR(Q1243)</f>
        <v>0</v>
      </c>
      <c r="S1243">
        <f>MINUTE(Q1243)</f>
        <v>25</v>
      </c>
      <c r="T1243">
        <f>R1243*60+S1243</f>
        <v>25</v>
      </c>
      <c r="U1243" s="7">
        <f>H1243-G1243</f>
        <v>3.4722222262644209E-3</v>
      </c>
      <c r="V1243">
        <f>HOUR(U1243)</f>
        <v>0</v>
      </c>
      <c r="W1243">
        <f>MINUTE(U1243)</f>
        <v>5</v>
      </c>
      <c r="X1243">
        <f>V1243*60+W1243</f>
        <v>5</v>
      </c>
      <c r="Y1243" s="7">
        <f>I1243-H1243</f>
        <v>3.4722222189884633E-3</v>
      </c>
      <c r="Z1243">
        <f>HOUR(Y1243)</f>
        <v>0</v>
      </c>
      <c r="AA1243">
        <f>MINUTE(Y1243)</f>
        <v>5</v>
      </c>
      <c r="AB1243">
        <f>Z1243*60+AA1243</f>
        <v>5</v>
      </c>
    </row>
    <row r="1244" spans="1:28" x14ac:dyDescent="0.25">
      <c r="A1244">
        <v>1242</v>
      </c>
      <c r="B1244" t="s">
        <v>33</v>
      </c>
      <c r="C1244">
        <v>1</v>
      </c>
      <c r="D1244" t="s">
        <v>30</v>
      </c>
      <c r="E1244" s="6">
        <v>46108.635416666664</v>
      </c>
      <c r="F1244" s="6">
        <v>46108.638888888891</v>
      </c>
      <c r="G1244" s="6">
        <v>46108.659722222219</v>
      </c>
      <c r="H1244" s="6">
        <v>46108.694444444445</v>
      </c>
      <c r="I1244" s="6">
        <v>46108.697916666664</v>
      </c>
      <c r="J1244" s="6">
        <v>46108.701388888891</v>
      </c>
      <c r="K1244">
        <v>1.58</v>
      </c>
      <c r="L1244" s="6">
        <v>46108.708333333336</v>
      </c>
      <c r="M1244" s="7">
        <f>F1244-E1244</f>
        <v>3.4722222262644209E-3</v>
      </c>
      <c r="N1244">
        <f>HOUR(M1244)</f>
        <v>0</v>
      </c>
      <c r="O1244">
        <f>MINUTE(M1244)</f>
        <v>5</v>
      </c>
      <c r="P1244">
        <f>N1244*60+O1244</f>
        <v>5</v>
      </c>
      <c r="Q1244" s="7">
        <f>G1244-F1244</f>
        <v>2.0833333328482695E-2</v>
      </c>
      <c r="R1244">
        <f>HOUR(Q1244)</f>
        <v>0</v>
      </c>
      <c r="S1244">
        <f>MINUTE(Q1244)</f>
        <v>30</v>
      </c>
      <c r="T1244">
        <f>R1244*60+S1244</f>
        <v>30</v>
      </c>
      <c r="U1244" s="7">
        <f>H1244-G1244</f>
        <v>3.4722222226264421E-2</v>
      </c>
      <c r="V1244">
        <f>HOUR(U1244)</f>
        <v>0</v>
      </c>
      <c r="W1244">
        <f>MINUTE(U1244)</f>
        <v>50</v>
      </c>
      <c r="X1244">
        <f>V1244*60+W1244</f>
        <v>50</v>
      </c>
      <c r="Y1244" s="7">
        <f>I1244-H1244</f>
        <v>3.4722222189884633E-3</v>
      </c>
      <c r="Z1244">
        <f>HOUR(Y1244)</f>
        <v>0</v>
      </c>
      <c r="AA1244">
        <f>MINUTE(Y1244)</f>
        <v>5</v>
      </c>
      <c r="AB1244">
        <f>Z1244*60+AA1244</f>
        <v>5</v>
      </c>
    </row>
    <row r="1245" spans="1:28" x14ac:dyDescent="0.25">
      <c r="A1245">
        <v>1243</v>
      </c>
      <c r="B1245" t="s">
        <v>31</v>
      </c>
      <c r="C1245">
        <v>1</v>
      </c>
      <c r="D1245" t="s">
        <v>34</v>
      </c>
      <c r="E1245" s="6">
        <v>46108.64166666667</v>
      </c>
      <c r="F1245" s="6">
        <v>46108.666666666664</v>
      </c>
      <c r="G1245" s="6">
        <v>46108.670138888891</v>
      </c>
      <c r="H1245" s="6">
        <v>46108.70208333333</v>
      </c>
      <c r="I1245" s="6">
        <v>46108.705555555556</v>
      </c>
      <c r="J1245" s="6">
        <v>46108.708333333336</v>
      </c>
      <c r="K1245">
        <v>1.6</v>
      </c>
      <c r="L1245" s="6">
        <v>46108.711805555555</v>
      </c>
      <c r="M1245" s="7">
        <f>F1245-E1245</f>
        <v>2.4999999994179234E-2</v>
      </c>
      <c r="N1245">
        <f>HOUR(M1245)</f>
        <v>0</v>
      </c>
      <c r="O1245">
        <f>MINUTE(M1245)</f>
        <v>36</v>
      </c>
      <c r="P1245">
        <f>N1245*60+O1245</f>
        <v>36</v>
      </c>
      <c r="Q1245" s="7">
        <f>G1245-F1245</f>
        <v>3.4722222262644209E-3</v>
      </c>
      <c r="R1245">
        <f>HOUR(Q1245)</f>
        <v>0</v>
      </c>
      <c r="S1245">
        <f>MINUTE(Q1245)</f>
        <v>5</v>
      </c>
      <c r="T1245">
        <f>R1245*60+S1245</f>
        <v>5</v>
      </c>
      <c r="U1245" s="7">
        <f>H1245-G1245</f>
        <v>3.1944444439432118E-2</v>
      </c>
      <c r="V1245">
        <f>HOUR(U1245)</f>
        <v>0</v>
      </c>
      <c r="W1245">
        <f>MINUTE(U1245)</f>
        <v>46</v>
      </c>
      <c r="X1245">
        <f>V1245*60+W1245</f>
        <v>46</v>
      </c>
      <c r="Y1245" s="7">
        <f>I1245-H1245</f>
        <v>3.4722222262644209E-3</v>
      </c>
      <c r="Z1245">
        <f>HOUR(Y1245)</f>
        <v>0</v>
      </c>
      <c r="AA1245">
        <f>MINUTE(Y1245)</f>
        <v>5</v>
      </c>
      <c r="AB1245">
        <f>Z1245*60+AA1245</f>
        <v>5</v>
      </c>
    </row>
    <row r="1246" spans="1:28" x14ac:dyDescent="0.25">
      <c r="A1246">
        <v>1244</v>
      </c>
      <c r="B1246" t="s">
        <v>33</v>
      </c>
      <c r="C1246">
        <v>1</v>
      </c>
      <c r="D1246" t="s">
        <v>35</v>
      </c>
      <c r="E1246" s="6">
        <v>46109.65625</v>
      </c>
      <c r="F1246" s="6">
        <v>46109.656944444447</v>
      </c>
      <c r="G1246" s="6">
        <v>46109.663194444445</v>
      </c>
      <c r="H1246" s="6">
        <v>46109.736805555556</v>
      </c>
      <c r="I1246" s="6">
        <v>46109.739583333336</v>
      </c>
      <c r="J1246" s="6">
        <v>46109.740277777775</v>
      </c>
      <c r="K1246">
        <v>2.02</v>
      </c>
      <c r="L1246" s="6">
        <v>46109.740972222222</v>
      </c>
      <c r="M1246" s="7">
        <f>F1246-E1246</f>
        <v>6.944444467080757E-4</v>
      </c>
      <c r="N1246">
        <f>HOUR(M1246)</f>
        <v>0</v>
      </c>
      <c r="O1246">
        <f>MINUTE(M1246)</f>
        <v>1</v>
      </c>
      <c r="P1246">
        <f>N1246*60+O1246</f>
        <v>1</v>
      </c>
      <c r="Q1246" s="7">
        <f>G1246-F1246</f>
        <v>6.2499999985448085E-3</v>
      </c>
      <c r="R1246">
        <f>HOUR(Q1246)</f>
        <v>0</v>
      </c>
      <c r="S1246">
        <f>MINUTE(Q1246)</f>
        <v>9</v>
      </c>
      <c r="T1246">
        <f>R1246*60+S1246</f>
        <v>9</v>
      </c>
      <c r="U1246" s="7">
        <f>H1246-G1246</f>
        <v>7.3611111110949423E-2</v>
      </c>
      <c r="V1246">
        <f>HOUR(U1246)</f>
        <v>1</v>
      </c>
      <c r="W1246">
        <f>MINUTE(U1246)</f>
        <v>46</v>
      </c>
      <c r="X1246">
        <f>V1246*60+W1246</f>
        <v>106</v>
      </c>
      <c r="Y1246" s="7">
        <f>I1246-H1246</f>
        <v>2.7777777795563452E-3</v>
      </c>
      <c r="Z1246">
        <f>HOUR(Y1246)</f>
        <v>0</v>
      </c>
      <c r="AA1246">
        <f>MINUTE(Y1246)</f>
        <v>4</v>
      </c>
      <c r="AB1246">
        <f>Z1246*60+AA1246</f>
        <v>4</v>
      </c>
    </row>
    <row r="1247" spans="1:28" x14ac:dyDescent="0.25">
      <c r="A1247">
        <v>1245</v>
      </c>
      <c r="B1247" t="s">
        <v>29</v>
      </c>
      <c r="C1247">
        <v>1</v>
      </c>
      <c r="D1247" t="s">
        <v>35</v>
      </c>
      <c r="E1247" s="6">
        <v>46109.354166666664</v>
      </c>
      <c r="F1247" s="6">
        <v>46109.364583333336</v>
      </c>
      <c r="G1247" s="6">
        <v>46109.385416666664</v>
      </c>
      <c r="H1247" s="6">
        <v>46109.413194444445</v>
      </c>
      <c r="I1247" s="6">
        <v>46109.416666666664</v>
      </c>
      <c r="J1247" s="6">
        <v>46109.420138888891</v>
      </c>
      <c r="K1247">
        <v>1.58</v>
      </c>
      <c r="L1247" s="6">
        <v>46109.427083333336</v>
      </c>
      <c r="M1247" s="7">
        <f>F1247-E1247</f>
        <v>1.0416666671517305E-2</v>
      </c>
      <c r="N1247">
        <f>HOUR(M1247)</f>
        <v>0</v>
      </c>
      <c r="O1247">
        <f>MINUTE(M1247)</f>
        <v>15</v>
      </c>
      <c r="P1247">
        <f>N1247*60+O1247</f>
        <v>15</v>
      </c>
      <c r="Q1247" s="7">
        <f>G1247-F1247</f>
        <v>2.0833333328482695E-2</v>
      </c>
      <c r="R1247">
        <f>HOUR(Q1247)</f>
        <v>0</v>
      </c>
      <c r="S1247">
        <f>MINUTE(Q1247)</f>
        <v>30</v>
      </c>
      <c r="T1247">
        <f>R1247*60+S1247</f>
        <v>30</v>
      </c>
      <c r="U1247" s="7">
        <f>H1247-G1247</f>
        <v>2.7777777781011537E-2</v>
      </c>
      <c r="V1247">
        <f>HOUR(U1247)</f>
        <v>0</v>
      </c>
      <c r="W1247">
        <f>MINUTE(U1247)</f>
        <v>40</v>
      </c>
      <c r="X1247">
        <f>V1247*60+W1247</f>
        <v>40</v>
      </c>
      <c r="Y1247" s="7">
        <f>I1247-H1247</f>
        <v>3.4722222189884633E-3</v>
      </c>
      <c r="Z1247">
        <f>HOUR(Y1247)</f>
        <v>0</v>
      </c>
      <c r="AA1247">
        <f>MINUTE(Y1247)</f>
        <v>5</v>
      </c>
      <c r="AB1247">
        <f>Z1247*60+AA1247</f>
        <v>5</v>
      </c>
    </row>
    <row r="1248" spans="1:28" x14ac:dyDescent="0.25">
      <c r="A1248">
        <v>1246</v>
      </c>
      <c r="B1248" t="s">
        <v>31</v>
      </c>
      <c r="C1248">
        <v>1</v>
      </c>
      <c r="D1248" t="s">
        <v>30</v>
      </c>
      <c r="E1248" s="6">
        <v>46108.666666666664</v>
      </c>
      <c r="F1248" s="6">
        <v>46108.677083333336</v>
      </c>
      <c r="G1248" s="6">
        <v>46108.694444444445</v>
      </c>
      <c r="H1248" s="6">
        <v>46108.836805555555</v>
      </c>
      <c r="I1248" s="6">
        <v>46108.84375</v>
      </c>
      <c r="J1248" s="6">
        <v>46108.844444444447</v>
      </c>
      <c r="K1248">
        <v>4.2699999999999996</v>
      </c>
      <c r="L1248" s="6">
        <v>46108.851388888892</v>
      </c>
      <c r="M1248" s="7">
        <f>F1248-E1248</f>
        <v>1.0416666671517305E-2</v>
      </c>
      <c r="N1248">
        <f>HOUR(M1248)</f>
        <v>0</v>
      </c>
      <c r="O1248">
        <f>MINUTE(M1248)</f>
        <v>15</v>
      </c>
      <c r="P1248">
        <f>N1248*60+O1248</f>
        <v>15</v>
      </c>
      <c r="Q1248" s="7">
        <f>G1248-F1248</f>
        <v>1.7361111109494232E-2</v>
      </c>
      <c r="R1248">
        <f>HOUR(Q1248)</f>
        <v>0</v>
      </c>
      <c r="S1248">
        <f>MINUTE(Q1248)</f>
        <v>25</v>
      </c>
      <c r="T1248">
        <f>R1248*60+S1248</f>
        <v>25</v>
      </c>
      <c r="U1248" s="7">
        <f>H1248-G1248</f>
        <v>0.14236111110949423</v>
      </c>
      <c r="V1248">
        <f>HOUR(U1248)</f>
        <v>3</v>
      </c>
      <c r="W1248">
        <f>MINUTE(U1248)</f>
        <v>25</v>
      </c>
      <c r="X1248">
        <f>V1248*60+W1248</f>
        <v>205</v>
      </c>
      <c r="Y1248" s="7">
        <f>I1248-H1248</f>
        <v>6.9444444452528842E-3</v>
      </c>
      <c r="Z1248">
        <f>HOUR(Y1248)</f>
        <v>0</v>
      </c>
      <c r="AA1248">
        <f>MINUTE(Y1248)</f>
        <v>10</v>
      </c>
      <c r="AB1248">
        <f>Z1248*60+AA1248</f>
        <v>10</v>
      </c>
    </row>
    <row r="1249" spans="1:28" x14ac:dyDescent="0.25">
      <c r="A1249">
        <v>1247</v>
      </c>
      <c r="B1249" t="s">
        <v>33</v>
      </c>
      <c r="C1249">
        <v>1</v>
      </c>
      <c r="D1249" t="s">
        <v>30</v>
      </c>
      <c r="E1249" s="6">
        <v>46108.697916666664</v>
      </c>
      <c r="F1249" s="6">
        <v>46108.708333333336</v>
      </c>
      <c r="G1249" s="6">
        <v>46108.743055555555</v>
      </c>
      <c r="H1249" s="6">
        <v>46108.790972222225</v>
      </c>
      <c r="I1249" s="6">
        <v>46108.798611111109</v>
      </c>
      <c r="J1249" s="6">
        <v>46108.802083333336</v>
      </c>
      <c r="K1249">
        <v>2.5</v>
      </c>
      <c r="L1249" s="6">
        <v>46108.805555555555</v>
      </c>
      <c r="M1249" s="7">
        <f>F1249-E1249</f>
        <v>1.0416666671517305E-2</v>
      </c>
      <c r="N1249">
        <f>HOUR(M1249)</f>
        <v>0</v>
      </c>
      <c r="O1249">
        <f>MINUTE(M1249)</f>
        <v>15</v>
      </c>
      <c r="P1249">
        <f>N1249*60+O1249</f>
        <v>15</v>
      </c>
      <c r="Q1249" s="7">
        <f>G1249-F1249</f>
        <v>3.4722222218988463E-2</v>
      </c>
      <c r="R1249">
        <f>HOUR(Q1249)</f>
        <v>0</v>
      </c>
      <c r="S1249">
        <f>MINUTE(Q1249)</f>
        <v>50</v>
      </c>
      <c r="T1249">
        <f>R1249*60+S1249</f>
        <v>50</v>
      </c>
      <c r="U1249" s="7">
        <f>H1249-G1249</f>
        <v>4.7916666670062114E-2</v>
      </c>
      <c r="V1249">
        <f>HOUR(U1249)</f>
        <v>1</v>
      </c>
      <c r="W1249">
        <f>MINUTE(U1249)</f>
        <v>9</v>
      </c>
      <c r="X1249">
        <f>V1249*60+W1249</f>
        <v>69</v>
      </c>
      <c r="Y1249" s="7">
        <f>I1249-H1249</f>
        <v>7.6388888846850023E-3</v>
      </c>
      <c r="Z1249">
        <f>HOUR(Y1249)</f>
        <v>0</v>
      </c>
      <c r="AA1249">
        <f>MINUTE(Y1249)</f>
        <v>11</v>
      </c>
      <c r="AB1249">
        <f>Z1249*60+AA1249</f>
        <v>11</v>
      </c>
    </row>
    <row r="1250" spans="1:28" x14ac:dyDescent="0.25">
      <c r="A1250">
        <v>1248</v>
      </c>
      <c r="B1250" t="s">
        <v>29</v>
      </c>
      <c r="C1250">
        <v>1</v>
      </c>
      <c r="D1250" t="s">
        <v>32</v>
      </c>
      <c r="E1250" s="6">
        <v>46111.291666666664</v>
      </c>
      <c r="F1250" s="6">
        <v>46111.322222222225</v>
      </c>
      <c r="G1250" s="6">
        <v>46111.340277777781</v>
      </c>
      <c r="H1250" s="6">
        <v>46111.444444444445</v>
      </c>
      <c r="I1250" s="6">
        <v>46111.451388888891</v>
      </c>
      <c r="J1250" s="6">
        <v>46111.458333333336</v>
      </c>
      <c r="K1250">
        <v>4</v>
      </c>
      <c r="L1250" s="6">
        <v>46111.461805555555</v>
      </c>
      <c r="M1250" s="7">
        <f>F1250-E1250</f>
        <v>3.0555555560567882E-2</v>
      </c>
      <c r="N1250">
        <f>HOUR(M1250)</f>
        <v>0</v>
      </c>
      <c r="O1250">
        <f>MINUTE(M1250)</f>
        <v>44</v>
      </c>
      <c r="P1250">
        <f>N1250*60+O1250</f>
        <v>44</v>
      </c>
      <c r="Q1250" s="7">
        <f>G1250-F1250</f>
        <v>1.8055555556202307E-2</v>
      </c>
      <c r="R1250">
        <f>HOUR(Q1250)</f>
        <v>0</v>
      </c>
      <c r="S1250">
        <f>MINUTE(Q1250)</f>
        <v>26</v>
      </c>
      <c r="T1250">
        <f>R1250*60+S1250</f>
        <v>26</v>
      </c>
      <c r="U1250" s="7">
        <f>H1250-G1250</f>
        <v>0.10416666666424135</v>
      </c>
      <c r="V1250">
        <f>HOUR(U1250)</f>
        <v>2</v>
      </c>
      <c r="W1250">
        <f>MINUTE(U1250)</f>
        <v>30</v>
      </c>
      <c r="X1250">
        <f>V1250*60+W1250</f>
        <v>150</v>
      </c>
      <c r="Y1250" s="7">
        <f>I1250-H1250</f>
        <v>6.9444444452528842E-3</v>
      </c>
      <c r="Z1250">
        <f>HOUR(Y1250)</f>
        <v>0</v>
      </c>
      <c r="AA1250">
        <f>MINUTE(Y1250)</f>
        <v>10</v>
      </c>
      <c r="AB1250">
        <f>Z1250*60+AA1250</f>
        <v>10</v>
      </c>
    </row>
    <row r="1251" spans="1:28" x14ac:dyDescent="0.25">
      <c r="A1251">
        <v>1249</v>
      </c>
      <c r="B1251" t="s">
        <v>29</v>
      </c>
      <c r="C1251">
        <v>1</v>
      </c>
      <c r="D1251" t="s">
        <v>30</v>
      </c>
      <c r="E1251" s="6">
        <v>46108.864583333336</v>
      </c>
      <c r="F1251" s="6">
        <v>46108.871527777781</v>
      </c>
      <c r="G1251" s="6">
        <v>46108.875</v>
      </c>
      <c r="H1251" s="6">
        <v>46108.888888888891</v>
      </c>
      <c r="I1251" s="6">
        <v>46108.892361111109</v>
      </c>
      <c r="J1251" s="6">
        <v>46108.895833333336</v>
      </c>
      <c r="K1251">
        <v>0.75</v>
      </c>
      <c r="L1251" s="6">
        <v>46108.899305555555</v>
      </c>
      <c r="M1251" s="7">
        <f>F1251-E1251</f>
        <v>6.9444444452528842E-3</v>
      </c>
      <c r="N1251">
        <f>HOUR(M1251)</f>
        <v>0</v>
      </c>
      <c r="O1251">
        <f>MINUTE(M1251)</f>
        <v>10</v>
      </c>
      <c r="P1251">
        <f>N1251*60+O1251</f>
        <v>10</v>
      </c>
      <c r="Q1251" s="7">
        <f>G1251-F1251</f>
        <v>3.4722222189884633E-3</v>
      </c>
      <c r="R1251">
        <f>HOUR(Q1251)</f>
        <v>0</v>
      </c>
      <c r="S1251">
        <f>MINUTE(Q1251)</f>
        <v>5</v>
      </c>
      <c r="T1251">
        <f>R1251*60+S1251</f>
        <v>5</v>
      </c>
      <c r="U1251" s="7">
        <f>H1251-G1251</f>
        <v>1.3888888890505768E-2</v>
      </c>
      <c r="V1251">
        <f>HOUR(U1251)</f>
        <v>0</v>
      </c>
      <c r="W1251">
        <f>MINUTE(U1251)</f>
        <v>20</v>
      </c>
      <c r="X1251">
        <f>V1251*60+W1251</f>
        <v>20</v>
      </c>
      <c r="Y1251" s="7">
        <f>I1251-H1251</f>
        <v>3.4722222189884633E-3</v>
      </c>
      <c r="Z1251">
        <f>HOUR(Y1251)</f>
        <v>0</v>
      </c>
      <c r="AA1251">
        <f>MINUTE(Y1251)</f>
        <v>5</v>
      </c>
      <c r="AB1251">
        <f>Z1251*60+AA1251</f>
        <v>5</v>
      </c>
    </row>
    <row r="1252" spans="1:28" x14ac:dyDescent="0.25">
      <c r="A1252">
        <v>1250</v>
      </c>
      <c r="B1252" t="s">
        <v>31</v>
      </c>
      <c r="C1252">
        <v>1</v>
      </c>
      <c r="D1252" t="s">
        <v>30</v>
      </c>
      <c r="E1252" s="6">
        <v>46108.888888888891</v>
      </c>
      <c r="F1252" s="6">
        <v>46108.899305555555</v>
      </c>
      <c r="G1252" s="6">
        <v>46108.920138888891</v>
      </c>
      <c r="H1252" s="6">
        <v>46108.972222222219</v>
      </c>
      <c r="I1252" s="6">
        <v>46108.982638888891</v>
      </c>
      <c r="J1252" s="6">
        <v>46108.989583333336</v>
      </c>
      <c r="K1252">
        <v>2.42</v>
      </c>
      <c r="L1252" s="6">
        <v>46108.996527777781</v>
      </c>
      <c r="M1252" s="7">
        <f>F1252-E1252</f>
        <v>1.0416666664241347E-2</v>
      </c>
      <c r="N1252">
        <f>HOUR(M1252)</f>
        <v>0</v>
      </c>
      <c r="O1252">
        <f>MINUTE(M1252)</f>
        <v>15</v>
      </c>
      <c r="P1252">
        <f>N1252*60+O1252</f>
        <v>15</v>
      </c>
      <c r="Q1252" s="7">
        <f>G1252-F1252</f>
        <v>2.0833333335758653E-2</v>
      </c>
      <c r="R1252">
        <f>HOUR(Q1252)</f>
        <v>0</v>
      </c>
      <c r="S1252">
        <f>MINUTE(Q1252)</f>
        <v>30</v>
      </c>
      <c r="T1252">
        <f>R1252*60+S1252</f>
        <v>30</v>
      </c>
      <c r="U1252" s="7">
        <f>H1252-G1252</f>
        <v>5.2083333328482695E-2</v>
      </c>
      <c r="V1252">
        <f>HOUR(U1252)</f>
        <v>1</v>
      </c>
      <c r="W1252">
        <f>MINUTE(U1252)</f>
        <v>15</v>
      </c>
      <c r="X1252">
        <f>V1252*60+W1252</f>
        <v>75</v>
      </c>
      <c r="Y1252" s="7">
        <f>I1252-H1252</f>
        <v>1.0416666671517305E-2</v>
      </c>
      <c r="Z1252">
        <f>HOUR(Y1252)</f>
        <v>0</v>
      </c>
      <c r="AA1252">
        <f>MINUTE(Y1252)</f>
        <v>15</v>
      </c>
      <c r="AB1252">
        <f>Z1252*60+AA1252</f>
        <v>15</v>
      </c>
    </row>
    <row r="1253" spans="1:28" x14ac:dyDescent="0.25">
      <c r="A1253">
        <v>1251</v>
      </c>
      <c r="B1253" t="s">
        <v>29</v>
      </c>
      <c r="C1253">
        <v>1</v>
      </c>
      <c r="D1253" t="s">
        <v>30</v>
      </c>
      <c r="E1253" s="6">
        <v>46108.958333333336</v>
      </c>
      <c r="F1253" s="6">
        <v>46108.965277777781</v>
      </c>
      <c r="G1253" s="6">
        <v>46108.979166666664</v>
      </c>
      <c r="H1253" s="6">
        <v>46108.989583333336</v>
      </c>
      <c r="I1253" s="6">
        <v>46108.991666666669</v>
      </c>
      <c r="J1253" s="6">
        <v>46108.992361111108</v>
      </c>
      <c r="K1253">
        <v>0.82</v>
      </c>
      <c r="L1253" s="6">
        <v>46108.993055555555</v>
      </c>
      <c r="M1253" s="7">
        <f>F1253-E1253</f>
        <v>6.9444444452528842E-3</v>
      </c>
      <c r="N1253">
        <f>HOUR(M1253)</f>
        <v>0</v>
      </c>
      <c r="O1253">
        <f>MINUTE(M1253)</f>
        <v>10</v>
      </c>
      <c r="P1253">
        <f>N1253*60+O1253</f>
        <v>10</v>
      </c>
      <c r="Q1253" s="7">
        <f>G1253-F1253</f>
        <v>1.3888888883229811E-2</v>
      </c>
      <c r="R1253">
        <f>HOUR(Q1253)</f>
        <v>0</v>
      </c>
      <c r="S1253">
        <f>MINUTE(Q1253)</f>
        <v>20</v>
      </c>
      <c r="T1253">
        <f>R1253*60+S1253</f>
        <v>20</v>
      </c>
      <c r="U1253" s="7">
        <f>H1253-G1253</f>
        <v>1.0416666671517305E-2</v>
      </c>
      <c r="V1253">
        <f>HOUR(U1253)</f>
        <v>0</v>
      </c>
      <c r="W1253">
        <f>MINUTE(U1253)</f>
        <v>15</v>
      </c>
      <c r="X1253">
        <f>V1253*60+W1253</f>
        <v>15</v>
      </c>
      <c r="Y1253" s="7">
        <f>I1253-H1253</f>
        <v>2.0833333328482695E-3</v>
      </c>
      <c r="Z1253">
        <f>HOUR(Y1253)</f>
        <v>0</v>
      </c>
      <c r="AA1253">
        <f>MINUTE(Y1253)</f>
        <v>3</v>
      </c>
      <c r="AB1253">
        <f>Z1253*60+AA1253</f>
        <v>3</v>
      </c>
    </row>
    <row r="1254" spans="1:28" x14ac:dyDescent="0.25">
      <c r="A1254">
        <v>1252</v>
      </c>
      <c r="B1254" t="s">
        <v>29</v>
      </c>
      <c r="C1254">
        <v>1</v>
      </c>
      <c r="D1254" t="s">
        <v>30</v>
      </c>
      <c r="E1254" s="6">
        <v>46108.951388888891</v>
      </c>
      <c r="F1254" s="6">
        <v>46108.958333333336</v>
      </c>
      <c r="G1254" s="6">
        <v>46108.96875</v>
      </c>
      <c r="H1254" s="6">
        <v>46109.03125</v>
      </c>
      <c r="I1254" s="6">
        <v>46109.038194444445</v>
      </c>
      <c r="J1254" s="6">
        <v>46109.040972222225</v>
      </c>
      <c r="K1254">
        <v>2.15</v>
      </c>
      <c r="L1254" s="6">
        <v>46109.04791666667</v>
      </c>
      <c r="M1254" s="7">
        <f>F1254-E1254</f>
        <v>6.9444444452528842E-3</v>
      </c>
      <c r="N1254">
        <f>HOUR(M1254)</f>
        <v>0</v>
      </c>
      <c r="O1254">
        <f>MINUTE(M1254)</f>
        <v>10</v>
      </c>
      <c r="P1254">
        <f>N1254*60+O1254</f>
        <v>10</v>
      </c>
      <c r="Q1254" s="7">
        <f>G1254-F1254</f>
        <v>1.0416666664241347E-2</v>
      </c>
      <c r="R1254">
        <f>HOUR(Q1254)</f>
        <v>0</v>
      </c>
      <c r="S1254">
        <f>MINUTE(Q1254)</f>
        <v>15</v>
      </c>
      <c r="T1254">
        <f>R1254*60+S1254</f>
        <v>15</v>
      </c>
      <c r="U1254" s="7">
        <f>H1254-G1254</f>
        <v>6.25E-2</v>
      </c>
      <c r="V1254">
        <f>HOUR(U1254)</f>
        <v>1</v>
      </c>
      <c r="W1254">
        <f>MINUTE(U1254)</f>
        <v>30</v>
      </c>
      <c r="X1254">
        <f>V1254*60+W1254</f>
        <v>90</v>
      </c>
      <c r="Y1254" s="7">
        <f>I1254-H1254</f>
        <v>6.9444444452528842E-3</v>
      </c>
      <c r="Z1254">
        <f>HOUR(Y1254)</f>
        <v>0</v>
      </c>
      <c r="AA1254">
        <f>MINUTE(Y1254)</f>
        <v>10</v>
      </c>
      <c r="AB1254">
        <f>Z1254*60+AA1254</f>
        <v>10</v>
      </c>
    </row>
    <row r="1255" spans="1:28" x14ac:dyDescent="0.25">
      <c r="A1255">
        <v>1253</v>
      </c>
      <c r="B1255" t="s">
        <v>29</v>
      </c>
      <c r="C1255">
        <v>1</v>
      </c>
      <c r="D1255" t="s">
        <v>30</v>
      </c>
      <c r="E1255" s="6">
        <v>46109.097222222219</v>
      </c>
      <c r="F1255" s="6">
        <v>46109.100694444445</v>
      </c>
      <c r="G1255" s="6">
        <v>46109.104166666664</v>
      </c>
      <c r="H1255" s="6">
        <v>46109.124305555553</v>
      </c>
      <c r="I1255" s="6">
        <v>46109.131249999999</v>
      </c>
      <c r="J1255" s="6">
        <v>46109.131944444445</v>
      </c>
      <c r="K1255">
        <v>0.83</v>
      </c>
      <c r="L1255" s="6">
        <v>46109.132638888892</v>
      </c>
      <c r="M1255" s="7">
        <f>F1255-E1255</f>
        <v>3.4722222262644209E-3</v>
      </c>
      <c r="N1255">
        <f>HOUR(M1255)</f>
        <v>0</v>
      </c>
      <c r="O1255">
        <f>MINUTE(M1255)</f>
        <v>5</v>
      </c>
      <c r="P1255">
        <f>N1255*60+O1255</f>
        <v>5</v>
      </c>
      <c r="Q1255" s="7">
        <f>G1255-F1255</f>
        <v>3.4722222189884633E-3</v>
      </c>
      <c r="R1255">
        <f>HOUR(Q1255)</f>
        <v>0</v>
      </c>
      <c r="S1255">
        <f>MINUTE(Q1255)</f>
        <v>5</v>
      </c>
      <c r="T1255">
        <f>R1255*60+S1255</f>
        <v>5</v>
      </c>
      <c r="U1255" s="7">
        <f>H1255-G1255</f>
        <v>2.0138888889050577E-2</v>
      </c>
      <c r="V1255">
        <f>HOUR(U1255)</f>
        <v>0</v>
      </c>
      <c r="W1255">
        <f>MINUTE(U1255)</f>
        <v>29</v>
      </c>
      <c r="X1255">
        <f>V1255*60+W1255</f>
        <v>29</v>
      </c>
      <c r="Y1255" s="7">
        <f>I1255-H1255</f>
        <v>6.9444444452528842E-3</v>
      </c>
      <c r="Z1255">
        <f>HOUR(Y1255)</f>
        <v>0</v>
      </c>
      <c r="AA1255">
        <f>MINUTE(Y1255)</f>
        <v>10</v>
      </c>
      <c r="AB1255">
        <f>Z1255*60+AA1255</f>
        <v>10</v>
      </c>
    </row>
    <row r="1256" spans="1:28" x14ac:dyDescent="0.25">
      <c r="A1256">
        <v>1254</v>
      </c>
      <c r="B1256" t="s">
        <v>33</v>
      </c>
      <c r="C1256">
        <v>1</v>
      </c>
      <c r="D1256" t="s">
        <v>30</v>
      </c>
      <c r="E1256" s="6">
        <v>46109.059027777781</v>
      </c>
      <c r="F1256" s="6">
        <v>46109.069444444445</v>
      </c>
      <c r="G1256" s="6">
        <v>46109.076388888891</v>
      </c>
      <c r="H1256" s="6">
        <v>46109.083333333336</v>
      </c>
      <c r="I1256" s="6">
        <v>46109.090277777781</v>
      </c>
      <c r="J1256" s="6">
        <v>46109.09375</v>
      </c>
      <c r="K1256">
        <v>0.83</v>
      </c>
      <c r="L1256" s="6">
        <v>46109.100694444445</v>
      </c>
      <c r="M1256" s="7">
        <f>F1256-E1256</f>
        <v>1.0416666664241347E-2</v>
      </c>
      <c r="N1256">
        <f>HOUR(M1256)</f>
        <v>0</v>
      </c>
      <c r="O1256">
        <f>MINUTE(M1256)</f>
        <v>15</v>
      </c>
      <c r="P1256">
        <f>N1256*60+O1256</f>
        <v>15</v>
      </c>
      <c r="Q1256" s="7">
        <f>G1256-F1256</f>
        <v>6.9444444452528842E-3</v>
      </c>
      <c r="R1256">
        <f>HOUR(Q1256)</f>
        <v>0</v>
      </c>
      <c r="S1256">
        <f>MINUTE(Q1256)</f>
        <v>10</v>
      </c>
      <c r="T1256">
        <f>R1256*60+S1256</f>
        <v>10</v>
      </c>
      <c r="U1256" s="7">
        <f>H1256-G1256</f>
        <v>6.9444444452528842E-3</v>
      </c>
      <c r="V1256">
        <f>HOUR(U1256)</f>
        <v>0</v>
      </c>
      <c r="W1256">
        <f>MINUTE(U1256)</f>
        <v>10</v>
      </c>
      <c r="X1256">
        <f>V1256*60+W1256</f>
        <v>10</v>
      </c>
      <c r="Y1256" s="7">
        <f>I1256-H1256</f>
        <v>6.9444444452528842E-3</v>
      </c>
      <c r="Z1256">
        <f>HOUR(Y1256)</f>
        <v>0</v>
      </c>
      <c r="AA1256">
        <f>MINUTE(Y1256)</f>
        <v>10</v>
      </c>
      <c r="AB1256">
        <f>Z1256*60+AA1256</f>
        <v>10</v>
      </c>
    </row>
    <row r="1257" spans="1:28" x14ac:dyDescent="0.25">
      <c r="A1257">
        <v>1255</v>
      </c>
      <c r="B1257" t="s">
        <v>31</v>
      </c>
      <c r="C1257">
        <v>1</v>
      </c>
      <c r="D1257" t="s">
        <v>30</v>
      </c>
      <c r="E1257" s="6">
        <v>46109.423611111109</v>
      </c>
      <c r="F1257" s="6">
        <v>46109.430555555555</v>
      </c>
      <c r="G1257" s="6">
        <v>46109.454861111109</v>
      </c>
      <c r="H1257" s="6">
        <v>46109.525694444441</v>
      </c>
      <c r="I1257" s="6">
        <v>46109.532638888886</v>
      </c>
      <c r="J1257" s="6">
        <v>46109.59375</v>
      </c>
      <c r="K1257">
        <v>4.08</v>
      </c>
      <c r="L1257" s="6">
        <v>46109.600694444445</v>
      </c>
      <c r="M1257" s="7">
        <f>F1257-E1257</f>
        <v>6.9444444452528842E-3</v>
      </c>
      <c r="N1257">
        <f>HOUR(M1257)</f>
        <v>0</v>
      </c>
      <c r="O1257">
        <f>MINUTE(M1257)</f>
        <v>10</v>
      </c>
      <c r="P1257">
        <f>N1257*60+O1257</f>
        <v>10</v>
      </c>
      <c r="Q1257" s="7">
        <f>G1257-F1257</f>
        <v>2.4305555554747116E-2</v>
      </c>
      <c r="R1257">
        <f>HOUR(Q1257)</f>
        <v>0</v>
      </c>
      <c r="S1257">
        <f>MINUTE(Q1257)</f>
        <v>35</v>
      </c>
      <c r="T1257">
        <f>R1257*60+S1257</f>
        <v>35</v>
      </c>
      <c r="U1257" s="7">
        <f>H1257-G1257</f>
        <v>7.0833333331393078E-2</v>
      </c>
      <c r="V1257">
        <f>HOUR(U1257)</f>
        <v>1</v>
      </c>
      <c r="W1257">
        <f>MINUTE(U1257)</f>
        <v>42</v>
      </c>
      <c r="X1257">
        <f>V1257*60+W1257</f>
        <v>102</v>
      </c>
      <c r="Y1257" s="7">
        <f>I1257-H1257</f>
        <v>6.9444444452528842E-3</v>
      </c>
      <c r="Z1257">
        <f>HOUR(Y1257)</f>
        <v>0</v>
      </c>
      <c r="AA1257">
        <f>MINUTE(Y1257)</f>
        <v>10</v>
      </c>
      <c r="AB1257">
        <f>Z1257*60+AA1257</f>
        <v>10</v>
      </c>
    </row>
    <row r="1258" spans="1:28" x14ac:dyDescent="0.25">
      <c r="A1258">
        <v>1256</v>
      </c>
      <c r="B1258" t="s">
        <v>29</v>
      </c>
      <c r="C1258">
        <v>1</v>
      </c>
      <c r="D1258" t="s">
        <v>30</v>
      </c>
      <c r="E1258" s="6">
        <v>46109.6875</v>
      </c>
      <c r="F1258" s="6">
        <v>46109.694444444445</v>
      </c>
      <c r="G1258" s="6">
        <v>46109.704861111109</v>
      </c>
      <c r="H1258" s="6">
        <v>46109.763194444444</v>
      </c>
      <c r="I1258" s="6">
        <v>46109.770138888889</v>
      </c>
      <c r="J1258" s="6">
        <v>46109.811805555553</v>
      </c>
      <c r="K1258">
        <v>2.98</v>
      </c>
      <c r="L1258" s="6">
        <v>46109.818749999999</v>
      </c>
      <c r="M1258" s="7">
        <f>F1258-E1258</f>
        <v>6.9444444452528842E-3</v>
      </c>
      <c r="N1258">
        <f>HOUR(M1258)</f>
        <v>0</v>
      </c>
      <c r="O1258">
        <f>MINUTE(M1258)</f>
        <v>10</v>
      </c>
      <c r="P1258">
        <f>N1258*60+O1258</f>
        <v>10</v>
      </c>
      <c r="Q1258" s="7">
        <f>G1258-F1258</f>
        <v>1.0416666664241347E-2</v>
      </c>
      <c r="R1258">
        <f>HOUR(Q1258)</f>
        <v>0</v>
      </c>
      <c r="S1258">
        <f>MINUTE(Q1258)</f>
        <v>15</v>
      </c>
      <c r="T1258">
        <f>R1258*60+S1258</f>
        <v>15</v>
      </c>
      <c r="U1258" s="7">
        <f>H1258-G1258</f>
        <v>5.8333333334303461E-2</v>
      </c>
      <c r="V1258">
        <f>HOUR(U1258)</f>
        <v>1</v>
      </c>
      <c r="W1258">
        <f>MINUTE(U1258)</f>
        <v>24</v>
      </c>
      <c r="X1258">
        <f>V1258*60+W1258</f>
        <v>84</v>
      </c>
      <c r="Y1258" s="7">
        <f>I1258-H1258</f>
        <v>6.9444444452528842E-3</v>
      </c>
      <c r="Z1258">
        <f>HOUR(Y1258)</f>
        <v>0</v>
      </c>
      <c r="AA1258">
        <f>MINUTE(Y1258)</f>
        <v>10</v>
      </c>
      <c r="AB1258">
        <f>Z1258*60+AA1258</f>
        <v>10</v>
      </c>
    </row>
    <row r="1259" spans="1:28" x14ac:dyDescent="0.25">
      <c r="A1259">
        <v>1257</v>
      </c>
      <c r="B1259" t="s">
        <v>31</v>
      </c>
      <c r="C1259">
        <v>1</v>
      </c>
      <c r="D1259" t="s">
        <v>30</v>
      </c>
      <c r="E1259" s="6">
        <v>46109.788194444445</v>
      </c>
      <c r="F1259" s="6">
        <v>46109.788888888892</v>
      </c>
      <c r="G1259" s="6">
        <v>46109.789583333331</v>
      </c>
      <c r="H1259" s="6">
        <v>46109.809027777781</v>
      </c>
      <c r="I1259" s="6">
        <v>46110.451388888891</v>
      </c>
      <c r="J1259" s="6">
        <v>46110.6875</v>
      </c>
      <c r="K1259">
        <v>21.58</v>
      </c>
      <c r="L1259" s="6">
        <v>46110.688194444447</v>
      </c>
      <c r="M1259" s="7">
        <f>F1259-E1259</f>
        <v>6.944444467080757E-4</v>
      </c>
      <c r="N1259">
        <f>HOUR(M1259)</f>
        <v>0</v>
      </c>
      <c r="O1259">
        <f>MINUTE(M1259)</f>
        <v>1</v>
      </c>
      <c r="P1259">
        <f>N1259*60+O1259</f>
        <v>1</v>
      </c>
      <c r="Q1259" s="7">
        <f>G1259-F1259</f>
        <v>6.9444443943211809E-4</v>
      </c>
      <c r="R1259">
        <f>HOUR(Q1259)</f>
        <v>0</v>
      </c>
      <c r="S1259">
        <f>MINUTE(Q1259)</f>
        <v>1</v>
      </c>
      <c r="T1259">
        <f>R1259*60+S1259</f>
        <v>1</v>
      </c>
      <c r="U1259" s="7">
        <f>H1259-G1259</f>
        <v>1.9444444449618459E-2</v>
      </c>
      <c r="V1259">
        <f>HOUR(U1259)</f>
        <v>0</v>
      </c>
      <c r="W1259">
        <f>MINUTE(U1259)</f>
        <v>28</v>
      </c>
      <c r="X1259">
        <f>V1259*60+W1259</f>
        <v>28</v>
      </c>
      <c r="Y1259" s="7">
        <f>I1259-H1259</f>
        <v>0.64236111110949423</v>
      </c>
      <c r="Z1259">
        <f>HOUR(Y1259)</f>
        <v>15</v>
      </c>
      <c r="AA1259">
        <f>MINUTE(Y1259)</f>
        <v>25</v>
      </c>
      <c r="AB1259">
        <f>Z1259*60+AA1259</f>
        <v>925</v>
      </c>
    </row>
    <row r="1260" spans="1:28" x14ac:dyDescent="0.25">
      <c r="A1260">
        <v>1258</v>
      </c>
      <c r="B1260" t="s">
        <v>29</v>
      </c>
      <c r="C1260">
        <v>1</v>
      </c>
      <c r="D1260" t="s">
        <v>30</v>
      </c>
      <c r="E1260" s="6">
        <v>46109.895833333336</v>
      </c>
      <c r="F1260" s="6">
        <v>46109.899305555555</v>
      </c>
      <c r="G1260" s="6">
        <v>46109.902777777781</v>
      </c>
      <c r="H1260" s="6">
        <v>46109.923611111109</v>
      </c>
      <c r="I1260" s="6">
        <v>46109.930555555555</v>
      </c>
      <c r="J1260" s="6">
        <v>46109.944444444445</v>
      </c>
      <c r="K1260">
        <v>1.17</v>
      </c>
      <c r="L1260" s="6">
        <v>46109.947916666664</v>
      </c>
      <c r="M1260" s="7">
        <f>F1260-E1260</f>
        <v>3.4722222189884633E-3</v>
      </c>
      <c r="N1260">
        <f>HOUR(M1260)</f>
        <v>0</v>
      </c>
      <c r="O1260">
        <f>MINUTE(M1260)</f>
        <v>5</v>
      </c>
      <c r="P1260">
        <f>N1260*60+O1260</f>
        <v>5</v>
      </c>
      <c r="Q1260" s="7">
        <f>G1260-F1260</f>
        <v>3.4722222262644209E-3</v>
      </c>
      <c r="R1260">
        <f>HOUR(Q1260)</f>
        <v>0</v>
      </c>
      <c r="S1260">
        <f>MINUTE(Q1260)</f>
        <v>5</v>
      </c>
      <c r="T1260">
        <f>R1260*60+S1260</f>
        <v>5</v>
      </c>
      <c r="U1260" s="7">
        <f>H1260-G1260</f>
        <v>2.0833333328482695E-2</v>
      </c>
      <c r="V1260">
        <f>HOUR(U1260)</f>
        <v>0</v>
      </c>
      <c r="W1260">
        <f>MINUTE(U1260)</f>
        <v>30</v>
      </c>
      <c r="X1260">
        <f>V1260*60+W1260</f>
        <v>30</v>
      </c>
      <c r="Y1260" s="7">
        <f>I1260-H1260</f>
        <v>6.9444444452528842E-3</v>
      </c>
      <c r="Z1260">
        <f>HOUR(Y1260)</f>
        <v>0</v>
      </c>
      <c r="AA1260">
        <f>MINUTE(Y1260)</f>
        <v>10</v>
      </c>
      <c r="AB1260">
        <f>Z1260*60+AA1260</f>
        <v>10</v>
      </c>
    </row>
    <row r="1261" spans="1:28" x14ac:dyDescent="0.25">
      <c r="A1261">
        <v>1259</v>
      </c>
      <c r="B1261" t="s">
        <v>29</v>
      </c>
      <c r="C1261">
        <v>1</v>
      </c>
      <c r="D1261" t="s">
        <v>35</v>
      </c>
      <c r="E1261" s="6">
        <v>46110.125</v>
      </c>
      <c r="F1261" s="6">
        <v>46110.131944444445</v>
      </c>
      <c r="G1261" s="6">
        <v>46110.138888888891</v>
      </c>
      <c r="H1261" s="6">
        <v>46110.152777777781</v>
      </c>
      <c r="I1261" s="6">
        <v>46110.159722222219</v>
      </c>
      <c r="J1261" s="6">
        <v>46110.166666666664</v>
      </c>
      <c r="K1261">
        <v>1</v>
      </c>
      <c r="L1261" s="6">
        <v>46110.173611111109</v>
      </c>
      <c r="M1261" s="7">
        <f>F1261-E1261</f>
        <v>6.9444444452528842E-3</v>
      </c>
      <c r="N1261">
        <f>HOUR(M1261)</f>
        <v>0</v>
      </c>
      <c r="O1261">
        <f>MINUTE(M1261)</f>
        <v>10</v>
      </c>
      <c r="P1261">
        <f>N1261*60+O1261</f>
        <v>10</v>
      </c>
      <c r="Q1261" s="7">
        <f>G1261-F1261</f>
        <v>6.9444444452528842E-3</v>
      </c>
      <c r="R1261">
        <f>HOUR(Q1261)</f>
        <v>0</v>
      </c>
      <c r="S1261">
        <f>MINUTE(Q1261)</f>
        <v>10</v>
      </c>
      <c r="T1261">
        <f>R1261*60+S1261</f>
        <v>10</v>
      </c>
      <c r="U1261" s="7">
        <f>H1261-G1261</f>
        <v>1.3888888890505768E-2</v>
      </c>
      <c r="V1261">
        <f>HOUR(U1261)</f>
        <v>0</v>
      </c>
      <c r="W1261">
        <f>MINUTE(U1261)</f>
        <v>20</v>
      </c>
      <c r="X1261">
        <f>V1261*60+W1261</f>
        <v>20</v>
      </c>
      <c r="Y1261" s="7">
        <f>I1261-H1261</f>
        <v>6.9444444379769266E-3</v>
      </c>
      <c r="Z1261">
        <f>HOUR(Y1261)</f>
        <v>0</v>
      </c>
      <c r="AA1261">
        <f>MINUTE(Y1261)</f>
        <v>10</v>
      </c>
      <c r="AB1261">
        <f>Z1261*60+AA1261</f>
        <v>10</v>
      </c>
    </row>
    <row r="1262" spans="1:28" x14ac:dyDescent="0.25">
      <c r="A1262">
        <v>1260</v>
      </c>
      <c r="B1262" t="s">
        <v>31</v>
      </c>
      <c r="C1262">
        <v>1</v>
      </c>
      <c r="D1262" t="s">
        <v>30</v>
      </c>
      <c r="E1262" s="6">
        <v>46110.371527777781</v>
      </c>
      <c r="F1262" s="6">
        <v>46110.375</v>
      </c>
      <c r="G1262" s="6">
        <v>46110.375694444447</v>
      </c>
      <c r="H1262" s="6">
        <v>46110.376388888886</v>
      </c>
      <c r="I1262" s="6">
        <v>46110.458333333336</v>
      </c>
      <c r="J1262" s="6">
        <v>46110.472222222219</v>
      </c>
      <c r="K1262">
        <v>2.42</v>
      </c>
      <c r="L1262" s="6">
        <v>46110.475694444445</v>
      </c>
      <c r="M1262" s="7">
        <f>F1262-E1262</f>
        <v>3.4722222189884633E-3</v>
      </c>
      <c r="N1262">
        <f>HOUR(M1262)</f>
        <v>0</v>
      </c>
      <c r="O1262">
        <f>MINUTE(M1262)</f>
        <v>5</v>
      </c>
      <c r="P1262">
        <f>N1262*60+O1262</f>
        <v>5</v>
      </c>
      <c r="Q1262" s="7">
        <f>G1262-F1262</f>
        <v>6.944444467080757E-4</v>
      </c>
      <c r="R1262">
        <f>HOUR(Q1262)</f>
        <v>0</v>
      </c>
      <c r="S1262">
        <f>MINUTE(Q1262)</f>
        <v>1</v>
      </c>
      <c r="T1262">
        <f>R1262*60+S1262</f>
        <v>1</v>
      </c>
      <c r="U1262" s="7">
        <f>H1262-G1262</f>
        <v>6.9444443943211809E-4</v>
      </c>
      <c r="V1262">
        <f>HOUR(U1262)</f>
        <v>0</v>
      </c>
      <c r="W1262">
        <f>MINUTE(U1262)</f>
        <v>1</v>
      </c>
      <c r="X1262">
        <f>V1262*60+W1262</f>
        <v>1</v>
      </c>
      <c r="Y1262" s="7">
        <f>I1262-H1262</f>
        <v>8.1944444449618459E-2</v>
      </c>
      <c r="Z1262">
        <f>HOUR(Y1262)</f>
        <v>1</v>
      </c>
      <c r="AA1262">
        <f>MINUTE(Y1262)</f>
        <v>58</v>
      </c>
      <c r="AB1262">
        <f>Z1262*60+AA1262</f>
        <v>118</v>
      </c>
    </row>
    <row r="1263" spans="1:28" x14ac:dyDescent="0.25">
      <c r="A1263">
        <v>1261</v>
      </c>
      <c r="B1263" t="s">
        <v>33</v>
      </c>
      <c r="C1263">
        <v>1</v>
      </c>
      <c r="D1263" t="s">
        <v>35</v>
      </c>
      <c r="E1263" s="6">
        <v>46111.291666666664</v>
      </c>
      <c r="F1263" s="6">
        <v>46111.326388888891</v>
      </c>
      <c r="G1263" s="6">
        <v>46111.34375</v>
      </c>
      <c r="H1263" s="6">
        <v>46111.368055555555</v>
      </c>
      <c r="I1263" s="6">
        <v>46111.375</v>
      </c>
      <c r="J1263" s="6">
        <v>46111.381944444445</v>
      </c>
      <c r="K1263">
        <v>2.17</v>
      </c>
      <c r="L1263" s="6">
        <v>46111.382638888892</v>
      </c>
      <c r="M1263" s="7">
        <f>F1263-E1263</f>
        <v>3.4722222226264421E-2</v>
      </c>
      <c r="N1263">
        <f>HOUR(M1263)</f>
        <v>0</v>
      </c>
      <c r="O1263">
        <f>MINUTE(M1263)</f>
        <v>50</v>
      </c>
      <c r="P1263">
        <f>N1263*60+O1263</f>
        <v>50</v>
      </c>
      <c r="Q1263" s="7">
        <f>G1263-F1263</f>
        <v>1.7361111109494232E-2</v>
      </c>
      <c r="R1263">
        <f>HOUR(Q1263)</f>
        <v>0</v>
      </c>
      <c r="S1263">
        <f>MINUTE(Q1263)</f>
        <v>25</v>
      </c>
      <c r="T1263">
        <f>R1263*60+S1263</f>
        <v>25</v>
      </c>
      <c r="U1263" s="7">
        <f>H1263-G1263</f>
        <v>2.4305555554747116E-2</v>
      </c>
      <c r="V1263">
        <f>HOUR(U1263)</f>
        <v>0</v>
      </c>
      <c r="W1263">
        <f>MINUTE(U1263)</f>
        <v>35</v>
      </c>
      <c r="X1263">
        <f>V1263*60+W1263</f>
        <v>35</v>
      </c>
      <c r="Y1263" s="7">
        <f>I1263-H1263</f>
        <v>6.9444444452528842E-3</v>
      </c>
      <c r="Z1263">
        <f>HOUR(Y1263)</f>
        <v>0</v>
      </c>
      <c r="AA1263">
        <f>MINUTE(Y1263)</f>
        <v>10</v>
      </c>
      <c r="AB1263">
        <f>Z1263*60+AA1263</f>
        <v>10</v>
      </c>
    </row>
    <row r="1264" spans="1:28" x14ac:dyDescent="0.25">
      <c r="A1264">
        <v>1262</v>
      </c>
      <c r="B1264" t="s">
        <v>33</v>
      </c>
      <c r="C1264">
        <v>1</v>
      </c>
      <c r="D1264" t="s">
        <v>34</v>
      </c>
      <c r="E1264" s="6">
        <v>46111.291666666664</v>
      </c>
      <c r="F1264" s="6">
        <v>46111.326388888891</v>
      </c>
      <c r="G1264" s="6">
        <v>46111.336805555555</v>
      </c>
      <c r="H1264" s="6">
        <v>46111.353472222225</v>
      </c>
      <c r="I1264" s="6">
        <v>46111.354166666664</v>
      </c>
      <c r="J1264" s="6">
        <v>46111.357638888891</v>
      </c>
      <c r="K1264">
        <v>1.58</v>
      </c>
      <c r="L1264" s="6">
        <v>46111.361111111109</v>
      </c>
      <c r="M1264" s="7">
        <f>F1264-E1264</f>
        <v>3.4722222226264421E-2</v>
      </c>
      <c r="N1264">
        <f>HOUR(M1264)</f>
        <v>0</v>
      </c>
      <c r="O1264">
        <f>MINUTE(M1264)</f>
        <v>50</v>
      </c>
      <c r="P1264">
        <f>N1264*60+O1264</f>
        <v>50</v>
      </c>
      <c r="Q1264" s="7">
        <f>G1264-F1264</f>
        <v>1.0416666664241347E-2</v>
      </c>
      <c r="R1264">
        <f>HOUR(Q1264)</f>
        <v>0</v>
      </c>
      <c r="S1264">
        <f>MINUTE(Q1264)</f>
        <v>15</v>
      </c>
      <c r="T1264">
        <f>R1264*60+S1264</f>
        <v>15</v>
      </c>
      <c r="U1264" s="7">
        <f>H1264-G1264</f>
        <v>1.6666666670062114E-2</v>
      </c>
      <c r="V1264">
        <f>HOUR(U1264)</f>
        <v>0</v>
      </c>
      <c r="W1264">
        <f>MINUTE(U1264)</f>
        <v>24</v>
      </c>
      <c r="X1264">
        <f>V1264*60+W1264</f>
        <v>24</v>
      </c>
      <c r="Y1264" s="7">
        <f>I1264-H1264</f>
        <v>6.9444443943211809E-4</v>
      </c>
      <c r="Z1264">
        <f>HOUR(Y1264)</f>
        <v>0</v>
      </c>
      <c r="AA1264">
        <f>MINUTE(Y1264)</f>
        <v>1</v>
      </c>
      <c r="AB1264">
        <f>Z1264*60+AA1264</f>
        <v>1</v>
      </c>
    </row>
    <row r="1265" spans="1:28" x14ac:dyDescent="0.25">
      <c r="A1265">
        <v>1263</v>
      </c>
      <c r="B1265" t="s">
        <v>33</v>
      </c>
      <c r="C1265">
        <v>1</v>
      </c>
      <c r="D1265" t="s">
        <v>30</v>
      </c>
      <c r="E1265" s="6">
        <v>46110.9375</v>
      </c>
      <c r="F1265" s="6">
        <v>46110.940972222219</v>
      </c>
      <c r="G1265" s="6">
        <v>46110.944444444445</v>
      </c>
      <c r="H1265" s="6">
        <v>46110.96597222222</v>
      </c>
      <c r="I1265" s="6">
        <v>46110.972916666666</v>
      </c>
      <c r="J1265" s="6">
        <v>46110.975694444445</v>
      </c>
      <c r="K1265">
        <v>0.92</v>
      </c>
      <c r="L1265" s="6">
        <v>46110.976388888892</v>
      </c>
      <c r="M1265" s="7">
        <f>F1265-E1265</f>
        <v>3.4722222189884633E-3</v>
      </c>
      <c r="N1265">
        <f>HOUR(M1265)</f>
        <v>0</v>
      </c>
      <c r="O1265">
        <f>MINUTE(M1265)</f>
        <v>5</v>
      </c>
      <c r="P1265">
        <f>N1265*60+O1265</f>
        <v>5</v>
      </c>
      <c r="Q1265" s="7">
        <f>G1265-F1265</f>
        <v>3.4722222262644209E-3</v>
      </c>
      <c r="R1265">
        <f>HOUR(Q1265)</f>
        <v>0</v>
      </c>
      <c r="S1265">
        <f>MINUTE(Q1265)</f>
        <v>5</v>
      </c>
      <c r="T1265">
        <f>R1265*60+S1265</f>
        <v>5</v>
      </c>
      <c r="U1265" s="7">
        <f>H1265-G1265</f>
        <v>2.1527777775190771E-2</v>
      </c>
      <c r="V1265">
        <f>HOUR(U1265)</f>
        <v>0</v>
      </c>
      <c r="W1265">
        <f>MINUTE(U1265)</f>
        <v>31</v>
      </c>
      <c r="X1265">
        <f>V1265*60+W1265</f>
        <v>31</v>
      </c>
      <c r="Y1265" s="7">
        <f>I1265-H1265</f>
        <v>6.9444444452528842E-3</v>
      </c>
      <c r="Z1265">
        <f>HOUR(Y1265)</f>
        <v>0</v>
      </c>
      <c r="AA1265">
        <f>MINUTE(Y1265)</f>
        <v>10</v>
      </c>
      <c r="AB1265">
        <f>Z1265*60+AA1265</f>
        <v>10</v>
      </c>
    </row>
    <row r="1266" spans="1:28" x14ac:dyDescent="0.25">
      <c r="A1266">
        <v>1264</v>
      </c>
      <c r="B1266" t="s">
        <v>33</v>
      </c>
      <c r="C1266">
        <v>1</v>
      </c>
      <c r="D1266" t="s">
        <v>30</v>
      </c>
      <c r="E1266" s="6">
        <v>46111.017361111109</v>
      </c>
      <c r="F1266" s="6">
        <v>46111.020833333336</v>
      </c>
      <c r="G1266" s="6">
        <v>46111.027777777781</v>
      </c>
      <c r="H1266" s="6">
        <v>46111.051388888889</v>
      </c>
      <c r="I1266" s="6">
        <v>46111.055555555555</v>
      </c>
      <c r="J1266" s="6">
        <v>46111.056250000001</v>
      </c>
      <c r="K1266">
        <v>0.93</v>
      </c>
      <c r="L1266" s="6">
        <v>46111.059027777781</v>
      </c>
      <c r="M1266" s="7">
        <f>F1266-E1266</f>
        <v>3.4722222262644209E-3</v>
      </c>
      <c r="N1266">
        <f>HOUR(M1266)</f>
        <v>0</v>
      </c>
      <c r="O1266">
        <f>MINUTE(M1266)</f>
        <v>5</v>
      </c>
      <c r="P1266">
        <f>N1266*60+O1266</f>
        <v>5</v>
      </c>
      <c r="Q1266" s="7">
        <f>G1266-F1266</f>
        <v>6.9444444452528842E-3</v>
      </c>
      <c r="R1266">
        <f>HOUR(Q1266)</f>
        <v>0</v>
      </c>
      <c r="S1266">
        <f>MINUTE(Q1266)</f>
        <v>10</v>
      </c>
      <c r="T1266">
        <f>R1266*60+S1266</f>
        <v>10</v>
      </c>
      <c r="U1266" s="7">
        <f>H1266-G1266</f>
        <v>2.361111110803904E-2</v>
      </c>
      <c r="V1266">
        <f>HOUR(U1266)</f>
        <v>0</v>
      </c>
      <c r="W1266">
        <f>MINUTE(U1266)</f>
        <v>34</v>
      </c>
      <c r="X1266">
        <f>V1266*60+W1266</f>
        <v>34</v>
      </c>
      <c r="Y1266" s="7">
        <f>I1266-H1266</f>
        <v>4.166666665696539E-3</v>
      </c>
      <c r="Z1266">
        <f>HOUR(Y1266)</f>
        <v>0</v>
      </c>
      <c r="AA1266">
        <f>MINUTE(Y1266)</f>
        <v>6</v>
      </c>
      <c r="AB1266">
        <f>Z1266*60+AA1266</f>
        <v>6</v>
      </c>
    </row>
    <row r="1267" spans="1:28" x14ac:dyDescent="0.25">
      <c r="A1267">
        <v>1265</v>
      </c>
      <c r="B1267" t="s">
        <v>29</v>
      </c>
      <c r="C1267">
        <v>1</v>
      </c>
      <c r="D1267" t="s">
        <v>30</v>
      </c>
      <c r="E1267" s="6">
        <v>46111.055555555555</v>
      </c>
      <c r="F1267" s="6">
        <v>46111.059027777781</v>
      </c>
      <c r="G1267" s="6">
        <v>46111.0625</v>
      </c>
      <c r="H1267" s="6">
        <v>46111.076388888891</v>
      </c>
      <c r="I1267" s="6">
        <v>46111.083333333336</v>
      </c>
      <c r="J1267" s="6">
        <v>46111.086805555555</v>
      </c>
      <c r="K1267">
        <v>0.75</v>
      </c>
      <c r="L1267" s="6">
        <v>46111.090277777781</v>
      </c>
      <c r="M1267" s="7">
        <f>F1267-E1267</f>
        <v>3.4722222262644209E-3</v>
      </c>
      <c r="N1267">
        <f>HOUR(M1267)</f>
        <v>0</v>
      </c>
      <c r="O1267">
        <f>MINUTE(M1267)</f>
        <v>5</v>
      </c>
      <c r="P1267">
        <f>N1267*60+O1267</f>
        <v>5</v>
      </c>
      <c r="Q1267" s="7">
        <f>G1267-F1267</f>
        <v>3.4722222189884633E-3</v>
      </c>
      <c r="R1267">
        <f>HOUR(Q1267)</f>
        <v>0</v>
      </c>
      <c r="S1267">
        <f>MINUTE(Q1267)</f>
        <v>5</v>
      </c>
      <c r="T1267">
        <f>R1267*60+S1267</f>
        <v>5</v>
      </c>
      <c r="U1267" s="7">
        <f>H1267-G1267</f>
        <v>1.3888888890505768E-2</v>
      </c>
      <c r="V1267">
        <f>HOUR(U1267)</f>
        <v>0</v>
      </c>
      <c r="W1267">
        <f>MINUTE(U1267)</f>
        <v>20</v>
      </c>
      <c r="X1267">
        <f>V1267*60+W1267</f>
        <v>20</v>
      </c>
      <c r="Y1267" s="7">
        <f>I1267-H1267</f>
        <v>6.9444444452528842E-3</v>
      </c>
      <c r="Z1267">
        <f>HOUR(Y1267)</f>
        <v>0</v>
      </c>
      <c r="AA1267">
        <f>MINUTE(Y1267)</f>
        <v>10</v>
      </c>
      <c r="AB1267">
        <f>Z1267*60+AA1267</f>
        <v>10</v>
      </c>
    </row>
    <row r="1268" spans="1:28" x14ac:dyDescent="0.25">
      <c r="A1268">
        <v>1266</v>
      </c>
      <c r="B1268" t="s">
        <v>29</v>
      </c>
      <c r="C1268">
        <v>1</v>
      </c>
      <c r="D1268" t="s">
        <v>30</v>
      </c>
      <c r="E1268" s="6">
        <v>46111.048611111109</v>
      </c>
      <c r="F1268" s="6">
        <v>46111.055555555555</v>
      </c>
      <c r="G1268" s="6">
        <v>46111.0625</v>
      </c>
      <c r="H1268" s="6">
        <v>46111.077777777777</v>
      </c>
      <c r="I1268" s="6">
        <v>46111.084722222222</v>
      </c>
      <c r="J1268" s="6">
        <v>46111.086805555555</v>
      </c>
      <c r="K1268">
        <v>0.92</v>
      </c>
      <c r="L1268" s="6">
        <v>46111.09375</v>
      </c>
      <c r="M1268" s="7">
        <f>F1268-E1268</f>
        <v>6.9444444452528842E-3</v>
      </c>
      <c r="N1268">
        <f>HOUR(M1268)</f>
        <v>0</v>
      </c>
      <c r="O1268">
        <f>MINUTE(M1268)</f>
        <v>10</v>
      </c>
      <c r="P1268">
        <f>N1268*60+O1268</f>
        <v>10</v>
      </c>
      <c r="Q1268" s="7">
        <f>G1268-F1268</f>
        <v>6.9444444452528842E-3</v>
      </c>
      <c r="R1268">
        <f>HOUR(Q1268)</f>
        <v>0</v>
      </c>
      <c r="S1268">
        <f>MINUTE(Q1268)</f>
        <v>10</v>
      </c>
      <c r="T1268">
        <f>R1268*60+S1268</f>
        <v>10</v>
      </c>
      <c r="U1268" s="7">
        <f>H1268-G1268</f>
        <v>1.5277777776645962E-2</v>
      </c>
      <c r="V1268">
        <f>HOUR(U1268)</f>
        <v>0</v>
      </c>
      <c r="W1268">
        <f>MINUTE(U1268)</f>
        <v>22</v>
      </c>
      <c r="X1268">
        <f>V1268*60+W1268</f>
        <v>22</v>
      </c>
      <c r="Y1268" s="7">
        <f>I1268-H1268</f>
        <v>6.9444444452528842E-3</v>
      </c>
      <c r="Z1268">
        <f>HOUR(Y1268)</f>
        <v>0</v>
      </c>
      <c r="AA1268">
        <f>MINUTE(Y1268)</f>
        <v>10</v>
      </c>
      <c r="AB1268">
        <f>Z1268*60+AA1268</f>
        <v>10</v>
      </c>
    </row>
    <row r="1269" spans="1:28" x14ac:dyDescent="0.25">
      <c r="A1269">
        <v>1267</v>
      </c>
      <c r="B1269" t="s">
        <v>33</v>
      </c>
      <c r="C1269">
        <v>1</v>
      </c>
      <c r="D1269" t="s">
        <v>30</v>
      </c>
      <c r="E1269" s="6">
        <v>46111.090277777781</v>
      </c>
      <c r="F1269" s="6">
        <v>46111.09375</v>
      </c>
      <c r="G1269" s="6">
        <v>46111.104166666664</v>
      </c>
      <c r="H1269" s="6">
        <v>46111.166666666664</v>
      </c>
      <c r="I1269" s="6">
        <v>46111.173611111109</v>
      </c>
      <c r="J1269" s="6">
        <v>46111.923611111109</v>
      </c>
      <c r="K1269">
        <v>20</v>
      </c>
      <c r="L1269" s="6">
        <v>46111.930555555555</v>
      </c>
      <c r="M1269" s="7">
        <f>F1269-E1269</f>
        <v>3.4722222189884633E-3</v>
      </c>
      <c r="N1269">
        <f>HOUR(M1269)</f>
        <v>0</v>
      </c>
      <c r="O1269">
        <f>MINUTE(M1269)</f>
        <v>5</v>
      </c>
      <c r="P1269">
        <f>N1269*60+O1269</f>
        <v>5</v>
      </c>
      <c r="Q1269" s="7">
        <f>G1269-F1269</f>
        <v>1.0416666664241347E-2</v>
      </c>
      <c r="R1269">
        <f>HOUR(Q1269)</f>
        <v>0</v>
      </c>
      <c r="S1269">
        <f>MINUTE(Q1269)</f>
        <v>15</v>
      </c>
      <c r="T1269">
        <f>R1269*60+S1269</f>
        <v>15</v>
      </c>
      <c r="U1269" s="7">
        <f>H1269-G1269</f>
        <v>6.25E-2</v>
      </c>
      <c r="V1269">
        <f>HOUR(U1269)</f>
        <v>1</v>
      </c>
      <c r="W1269">
        <f>MINUTE(U1269)</f>
        <v>30</v>
      </c>
      <c r="X1269">
        <f>V1269*60+W1269</f>
        <v>90</v>
      </c>
      <c r="Y1269" s="7">
        <f>I1269-H1269</f>
        <v>6.9444444452528842E-3</v>
      </c>
      <c r="Z1269">
        <f>HOUR(Y1269)</f>
        <v>0</v>
      </c>
      <c r="AA1269">
        <f>MINUTE(Y1269)</f>
        <v>10</v>
      </c>
      <c r="AB1269">
        <f>Z1269*60+AA1269</f>
        <v>10</v>
      </c>
    </row>
    <row r="1270" spans="1:28" x14ac:dyDescent="0.25">
      <c r="A1270">
        <v>1268</v>
      </c>
      <c r="B1270" t="s">
        <v>31</v>
      </c>
      <c r="C1270">
        <v>1</v>
      </c>
      <c r="D1270" t="s">
        <v>30</v>
      </c>
      <c r="E1270" s="6">
        <v>46111.333333333336</v>
      </c>
      <c r="F1270" s="6">
        <v>46111.375</v>
      </c>
      <c r="G1270" s="6">
        <v>46111.395833333336</v>
      </c>
      <c r="H1270" s="6">
        <v>46111.446527777778</v>
      </c>
      <c r="I1270" s="6">
        <v>46111.453472222223</v>
      </c>
      <c r="J1270" s="6">
        <v>46111.5</v>
      </c>
      <c r="K1270">
        <v>4</v>
      </c>
      <c r="L1270" s="6">
        <v>46111.506944444445</v>
      </c>
      <c r="M1270" s="7">
        <f>F1270-E1270</f>
        <v>4.1666666664241347E-2</v>
      </c>
      <c r="N1270">
        <f>HOUR(M1270)</f>
        <v>1</v>
      </c>
      <c r="O1270">
        <f>MINUTE(M1270)</f>
        <v>0</v>
      </c>
      <c r="P1270">
        <f>N1270*60+O1270</f>
        <v>60</v>
      </c>
      <c r="Q1270" s="7">
        <f>G1270-F1270</f>
        <v>2.0833333335758653E-2</v>
      </c>
      <c r="R1270">
        <f>HOUR(Q1270)</f>
        <v>0</v>
      </c>
      <c r="S1270">
        <f>MINUTE(Q1270)</f>
        <v>30</v>
      </c>
      <c r="T1270">
        <f>R1270*60+S1270</f>
        <v>30</v>
      </c>
      <c r="U1270" s="7">
        <f>H1270-G1270</f>
        <v>5.0694444442342501E-2</v>
      </c>
      <c r="V1270">
        <f>HOUR(U1270)</f>
        <v>1</v>
      </c>
      <c r="W1270">
        <f>MINUTE(U1270)</f>
        <v>13</v>
      </c>
      <c r="X1270">
        <f>V1270*60+W1270</f>
        <v>73</v>
      </c>
      <c r="Y1270" s="7">
        <f>I1270-H1270</f>
        <v>6.9444444452528842E-3</v>
      </c>
      <c r="Z1270">
        <f>HOUR(Y1270)</f>
        <v>0</v>
      </c>
      <c r="AA1270">
        <f>MINUTE(Y1270)</f>
        <v>10</v>
      </c>
      <c r="AB1270">
        <f>Z1270*60+AA1270</f>
        <v>10</v>
      </c>
    </row>
    <row r="1271" spans="1:28" x14ac:dyDescent="0.25">
      <c r="A1271">
        <v>1269</v>
      </c>
      <c r="B1271" t="s">
        <v>33</v>
      </c>
      <c r="C1271">
        <v>1</v>
      </c>
      <c r="D1271" t="s">
        <v>35</v>
      </c>
      <c r="E1271" s="6">
        <v>46111.770833333336</v>
      </c>
      <c r="F1271" s="6">
        <v>46111.774305555555</v>
      </c>
      <c r="G1271" s="6">
        <v>46111.784722222219</v>
      </c>
      <c r="H1271" s="6">
        <v>46111.804861111108</v>
      </c>
      <c r="I1271" s="6">
        <v>46111.833333333336</v>
      </c>
      <c r="J1271" s="6">
        <v>46112.541666666664</v>
      </c>
      <c r="K1271">
        <v>18.5</v>
      </c>
      <c r="L1271" s="6">
        <v>46112.548611111109</v>
      </c>
      <c r="M1271" s="7">
        <f>F1271-E1271</f>
        <v>3.4722222189884633E-3</v>
      </c>
      <c r="N1271">
        <f>HOUR(M1271)</f>
        <v>0</v>
      </c>
      <c r="O1271">
        <f>MINUTE(M1271)</f>
        <v>5</v>
      </c>
      <c r="P1271">
        <f>N1271*60+O1271</f>
        <v>5</v>
      </c>
      <c r="Q1271" s="7">
        <f>G1271-F1271</f>
        <v>1.0416666664241347E-2</v>
      </c>
      <c r="R1271">
        <f>HOUR(Q1271)</f>
        <v>0</v>
      </c>
      <c r="S1271">
        <f>MINUTE(Q1271)</f>
        <v>15</v>
      </c>
      <c r="T1271">
        <f>R1271*60+S1271</f>
        <v>15</v>
      </c>
      <c r="U1271" s="7">
        <f>H1271-G1271</f>
        <v>2.0138888889050577E-2</v>
      </c>
      <c r="V1271">
        <f>HOUR(U1271)</f>
        <v>0</v>
      </c>
      <c r="W1271">
        <f>MINUTE(U1271)</f>
        <v>29</v>
      </c>
      <c r="X1271">
        <f>V1271*60+W1271</f>
        <v>29</v>
      </c>
      <c r="Y1271" s="7">
        <f>I1271-H1271</f>
        <v>2.8472222227719612E-2</v>
      </c>
      <c r="Z1271">
        <f>HOUR(Y1271)</f>
        <v>0</v>
      </c>
      <c r="AA1271">
        <f>MINUTE(Y1271)</f>
        <v>41</v>
      </c>
      <c r="AB1271">
        <f>Z1271*60+AA1271</f>
        <v>41</v>
      </c>
    </row>
    <row r="1272" spans="1:28" x14ac:dyDescent="0.25">
      <c r="A1272">
        <v>1270</v>
      </c>
      <c r="B1272" t="s">
        <v>31</v>
      </c>
      <c r="C1272">
        <v>1</v>
      </c>
      <c r="D1272" t="s">
        <v>34</v>
      </c>
      <c r="E1272" s="6">
        <v>46111.416666666664</v>
      </c>
      <c r="F1272" s="6">
        <v>46111.427083333336</v>
      </c>
      <c r="G1272" s="6">
        <v>46111.451388888891</v>
      </c>
      <c r="H1272" s="6">
        <v>46111.524305555555</v>
      </c>
      <c r="I1272" s="6">
        <v>46111.53125</v>
      </c>
      <c r="J1272" s="6">
        <v>46111.895833333336</v>
      </c>
      <c r="K1272">
        <v>11.5</v>
      </c>
      <c r="L1272" s="6">
        <v>46111.896527777775</v>
      </c>
      <c r="M1272" s="7">
        <f>F1272-E1272</f>
        <v>1.0416666671517305E-2</v>
      </c>
      <c r="N1272">
        <f>HOUR(M1272)</f>
        <v>0</v>
      </c>
      <c r="O1272">
        <f>MINUTE(M1272)</f>
        <v>15</v>
      </c>
      <c r="P1272">
        <f>N1272*60+O1272</f>
        <v>15</v>
      </c>
      <c r="Q1272" s="7">
        <f>G1272-F1272</f>
        <v>2.4305555554747116E-2</v>
      </c>
      <c r="R1272">
        <f>HOUR(Q1272)</f>
        <v>0</v>
      </c>
      <c r="S1272">
        <f>MINUTE(Q1272)</f>
        <v>35</v>
      </c>
      <c r="T1272">
        <f>R1272*60+S1272</f>
        <v>35</v>
      </c>
      <c r="U1272" s="7">
        <f>H1272-G1272</f>
        <v>7.2916666664241347E-2</v>
      </c>
      <c r="V1272">
        <f>HOUR(U1272)</f>
        <v>1</v>
      </c>
      <c r="W1272">
        <f>MINUTE(U1272)</f>
        <v>45</v>
      </c>
      <c r="X1272">
        <f>V1272*60+W1272</f>
        <v>105</v>
      </c>
      <c r="Y1272" s="7">
        <f>I1272-H1272</f>
        <v>6.9444444452528842E-3</v>
      </c>
      <c r="Z1272">
        <f>HOUR(Y1272)</f>
        <v>0</v>
      </c>
      <c r="AA1272">
        <f>MINUTE(Y1272)</f>
        <v>10</v>
      </c>
      <c r="AB1272">
        <f>Z1272*60+AA1272</f>
        <v>10</v>
      </c>
    </row>
    <row r="1273" spans="1:28" x14ac:dyDescent="0.25">
      <c r="A1273">
        <v>1271</v>
      </c>
      <c r="B1273" t="s">
        <v>33</v>
      </c>
      <c r="C1273">
        <v>1</v>
      </c>
      <c r="D1273" t="s">
        <v>30</v>
      </c>
      <c r="E1273" s="6">
        <v>46111.493055555555</v>
      </c>
      <c r="F1273" s="6">
        <v>46111.506944444445</v>
      </c>
      <c r="G1273" s="6">
        <v>46111.541666666664</v>
      </c>
      <c r="H1273" s="6">
        <v>46111.759027777778</v>
      </c>
      <c r="I1273" s="6">
        <v>46111.765972222223</v>
      </c>
      <c r="J1273" s="6">
        <v>46111.833333333336</v>
      </c>
      <c r="K1273">
        <v>8.17</v>
      </c>
      <c r="L1273" s="6">
        <v>46111.840277777781</v>
      </c>
      <c r="M1273" s="7">
        <f>F1273-E1273</f>
        <v>1.3888888890505768E-2</v>
      </c>
      <c r="N1273">
        <f>HOUR(M1273)</f>
        <v>0</v>
      </c>
      <c r="O1273">
        <f>MINUTE(M1273)</f>
        <v>20</v>
      </c>
      <c r="P1273">
        <f>N1273*60+O1273</f>
        <v>20</v>
      </c>
      <c r="Q1273" s="7">
        <f>G1273-F1273</f>
        <v>3.4722222218988463E-2</v>
      </c>
      <c r="R1273">
        <f>HOUR(Q1273)</f>
        <v>0</v>
      </c>
      <c r="S1273">
        <f>MINUTE(Q1273)</f>
        <v>50</v>
      </c>
      <c r="T1273">
        <f>R1273*60+S1273</f>
        <v>50</v>
      </c>
      <c r="U1273" s="7">
        <f>H1273-G1273</f>
        <v>0.21736111111385981</v>
      </c>
      <c r="V1273">
        <f>HOUR(U1273)</f>
        <v>5</v>
      </c>
      <c r="W1273">
        <f>MINUTE(U1273)</f>
        <v>13</v>
      </c>
      <c r="X1273">
        <f>V1273*60+W1273</f>
        <v>313</v>
      </c>
      <c r="Y1273" s="7">
        <f>I1273-H1273</f>
        <v>6.9444444452528842E-3</v>
      </c>
      <c r="Z1273">
        <f>HOUR(Y1273)</f>
        <v>0</v>
      </c>
      <c r="AA1273">
        <f>MINUTE(Y1273)</f>
        <v>10</v>
      </c>
      <c r="AB1273">
        <f>Z1273*60+AA1273</f>
        <v>10</v>
      </c>
    </row>
    <row r="1274" spans="1:28" x14ac:dyDescent="0.25">
      <c r="A1274">
        <v>1272</v>
      </c>
      <c r="B1274" t="s">
        <v>33</v>
      </c>
      <c r="C1274">
        <v>1</v>
      </c>
      <c r="D1274" t="s">
        <v>30</v>
      </c>
      <c r="E1274" s="6">
        <v>46111.930555555555</v>
      </c>
      <c r="F1274" s="6">
        <v>46111.9375</v>
      </c>
      <c r="G1274" s="6">
        <v>46111.947916666664</v>
      </c>
      <c r="H1274" s="6">
        <v>46111.965277777781</v>
      </c>
      <c r="I1274" s="6">
        <v>46111.96875</v>
      </c>
      <c r="J1274" s="6">
        <v>46111.979166666664</v>
      </c>
      <c r="K1274">
        <v>1.17</v>
      </c>
      <c r="L1274" s="6">
        <v>46111.979861111111</v>
      </c>
      <c r="M1274" s="7">
        <f>F1274-E1274</f>
        <v>6.9444444452528842E-3</v>
      </c>
      <c r="N1274">
        <f>HOUR(M1274)</f>
        <v>0</v>
      </c>
      <c r="O1274">
        <f>MINUTE(M1274)</f>
        <v>10</v>
      </c>
      <c r="P1274">
        <f>N1274*60+O1274</f>
        <v>10</v>
      </c>
      <c r="Q1274" s="7">
        <f>G1274-F1274</f>
        <v>1.0416666664241347E-2</v>
      </c>
      <c r="R1274">
        <f>HOUR(Q1274)</f>
        <v>0</v>
      </c>
      <c r="S1274">
        <f>MINUTE(Q1274)</f>
        <v>15</v>
      </c>
      <c r="T1274">
        <f>R1274*60+S1274</f>
        <v>15</v>
      </c>
      <c r="U1274" s="7">
        <f>H1274-G1274</f>
        <v>1.7361111116770189E-2</v>
      </c>
      <c r="V1274">
        <f>HOUR(U1274)</f>
        <v>0</v>
      </c>
      <c r="W1274">
        <f>MINUTE(U1274)</f>
        <v>25</v>
      </c>
      <c r="X1274">
        <f>V1274*60+W1274</f>
        <v>25</v>
      </c>
      <c r="Y1274" s="7">
        <f>I1274-H1274</f>
        <v>3.4722222189884633E-3</v>
      </c>
      <c r="Z1274">
        <f>HOUR(Y1274)</f>
        <v>0</v>
      </c>
      <c r="AA1274">
        <f>MINUTE(Y1274)</f>
        <v>5</v>
      </c>
      <c r="AB1274">
        <f>Z1274*60+AA1274</f>
        <v>5</v>
      </c>
    </row>
    <row r="1275" spans="1:28" x14ac:dyDescent="0.25">
      <c r="A1275">
        <v>1273</v>
      </c>
      <c r="B1275" t="s">
        <v>33</v>
      </c>
      <c r="C1275">
        <v>1</v>
      </c>
      <c r="D1275" t="s">
        <v>35</v>
      </c>
      <c r="E1275" s="6">
        <v>46111.413194444445</v>
      </c>
      <c r="F1275" s="6">
        <v>46111.416666666664</v>
      </c>
      <c r="G1275" s="6">
        <v>46111.454861111109</v>
      </c>
      <c r="H1275" s="6">
        <v>46111.631944444445</v>
      </c>
      <c r="I1275" s="6">
        <v>46111.663194444445</v>
      </c>
      <c r="J1275" s="6">
        <v>46111.746527777781</v>
      </c>
      <c r="K1275">
        <v>8</v>
      </c>
      <c r="L1275" s="6">
        <v>46111.74722222222</v>
      </c>
      <c r="M1275" s="7">
        <f>F1275-E1275</f>
        <v>3.4722222189884633E-3</v>
      </c>
      <c r="N1275">
        <f>HOUR(M1275)</f>
        <v>0</v>
      </c>
      <c r="O1275">
        <f>MINUTE(M1275)</f>
        <v>5</v>
      </c>
      <c r="P1275">
        <f>N1275*60+O1275</f>
        <v>5</v>
      </c>
      <c r="Q1275" s="7">
        <f>G1275-F1275</f>
        <v>3.8194444445252884E-2</v>
      </c>
      <c r="R1275">
        <f>HOUR(Q1275)</f>
        <v>0</v>
      </c>
      <c r="S1275">
        <f>MINUTE(Q1275)</f>
        <v>55</v>
      </c>
      <c r="T1275">
        <f>R1275*60+S1275</f>
        <v>55</v>
      </c>
      <c r="U1275" s="7">
        <f>H1275-G1275</f>
        <v>0.17708333333575865</v>
      </c>
      <c r="V1275">
        <f>HOUR(U1275)</f>
        <v>4</v>
      </c>
      <c r="W1275">
        <f>MINUTE(U1275)</f>
        <v>15</v>
      </c>
      <c r="X1275">
        <f>V1275*60+W1275</f>
        <v>255</v>
      </c>
      <c r="Y1275" s="7">
        <f>I1275-H1275</f>
        <v>3.125E-2</v>
      </c>
      <c r="Z1275">
        <f>HOUR(Y1275)</f>
        <v>0</v>
      </c>
      <c r="AA1275">
        <f>MINUTE(Y1275)</f>
        <v>45</v>
      </c>
      <c r="AB1275">
        <f>Z1275*60+AA1275</f>
        <v>45</v>
      </c>
    </row>
    <row r="1276" spans="1:28" x14ac:dyDescent="0.25">
      <c r="A1276">
        <v>1274</v>
      </c>
      <c r="B1276" t="s">
        <v>31</v>
      </c>
      <c r="C1276">
        <v>1</v>
      </c>
      <c r="D1276" t="s">
        <v>30</v>
      </c>
      <c r="E1276" s="6">
        <v>46111.625</v>
      </c>
      <c r="F1276" s="6">
        <v>46111.631944444445</v>
      </c>
      <c r="G1276" s="6">
        <v>46111.638888888891</v>
      </c>
      <c r="H1276" s="6">
        <v>46111.659722222219</v>
      </c>
      <c r="I1276" s="6">
        <v>46111.666666666664</v>
      </c>
      <c r="J1276" s="6">
        <v>46111.680555555555</v>
      </c>
      <c r="K1276">
        <v>1.33</v>
      </c>
      <c r="L1276" s="6">
        <v>46111.6875</v>
      </c>
      <c r="M1276" s="7">
        <f>F1276-E1276</f>
        <v>6.9444444452528842E-3</v>
      </c>
      <c r="N1276">
        <f>HOUR(M1276)</f>
        <v>0</v>
      </c>
      <c r="O1276">
        <f>MINUTE(M1276)</f>
        <v>10</v>
      </c>
      <c r="P1276">
        <f>N1276*60+O1276</f>
        <v>10</v>
      </c>
      <c r="Q1276" s="7">
        <f>G1276-F1276</f>
        <v>6.9444444452528842E-3</v>
      </c>
      <c r="R1276">
        <f>HOUR(Q1276)</f>
        <v>0</v>
      </c>
      <c r="S1276">
        <f>MINUTE(Q1276)</f>
        <v>10</v>
      </c>
      <c r="T1276">
        <f>R1276*60+S1276</f>
        <v>10</v>
      </c>
      <c r="U1276" s="7">
        <f>H1276-G1276</f>
        <v>2.0833333328482695E-2</v>
      </c>
      <c r="V1276">
        <f>HOUR(U1276)</f>
        <v>0</v>
      </c>
      <c r="W1276">
        <f>MINUTE(U1276)</f>
        <v>30</v>
      </c>
      <c r="X1276">
        <f>V1276*60+W1276</f>
        <v>30</v>
      </c>
      <c r="Y1276" s="7">
        <f>I1276-H1276</f>
        <v>6.9444444452528842E-3</v>
      </c>
      <c r="Z1276">
        <f>HOUR(Y1276)</f>
        <v>0</v>
      </c>
      <c r="AA1276">
        <f>MINUTE(Y1276)</f>
        <v>10</v>
      </c>
      <c r="AB1276">
        <f>Z1276*60+AA1276</f>
        <v>10</v>
      </c>
    </row>
    <row r="1277" spans="1:28" x14ac:dyDescent="0.25">
      <c r="A1277">
        <v>1275</v>
      </c>
      <c r="B1277" t="s">
        <v>33</v>
      </c>
      <c r="C1277">
        <v>1</v>
      </c>
      <c r="D1277" t="s">
        <v>30</v>
      </c>
      <c r="E1277" s="6">
        <v>46112.444444444445</v>
      </c>
      <c r="F1277" s="6">
        <v>46112.458333333336</v>
      </c>
      <c r="G1277" s="6">
        <v>46112.479166666664</v>
      </c>
      <c r="H1277" s="6">
        <v>46112.631944444445</v>
      </c>
      <c r="I1277" s="6">
        <v>46112.638888888891</v>
      </c>
      <c r="J1277" s="6">
        <v>46112.645833333336</v>
      </c>
      <c r="K1277">
        <v>4.83</v>
      </c>
      <c r="L1277" s="6">
        <v>46112.649305555555</v>
      </c>
      <c r="M1277" s="7">
        <f>F1277-E1277</f>
        <v>1.3888888890505768E-2</v>
      </c>
      <c r="N1277">
        <f>HOUR(M1277)</f>
        <v>0</v>
      </c>
      <c r="O1277">
        <f>MINUTE(M1277)</f>
        <v>20</v>
      </c>
      <c r="P1277">
        <f>N1277*60+O1277</f>
        <v>20</v>
      </c>
      <c r="Q1277" s="7">
        <f>G1277-F1277</f>
        <v>2.0833333328482695E-2</v>
      </c>
      <c r="R1277">
        <f>HOUR(Q1277)</f>
        <v>0</v>
      </c>
      <c r="S1277">
        <f>MINUTE(Q1277)</f>
        <v>30</v>
      </c>
      <c r="T1277">
        <f>R1277*60+S1277</f>
        <v>30</v>
      </c>
      <c r="U1277" s="7">
        <f>H1277-G1277</f>
        <v>0.15277777778101154</v>
      </c>
      <c r="V1277">
        <f>HOUR(U1277)</f>
        <v>3</v>
      </c>
      <c r="W1277">
        <f>MINUTE(U1277)</f>
        <v>40</v>
      </c>
      <c r="X1277">
        <f>V1277*60+W1277</f>
        <v>220</v>
      </c>
      <c r="Y1277" s="7">
        <f>I1277-H1277</f>
        <v>6.9444444452528842E-3</v>
      </c>
      <c r="Z1277">
        <f>HOUR(Y1277)</f>
        <v>0</v>
      </c>
      <c r="AA1277">
        <f>MINUTE(Y1277)</f>
        <v>10</v>
      </c>
      <c r="AB1277">
        <f>Z1277*60+AA1277</f>
        <v>10</v>
      </c>
    </row>
    <row r="1278" spans="1:28" x14ac:dyDescent="0.25">
      <c r="A1278">
        <v>1276</v>
      </c>
      <c r="B1278" t="s">
        <v>29</v>
      </c>
      <c r="C1278">
        <v>1</v>
      </c>
      <c r="D1278" t="s">
        <v>36</v>
      </c>
      <c r="E1278" s="6">
        <v>46112.315972222219</v>
      </c>
      <c r="F1278" s="6">
        <v>46112.322916666664</v>
      </c>
      <c r="G1278" s="6">
        <v>46112.368055555555</v>
      </c>
      <c r="H1278" s="6">
        <v>46112.409722222219</v>
      </c>
      <c r="I1278" s="6">
        <v>46112.416666666664</v>
      </c>
      <c r="J1278" s="6">
        <v>46112.423611111109</v>
      </c>
      <c r="K1278">
        <v>2.58</v>
      </c>
      <c r="L1278" s="6">
        <v>46112.424305555556</v>
      </c>
      <c r="M1278" s="7">
        <f>F1278-E1278</f>
        <v>6.9444444452528842E-3</v>
      </c>
      <c r="N1278">
        <f>HOUR(M1278)</f>
        <v>0</v>
      </c>
      <c r="O1278">
        <f>MINUTE(M1278)</f>
        <v>10</v>
      </c>
      <c r="P1278">
        <f>N1278*60+O1278</f>
        <v>10</v>
      </c>
      <c r="Q1278" s="7">
        <f>G1278-F1278</f>
        <v>4.5138888890505768E-2</v>
      </c>
      <c r="R1278">
        <f>HOUR(Q1278)</f>
        <v>1</v>
      </c>
      <c r="S1278">
        <f>MINUTE(Q1278)</f>
        <v>5</v>
      </c>
      <c r="T1278">
        <f>R1278*60+S1278</f>
        <v>65</v>
      </c>
      <c r="U1278" s="7">
        <f>H1278-G1278</f>
        <v>4.1666666664241347E-2</v>
      </c>
      <c r="V1278">
        <f>HOUR(U1278)</f>
        <v>1</v>
      </c>
      <c r="W1278">
        <f>MINUTE(U1278)</f>
        <v>0</v>
      </c>
      <c r="X1278">
        <f>V1278*60+W1278</f>
        <v>60</v>
      </c>
      <c r="Y1278" s="7">
        <f>I1278-H1278</f>
        <v>6.9444444452528842E-3</v>
      </c>
      <c r="Z1278">
        <f>HOUR(Y1278)</f>
        <v>0</v>
      </c>
      <c r="AA1278">
        <f>MINUTE(Y1278)</f>
        <v>10</v>
      </c>
      <c r="AB1278">
        <f>Z1278*60+AA1278</f>
        <v>10</v>
      </c>
    </row>
    <row r="1279" spans="1:28" x14ac:dyDescent="0.25">
      <c r="A1279">
        <v>1277</v>
      </c>
      <c r="B1279" t="s">
        <v>29</v>
      </c>
      <c r="C1279">
        <v>1</v>
      </c>
      <c r="D1279" t="s">
        <v>32</v>
      </c>
      <c r="E1279" s="6">
        <v>46112.506944444445</v>
      </c>
      <c r="F1279" s="6">
        <v>46112.513888888891</v>
      </c>
      <c r="G1279" s="6">
        <v>46112.520833333336</v>
      </c>
      <c r="H1279" s="6">
        <v>46112.527777777781</v>
      </c>
      <c r="I1279" s="6">
        <v>46112.534722222219</v>
      </c>
      <c r="J1279" s="6">
        <v>46112.541666666664</v>
      </c>
      <c r="K1279">
        <v>0.83</v>
      </c>
      <c r="L1279" s="6">
        <v>46112.548611111109</v>
      </c>
      <c r="M1279" s="7">
        <f>F1279-E1279</f>
        <v>6.9444444452528842E-3</v>
      </c>
      <c r="N1279">
        <f>HOUR(M1279)</f>
        <v>0</v>
      </c>
      <c r="O1279">
        <f>MINUTE(M1279)</f>
        <v>10</v>
      </c>
      <c r="P1279">
        <f>N1279*60+O1279</f>
        <v>10</v>
      </c>
      <c r="Q1279" s="7">
        <f>G1279-F1279</f>
        <v>6.9444444452528842E-3</v>
      </c>
      <c r="R1279">
        <f>HOUR(Q1279)</f>
        <v>0</v>
      </c>
      <c r="S1279">
        <f>MINUTE(Q1279)</f>
        <v>10</v>
      </c>
      <c r="T1279">
        <f>R1279*60+S1279</f>
        <v>10</v>
      </c>
      <c r="U1279" s="7">
        <f>H1279-G1279</f>
        <v>6.9444444452528842E-3</v>
      </c>
      <c r="V1279">
        <f>HOUR(U1279)</f>
        <v>0</v>
      </c>
      <c r="W1279">
        <f>MINUTE(U1279)</f>
        <v>10</v>
      </c>
      <c r="X1279">
        <f>V1279*60+W1279</f>
        <v>10</v>
      </c>
      <c r="Y1279" s="7">
        <f>I1279-H1279</f>
        <v>6.9444444379769266E-3</v>
      </c>
      <c r="Z1279">
        <f>HOUR(Y1279)</f>
        <v>0</v>
      </c>
      <c r="AA1279">
        <f>MINUTE(Y1279)</f>
        <v>10</v>
      </c>
      <c r="AB1279">
        <f>Z1279*60+AA1279</f>
        <v>10</v>
      </c>
    </row>
    <row r="1280" spans="1:28" x14ac:dyDescent="0.25">
      <c r="A1280">
        <v>1278</v>
      </c>
      <c r="B1280" t="s">
        <v>33</v>
      </c>
      <c r="C1280">
        <v>1</v>
      </c>
      <c r="D1280" t="s">
        <v>36</v>
      </c>
      <c r="E1280" s="6">
        <v>46112.354166666664</v>
      </c>
      <c r="F1280" s="6">
        <v>46112.361111111109</v>
      </c>
      <c r="G1280" s="6">
        <v>46112.375</v>
      </c>
      <c r="H1280" s="6">
        <v>46112.423611111109</v>
      </c>
      <c r="I1280" s="6">
        <v>46112.427083333336</v>
      </c>
      <c r="J1280" s="6">
        <v>46112.430555555555</v>
      </c>
      <c r="K1280">
        <v>1.83</v>
      </c>
      <c r="L1280" s="6">
        <v>46112.4375</v>
      </c>
      <c r="M1280" s="7">
        <f>F1280-E1280</f>
        <v>6.9444444452528842E-3</v>
      </c>
      <c r="N1280">
        <f>HOUR(M1280)</f>
        <v>0</v>
      </c>
      <c r="O1280">
        <f>MINUTE(M1280)</f>
        <v>10</v>
      </c>
      <c r="P1280">
        <f>N1280*60+O1280</f>
        <v>10</v>
      </c>
      <c r="Q1280" s="7">
        <f>G1280-F1280</f>
        <v>1.3888888890505768E-2</v>
      </c>
      <c r="R1280">
        <f>HOUR(Q1280)</f>
        <v>0</v>
      </c>
      <c r="S1280">
        <f>MINUTE(Q1280)</f>
        <v>20</v>
      </c>
      <c r="T1280">
        <f>R1280*60+S1280</f>
        <v>20</v>
      </c>
      <c r="U1280" s="7">
        <f>H1280-G1280</f>
        <v>4.8611111109494232E-2</v>
      </c>
      <c r="V1280">
        <f>HOUR(U1280)</f>
        <v>1</v>
      </c>
      <c r="W1280">
        <f>MINUTE(U1280)</f>
        <v>10</v>
      </c>
      <c r="X1280">
        <f>V1280*60+W1280</f>
        <v>70</v>
      </c>
      <c r="Y1280" s="7">
        <f>I1280-H1280</f>
        <v>3.4722222262644209E-3</v>
      </c>
      <c r="Z1280">
        <f>HOUR(Y1280)</f>
        <v>0</v>
      </c>
      <c r="AA1280">
        <f>MINUTE(Y1280)</f>
        <v>5</v>
      </c>
      <c r="AB1280">
        <f>Z1280*60+AA1280</f>
        <v>5</v>
      </c>
    </row>
    <row r="1281" spans="1:28" x14ac:dyDescent="0.25">
      <c r="A1281">
        <v>1279</v>
      </c>
      <c r="B1281" t="s">
        <v>33</v>
      </c>
      <c r="C1281">
        <v>1</v>
      </c>
      <c r="D1281" t="s">
        <v>37</v>
      </c>
      <c r="E1281" s="6">
        <v>46112.458333333336</v>
      </c>
      <c r="F1281" s="6">
        <v>46112.472222222219</v>
      </c>
      <c r="G1281" s="6">
        <v>46112.493055555555</v>
      </c>
      <c r="H1281" s="6">
        <v>46112.524305555555</v>
      </c>
      <c r="I1281" s="6">
        <v>46112.527777777781</v>
      </c>
      <c r="J1281" s="6">
        <v>46112.53125</v>
      </c>
      <c r="K1281">
        <v>1.75</v>
      </c>
      <c r="L1281" s="6">
        <v>46112.531944444447</v>
      </c>
      <c r="M1281" s="7">
        <f>F1281-E1281</f>
        <v>1.3888888883229811E-2</v>
      </c>
      <c r="N1281">
        <f>HOUR(M1281)</f>
        <v>0</v>
      </c>
      <c r="O1281">
        <f>MINUTE(M1281)</f>
        <v>20</v>
      </c>
      <c r="P1281">
        <f>N1281*60+O1281</f>
        <v>20</v>
      </c>
      <c r="Q1281" s="7">
        <f>G1281-F1281</f>
        <v>2.0833333335758653E-2</v>
      </c>
      <c r="R1281">
        <f>HOUR(Q1281)</f>
        <v>0</v>
      </c>
      <c r="S1281">
        <f>MINUTE(Q1281)</f>
        <v>30</v>
      </c>
      <c r="T1281">
        <f>R1281*60+S1281</f>
        <v>30</v>
      </c>
      <c r="U1281" s="7">
        <f>H1281-G1281</f>
        <v>3.125E-2</v>
      </c>
      <c r="V1281">
        <f>HOUR(U1281)</f>
        <v>0</v>
      </c>
      <c r="W1281">
        <f>MINUTE(U1281)</f>
        <v>45</v>
      </c>
      <c r="X1281">
        <f>V1281*60+W1281</f>
        <v>45</v>
      </c>
      <c r="Y1281" s="7">
        <f>I1281-H1281</f>
        <v>3.4722222262644209E-3</v>
      </c>
      <c r="Z1281">
        <f>HOUR(Y1281)</f>
        <v>0</v>
      </c>
      <c r="AA1281">
        <f>MINUTE(Y1281)</f>
        <v>5</v>
      </c>
      <c r="AB1281">
        <f>Z1281*60+AA1281</f>
        <v>5</v>
      </c>
    </row>
    <row r="1282" spans="1:28" x14ac:dyDescent="0.25">
      <c r="A1282">
        <v>1280</v>
      </c>
      <c r="B1282" t="s">
        <v>29</v>
      </c>
      <c r="C1282">
        <v>1</v>
      </c>
      <c r="D1282" t="s">
        <v>30</v>
      </c>
      <c r="E1282" s="6">
        <v>46112.416666666664</v>
      </c>
      <c r="F1282" s="6">
        <v>46112.430555555555</v>
      </c>
      <c r="G1282" s="6">
        <v>46112.479166666664</v>
      </c>
      <c r="H1282" s="6">
        <v>46112.517361111109</v>
      </c>
      <c r="I1282" s="6">
        <v>46112.524305555555</v>
      </c>
      <c r="J1282" s="6">
        <v>46112.694444444445</v>
      </c>
      <c r="K1282">
        <v>6.67</v>
      </c>
      <c r="L1282" s="6">
        <v>46112.701388888891</v>
      </c>
      <c r="M1282" s="7">
        <f>F1282-E1282</f>
        <v>1.3888888890505768E-2</v>
      </c>
      <c r="N1282">
        <f>HOUR(M1282)</f>
        <v>0</v>
      </c>
      <c r="O1282">
        <f>MINUTE(M1282)</f>
        <v>20</v>
      </c>
      <c r="P1282">
        <f>N1282*60+O1282</f>
        <v>20</v>
      </c>
      <c r="Q1282" s="7">
        <f>G1282-F1282</f>
        <v>4.8611111109494232E-2</v>
      </c>
      <c r="R1282">
        <f>HOUR(Q1282)</f>
        <v>1</v>
      </c>
      <c r="S1282">
        <f>MINUTE(Q1282)</f>
        <v>10</v>
      </c>
      <c r="T1282">
        <f>R1282*60+S1282</f>
        <v>70</v>
      </c>
      <c r="U1282" s="7">
        <f>H1282-G1282</f>
        <v>3.8194444445252884E-2</v>
      </c>
      <c r="V1282">
        <f>HOUR(U1282)</f>
        <v>0</v>
      </c>
      <c r="W1282">
        <f>MINUTE(U1282)</f>
        <v>55</v>
      </c>
      <c r="X1282">
        <f>V1282*60+W1282</f>
        <v>55</v>
      </c>
      <c r="Y1282" s="7">
        <f>I1282-H1282</f>
        <v>6.9444444452528842E-3</v>
      </c>
      <c r="Z1282">
        <f>HOUR(Y1282)</f>
        <v>0</v>
      </c>
      <c r="AA1282">
        <f>MINUTE(Y1282)</f>
        <v>10</v>
      </c>
      <c r="AB1282">
        <f>Z1282*60+AA1282</f>
        <v>10</v>
      </c>
    </row>
    <row r="1283" spans="1:28" x14ac:dyDescent="0.25">
      <c r="A1283">
        <v>1281</v>
      </c>
      <c r="B1283" t="s">
        <v>33</v>
      </c>
      <c r="C1283">
        <v>1</v>
      </c>
      <c r="D1283" t="s">
        <v>36</v>
      </c>
      <c r="E1283" s="6">
        <v>46112.583333333336</v>
      </c>
      <c r="F1283" s="6">
        <v>46112.59375</v>
      </c>
      <c r="G1283" s="6">
        <v>46112.666666666664</v>
      </c>
      <c r="H1283" s="6">
        <v>46112.760416666664</v>
      </c>
      <c r="I1283" s="6">
        <v>46112.767361111109</v>
      </c>
      <c r="J1283" s="6">
        <v>46112.979166666664</v>
      </c>
      <c r="K1283">
        <v>9.5</v>
      </c>
      <c r="L1283" s="6">
        <v>46112.986111111109</v>
      </c>
      <c r="M1283" s="7">
        <f>F1283-E1283</f>
        <v>1.0416666664241347E-2</v>
      </c>
      <c r="N1283">
        <f>HOUR(M1283)</f>
        <v>0</v>
      </c>
      <c r="O1283">
        <f>MINUTE(M1283)</f>
        <v>15</v>
      </c>
      <c r="P1283">
        <f>N1283*60+O1283</f>
        <v>15</v>
      </c>
      <c r="Q1283" s="7">
        <f>G1283-F1283</f>
        <v>7.2916666664241347E-2</v>
      </c>
      <c r="R1283">
        <f>HOUR(Q1283)</f>
        <v>1</v>
      </c>
      <c r="S1283">
        <f>MINUTE(Q1283)</f>
        <v>45</v>
      </c>
      <c r="T1283">
        <f>R1283*60+S1283</f>
        <v>105</v>
      </c>
      <c r="U1283" s="7">
        <f>H1283-G1283</f>
        <v>9.375E-2</v>
      </c>
      <c r="V1283">
        <f>HOUR(U1283)</f>
        <v>2</v>
      </c>
      <c r="W1283">
        <f>MINUTE(U1283)</f>
        <v>15</v>
      </c>
      <c r="X1283">
        <f>V1283*60+W1283</f>
        <v>135</v>
      </c>
      <c r="Y1283" s="7">
        <f>I1283-H1283</f>
        <v>6.9444444452528842E-3</v>
      </c>
      <c r="Z1283">
        <f>HOUR(Y1283)</f>
        <v>0</v>
      </c>
      <c r="AA1283">
        <f>MINUTE(Y1283)</f>
        <v>10</v>
      </c>
      <c r="AB1283">
        <f>Z1283*60+AA1283</f>
        <v>10</v>
      </c>
    </row>
    <row r="1284" spans="1:28" x14ac:dyDescent="0.25">
      <c r="A1284">
        <v>1282</v>
      </c>
      <c r="B1284" t="s">
        <v>29</v>
      </c>
      <c r="C1284">
        <v>1</v>
      </c>
      <c r="D1284" t="s">
        <v>30</v>
      </c>
      <c r="E1284" s="6">
        <v>46111.770833333336</v>
      </c>
      <c r="F1284" s="6">
        <v>46111.774305555555</v>
      </c>
      <c r="G1284" s="6">
        <v>46111.777777777781</v>
      </c>
      <c r="H1284" s="6">
        <v>46111.781944444447</v>
      </c>
      <c r="I1284" s="6">
        <v>46111.784722222219</v>
      </c>
      <c r="J1284" s="6">
        <v>46111.788194444445</v>
      </c>
      <c r="K1284">
        <v>0.42</v>
      </c>
      <c r="L1284" s="6">
        <v>46111.795138888891</v>
      </c>
      <c r="M1284" s="7">
        <f>F1284-E1284</f>
        <v>3.4722222189884633E-3</v>
      </c>
      <c r="N1284">
        <f>HOUR(M1284)</f>
        <v>0</v>
      </c>
      <c r="O1284">
        <f>MINUTE(M1284)</f>
        <v>5</v>
      </c>
      <c r="P1284">
        <f>N1284*60+O1284</f>
        <v>5</v>
      </c>
      <c r="Q1284" s="7">
        <f>G1284-F1284</f>
        <v>3.4722222262644209E-3</v>
      </c>
      <c r="R1284">
        <f>HOUR(Q1284)</f>
        <v>0</v>
      </c>
      <c r="S1284">
        <f>MINUTE(Q1284)</f>
        <v>5</v>
      </c>
      <c r="T1284">
        <f>R1284*60+S1284</f>
        <v>5</v>
      </c>
      <c r="U1284" s="7">
        <f>H1284-G1284</f>
        <v>4.166666665696539E-3</v>
      </c>
      <c r="V1284">
        <f>HOUR(U1284)</f>
        <v>0</v>
      </c>
      <c r="W1284">
        <f>MINUTE(U1284)</f>
        <v>6</v>
      </c>
      <c r="X1284">
        <f>V1284*60+W1284</f>
        <v>6</v>
      </c>
      <c r="Y1284" s="7">
        <f>I1284-H1284</f>
        <v>2.7777777722803876E-3</v>
      </c>
      <c r="Z1284">
        <f>HOUR(Y1284)</f>
        <v>0</v>
      </c>
      <c r="AA1284">
        <f>MINUTE(Y1284)</f>
        <v>4</v>
      </c>
      <c r="AB1284">
        <f>Z1284*60+AA1284</f>
        <v>4</v>
      </c>
    </row>
    <row r="1285" spans="1:28" x14ac:dyDescent="0.25">
      <c r="A1285">
        <v>1283</v>
      </c>
      <c r="B1285" t="s">
        <v>29</v>
      </c>
      <c r="C1285">
        <v>1</v>
      </c>
      <c r="D1285" t="s">
        <v>34</v>
      </c>
      <c r="E1285" s="6">
        <v>46112.291666666664</v>
      </c>
      <c r="F1285" s="6">
        <v>46112.3125</v>
      </c>
      <c r="G1285" s="6">
        <v>46112.333333333336</v>
      </c>
      <c r="H1285" s="6">
        <v>46112.424305555556</v>
      </c>
      <c r="I1285" s="6">
        <v>46112.427083333336</v>
      </c>
      <c r="J1285" s="6">
        <v>46112.4375</v>
      </c>
      <c r="K1285">
        <v>3.5</v>
      </c>
      <c r="L1285" s="6">
        <v>46112.444444444445</v>
      </c>
      <c r="M1285" s="7">
        <f>F1285-E1285</f>
        <v>2.0833333335758653E-2</v>
      </c>
      <c r="N1285">
        <f>HOUR(M1285)</f>
        <v>0</v>
      </c>
      <c r="O1285">
        <f>MINUTE(M1285)</f>
        <v>30</v>
      </c>
      <c r="P1285">
        <f>N1285*60+O1285</f>
        <v>30</v>
      </c>
      <c r="Q1285" s="7">
        <f>G1285-F1285</f>
        <v>2.0833333335758653E-2</v>
      </c>
      <c r="R1285">
        <f>HOUR(Q1285)</f>
        <v>0</v>
      </c>
      <c r="S1285">
        <f>MINUTE(Q1285)</f>
        <v>30</v>
      </c>
      <c r="T1285">
        <f>R1285*60+S1285</f>
        <v>30</v>
      </c>
      <c r="U1285" s="7">
        <f>H1285-G1285</f>
        <v>9.0972222220443655E-2</v>
      </c>
      <c r="V1285">
        <f>HOUR(U1285)</f>
        <v>2</v>
      </c>
      <c r="W1285">
        <f>MINUTE(U1285)</f>
        <v>11</v>
      </c>
      <c r="X1285">
        <f>V1285*60+W1285</f>
        <v>131</v>
      </c>
      <c r="Y1285" s="7">
        <f>I1285-H1285</f>
        <v>2.7777777795563452E-3</v>
      </c>
      <c r="Z1285">
        <f>HOUR(Y1285)</f>
        <v>0</v>
      </c>
      <c r="AA1285">
        <f>MINUTE(Y1285)</f>
        <v>4</v>
      </c>
      <c r="AB1285">
        <f>Z1285*60+AA1285</f>
        <v>4</v>
      </c>
    </row>
    <row r="1286" spans="1:28" x14ac:dyDescent="0.25">
      <c r="A1286">
        <v>1284</v>
      </c>
      <c r="B1286" t="s">
        <v>29</v>
      </c>
      <c r="C1286">
        <v>1</v>
      </c>
      <c r="D1286" t="s">
        <v>34</v>
      </c>
      <c r="E1286" s="6">
        <v>46112.000694444447</v>
      </c>
      <c r="F1286" s="6">
        <v>46112.006944444445</v>
      </c>
      <c r="G1286" s="6">
        <v>46112.013888888891</v>
      </c>
      <c r="H1286" s="6">
        <v>46112.03125</v>
      </c>
      <c r="I1286" s="6">
        <v>46112.034722222219</v>
      </c>
      <c r="J1286" s="6">
        <v>46112.038194444445</v>
      </c>
      <c r="K1286">
        <v>0.9</v>
      </c>
      <c r="L1286" s="6">
        <v>46112.045138888891</v>
      </c>
      <c r="M1286" s="7">
        <f>F1286-E1286</f>
        <v>6.2499999985448085E-3</v>
      </c>
      <c r="N1286">
        <f>HOUR(M1286)</f>
        <v>0</v>
      </c>
      <c r="O1286">
        <f>MINUTE(M1286)</f>
        <v>9</v>
      </c>
      <c r="P1286">
        <f>N1286*60+O1286</f>
        <v>9</v>
      </c>
      <c r="Q1286" s="7">
        <f>G1286-F1286</f>
        <v>6.9444444452528842E-3</v>
      </c>
      <c r="R1286">
        <f>HOUR(Q1286)</f>
        <v>0</v>
      </c>
      <c r="S1286">
        <f>MINUTE(Q1286)</f>
        <v>10</v>
      </c>
      <c r="T1286">
        <f>R1286*60+S1286</f>
        <v>10</v>
      </c>
      <c r="U1286" s="7">
        <f>H1286-G1286</f>
        <v>1.7361111109494232E-2</v>
      </c>
      <c r="V1286">
        <f>HOUR(U1286)</f>
        <v>0</v>
      </c>
      <c r="W1286">
        <f>MINUTE(U1286)</f>
        <v>25</v>
      </c>
      <c r="X1286">
        <f>V1286*60+W1286</f>
        <v>25</v>
      </c>
      <c r="Y1286" s="7">
        <f>I1286-H1286</f>
        <v>3.4722222189884633E-3</v>
      </c>
      <c r="Z1286">
        <f>HOUR(Y1286)</f>
        <v>0</v>
      </c>
      <c r="AA1286">
        <f>MINUTE(Y1286)</f>
        <v>5</v>
      </c>
      <c r="AB1286">
        <f>Z1286*60+AA1286</f>
        <v>5</v>
      </c>
    </row>
    <row r="1287" spans="1:28" x14ac:dyDescent="0.25">
      <c r="A1287">
        <v>1285</v>
      </c>
      <c r="B1287" t="s">
        <v>31</v>
      </c>
      <c r="C1287">
        <v>1</v>
      </c>
      <c r="D1287" t="s">
        <v>30</v>
      </c>
      <c r="E1287" s="6">
        <v>46112.604166666664</v>
      </c>
      <c r="F1287" s="6">
        <v>46112.607638888891</v>
      </c>
      <c r="G1287" s="6">
        <v>46112.668749999997</v>
      </c>
      <c r="H1287" s="6">
        <v>46112.760416666664</v>
      </c>
      <c r="I1287" s="6">
        <v>46112.767361111109</v>
      </c>
      <c r="J1287" s="6">
        <v>46112.777777777781</v>
      </c>
      <c r="K1287">
        <v>4.17</v>
      </c>
      <c r="L1287" s="6">
        <v>46112.77847222222</v>
      </c>
      <c r="M1287" s="7">
        <f>F1287-E1287</f>
        <v>3.4722222262644209E-3</v>
      </c>
      <c r="N1287">
        <f>HOUR(M1287)</f>
        <v>0</v>
      </c>
      <c r="O1287">
        <f>MINUTE(M1287)</f>
        <v>5</v>
      </c>
      <c r="P1287">
        <f>N1287*60+O1287</f>
        <v>5</v>
      </c>
      <c r="Q1287" s="7">
        <f>G1287-F1287</f>
        <v>6.1111111106583849E-2</v>
      </c>
      <c r="R1287">
        <f>HOUR(Q1287)</f>
        <v>1</v>
      </c>
      <c r="S1287">
        <f>MINUTE(Q1287)</f>
        <v>28</v>
      </c>
      <c r="T1287">
        <f>R1287*60+S1287</f>
        <v>88</v>
      </c>
      <c r="U1287" s="7">
        <f>H1287-G1287</f>
        <v>9.1666666667151731E-2</v>
      </c>
      <c r="V1287">
        <f>HOUR(U1287)</f>
        <v>2</v>
      </c>
      <c r="W1287">
        <f>MINUTE(U1287)</f>
        <v>12</v>
      </c>
      <c r="X1287">
        <f>V1287*60+W1287</f>
        <v>132</v>
      </c>
      <c r="Y1287" s="7">
        <f>I1287-H1287</f>
        <v>6.9444444452528842E-3</v>
      </c>
      <c r="Z1287">
        <f>HOUR(Y1287)</f>
        <v>0</v>
      </c>
      <c r="AA1287">
        <f>MINUTE(Y1287)</f>
        <v>10</v>
      </c>
      <c r="AB1287">
        <f>Z1287*60+AA1287</f>
        <v>10</v>
      </c>
    </row>
    <row r="1288" spans="1:28" x14ac:dyDescent="0.25">
      <c r="A1288">
        <v>1286</v>
      </c>
      <c r="B1288" t="s">
        <v>33</v>
      </c>
      <c r="C1288">
        <v>1</v>
      </c>
      <c r="D1288" t="s">
        <v>30</v>
      </c>
      <c r="E1288" s="6">
        <v>46112.684027777781</v>
      </c>
      <c r="F1288" s="6">
        <v>46112.694444444445</v>
      </c>
      <c r="G1288" s="6">
        <v>46112.708333333336</v>
      </c>
      <c r="H1288" s="6">
        <v>46112.75</v>
      </c>
      <c r="I1288" s="6">
        <v>46112.753472222219</v>
      </c>
      <c r="J1288" s="6">
        <v>46112.756944444445</v>
      </c>
      <c r="K1288">
        <v>1.75</v>
      </c>
      <c r="L1288" s="6">
        <v>46112.760416666664</v>
      </c>
      <c r="M1288" s="7">
        <f>F1288-E1288</f>
        <v>1.0416666664241347E-2</v>
      </c>
      <c r="N1288">
        <f>HOUR(M1288)</f>
        <v>0</v>
      </c>
      <c r="O1288">
        <f>MINUTE(M1288)</f>
        <v>15</v>
      </c>
      <c r="P1288">
        <f>N1288*60+O1288</f>
        <v>15</v>
      </c>
      <c r="Q1288" s="7">
        <f>G1288-F1288</f>
        <v>1.3888888890505768E-2</v>
      </c>
      <c r="R1288">
        <f>HOUR(Q1288)</f>
        <v>0</v>
      </c>
      <c r="S1288">
        <f>MINUTE(Q1288)</f>
        <v>20</v>
      </c>
      <c r="T1288">
        <f>R1288*60+S1288</f>
        <v>20</v>
      </c>
      <c r="U1288" s="7">
        <f>H1288-G1288</f>
        <v>4.1666666664241347E-2</v>
      </c>
      <c r="V1288">
        <f>HOUR(U1288)</f>
        <v>1</v>
      </c>
      <c r="W1288">
        <f>MINUTE(U1288)</f>
        <v>0</v>
      </c>
      <c r="X1288">
        <f>V1288*60+W1288</f>
        <v>60</v>
      </c>
      <c r="Y1288" s="7">
        <f>I1288-H1288</f>
        <v>3.4722222189884633E-3</v>
      </c>
      <c r="Z1288">
        <f>HOUR(Y1288)</f>
        <v>0</v>
      </c>
      <c r="AA1288">
        <f>MINUTE(Y1288)</f>
        <v>5</v>
      </c>
      <c r="AB1288">
        <f>Z1288*60+AA1288</f>
        <v>5</v>
      </c>
    </row>
    <row r="1289" spans="1:28" x14ac:dyDescent="0.25">
      <c r="A1289">
        <v>1287</v>
      </c>
      <c r="B1289" t="s">
        <v>33</v>
      </c>
      <c r="C1289">
        <v>1</v>
      </c>
      <c r="D1289" t="s">
        <v>34</v>
      </c>
      <c r="E1289" s="6">
        <v>46112.625</v>
      </c>
      <c r="F1289" s="6">
        <v>46112.635416666664</v>
      </c>
      <c r="G1289" s="6">
        <v>46112.694444444445</v>
      </c>
      <c r="H1289" s="6">
        <v>46112.71875</v>
      </c>
      <c r="I1289" s="6">
        <v>46112.725694444445</v>
      </c>
      <c r="J1289" s="6">
        <v>46112.775694444441</v>
      </c>
      <c r="K1289">
        <v>3.62</v>
      </c>
      <c r="L1289" s="6">
        <v>46112.777777777781</v>
      </c>
      <c r="M1289" s="7">
        <f>F1289-E1289</f>
        <v>1.0416666664241347E-2</v>
      </c>
      <c r="N1289">
        <f>HOUR(M1289)</f>
        <v>0</v>
      </c>
      <c r="O1289">
        <f>MINUTE(M1289)</f>
        <v>15</v>
      </c>
      <c r="P1289">
        <f>N1289*60+O1289</f>
        <v>15</v>
      </c>
      <c r="Q1289" s="7">
        <f>G1289-F1289</f>
        <v>5.9027777781011537E-2</v>
      </c>
      <c r="R1289">
        <f>HOUR(Q1289)</f>
        <v>1</v>
      </c>
      <c r="S1289">
        <f>MINUTE(Q1289)</f>
        <v>25</v>
      </c>
      <c r="T1289">
        <f>R1289*60+S1289</f>
        <v>85</v>
      </c>
      <c r="U1289" s="7">
        <f>H1289-G1289</f>
        <v>2.4305555554747116E-2</v>
      </c>
      <c r="V1289">
        <f>HOUR(U1289)</f>
        <v>0</v>
      </c>
      <c r="W1289">
        <f>MINUTE(U1289)</f>
        <v>35</v>
      </c>
      <c r="X1289">
        <f>V1289*60+W1289</f>
        <v>35</v>
      </c>
      <c r="Y1289" s="7">
        <f>I1289-H1289</f>
        <v>6.9444444452528842E-3</v>
      </c>
      <c r="Z1289">
        <f>HOUR(Y1289)</f>
        <v>0</v>
      </c>
      <c r="AA1289">
        <f>MINUTE(Y1289)</f>
        <v>10</v>
      </c>
      <c r="AB1289">
        <f>Z1289*60+AA1289</f>
        <v>10</v>
      </c>
    </row>
    <row r="1290" spans="1:28" x14ac:dyDescent="0.25">
      <c r="A1290">
        <v>1288</v>
      </c>
      <c r="B1290" t="s">
        <v>29</v>
      </c>
      <c r="C1290">
        <v>1</v>
      </c>
      <c r="D1290" t="s">
        <v>32</v>
      </c>
      <c r="E1290" s="6">
        <v>46112.711805555555</v>
      </c>
      <c r="F1290" s="6">
        <v>46112.73541666667</v>
      </c>
      <c r="G1290" s="6">
        <v>46112.736111111109</v>
      </c>
      <c r="H1290" s="6">
        <v>46112.770833333336</v>
      </c>
      <c r="I1290" s="6">
        <v>46112.777777777781</v>
      </c>
      <c r="J1290" s="6">
        <v>46112.791666666664</v>
      </c>
      <c r="K1290">
        <v>1.92</v>
      </c>
      <c r="L1290" s="6">
        <v>46112.798611111109</v>
      </c>
      <c r="M1290" s="7">
        <f>F1290-E1290</f>
        <v>2.3611111115314998E-2</v>
      </c>
      <c r="N1290">
        <f>HOUR(M1290)</f>
        <v>0</v>
      </c>
      <c r="O1290">
        <f>MINUTE(M1290)</f>
        <v>34</v>
      </c>
      <c r="P1290">
        <f>N1290*60+O1290</f>
        <v>34</v>
      </c>
      <c r="Q1290" s="7">
        <f>G1290-F1290</f>
        <v>6.9444443943211809E-4</v>
      </c>
      <c r="R1290">
        <f>HOUR(Q1290)</f>
        <v>0</v>
      </c>
      <c r="S1290">
        <f>MINUTE(Q1290)</f>
        <v>1</v>
      </c>
      <c r="T1290">
        <f>R1290*60+S1290</f>
        <v>1</v>
      </c>
      <c r="U1290" s="7">
        <f>H1290-G1290</f>
        <v>3.4722222226264421E-2</v>
      </c>
      <c r="V1290">
        <f>HOUR(U1290)</f>
        <v>0</v>
      </c>
      <c r="W1290">
        <f>MINUTE(U1290)</f>
        <v>50</v>
      </c>
      <c r="X1290">
        <f>V1290*60+W1290</f>
        <v>50</v>
      </c>
      <c r="Y1290" s="7">
        <f>I1290-H1290</f>
        <v>6.9444444452528842E-3</v>
      </c>
      <c r="Z1290">
        <f>HOUR(Y1290)</f>
        <v>0</v>
      </c>
      <c r="AA1290">
        <f>MINUTE(Y1290)</f>
        <v>10</v>
      </c>
      <c r="AB1290">
        <f>Z1290*60+AA1290</f>
        <v>10</v>
      </c>
    </row>
    <row r="1291" spans="1:28" x14ac:dyDescent="0.25">
      <c r="A1291">
        <v>1289</v>
      </c>
      <c r="B1291" t="s">
        <v>33</v>
      </c>
      <c r="C1291">
        <v>1</v>
      </c>
      <c r="D1291" t="s">
        <v>30</v>
      </c>
      <c r="E1291" s="6">
        <v>46112.847222222219</v>
      </c>
      <c r="F1291" s="6">
        <v>46112.850694444445</v>
      </c>
      <c r="G1291" s="6">
        <v>46112.861111111109</v>
      </c>
      <c r="H1291" s="6">
        <v>46112.877083333333</v>
      </c>
      <c r="I1291" s="6">
        <v>46112.878472222219</v>
      </c>
      <c r="J1291" s="6">
        <v>46112.881944444445</v>
      </c>
      <c r="K1291">
        <v>0.83</v>
      </c>
      <c r="L1291" s="6">
        <v>46112.888888888891</v>
      </c>
      <c r="M1291" s="7">
        <f>F1291-E1291</f>
        <v>3.4722222262644209E-3</v>
      </c>
      <c r="N1291">
        <f>HOUR(M1291)</f>
        <v>0</v>
      </c>
      <c r="O1291">
        <f>MINUTE(M1291)</f>
        <v>5</v>
      </c>
      <c r="P1291">
        <f>N1291*60+O1291</f>
        <v>5</v>
      </c>
      <c r="Q1291" s="7">
        <f>G1291-F1291</f>
        <v>1.0416666664241347E-2</v>
      </c>
      <c r="R1291">
        <f>HOUR(Q1291)</f>
        <v>0</v>
      </c>
      <c r="S1291">
        <f>MINUTE(Q1291)</f>
        <v>15</v>
      </c>
      <c r="T1291">
        <f>R1291*60+S1291</f>
        <v>15</v>
      </c>
      <c r="U1291" s="7">
        <f>H1291-G1291</f>
        <v>1.5972222223354038E-2</v>
      </c>
      <c r="V1291">
        <f>HOUR(U1291)</f>
        <v>0</v>
      </c>
      <c r="W1291">
        <f>MINUTE(U1291)</f>
        <v>23</v>
      </c>
      <c r="X1291">
        <f>V1291*60+W1291</f>
        <v>23</v>
      </c>
      <c r="Y1291" s="7">
        <f>I1291-H1291</f>
        <v>1.3888888861401938E-3</v>
      </c>
      <c r="Z1291">
        <f>HOUR(Y1291)</f>
        <v>0</v>
      </c>
      <c r="AA1291">
        <f>MINUTE(Y1291)</f>
        <v>2</v>
      </c>
      <c r="AB1291">
        <f>Z1291*60+AA1291</f>
        <v>2</v>
      </c>
    </row>
    <row r="1292" spans="1:28" x14ac:dyDescent="0.25">
      <c r="A1292">
        <v>1290</v>
      </c>
      <c r="B1292" t="s">
        <v>29</v>
      </c>
      <c r="C1292">
        <v>1</v>
      </c>
      <c r="D1292" t="s">
        <v>30</v>
      </c>
      <c r="E1292" s="6">
        <v>46112.930555555555</v>
      </c>
      <c r="F1292" s="6">
        <v>46112.9375</v>
      </c>
      <c r="G1292" s="6">
        <v>46112.951388888891</v>
      </c>
      <c r="H1292" s="6">
        <v>46112.95208333333</v>
      </c>
      <c r="I1292" s="6">
        <v>46112.955555555556</v>
      </c>
      <c r="J1292" s="6">
        <v>46112.958333333336</v>
      </c>
      <c r="K1292">
        <v>0.67</v>
      </c>
      <c r="L1292" s="6">
        <v>46112.961805555555</v>
      </c>
      <c r="M1292" s="7">
        <f>F1292-E1292</f>
        <v>6.9444444452528842E-3</v>
      </c>
      <c r="N1292">
        <f>HOUR(M1292)</f>
        <v>0</v>
      </c>
      <c r="O1292">
        <f>MINUTE(M1292)</f>
        <v>10</v>
      </c>
      <c r="P1292">
        <f>N1292*60+O1292</f>
        <v>10</v>
      </c>
      <c r="Q1292" s="7">
        <f>G1292-F1292</f>
        <v>1.3888888890505768E-2</v>
      </c>
      <c r="R1292">
        <f>HOUR(Q1292)</f>
        <v>0</v>
      </c>
      <c r="S1292">
        <f>MINUTE(Q1292)</f>
        <v>20</v>
      </c>
      <c r="T1292">
        <f>R1292*60+S1292</f>
        <v>20</v>
      </c>
      <c r="U1292" s="7">
        <f>H1292-G1292</f>
        <v>6.9444443943211809E-4</v>
      </c>
      <c r="V1292">
        <f>HOUR(U1292)</f>
        <v>0</v>
      </c>
      <c r="W1292">
        <f>MINUTE(U1292)</f>
        <v>1</v>
      </c>
      <c r="X1292">
        <f>V1292*60+W1292</f>
        <v>1</v>
      </c>
      <c r="Y1292" s="7">
        <f>I1292-H1292</f>
        <v>3.4722222262644209E-3</v>
      </c>
      <c r="Z1292">
        <f>HOUR(Y1292)</f>
        <v>0</v>
      </c>
      <c r="AA1292">
        <f>MINUTE(Y1292)</f>
        <v>5</v>
      </c>
      <c r="AB1292">
        <f>Z1292*60+AA1292</f>
        <v>5</v>
      </c>
    </row>
    <row r="1293" spans="1:28" x14ac:dyDescent="0.25">
      <c r="A1293">
        <v>1291</v>
      </c>
      <c r="B1293" t="s">
        <v>31</v>
      </c>
      <c r="C1293">
        <v>1</v>
      </c>
      <c r="D1293" t="s">
        <v>30</v>
      </c>
      <c r="E1293" s="6">
        <v>46112.951388888891</v>
      </c>
      <c r="F1293" s="6">
        <v>46112.958333333336</v>
      </c>
      <c r="G1293" s="6">
        <v>46112.96875</v>
      </c>
      <c r="H1293" s="6">
        <v>46113.041666666664</v>
      </c>
      <c r="I1293" s="6">
        <v>46113.048611111109</v>
      </c>
      <c r="J1293" s="6">
        <v>46113.05</v>
      </c>
      <c r="K1293">
        <v>2.37</v>
      </c>
      <c r="L1293" s="6">
        <v>46113.056944444441</v>
      </c>
      <c r="M1293" s="7">
        <f>F1293-E1293</f>
        <v>6.9444444452528842E-3</v>
      </c>
      <c r="N1293">
        <f>HOUR(M1293)</f>
        <v>0</v>
      </c>
      <c r="O1293">
        <f>MINUTE(M1293)</f>
        <v>10</v>
      </c>
      <c r="P1293">
        <f>N1293*60+O1293</f>
        <v>10</v>
      </c>
      <c r="Q1293" s="7">
        <f>G1293-F1293</f>
        <v>1.0416666664241347E-2</v>
      </c>
      <c r="R1293">
        <f>HOUR(Q1293)</f>
        <v>0</v>
      </c>
      <c r="S1293">
        <f>MINUTE(Q1293)</f>
        <v>15</v>
      </c>
      <c r="T1293">
        <f>R1293*60+S1293</f>
        <v>15</v>
      </c>
      <c r="U1293" s="7">
        <f>H1293-G1293</f>
        <v>7.2916666664241347E-2</v>
      </c>
      <c r="V1293">
        <f>HOUR(U1293)</f>
        <v>1</v>
      </c>
      <c r="W1293">
        <f>MINUTE(U1293)</f>
        <v>45</v>
      </c>
      <c r="X1293">
        <f>V1293*60+W1293</f>
        <v>105</v>
      </c>
      <c r="Y1293" s="7">
        <f>I1293-H1293</f>
        <v>6.9444444452528842E-3</v>
      </c>
      <c r="Z1293">
        <f>HOUR(Y1293)</f>
        <v>0</v>
      </c>
      <c r="AA1293">
        <f>MINUTE(Y1293)</f>
        <v>10</v>
      </c>
      <c r="AB1293">
        <f>Z1293*60+AA1293</f>
        <v>10</v>
      </c>
    </row>
    <row r="1294" spans="1:28" x14ac:dyDescent="0.25">
      <c r="A1294">
        <v>1292</v>
      </c>
      <c r="B1294" t="s">
        <v>29</v>
      </c>
      <c r="C1294">
        <v>1</v>
      </c>
      <c r="D1294" t="s">
        <v>30</v>
      </c>
      <c r="E1294" s="6">
        <v>46112.988194444442</v>
      </c>
      <c r="F1294" s="6">
        <v>46112.993055555555</v>
      </c>
      <c r="G1294" s="6">
        <v>46113</v>
      </c>
      <c r="H1294" s="6">
        <v>46113.041666666664</v>
      </c>
      <c r="I1294" s="6">
        <v>46113.048611111109</v>
      </c>
      <c r="J1294" s="6">
        <v>46113.05</v>
      </c>
      <c r="K1294">
        <v>1.48</v>
      </c>
      <c r="L1294" s="6">
        <v>46113.056944444441</v>
      </c>
      <c r="M1294" s="7">
        <f>F1294-E1294</f>
        <v>4.8611111124046147E-3</v>
      </c>
      <c r="N1294">
        <f>HOUR(M1294)</f>
        <v>0</v>
      </c>
      <c r="O1294">
        <f>MINUTE(M1294)</f>
        <v>7</v>
      </c>
      <c r="P1294">
        <f>N1294*60+O1294</f>
        <v>7</v>
      </c>
      <c r="Q1294" s="7">
        <f>G1294-F1294</f>
        <v>6.9444444452528842E-3</v>
      </c>
      <c r="R1294">
        <f>HOUR(Q1294)</f>
        <v>0</v>
      </c>
      <c r="S1294">
        <f>MINUTE(Q1294)</f>
        <v>10</v>
      </c>
      <c r="T1294">
        <f>R1294*60+S1294</f>
        <v>10</v>
      </c>
      <c r="U1294" s="7">
        <f>H1294-G1294</f>
        <v>4.1666666664241347E-2</v>
      </c>
      <c r="V1294">
        <f>HOUR(U1294)</f>
        <v>1</v>
      </c>
      <c r="W1294">
        <f>MINUTE(U1294)</f>
        <v>0</v>
      </c>
      <c r="X1294">
        <f>V1294*60+W1294</f>
        <v>60</v>
      </c>
      <c r="Y1294" s="7">
        <f>I1294-H1294</f>
        <v>6.9444444452528842E-3</v>
      </c>
      <c r="Z1294">
        <f>HOUR(Y1294)</f>
        <v>0</v>
      </c>
      <c r="AA1294">
        <f>MINUTE(Y1294)</f>
        <v>10</v>
      </c>
      <c r="AB1294">
        <f>Z1294*60+AA1294</f>
        <v>10</v>
      </c>
    </row>
  </sheetData>
  <autoFilter ref="A2:AB1294" xr:uid="{F63C2BC0-C491-4DA6-8ACA-35C412D150C6}">
    <sortState xmlns:xlrd2="http://schemas.microsoft.com/office/spreadsheetml/2017/richdata2" ref="A3:AB1294">
      <sortCondition ref="A2:A12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74F4-93DE-404B-B2F7-2B1D95CE6B15}">
  <sheetPr filterMode="1"/>
  <dimension ref="A2:H1294"/>
  <sheetViews>
    <sheetView tabSelected="1" zoomScaleNormal="100" workbookViewId="0">
      <selection activeCell="H4" sqref="H4:H1294"/>
    </sheetView>
  </sheetViews>
  <sheetFormatPr defaultRowHeight="15" x14ac:dyDescent="0.25"/>
  <cols>
    <col min="1" max="1" width="7.140625" bestFit="1" customWidth="1"/>
    <col min="2" max="2" width="9" bestFit="1" customWidth="1"/>
    <col min="3" max="3" width="9.28515625" customWidth="1"/>
    <col min="4" max="4" width="17.7109375" bestFit="1" customWidth="1"/>
    <col min="5" max="5" width="17.140625" style="6" bestFit="1" customWidth="1"/>
    <col min="6" max="6" width="17.140625" style="6" customWidth="1"/>
    <col min="7" max="7" width="8.28515625" style="6" customWidth="1"/>
    <col min="8" max="8" width="10.7109375" style="6" customWidth="1"/>
  </cols>
  <sheetData>
    <row r="2" spans="1:8" x14ac:dyDescent="0.25">
      <c r="A2" t="s">
        <v>14</v>
      </c>
      <c r="B2" t="s">
        <v>18</v>
      </c>
      <c r="C2" t="s">
        <v>19</v>
      </c>
      <c r="D2" t="s">
        <v>20</v>
      </c>
      <c r="E2" s="6" t="s">
        <v>21</v>
      </c>
      <c r="F2" s="6" t="s">
        <v>74</v>
      </c>
      <c r="G2" s="6" t="s">
        <v>39</v>
      </c>
      <c r="H2" s="6" t="s">
        <v>38</v>
      </c>
    </row>
    <row r="3" spans="1:8" hidden="1" x14ac:dyDescent="0.25">
      <c r="A3">
        <v>11</v>
      </c>
      <c r="B3" t="s">
        <v>31</v>
      </c>
      <c r="C3">
        <v>1</v>
      </c>
      <c r="D3" t="s">
        <v>30</v>
      </c>
      <c r="E3" s="6">
        <v>46023</v>
      </c>
    </row>
    <row r="4" spans="1:8" x14ac:dyDescent="0.25">
      <c r="A4">
        <v>12</v>
      </c>
      <c r="B4" t="s">
        <v>33</v>
      </c>
      <c r="C4">
        <v>1</v>
      </c>
      <c r="D4" t="s">
        <v>30</v>
      </c>
      <c r="E4" s="6">
        <v>46023.121527777781</v>
      </c>
      <c r="F4" s="18">
        <f>E4-E3</f>
        <v>0.12152777778101154</v>
      </c>
      <c r="G4" s="19">
        <f>F4*24</f>
        <v>2.9166666667442769</v>
      </c>
      <c r="H4" s="20">
        <f>G4*60</f>
        <v>175.00000000465661</v>
      </c>
    </row>
    <row r="5" spans="1:8" x14ac:dyDescent="0.25">
      <c r="A5">
        <v>8</v>
      </c>
      <c r="B5" t="s">
        <v>33</v>
      </c>
      <c r="C5">
        <v>1</v>
      </c>
      <c r="D5" t="s">
        <v>34</v>
      </c>
      <c r="E5" s="6">
        <v>46023.291666666664</v>
      </c>
      <c r="F5" s="18">
        <f t="shared" ref="F5:F68" si="0">E5-E4</f>
        <v>0.17013888888322981</v>
      </c>
      <c r="G5" s="19">
        <f t="shared" ref="G5:G68" si="1">F5*24</f>
        <v>4.0833333331975155</v>
      </c>
      <c r="H5" s="20">
        <f t="shared" ref="H5:H68" si="2">G5*60</f>
        <v>244.99999999185093</v>
      </c>
    </row>
    <row r="6" spans="1:8" x14ac:dyDescent="0.25">
      <c r="A6">
        <v>9</v>
      </c>
      <c r="B6" t="s">
        <v>33</v>
      </c>
      <c r="C6">
        <v>1</v>
      </c>
      <c r="D6" t="s">
        <v>30</v>
      </c>
      <c r="E6" s="6">
        <v>46023.352083333331</v>
      </c>
      <c r="F6" s="18">
        <f t="shared" si="0"/>
        <v>6.0416666667151731E-2</v>
      </c>
      <c r="G6" s="19">
        <f t="shared" si="1"/>
        <v>1.4500000000116415</v>
      </c>
      <c r="H6" s="20">
        <f t="shared" si="2"/>
        <v>87.000000000698492</v>
      </c>
    </row>
    <row r="7" spans="1:8" x14ac:dyDescent="0.25">
      <c r="A7">
        <v>10</v>
      </c>
      <c r="B7" t="s">
        <v>33</v>
      </c>
      <c r="C7">
        <v>1</v>
      </c>
      <c r="D7" t="s">
        <v>34</v>
      </c>
      <c r="E7" s="6">
        <v>46023.361111111109</v>
      </c>
      <c r="F7" s="18">
        <f t="shared" si="0"/>
        <v>9.0277777781011537E-3</v>
      </c>
      <c r="G7" s="19">
        <f t="shared" si="1"/>
        <v>0.21666666667442769</v>
      </c>
      <c r="H7" s="20">
        <f t="shared" si="2"/>
        <v>13.000000000465661</v>
      </c>
    </row>
    <row r="8" spans="1:8" x14ac:dyDescent="0.25">
      <c r="A8">
        <v>14</v>
      </c>
      <c r="B8" t="s">
        <v>33</v>
      </c>
      <c r="C8">
        <v>1</v>
      </c>
      <c r="D8" t="s">
        <v>36</v>
      </c>
      <c r="E8" s="6">
        <v>46023.416666666664</v>
      </c>
      <c r="F8" s="18">
        <f t="shared" si="0"/>
        <v>5.5555555554747116E-2</v>
      </c>
      <c r="G8" s="19">
        <f t="shared" si="1"/>
        <v>1.3333333333139308</v>
      </c>
      <c r="H8" s="20">
        <f t="shared" si="2"/>
        <v>79.999999998835847</v>
      </c>
    </row>
    <row r="9" spans="1:8" x14ac:dyDescent="0.25">
      <c r="A9">
        <v>15</v>
      </c>
      <c r="B9" t="s">
        <v>31</v>
      </c>
      <c r="C9">
        <v>1</v>
      </c>
      <c r="D9" t="s">
        <v>32</v>
      </c>
      <c r="E9" s="6">
        <v>46023.440972222219</v>
      </c>
      <c r="F9" s="18">
        <f t="shared" si="0"/>
        <v>2.4305555554747116E-2</v>
      </c>
      <c r="G9" s="19">
        <f t="shared" si="1"/>
        <v>0.58333333331393078</v>
      </c>
      <c r="H9" s="20">
        <f t="shared" si="2"/>
        <v>34.999999998835847</v>
      </c>
    </row>
    <row r="10" spans="1:8" x14ac:dyDescent="0.25">
      <c r="A10">
        <v>16</v>
      </c>
      <c r="B10" t="s">
        <v>33</v>
      </c>
      <c r="C10">
        <v>1</v>
      </c>
      <c r="D10" t="s">
        <v>30</v>
      </c>
      <c r="E10" s="6">
        <v>46023.454861111109</v>
      </c>
      <c r="F10" s="18">
        <f t="shared" si="0"/>
        <v>1.3888888890505768E-2</v>
      </c>
      <c r="G10" s="19">
        <f t="shared" si="1"/>
        <v>0.33333333337213844</v>
      </c>
      <c r="H10" s="20">
        <f t="shared" si="2"/>
        <v>20.000000002328306</v>
      </c>
    </row>
    <row r="11" spans="1:8" x14ac:dyDescent="0.25">
      <c r="A11">
        <v>17</v>
      </c>
      <c r="B11" t="s">
        <v>29</v>
      </c>
      <c r="C11">
        <v>1</v>
      </c>
      <c r="D11" t="s">
        <v>34</v>
      </c>
      <c r="E11" s="6">
        <v>46023.590277777781</v>
      </c>
      <c r="F11" s="18">
        <f t="shared" si="0"/>
        <v>0.13541666667151731</v>
      </c>
      <c r="G11" s="19">
        <f t="shared" si="1"/>
        <v>3.2500000001164153</v>
      </c>
      <c r="H11" s="20">
        <f t="shared" si="2"/>
        <v>195.00000000698492</v>
      </c>
    </row>
    <row r="12" spans="1:8" x14ac:dyDescent="0.25">
      <c r="A12">
        <v>7</v>
      </c>
      <c r="B12" t="s">
        <v>33</v>
      </c>
      <c r="C12">
        <v>1</v>
      </c>
      <c r="D12" t="s">
        <v>35</v>
      </c>
      <c r="E12" s="6">
        <v>46023.635416666664</v>
      </c>
      <c r="F12" s="18">
        <f t="shared" si="0"/>
        <v>4.5138888883229811E-2</v>
      </c>
      <c r="G12" s="19">
        <f t="shared" si="1"/>
        <v>1.0833333331975155</v>
      </c>
      <c r="H12" s="20">
        <f t="shared" si="2"/>
        <v>64.999999991850927</v>
      </c>
    </row>
    <row r="13" spans="1:8" x14ac:dyDescent="0.25">
      <c r="A13">
        <v>22</v>
      </c>
      <c r="B13" t="s">
        <v>33</v>
      </c>
      <c r="C13">
        <v>1</v>
      </c>
      <c r="D13" t="s">
        <v>32</v>
      </c>
      <c r="E13" s="6">
        <v>46023.6875</v>
      </c>
      <c r="F13" s="18">
        <f t="shared" si="0"/>
        <v>5.2083333335758653E-2</v>
      </c>
      <c r="G13" s="19">
        <f t="shared" si="1"/>
        <v>1.2500000000582077</v>
      </c>
      <c r="H13" s="20">
        <f t="shared" si="2"/>
        <v>75.00000000349246</v>
      </c>
    </row>
    <row r="14" spans="1:8" hidden="1" x14ac:dyDescent="0.25">
      <c r="A14">
        <v>25</v>
      </c>
      <c r="B14" t="s">
        <v>33</v>
      </c>
      <c r="C14">
        <v>1</v>
      </c>
      <c r="D14" t="s">
        <v>34</v>
      </c>
      <c r="E14" s="6">
        <v>46024.024305555555</v>
      </c>
      <c r="F14" s="18">
        <f t="shared" si="0"/>
        <v>0.33680555555474712</v>
      </c>
      <c r="G14" s="19">
        <f t="shared" si="1"/>
        <v>8.0833333333139308</v>
      </c>
      <c r="H14" s="20">
        <f t="shared" si="2"/>
        <v>484.99999999883585</v>
      </c>
    </row>
    <row r="15" spans="1:8" hidden="1" x14ac:dyDescent="0.25">
      <c r="A15">
        <v>1</v>
      </c>
      <c r="B15" t="s">
        <v>29</v>
      </c>
      <c r="C15">
        <v>1</v>
      </c>
      <c r="D15" t="s">
        <v>30</v>
      </c>
      <c r="E15" s="6">
        <v>46024.256944444445</v>
      </c>
      <c r="F15" s="18">
        <f t="shared" si="0"/>
        <v>0.23263888889050577</v>
      </c>
      <c r="G15" s="19">
        <f t="shared" si="1"/>
        <v>5.5833333333721384</v>
      </c>
      <c r="H15" s="20">
        <f t="shared" si="2"/>
        <v>335.00000000232831</v>
      </c>
    </row>
    <row r="16" spans="1:8" x14ac:dyDescent="0.25">
      <c r="A16">
        <v>23</v>
      </c>
      <c r="B16" t="s">
        <v>31</v>
      </c>
      <c r="C16">
        <v>1</v>
      </c>
      <c r="D16" t="s">
        <v>30</v>
      </c>
      <c r="E16" s="6">
        <v>46024.291666666664</v>
      </c>
      <c r="F16" s="18">
        <f t="shared" si="0"/>
        <v>3.4722222218988463E-2</v>
      </c>
      <c r="G16" s="19">
        <f t="shared" si="1"/>
        <v>0.83333333325572312</v>
      </c>
      <c r="H16" s="20">
        <f t="shared" si="2"/>
        <v>49.999999995343387</v>
      </c>
    </row>
    <row r="17" spans="1:8" x14ac:dyDescent="0.25">
      <c r="A17">
        <v>20</v>
      </c>
      <c r="B17" t="s">
        <v>31</v>
      </c>
      <c r="C17">
        <v>1</v>
      </c>
      <c r="D17" t="s">
        <v>34</v>
      </c>
      <c r="E17" s="6">
        <v>46024.295138888891</v>
      </c>
      <c r="F17" s="18">
        <f t="shared" si="0"/>
        <v>3.4722222262644209E-3</v>
      </c>
      <c r="G17" s="19">
        <f t="shared" si="1"/>
        <v>8.3333333430346102E-2</v>
      </c>
      <c r="H17" s="20">
        <f t="shared" si="2"/>
        <v>5.0000000058207661</v>
      </c>
    </row>
    <row r="18" spans="1:8" x14ac:dyDescent="0.25">
      <c r="A18">
        <v>24</v>
      </c>
      <c r="B18" t="s">
        <v>31</v>
      </c>
      <c r="C18">
        <v>1</v>
      </c>
      <c r="D18" t="s">
        <v>34</v>
      </c>
      <c r="E18" s="6">
        <v>46024.322916666664</v>
      </c>
      <c r="F18" s="18">
        <f t="shared" si="0"/>
        <v>2.7777777773735579E-2</v>
      </c>
      <c r="G18" s="19">
        <f t="shared" si="1"/>
        <v>0.6666666665696539</v>
      </c>
      <c r="H18" s="20">
        <f t="shared" si="2"/>
        <v>39.999999994179234</v>
      </c>
    </row>
    <row r="19" spans="1:8" x14ac:dyDescent="0.25">
      <c r="A19">
        <v>21</v>
      </c>
      <c r="B19" t="s">
        <v>33</v>
      </c>
      <c r="C19">
        <v>1</v>
      </c>
      <c r="D19" t="s">
        <v>35</v>
      </c>
      <c r="E19" s="6">
        <v>46024.336805555555</v>
      </c>
      <c r="F19" s="18">
        <f t="shared" si="0"/>
        <v>1.3888888890505768E-2</v>
      </c>
      <c r="G19" s="19">
        <f t="shared" si="1"/>
        <v>0.33333333337213844</v>
      </c>
      <c r="H19" s="20">
        <f t="shared" si="2"/>
        <v>20.000000002328306</v>
      </c>
    </row>
    <row r="20" spans="1:8" x14ac:dyDescent="0.25">
      <c r="A20">
        <v>26</v>
      </c>
      <c r="B20" t="s">
        <v>29</v>
      </c>
      <c r="C20">
        <v>1</v>
      </c>
      <c r="D20" t="s">
        <v>34</v>
      </c>
      <c r="E20" s="6">
        <v>46024.416666666664</v>
      </c>
      <c r="F20" s="18">
        <f t="shared" si="0"/>
        <v>7.9861111109494232E-2</v>
      </c>
      <c r="G20" s="19">
        <f t="shared" si="1"/>
        <v>1.9166666666278616</v>
      </c>
      <c r="H20" s="20">
        <f t="shared" si="2"/>
        <v>114.99999999767169</v>
      </c>
    </row>
    <row r="21" spans="1:8" x14ac:dyDescent="0.25">
      <c r="A21">
        <v>18</v>
      </c>
      <c r="B21" t="s">
        <v>29</v>
      </c>
      <c r="C21">
        <v>1</v>
      </c>
      <c r="D21" t="s">
        <v>34</v>
      </c>
      <c r="E21" s="6">
        <v>46024.465277777781</v>
      </c>
      <c r="F21" s="18">
        <f t="shared" si="0"/>
        <v>4.8611111116770189E-2</v>
      </c>
      <c r="G21" s="19">
        <f t="shared" si="1"/>
        <v>1.1666666668024845</v>
      </c>
      <c r="H21" s="20">
        <f t="shared" si="2"/>
        <v>70.000000008149073</v>
      </c>
    </row>
    <row r="22" spans="1:8" x14ac:dyDescent="0.25">
      <c r="A22">
        <v>13</v>
      </c>
      <c r="B22" t="s">
        <v>29</v>
      </c>
      <c r="C22">
        <v>1</v>
      </c>
      <c r="D22" t="s">
        <v>30</v>
      </c>
      <c r="E22" s="6">
        <v>46024.5</v>
      </c>
      <c r="F22" s="18">
        <f t="shared" si="0"/>
        <v>3.4722222218988463E-2</v>
      </c>
      <c r="G22" s="19">
        <f t="shared" si="1"/>
        <v>0.83333333325572312</v>
      </c>
      <c r="H22" s="20">
        <f t="shared" si="2"/>
        <v>49.999999995343387</v>
      </c>
    </row>
    <row r="23" spans="1:8" x14ac:dyDescent="0.25">
      <c r="A23">
        <v>27</v>
      </c>
      <c r="B23" t="s">
        <v>31</v>
      </c>
      <c r="C23">
        <v>1</v>
      </c>
      <c r="D23" t="s">
        <v>35</v>
      </c>
      <c r="E23" s="6">
        <v>46024.5625</v>
      </c>
      <c r="F23" s="18">
        <f t="shared" si="0"/>
        <v>6.25E-2</v>
      </c>
      <c r="G23" s="19">
        <f t="shared" si="1"/>
        <v>1.5</v>
      </c>
      <c r="H23" s="20">
        <f t="shared" si="2"/>
        <v>90</v>
      </c>
    </row>
    <row r="24" spans="1:8" x14ac:dyDescent="0.25">
      <c r="A24">
        <v>19</v>
      </c>
      <c r="B24" t="s">
        <v>33</v>
      </c>
      <c r="C24">
        <v>1</v>
      </c>
      <c r="D24" t="s">
        <v>36</v>
      </c>
      <c r="E24" s="6">
        <v>46024.586805555555</v>
      </c>
      <c r="F24" s="18">
        <f t="shared" si="0"/>
        <v>2.4305555554747116E-2</v>
      </c>
      <c r="G24" s="19">
        <f t="shared" si="1"/>
        <v>0.58333333331393078</v>
      </c>
      <c r="H24" s="20">
        <f t="shared" si="2"/>
        <v>34.999999998835847</v>
      </c>
    </row>
    <row r="25" spans="1:8" x14ac:dyDescent="0.25">
      <c r="A25">
        <v>4</v>
      </c>
      <c r="B25" t="s">
        <v>33</v>
      </c>
      <c r="C25">
        <v>1</v>
      </c>
      <c r="D25" t="s">
        <v>34</v>
      </c>
      <c r="E25" s="6">
        <v>46024.607638888891</v>
      </c>
      <c r="F25" s="18">
        <f t="shared" si="0"/>
        <v>2.0833333335758653E-2</v>
      </c>
      <c r="G25" s="19">
        <f t="shared" si="1"/>
        <v>0.50000000005820766</v>
      </c>
      <c r="H25" s="20">
        <f t="shared" si="2"/>
        <v>30.00000000349246</v>
      </c>
    </row>
    <row r="26" spans="1:8" x14ac:dyDescent="0.25">
      <c r="A26">
        <v>28</v>
      </c>
      <c r="B26" t="s">
        <v>33</v>
      </c>
      <c r="C26">
        <v>1</v>
      </c>
      <c r="D26" t="s">
        <v>30</v>
      </c>
      <c r="E26" s="6">
        <v>46024.65625</v>
      </c>
      <c r="F26" s="18">
        <f t="shared" si="0"/>
        <v>4.8611111109494232E-2</v>
      </c>
      <c r="G26" s="19">
        <f t="shared" si="1"/>
        <v>1.1666666666278616</v>
      </c>
      <c r="H26" s="20">
        <f t="shared" si="2"/>
        <v>69.999999997671694</v>
      </c>
    </row>
    <row r="27" spans="1:8" x14ac:dyDescent="0.25">
      <c r="A27">
        <v>32</v>
      </c>
      <c r="B27" t="s">
        <v>33</v>
      </c>
      <c r="C27">
        <v>1</v>
      </c>
      <c r="D27" t="s">
        <v>30</v>
      </c>
      <c r="E27" s="6">
        <v>46024.745138888888</v>
      </c>
      <c r="F27" s="18">
        <f t="shared" si="0"/>
        <v>8.8888888887595385E-2</v>
      </c>
      <c r="G27" s="19">
        <f t="shared" si="1"/>
        <v>2.1333333333022892</v>
      </c>
      <c r="H27" s="20">
        <f t="shared" si="2"/>
        <v>127.99999999813735</v>
      </c>
    </row>
    <row r="28" spans="1:8" x14ac:dyDescent="0.25">
      <c r="A28">
        <v>33</v>
      </c>
      <c r="B28" t="s">
        <v>33</v>
      </c>
      <c r="C28">
        <v>1</v>
      </c>
      <c r="D28" t="s">
        <v>30</v>
      </c>
      <c r="E28" s="6">
        <v>46024.826388888891</v>
      </c>
      <c r="F28" s="18">
        <f t="shared" si="0"/>
        <v>8.1250000002910383E-2</v>
      </c>
      <c r="G28" s="19">
        <f t="shared" si="1"/>
        <v>1.9500000000698492</v>
      </c>
      <c r="H28" s="20">
        <f t="shared" si="2"/>
        <v>117.00000000419095</v>
      </c>
    </row>
    <row r="29" spans="1:8" x14ac:dyDescent="0.25">
      <c r="A29">
        <v>34</v>
      </c>
      <c r="B29" t="s">
        <v>33</v>
      </c>
      <c r="C29">
        <v>1</v>
      </c>
      <c r="D29" t="s">
        <v>30</v>
      </c>
      <c r="E29" s="6">
        <v>46024.864583333336</v>
      </c>
      <c r="F29" s="18">
        <f t="shared" si="0"/>
        <v>3.8194444445252884E-2</v>
      </c>
      <c r="G29" s="19">
        <f t="shared" si="1"/>
        <v>0.91666666668606922</v>
      </c>
      <c r="H29" s="20">
        <f t="shared" si="2"/>
        <v>55.000000001164153</v>
      </c>
    </row>
    <row r="30" spans="1:8" x14ac:dyDescent="0.25">
      <c r="A30">
        <v>35</v>
      </c>
      <c r="B30" t="s">
        <v>33</v>
      </c>
      <c r="C30">
        <v>1</v>
      </c>
      <c r="D30" t="s">
        <v>30</v>
      </c>
      <c r="E30" s="6">
        <v>46025.013888888891</v>
      </c>
      <c r="F30" s="18">
        <f t="shared" si="0"/>
        <v>0.14930555555474712</v>
      </c>
      <c r="G30" s="19">
        <f t="shared" si="1"/>
        <v>3.5833333333139308</v>
      </c>
      <c r="H30" s="20">
        <f t="shared" si="2"/>
        <v>214.99999999883585</v>
      </c>
    </row>
    <row r="31" spans="1:8" hidden="1" x14ac:dyDescent="0.25">
      <c r="A31">
        <v>36</v>
      </c>
      <c r="B31" t="s">
        <v>31</v>
      </c>
      <c r="C31">
        <v>1</v>
      </c>
      <c r="D31" t="s">
        <v>30</v>
      </c>
      <c r="E31" s="6">
        <v>46025.368055555555</v>
      </c>
      <c r="F31" s="18">
        <f t="shared" si="0"/>
        <v>0.35416666666424135</v>
      </c>
      <c r="G31" s="19">
        <f t="shared" si="1"/>
        <v>8.4999999999417923</v>
      </c>
      <c r="H31" s="20">
        <f t="shared" si="2"/>
        <v>509.99999999650754</v>
      </c>
    </row>
    <row r="32" spans="1:8" x14ac:dyDescent="0.25">
      <c r="A32">
        <v>37</v>
      </c>
      <c r="B32" t="s">
        <v>33</v>
      </c>
      <c r="C32">
        <v>1</v>
      </c>
      <c r="D32" t="s">
        <v>35</v>
      </c>
      <c r="E32" s="6">
        <v>46025.368750000001</v>
      </c>
      <c r="F32" s="18">
        <f t="shared" si="0"/>
        <v>6.944444467080757E-4</v>
      </c>
      <c r="G32" s="19">
        <f t="shared" si="1"/>
        <v>1.6666666720993817E-2</v>
      </c>
      <c r="H32" s="20">
        <f t="shared" si="2"/>
        <v>1.000000003259629</v>
      </c>
    </row>
    <row r="33" spans="1:8" x14ac:dyDescent="0.25">
      <c r="A33">
        <v>39</v>
      </c>
      <c r="B33" t="s">
        <v>29</v>
      </c>
      <c r="C33">
        <v>1</v>
      </c>
      <c r="D33" t="s">
        <v>34</v>
      </c>
      <c r="E33" s="6">
        <v>46025.515972222223</v>
      </c>
      <c r="F33" s="18">
        <f t="shared" si="0"/>
        <v>0.14722222222189885</v>
      </c>
      <c r="G33" s="19">
        <f t="shared" si="1"/>
        <v>3.5333333333255723</v>
      </c>
      <c r="H33" s="20">
        <f t="shared" si="2"/>
        <v>211.99999999953434</v>
      </c>
    </row>
    <row r="34" spans="1:8" x14ac:dyDescent="0.25">
      <c r="A34">
        <v>41</v>
      </c>
      <c r="B34" t="s">
        <v>29</v>
      </c>
      <c r="C34">
        <v>1</v>
      </c>
      <c r="D34" t="s">
        <v>34</v>
      </c>
      <c r="E34" s="6">
        <v>46025.652777777781</v>
      </c>
      <c r="F34" s="18">
        <f t="shared" si="0"/>
        <v>0.1368055555576575</v>
      </c>
      <c r="G34" s="19">
        <f t="shared" si="1"/>
        <v>3.28333333338378</v>
      </c>
      <c r="H34" s="20">
        <f t="shared" si="2"/>
        <v>197.0000000030268</v>
      </c>
    </row>
    <row r="35" spans="1:8" x14ac:dyDescent="0.25">
      <c r="A35">
        <v>40</v>
      </c>
      <c r="B35" t="s">
        <v>29</v>
      </c>
      <c r="C35">
        <v>1</v>
      </c>
      <c r="D35" t="s">
        <v>30</v>
      </c>
      <c r="E35" s="6">
        <v>46025.680555555555</v>
      </c>
      <c r="F35" s="18">
        <f t="shared" si="0"/>
        <v>2.7777777773735579E-2</v>
      </c>
      <c r="G35" s="19">
        <f t="shared" si="1"/>
        <v>0.6666666665696539</v>
      </c>
      <c r="H35" s="20">
        <f t="shared" si="2"/>
        <v>39.999999994179234</v>
      </c>
    </row>
    <row r="36" spans="1:8" x14ac:dyDescent="0.25">
      <c r="A36">
        <v>42</v>
      </c>
      <c r="B36" t="s">
        <v>29</v>
      </c>
      <c r="C36">
        <v>1</v>
      </c>
      <c r="D36" t="s">
        <v>36</v>
      </c>
      <c r="E36" s="6">
        <v>46025.711805555555</v>
      </c>
      <c r="F36" s="18">
        <f t="shared" si="0"/>
        <v>3.125E-2</v>
      </c>
      <c r="G36" s="19">
        <f t="shared" si="1"/>
        <v>0.75</v>
      </c>
      <c r="H36" s="20">
        <f t="shared" si="2"/>
        <v>45</v>
      </c>
    </row>
    <row r="37" spans="1:8" x14ac:dyDescent="0.25">
      <c r="A37">
        <v>30</v>
      </c>
      <c r="B37" t="s">
        <v>33</v>
      </c>
      <c r="C37">
        <v>1</v>
      </c>
      <c r="D37" t="s">
        <v>34</v>
      </c>
      <c r="E37" s="6">
        <v>46025.760416666664</v>
      </c>
      <c r="F37" s="18">
        <f t="shared" si="0"/>
        <v>4.8611111109494232E-2</v>
      </c>
      <c r="G37" s="19">
        <f t="shared" si="1"/>
        <v>1.1666666666278616</v>
      </c>
      <c r="H37" s="20">
        <f t="shared" si="2"/>
        <v>69.999999997671694</v>
      </c>
    </row>
    <row r="38" spans="1:8" x14ac:dyDescent="0.25">
      <c r="A38">
        <v>43</v>
      </c>
      <c r="B38" t="s">
        <v>33</v>
      </c>
      <c r="C38">
        <v>1</v>
      </c>
      <c r="D38" t="s">
        <v>30</v>
      </c>
      <c r="E38" s="6">
        <v>46025.774305555555</v>
      </c>
      <c r="F38" s="18">
        <f t="shared" si="0"/>
        <v>1.3888888890505768E-2</v>
      </c>
      <c r="G38" s="19">
        <f t="shared" si="1"/>
        <v>0.33333333337213844</v>
      </c>
      <c r="H38" s="20">
        <f t="shared" si="2"/>
        <v>20.000000002328306</v>
      </c>
    </row>
    <row r="39" spans="1:8" x14ac:dyDescent="0.25">
      <c r="A39">
        <v>44</v>
      </c>
      <c r="B39" t="s">
        <v>31</v>
      </c>
      <c r="C39">
        <v>1</v>
      </c>
      <c r="D39" t="s">
        <v>34</v>
      </c>
      <c r="E39" s="6">
        <v>46025.961805555555</v>
      </c>
      <c r="F39" s="18">
        <f t="shared" si="0"/>
        <v>0.1875</v>
      </c>
      <c r="G39" s="19">
        <f t="shared" si="1"/>
        <v>4.5</v>
      </c>
      <c r="H39" s="20">
        <f t="shared" si="2"/>
        <v>270</v>
      </c>
    </row>
    <row r="40" spans="1:8" x14ac:dyDescent="0.25">
      <c r="A40">
        <v>45</v>
      </c>
      <c r="B40" t="s">
        <v>29</v>
      </c>
      <c r="C40">
        <v>1</v>
      </c>
      <c r="D40" t="s">
        <v>30</v>
      </c>
      <c r="E40" s="6">
        <v>46025.986111111109</v>
      </c>
      <c r="F40" s="18">
        <f t="shared" si="0"/>
        <v>2.4305555554747116E-2</v>
      </c>
      <c r="G40" s="19">
        <f t="shared" si="1"/>
        <v>0.58333333331393078</v>
      </c>
      <c r="H40" s="20">
        <f t="shared" si="2"/>
        <v>34.999999998835847</v>
      </c>
    </row>
    <row r="41" spans="1:8" hidden="1" x14ac:dyDescent="0.25">
      <c r="A41">
        <v>46</v>
      </c>
      <c r="B41" t="s">
        <v>31</v>
      </c>
      <c r="C41">
        <v>1</v>
      </c>
      <c r="D41" t="s">
        <v>35</v>
      </c>
      <c r="E41" s="6">
        <v>46026.344444444447</v>
      </c>
      <c r="F41" s="18">
        <f t="shared" si="0"/>
        <v>0.35833333333721384</v>
      </c>
      <c r="G41" s="19">
        <f t="shared" si="1"/>
        <v>8.6000000000931323</v>
      </c>
      <c r="H41" s="20">
        <f t="shared" si="2"/>
        <v>516.00000000558794</v>
      </c>
    </row>
    <row r="42" spans="1:8" x14ac:dyDescent="0.25">
      <c r="A42">
        <v>48</v>
      </c>
      <c r="B42" t="s">
        <v>33</v>
      </c>
      <c r="C42">
        <v>1</v>
      </c>
      <c r="D42" t="s">
        <v>34</v>
      </c>
      <c r="E42" s="6">
        <v>46026.361111111109</v>
      </c>
      <c r="F42" s="18">
        <f t="shared" si="0"/>
        <v>1.6666666662786156E-2</v>
      </c>
      <c r="G42" s="19">
        <f t="shared" si="1"/>
        <v>0.39999999990686774</v>
      </c>
      <c r="H42" s="20">
        <f t="shared" si="2"/>
        <v>23.999999994412065</v>
      </c>
    </row>
    <row r="43" spans="1:8" x14ac:dyDescent="0.25">
      <c r="A43">
        <v>47</v>
      </c>
      <c r="B43" t="s">
        <v>33</v>
      </c>
      <c r="C43">
        <v>1</v>
      </c>
      <c r="D43" t="s">
        <v>30</v>
      </c>
      <c r="E43" s="6">
        <v>46026.385416666664</v>
      </c>
      <c r="F43" s="18">
        <f t="shared" si="0"/>
        <v>2.4305555554747116E-2</v>
      </c>
      <c r="G43" s="19">
        <f t="shared" si="1"/>
        <v>0.58333333331393078</v>
      </c>
      <c r="H43" s="20">
        <f t="shared" si="2"/>
        <v>34.999999998835847</v>
      </c>
    </row>
    <row r="44" spans="1:8" x14ac:dyDescent="0.25">
      <c r="A44">
        <v>50</v>
      </c>
      <c r="B44" t="s">
        <v>29</v>
      </c>
      <c r="C44">
        <v>1</v>
      </c>
      <c r="D44" t="s">
        <v>30</v>
      </c>
      <c r="E44" s="6">
        <v>46026.504861111112</v>
      </c>
      <c r="F44" s="18">
        <f t="shared" si="0"/>
        <v>0.11944444444816327</v>
      </c>
      <c r="G44" s="19">
        <f t="shared" si="1"/>
        <v>2.8666666667559184</v>
      </c>
      <c r="H44" s="20">
        <f t="shared" si="2"/>
        <v>172.0000000053551</v>
      </c>
    </row>
    <row r="45" spans="1:8" x14ac:dyDescent="0.25">
      <c r="A45">
        <v>51</v>
      </c>
      <c r="B45" t="s">
        <v>31</v>
      </c>
      <c r="C45">
        <v>1</v>
      </c>
      <c r="D45" t="s">
        <v>30</v>
      </c>
      <c r="E45" s="6">
        <v>46026.605555555558</v>
      </c>
      <c r="F45" s="18">
        <f t="shared" si="0"/>
        <v>0.10069444444525288</v>
      </c>
      <c r="G45" s="19">
        <f t="shared" si="1"/>
        <v>2.4166666666860692</v>
      </c>
      <c r="H45" s="20">
        <f t="shared" si="2"/>
        <v>145.00000000116415</v>
      </c>
    </row>
    <row r="46" spans="1:8" x14ac:dyDescent="0.25">
      <c r="A46">
        <v>49</v>
      </c>
      <c r="B46" t="s">
        <v>33</v>
      </c>
      <c r="C46">
        <v>1</v>
      </c>
      <c r="D46" t="s">
        <v>34</v>
      </c>
      <c r="E46" s="6">
        <v>46026.684027777781</v>
      </c>
      <c r="F46" s="18">
        <f t="shared" si="0"/>
        <v>7.8472222223354038E-2</v>
      </c>
      <c r="G46" s="19">
        <f t="shared" si="1"/>
        <v>1.8833333333604969</v>
      </c>
      <c r="H46" s="20">
        <f t="shared" si="2"/>
        <v>113.00000000162981</v>
      </c>
    </row>
    <row r="47" spans="1:8" x14ac:dyDescent="0.25">
      <c r="A47">
        <v>55</v>
      </c>
      <c r="B47" t="s">
        <v>29</v>
      </c>
      <c r="C47">
        <v>1</v>
      </c>
      <c r="D47" t="s">
        <v>30</v>
      </c>
      <c r="E47" s="6">
        <v>46026.747916666667</v>
      </c>
      <c r="F47" s="18">
        <f t="shared" si="0"/>
        <v>6.3888888886140194E-2</v>
      </c>
      <c r="G47" s="19">
        <f t="shared" si="1"/>
        <v>1.5333333332673647</v>
      </c>
      <c r="H47" s="20">
        <f t="shared" si="2"/>
        <v>91.999999996041879</v>
      </c>
    </row>
    <row r="48" spans="1:8" x14ac:dyDescent="0.25">
      <c r="A48">
        <v>54</v>
      </c>
      <c r="B48" t="s">
        <v>33</v>
      </c>
      <c r="C48">
        <v>1</v>
      </c>
      <c r="D48" t="s">
        <v>30</v>
      </c>
      <c r="E48" s="6">
        <v>46026.850694444445</v>
      </c>
      <c r="F48" s="18">
        <f t="shared" si="0"/>
        <v>0.10277777777810115</v>
      </c>
      <c r="G48" s="19">
        <f t="shared" si="1"/>
        <v>2.4666666666744277</v>
      </c>
      <c r="H48" s="20">
        <f t="shared" si="2"/>
        <v>148.00000000046566</v>
      </c>
    </row>
    <row r="49" spans="1:8" x14ac:dyDescent="0.25">
      <c r="A49">
        <v>56</v>
      </c>
      <c r="B49" t="s">
        <v>33</v>
      </c>
      <c r="C49">
        <v>1</v>
      </c>
      <c r="D49" t="s">
        <v>30</v>
      </c>
      <c r="E49" s="6">
        <v>46026.982638888891</v>
      </c>
      <c r="F49" s="18">
        <f t="shared" si="0"/>
        <v>0.13194444444525288</v>
      </c>
      <c r="G49" s="19">
        <f t="shared" si="1"/>
        <v>3.1666666666860692</v>
      </c>
      <c r="H49" s="20">
        <f t="shared" si="2"/>
        <v>190.00000000116415</v>
      </c>
    </row>
    <row r="50" spans="1:8" x14ac:dyDescent="0.25">
      <c r="A50">
        <v>57</v>
      </c>
      <c r="B50" t="s">
        <v>31</v>
      </c>
      <c r="C50">
        <v>1</v>
      </c>
      <c r="D50" t="s">
        <v>30</v>
      </c>
      <c r="E50" s="6">
        <v>46027.0625</v>
      </c>
      <c r="F50" s="18">
        <f t="shared" si="0"/>
        <v>7.9861111109494232E-2</v>
      </c>
      <c r="G50" s="19">
        <f t="shared" si="1"/>
        <v>1.9166666666278616</v>
      </c>
      <c r="H50" s="20">
        <f t="shared" si="2"/>
        <v>114.99999999767169</v>
      </c>
    </row>
    <row r="51" spans="1:8" hidden="1" x14ac:dyDescent="0.25">
      <c r="A51">
        <v>31</v>
      </c>
      <c r="B51" t="s">
        <v>29</v>
      </c>
      <c r="C51">
        <v>1</v>
      </c>
      <c r="D51" t="s">
        <v>32</v>
      </c>
      <c r="E51" s="6">
        <v>46027.256944444445</v>
      </c>
      <c r="F51" s="18">
        <f t="shared" si="0"/>
        <v>0.19444444444525288</v>
      </c>
      <c r="G51" s="19">
        <f t="shared" si="1"/>
        <v>4.6666666666860692</v>
      </c>
      <c r="H51" s="20">
        <f t="shared" si="2"/>
        <v>280.00000000116415</v>
      </c>
    </row>
    <row r="52" spans="1:8" x14ac:dyDescent="0.25">
      <c r="A52">
        <v>52</v>
      </c>
      <c r="B52" t="s">
        <v>33</v>
      </c>
      <c r="C52">
        <v>1</v>
      </c>
      <c r="D52" t="s">
        <v>32</v>
      </c>
      <c r="E52" s="6">
        <v>46027.291666666664</v>
      </c>
      <c r="F52" s="18">
        <f t="shared" si="0"/>
        <v>3.4722222218988463E-2</v>
      </c>
      <c r="G52" s="19">
        <f t="shared" si="1"/>
        <v>0.83333333325572312</v>
      </c>
      <c r="H52" s="20">
        <f t="shared" si="2"/>
        <v>49.999999995343387</v>
      </c>
    </row>
    <row r="53" spans="1:8" x14ac:dyDescent="0.25">
      <c r="A53">
        <v>38</v>
      </c>
      <c r="B53" t="s">
        <v>33</v>
      </c>
      <c r="C53">
        <v>1</v>
      </c>
      <c r="D53" t="s">
        <v>32</v>
      </c>
      <c r="E53" s="6">
        <v>46027.295138888891</v>
      </c>
      <c r="F53" s="18">
        <f t="shared" si="0"/>
        <v>3.4722222262644209E-3</v>
      </c>
      <c r="G53" s="19">
        <f t="shared" si="1"/>
        <v>8.3333333430346102E-2</v>
      </c>
      <c r="H53" s="20">
        <f t="shared" si="2"/>
        <v>5.0000000058207661</v>
      </c>
    </row>
    <row r="54" spans="1:8" x14ac:dyDescent="0.25">
      <c r="A54">
        <v>53</v>
      </c>
      <c r="B54" t="s">
        <v>33</v>
      </c>
      <c r="C54">
        <v>1</v>
      </c>
      <c r="D54" t="s">
        <v>34</v>
      </c>
      <c r="E54" s="6">
        <v>46027.361111111109</v>
      </c>
      <c r="F54" s="18">
        <f t="shared" si="0"/>
        <v>6.5972222218988463E-2</v>
      </c>
      <c r="G54" s="19">
        <f t="shared" si="1"/>
        <v>1.5833333332557231</v>
      </c>
      <c r="H54" s="20">
        <f t="shared" si="2"/>
        <v>94.999999995343387</v>
      </c>
    </row>
    <row r="55" spans="1:8" x14ac:dyDescent="0.25">
      <c r="A55">
        <v>2</v>
      </c>
      <c r="B55" t="s">
        <v>31</v>
      </c>
      <c r="C55">
        <v>1</v>
      </c>
      <c r="D55" t="s">
        <v>32</v>
      </c>
      <c r="E55" s="6">
        <v>46027.364583333336</v>
      </c>
      <c r="F55" s="18">
        <f t="shared" si="0"/>
        <v>3.4722222262644209E-3</v>
      </c>
      <c r="G55" s="19">
        <f t="shared" si="1"/>
        <v>8.3333333430346102E-2</v>
      </c>
      <c r="H55" s="20">
        <f t="shared" si="2"/>
        <v>5.0000000058207661</v>
      </c>
    </row>
    <row r="56" spans="1:8" x14ac:dyDescent="0.25">
      <c r="A56">
        <v>58</v>
      </c>
      <c r="B56" t="s">
        <v>31</v>
      </c>
      <c r="C56">
        <v>1</v>
      </c>
      <c r="D56" t="s">
        <v>30</v>
      </c>
      <c r="E56" s="6">
        <v>46027.459722222222</v>
      </c>
      <c r="F56" s="18">
        <f t="shared" si="0"/>
        <v>9.5138888886140194E-2</v>
      </c>
      <c r="G56" s="19">
        <f t="shared" si="1"/>
        <v>2.2833333332673647</v>
      </c>
      <c r="H56" s="20">
        <f t="shared" si="2"/>
        <v>136.99999999604188</v>
      </c>
    </row>
    <row r="57" spans="1:8" x14ac:dyDescent="0.25">
      <c r="A57">
        <v>59</v>
      </c>
      <c r="B57" t="s">
        <v>31</v>
      </c>
      <c r="C57">
        <v>1</v>
      </c>
      <c r="D57" t="s">
        <v>34</v>
      </c>
      <c r="E57" s="6">
        <v>46027.493055555555</v>
      </c>
      <c r="F57" s="18">
        <f t="shared" si="0"/>
        <v>3.3333333332848269E-2</v>
      </c>
      <c r="G57" s="19">
        <f t="shared" si="1"/>
        <v>0.79999999998835847</v>
      </c>
      <c r="H57" s="20">
        <f t="shared" si="2"/>
        <v>47.999999999301508</v>
      </c>
    </row>
    <row r="58" spans="1:8" x14ac:dyDescent="0.25">
      <c r="A58">
        <v>61</v>
      </c>
      <c r="B58" t="s">
        <v>29</v>
      </c>
      <c r="C58">
        <v>1</v>
      </c>
      <c r="D58" t="s">
        <v>36</v>
      </c>
      <c r="E58" s="6">
        <v>46027.520833333336</v>
      </c>
      <c r="F58" s="18">
        <f t="shared" si="0"/>
        <v>2.7777777781011537E-2</v>
      </c>
      <c r="G58" s="19">
        <f t="shared" si="1"/>
        <v>0.66666666674427688</v>
      </c>
      <c r="H58" s="20">
        <f t="shared" si="2"/>
        <v>40.000000004656613</v>
      </c>
    </row>
    <row r="59" spans="1:8" x14ac:dyDescent="0.25">
      <c r="A59">
        <v>29</v>
      </c>
      <c r="B59" t="s">
        <v>29</v>
      </c>
      <c r="C59">
        <v>1</v>
      </c>
      <c r="D59" t="s">
        <v>32</v>
      </c>
      <c r="E59" s="6">
        <v>46027.555555555555</v>
      </c>
      <c r="F59" s="18">
        <f t="shared" si="0"/>
        <v>3.4722222218988463E-2</v>
      </c>
      <c r="G59" s="19">
        <f t="shared" si="1"/>
        <v>0.83333333325572312</v>
      </c>
      <c r="H59" s="20">
        <f t="shared" si="2"/>
        <v>49.999999995343387</v>
      </c>
    </row>
    <row r="60" spans="1:8" x14ac:dyDescent="0.25">
      <c r="A60">
        <v>60</v>
      </c>
      <c r="B60" t="s">
        <v>29</v>
      </c>
      <c r="C60">
        <v>1</v>
      </c>
      <c r="D60" t="s">
        <v>35</v>
      </c>
      <c r="E60" s="6">
        <v>46027.645833333336</v>
      </c>
      <c r="F60" s="18">
        <f t="shared" si="0"/>
        <v>9.0277777781011537E-2</v>
      </c>
      <c r="G60" s="19">
        <f t="shared" si="1"/>
        <v>2.1666666667442769</v>
      </c>
      <c r="H60" s="20">
        <f t="shared" si="2"/>
        <v>130.00000000465661</v>
      </c>
    </row>
    <row r="61" spans="1:8" x14ac:dyDescent="0.25">
      <c r="A61">
        <v>62</v>
      </c>
      <c r="B61" t="s">
        <v>31</v>
      </c>
      <c r="C61">
        <v>1</v>
      </c>
      <c r="D61" t="s">
        <v>30</v>
      </c>
      <c r="E61" s="6">
        <v>46027.680555555555</v>
      </c>
      <c r="F61" s="18">
        <f t="shared" si="0"/>
        <v>3.4722222218988463E-2</v>
      </c>
      <c r="G61" s="19">
        <f t="shared" si="1"/>
        <v>0.83333333325572312</v>
      </c>
      <c r="H61" s="20">
        <f t="shared" si="2"/>
        <v>49.999999995343387</v>
      </c>
    </row>
    <row r="62" spans="1:8" x14ac:dyDescent="0.25">
      <c r="A62">
        <v>69</v>
      </c>
      <c r="B62" t="s">
        <v>31</v>
      </c>
      <c r="C62">
        <v>1</v>
      </c>
      <c r="D62" t="s">
        <v>35</v>
      </c>
      <c r="E62" s="6">
        <v>46027.722222222219</v>
      </c>
      <c r="F62" s="18">
        <f t="shared" si="0"/>
        <v>4.1666666664241347E-2</v>
      </c>
      <c r="G62" s="19">
        <f t="shared" si="1"/>
        <v>0.99999999994179234</v>
      </c>
      <c r="H62" s="20">
        <f t="shared" si="2"/>
        <v>59.99999999650754</v>
      </c>
    </row>
    <row r="63" spans="1:8" x14ac:dyDescent="0.25">
      <c r="A63">
        <v>71</v>
      </c>
      <c r="B63" t="s">
        <v>29</v>
      </c>
      <c r="C63">
        <v>1</v>
      </c>
      <c r="D63" t="s">
        <v>35</v>
      </c>
      <c r="E63" s="6">
        <v>46027.892361111109</v>
      </c>
      <c r="F63" s="18">
        <f t="shared" si="0"/>
        <v>0.17013888889050577</v>
      </c>
      <c r="G63" s="19">
        <f t="shared" si="1"/>
        <v>4.0833333333721384</v>
      </c>
      <c r="H63" s="20">
        <f t="shared" si="2"/>
        <v>245.00000000232831</v>
      </c>
    </row>
    <row r="64" spans="1:8" x14ac:dyDescent="0.25">
      <c r="A64">
        <v>72</v>
      </c>
      <c r="B64" t="s">
        <v>33</v>
      </c>
      <c r="C64">
        <v>1</v>
      </c>
      <c r="D64" t="s">
        <v>34</v>
      </c>
      <c r="E64" s="6">
        <v>46027.958333333336</v>
      </c>
      <c r="F64" s="18">
        <f t="shared" si="0"/>
        <v>6.5972222226264421E-2</v>
      </c>
      <c r="G64" s="19">
        <f t="shared" si="1"/>
        <v>1.5833333334303461</v>
      </c>
      <c r="H64" s="20">
        <f t="shared" si="2"/>
        <v>95.000000005820766</v>
      </c>
    </row>
    <row r="65" spans="1:8" x14ac:dyDescent="0.25">
      <c r="A65">
        <v>73</v>
      </c>
      <c r="B65" t="s">
        <v>31</v>
      </c>
      <c r="C65">
        <v>1</v>
      </c>
      <c r="D65" t="s">
        <v>34</v>
      </c>
      <c r="E65" s="6">
        <v>46028.011805555558</v>
      </c>
      <c r="F65" s="18">
        <f t="shared" si="0"/>
        <v>5.3472222221898846E-2</v>
      </c>
      <c r="G65" s="19">
        <f t="shared" si="1"/>
        <v>1.2833333333255723</v>
      </c>
      <c r="H65" s="20">
        <f t="shared" si="2"/>
        <v>76.999999999534339</v>
      </c>
    </row>
    <row r="66" spans="1:8" hidden="1" x14ac:dyDescent="0.25">
      <c r="A66">
        <v>70</v>
      </c>
      <c r="B66" t="s">
        <v>29</v>
      </c>
      <c r="C66">
        <v>1</v>
      </c>
      <c r="D66" t="s">
        <v>34</v>
      </c>
      <c r="E66" s="6">
        <v>46028.319444444445</v>
      </c>
      <c r="F66" s="18">
        <f t="shared" si="0"/>
        <v>0.30763888888759539</v>
      </c>
      <c r="G66" s="19">
        <f t="shared" si="1"/>
        <v>7.3833333333022892</v>
      </c>
      <c r="H66" s="20">
        <f t="shared" si="2"/>
        <v>442.99999999813735</v>
      </c>
    </row>
    <row r="67" spans="1:8" x14ac:dyDescent="0.25">
      <c r="A67">
        <v>5</v>
      </c>
      <c r="B67" t="s">
        <v>33</v>
      </c>
      <c r="C67">
        <v>1</v>
      </c>
      <c r="D67" t="s">
        <v>35</v>
      </c>
      <c r="E67" s="6">
        <v>46028.324999999997</v>
      </c>
      <c r="F67" s="18">
        <f t="shared" si="0"/>
        <v>5.5555555518367328E-3</v>
      </c>
      <c r="G67" s="19">
        <f t="shared" si="1"/>
        <v>0.13333333324408159</v>
      </c>
      <c r="H67" s="20">
        <f t="shared" si="2"/>
        <v>7.9999999946448952</v>
      </c>
    </row>
    <row r="68" spans="1:8" x14ac:dyDescent="0.25">
      <c r="A68">
        <v>68</v>
      </c>
      <c r="B68" t="s">
        <v>31</v>
      </c>
      <c r="C68">
        <v>1</v>
      </c>
      <c r="D68" t="s">
        <v>30</v>
      </c>
      <c r="E68" s="6">
        <v>46028.340277777781</v>
      </c>
      <c r="F68" s="18">
        <f t="shared" si="0"/>
        <v>1.527777778392192E-2</v>
      </c>
      <c r="G68" s="19">
        <f t="shared" si="1"/>
        <v>0.36666666681412607</v>
      </c>
      <c r="H68" s="20">
        <f t="shared" si="2"/>
        <v>22.000000008847564</v>
      </c>
    </row>
    <row r="69" spans="1:8" x14ac:dyDescent="0.25">
      <c r="A69">
        <v>75</v>
      </c>
      <c r="B69" t="s">
        <v>29</v>
      </c>
      <c r="C69">
        <v>1</v>
      </c>
      <c r="D69" t="s">
        <v>35</v>
      </c>
      <c r="E69" s="6">
        <v>46028.347222222219</v>
      </c>
      <c r="F69" s="18">
        <f t="shared" ref="F69:F132" si="3">E69-E68</f>
        <v>6.9444444379769266E-3</v>
      </c>
      <c r="G69" s="19">
        <f t="shared" ref="G69:G132" si="4">F69*24</f>
        <v>0.16666666651144624</v>
      </c>
      <c r="H69" s="20">
        <f t="shared" ref="H69:H132" si="5">G69*60</f>
        <v>9.9999999906867743</v>
      </c>
    </row>
    <row r="70" spans="1:8" x14ac:dyDescent="0.25">
      <c r="A70">
        <v>6</v>
      </c>
      <c r="B70" t="s">
        <v>31</v>
      </c>
      <c r="C70">
        <v>1</v>
      </c>
      <c r="D70" t="s">
        <v>36</v>
      </c>
      <c r="E70" s="6">
        <v>46028.361111111109</v>
      </c>
      <c r="F70" s="18">
        <f t="shared" si="3"/>
        <v>1.3888888890505768E-2</v>
      </c>
      <c r="G70" s="19">
        <f t="shared" si="4"/>
        <v>0.33333333337213844</v>
      </c>
      <c r="H70" s="20">
        <f t="shared" si="5"/>
        <v>20.000000002328306</v>
      </c>
    </row>
    <row r="71" spans="1:8" x14ac:dyDescent="0.25">
      <c r="A71">
        <v>77</v>
      </c>
      <c r="B71" t="s">
        <v>31</v>
      </c>
      <c r="C71">
        <v>1</v>
      </c>
      <c r="D71" t="s">
        <v>35</v>
      </c>
      <c r="E71" s="6">
        <v>46028.458333333336</v>
      </c>
      <c r="F71" s="18">
        <f t="shared" si="3"/>
        <v>9.7222222226264421E-2</v>
      </c>
      <c r="G71" s="19">
        <f t="shared" si="4"/>
        <v>2.3333333334303461</v>
      </c>
      <c r="H71" s="20">
        <f t="shared" si="5"/>
        <v>140.00000000582077</v>
      </c>
    </row>
    <row r="72" spans="1:8" x14ac:dyDescent="0.25">
      <c r="A72">
        <v>67</v>
      </c>
      <c r="B72" t="s">
        <v>33</v>
      </c>
      <c r="C72">
        <v>1</v>
      </c>
      <c r="D72" t="s">
        <v>32</v>
      </c>
      <c r="E72" s="6">
        <v>46028.472222222219</v>
      </c>
      <c r="F72" s="18">
        <f t="shared" si="3"/>
        <v>1.3888888883229811E-2</v>
      </c>
      <c r="G72" s="19">
        <f t="shared" si="4"/>
        <v>0.33333333319751546</v>
      </c>
      <c r="H72" s="20">
        <f t="shared" si="5"/>
        <v>19.999999991850927</v>
      </c>
    </row>
    <row r="73" spans="1:8" x14ac:dyDescent="0.25">
      <c r="A73">
        <v>65</v>
      </c>
      <c r="B73" t="s">
        <v>31</v>
      </c>
      <c r="C73">
        <v>1</v>
      </c>
      <c r="D73" t="s">
        <v>35</v>
      </c>
      <c r="E73" s="6">
        <v>46028.482638888891</v>
      </c>
      <c r="F73" s="18">
        <f t="shared" si="3"/>
        <v>1.0416666671517305E-2</v>
      </c>
      <c r="G73" s="19">
        <f t="shared" si="4"/>
        <v>0.25000000011641532</v>
      </c>
      <c r="H73" s="20">
        <f t="shared" si="5"/>
        <v>15.000000006984919</v>
      </c>
    </row>
    <row r="74" spans="1:8" x14ac:dyDescent="0.25">
      <c r="A74">
        <v>74</v>
      </c>
      <c r="B74" t="s">
        <v>31</v>
      </c>
      <c r="C74">
        <v>1</v>
      </c>
      <c r="D74" t="s">
        <v>32</v>
      </c>
      <c r="E74" s="6">
        <v>46028.572916666664</v>
      </c>
      <c r="F74" s="18">
        <f t="shared" si="3"/>
        <v>9.0277777773735579E-2</v>
      </c>
      <c r="G74" s="19">
        <f t="shared" si="4"/>
        <v>2.1666666665696539</v>
      </c>
      <c r="H74" s="20">
        <f t="shared" si="5"/>
        <v>129.99999999417923</v>
      </c>
    </row>
    <row r="75" spans="1:8" hidden="1" x14ac:dyDescent="0.25">
      <c r="A75">
        <v>78</v>
      </c>
      <c r="B75" t="s">
        <v>29</v>
      </c>
      <c r="C75">
        <v>1</v>
      </c>
      <c r="D75" t="s">
        <v>35</v>
      </c>
      <c r="E75" s="6">
        <v>46028.572916666664</v>
      </c>
      <c r="F75" s="18">
        <f t="shared" si="3"/>
        <v>0</v>
      </c>
      <c r="G75" s="19">
        <f t="shared" si="4"/>
        <v>0</v>
      </c>
      <c r="H75" s="19">
        <f t="shared" si="5"/>
        <v>0</v>
      </c>
    </row>
    <row r="76" spans="1:8" x14ac:dyDescent="0.25">
      <c r="A76">
        <v>76</v>
      </c>
      <c r="B76" t="s">
        <v>29</v>
      </c>
      <c r="C76">
        <v>1</v>
      </c>
      <c r="D76" t="s">
        <v>34</v>
      </c>
      <c r="E76" s="6">
        <v>46028.60833333333</v>
      </c>
      <c r="F76" s="18">
        <f t="shared" si="3"/>
        <v>3.5416666665696539E-2</v>
      </c>
      <c r="G76" s="19">
        <f t="shared" si="4"/>
        <v>0.84999999997671694</v>
      </c>
      <c r="H76" s="20">
        <f t="shared" si="5"/>
        <v>50.999999998603016</v>
      </c>
    </row>
    <row r="77" spans="1:8" x14ac:dyDescent="0.25">
      <c r="A77">
        <v>79</v>
      </c>
      <c r="B77" t="s">
        <v>29</v>
      </c>
      <c r="C77">
        <v>1</v>
      </c>
      <c r="D77" t="s">
        <v>36</v>
      </c>
      <c r="E77" s="6">
        <v>46028.684027777781</v>
      </c>
      <c r="F77" s="18">
        <f t="shared" si="3"/>
        <v>7.569444445107365E-2</v>
      </c>
      <c r="G77" s="19">
        <f t="shared" si="4"/>
        <v>1.8166666668257676</v>
      </c>
      <c r="H77" s="20">
        <f t="shared" si="5"/>
        <v>109.00000000954606</v>
      </c>
    </row>
    <row r="78" spans="1:8" x14ac:dyDescent="0.25">
      <c r="A78">
        <v>66</v>
      </c>
      <c r="B78" t="s">
        <v>33</v>
      </c>
      <c r="C78">
        <v>1</v>
      </c>
      <c r="D78" t="s">
        <v>37</v>
      </c>
      <c r="E78" s="6">
        <v>46028.708333333336</v>
      </c>
      <c r="F78" s="18">
        <f t="shared" si="3"/>
        <v>2.4305555554747116E-2</v>
      </c>
      <c r="G78" s="19">
        <f t="shared" si="4"/>
        <v>0.58333333331393078</v>
      </c>
      <c r="H78" s="20">
        <f t="shared" si="5"/>
        <v>34.999999998835847</v>
      </c>
    </row>
    <row r="79" spans="1:8" hidden="1" x14ac:dyDescent="0.25">
      <c r="A79">
        <v>92</v>
      </c>
      <c r="B79" t="s">
        <v>29</v>
      </c>
      <c r="C79">
        <v>1</v>
      </c>
      <c r="D79" t="s">
        <v>30</v>
      </c>
      <c r="E79" s="6">
        <v>46029.024305555555</v>
      </c>
      <c r="F79" s="18">
        <f t="shared" si="3"/>
        <v>0.31597222221898846</v>
      </c>
      <c r="G79" s="19">
        <f t="shared" si="4"/>
        <v>7.5833333332557231</v>
      </c>
      <c r="H79" s="20">
        <f t="shared" si="5"/>
        <v>454.99999999534339</v>
      </c>
    </row>
    <row r="80" spans="1:8" x14ac:dyDescent="0.25">
      <c r="A80">
        <v>93</v>
      </c>
      <c r="B80" t="s">
        <v>33</v>
      </c>
      <c r="C80">
        <v>1</v>
      </c>
      <c r="D80" t="s">
        <v>30</v>
      </c>
      <c r="E80" s="6">
        <v>46029.055555555555</v>
      </c>
      <c r="F80" s="18">
        <f t="shared" si="3"/>
        <v>3.125E-2</v>
      </c>
      <c r="G80" s="19">
        <f t="shared" si="4"/>
        <v>0.75</v>
      </c>
      <c r="H80" s="20">
        <f t="shared" si="5"/>
        <v>45</v>
      </c>
    </row>
    <row r="81" spans="1:8" x14ac:dyDescent="0.25">
      <c r="A81">
        <v>94</v>
      </c>
      <c r="B81" t="s">
        <v>29</v>
      </c>
      <c r="C81">
        <v>1</v>
      </c>
      <c r="D81" t="s">
        <v>30</v>
      </c>
      <c r="E81" s="6">
        <v>46029.069444444445</v>
      </c>
      <c r="F81" s="18">
        <f t="shared" si="3"/>
        <v>1.3888888890505768E-2</v>
      </c>
      <c r="G81" s="19">
        <f t="shared" si="4"/>
        <v>0.33333333337213844</v>
      </c>
      <c r="H81" s="20">
        <f t="shared" si="5"/>
        <v>20.000000002328306</v>
      </c>
    </row>
    <row r="82" spans="1:8" x14ac:dyDescent="0.25">
      <c r="A82">
        <v>86</v>
      </c>
      <c r="B82" t="s">
        <v>29</v>
      </c>
      <c r="C82">
        <v>1</v>
      </c>
      <c r="D82" t="s">
        <v>32</v>
      </c>
      <c r="E82" s="6">
        <v>46029.25</v>
      </c>
      <c r="F82" s="18">
        <f t="shared" si="3"/>
        <v>0.18055555555474712</v>
      </c>
      <c r="G82" s="19">
        <f t="shared" si="4"/>
        <v>4.3333333333139308</v>
      </c>
      <c r="H82" s="20">
        <f t="shared" si="5"/>
        <v>259.99999999883585</v>
      </c>
    </row>
    <row r="83" spans="1:8" x14ac:dyDescent="0.25">
      <c r="A83">
        <v>90</v>
      </c>
      <c r="B83" t="s">
        <v>31</v>
      </c>
      <c r="C83">
        <v>1</v>
      </c>
      <c r="D83" t="s">
        <v>34</v>
      </c>
      <c r="E83" s="6">
        <v>46029.284722222219</v>
      </c>
      <c r="F83" s="18">
        <f t="shared" si="3"/>
        <v>3.4722222218988463E-2</v>
      </c>
      <c r="G83" s="19">
        <f t="shared" si="4"/>
        <v>0.83333333325572312</v>
      </c>
      <c r="H83" s="20">
        <f t="shared" si="5"/>
        <v>49.999999995343387</v>
      </c>
    </row>
    <row r="84" spans="1:8" x14ac:dyDescent="0.25">
      <c r="A84">
        <v>80</v>
      </c>
      <c r="B84" t="s">
        <v>33</v>
      </c>
      <c r="C84">
        <v>1</v>
      </c>
      <c r="D84" t="s">
        <v>34</v>
      </c>
      <c r="E84" s="6">
        <v>46029.291666666664</v>
      </c>
      <c r="F84" s="18">
        <f t="shared" si="3"/>
        <v>6.9444444452528842E-3</v>
      </c>
      <c r="G84" s="19">
        <f t="shared" si="4"/>
        <v>0.16666666668606922</v>
      </c>
      <c r="H84" s="20">
        <f t="shared" si="5"/>
        <v>10.000000001164153</v>
      </c>
    </row>
    <row r="85" spans="1:8" hidden="1" x14ac:dyDescent="0.25">
      <c r="A85">
        <v>81</v>
      </c>
      <c r="B85" t="s">
        <v>29</v>
      </c>
      <c r="C85">
        <v>1</v>
      </c>
      <c r="D85" t="s">
        <v>35</v>
      </c>
      <c r="E85" s="6">
        <v>46029.291666666664</v>
      </c>
      <c r="F85" s="18">
        <f t="shared" si="3"/>
        <v>0</v>
      </c>
      <c r="G85" s="19">
        <f t="shared" si="4"/>
        <v>0</v>
      </c>
      <c r="H85" s="19">
        <f t="shared" si="5"/>
        <v>0</v>
      </c>
    </row>
    <row r="86" spans="1:8" hidden="1" x14ac:dyDescent="0.25">
      <c r="A86">
        <v>83</v>
      </c>
      <c r="B86" t="s">
        <v>31</v>
      </c>
      <c r="C86">
        <v>1</v>
      </c>
      <c r="D86" t="s">
        <v>36</v>
      </c>
      <c r="E86" s="6">
        <v>46029.291666666664</v>
      </c>
      <c r="F86" s="18">
        <f t="shared" si="3"/>
        <v>0</v>
      </c>
      <c r="G86" s="19">
        <f t="shared" si="4"/>
        <v>0</v>
      </c>
      <c r="H86" s="19">
        <f t="shared" si="5"/>
        <v>0</v>
      </c>
    </row>
    <row r="87" spans="1:8" x14ac:dyDescent="0.25">
      <c r="A87">
        <v>95</v>
      </c>
      <c r="B87" t="s">
        <v>33</v>
      </c>
      <c r="C87">
        <v>1</v>
      </c>
      <c r="D87" t="s">
        <v>30</v>
      </c>
      <c r="E87" s="6">
        <v>46029.434027777781</v>
      </c>
      <c r="F87" s="18">
        <f t="shared" si="3"/>
        <v>0.14236111111677019</v>
      </c>
      <c r="G87" s="19">
        <f t="shared" si="4"/>
        <v>3.4166666668024845</v>
      </c>
      <c r="H87" s="20">
        <f t="shared" si="5"/>
        <v>205.00000000814907</v>
      </c>
    </row>
    <row r="88" spans="1:8" x14ac:dyDescent="0.25">
      <c r="A88">
        <v>87</v>
      </c>
      <c r="B88" t="s">
        <v>29</v>
      </c>
      <c r="C88">
        <v>1</v>
      </c>
      <c r="D88" t="s">
        <v>30</v>
      </c>
      <c r="E88" s="6">
        <v>46029.458333333336</v>
      </c>
      <c r="F88" s="18">
        <f t="shared" si="3"/>
        <v>2.4305555554747116E-2</v>
      </c>
      <c r="G88" s="19">
        <f t="shared" si="4"/>
        <v>0.58333333331393078</v>
      </c>
      <c r="H88" s="20">
        <f t="shared" si="5"/>
        <v>34.999999998835847</v>
      </c>
    </row>
    <row r="89" spans="1:8" x14ac:dyDescent="0.25">
      <c r="A89">
        <v>64</v>
      </c>
      <c r="B89" t="s">
        <v>33</v>
      </c>
      <c r="C89">
        <v>1</v>
      </c>
      <c r="D89" t="s">
        <v>35</v>
      </c>
      <c r="E89" s="6">
        <v>46029.472222222219</v>
      </c>
      <c r="F89" s="18">
        <f t="shared" si="3"/>
        <v>1.3888888883229811E-2</v>
      </c>
      <c r="G89" s="19">
        <f t="shared" si="4"/>
        <v>0.33333333319751546</v>
      </c>
      <c r="H89" s="20">
        <f t="shared" si="5"/>
        <v>19.999999991850927</v>
      </c>
    </row>
    <row r="90" spans="1:8" x14ac:dyDescent="0.25">
      <c r="A90">
        <v>96</v>
      </c>
      <c r="B90" t="s">
        <v>31</v>
      </c>
      <c r="C90">
        <v>1</v>
      </c>
      <c r="D90" t="s">
        <v>30</v>
      </c>
      <c r="E90" s="6">
        <v>46029.477777777778</v>
      </c>
      <c r="F90" s="18">
        <f t="shared" si="3"/>
        <v>5.5555555591126904E-3</v>
      </c>
      <c r="G90" s="19">
        <f t="shared" si="4"/>
        <v>0.13333333341870457</v>
      </c>
      <c r="H90" s="20">
        <f t="shared" si="5"/>
        <v>8.0000000051222742</v>
      </c>
    </row>
    <row r="91" spans="1:8" x14ac:dyDescent="0.25">
      <c r="A91">
        <v>97</v>
      </c>
      <c r="B91" t="s">
        <v>29</v>
      </c>
      <c r="C91">
        <v>1</v>
      </c>
      <c r="D91" t="s">
        <v>30</v>
      </c>
      <c r="E91" s="6">
        <v>46029.506944444445</v>
      </c>
      <c r="F91" s="18">
        <f t="shared" si="3"/>
        <v>2.9166666667151731E-2</v>
      </c>
      <c r="G91" s="19">
        <f t="shared" si="4"/>
        <v>0.70000000001164153</v>
      </c>
      <c r="H91" s="20">
        <f t="shared" si="5"/>
        <v>42.000000000698492</v>
      </c>
    </row>
    <row r="92" spans="1:8" x14ac:dyDescent="0.25">
      <c r="A92">
        <v>98</v>
      </c>
      <c r="B92" t="s">
        <v>29</v>
      </c>
      <c r="C92">
        <v>1</v>
      </c>
      <c r="D92" t="s">
        <v>36</v>
      </c>
      <c r="E92" s="6">
        <v>46029.576388888891</v>
      </c>
      <c r="F92" s="18">
        <f t="shared" si="3"/>
        <v>6.9444444445252884E-2</v>
      </c>
      <c r="G92" s="19">
        <f t="shared" si="4"/>
        <v>1.6666666666860692</v>
      </c>
      <c r="H92" s="20">
        <f t="shared" si="5"/>
        <v>100.00000000116415</v>
      </c>
    </row>
    <row r="93" spans="1:8" x14ac:dyDescent="0.25">
      <c r="A93">
        <v>91</v>
      </c>
      <c r="B93" t="s">
        <v>31</v>
      </c>
      <c r="C93">
        <v>1</v>
      </c>
      <c r="D93" t="s">
        <v>30</v>
      </c>
      <c r="E93" s="6">
        <v>46029.617361111108</v>
      </c>
      <c r="F93" s="18">
        <f t="shared" si="3"/>
        <v>4.0972222217533272E-2</v>
      </c>
      <c r="G93" s="19">
        <f t="shared" si="4"/>
        <v>0.98333333322079852</v>
      </c>
      <c r="H93" s="20">
        <f t="shared" si="5"/>
        <v>58.999999993247911</v>
      </c>
    </row>
    <row r="94" spans="1:8" x14ac:dyDescent="0.25">
      <c r="A94">
        <v>88</v>
      </c>
      <c r="B94" t="s">
        <v>33</v>
      </c>
      <c r="C94">
        <v>1</v>
      </c>
      <c r="D94" t="s">
        <v>32</v>
      </c>
      <c r="E94" s="6">
        <v>46029.663194444445</v>
      </c>
      <c r="F94" s="18">
        <f t="shared" si="3"/>
        <v>4.5833333337213844E-2</v>
      </c>
      <c r="G94" s="19">
        <f t="shared" si="4"/>
        <v>1.1000000000931323</v>
      </c>
      <c r="H94" s="20">
        <f t="shared" si="5"/>
        <v>66.000000005587935</v>
      </c>
    </row>
    <row r="95" spans="1:8" x14ac:dyDescent="0.25">
      <c r="A95">
        <v>82</v>
      </c>
      <c r="B95" t="s">
        <v>29</v>
      </c>
      <c r="C95">
        <v>1</v>
      </c>
      <c r="D95" t="s">
        <v>34</v>
      </c>
      <c r="E95" s="6">
        <v>46029.684027777781</v>
      </c>
      <c r="F95" s="18">
        <f t="shared" si="3"/>
        <v>2.0833333335758653E-2</v>
      </c>
      <c r="G95" s="19">
        <f t="shared" si="4"/>
        <v>0.50000000005820766</v>
      </c>
      <c r="H95" s="20">
        <f t="shared" si="5"/>
        <v>30.00000000349246</v>
      </c>
    </row>
    <row r="96" spans="1:8" x14ac:dyDescent="0.25">
      <c r="A96">
        <v>89</v>
      </c>
      <c r="B96" t="s">
        <v>33</v>
      </c>
      <c r="C96">
        <v>1</v>
      </c>
      <c r="D96" t="s">
        <v>36</v>
      </c>
      <c r="E96" s="6">
        <v>46029.75</v>
      </c>
      <c r="F96" s="18">
        <f t="shared" si="3"/>
        <v>6.5972222218988463E-2</v>
      </c>
      <c r="G96" s="19">
        <f t="shared" si="4"/>
        <v>1.5833333332557231</v>
      </c>
      <c r="H96" s="20">
        <f t="shared" si="5"/>
        <v>94.999999995343387</v>
      </c>
    </row>
    <row r="97" spans="1:8" x14ac:dyDescent="0.25">
      <c r="A97">
        <v>108</v>
      </c>
      <c r="B97" t="s">
        <v>33</v>
      </c>
      <c r="C97">
        <v>1</v>
      </c>
      <c r="D97" t="s">
        <v>30</v>
      </c>
      <c r="E97" s="6">
        <v>46029.847222222219</v>
      </c>
      <c r="F97" s="18">
        <f t="shared" si="3"/>
        <v>9.7222222218988463E-2</v>
      </c>
      <c r="G97" s="19">
        <f t="shared" si="4"/>
        <v>2.3333333332557231</v>
      </c>
      <c r="H97" s="20">
        <f t="shared" si="5"/>
        <v>139.99999999534339</v>
      </c>
    </row>
    <row r="98" spans="1:8" hidden="1" x14ac:dyDescent="0.25">
      <c r="A98">
        <v>107</v>
      </c>
      <c r="B98" t="s">
        <v>29</v>
      </c>
      <c r="C98">
        <v>1</v>
      </c>
      <c r="D98" t="s">
        <v>35</v>
      </c>
      <c r="E98" s="6">
        <v>46030.260416666664</v>
      </c>
      <c r="F98" s="18">
        <f t="shared" si="3"/>
        <v>0.41319444444525288</v>
      </c>
      <c r="G98" s="19">
        <f t="shared" si="4"/>
        <v>9.9166666666860692</v>
      </c>
      <c r="H98" s="20">
        <f t="shared" si="5"/>
        <v>595.00000000116415</v>
      </c>
    </row>
    <row r="99" spans="1:8" x14ac:dyDescent="0.25">
      <c r="A99">
        <v>99</v>
      </c>
      <c r="B99" t="s">
        <v>31</v>
      </c>
      <c r="C99">
        <v>1</v>
      </c>
      <c r="D99" t="s">
        <v>35</v>
      </c>
      <c r="E99" s="6">
        <v>46030.291666666664</v>
      </c>
      <c r="F99" s="18">
        <f t="shared" si="3"/>
        <v>3.125E-2</v>
      </c>
      <c r="G99" s="19">
        <f t="shared" si="4"/>
        <v>0.75</v>
      </c>
      <c r="H99" s="20">
        <f t="shared" si="5"/>
        <v>45</v>
      </c>
    </row>
    <row r="100" spans="1:8" hidden="1" x14ac:dyDescent="0.25">
      <c r="A100">
        <v>102</v>
      </c>
      <c r="B100" t="s">
        <v>33</v>
      </c>
      <c r="C100">
        <v>1</v>
      </c>
      <c r="D100" t="s">
        <v>34</v>
      </c>
      <c r="E100" s="6">
        <v>46030.291666666664</v>
      </c>
      <c r="F100" s="18">
        <f t="shared" si="3"/>
        <v>0</v>
      </c>
      <c r="G100" s="19">
        <f t="shared" si="4"/>
        <v>0</v>
      </c>
      <c r="H100" s="19">
        <f t="shared" si="5"/>
        <v>0</v>
      </c>
    </row>
    <row r="101" spans="1:8" x14ac:dyDescent="0.25">
      <c r="A101">
        <v>106</v>
      </c>
      <c r="B101" t="s">
        <v>33</v>
      </c>
      <c r="C101">
        <v>1</v>
      </c>
      <c r="D101" t="s">
        <v>32</v>
      </c>
      <c r="E101" s="6">
        <v>46030.295138888891</v>
      </c>
      <c r="F101" s="18">
        <f t="shared" si="3"/>
        <v>3.4722222262644209E-3</v>
      </c>
      <c r="G101" s="19">
        <f t="shared" si="4"/>
        <v>8.3333333430346102E-2</v>
      </c>
      <c r="H101" s="20">
        <f t="shared" si="5"/>
        <v>5.0000000058207661</v>
      </c>
    </row>
    <row r="102" spans="1:8" x14ac:dyDescent="0.25">
      <c r="A102">
        <v>84</v>
      </c>
      <c r="B102" t="s">
        <v>29</v>
      </c>
      <c r="C102">
        <v>1</v>
      </c>
      <c r="D102" t="s">
        <v>35</v>
      </c>
      <c r="E102" s="6">
        <v>46030.319444444445</v>
      </c>
      <c r="F102" s="18">
        <f t="shared" si="3"/>
        <v>2.4305555554747116E-2</v>
      </c>
      <c r="G102" s="19">
        <f t="shared" si="4"/>
        <v>0.58333333331393078</v>
      </c>
      <c r="H102" s="20">
        <f t="shared" si="5"/>
        <v>34.999999998835847</v>
      </c>
    </row>
    <row r="103" spans="1:8" x14ac:dyDescent="0.25">
      <c r="A103">
        <v>104</v>
      </c>
      <c r="B103" t="s">
        <v>31</v>
      </c>
      <c r="C103">
        <v>1</v>
      </c>
      <c r="D103" t="s">
        <v>37</v>
      </c>
      <c r="E103" s="6">
        <v>46030.340277777781</v>
      </c>
      <c r="F103" s="18">
        <f t="shared" si="3"/>
        <v>2.0833333335758653E-2</v>
      </c>
      <c r="G103" s="19">
        <f t="shared" si="4"/>
        <v>0.50000000005820766</v>
      </c>
      <c r="H103" s="20">
        <f t="shared" si="5"/>
        <v>30.00000000349246</v>
      </c>
    </row>
    <row r="104" spans="1:8" x14ac:dyDescent="0.25">
      <c r="A104">
        <v>105</v>
      </c>
      <c r="B104" t="s">
        <v>29</v>
      </c>
      <c r="C104">
        <v>1</v>
      </c>
      <c r="D104" t="s">
        <v>36</v>
      </c>
      <c r="E104" s="6">
        <v>46030.416666666664</v>
      </c>
      <c r="F104" s="18">
        <f t="shared" si="3"/>
        <v>7.6388888883229811E-2</v>
      </c>
      <c r="G104" s="19">
        <f t="shared" si="4"/>
        <v>1.8333333331975155</v>
      </c>
      <c r="H104" s="20">
        <f t="shared" si="5"/>
        <v>109.99999999185093</v>
      </c>
    </row>
    <row r="105" spans="1:8" x14ac:dyDescent="0.25">
      <c r="A105">
        <v>109</v>
      </c>
      <c r="B105" t="s">
        <v>33</v>
      </c>
      <c r="C105">
        <v>1</v>
      </c>
      <c r="D105" t="s">
        <v>30</v>
      </c>
      <c r="E105" s="6">
        <v>46030.423611111109</v>
      </c>
      <c r="F105" s="18">
        <f t="shared" si="3"/>
        <v>6.9444444452528842E-3</v>
      </c>
      <c r="G105" s="19">
        <f t="shared" si="4"/>
        <v>0.16666666668606922</v>
      </c>
      <c r="H105" s="20">
        <f t="shared" si="5"/>
        <v>10.000000001164153</v>
      </c>
    </row>
    <row r="106" spans="1:8" x14ac:dyDescent="0.25">
      <c r="A106">
        <v>100</v>
      </c>
      <c r="B106" t="s">
        <v>31</v>
      </c>
      <c r="C106">
        <v>1</v>
      </c>
      <c r="D106" t="s">
        <v>37</v>
      </c>
      <c r="E106" s="6">
        <v>46030.472222222219</v>
      </c>
      <c r="F106" s="18">
        <f t="shared" si="3"/>
        <v>4.8611111109494232E-2</v>
      </c>
      <c r="G106" s="19">
        <f t="shared" si="4"/>
        <v>1.1666666666278616</v>
      </c>
      <c r="H106" s="20">
        <f t="shared" si="5"/>
        <v>69.999999997671694</v>
      </c>
    </row>
    <row r="107" spans="1:8" x14ac:dyDescent="0.25">
      <c r="A107">
        <v>110</v>
      </c>
      <c r="B107" t="s">
        <v>33</v>
      </c>
      <c r="C107">
        <v>1</v>
      </c>
      <c r="D107" t="s">
        <v>30</v>
      </c>
      <c r="E107" s="6">
        <v>46030.520833333336</v>
      </c>
      <c r="F107" s="18">
        <f t="shared" si="3"/>
        <v>4.8611111116770189E-2</v>
      </c>
      <c r="G107" s="19">
        <f t="shared" si="4"/>
        <v>1.1666666668024845</v>
      </c>
      <c r="H107" s="20">
        <f t="shared" si="5"/>
        <v>70.000000008149073</v>
      </c>
    </row>
    <row r="108" spans="1:8" x14ac:dyDescent="0.25">
      <c r="A108">
        <v>101</v>
      </c>
      <c r="B108" t="s">
        <v>31</v>
      </c>
      <c r="C108">
        <v>1</v>
      </c>
      <c r="D108" t="s">
        <v>32</v>
      </c>
      <c r="E108" s="6">
        <v>46030.611111111109</v>
      </c>
      <c r="F108" s="18">
        <f t="shared" si="3"/>
        <v>9.0277777773735579E-2</v>
      </c>
      <c r="G108" s="19">
        <f t="shared" si="4"/>
        <v>2.1666666665696539</v>
      </c>
      <c r="H108" s="20">
        <f t="shared" si="5"/>
        <v>129.99999999417923</v>
      </c>
    </row>
    <row r="109" spans="1:8" x14ac:dyDescent="0.25">
      <c r="A109">
        <v>117</v>
      </c>
      <c r="B109" t="s">
        <v>33</v>
      </c>
      <c r="C109">
        <v>1</v>
      </c>
      <c r="D109" t="s">
        <v>30</v>
      </c>
      <c r="E109" s="6">
        <v>46030.618055555555</v>
      </c>
      <c r="F109" s="18">
        <f t="shared" si="3"/>
        <v>6.9444444452528842E-3</v>
      </c>
      <c r="G109" s="19">
        <f t="shared" si="4"/>
        <v>0.16666666668606922</v>
      </c>
      <c r="H109" s="20">
        <f t="shared" si="5"/>
        <v>10.000000001164153</v>
      </c>
    </row>
    <row r="110" spans="1:8" x14ac:dyDescent="0.25">
      <c r="A110">
        <v>103</v>
      </c>
      <c r="B110" t="s">
        <v>29</v>
      </c>
      <c r="C110">
        <v>1</v>
      </c>
      <c r="D110" t="s">
        <v>30</v>
      </c>
      <c r="E110" s="6">
        <v>46030.635416666664</v>
      </c>
      <c r="F110" s="18">
        <f t="shared" si="3"/>
        <v>1.7361111109494232E-2</v>
      </c>
      <c r="G110" s="19">
        <f t="shared" si="4"/>
        <v>0.41666666662786156</v>
      </c>
      <c r="H110" s="20">
        <f t="shared" si="5"/>
        <v>24.999999997671694</v>
      </c>
    </row>
    <row r="111" spans="1:8" x14ac:dyDescent="0.25">
      <c r="A111">
        <v>111</v>
      </c>
      <c r="B111" t="s">
        <v>29</v>
      </c>
      <c r="C111">
        <v>1</v>
      </c>
      <c r="D111" t="s">
        <v>30</v>
      </c>
      <c r="E111" s="6">
        <v>46030.724999999999</v>
      </c>
      <c r="F111" s="18">
        <f t="shared" si="3"/>
        <v>8.9583333334303461E-2</v>
      </c>
      <c r="G111" s="19">
        <f t="shared" si="4"/>
        <v>2.1500000000232831</v>
      </c>
      <c r="H111" s="20">
        <f t="shared" si="5"/>
        <v>129.00000000139698</v>
      </c>
    </row>
    <row r="112" spans="1:8" x14ac:dyDescent="0.25">
      <c r="A112">
        <v>119</v>
      </c>
      <c r="B112" t="s">
        <v>33</v>
      </c>
      <c r="C112">
        <v>1</v>
      </c>
      <c r="D112" t="s">
        <v>30</v>
      </c>
      <c r="E112" s="6">
        <v>46030.864583333336</v>
      </c>
      <c r="F112" s="18">
        <f t="shared" si="3"/>
        <v>0.13958333333721384</v>
      </c>
      <c r="G112" s="19">
        <f t="shared" si="4"/>
        <v>3.3500000000931323</v>
      </c>
      <c r="H112" s="20">
        <f t="shared" si="5"/>
        <v>201.00000000558794</v>
      </c>
    </row>
    <row r="113" spans="1:8" hidden="1" x14ac:dyDescent="0.25">
      <c r="A113">
        <v>63</v>
      </c>
      <c r="B113" t="s">
        <v>33</v>
      </c>
      <c r="C113">
        <v>1</v>
      </c>
      <c r="D113" t="s">
        <v>30</v>
      </c>
      <c r="E113" s="6">
        <v>46031.291666666664</v>
      </c>
      <c r="F113" s="18">
        <f t="shared" si="3"/>
        <v>0.42708333332848269</v>
      </c>
      <c r="G113" s="19">
        <f t="shared" si="4"/>
        <v>10.249999999883585</v>
      </c>
      <c r="H113" s="20">
        <f t="shared" si="5"/>
        <v>614.99999999301508</v>
      </c>
    </row>
    <row r="114" spans="1:8" hidden="1" x14ac:dyDescent="0.25">
      <c r="A114">
        <v>112</v>
      </c>
      <c r="B114" t="s">
        <v>31</v>
      </c>
      <c r="C114">
        <v>1</v>
      </c>
      <c r="D114" t="s">
        <v>34</v>
      </c>
      <c r="E114" s="6">
        <v>46031.291666666664</v>
      </c>
      <c r="F114" s="18">
        <f t="shared" si="3"/>
        <v>0</v>
      </c>
      <c r="G114" s="19">
        <f t="shared" si="4"/>
        <v>0</v>
      </c>
      <c r="H114" s="19">
        <f t="shared" si="5"/>
        <v>0</v>
      </c>
    </row>
    <row r="115" spans="1:8" x14ac:dyDescent="0.25">
      <c r="A115">
        <v>113</v>
      </c>
      <c r="B115" t="s">
        <v>31</v>
      </c>
      <c r="C115">
        <v>1</v>
      </c>
      <c r="D115" t="s">
        <v>36</v>
      </c>
      <c r="E115" s="6">
        <v>46031.34375</v>
      </c>
      <c r="F115" s="18">
        <f t="shared" si="3"/>
        <v>5.2083333335758653E-2</v>
      </c>
      <c r="G115" s="19">
        <f t="shared" si="4"/>
        <v>1.2500000000582077</v>
      </c>
      <c r="H115" s="20">
        <f t="shared" si="5"/>
        <v>75.00000000349246</v>
      </c>
    </row>
    <row r="116" spans="1:8" x14ac:dyDescent="0.25">
      <c r="A116">
        <v>114</v>
      </c>
      <c r="B116" t="s">
        <v>33</v>
      </c>
      <c r="C116">
        <v>1</v>
      </c>
      <c r="D116" t="s">
        <v>32</v>
      </c>
      <c r="E116" s="6">
        <v>46031.347222222219</v>
      </c>
      <c r="F116" s="18">
        <f t="shared" si="3"/>
        <v>3.4722222189884633E-3</v>
      </c>
      <c r="G116" s="19">
        <f t="shared" si="4"/>
        <v>8.3333333255723119E-2</v>
      </c>
      <c r="H116" s="20">
        <f t="shared" si="5"/>
        <v>4.9999999953433871</v>
      </c>
    </row>
    <row r="117" spans="1:8" x14ac:dyDescent="0.25">
      <c r="A117">
        <v>118</v>
      </c>
      <c r="B117" t="s">
        <v>33</v>
      </c>
      <c r="C117">
        <v>1</v>
      </c>
      <c r="D117" t="s">
        <v>35</v>
      </c>
      <c r="E117" s="6">
        <v>46031.375</v>
      </c>
      <c r="F117" s="18">
        <f t="shared" si="3"/>
        <v>2.7777777781011537E-2</v>
      </c>
      <c r="G117" s="19">
        <f t="shared" si="4"/>
        <v>0.66666666674427688</v>
      </c>
      <c r="H117" s="20">
        <f t="shared" si="5"/>
        <v>40.000000004656613</v>
      </c>
    </row>
    <row r="118" spans="1:8" x14ac:dyDescent="0.25">
      <c r="A118">
        <v>115</v>
      </c>
      <c r="B118" t="s">
        <v>31</v>
      </c>
      <c r="C118">
        <v>1</v>
      </c>
      <c r="D118" t="s">
        <v>37</v>
      </c>
      <c r="E118" s="6">
        <v>46031.5</v>
      </c>
      <c r="F118" s="18">
        <f t="shared" si="3"/>
        <v>0.125</v>
      </c>
      <c r="G118" s="19">
        <f t="shared" si="4"/>
        <v>3</v>
      </c>
      <c r="H118" s="20">
        <f t="shared" si="5"/>
        <v>180</v>
      </c>
    </row>
    <row r="119" spans="1:8" x14ac:dyDescent="0.25">
      <c r="A119">
        <v>123</v>
      </c>
      <c r="B119" t="s">
        <v>31</v>
      </c>
      <c r="C119">
        <v>1</v>
      </c>
      <c r="D119" t="s">
        <v>34</v>
      </c>
      <c r="E119" s="6">
        <v>46031.503472222219</v>
      </c>
      <c r="F119" s="18">
        <f t="shared" si="3"/>
        <v>3.4722222189884633E-3</v>
      </c>
      <c r="G119" s="19">
        <f t="shared" si="4"/>
        <v>8.3333333255723119E-2</v>
      </c>
      <c r="H119" s="20">
        <f t="shared" si="5"/>
        <v>4.9999999953433871</v>
      </c>
    </row>
    <row r="120" spans="1:8" x14ac:dyDescent="0.25">
      <c r="A120">
        <v>122</v>
      </c>
      <c r="B120" t="s">
        <v>31</v>
      </c>
      <c r="C120">
        <v>1</v>
      </c>
      <c r="D120" t="s">
        <v>36</v>
      </c>
      <c r="E120" s="6">
        <v>46031.538194444445</v>
      </c>
      <c r="F120" s="18">
        <f t="shared" si="3"/>
        <v>3.4722222226264421E-2</v>
      </c>
      <c r="G120" s="19">
        <f t="shared" si="4"/>
        <v>0.8333333334303461</v>
      </c>
      <c r="H120" s="20">
        <f t="shared" si="5"/>
        <v>50.000000005820766</v>
      </c>
    </row>
    <row r="121" spans="1:8" x14ac:dyDescent="0.25">
      <c r="A121">
        <v>121</v>
      </c>
      <c r="B121" t="s">
        <v>29</v>
      </c>
      <c r="C121">
        <v>1</v>
      </c>
      <c r="D121" t="s">
        <v>34</v>
      </c>
      <c r="E121" s="6">
        <v>46031.628472222219</v>
      </c>
      <c r="F121" s="18">
        <f t="shared" si="3"/>
        <v>9.0277777773735579E-2</v>
      </c>
      <c r="G121" s="19">
        <f t="shared" si="4"/>
        <v>2.1666666665696539</v>
      </c>
      <c r="H121" s="20">
        <f t="shared" si="5"/>
        <v>129.99999999417923</v>
      </c>
    </row>
    <row r="122" spans="1:8" x14ac:dyDescent="0.25">
      <c r="A122">
        <v>120</v>
      </c>
      <c r="B122" t="s">
        <v>33</v>
      </c>
      <c r="C122">
        <v>1</v>
      </c>
      <c r="D122" t="s">
        <v>32</v>
      </c>
      <c r="E122" s="6">
        <v>46031.638888888891</v>
      </c>
      <c r="F122" s="18">
        <f t="shared" si="3"/>
        <v>1.0416666671517305E-2</v>
      </c>
      <c r="G122" s="19">
        <f t="shared" si="4"/>
        <v>0.25000000011641532</v>
      </c>
      <c r="H122" s="20">
        <f t="shared" si="5"/>
        <v>15.000000006984919</v>
      </c>
    </row>
    <row r="123" spans="1:8" hidden="1" x14ac:dyDescent="0.25">
      <c r="A123">
        <v>124</v>
      </c>
      <c r="B123" t="s">
        <v>31</v>
      </c>
      <c r="C123">
        <v>1</v>
      </c>
      <c r="D123" t="s">
        <v>36</v>
      </c>
      <c r="E123" s="6">
        <v>46031.638888888891</v>
      </c>
      <c r="F123" s="18">
        <f t="shared" si="3"/>
        <v>0</v>
      </c>
      <c r="G123" s="19">
        <f t="shared" si="4"/>
        <v>0</v>
      </c>
      <c r="H123" s="19">
        <f t="shared" si="5"/>
        <v>0</v>
      </c>
    </row>
    <row r="124" spans="1:8" x14ac:dyDescent="0.25">
      <c r="A124">
        <v>116</v>
      </c>
      <c r="B124" t="s">
        <v>33</v>
      </c>
      <c r="C124">
        <v>1</v>
      </c>
      <c r="D124" t="s">
        <v>35</v>
      </c>
      <c r="E124" s="6">
        <v>46031.6875</v>
      </c>
      <c r="F124" s="18">
        <f t="shared" si="3"/>
        <v>4.8611111109494232E-2</v>
      </c>
      <c r="G124" s="19">
        <f t="shared" si="4"/>
        <v>1.1666666666278616</v>
      </c>
      <c r="H124" s="20">
        <f t="shared" si="5"/>
        <v>69.999999997671694</v>
      </c>
    </row>
    <row r="125" spans="1:8" x14ac:dyDescent="0.25">
      <c r="A125">
        <v>131</v>
      </c>
      <c r="B125" t="s">
        <v>33</v>
      </c>
      <c r="C125">
        <v>1</v>
      </c>
      <c r="D125" t="s">
        <v>34</v>
      </c>
      <c r="E125" s="6">
        <v>46031.743055555555</v>
      </c>
      <c r="F125" s="18">
        <f t="shared" si="3"/>
        <v>5.5555555554747116E-2</v>
      </c>
      <c r="G125" s="19">
        <f t="shared" si="4"/>
        <v>1.3333333333139308</v>
      </c>
      <c r="H125" s="20">
        <f t="shared" si="5"/>
        <v>79.999999998835847</v>
      </c>
    </row>
    <row r="126" spans="1:8" x14ac:dyDescent="0.25">
      <c r="A126">
        <v>133</v>
      </c>
      <c r="B126" t="s">
        <v>31</v>
      </c>
      <c r="C126">
        <v>1</v>
      </c>
      <c r="D126" t="s">
        <v>30</v>
      </c>
      <c r="E126" s="6">
        <v>46031.767361111109</v>
      </c>
      <c r="F126" s="18">
        <f t="shared" si="3"/>
        <v>2.4305555554747116E-2</v>
      </c>
      <c r="G126" s="19">
        <f t="shared" si="4"/>
        <v>0.58333333331393078</v>
      </c>
      <c r="H126" s="20">
        <f t="shared" si="5"/>
        <v>34.999999998835847</v>
      </c>
    </row>
    <row r="127" spans="1:8" x14ac:dyDescent="0.25">
      <c r="A127">
        <v>134</v>
      </c>
      <c r="B127" t="s">
        <v>33</v>
      </c>
      <c r="C127">
        <v>1</v>
      </c>
      <c r="D127" t="s">
        <v>36</v>
      </c>
      <c r="E127" s="6">
        <v>46031.888888888891</v>
      </c>
      <c r="F127" s="18">
        <f t="shared" si="3"/>
        <v>0.12152777778101154</v>
      </c>
      <c r="G127" s="19">
        <f t="shared" si="4"/>
        <v>2.9166666667442769</v>
      </c>
      <c r="H127" s="20">
        <f t="shared" si="5"/>
        <v>175.00000000465661</v>
      </c>
    </row>
    <row r="128" spans="1:8" x14ac:dyDescent="0.25">
      <c r="A128">
        <v>135</v>
      </c>
      <c r="B128" t="s">
        <v>31</v>
      </c>
      <c r="C128">
        <v>1</v>
      </c>
      <c r="D128" t="s">
        <v>34</v>
      </c>
      <c r="E128" s="6">
        <v>46031.993055555555</v>
      </c>
      <c r="F128" s="18">
        <f t="shared" si="3"/>
        <v>0.10416666666424135</v>
      </c>
      <c r="G128" s="19">
        <f t="shared" si="4"/>
        <v>2.4999999999417923</v>
      </c>
      <c r="H128" s="20">
        <f t="shared" si="5"/>
        <v>149.99999999650754</v>
      </c>
    </row>
    <row r="129" spans="1:8" hidden="1" x14ac:dyDescent="0.25">
      <c r="A129">
        <v>136</v>
      </c>
      <c r="B129" t="s">
        <v>31</v>
      </c>
      <c r="C129">
        <v>1</v>
      </c>
      <c r="D129" t="s">
        <v>30</v>
      </c>
      <c r="E129" s="6">
        <v>46032.416666666664</v>
      </c>
      <c r="F129" s="18">
        <f t="shared" si="3"/>
        <v>0.42361111110949423</v>
      </c>
      <c r="G129" s="19">
        <f t="shared" si="4"/>
        <v>10.166666666627862</v>
      </c>
      <c r="H129" s="20">
        <f t="shared" si="5"/>
        <v>609.99999999767169</v>
      </c>
    </row>
    <row r="130" spans="1:8" x14ac:dyDescent="0.25">
      <c r="A130">
        <v>137</v>
      </c>
      <c r="B130" t="s">
        <v>31</v>
      </c>
      <c r="C130">
        <v>1</v>
      </c>
      <c r="D130" t="s">
        <v>35</v>
      </c>
      <c r="E130" s="6">
        <v>46032.445138888892</v>
      </c>
      <c r="F130" s="18">
        <f t="shared" si="3"/>
        <v>2.8472222227719612E-2</v>
      </c>
      <c r="G130" s="19">
        <f t="shared" si="4"/>
        <v>0.6833333334652707</v>
      </c>
      <c r="H130" s="20">
        <f t="shared" si="5"/>
        <v>41.000000007916242</v>
      </c>
    </row>
    <row r="131" spans="1:8" x14ac:dyDescent="0.25">
      <c r="A131">
        <v>127</v>
      </c>
      <c r="B131" t="s">
        <v>33</v>
      </c>
      <c r="C131">
        <v>1</v>
      </c>
      <c r="D131" t="s">
        <v>34</v>
      </c>
      <c r="E131" s="6">
        <v>46032.454861111109</v>
      </c>
      <c r="F131" s="18">
        <f t="shared" si="3"/>
        <v>9.7222222175332718E-3</v>
      </c>
      <c r="G131" s="19">
        <f t="shared" si="4"/>
        <v>0.23333333322079852</v>
      </c>
      <c r="H131" s="20">
        <f t="shared" si="5"/>
        <v>13.999999993247911</v>
      </c>
    </row>
    <row r="132" spans="1:8" x14ac:dyDescent="0.25">
      <c r="A132">
        <v>138</v>
      </c>
      <c r="B132" t="s">
        <v>33</v>
      </c>
      <c r="C132">
        <v>1</v>
      </c>
      <c r="D132" t="s">
        <v>30</v>
      </c>
      <c r="E132" s="6">
        <v>46032.520833333336</v>
      </c>
      <c r="F132" s="18">
        <f t="shared" si="3"/>
        <v>6.5972222226264421E-2</v>
      </c>
      <c r="G132" s="19">
        <f t="shared" si="4"/>
        <v>1.5833333334303461</v>
      </c>
      <c r="H132" s="20">
        <f t="shared" si="5"/>
        <v>95.000000005820766</v>
      </c>
    </row>
    <row r="133" spans="1:8" x14ac:dyDescent="0.25">
      <c r="A133">
        <v>125</v>
      </c>
      <c r="B133" t="s">
        <v>33</v>
      </c>
      <c r="C133">
        <v>1</v>
      </c>
      <c r="D133" t="s">
        <v>35</v>
      </c>
      <c r="E133" s="6">
        <v>46032.576388888891</v>
      </c>
      <c r="F133" s="18">
        <f t="shared" ref="F133:F196" si="6">E133-E132</f>
        <v>5.5555555554747116E-2</v>
      </c>
      <c r="G133" s="19">
        <f t="shared" ref="G133:G196" si="7">F133*24</f>
        <v>1.3333333333139308</v>
      </c>
      <c r="H133" s="20">
        <f t="shared" ref="H133:H196" si="8">G133*60</f>
        <v>79.999999998835847</v>
      </c>
    </row>
    <row r="134" spans="1:8" x14ac:dyDescent="0.25">
      <c r="A134">
        <v>126</v>
      </c>
      <c r="B134" t="s">
        <v>29</v>
      </c>
      <c r="C134">
        <v>1</v>
      </c>
      <c r="D134" t="s">
        <v>35</v>
      </c>
      <c r="E134" s="6">
        <v>46032.697916666664</v>
      </c>
      <c r="F134" s="18">
        <f t="shared" si="6"/>
        <v>0.12152777777373558</v>
      </c>
      <c r="G134" s="19">
        <f t="shared" si="7"/>
        <v>2.9166666665696539</v>
      </c>
      <c r="H134" s="20">
        <f t="shared" si="8"/>
        <v>174.99999999417923</v>
      </c>
    </row>
    <row r="135" spans="1:8" x14ac:dyDescent="0.25">
      <c r="A135">
        <v>139</v>
      </c>
      <c r="B135" t="s">
        <v>29</v>
      </c>
      <c r="C135">
        <v>1</v>
      </c>
      <c r="D135" t="s">
        <v>30</v>
      </c>
      <c r="E135" s="6">
        <v>46032.770833333336</v>
      </c>
      <c r="F135" s="18">
        <f t="shared" si="6"/>
        <v>7.2916666671517305E-2</v>
      </c>
      <c r="G135" s="19">
        <f t="shared" si="7"/>
        <v>1.7500000001164153</v>
      </c>
      <c r="H135" s="20">
        <f t="shared" si="8"/>
        <v>105.00000000698492</v>
      </c>
    </row>
    <row r="136" spans="1:8" x14ac:dyDescent="0.25">
      <c r="A136">
        <v>140</v>
      </c>
      <c r="B136" t="s">
        <v>31</v>
      </c>
      <c r="C136">
        <v>1</v>
      </c>
      <c r="D136" t="s">
        <v>30</v>
      </c>
      <c r="E136" s="6">
        <v>46032.850694444445</v>
      </c>
      <c r="F136" s="18">
        <f t="shared" si="6"/>
        <v>7.9861111109494232E-2</v>
      </c>
      <c r="G136" s="19">
        <f t="shared" si="7"/>
        <v>1.9166666666278616</v>
      </c>
      <c r="H136" s="20">
        <f t="shared" si="8"/>
        <v>114.99999999767169</v>
      </c>
    </row>
    <row r="137" spans="1:8" hidden="1" x14ac:dyDescent="0.25">
      <c r="A137">
        <v>141</v>
      </c>
      <c r="B137" t="s">
        <v>31</v>
      </c>
      <c r="C137">
        <v>1</v>
      </c>
      <c r="D137" t="s">
        <v>30</v>
      </c>
      <c r="E137" s="6">
        <v>46033.409722222219</v>
      </c>
      <c r="F137" s="18">
        <f t="shared" si="6"/>
        <v>0.55902777777373558</v>
      </c>
      <c r="G137" s="19">
        <f t="shared" si="7"/>
        <v>13.416666666569654</v>
      </c>
      <c r="H137" s="20">
        <f t="shared" si="8"/>
        <v>804.99999999417923</v>
      </c>
    </row>
    <row r="138" spans="1:8" x14ac:dyDescent="0.25">
      <c r="A138">
        <v>142</v>
      </c>
      <c r="B138" t="s">
        <v>33</v>
      </c>
      <c r="C138">
        <v>1</v>
      </c>
      <c r="D138" t="s">
        <v>30</v>
      </c>
      <c r="E138" s="6">
        <v>46033.452777777777</v>
      </c>
      <c r="F138" s="18">
        <f t="shared" si="6"/>
        <v>4.3055555557657499E-2</v>
      </c>
      <c r="G138" s="19">
        <f t="shared" si="7"/>
        <v>1.03333333338378</v>
      </c>
      <c r="H138" s="20">
        <f t="shared" si="8"/>
        <v>62.000000003026798</v>
      </c>
    </row>
    <row r="139" spans="1:8" x14ac:dyDescent="0.25">
      <c r="A139">
        <v>143</v>
      </c>
      <c r="B139" t="s">
        <v>33</v>
      </c>
      <c r="C139">
        <v>1</v>
      </c>
      <c r="D139" t="s">
        <v>36</v>
      </c>
      <c r="E139" s="6">
        <v>46033.454861111109</v>
      </c>
      <c r="F139" s="18">
        <f t="shared" si="6"/>
        <v>2.0833333328482695E-3</v>
      </c>
      <c r="G139" s="19">
        <f t="shared" si="7"/>
        <v>4.9999999988358468E-2</v>
      </c>
      <c r="H139" s="20">
        <f t="shared" si="8"/>
        <v>2.9999999993015081</v>
      </c>
    </row>
    <row r="140" spans="1:8" x14ac:dyDescent="0.25">
      <c r="A140">
        <v>147</v>
      </c>
      <c r="B140" t="s">
        <v>33</v>
      </c>
      <c r="C140">
        <v>1</v>
      </c>
      <c r="D140" t="s">
        <v>30</v>
      </c>
      <c r="E140" s="6">
        <v>46033.611111111109</v>
      </c>
      <c r="F140" s="18">
        <f t="shared" si="6"/>
        <v>0.15625</v>
      </c>
      <c r="G140" s="19">
        <f t="shared" si="7"/>
        <v>3.75</v>
      </c>
      <c r="H140" s="20">
        <f t="shared" si="8"/>
        <v>225</v>
      </c>
    </row>
    <row r="141" spans="1:8" x14ac:dyDescent="0.25">
      <c r="A141">
        <v>151</v>
      </c>
      <c r="B141" t="s">
        <v>33</v>
      </c>
      <c r="C141">
        <v>1</v>
      </c>
      <c r="D141" t="s">
        <v>30</v>
      </c>
      <c r="E141" s="6">
        <v>46033.708333333336</v>
      </c>
      <c r="F141" s="18">
        <f t="shared" si="6"/>
        <v>9.7222222226264421E-2</v>
      </c>
      <c r="G141" s="19">
        <f t="shared" si="7"/>
        <v>2.3333333334303461</v>
      </c>
      <c r="H141" s="20">
        <f t="shared" si="8"/>
        <v>140.00000000582077</v>
      </c>
    </row>
    <row r="142" spans="1:8" x14ac:dyDescent="0.25">
      <c r="A142">
        <v>153</v>
      </c>
      <c r="B142" t="s">
        <v>29</v>
      </c>
      <c r="C142">
        <v>1</v>
      </c>
      <c r="D142" t="s">
        <v>30</v>
      </c>
      <c r="E142" s="6">
        <v>46033.878472222219</v>
      </c>
      <c r="F142" s="18">
        <f t="shared" si="6"/>
        <v>0.17013888888322981</v>
      </c>
      <c r="G142" s="19">
        <f t="shared" si="7"/>
        <v>4.0833333331975155</v>
      </c>
      <c r="H142" s="20">
        <f t="shared" si="8"/>
        <v>244.99999999185093</v>
      </c>
    </row>
    <row r="143" spans="1:8" x14ac:dyDescent="0.25">
      <c r="A143">
        <v>152</v>
      </c>
      <c r="B143" t="s">
        <v>33</v>
      </c>
      <c r="C143">
        <v>1</v>
      </c>
      <c r="D143" t="s">
        <v>34</v>
      </c>
      <c r="E143" s="6">
        <v>46033.892361111109</v>
      </c>
      <c r="F143" s="18">
        <f t="shared" si="6"/>
        <v>1.3888888890505768E-2</v>
      </c>
      <c r="G143" s="19">
        <f t="shared" si="7"/>
        <v>0.33333333337213844</v>
      </c>
      <c r="H143" s="20">
        <f t="shared" si="8"/>
        <v>20.000000002328306</v>
      </c>
    </row>
    <row r="144" spans="1:8" x14ac:dyDescent="0.25">
      <c r="A144">
        <v>154</v>
      </c>
      <c r="B144" t="s">
        <v>29</v>
      </c>
      <c r="C144">
        <v>1</v>
      </c>
      <c r="D144" t="s">
        <v>35</v>
      </c>
      <c r="E144" s="6">
        <v>46033.9375</v>
      </c>
      <c r="F144" s="18">
        <f t="shared" si="6"/>
        <v>4.5138888890505768E-2</v>
      </c>
      <c r="G144" s="19">
        <f t="shared" si="7"/>
        <v>1.0833333333721384</v>
      </c>
      <c r="H144" s="20">
        <f t="shared" si="8"/>
        <v>65.000000002328306</v>
      </c>
    </row>
    <row r="145" spans="1:8" x14ac:dyDescent="0.25">
      <c r="A145">
        <v>157</v>
      </c>
      <c r="B145" t="s">
        <v>29</v>
      </c>
      <c r="C145">
        <v>1</v>
      </c>
      <c r="D145" t="s">
        <v>36</v>
      </c>
      <c r="E145" s="6">
        <v>46033.965277777781</v>
      </c>
      <c r="F145" s="18">
        <f t="shared" si="6"/>
        <v>2.7777777781011537E-2</v>
      </c>
      <c r="G145" s="19">
        <f t="shared" si="7"/>
        <v>0.66666666674427688</v>
      </c>
      <c r="H145" s="20">
        <f t="shared" si="8"/>
        <v>40.000000004656613</v>
      </c>
    </row>
    <row r="146" spans="1:8" x14ac:dyDescent="0.25">
      <c r="A146">
        <v>158</v>
      </c>
      <c r="B146" t="s">
        <v>33</v>
      </c>
      <c r="C146">
        <v>1</v>
      </c>
      <c r="D146" t="s">
        <v>34</v>
      </c>
      <c r="E146" s="6">
        <v>46034.027777777781</v>
      </c>
      <c r="F146" s="18">
        <f t="shared" si="6"/>
        <v>6.25E-2</v>
      </c>
      <c r="G146" s="19">
        <f t="shared" si="7"/>
        <v>1.5</v>
      </c>
      <c r="H146" s="20">
        <f t="shared" si="8"/>
        <v>90</v>
      </c>
    </row>
    <row r="147" spans="1:8" x14ac:dyDescent="0.25">
      <c r="A147">
        <v>159</v>
      </c>
      <c r="B147" t="s">
        <v>31</v>
      </c>
      <c r="C147">
        <v>1</v>
      </c>
      <c r="D147" t="s">
        <v>37</v>
      </c>
      <c r="E147" s="6">
        <v>46034.097916666666</v>
      </c>
      <c r="F147" s="18">
        <f t="shared" si="6"/>
        <v>7.0138888884685002E-2</v>
      </c>
      <c r="G147" s="19">
        <f t="shared" si="7"/>
        <v>1.6833333332324401</v>
      </c>
      <c r="H147" s="20">
        <f t="shared" si="8"/>
        <v>100.9999999939464</v>
      </c>
    </row>
    <row r="148" spans="1:8" hidden="1" x14ac:dyDescent="0.25">
      <c r="A148">
        <v>129</v>
      </c>
      <c r="B148" t="s">
        <v>29</v>
      </c>
      <c r="C148">
        <v>1</v>
      </c>
      <c r="D148" t="s">
        <v>35</v>
      </c>
      <c r="E148" s="6">
        <v>46034.291666666664</v>
      </c>
      <c r="F148" s="18">
        <f t="shared" si="6"/>
        <v>0.19374999999854481</v>
      </c>
      <c r="G148" s="19">
        <f t="shared" si="7"/>
        <v>4.6499999999650754</v>
      </c>
      <c r="H148" s="20">
        <f t="shared" si="8"/>
        <v>278.99999999790452</v>
      </c>
    </row>
    <row r="149" spans="1:8" hidden="1" x14ac:dyDescent="0.25">
      <c r="A149">
        <v>145</v>
      </c>
      <c r="B149" t="s">
        <v>29</v>
      </c>
      <c r="C149">
        <v>1</v>
      </c>
      <c r="D149" t="s">
        <v>34</v>
      </c>
      <c r="E149" s="6">
        <v>46034.291666666664</v>
      </c>
      <c r="F149" s="18">
        <f t="shared" si="6"/>
        <v>0</v>
      </c>
      <c r="G149" s="19">
        <f t="shared" si="7"/>
        <v>0</v>
      </c>
      <c r="H149" s="19">
        <f t="shared" si="8"/>
        <v>0</v>
      </c>
    </row>
    <row r="150" spans="1:8" x14ac:dyDescent="0.25">
      <c r="A150">
        <v>144</v>
      </c>
      <c r="B150" t="s">
        <v>31</v>
      </c>
      <c r="C150">
        <v>1</v>
      </c>
      <c r="D150" t="s">
        <v>30</v>
      </c>
      <c r="E150" s="6">
        <v>46034.340277777781</v>
      </c>
      <c r="F150" s="18">
        <f t="shared" si="6"/>
        <v>4.8611111116770189E-2</v>
      </c>
      <c r="G150" s="19">
        <f t="shared" si="7"/>
        <v>1.1666666668024845</v>
      </c>
      <c r="H150" s="20">
        <f t="shared" si="8"/>
        <v>70.000000008149073</v>
      </c>
    </row>
    <row r="151" spans="1:8" x14ac:dyDescent="0.25">
      <c r="A151">
        <v>155</v>
      </c>
      <c r="B151" t="s">
        <v>33</v>
      </c>
      <c r="C151">
        <v>1</v>
      </c>
      <c r="D151" t="s">
        <v>32</v>
      </c>
      <c r="E151" s="6">
        <v>46034.357638888891</v>
      </c>
      <c r="F151" s="18">
        <f t="shared" si="6"/>
        <v>1.7361111109494232E-2</v>
      </c>
      <c r="G151" s="19">
        <f t="shared" si="7"/>
        <v>0.41666666662786156</v>
      </c>
      <c r="H151" s="20">
        <f t="shared" si="8"/>
        <v>24.999999997671694</v>
      </c>
    </row>
    <row r="152" spans="1:8" x14ac:dyDescent="0.25">
      <c r="A152">
        <v>148</v>
      </c>
      <c r="B152" t="s">
        <v>33</v>
      </c>
      <c r="C152">
        <v>1</v>
      </c>
      <c r="D152" t="s">
        <v>30</v>
      </c>
      <c r="E152" s="6">
        <v>46034.375</v>
      </c>
      <c r="F152" s="18">
        <f t="shared" si="6"/>
        <v>1.7361111109494232E-2</v>
      </c>
      <c r="G152" s="19">
        <f t="shared" si="7"/>
        <v>0.41666666662786156</v>
      </c>
      <c r="H152" s="20">
        <f t="shared" si="8"/>
        <v>24.999999997671694</v>
      </c>
    </row>
    <row r="153" spans="1:8" x14ac:dyDescent="0.25">
      <c r="A153">
        <v>146</v>
      </c>
      <c r="B153" t="s">
        <v>31</v>
      </c>
      <c r="C153">
        <v>1</v>
      </c>
      <c r="D153" t="s">
        <v>34</v>
      </c>
      <c r="E153" s="6">
        <v>46034.409722222219</v>
      </c>
      <c r="F153" s="18">
        <f t="shared" si="6"/>
        <v>3.4722222218988463E-2</v>
      </c>
      <c r="G153" s="19">
        <f t="shared" si="7"/>
        <v>0.83333333325572312</v>
      </c>
      <c r="H153" s="20">
        <f t="shared" si="8"/>
        <v>49.999999995343387</v>
      </c>
    </row>
    <row r="154" spans="1:8" x14ac:dyDescent="0.25">
      <c r="A154">
        <v>156</v>
      </c>
      <c r="B154" t="s">
        <v>33</v>
      </c>
      <c r="C154">
        <v>1</v>
      </c>
      <c r="D154" t="s">
        <v>36</v>
      </c>
      <c r="E154" s="6">
        <v>46034.46875</v>
      </c>
      <c r="F154" s="18">
        <f t="shared" si="6"/>
        <v>5.9027777781011537E-2</v>
      </c>
      <c r="G154" s="19">
        <f t="shared" si="7"/>
        <v>1.4166666667442769</v>
      </c>
      <c r="H154" s="20">
        <f t="shared" si="8"/>
        <v>85.000000004656613</v>
      </c>
    </row>
    <row r="155" spans="1:8" x14ac:dyDescent="0.25">
      <c r="A155">
        <v>150</v>
      </c>
      <c r="B155" t="s">
        <v>33</v>
      </c>
      <c r="C155">
        <v>1</v>
      </c>
      <c r="D155" t="s">
        <v>32</v>
      </c>
      <c r="E155" s="6">
        <v>46034.472222222219</v>
      </c>
      <c r="F155" s="18">
        <f t="shared" si="6"/>
        <v>3.4722222189884633E-3</v>
      </c>
      <c r="G155" s="19">
        <f t="shared" si="7"/>
        <v>8.3333333255723119E-2</v>
      </c>
      <c r="H155" s="20">
        <f t="shared" si="8"/>
        <v>4.9999999953433871</v>
      </c>
    </row>
    <row r="156" spans="1:8" x14ac:dyDescent="0.25">
      <c r="A156">
        <v>128</v>
      </c>
      <c r="B156" t="s">
        <v>29</v>
      </c>
      <c r="C156">
        <v>1</v>
      </c>
      <c r="D156" t="s">
        <v>35</v>
      </c>
      <c r="E156" s="6">
        <v>46034.482638888891</v>
      </c>
      <c r="F156" s="18">
        <f t="shared" si="6"/>
        <v>1.0416666671517305E-2</v>
      </c>
      <c r="G156" s="19">
        <f t="shared" si="7"/>
        <v>0.25000000011641532</v>
      </c>
      <c r="H156" s="20">
        <f t="shared" si="8"/>
        <v>15.000000006984919</v>
      </c>
    </row>
    <row r="157" spans="1:8" x14ac:dyDescent="0.25">
      <c r="A157">
        <v>149</v>
      </c>
      <c r="B157" t="s">
        <v>29</v>
      </c>
      <c r="C157">
        <v>1</v>
      </c>
      <c r="D157" t="s">
        <v>30</v>
      </c>
      <c r="E157" s="6">
        <v>46034.506944444445</v>
      </c>
      <c r="F157" s="18">
        <f t="shared" si="6"/>
        <v>2.4305555554747116E-2</v>
      </c>
      <c r="G157" s="19">
        <f t="shared" si="7"/>
        <v>0.58333333331393078</v>
      </c>
      <c r="H157" s="20">
        <f t="shared" si="8"/>
        <v>34.999999998835847</v>
      </c>
    </row>
    <row r="158" spans="1:8" x14ac:dyDescent="0.25">
      <c r="A158">
        <v>132</v>
      </c>
      <c r="B158" t="s">
        <v>33</v>
      </c>
      <c r="C158">
        <v>1</v>
      </c>
      <c r="D158" t="s">
        <v>30</v>
      </c>
      <c r="E158" s="6">
        <v>46034.591666666667</v>
      </c>
      <c r="F158" s="18">
        <f t="shared" si="6"/>
        <v>8.4722222221898846E-2</v>
      </c>
      <c r="G158" s="19">
        <f t="shared" si="7"/>
        <v>2.0333333333255723</v>
      </c>
      <c r="H158" s="20">
        <f t="shared" si="8"/>
        <v>121.99999999953434</v>
      </c>
    </row>
    <row r="159" spans="1:8" x14ac:dyDescent="0.25">
      <c r="A159">
        <v>160</v>
      </c>
      <c r="B159" t="s">
        <v>29</v>
      </c>
      <c r="C159">
        <v>1</v>
      </c>
      <c r="D159" t="s">
        <v>36</v>
      </c>
      <c r="E159" s="6">
        <v>46034.694444444445</v>
      </c>
      <c r="F159" s="18">
        <f t="shared" si="6"/>
        <v>0.10277777777810115</v>
      </c>
      <c r="G159" s="19">
        <f t="shared" si="7"/>
        <v>2.4666666666744277</v>
      </c>
      <c r="H159" s="20">
        <f t="shared" si="8"/>
        <v>148.00000000046566</v>
      </c>
    </row>
    <row r="160" spans="1:8" hidden="1" x14ac:dyDescent="0.25">
      <c r="A160">
        <v>175</v>
      </c>
      <c r="B160" t="s">
        <v>33</v>
      </c>
      <c r="C160">
        <v>1</v>
      </c>
      <c r="D160" t="s">
        <v>30</v>
      </c>
      <c r="E160" s="6">
        <v>46034.930555555555</v>
      </c>
      <c r="F160" s="18">
        <f t="shared" si="6"/>
        <v>0.23611111110949423</v>
      </c>
      <c r="G160" s="19">
        <f t="shared" si="7"/>
        <v>5.6666666666278616</v>
      </c>
      <c r="H160" s="20">
        <f t="shared" si="8"/>
        <v>339.99999999767169</v>
      </c>
    </row>
    <row r="161" spans="1:8" hidden="1" x14ac:dyDescent="0.25">
      <c r="A161">
        <v>176</v>
      </c>
      <c r="B161" t="s">
        <v>31</v>
      </c>
      <c r="C161">
        <v>1</v>
      </c>
      <c r="D161" t="s">
        <v>30</v>
      </c>
      <c r="E161" s="6">
        <v>46034.930555555555</v>
      </c>
      <c r="F161" s="18">
        <f t="shared" si="6"/>
        <v>0</v>
      </c>
      <c r="G161" s="19">
        <f t="shared" si="7"/>
        <v>0</v>
      </c>
      <c r="H161" s="19">
        <f t="shared" si="8"/>
        <v>0</v>
      </c>
    </row>
    <row r="162" spans="1:8" x14ac:dyDescent="0.25">
      <c r="A162">
        <v>177</v>
      </c>
      <c r="B162" t="s">
        <v>29</v>
      </c>
      <c r="C162">
        <v>1</v>
      </c>
      <c r="D162" t="s">
        <v>30</v>
      </c>
      <c r="E162" s="6">
        <v>46034.976388888892</v>
      </c>
      <c r="F162" s="18">
        <f t="shared" si="6"/>
        <v>4.5833333337213844E-2</v>
      </c>
      <c r="G162" s="19">
        <f t="shared" si="7"/>
        <v>1.1000000000931323</v>
      </c>
      <c r="H162" s="20">
        <f t="shared" si="8"/>
        <v>66.000000005587935</v>
      </c>
    </row>
    <row r="163" spans="1:8" hidden="1" x14ac:dyDescent="0.25">
      <c r="A163">
        <v>170</v>
      </c>
      <c r="B163" t="s">
        <v>29</v>
      </c>
      <c r="C163">
        <v>1</v>
      </c>
      <c r="D163" t="s">
        <v>34</v>
      </c>
      <c r="E163" s="6">
        <v>46035.25</v>
      </c>
      <c r="F163" s="18">
        <f t="shared" si="6"/>
        <v>0.27361111110803904</v>
      </c>
      <c r="G163" s="19">
        <f t="shared" si="7"/>
        <v>6.566666666592937</v>
      </c>
      <c r="H163" s="20">
        <f t="shared" si="8"/>
        <v>393.99999999557622</v>
      </c>
    </row>
    <row r="164" spans="1:8" x14ac:dyDescent="0.25">
      <c r="A164">
        <v>168</v>
      </c>
      <c r="B164" t="s">
        <v>33</v>
      </c>
      <c r="C164">
        <v>1</v>
      </c>
      <c r="D164" t="s">
        <v>36</v>
      </c>
      <c r="E164" s="6">
        <v>46035.270833333336</v>
      </c>
      <c r="F164" s="18">
        <f t="shared" si="6"/>
        <v>2.0833333335758653E-2</v>
      </c>
      <c r="G164" s="19">
        <f t="shared" si="7"/>
        <v>0.50000000005820766</v>
      </c>
      <c r="H164" s="20">
        <f t="shared" si="8"/>
        <v>30.00000000349246</v>
      </c>
    </row>
    <row r="165" spans="1:8" x14ac:dyDescent="0.25">
      <c r="A165">
        <v>169</v>
      </c>
      <c r="B165" t="s">
        <v>31</v>
      </c>
      <c r="C165">
        <v>1</v>
      </c>
      <c r="D165" t="s">
        <v>30</v>
      </c>
      <c r="E165" s="6">
        <v>46035.28125</v>
      </c>
      <c r="F165" s="18">
        <f t="shared" si="6"/>
        <v>1.0416666664241347E-2</v>
      </c>
      <c r="G165" s="19">
        <f t="shared" si="7"/>
        <v>0.24999999994179234</v>
      </c>
      <c r="H165" s="20">
        <f t="shared" si="8"/>
        <v>14.99999999650754</v>
      </c>
    </row>
    <row r="166" spans="1:8" x14ac:dyDescent="0.25">
      <c r="A166">
        <v>165</v>
      </c>
      <c r="B166" t="s">
        <v>29</v>
      </c>
      <c r="C166">
        <v>1</v>
      </c>
      <c r="D166" t="s">
        <v>30</v>
      </c>
      <c r="E166" s="6">
        <v>46035.288194444445</v>
      </c>
      <c r="F166" s="18">
        <f t="shared" si="6"/>
        <v>6.9444444452528842E-3</v>
      </c>
      <c r="G166" s="19">
        <f t="shared" si="7"/>
        <v>0.16666666668606922</v>
      </c>
      <c r="H166" s="20">
        <f t="shared" si="8"/>
        <v>10.000000001164153</v>
      </c>
    </row>
    <row r="167" spans="1:8" x14ac:dyDescent="0.25">
      <c r="A167">
        <v>163</v>
      </c>
      <c r="B167" t="s">
        <v>33</v>
      </c>
      <c r="C167">
        <v>1</v>
      </c>
      <c r="D167" t="s">
        <v>36</v>
      </c>
      <c r="E167" s="6">
        <v>46035.317361111112</v>
      </c>
      <c r="F167" s="18">
        <f t="shared" si="6"/>
        <v>2.9166666667151731E-2</v>
      </c>
      <c r="G167" s="19">
        <f t="shared" si="7"/>
        <v>0.70000000001164153</v>
      </c>
      <c r="H167" s="20">
        <f t="shared" si="8"/>
        <v>42.000000000698492</v>
      </c>
    </row>
    <row r="168" spans="1:8" x14ac:dyDescent="0.25">
      <c r="A168">
        <v>130</v>
      </c>
      <c r="B168" t="s">
        <v>33</v>
      </c>
      <c r="C168">
        <v>1</v>
      </c>
      <c r="D168" t="s">
        <v>32</v>
      </c>
      <c r="E168" s="6">
        <v>46035.322916666664</v>
      </c>
      <c r="F168" s="18">
        <f t="shared" si="6"/>
        <v>5.5555555518367328E-3</v>
      </c>
      <c r="G168" s="19">
        <f t="shared" si="7"/>
        <v>0.13333333324408159</v>
      </c>
      <c r="H168" s="20">
        <f t="shared" si="8"/>
        <v>7.9999999946448952</v>
      </c>
    </row>
    <row r="169" spans="1:8" x14ac:dyDescent="0.25">
      <c r="A169">
        <v>85</v>
      </c>
      <c r="B169" t="s">
        <v>29</v>
      </c>
      <c r="C169">
        <v>1</v>
      </c>
      <c r="D169" t="s">
        <v>32</v>
      </c>
      <c r="E169" s="6">
        <v>46035.371527777781</v>
      </c>
      <c r="F169" s="18">
        <f t="shared" si="6"/>
        <v>4.8611111116770189E-2</v>
      </c>
      <c r="G169" s="19">
        <f t="shared" si="7"/>
        <v>1.1666666668024845</v>
      </c>
      <c r="H169" s="20">
        <f t="shared" si="8"/>
        <v>70.000000008149073</v>
      </c>
    </row>
    <row r="170" spans="1:8" x14ac:dyDescent="0.25">
      <c r="A170">
        <v>3</v>
      </c>
      <c r="B170" t="s">
        <v>31</v>
      </c>
      <c r="C170">
        <v>1</v>
      </c>
      <c r="D170" t="s">
        <v>30</v>
      </c>
      <c r="E170" s="6">
        <v>46035.375</v>
      </c>
      <c r="F170" s="18">
        <f t="shared" si="6"/>
        <v>3.4722222189884633E-3</v>
      </c>
      <c r="G170" s="19">
        <f t="shared" si="7"/>
        <v>8.3333333255723119E-2</v>
      </c>
      <c r="H170" s="20">
        <f t="shared" si="8"/>
        <v>4.9999999953433871</v>
      </c>
    </row>
    <row r="171" spans="1:8" x14ac:dyDescent="0.25">
      <c r="A171">
        <v>167</v>
      </c>
      <c r="B171" t="s">
        <v>33</v>
      </c>
      <c r="C171">
        <v>1</v>
      </c>
      <c r="D171" t="s">
        <v>36</v>
      </c>
      <c r="E171" s="6">
        <v>46035.402777777781</v>
      </c>
      <c r="F171" s="18">
        <f t="shared" si="6"/>
        <v>2.7777777781011537E-2</v>
      </c>
      <c r="G171" s="19">
        <f t="shared" si="7"/>
        <v>0.66666666674427688</v>
      </c>
      <c r="H171" s="20">
        <f t="shared" si="8"/>
        <v>40.000000004656613</v>
      </c>
    </row>
    <row r="172" spans="1:8" x14ac:dyDescent="0.25">
      <c r="A172">
        <v>164</v>
      </c>
      <c r="B172" t="s">
        <v>29</v>
      </c>
      <c r="C172">
        <v>1</v>
      </c>
      <c r="D172" t="s">
        <v>35</v>
      </c>
      <c r="E172" s="6">
        <v>46035.427083333336</v>
      </c>
      <c r="F172" s="18">
        <f t="shared" si="6"/>
        <v>2.4305555554747116E-2</v>
      </c>
      <c r="G172" s="19">
        <f t="shared" si="7"/>
        <v>0.58333333331393078</v>
      </c>
      <c r="H172" s="20">
        <f t="shared" si="8"/>
        <v>34.999999998835847</v>
      </c>
    </row>
    <row r="173" spans="1:8" x14ac:dyDescent="0.25">
      <c r="A173">
        <v>171</v>
      </c>
      <c r="B173" t="s">
        <v>29</v>
      </c>
      <c r="C173">
        <v>1</v>
      </c>
      <c r="D173" t="s">
        <v>32</v>
      </c>
      <c r="E173" s="6">
        <v>46035.444444444445</v>
      </c>
      <c r="F173" s="18">
        <f t="shared" si="6"/>
        <v>1.7361111109494232E-2</v>
      </c>
      <c r="G173" s="19">
        <f t="shared" si="7"/>
        <v>0.41666666662786156</v>
      </c>
      <c r="H173" s="20">
        <f t="shared" si="8"/>
        <v>24.999999997671694</v>
      </c>
    </row>
    <row r="174" spans="1:8" x14ac:dyDescent="0.25">
      <c r="A174">
        <v>179</v>
      </c>
      <c r="B174" t="s">
        <v>33</v>
      </c>
      <c r="C174">
        <v>1</v>
      </c>
      <c r="D174" t="s">
        <v>37</v>
      </c>
      <c r="E174" s="6">
        <v>46035.448611111111</v>
      </c>
      <c r="F174" s="18">
        <f t="shared" si="6"/>
        <v>4.166666665696539E-3</v>
      </c>
      <c r="G174" s="19">
        <f t="shared" si="7"/>
        <v>9.9999999976716936E-2</v>
      </c>
      <c r="H174" s="20">
        <f t="shared" si="8"/>
        <v>5.9999999986030161</v>
      </c>
    </row>
    <row r="175" spans="1:8" x14ac:dyDescent="0.25">
      <c r="A175">
        <v>166</v>
      </c>
      <c r="B175" t="s">
        <v>29</v>
      </c>
      <c r="C175">
        <v>1</v>
      </c>
      <c r="D175" t="s">
        <v>35</v>
      </c>
      <c r="E175" s="6">
        <v>46035.527777777781</v>
      </c>
      <c r="F175" s="18">
        <f t="shared" si="6"/>
        <v>7.9166666670062114E-2</v>
      </c>
      <c r="G175" s="19">
        <f t="shared" si="7"/>
        <v>1.9000000000814907</v>
      </c>
      <c r="H175" s="20">
        <f t="shared" si="8"/>
        <v>114.00000000488944</v>
      </c>
    </row>
    <row r="176" spans="1:8" x14ac:dyDescent="0.25">
      <c r="A176">
        <v>172</v>
      </c>
      <c r="B176" t="s">
        <v>29</v>
      </c>
      <c r="C176">
        <v>1</v>
      </c>
      <c r="D176" t="s">
        <v>36</v>
      </c>
      <c r="E176" s="6">
        <v>46035.548611111109</v>
      </c>
      <c r="F176" s="18">
        <f t="shared" si="6"/>
        <v>2.0833333328482695E-2</v>
      </c>
      <c r="G176" s="19">
        <f t="shared" si="7"/>
        <v>0.49999999988358468</v>
      </c>
      <c r="H176" s="20">
        <f t="shared" si="8"/>
        <v>29.999999993015081</v>
      </c>
    </row>
    <row r="177" spans="1:8" x14ac:dyDescent="0.25">
      <c r="A177">
        <v>162</v>
      </c>
      <c r="B177" t="s">
        <v>33</v>
      </c>
      <c r="C177">
        <v>1</v>
      </c>
      <c r="D177" t="s">
        <v>32</v>
      </c>
      <c r="E177" s="6">
        <v>46035.572916666664</v>
      </c>
      <c r="F177" s="18">
        <f t="shared" si="6"/>
        <v>2.4305555554747116E-2</v>
      </c>
      <c r="G177" s="19">
        <f t="shared" si="7"/>
        <v>0.58333333331393078</v>
      </c>
      <c r="H177" s="20">
        <f t="shared" si="8"/>
        <v>34.999999998835847</v>
      </c>
    </row>
    <row r="178" spans="1:8" x14ac:dyDescent="0.25">
      <c r="A178">
        <v>180</v>
      </c>
      <c r="B178" t="s">
        <v>31</v>
      </c>
      <c r="C178">
        <v>1</v>
      </c>
      <c r="D178" t="s">
        <v>34</v>
      </c>
      <c r="E178" s="6">
        <v>46035.586805555555</v>
      </c>
      <c r="F178" s="18">
        <f t="shared" si="6"/>
        <v>1.3888888890505768E-2</v>
      </c>
      <c r="G178" s="19">
        <f t="shared" si="7"/>
        <v>0.33333333337213844</v>
      </c>
      <c r="H178" s="20">
        <f t="shared" si="8"/>
        <v>20.000000002328306</v>
      </c>
    </row>
    <row r="179" spans="1:8" x14ac:dyDescent="0.25">
      <c r="A179">
        <v>173</v>
      </c>
      <c r="B179" t="s">
        <v>29</v>
      </c>
      <c r="C179">
        <v>1</v>
      </c>
      <c r="D179" t="s">
        <v>36</v>
      </c>
      <c r="E179" s="6">
        <v>46035.652777777781</v>
      </c>
      <c r="F179" s="18">
        <f t="shared" si="6"/>
        <v>6.5972222226264421E-2</v>
      </c>
      <c r="G179" s="19">
        <f t="shared" si="7"/>
        <v>1.5833333334303461</v>
      </c>
      <c r="H179" s="20">
        <f t="shared" si="8"/>
        <v>95.000000005820766</v>
      </c>
    </row>
    <row r="180" spans="1:8" x14ac:dyDescent="0.25">
      <c r="A180">
        <v>189</v>
      </c>
      <c r="B180" t="s">
        <v>29</v>
      </c>
      <c r="C180">
        <v>1</v>
      </c>
      <c r="D180" t="s">
        <v>30</v>
      </c>
      <c r="E180" s="6">
        <v>46035.654861111114</v>
      </c>
      <c r="F180" s="18">
        <f t="shared" si="6"/>
        <v>2.0833333328482695E-3</v>
      </c>
      <c r="G180" s="19">
        <f t="shared" si="7"/>
        <v>4.9999999988358468E-2</v>
      </c>
      <c r="H180" s="20">
        <f t="shared" si="8"/>
        <v>2.9999999993015081</v>
      </c>
    </row>
    <row r="181" spans="1:8" x14ac:dyDescent="0.25">
      <c r="A181">
        <v>161</v>
      </c>
      <c r="B181" t="s">
        <v>29</v>
      </c>
      <c r="C181">
        <v>1</v>
      </c>
      <c r="D181" t="s">
        <v>32</v>
      </c>
      <c r="E181" s="6">
        <v>46035.666666666664</v>
      </c>
      <c r="F181" s="18">
        <f t="shared" si="6"/>
        <v>1.1805555550381541E-2</v>
      </c>
      <c r="G181" s="19">
        <f t="shared" si="7"/>
        <v>0.28333333320915699</v>
      </c>
      <c r="H181" s="20">
        <f t="shared" si="8"/>
        <v>16.999999992549419</v>
      </c>
    </row>
    <row r="182" spans="1:8" x14ac:dyDescent="0.25">
      <c r="A182">
        <v>178</v>
      </c>
      <c r="B182" t="s">
        <v>29</v>
      </c>
      <c r="C182">
        <v>1</v>
      </c>
      <c r="D182" t="s">
        <v>30</v>
      </c>
      <c r="E182" s="6">
        <v>46035.6875</v>
      </c>
      <c r="F182" s="18">
        <f t="shared" si="6"/>
        <v>2.0833333335758653E-2</v>
      </c>
      <c r="G182" s="19">
        <f t="shared" si="7"/>
        <v>0.50000000005820766</v>
      </c>
      <c r="H182" s="20">
        <f t="shared" si="8"/>
        <v>30.00000000349246</v>
      </c>
    </row>
    <row r="183" spans="1:8" x14ac:dyDescent="0.25">
      <c r="A183">
        <v>195</v>
      </c>
      <c r="B183" t="s">
        <v>33</v>
      </c>
      <c r="C183">
        <v>1</v>
      </c>
      <c r="D183" t="s">
        <v>30</v>
      </c>
      <c r="E183" s="6">
        <v>46035.836805555555</v>
      </c>
      <c r="F183" s="18">
        <f t="shared" si="6"/>
        <v>0.14930555555474712</v>
      </c>
      <c r="G183" s="19">
        <f t="shared" si="7"/>
        <v>3.5833333333139308</v>
      </c>
      <c r="H183" s="20">
        <f t="shared" si="8"/>
        <v>214.99999999883585</v>
      </c>
    </row>
    <row r="184" spans="1:8" x14ac:dyDescent="0.25">
      <c r="A184">
        <v>194</v>
      </c>
      <c r="B184" t="s">
        <v>33</v>
      </c>
      <c r="C184">
        <v>1</v>
      </c>
      <c r="D184" t="s">
        <v>30</v>
      </c>
      <c r="E184" s="6">
        <v>46035.958333333336</v>
      </c>
      <c r="F184" s="18">
        <f t="shared" si="6"/>
        <v>0.12152777778101154</v>
      </c>
      <c r="G184" s="19">
        <f t="shared" si="7"/>
        <v>2.9166666667442769</v>
      </c>
      <c r="H184" s="20">
        <f t="shared" si="8"/>
        <v>175.00000000465661</v>
      </c>
    </row>
    <row r="185" spans="1:8" x14ac:dyDescent="0.25">
      <c r="A185">
        <v>196</v>
      </c>
      <c r="B185" t="s">
        <v>29</v>
      </c>
      <c r="C185">
        <v>1</v>
      </c>
      <c r="D185" t="s">
        <v>30</v>
      </c>
      <c r="E185" s="6">
        <v>46035.960416666669</v>
      </c>
      <c r="F185" s="18">
        <f t="shared" si="6"/>
        <v>2.0833333328482695E-3</v>
      </c>
      <c r="G185" s="19">
        <f t="shared" si="7"/>
        <v>4.9999999988358468E-2</v>
      </c>
      <c r="H185" s="20">
        <f t="shared" si="8"/>
        <v>2.9999999993015081</v>
      </c>
    </row>
    <row r="186" spans="1:8" x14ac:dyDescent="0.25">
      <c r="A186">
        <v>197</v>
      </c>
      <c r="B186" t="s">
        <v>31</v>
      </c>
      <c r="C186">
        <v>1</v>
      </c>
      <c r="D186" t="s">
        <v>35</v>
      </c>
      <c r="E186" s="6">
        <v>46036.048611111109</v>
      </c>
      <c r="F186" s="18">
        <f t="shared" si="6"/>
        <v>8.819444444088731E-2</v>
      </c>
      <c r="G186" s="19">
        <f t="shared" si="7"/>
        <v>2.1166666665812954</v>
      </c>
      <c r="H186" s="20">
        <f t="shared" si="8"/>
        <v>126.99999999487773</v>
      </c>
    </row>
    <row r="187" spans="1:8" hidden="1" x14ac:dyDescent="0.25">
      <c r="A187">
        <v>174</v>
      </c>
      <c r="B187" t="s">
        <v>29</v>
      </c>
      <c r="C187">
        <v>1</v>
      </c>
      <c r="D187" t="s">
        <v>37</v>
      </c>
      <c r="E187" s="6">
        <v>46036.25</v>
      </c>
      <c r="F187" s="18">
        <f t="shared" si="6"/>
        <v>0.20138888889050577</v>
      </c>
      <c r="G187" s="19">
        <f t="shared" si="7"/>
        <v>4.8333333333721384</v>
      </c>
      <c r="H187" s="20">
        <f t="shared" si="8"/>
        <v>290.00000000232831</v>
      </c>
    </row>
    <row r="188" spans="1:8" x14ac:dyDescent="0.25">
      <c r="A188">
        <v>184</v>
      </c>
      <c r="B188" t="s">
        <v>29</v>
      </c>
      <c r="C188">
        <v>1</v>
      </c>
      <c r="D188" t="s">
        <v>34</v>
      </c>
      <c r="E188" s="6">
        <v>46036.291666666664</v>
      </c>
      <c r="F188" s="18">
        <f t="shared" si="6"/>
        <v>4.1666666664241347E-2</v>
      </c>
      <c r="G188" s="19">
        <f t="shared" si="7"/>
        <v>0.99999999994179234</v>
      </c>
      <c r="H188" s="20">
        <f t="shared" si="8"/>
        <v>59.99999999650754</v>
      </c>
    </row>
    <row r="189" spans="1:8" hidden="1" x14ac:dyDescent="0.25">
      <c r="A189">
        <v>191</v>
      </c>
      <c r="B189" t="s">
        <v>29</v>
      </c>
      <c r="C189">
        <v>1</v>
      </c>
      <c r="D189" t="s">
        <v>35</v>
      </c>
      <c r="E189" s="6">
        <v>46036.291666666664</v>
      </c>
      <c r="F189" s="18">
        <f t="shared" si="6"/>
        <v>0</v>
      </c>
      <c r="G189" s="19">
        <f t="shared" si="7"/>
        <v>0</v>
      </c>
      <c r="H189" s="19">
        <f t="shared" si="8"/>
        <v>0</v>
      </c>
    </row>
    <row r="190" spans="1:8" hidden="1" x14ac:dyDescent="0.25">
      <c r="A190">
        <v>192</v>
      </c>
      <c r="B190" t="s">
        <v>31</v>
      </c>
      <c r="C190">
        <v>1</v>
      </c>
      <c r="D190" t="s">
        <v>30</v>
      </c>
      <c r="E190" s="6">
        <v>46036.291666666664</v>
      </c>
      <c r="F190" s="18">
        <f t="shared" si="6"/>
        <v>0</v>
      </c>
      <c r="G190" s="19">
        <f t="shared" si="7"/>
        <v>0</v>
      </c>
      <c r="H190" s="19">
        <f t="shared" si="8"/>
        <v>0</v>
      </c>
    </row>
    <row r="191" spans="1:8" x14ac:dyDescent="0.25">
      <c r="A191">
        <v>186</v>
      </c>
      <c r="B191" t="s">
        <v>31</v>
      </c>
      <c r="C191">
        <v>1</v>
      </c>
      <c r="D191" t="s">
        <v>36</v>
      </c>
      <c r="E191" s="6">
        <v>46036.295138888891</v>
      </c>
      <c r="F191" s="18">
        <f t="shared" si="6"/>
        <v>3.4722222262644209E-3</v>
      </c>
      <c r="G191" s="19">
        <f t="shared" si="7"/>
        <v>8.3333333430346102E-2</v>
      </c>
      <c r="H191" s="20">
        <f t="shared" si="8"/>
        <v>5.0000000058207661</v>
      </c>
    </row>
    <row r="192" spans="1:8" x14ac:dyDescent="0.25">
      <c r="A192">
        <v>199</v>
      </c>
      <c r="B192" t="s">
        <v>33</v>
      </c>
      <c r="C192">
        <v>1</v>
      </c>
      <c r="D192" t="s">
        <v>30</v>
      </c>
      <c r="E192" s="6">
        <v>46036.402777777781</v>
      </c>
      <c r="F192" s="18">
        <f t="shared" si="6"/>
        <v>0.10763888889050577</v>
      </c>
      <c r="G192" s="19">
        <f t="shared" si="7"/>
        <v>2.5833333333721384</v>
      </c>
      <c r="H192" s="20">
        <f t="shared" si="8"/>
        <v>155.00000000232831</v>
      </c>
    </row>
    <row r="193" spans="1:8" x14ac:dyDescent="0.25">
      <c r="A193">
        <v>198</v>
      </c>
      <c r="B193" t="s">
        <v>33</v>
      </c>
      <c r="C193">
        <v>1</v>
      </c>
      <c r="D193" t="s">
        <v>30</v>
      </c>
      <c r="E193" s="6">
        <v>46036.439583333333</v>
      </c>
      <c r="F193" s="18">
        <f t="shared" si="6"/>
        <v>3.6805555551836733E-2</v>
      </c>
      <c r="G193" s="19">
        <f t="shared" si="7"/>
        <v>0.88333333324408159</v>
      </c>
      <c r="H193" s="20">
        <f t="shared" si="8"/>
        <v>52.999999994644895</v>
      </c>
    </row>
    <row r="194" spans="1:8" x14ac:dyDescent="0.25">
      <c r="A194">
        <v>190</v>
      </c>
      <c r="B194" t="s">
        <v>29</v>
      </c>
      <c r="C194">
        <v>1</v>
      </c>
      <c r="D194" t="s">
        <v>35</v>
      </c>
      <c r="E194" s="6">
        <v>46036.467361111114</v>
      </c>
      <c r="F194" s="18">
        <f t="shared" si="6"/>
        <v>2.7777777781011537E-2</v>
      </c>
      <c r="G194" s="19">
        <f t="shared" si="7"/>
        <v>0.66666666674427688</v>
      </c>
      <c r="H194" s="20">
        <f t="shared" si="8"/>
        <v>40.000000004656613</v>
      </c>
    </row>
    <row r="195" spans="1:8" x14ac:dyDescent="0.25">
      <c r="A195">
        <v>187</v>
      </c>
      <c r="B195" t="s">
        <v>31</v>
      </c>
      <c r="C195">
        <v>1</v>
      </c>
      <c r="D195" t="s">
        <v>32</v>
      </c>
      <c r="E195" s="6">
        <v>46036.5</v>
      </c>
      <c r="F195" s="18">
        <f t="shared" si="6"/>
        <v>3.2638888886140194E-2</v>
      </c>
      <c r="G195" s="19">
        <f t="shared" si="7"/>
        <v>0.78333333326736465</v>
      </c>
      <c r="H195" s="20">
        <f t="shared" si="8"/>
        <v>46.999999996041879</v>
      </c>
    </row>
    <row r="196" spans="1:8" x14ac:dyDescent="0.25">
      <c r="A196">
        <v>193</v>
      </c>
      <c r="B196" t="s">
        <v>29</v>
      </c>
      <c r="C196">
        <v>1</v>
      </c>
      <c r="D196" t="s">
        <v>35</v>
      </c>
      <c r="E196" s="6">
        <v>46036.541666666664</v>
      </c>
      <c r="F196" s="18">
        <f t="shared" si="6"/>
        <v>4.1666666664241347E-2</v>
      </c>
      <c r="G196" s="19">
        <f t="shared" si="7"/>
        <v>0.99999999994179234</v>
      </c>
      <c r="H196" s="20">
        <f t="shared" si="8"/>
        <v>59.99999999650754</v>
      </c>
    </row>
    <row r="197" spans="1:8" x14ac:dyDescent="0.25">
      <c r="A197">
        <v>183</v>
      </c>
      <c r="B197" t="s">
        <v>29</v>
      </c>
      <c r="C197">
        <v>1</v>
      </c>
      <c r="D197" t="s">
        <v>34</v>
      </c>
      <c r="E197" s="6">
        <v>46036.547222222223</v>
      </c>
      <c r="F197" s="18">
        <f t="shared" ref="F197:F260" si="9">E197-E196</f>
        <v>5.5555555591126904E-3</v>
      </c>
      <c r="G197" s="19">
        <f t="shared" ref="G197:G260" si="10">F197*24</f>
        <v>0.13333333341870457</v>
      </c>
      <c r="H197" s="20">
        <f t="shared" ref="H197:H260" si="11">G197*60</f>
        <v>8.0000000051222742</v>
      </c>
    </row>
    <row r="198" spans="1:8" x14ac:dyDescent="0.25">
      <c r="A198">
        <v>185</v>
      </c>
      <c r="B198" t="s">
        <v>31</v>
      </c>
      <c r="C198">
        <v>1</v>
      </c>
      <c r="D198" t="s">
        <v>35</v>
      </c>
      <c r="E198" s="6">
        <v>46036.618055555555</v>
      </c>
      <c r="F198" s="18">
        <f t="shared" si="9"/>
        <v>7.0833333331393078E-2</v>
      </c>
      <c r="G198" s="19">
        <f t="shared" si="10"/>
        <v>1.6999999999534339</v>
      </c>
      <c r="H198" s="20">
        <f t="shared" si="11"/>
        <v>101.99999999720603</v>
      </c>
    </row>
    <row r="199" spans="1:8" x14ac:dyDescent="0.25">
      <c r="A199">
        <v>182</v>
      </c>
      <c r="B199" t="s">
        <v>29</v>
      </c>
      <c r="C199">
        <v>1</v>
      </c>
      <c r="D199" t="s">
        <v>30</v>
      </c>
      <c r="E199" s="6">
        <v>46036.663194444445</v>
      </c>
      <c r="F199" s="18">
        <f t="shared" si="9"/>
        <v>4.5138888890505768E-2</v>
      </c>
      <c r="G199" s="19">
        <f t="shared" si="10"/>
        <v>1.0833333333721384</v>
      </c>
      <c r="H199" s="20">
        <f t="shared" si="11"/>
        <v>65.000000002328306</v>
      </c>
    </row>
    <row r="200" spans="1:8" x14ac:dyDescent="0.25">
      <c r="A200">
        <v>200</v>
      </c>
      <c r="B200" t="s">
        <v>33</v>
      </c>
      <c r="C200">
        <v>1</v>
      </c>
      <c r="D200" t="s">
        <v>30</v>
      </c>
      <c r="E200" s="6">
        <v>46036.6875</v>
      </c>
      <c r="F200" s="18">
        <f t="shared" si="9"/>
        <v>2.4305555554747116E-2</v>
      </c>
      <c r="G200" s="19">
        <f t="shared" si="10"/>
        <v>0.58333333331393078</v>
      </c>
      <c r="H200" s="20">
        <f t="shared" si="11"/>
        <v>34.999999998835847</v>
      </c>
    </row>
    <row r="201" spans="1:8" x14ac:dyDescent="0.25">
      <c r="A201">
        <v>211</v>
      </c>
      <c r="B201" t="s">
        <v>33</v>
      </c>
      <c r="C201">
        <v>1</v>
      </c>
      <c r="D201" t="s">
        <v>32</v>
      </c>
      <c r="E201" s="6">
        <v>46036.71875</v>
      </c>
      <c r="F201" s="18">
        <f t="shared" si="9"/>
        <v>3.125E-2</v>
      </c>
      <c r="G201" s="19">
        <f t="shared" si="10"/>
        <v>0.75</v>
      </c>
      <c r="H201" s="20">
        <f t="shared" si="11"/>
        <v>45</v>
      </c>
    </row>
    <row r="202" spans="1:8" x14ac:dyDescent="0.25">
      <c r="A202">
        <v>188</v>
      </c>
      <c r="B202" t="s">
        <v>29</v>
      </c>
      <c r="C202">
        <v>1</v>
      </c>
      <c r="D202" t="s">
        <v>30</v>
      </c>
      <c r="E202" s="6">
        <v>46036.743055555555</v>
      </c>
      <c r="F202" s="18">
        <f t="shared" si="9"/>
        <v>2.4305555554747116E-2</v>
      </c>
      <c r="G202" s="19">
        <f t="shared" si="10"/>
        <v>0.58333333331393078</v>
      </c>
      <c r="H202" s="20">
        <f t="shared" si="11"/>
        <v>34.999999998835847</v>
      </c>
    </row>
    <row r="203" spans="1:8" hidden="1" x14ac:dyDescent="0.25">
      <c r="A203">
        <v>181</v>
      </c>
      <c r="B203" t="s">
        <v>29</v>
      </c>
      <c r="C203">
        <v>1</v>
      </c>
      <c r="D203" t="s">
        <v>32</v>
      </c>
      <c r="E203" s="6">
        <v>46037.28125</v>
      </c>
      <c r="F203" s="18">
        <f t="shared" si="9"/>
        <v>0.53819444444525288</v>
      </c>
      <c r="G203" s="19">
        <f t="shared" si="10"/>
        <v>12.916666666686069</v>
      </c>
      <c r="H203" s="20">
        <f t="shared" si="11"/>
        <v>775.00000000116415</v>
      </c>
    </row>
    <row r="204" spans="1:8" x14ac:dyDescent="0.25">
      <c r="A204">
        <v>203</v>
      </c>
      <c r="B204" t="s">
        <v>33</v>
      </c>
      <c r="C204">
        <v>1</v>
      </c>
      <c r="D204" t="s">
        <v>35</v>
      </c>
      <c r="E204" s="6">
        <v>46037.291666666664</v>
      </c>
      <c r="F204" s="18">
        <f t="shared" si="9"/>
        <v>1.0416666664241347E-2</v>
      </c>
      <c r="G204" s="19">
        <f t="shared" si="10"/>
        <v>0.24999999994179234</v>
      </c>
      <c r="H204" s="20">
        <f t="shared" si="11"/>
        <v>14.99999999650754</v>
      </c>
    </row>
    <row r="205" spans="1:8" hidden="1" x14ac:dyDescent="0.25">
      <c r="A205">
        <v>205</v>
      </c>
      <c r="B205" t="s">
        <v>31</v>
      </c>
      <c r="C205">
        <v>1</v>
      </c>
      <c r="D205" t="s">
        <v>30</v>
      </c>
      <c r="E205" s="6">
        <v>46037.291666666664</v>
      </c>
      <c r="F205" s="18">
        <f t="shared" si="9"/>
        <v>0</v>
      </c>
      <c r="G205" s="19">
        <f t="shared" si="10"/>
        <v>0</v>
      </c>
      <c r="H205" s="19">
        <f t="shared" si="11"/>
        <v>0</v>
      </c>
    </row>
    <row r="206" spans="1:8" hidden="1" x14ac:dyDescent="0.25">
      <c r="A206">
        <v>208</v>
      </c>
      <c r="B206" t="s">
        <v>31</v>
      </c>
      <c r="C206">
        <v>1</v>
      </c>
      <c r="D206" t="s">
        <v>36</v>
      </c>
      <c r="E206" s="6">
        <v>46037.291666666664</v>
      </c>
      <c r="F206" s="18">
        <f t="shared" si="9"/>
        <v>0</v>
      </c>
      <c r="G206" s="19">
        <f t="shared" si="10"/>
        <v>0</v>
      </c>
      <c r="H206" s="19">
        <f t="shared" si="11"/>
        <v>0</v>
      </c>
    </row>
    <row r="207" spans="1:8" hidden="1" x14ac:dyDescent="0.25">
      <c r="A207">
        <v>210</v>
      </c>
      <c r="B207" t="s">
        <v>33</v>
      </c>
      <c r="C207">
        <v>1</v>
      </c>
      <c r="D207" t="s">
        <v>34</v>
      </c>
      <c r="E207" s="6">
        <v>46037.291666666664</v>
      </c>
      <c r="F207" s="18">
        <f t="shared" si="9"/>
        <v>0</v>
      </c>
      <c r="G207" s="19">
        <f t="shared" si="10"/>
        <v>0</v>
      </c>
      <c r="H207" s="19">
        <f t="shared" si="11"/>
        <v>0</v>
      </c>
    </row>
    <row r="208" spans="1:8" x14ac:dyDescent="0.25">
      <c r="A208">
        <v>212</v>
      </c>
      <c r="B208" t="s">
        <v>31</v>
      </c>
      <c r="C208">
        <v>1</v>
      </c>
      <c r="D208" t="s">
        <v>32</v>
      </c>
      <c r="E208" s="6">
        <v>46037.434027777781</v>
      </c>
      <c r="F208" s="18">
        <f t="shared" si="9"/>
        <v>0.14236111111677019</v>
      </c>
      <c r="G208" s="19">
        <f t="shared" si="10"/>
        <v>3.4166666668024845</v>
      </c>
      <c r="H208" s="20">
        <f t="shared" si="11"/>
        <v>205.00000000814907</v>
      </c>
    </row>
    <row r="209" spans="1:8" x14ac:dyDescent="0.25">
      <c r="A209">
        <v>202</v>
      </c>
      <c r="B209" t="s">
        <v>33</v>
      </c>
      <c r="C209">
        <v>1</v>
      </c>
      <c r="D209" t="s">
        <v>35</v>
      </c>
      <c r="E209" s="6">
        <v>46037.4375</v>
      </c>
      <c r="F209" s="18">
        <f t="shared" si="9"/>
        <v>3.4722222189884633E-3</v>
      </c>
      <c r="G209" s="19">
        <f t="shared" si="10"/>
        <v>8.3333333255723119E-2</v>
      </c>
      <c r="H209" s="20">
        <f t="shared" si="11"/>
        <v>4.9999999953433871</v>
      </c>
    </row>
    <row r="210" spans="1:8" x14ac:dyDescent="0.25">
      <c r="A210">
        <v>213</v>
      </c>
      <c r="B210" t="s">
        <v>33</v>
      </c>
      <c r="C210">
        <v>1</v>
      </c>
      <c r="D210" t="s">
        <v>34</v>
      </c>
      <c r="E210" s="6">
        <v>46037.496527777781</v>
      </c>
      <c r="F210" s="18">
        <f t="shared" si="9"/>
        <v>5.9027777781011537E-2</v>
      </c>
      <c r="G210" s="19">
        <f t="shared" si="10"/>
        <v>1.4166666667442769</v>
      </c>
      <c r="H210" s="20">
        <f t="shared" si="11"/>
        <v>85.000000004656613</v>
      </c>
    </row>
    <row r="211" spans="1:8" x14ac:dyDescent="0.25">
      <c r="A211">
        <v>214</v>
      </c>
      <c r="B211" t="s">
        <v>31</v>
      </c>
      <c r="C211">
        <v>1</v>
      </c>
      <c r="D211" t="s">
        <v>32</v>
      </c>
      <c r="E211" s="6">
        <v>46037.520833333336</v>
      </c>
      <c r="F211" s="18">
        <f t="shared" si="9"/>
        <v>2.4305555554747116E-2</v>
      </c>
      <c r="G211" s="19">
        <f t="shared" si="10"/>
        <v>0.58333333331393078</v>
      </c>
      <c r="H211" s="20">
        <f t="shared" si="11"/>
        <v>34.999999998835847</v>
      </c>
    </row>
    <row r="212" spans="1:8" x14ac:dyDescent="0.25">
      <c r="A212">
        <v>201</v>
      </c>
      <c r="B212" t="s">
        <v>33</v>
      </c>
      <c r="C212">
        <v>1</v>
      </c>
      <c r="D212" t="s">
        <v>35</v>
      </c>
      <c r="E212" s="6">
        <v>46037.548611111109</v>
      </c>
      <c r="F212" s="18">
        <f t="shared" si="9"/>
        <v>2.7777777773735579E-2</v>
      </c>
      <c r="G212" s="19">
        <f t="shared" si="10"/>
        <v>0.6666666665696539</v>
      </c>
      <c r="H212" s="20">
        <f t="shared" si="11"/>
        <v>39.999999994179234</v>
      </c>
    </row>
    <row r="213" spans="1:8" x14ac:dyDescent="0.25">
      <c r="A213">
        <v>209</v>
      </c>
      <c r="B213" t="s">
        <v>33</v>
      </c>
      <c r="C213">
        <v>1</v>
      </c>
      <c r="D213" t="s">
        <v>36</v>
      </c>
      <c r="E213" s="6">
        <v>46037.552083333336</v>
      </c>
      <c r="F213" s="18">
        <f t="shared" si="9"/>
        <v>3.4722222262644209E-3</v>
      </c>
      <c r="G213" s="19">
        <f t="shared" si="10"/>
        <v>8.3333333430346102E-2</v>
      </c>
      <c r="H213" s="20">
        <f t="shared" si="11"/>
        <v>5.0000000058207661</v>
      </c>
    </row>
    <row r="214" spans="1:8" x14ac:dyDescent="0.25">
      <c r="A214">
        <v>206</v>
      </c>
      <c r="B214" t="s">
        <v>29</v>
      </c>
      <c r="C214">
        <v>1</v>
      </c>
      <c r="D214" t="s">
        <v>30</v>
      </c>
      <c r="E214" s="6">
        <v>46037.590277777781</v>
      </c>
      <c r="F214" s="18">
        <f t="shared" si="9"/>
        <v>3.8194444445252884E-2</v>
      </c>
      <c r="G214" s="19">
        <f t="shared" si="10"/>
        <v>0.91666666668606922</v>
      </c>
      <c r="H214" s="20">
        <f t="shared" si="11"/>
        <v>55.000000001164153</v>
      </c>
    </row>
    <row r="215" spans="1:8" x14ac:dyDescent="0.25">
      <c r="A215">
        <v>204</v>
      </c>
      <c r="B215" t="s">
        <v>29</v>
      </c>
      <c r="C215">
        <v>1</v>
      </c>
      <c r="D215" t="s">
        <v>32</v>
      </c>
      <c r="E215" s="6">
        <v>46037.633333333331</v>
      </c>
      <c r="F215" s="18">
        <f t="shared" si="9"/>
        <v>4.3055555550381541E-2</v>
      </c>
      <c r="G215" s="19">
        <f t="shared" si="10"/>
        <v>1.033333333209157</v>
      </c>
      <c r="H215" s="20">
        <f t="shared" si="11"/>
        <v>61.999999992549419</v>
      </c>
    </row>
    <row r="216" spans="1:8" x14ac:dyDescent="0.25">
      <c r="A216">
        <v>215</v>
      </c>
      <c r="B216" t="s">
        <v>29</v>
      </c>
      <c r="C216">
        <v>1</v>
      </c>
      <c r="D216" t="s">
        <v>32</v>
      </c>
      <c r="E216" s="6">
        <v>46037.673611111109</v>
      </c>
      <c r="F216" s="18">
        <f t="shared" si="9"/>
        <v>4.0277777778101154E-2</v>
      </c>
      <c r="G216" s="19">
        <f t="shared" si="10"/>
        <v>0.96666666667442769</v>
      </c>
      <c r="H216" s="20">
        <f t="shared" si="11"/>
        <v>58.000000000465661</v>
      </c>
    </row>
    <row r="217" spans="1:8" x14ac:dyDescent="0.25">
      <c r="A217">
        <v>207</v>
      </c>
      <c r="B217" t="s">
        <v>29</v>
      </c>
      <c r="C217">
        <v>1</v>
      </c>
      <c r="D217" t="s">
        <v>34</v>
      </c>
      <c r="E217" s="6">
        <v>46037.7</v>
      </c>
      <c r="F217" s="18">
        <f t="shared" si="9"/>
        <v>2.6388888887595385E-2</v>
      </c>
      <c r="G217" s="19">
        <f t="shared" si="10"/>
        <v>0.63333333330228925</v>
      </c>
      <c r="H217" s="20">
        <f t="shared" si="11"/>
        <v>37.999999998137355</v>
      </c>
    </row>
    <row r="218" spans="1:8" x14ac:dyDescent="0.25">
      <c r="A218">
        <v>225</v>
      </c>
      <c r="B218" t="s">
        <v>29</v>
      </c>
      <c r="C218">
        <v>1</v>
      </c>
      <c r="D218" t="s">
        <v>35</v>
      </c>
      <c r="E218" s="6">
        <v>46037.729166666664</v>
      </c>
      <c r="F218" s="18">
        <f t="shared" si="9"/>
        <v>2.9166666667151731E-2</v>
      </c>
      <c r="G218" s="19">
        <f t="shared" si="10"/>
        <v>0.70000000001164153</v>
      </c>
      <c r="H218" s="20">
        <f t="shared" si="11"/>
        <v>42.000000000698492</v>
      </c>
    </row>
    <row r="219" spans="1:8" x14ac:dyDescent="0.25">
      <c r="A219">
        <v>228</v>
      </c>
      <c r="B219" t="s">
        <v>29</v>
      </c>
      <c r="C219">
        <v>1</v>
      </c>
      <c r="D219" t="s">
        <v>30</v>
      </c>
      <c r="E219" s="6">
        <v>46037.743055555555</v>
      </c>
      <c r="F219" s="18">
        <f t="shared" si="9"/>
        <v>1.3888888890505768E-2</v>
      </c>
      <c r="G219" s="19">
        <f t="shared" si="10"/>
        <v>0.33333333337213844</v>
      </c>
      <c r="H219" s="20">
        <f t="shared" si="11"/>
        <v>20.000000002328306</v>
      </c>
    </row>
    <row r="220" spans="1:8" x14ac:dyDescent="0.25">
      <c r="A220">
        <v>229</v>
      </c>
      <c r="B220" t="s">
        <v>31</v>
      </c>
      <c r="C220">
        <v>1</v>
      </c>
      <c r="D220" t="s">
        <v>30</v>
      </c>
      <c r="E220" s="6">
        <v>46037.8125</v>
      </c>
      <c r="F220" s="18">
        <f t="shared" si="9"/>
        <v>6.9444444445252884E-2</v>
      </c>
      <c r="G220" s="19">
        <f t="shared" si="10"/>
        <v>1.6666666666860692</v>
      </c>
      <c r="H220" s="20">
        <f t="shared" si="11"/>
        <v>100.00000000116415</v>
      </c>
    </row>
    <row r="221" spans="1:8" x14ac:dyDescent="0.25">
      <c r="A221">
        <v>230</v>
      </c>
      <c r="B221" t="s">
        <v>33</v>
      </c>
      <c r="C221">
        <v>1</v>
      </c>
      <c r="D221" t="s">
        <v>30</v>
      </c>
      <c r="E221" s="6">
        <v>46037.927083333336</v>
      </c>
      <c r="F221" s="18">
        <f t="shared" si="9"/>
        <v>0.11458333333575865</v>
      </c>
      <c r="G221" s="19">
        <f t="shared" si="10"/>
        <v>2.7500000000582077</v>
      </c>
      <c r="H221" s="20">
        <f t="shared" si="11"/>
        <v>165.00000000349246</v>
      </c>
    </row>
    <row r="222" spans="1:8" x14ac:dyDescent="0.25">
      <c r="A222">
        <v>231</v>
      </c>
      <c r="B222" t="s">
        <v>29</v>
      </c>
      <c r="C222">
        <v>1</v>
      </c>
      <c r="D222" t="s">
        <v>34</v>
      </c>
      <c r="E222" s="6">
        <v>46038.0625</v>
      </c>
      <c r="F222" s="18">
        <f t="shared" si="9"/>
        <v>0.13541666666424135</v>
      </c>
      <c r="G222" s="19">
        <f t="shared" si="10"/>
        <v>3.2499999999417923</v>
      </c>
      <c r="H222" s="20">
        <f t="shared" si="11"/>
        <v>194.99999999650754</v>
      </c>
    </row>
    <row r="223" spans="1:8" hidden="1" x14ac:dyDescent="0.25">
      <c r="A223">
        <v>218</v>
      </c>
      <c r="B223" t="s">
        <v>31</v>
      </c>
      <c r="C223">
        <v>1</v>
      </c>
      <c r="D223" t="s">
        <v>34</v>
      </c>
      <c r="E223" s="6">
        <v>46038.291666666664</v>
      </c>
      <c r="F223" s="18">
        <f t="shared" si="9"/>
        <v>0.22916666666424135</v>
      </c>
      <c r="G223" s="19">
        <f t="shared" si="10"/>
        <v>5.4999999999417923</v>
      </c>
      <c r="H223" s="20">
        <f t="shared" si="11"/>
        <v>329.99999999650754</v>
      </c>
    </row>
    <row r="224" spans="1:8" hidden="1" x14ac:dyDescent="0.25">
      <c r="A224">
        <v>224</v>
      </c>
      <c r="B224" t="s">
        <v>29</v>
      </c>
      <c r="C224">
        <v>1</v>
      </c>
      <c r="D224" t="s">
        <v>35</v>
      </c>
      <c r="E224" s="6">
        <v>46038.291666666664</v>
      </c>
      <c r="F224" s="18">
        <f t="shared" si="9"/>
        <v>0</v>
      </c>
      <c r="G224" s="19">
        <f t="shared" si="10"/>
        <v>0</v>
      </c>
      <c r="H224" s="19">
        <f t="shared" si="11"/>
        <v>0</v>
      </c>
    </row>
    <row r="225" spans="1:8" x14ac:dyDescent="0.25">
      <c r="A225">
        <v>226</v>
      </c>
      <c r="B225" t="s">
        <v>29</v>
      </c>
      <c r="C225">
        <v>1</v>
      </c>
      <c r="D225" t="s">
        <v>34</v>
      </c>
      <c r="E225" s="6">
        <v>46038.329861111109</v>
      </c>
      <c r="F225" s="18">
        <f t="shared" si="9"/>
        <v>3.8194444445252884E-2</v>
      </c>
      <c r="G225" s="19">
        <f t="shared" si="10"/>
        <v>0.91666666668606922</v>
      </c>
      <c r="H225" s="20">
        <f t="shared" si="11"/>
        <v>55.000000001164153</v>
      </c>
    </row>
    <row r="226" spans="1:8" hidden="1" x14ac:dyDescent="0.25">
      <c r="A226">
        <v>227</v>
      </c>
      <c r="B226" t="s">
        <v>29</v>
      </c>
      <c r="C226">
        <v>1</v>
      </c>
      <c r="D226" t="s">
        <v>34</v>
      </c>
      <c r="E226" s="6">
        <v>46038.329861111109</v>
      </c>
      <c r="F226" s="18">
        <f t="shared" si="9"/>
        <v>0</v>
      </c>
      <c r="G226" s="19">
        <f t="shared" si="10"/>
        <v>0</v>
      </c>
      <c r="H226" s="19">
        <f t="shared" si="11"/>
        <v>0</v>
      </c>
    </row>
    <row r="227" spans="1:8" x14ac:dyDescent="0.25">
      <c r="A227">
        <v>219</v>
      </c>
      <c r="B227" t="s">
        <v>31</v>
      </c>
      <c r="C227">
        <v>1</v>
      </c>
      <c r="D227" t="s">
        <v>36</v>
      </c>
      <c r="E227" s="6">
        <v>46038.333333333336</v>
      </c>
      <c r="F227" s="18">
        <f t="shared" si="9"/>
        <v>3.4722222262644209E-3</v>
      </c>
      <c r="G227" s="19">
        <f t="shared" si="10"/>
        <v>8.3333333430346102E-2</v>
      </c>
      <c r="H227" s="20">
        <f t="shared" si="11"/>
        <v>5.0000000058207661</v>
      </c>
    </row>
    <row r="228" spans="1:8" x14ac:dyDescent="0.25">
      <c r="A228">
        <v>220</v>
      </c>
      <c r="B228" t="s">
        <v>31</v>
      </c>
      <c r="C228">
        <v>1</v>
      </c>
      <c r="D228" t="s">
        <v>32</v>
      </c>
      <c r="E228" s="6">
        <v>46038.357638888891</v>
      </c>
      <c r="F228" s="18">
        <f t="shared" si="9"/>
        <v>2.4305555554747116E-2</v>
      </c>
      <c r="G228" s="19">
        <f t="shared" si="10"/>
        <v>0.58333333331393078</v>
      </c>
      <c r="H228" s="20">
        <f t="shared" si="11"/>
        <v>34.999999998835847</v>
      </c>
    </row>
    <row r="229" spans="1:8" x14ac:dyDescent="0.25">
      <c r="A229">
        <v>221</v>
      </c>
      <c r="B229" t="s">
        <v>33</v>
      </c>
      <c r="C229">
        <v>1</v>
      </c>
      <c r="D229" t="s">
        <v>30</v>
      </c>
      <c r="E229" s="6">
        <v>46038.534722222219</v>
      </c>
      <c r="F229" s="18">
        <f t="shared" si="9"/>
        <v>0.17708333332848269</v>
      </c>
      <c r="G229" s="19">
        <f t="shared" si="10"/>
        <v>4.2499999998835847</v>
      </c>
      <c r="H229" s="20">
        <f t="shared" si="11"/>
        <v>254.99999999301508</v>
      </c>
    </row>
    <row r="230" spans="1:8" x14ac:dyDescent="0.25">
      <c r="A230">
        <v>223</v>
      </c>
      <c r="B230" t="s">
        <v>33</v>
      </c>
      <c r="C230">
        <v>1</v>
      </c>
      <c r="D230" t="s">
        <v>30</v>
      </c>
      <c r="E230" s="6">
        <v>46038.545138888891</v>
      </c>
      <c r="F230" s="18">
        <f t="shared" si="9"/>
        <v>1.0416666671517305E-2</v>
      </c>
      <c r="G230" s="19">
        <f t="shared" si="10"/>
        <v>0.25000000011641532</v>
      </c>
      <c r="H230" s="20">
        <f t="shared" si="11"/>
        <v>15.000000006984919</v>
      </c>
    </row>
    <row r="231" spans="1:8" x14ac:dyDescent="0.25">
      <c r="A231">
        <v>222</v>
      </c>
      <c r="B231" t="s">
        <v>33</v>
      </c>
      <c r="C231">
        <v>1</v>
      </c>
      <c r="D231" t="s">
        <v>35</v>
      </c>
      <c r="E231" s="6">
        <v>46038.572916666664</v>
      </c>
      <c r="F231" s="18">
        <f t="shared" si="9"/>
        <v>2.7777777773735579E-2</v>
      </c>
      <c r="G231" s="19">
        <f t="shared" si="10"/>
        <v>0.6666666665696539</v>
      </c>
      <c r="H231" s="20">
        <f t="shared" si="11"/>
        <v>39.999999994179234</v>
      </c>
    </row>
    <row r="232" spans="1:8" x14ac:dyDescent="0.25">
      <c r="A232">
        <v>233</v>
      </c>
      <c r="B232" t="s">
        <v>29</v>
      </c>
      <c r="C232">
        <v>1</v>
      </c>
      <c r="D232" t="s">
        <v>34</v>
      </c>
      <c r="E232" s="6">
        <v>46038.579861111109</v>
      </c>
      <c r="F232" s="18">
        <f t="shared" si="9"/>
        <v>6.9444444452528842E-3</v>
      </c>
      <c r="G232" s="19">
        <f t="shared" si="10"/>
        <v>0.16666666668606922</v>
      </c>
      <c r="H232" s="20">
        <f t="shared" si="11"/>
        <v>10.000000001164153</v>
      </c>
    </row>
    <row r="233" spans="1:8" x14ac:dyDescent="0.25">
      <c r="A233">
        <v>235</v>
      </c>
      <c r="B233" t="s">
        <v>29</v>
      </c>
      <c r="C233">
        <v>1</v>
      </c>
      <c r="D233" t="s">
        <v>30</v>
      </c>
      <c r="E233" s="6">
        <v>46038.629861111112</v>
      </c>
      <c r="F233" s="18">
        <f t="shared" si="9"/>
        <v>5.0000000002910383E-2</v>
      </c>
      <c r="G233" s="19">
        <f t="shared" si="10"/>
        <v>1.2000000000698492</v>
      </c>
      <c r="H233" s="20">
        <f t="shared" si="11"/>
        <v>72.000000004190952</v>
      </c>
    </row>
    <row r="234" spans="1:8" x14ac:dyDescent="0.25">
      <c r="A234">
        <v>232</v>
      </c>
      <c r="B234" t="s">
        <v>33</v>
      </c>
      <c r="C234">
        <v>1</v>
      </c>
      <c r="D234" t="s">
        <v>30</v>
      </c>
      <c r="E234" s="6">
        <v>46038.736111111109</v>
      </c>
      <c r="F234" s="18">
        <f t="shared" si="9"/>
        <v>0.10624999999708962</v>
      </c>
      <c r="G234" s="19">
        <f t="shared" si="10"/>
        <v>2.5499999999301508</v>
      </c>
      <c r="H234" s="20">
        <f t="shared" si="11"/>
        <v>152.99999999580905</v>
      </c>
    </row>
    <row r="235" spans="1:8" x14ac:dyDescent="0.25">
      <c r="A235">
        <v>240</v>
      </c>
      <c r="B235" t="s">
        <v>29</v>
      </c>
      <c r="C235">
        <v>1</v>
      </c>
      <c r="D235" t="s">
        <v>30</v>
      </c>
      <c r="E235" s="6">
        <v>46038.847222222219</v>
      </c>
      <c r="F235" s="18">
        <f t="shared" si="9"/>
        <v>0.11111111110949423</v>
      </c>
      <c r="G235" s="19">
        <f t="shared" si="10"/>
        <v>2.6666666666278616</v>
      </c>
      <c r="H235" s="20">
        <f t="shared" si="11"/>
        <v>159.99999999767169</v>
      </c>
    </row>
    <row r="236" spans="1:8" x14ac:dyDescent="0.25">
      <c r="A236">
        <v>238</v>
      </c>
      <c r="B236" t="s">
        <v>33</v>
      </c>
      <c r="C236">
        <v>1</v>
      </c>
      <c r="D236" t="s">
        <v>30</v>
      </c>
      <c r="E236" s="6">
        <v>46038.854166666664</v>
      </c>
      <c r="F236" s="18">
        <f t="shared" si="9"/>
        <v>6.9444444452528842E-3</v>
      </c>
      <c r="G236" s="19">
        <f t="shared" si="10"/>
        <v>0.16666666668606922</v>
      </c>
      <c r="H236" s="20">
        <f t="shared" si="11"/>
        <v>10.000000001164153</v>
      </c>
    </row>
    <row r="237" spans="1:8" x14ac:dyDescent="0.25">
      <c r="A237">
        <v>239</v>
      </c>
      <c r="B237" t="s">
        <v>29</v>
      </c>
      <c r="C237">
        <v>1</v>
      </c>
      <c r="D237" t="s">
        <v>30</v>
      </c>
      <c r="E237" s="6">
        <v>46038.923611111109</v>
      </c>
      <c r="F237" s="18">
        <f t="shared" si="9"/>
        <v>6.9444444445252884E-2</v>
      </c>
      <c r="G237" s="19">
        <f t="shared" si="10"/>
        <v>1.6666666666860692</v>
      </c>
      <c r="H237" s="20">
        <f t="shared" si="11"/>
        <v>100.00000000116415</v>
      </c>
    </row>
    <row r="238" spans="1:8" hidden="1" x14ac:dyDescent="0.25">
      <c r="A238">
        <v>241</v>
      </c>
      <c r="B238" t="s">
        <v>29</v>
      </c>
      <c r="C238">
        <v>1</v>
      </c>
      <c r="D238" t="s">
        <v>35</v>
      </c>
      <c r="E238" s="6">
        <v>46039.347222222219</v>
      </c>
      <c r="F238" s="18">
        <f t="shared" si="9"/>
        <v>0.42361111110949423</v>
      </c>
      <c r="G238" s="19">
        <f t="shared" si="10"/>
        <v>10.166666666627862</v>
      </c>
      <c r="H238" s="20">
        <f t="shared" si="11"/>
        <v>609.99999999767169</v>
      </c>
    </row>
    <row r="239" spans="1:8" x14ac:dyDescent="0.25">
      <c r="A239">
        <v>242</v>
      </c>
      <c r="B239" t="s">
        <v>33</v>
      </c>
      <c r="C239">
        <v>1</v>
      </c>
      <c r="D239" t="s">
        <v>30</v>
      </c>
      <c r="E239" s="6">
        <v>46039.368055555555</v>
      </c>
      <c r="F239" s="18">
        <f t="shared" si="9"/>
        <v>2.0833333335758653E-2</v>
      </c>
      <c r="G239" s="19">
        <f t="shared" si="10"/>
        <v>0.50000000005820766</v>
      </c>
      <c r="H239" s="20">
        <f t="shared" si="11"/>
        <v>30.00000000349246</v>
      </c>
    </row>
    <row r="240" spans="1:8" x14ac:dyDescent="0.25">
      <c r="A240">
        <v>243</v>
      </c>
      <c r="B240" t="s">
        <v>31</v>
      </c>
      <c r="C240">
        <v>1</v>
      </c>
      <c r="D240" t="s">
        <v>34</v>
      </c>
      <c r="E240" s="6">
        <v>46039.489583333336</v>
      </c>
      <c r="F240" s="18">
        <f t="shared" si="9"/>
        <v>0.12152777778101154</v>
      </c>
      <c r="G240" s="19">
        <f t="shared" si="10"/>
        <v>2.9166666667442769</v>
      </c>
      <c r="H240" s="20">
        <f t="shared" si="11"/>
        <v>175.00000000465661</v>
      </c>
    </row>
    <row r="241" spans="1:8" x14ac:dyDescent="0.25">
      <c r="A241">
        <v>234</v>
      </c>
      <c r="B241" t="s">
        <v>33</v>
      </c>
      <c r="C241">
        <v>1</v>
      </c>
      <c r="D241" t="s">
        <v>34</v>
      </c>
      <c r="E241" s="6">
        <v>46039.645833333336</v>
      </c>
      <c r="F241" s="18">
        <f t="shared" si="9"/>
        <v>0.15625</v>
      </c>
      <c r="G241" s="19">
        <f t="shared" si="10"/>
        <v>3.75</v>
      </c>
      <c r="H241" s="20">
        <f t="shared" si="11"/>
        <v>225</v>
      </c>
    </row>
    <row r="242" spans="1:8" hidden="1" x14ac:dyDescent="0.25">
      <c r="A242">
        <v>248</v>
      </c>
      <c r="B242" t="s">
        <v>29</v>
      </c>
      <c r="C242">
        <v>1</v>
      </c>
      <c r="D242" t="s">
        <v>34</v>
      </c>
      <c r="E242" s="6">
        <v>46039.868055555555</v>
      </c>
      <c r="F242" s="18">
        <f t="shared" si="9"/>
        <v>0.22222222221898846</v>
      </c>
      <c r="G242" s="19">
        <f t="shared" si="10"/>
        <v>5.3333333332557231</v>
      </c>
      <c r="H242" s="20">
        <f t="shared" si="11"/>
        <v>319.99999999534339</v>
      </c>
    </row>
    <row r="243" spans="1:8" hidden="1" x14ac:dyDescent="0.25">
      <c r="A243">
        <v>249</v>
      </c>
      <c r="B243" t="s">
        <v>29</v>
      </c>
      <c r="C243">
        <v>1</v>
      </c>
      <c r="D243" t="s">
        <v>30</v>
      </c>
      <c r="E243" s="6">
        <v>46040.375</v>
      </c>
      <c r="F243" s="18">
        <f t="shared" si="9"/>
        <v>0.50694444444525288</v>
      </c>
      <c r="G243" s="19">
        <f t="shared" si="10"/>
        <v>12.166666666686069</v>
      </c>
      <c r="H243" s="20">
        <f t="shared" si="11"/>
        <v>730.00000000116415</v>
      </c>
    </row>
    <row r="244" spans="1:8" x14ac:dyDescent="0.25">
      <c r="A244">
        <v>250</v>
      </c>
      <c r="B244" t="s">
        <v>29</v>
      </c>
      <c r="C244">
        <v>1</v>
      </c>
      <c r="D244" t="s">
        <v>35</v>
      </c>
      <c r="E244" s="6">
        <v>46040.440972222219</v>
      </c>
      <c r="F244" s="18">
        <f t="shared" si="9"/>
        <v>6.5972222218988463E-2</v>
      </c>
      <c r="G244" s="19">
        <f t="shared" si="10"/>
        <v>1.5833333332557231</v>
      </c>
      <c r="H244" s="20">
        <f t="shared" si="11"/>
        <v>94.999999995343387</v>
      </c>
    </row>
    <row r="245" spans="1:8" x14ac:dyDescent="0.25">
      <c r="A245">
        <v>251</v>
      </c>
      <c r="B245" t="s">
        <v>29</v>
      </c>
      <c r="C245">
        <v>1</v>
      </c>
      <c r="D245" t="s">
        <v>30</v>
      </c>
      <c r="E245" s="6">
        <v>46040.496527777781</v>
      </c>
      <c r="F245" s="18">
        <f t="shared" si="9"/>
        <v>5.5555555562023073E-2</v>
      </c>
      <c r="G245" s="19">
        <f t="shared" si="10"/>
        <v>1.3333333334885538</v>
      </c>
      <c r="H245" s="20">
        <f t="shared" si="11"/>
        <v>80.000000009313226</v>
      </c>
    </row>
    <row r="246" spans="1:8" x14ac:dyDescent="0.25">
      <c r="A246">
        <v>247</v>
      </c>
      <c r="B246" t="s">
        <v>31</v>
      </c>
      <c r="C246">
        <v>1</v>
      </c>
      <c r="D246" t="s">
        <v>35</v>
      </c>
      <c r="E246" s="6">
        <v>46040.569444444445</v>
      </c>
      <c r="F246" s="18">
        <f t="shared" si="9"/>
        <v>7.2916666664241347E-2</v>
      </c>
      <c r="G246" s="19">
        <f t="shared" si="10"/>
        <v>1.7499999999417923</v>
      </c>
      <c r="H246" s="20">
        <f t="shared" si="11"/>
        <v>104.99999999650754</v>
      </c>
    </row>
    <row r="247" spans="1:8" x14ac:dyDescent="0.25">
      <c r="A247">
        <v>246</v>
      </c>
      <c r="B247" t="s">
        <v>31</v>
      </c>
      <c r="C247">
        <v>1</v>
      </c>
      <c r="D247" t="s">
        <v>30</v>
      </c>
      <c r="E247" s="6">
        <v>46040.670138888891</v>
      </c>
      <c r="F247" s="18">
        <f t="shared" si="9"/>
        <v>0.10069444444525288</v>
      </c>
      <c r="G247" s="19">
        <f t="shared" si="10"/>
        <v>2.4166666666860692</v>
      </c>
      <c r="H247" s="20">
        <f t="shared" si="11"/>
        <v>145.00000000116415</v>
      </c>
    </row>
    <row r="248" spans="1:8" x14ac:dyDescent="0.25">
      <c r="A248">
        <v>257</v>
      </c>
      <c r="B248" t="s">
        <v>33</v>
      </c>
      <c r="C248">
        <v>1</v>
      </c>
      <c r="D248" t="s">
        <v>30</v>
      </c>
      <c r="E248" s="6">
        <v>46040.746527777781</v>
      </c>
      <c r="F248" s="18">
        <f t="shared" si="9"/>
        <v>7.6388888890505768E-2</v>
      </c>
      <c r="G248" s="19">
        <f t="shared" si="10"/>
        <v>1.8333333333721384</v>
      </c>
      <c r="H248" s="20">
        <f t="shared" si="11"/>
        <v>110.00000000232831</v>
      </c>
    </row>
    <row r="249" spans="1:8" x14ac:dyDescent="0.25">
      <c r="A249">
        <v>258</v>
      </c>
      <c r="B249" t="s">
        <v>29</v>
      </c>
      <c r="C249">
        <v>1</v>
      </c>
      <c r="D249" t="s">
        <v>30</v>
      </c>
      <c r="E249" s="6">
        <v>46040.822916666664</v>
      </c>
      <c r="F249" s="18">
        <f t="shared" si="9"/>
        <v>7.6388888883229811E-2</v>
      </c>
      <c r="G249" s="19">
        <f t="shared" si="10"/>
        <v>1.8333333331975155</v>
      </c>
      <c r="H249" s="20">
        <f t="shared" si="11"/>
        <v>109.99999999185093</v>
      </c>
    </row>
    <row r="250" spans="1:8" x14ac:dyDescent="0.25">
      <c r="A250">
        <v>259</v>
      </c>
      <c r="B250" t="s">
        <v>33</v>
      </c>
      <c r="C250">
        <v>1</v>
      </c>
      <c r="D250" t="s">
        <v>30</v>
      </c>
      <c r="E250" s="6">
        <v>46040.993055555555</v>
      </c>
      <c r="F250" s="18">
        <f t="shared" si="9"/>
        <v>0.17013888889050577</v>
      </c>
      <c r="G250" s="19">
        <f t="shared" si="10"/>
        <v>4.0833333333721384</v>
      </c>
      <c r="H250" s="20">
        <f t="shared" si="11"/>
        <v>245.00000000232831</v>
      </c>
    </row>
    <row r="251" spans="1:8" x14ac:dyDescent="0.25">
      <c r="A251">
        <v>260</v>
      </c>
      <c r="B251" t="s">
        <v>33</v>
      </c>
      <c r="C251">
        <v>1</v>
      </c>
      <c r="D251" t="s">
        <v>30</v>
      </c>
      <c r="E251" s="6">
        <v>46041.041666666664</v>
      </c>
      <c r="F251" s="18">
        <f t="shared" si="9"/>
        <v>4.8611111109494232E-2</v>
      </c>
      <c r="G251" s="19">
        <f t="shared" si="10"/>
        <v>1.1666666666278616</v>
      </c>
      <c r="H251" s="20">
        <f t="shared" si="11"/>
        <v>69.999999997671694</v>
      </c>
    </row>
    <row r="252" spans="1:8" hidden="1" x14ac:dyDescent="0.25">
      <c r="A252">
        <v>252</v>
      </c>
      <c r="B252" t="s">
        <v>31</v>
      </c>
      <c r="C252">
        <v>1</v>
      </c>
      <c r="D252" t="s">
        <v>32</v>
      </c>
      <c r="E252" s="6">
        <v>46041.28125</v>
      </c>
      <c r="F252" s="18">
        <f t="shared" si="9"/>
        <v>0.23958333333575865</v>
      </c>
      <c r="G252" s="19">
        <f t="shared" si="10"/>
        <v>5.7500000000582077</v>
      </c>
      <c r="H252" s="20">
        <f t="shared" si="11"/>
        <v>345.00000000349246</v>
      </c>
    </row>
    <row r="253" spans="1:8" x14ac:dyDescent="0.25">
      <c r="A253">
        <v>236</v>
      </c>
      <c r="B253" t="s">
        <v>33</v>
      </c>
      <c r="C253">
        <v>1</v>
      </c>
      <c r="D253" t="s">
        <v>36</v>
      </c>
      <c r="E253" s="6">
        <v>46041.291666666664</v>
      </c>
      <c r="F253" s="18">
        <f t="shared" si="9"/>
        <v>1.0416666664241347E-2</v>
      </c>
      <c r="G253" s="19">
        <f t="shared" si="10"/>
        <v>0.24999999994179234</v>
      </c>
      <c r="H253" s="20">
        <f t="shared" si="11"/>
        <v>14.99999999650754</v>
      </c>
    </row>
    <row r="254" spans="1:8" hidden="1" x14ac:dyDescent="0.25">
      <c r="A254">
        <v>237</v>
      </c>
      <c r="B254" t="s">
        <v>33</v>
      </c>
      <c r="C254">
        <v>1</v>
      </c>
      <c r="D254" t="s">
        <v>35</v>
      </c>
      <c r="E254" s="6">
        <v>46041.291666666664</v>
      </c>
      <c r="F254" s="18">
        <f t="shared" si="9"/>
        <v>0</v>
      </c>
      <c r="G254" s="19">
        <f t="shared" si="10"/>
        <v>0</v>
      </c>
      <c r="H254" s="19">
        <f t="shared" si="11"/>
        <v>0</v>
      </c>
    </row>
    <row r="255" spans="1:8" hidden="1" x14ac:dyDescent="0.25">
      <c r="A255">
        <v>254</v>
      </c>
      <c r="B255" t="s">
        <v>33</v>
      </c>
      <c r="C255">
        <v>1</v>
      </c>
      <c r="D255" t="s">
        <v>30</v>
      </c>
      <c r="E255" s="6">
        <v>46041.291666666664</v>
      </c>
      <c r="F255" s="18">
        <f t="shared" si="9"/>
        <v>0</v>
      </c>
      <c r="G255" s="19">
        <f t="shared" si="10"/>
        <v>0</v>
      </c>
      <c r="H255" s="19">
        <f t="shared" si="11"/>
        <v>0</v>
      </c>
    </row>
    <row r="256" spans="1:8" x14ac:dyDescent="0.25">
      <c r="A256">
        <v>256</v>
      </c>
      <c r="B256" t="s">
        <v>33</v>
      </c>
      <c r="C256">
        <v>1</v>
      </c>
      <c r="D256" t="s">
        <v>34</v>
      </c>
      <c r="E256" s="6">
        <v>46041.375</v>
      </c>
      <c r="F256" s="18">
        <f t="shared" si="9"/>
        <v>8.3333333335758653E-2</v>
      </c>
      <c r="G256" s="19">
        <f t="shared" si="10"/>
        <v>2.0000000000582077</v>
      </c>
      <c r="H256" s="20">
        <f t="shared" si="11"/>
        <v>120.00000000349246</v>
      </c>
    </row>
    <row r="257" spans="1:8" x14ac:dyDescent="0.25">
      <c r="A257">
        <v>253</v>
      </c>
      <c r="B257" t="s">
        <v>29</v>
      </c>
      <c r="C257">
        <v>1</v>
      </c>
      <c r="D257" t="s">
        <v>30</v>
      </c>
      <c r="E257" s="6">
        <v>46041.425694444442</v>
      </c>
      <c r="F257" s="18">
        <f t="shared" si="9"/>
        <v>5.0694444442342501E-2</v>
      </c>
      <c r="G257" s="19">
        <f t="shared" si="10"/>
        <v>1.21666666661622</v>
      </c>
      <c r="H257" s="20">
        <f t="shared" si="11"/>
        <v>72.999999996973202</v>
      </c>
    </row>
    <row r="258" spans="1:8" x14ac:dyDescent="0.25">
      <c r="A258">
        <v>245</v>
      </c>
      <c r="B258" t="s">
        <v>31</v>
      </c>
      <c r="C258">
        <v>1</v>
      </c>
      <c r="D258" t="s">
        <v>34</v>
      </c>
      <c r="E258" s="6">
        <v>46041.486111111109</v>
      </c>
      <c r="F258" s="18">
        <f t="shared" si="9"/>
        <v>6.0416666667151731E-2</v>
      </c>
      <c r="G258" s="19">
        <f t="shared" si="10"/>
        <v>1.4500000000116415</v>
      </c>
      <c r="H258" s="20">
        <f t="shared" si="11"/>
        <v>87.000000000698492</v>
      </c>
    </row>
    <row r="259" spans="1:8" hidden="1" x14ac:dyDescent="0.25">
      <c r="A259">
        <v>255</v>
      </c>
      <c r="B259" t="s">
        <v>33</v>
      </c>
      <c r="C259">
        <v>1</v>
      </c>
      <c r="D259" t="s">
        <v>32</v>
      </c>
      <c r="E259" s="6">
        <v>46041.486111111109</v>
      </c>
      <c r="F259" s="18">
        <f t="shared" si="9"/>
        <v>0</v>
      </c>
      <c r="G259" s="19">
        <f t="shared" si="10"/>
        <v>0</v>
      </c>
      <c r="H259" s="19">
        <f t="shared" si="11"/>
        <v>0</v>
      </c>
    </row>
    <row r="260" spans="1:8" x14ac:dyDescent="0.25">
      <c r="A260">
        <v>244</v>
      </c>
      <c r="B260" t="s">
        <v>33</v>
      </c>
      <c r="C260">
        <v>1</v>
      </c>
      <c r="D260" t="s">
        <v>36</v>
      </c>
      <c r="E260" s="6">
        <v>46041.5</v>
      </c>
      <c r="F260" s="18">
        <f t="shared" si="9"/>
        <v>1.3888888890505768E-2</v>
      </c>
      <c r="G260" s="19">
        <f t="shared" si="10"/>
        <v>0.33333333337213844</v>
      </c>
      <c r="H260" s="20">
        <f t="shared" si="11"/>
        <v>20.000000002328306</v>
      </c>
    </row>
    <row r="261" spans="1:8" x14ac:dyDescent="0.25">
      <c r="A261">
        <v>264</v>
      </c>
      <c r="B261" t="s">
        <v>33</v>
      </c>
      <c r="C261">
        <v>1</v>
      </c>
      <c r="D261" t="s">
        <v>36</v>
      </c>
      <c r="E261" s="6">
        <v>46041.579861111109</v>
      </c>
      <c r="F261" s="18">
        <f t="shared" ref="F261:F324" si="12">E261-E260</f>
        <v>7.9861111109494232E-2</v>
      </c>
      <c r="G261" s="19">
        <f t="shared" ref="G261:G324" si="13">F261*24</f>
        <v>1.9166666666278616</v>
      </c>
      <c r="H261" s="20">
        <f t="shared" ref="H261:H324" si="14">G261*60</f>
        <v>114.99999999767169</v>
      </c>
    </row>
    <row r="262" spans="1:8" hidden="1" x14ac:dyDescent="0.25">
      <c r="A262">
        <v>265</v>
      </c>
      <c r="B262" t="s">
        <v>31</v>
      </c>
      <c r="C262">
        <v>1</v>
      </c>
      <c r="D262" t="s">
        <v>36</v>
      </c>
      <c r="E262" s="6">
        <v>46041.579861111109</v>
      </c>
      <c r="F262" s="18">
        <f t="shared" si="12"/>
        <v>0</v>
      </c>
      <c r="G262" s="19">
        <f t="shared" si="13"/>
        <v>0</v>
      </c>
      <c r="H262" s="19">
        <f t="shared" si="14"/>
        <v>0</v>
      </c>
    </row>
    <row r="263" spans="1:8" x14ac:dyDescent="0.25">
      <c r="A263">
        <v>263</v>
      </c>
      <c r="B263" t="s">
        <v>29</v>
      </c>
      <c r="C263">
        <v>1</v>
      </c>
      <c r="D263" t="s">
        <v>30</v>
      </c>
      <c r="E263" s="6">
        <v>46041.590277777781</v>
      </c>
      <c r="F263" s="18">
        <f t="shared" si="12"/>
        <v>1.0416666671517305E-2</v>
      </c>
      <c r="G263" s="19">
        <f t="shared" si="13"/>
        <v>0.25000000011641532</v>
      </c>
      <c r="H263" s="20">
        <f t="shared" si="14"/>
        <v>15.000000006984919</v>
      </c>
    </row>
    <row r="264" spans="1:8" x14ac:dyDescent="0.25">
      <c r="A264">
        <v>266</v>
      </c>
      <c r="B264" t="s">
        <v>33</v>
      </c>
      <c r="C264">
        <v>2</v>
      </c>
      <c r="D264" t="s">
        <v>32</v>
      </c>
      <c r="E264" s="6">
        <v>46041.618055555555</v>
      </c>
      <c r="F264" s="18">
        <f t="shared" si="12"/>
        <v>2.7777777773735579E-2</v>
      </c>
      <c r="G264" s="19">
        <f t="shared" si="13"/>
        <v>0.6666666665696539</v>
      </c>
      <c r="H264" s="20">
        <f t="shared" si="14"/>
        <v>39.999999994179234</v>
      </c>
    </row>
    <row r="265" spans="1:8" x14ac:dyDescent="0.25">
      <c r="A265">
        <v>262</v>
      </c>
      <c r="B265" t="s">
        <v>33</v>
      </c>
      <c r="C265">
        <v>1</v>
      </c>
      <c r="D265" t="s">
        <v>30</v>
      </c>
      <c r="E265" s="6">
        <v>46041.628472222219</v>
      </c>
      <c r="F265" s="18">
        <f t="shared" si="12"/>
        <v>1.0416666664241347E-2</v>
      </c>
      <c r="G265" s="19">
        <f t="shared" si="13"/>
        <v>0.24999999994179234</v>
      </c>
      <c r="H265" s="20">
        <f t="shared" si="14"/>
        <v>14.99999999650754</v>
      </c>
    </row>
    <row r="266" spans="1:8" x14ac:dyDescent="0.25">
      <c r="A266">
        <v>261</v>
      </c>
      <c r="B266" t="s">
        <v>33</v>
      </c>
      <c r="C266">
        <v>1</v>
      </c>
      <c r="D266" t="s">
        <v>30</v>
      </c>
      <c r="E266" s="6">
        <v>46041.715277777781</v>
      </c>
      <c r="F266" s="18">
        <f t="shared" si="12"/>
        <v>8.6805555562023073E-2</v>
      </c>
      <c r="G266" s="19">
        <f t="shared" si="13"/>
        <v>2.0833333334885538</v>
      </c>
      <c r="H266" s="20">
        <f t="shared" si="14"/>
        <v>125.00000000931323</v>
      </c>
    </row>
    <row r="267" spans="1:8" hidden="1" x14ac:dyDescent="0.25">
      <c r="A267">
        <v>271</v>
      </c>
      <c r="B267" t="s">
        <v>29</v>
      </c>
      <c r="C267">
        <v>1</v>
      </c>
      <c r="D267" t="s">
        <v>37</v>
      </c>
      <c r="E267" s="6">
        <v>46042.25</v>
      </c>
      <c r="F267" s="18">
        <f t="shared" si="12"/>
        <v>0.53472222221898846</v>
      </c>
      <c r="G267" s="19">
        <f t="shared" si="13"/>
        <v>12.833333333255723</v>
      </c>
      <c r="H267" s="20">
        <f t="shared" si="14"/>
        <v>769.99999999534339</v>
      </c>
    </row>
    <row r="268" spans="1:8" x14ac:dyDescent="0.25">
      <c r="A268">
        <v>216</v>
      </c>
      <c r="B268" t="s">
        <v>33</v>
      </c>
      <c r="C268">
        <v>1</v>
      </c>
      <c r="D268" t="s">
        <v>37</v>
      </c>
      <c r="E268" s="6">
        <v>46042.284722222219</v>
      </c>
      <c r="F268" s="18">
        <f t="shared" si="12"/>
        <v>3.4722222218988463E-2</v>
      </c>
      <c r="G268" s="19">
        <f t="shared" si="13"/>
        <v>0.83333333325572312</v>
      </c>
      <c r="H268" s="20">
        <f t="shared" si="14"/>
        <v>49.999999995343387</v>
      </c>
    </row>
    <row r="269" spans="1:8" hidden="1" x14ac:dyDescent="0.25">
      <c r="A269">
        <v>268</v>
      </c>
      <c r="B269" t="s">
        <v>29</v>
      </c>
      <c r="C269">
        <v>1</v>
      </c>
      <c r="D269" t="s">
        <v>30</v>
      </c>
      <c r="E269" s="6">
        <v>46042.284722222219</v>
      </c>
      <c r="F269" s="18">
        <f t="shared" si="12"/>
        <v>0</v>
      </c>
      <c r="G269" s="19">
        <f t="shared" si="13"/>
        <v>0</v>
      </c>
      <c r="H269" s="19">
        <f t="shared" si="14"/>
        <v>0</v>
      </c>
    </row>
    <row r="270" spans="1:8" x14ac:dyDescent="0.25">
      <c r="A270">
        <v>278</v>
      </c>
      <c r="B270" t="s">
        <v>33</v>
      </c>
      <c r="C270">
        <v>1</v>
      </c>
      <c r="D270" t="s">
        <v>35</v>
      </c>
      <c r="E270" s="6">
        <v>46042.288194444445</v>
      </c>
      <c r="F270" s="18">
        <f t="shared" si="12"/>
        <v>3.4722222262644209E-3</v>
      </c>
      <c r="G270" s="19">
        <f t="shared" si="13"/>
        <v>8.3333333430346102E-2</v>
      </c>
      <c r="H270" s="20">
        <f t="shared" si="14"/>
        <v>5.0000000058207661</v>
      </c>
    </row>
    <row r="271" spans="1:8" x14ac:dyDescent="0.25">
      <c r="A271">
        <v>273</v>
      </c>
      <c r="B271" t="s">
        <v>29</v>
      </c>
      <c r="C271">
        <v>1</v>
      </c>
      <c r="D271" t="s">
        <v>35</v>
      </c>
      <c r="E271" s="6">
        <v>46042.315972222219</v>
      </c>
      <c r="F271" s="18">
        <f t="shared" si="12"/>
        <v>2.7777777773735579E-2</v>
      </c>
      <c r="G271" s="19">
        <f t="shared" si="13"/>
        <v>0.6666666665696539</v>
      </c>
      <c r="H271" s="20">
        <f t="shared" si="14"/>
        <v>39.999999994179234</v>
      </c>
    </row>
    <row r="272" spans="1:8" x14ac:dyDescent="0.25">
      <c r="A272">
        <v>279</v>
      </c>
      <c r="B272" t="s">
        <v>31</v>
      </c>
      <c r="C272">
        <v>1</v>
      </c>
      <c r="D272" t="s">
        <v>30</v>
      </c>
      <c r="E272" s="6">
        <v>46042.378472222219</v>
      </c>
      <c r="F272" s="18">
        <f t="shared" si="12"/>
        <v>6.25E-2</v>
      </c>
      <c r="G272" s="19">
        <f t="shared" si="13"/>
        <v>1.5</v>
      </c>
      <c r="H272" s="20">
        <f t="shared" si="14"/>
        <v>90</v>
      </c>
    </row>
    <row r="273" spans="1:8" x14ac:dyDescent="0.25">
      <c r="A273">
        <v>276</v>
      </c>
      <c r="B273" t="s">
        <v>33</v>
      </c>
      <c r="C273">
        <v>1</v>
      </c>
      <c r="D273" t="s">
        <v>32</v>
      </c>
      <c r="E273" s="6">
        <v>46042.4375</v>
      </c>
      <c r="F273" s="18">
        <f t="shared" si="12"/>
        <v>5.9027777781011537E-2</v>
      </c>
      <c r="G273" s="19">
        <f t="shared" si="13"/>
        <v>1.4166666667442769</v>
      </c>
      <c r="H273" s="20">
        <f t="shared" si="14"/>
        <v>85.000000004656613</v>
      </c>
    </row>
    <row r="274" spans="1:8" x14ac:dyDescent="0.25">
      <c r="A274">
        <v>275</v>
      </c>
      <c r="B274" t="s">
        <v>31</v>
      </c>
      <c r="C274">
        <v>1</v>
      </c>
      <c r="D274" t="s">
        <v>34</v>
      </c>
      <c r="E274" s="6">
        <v>46042.468055555553</v>
      </c>
      <c r="F274" s="18">
        <f t="shared" si="12"/>
        <v>3.0555555553291924E-2</v>
      </c>
      <c r="G274" s="19">
        <f t="shared" si="13"/>
        <v>0.73333333327900618</v>
      </c>
      <c r="H274" s="20">
        <f t="shared" si="14"/>
        <v>43.999999996740371</v>
      </c>
    </row>
    <row r="275" spans="1:8" x14ac:dyDescent="0.25">
      <c r="A275">
        <v>274</v>
      </c>
      <c r="B275" t="s">
        <v>29</v>
      </c>
      <c r="C275">
        <v>1</v>
      </c>
      <c r="D275" t="s">
        <v>30</v>
      </c>
      <c r="E275" s="6">
        <v>46042.46875</v>
      </c>
      <c r="F275" s="18">
        <f t="shared" si="12"/>
        <v>6.944444467080757E-4</v>
      </c>
      <c r="G275" s="19">
        <f t="shared" si="13"/>
        <v>1.6666666720993817E-2</v>
      </c>
      <c r="H275" s="20">
        <f t="shared" si="14"/>
        <v>1.000000003259629</v>
      </c>
    </row>
    <row r="276" spans="1:8" x14ac:dyDescent="0.25">
      <c r="A276">
        <v>270</v>
      </c>
      <c r="B276" t="s">
        <v>29</v>
      </c>
      <c r="C276">
        <v>1</v>
      </c>
      <c r="D276" t="s">
        <v>35</v>
      </c>
      <c r="E276" s="6">
        <v>46042.482638888891</v>
      </c>
      <c r="F276" s="18">
        <f t="shared" si="12"/>
        <v>1.3888888890505768E-2</v>
      </c>
      <c r="G276" s="19">
        <f t="shared" si="13"/>
        <v>0.33333333337213844</v>
      </c>
      <c r="H276" s="20">
        <f t="shared" si="14"/>
        <v>20.000000002328306</v>
      </c>
    </row>
    <row r="277" spans="1:8" x14ac:dyDescent="0.25">
      <c r="A277">
        <v>281</v>
      </c>
      <c r="B277" t="s">
        <v>31</v>
      </c>
      <c r="C277">
        <v>1</v>
      </c>
      <c r="D277" t="s">
        <v>32</v>
      </c>
      <c r="E277" s="6">
        <v>46042.534722222219</v>
      </c>
      <c r="F277" s="18">
        <f t="shared" si="12"/>
        <v>5.2083333328482695E-2</v>
      </c>
      <c r="G277" s="19">
        <f t="shared" si="13"/>
        <v>1.2499999998835847</v>
      </c>
      <c r="H277" s="20">
        <f t="shared" si="14"/>
        <v>74.999999993015081</v>
      </c>
    </row>
    <row r="278" spans="1:8" x14ac:dyDescent="0.25">
      <c r="A278">
        <v>267</v>
      </c>
      <c r="B278" t="s">
        <v>31</v>
      </c>
      <c r="C278">
        <v>1</v>
      </c>
      <c r="D278" t="s">
        <v>34</v>
      </c>
      <c r="E278" s="6">
        <v>46042.569444444445</v>
      </c>
      <c r="F278" s="18">
        <f t="shared" si="12"/>
        <v>3.4722222226264421E-2</v>
      </c>
      <c r="G278" s="19">
        <f t="shared" si="13"/>
        <v>0.8333333334303461</v>
      </c>
      <c r="H278" s="20">
        <f t="shared" si="14"/>
        <v>50.000000005820766</v>
      </c>
    </row>
    <row r="279" spans="1:8" x14ac:dyDescent="0.25">
      <c r="A279">
        <v>272</v>
      </c>
      <c r="B279" t="s">
        <v>29</v>
      </c>
      <c r="C279">
        <v>1</v>
      </c>
      <c r="D279" t="s">
        <v>30</v>
      </c>
      <c r="E279" s="6">
        <v>46042.65625</v>
      </c>
      <c r="F279" s="18">
        <f t="shared" si="12"/>
        <v>8.6805555554747116E-2</v>
      </c>
      <c r="G279" s="19">
        <f t="shared" si="13"/>
        <v>2.0833333333139308</v>
      </c>
      <c r="H279" s="20">
        <f t="shared" si="14"/>
        <v>124.99999999883585</v>
      </c>
    </row>
    <row r="280" spans="1:8" x14ac:dyDescent="0.25">
      <c r="A280">
        <v>280</v>
      </c>
      <c r="B280" t="s">
        <v>31</v>
      </c>
      <c r="C280">
        <v>1</v>
      </c>
      <c r="D280" t="s">
        <v>35</v>
      </c>
      <c r="E280" s="6">
        <v>46042.670138888891</v>
      </c>
      <c r="F280" s="18">
        <f t="shared" si="12"/>
        <v>1.3888888890505768E-2</v>
      </c>
      <c r="G280" s="19">
        <f t="shared" si="13"/>
        <v>0.33333333337213844</v>
      </c>
      <c r="H280" s="20">
        <f t="shared" si="14"/>
        <v>20.000000002328306</v>
      </c>
    </row>
    <row r="281" spans="1:8" x14ac:dyDescent="0.25">
      <c r="A281">
        <v>277</v>
      </c>
      <c r="B281" t="s">
        <v>33</v>
      </c>
      <c r="C281">
        <v>1</v>
      </c>
      <c r="D281" t="s">
        <v>32</v>
      </c>
      <c r="E281" s="6">
        <v>46042.686111111114</v>
      </c>
      <c r="F281" s="18">
        <f t="shared" si="12"/>
        <v>1.5972222223354038E-2</v>
      </c>
      <c r="G281" s="19">
        <f t="shared" si="13"/>
        <v>0.38333333336049691</v>
      </c>
      <c r="H281" s="20">
        <f t="shared" si="14"/>
        <v>23.000000001629815</v>
      </c>
    </row>
    <row r="282" spans="1:8" x14ac:dyDescent="0.25">
      <c r="A282">
        <v>269</v>
      </c>
      <c r="B282" t="s">
        <v>31</v>
      </c>
      <c r="C282">
        <v>1</v>
      </c>
      <c r="D282" t="s">
        <v>36</v>
      </c>
      <c r="E282" s="6">
        <v>46042.694444444445</v>
      </c>
      <c r="F282" s="18">
        <f t="shared" si="12"/>
        <v>8.333333331393078E-3</v>
      </c>
      <c r="G282" s="19">
        <f t="shared" si="13"/>
        <v>0.19999999995343387</v>
      </c>
      <c r="H282" s="20">
        <f t="shared" si="14"/>
        <v>11.999999997206032</v>
      </c>
    </row>
    <row r="283" spans="1:8" hidden="1" x14ac:dyDescent="0.25">
      <c r="A283">
        <v>291</v>
      </c>
      <c r="B283" t="s">
        <v>33</v>
      </c>
      <c r="C283">
        <v>1</v>
      </c>
      <c r="D283" t="s">
        <v>30</v>
      </c>
      <c r="E283" s="6">
        <v>46042.888888888891</v>
      </c>
      <c r="F283" s="18">
        <f t="shared" si="12"/>
        <v>0.19444444444525288</v>
      </c>
      <c r="G283" s="19">
        <f t="shared" si="13"/>
        <v>4.6666666666860692</v>
      </c>
      <c r="H283" s="20">
        <f t="shared" si="14"/>
        <v>280.00000000116415</v>
      </c>
    </row>
    <row r="284" spans="1:8" x14ac:dyDescent="0.25">
      <c r="A284">
        <v>292</v>
      </c>
      <c r="B284" t="s">
        <v>31</v>
      </c>
      <c r="C284">
        <v>1</v>
      </c>
      <c r="D284" t="s">
        <v>34</v>
      </c>
      <c r="E284" s="6">
        <v>46042.913194444445</v>
      </c>
      <c r="F284" s="18">
        <f t="shared" si="12"/>
        <v>2.4305555554747116E-2</v>
      </c>
      <c r="G284" s="19">
        <f t="shared" si="13"/>
        <v>0.58333333331393078</v>
      </c>
      <c r="H284" s="20">
        <f t="shared" si="14"/>
        <v>34.999999998835847</v>
      </c>
    </row>
    <row r="285" spans="1:8" x14ac:dyDescent="0.25">
      <c r="A285">
        <v>294</v>
      </c>
      <c r="B285" t="s">
        <v>33</v>
      </c>
      <c r="C285">
        <v>1</v>
      </c>
      <c r="D285" t="s">
        <v>30</v>
      </c>
      <c r="E285" s="6">
        <v>46042.940972222219</v>
      </c>
      <c r="F285" s="18">
        <f t="shared" si="12"/>
        <v>2.7777777773735579E-2</v>
      </c>
      <c r="G285" s="19">
        <f t="shared" si="13"/>
        <v>0.6666666665696539</v>
      </c>
      <c r="H285" s="20">
        <f t="shared" si="14"/>
        <v>39.999999994179234</v>
      </c>
    </row>
    <row r="286" spans="1:8" x14ac:dyDescent="0.25">
      <c r="A286">
        <v>293</v>
      </c>
      <c r="B286" t="s">
        <v>31</v>
      </c>
      <c r="C286">
        <v>1</v>
      </c>
      <c r="D286" t="s">
        <v>36</v>
      </c>
      <c r="E286" s="6">
        <v>46042.972222222219</v>
      </c>
      <c r="F286" s="18">
        <f t="shared" si="12"/>
        <v>3.125E-2</v>
      </c>
      <c r="G286" s="19">
        <f t="shared" si="13"/>
        <v>0.75</v>
      </c>
      <c r="H286" s="20">
        <f t="shared" si="14"/>
        <v>45</v>
      </c>
    </row>
    <row r="287" spans="1:8" hidden="1" x14ac:dyDescent="0.25">
      <c r="A287">
        <v>288</v>
      </c>
      <c r="B287" t="s">
        <v>31</v>
      </c>
      <c r="C287">
        <v>1</v>
      </c>
      <c r="D287" t="s">
        <v>35</v>
      </c>
      <c r="E287" s="6">
        <v>46043.290277777778</v>
      </c>
      <c r="F287" s="18">
        <f t="shared" si="12"/>
        <v>0.31805555555911269</v>
      </c>
      <c r="G287" s="19">
        <f t="shared" si="13"/>
        <v>7.6333333334187046</v>
      </c>
      <c r="H287" s="20">
        <f t="shared" si="14"/>
        <v>458.00000000512227</v>
      </c>
    </row>
    <row r="288" spans="1:8" x14ac:dyDescent="0.25">
      <c r="A288">
        <v>289</v>
      </c>
      <c r="B288" t="s">
        <v>31</v>
      </c>
      <c r="C288">
        <v>1</v>
      </c>
      <c r="D288" t="s">
        <v>30</v>
      </c>
      <c r="E288" s="6">
        <v>46043.298611111109</v>
      </c>
      <c r="F288" s="18">
        <f t="shared" si="12"/>
        <v>8.333333331393078E-3</v>
      </c>
      <c r="G288" s="19">
        <f t="shared" si="13"/>
        <v>0.19999999995343387</v>
      </c>
      <c r="H288" s="20">
        <f t="shared" si="14"/>
        <v>11.999999997206032</v>
      </c>
    </row>
    <row r="289" spans="1:8" x14ac:dyDescent="0.25">
      <c r="A289">
        <v>285</v>
      </c>
      <c r="B289" t="s">
        <v>31</v>
      </c>
      <c r="C289">
        <v>1</v>
      </c>
      <c r="D289" t="s">
        <v>32</v>
      </c>
      <c r="E289" s="6">
        <v>46043.319444444445</v>
      </c>
      <c r="F289" s="18">
        <f t="shared" si="12"/>
        <v>2.0833333335758653E-2</v>
      </c>
      <c r="G289" s="19">
        <f t="shared" si="13"/>
        <v>0.50000000005820766</v>
      </c>
      <c r="H289" s="20">
        <f t="shared" si="14"/>
        <v>30.00000000349246</v>
      </c>
    </row>
    <row r="290" spans="1:8" x14ac:dyDescent="0.25">
      <c r="A290">
        <v>295</v>
      </c>
      <c r="B290" t="s">
        <v>33</v>
      </c>
      <c r="C290">
        <v>1</v>
      </c>
      <c r="D290" t="s">
        <v>35</v>
      </c>
      <c r="E290" s="6">
        <v>46043.434027777781</v>
      </c>
      <c r="F290" s="18">
        <f t="shared" si="12"/>
        <v>0.11458333333575865</v>
      </c>
      <c r="G290" s="19">
        <f t="shared" si="13"/>
        <v>2.7500000000582077</v>
      </c>
      <c r="H290" s="20">
        <f t="shared" si="14"/>
        <v>165.00000000349246</v>
      </c>
    </row>
    <row r="291" spans="1:8" x14ac:dyDescent="0.25">
      <c r="A291">
        <v>296</v>
      </c>
      <c r="B291" t="s">
        <v>31</v>
      </c>
      <c r="C291">
        <v>1</v>
      </c>
      <c r="D291" t="s">
        <v>36</v>
      </c>
      <c r="E291" s="6">
        <v>46043.447916666664</v>
      </c>
      <c r="F291" s="18">
        <f t="shared" si="12"/>
        <v>1.3888888883229811E-2</v>
      </c>
      <c r="G291" s="19">
        <f t="shared" si="13"/>
        <v>0.33333333319751546</v>
      </c>
      <c r="H291" s="20">
        <f t="shared" si="14"/>
        <v>19.999999991850927</v>
      </c>
    </row>
    <row r="292" spans="1:8" x14ac:dyDescent="0.25">
      <c r="A292">
        <v>298</v>
      </c>
      <c r="B292" t="s">
        <v>29</v>
      </c>
      <c r="C292">
        <v>1</v>
      </c>
      <c r="D292" t="s">
        <v>32</v>
      </c>
      <c r="E292" s="6">
        <v>46043.482638888891</v>
      </c>
      <c r="F292" s="18">
        <f t="shared" si="12"/>
        <v>3.4722222226264421E-2</v>
      </c>
      <c r="G292" s="19">
        <f t="shared" si="13"/>
        <v>0.8333333334303461</v>
      </c>
      <c r="H292" s="20">
        <f t="shared" si="14"/>
        <v>50.000000005820766</v>
      </c>
    </row>
    <row r="293" spans="1:8" x14ac:dyDescent="0.25">
      <c r="A293">
        <v>299</v>
      </c>
      <c r="B293" t="s">
        <v>29</v>
      </c>
      <c r="C293">
        <v>1</v>
      </c>
      <c r="D293" t="s">
        <v>30</v>
      </c>
      <c r="E293" s="6">
        <v>46043.506944444445</v>
      </c>
      <c r="F293" s="18">
        <f t="shared" si="12"/>
        <v>2.4305555554747116E-2</v>
      </c>
      <c r="G293" s="19">
        <f t="shared" si="13"/>
        <v>0.58333333331393078</v>
      </c>
      <c r="H293" s="20">
        <f t="shared" si="14"/>
        <v>34.999999998835847</v>
      </c>
    </row>
    <row r="294" spans="1:8" x14ac:dyDescent="0.25">
      <c r="A294">
        <v>287</v>
      </c>
      <c r="B294" t="s">
        <v>31</v>
      </c>
      <c r="C294">
        <v>1</v>
      </c>
      <c r="D294" t="s">
        <v>35</v>
      </c>
      <c r="E294" s="6">
        <v>46043.583333333336</v>
      </c>
      <c r="F294" s="18">
        <f t="shared" si="12"/>
        <v>7.6388888890505768E-2</v>
      </c>
      <c r="G294" s="19">
        <f t="shared" si="13"/>
        <v>1.8333333333721384</v>
      </c>
      <c r="H294" s="20">
        <f t="shared" si="14"/>
        <v>110.00000000232831</v>
      </c>
    </row>
    <row r="295" spans="1:8" x14ac:dyDescent="0.25">
      <c r="A295">
        <v>284</v>
      </c>
      <c r="B295" t="s">
        <v>29</v>
      </c>
      <c r="C295">
        <v>1</v>
      </c>
      <c r="D295" t="s">
        <v>36</v>
      </c>
      <c r="E295" s="6">
        <v>46043.600694444445</v>
      </c>
      <c r="F295" s="18">
        <f t="shared" si="12"/>
        <v>1.7361111109494232E-2</v>
      </c>
      <c r="G295" s="19">
        <f t="shared" si="13"/>
        <v>0.41666666662786156</v>
      </c>
      <c r="H295" s="20">
        <f t="shared" si="14"/>
        <v>24.999999997671694</v>
      </c>
    </row>
    <row r="296" spans="1:8" x14ac:dyDescent="0.25">
      <c r="A296">
        <v>306</v>
      </c>
      <c r="B296" t="s">
        <v>29</v>
      </c>
      <c r="C296">
        <v>1</v>
      </c>
      <c r="D296" t="s">
        <v>30</v>
      </c>
      <c r="E296" s="6">
        <v>46043.6875</v>
      </c>
      <c r="F296" s="18">
        <f t="shared" si="12"/>
        <v>8.6805555554747116E-2</v>
      </c>
      <c r="G296" s="19">
        <f t="shared" si="13"/>
        <v>2.0833333333139308</v>
      </c>
      <c r="H296" s="20">
        <f t="shared" si="14"/>
        <v>124.99999999883585</v>
      </c>
    </row>
    <row r="297" spans="1:8" x14ac:dyDescent="0.25">
      <c r="A297">
        <v>297</v>
      </c>
      <c r="B297" t="s">
        <v>33</v>
      </c>
      <c r="C297">
        <v>1</v>
      </c>
      <c r="D297" t="s">
        <v>30</v>
      </c>
      <c r="E297" s="6">
        <v>46043.75</v>
      </c>
      <c r="F297" s="18">
        <f t="shared" si="12"/>
        <v>6.25E-2</v>
      </c>
      <c r="G297" s="19">
        <f t="shared" si="13"/>
        <v>1.5</v>
      </c>
      <c r="H297" s="20">
        <f t="shared" si="14"/>
        <v>90</v>
      </c>
    </row>
    <row r="298" spans="1:8" hidden="1" x14ac:dyDescent="0.25">
      <c r="A298">
        <v>217</v>
      </c>
      <c r="B298" t="s">
        <v>33</v>
      </c>
      <c r="C298">
        <v>1</v>
      </c>
      <c r="D298" t="s">
        <v>34</v>
      </c>
      <c r="E298" s="6">
        <v>46044.291666666664</v>
      </c>
      <c r="F298" s="18">
        <f t="shared" si="12"/>
        <v>0.54166666666424135</v>
      </c>
      <c r="G298" s="19">
        <f t="shared" si="13"/>
        <v>12.999999999941792</v>
      </c>
      <c r="H298" s="20">
        <f t="shared" si="14"/>
        <v>779.99999999650754</v>
      </c>
    </row>
    <row r="299" spans="1:8" hidden="1" x14ac:dyDescent="0.25">
      <c r="A299">
        <v>282</v>
      </c>
      <c r="B299" t="s">
        <v>29</v>
      </c>
      <c r="C299">
        <v>1</v>
      </c>
      <c r="D299" t="s">
        <v>37</v>
      </c>
      <c r="E299" s="6">
        <v>46044.291666666664</v>
      </c>
      <c r="F299" s="18">
        <f t="shared" si="12"/>
        <v>0</v>
      </c>
      <c r="G299" s="19">
        <f t="shared" si="13"/>
        <v>0</v>
      </c>
      <c r="H299" s="19">
        <f t="shared" si="14"/>
        <v>0</v>
      </c>
    </row>
    <row r="300" spans="1:8" x14ac:dyDescent="0.25">
      <c r="A300">
        <v>305</v>
      </c>
      <c r="B300" t="s">
        <v>31</v>
      </c>
      <c r="C300">
        <v>1</v>
      </c>
      <c r="D300" t="s">
        <v>30</v>
      </c>
      <c r="E300" s="6">
        <v>46044.3125</v>
      </c>
      <c r="F300" s="18">
        <f t="shared" si="12"/>
        <v>2.0833333335758653E-2</v>
      </c>
      <c r="G300" s="19">
        <f t="shared" si="13"/>
        <v>0.50000000005820766</v>
      </c>
      <c r="H300" s="20">
        <f t="shared" si="14"/>
        <v>30.00000000349246</v>
      </c>
    </row>
    <row r="301" spans="1:8" x14ac:dyDescent="0.25">
      <c r="A301">
        <v>302</v>
      </c>
      <c r="B301" t="s">
        <v>29</v>
      </c>
      <c r="C301">
        <v>1</v>
      </c>
      <c r="D301" t="s">
        <v>35</v>
      </c>
      <c r="E301" s="6">
        <v>46044.333333333336</v>
      </c>
      <c r="F301" s="18">
        <f t="shared" si="12"/>
        <v>2.0833333335758653E-2</v>
      </c>
      <c r="G301" s="19">
        <f t="shared" si="13"/>
        <v>0.50000000005820766</v>
      </c>
      <c r="H301" s="20">
        <f t="shared" si="14"/>
        <v>30.00000000349246</v>
      </c>
    </row>
    <row r="302" spans="1:8" x14ac:dyDescent="0.25">
      <c r="A302">
        <v>308</v>
      </c>
      <c r="B302" t="s">
        <v>31</v>
      </c>
      <c r="C302">
        <v>1</v>
      </c>
      <c r="D302" t="s">
        <v>34</v>
      </c>
      <c r="E302" s="6">
        <v>46044.357638888891</v>
      </c>
      <c r="F302" s="18">
        <f t="shared" si="12"/>
        <v>2.4305555554747116E-2</v>
      </c>
      <c r="G302" s="19">
        <f t="shared" si="13"/>
        <v>0.58333333331393078</v>
      </c>
      <c r="H302" s="20">
        <f t="shared" si="14"/>
        <v>34.999999998835847</v>
      </c>
    </row>
    <row r="303" spans="1:8" x14ac:dyDescent="0.25">
      <c r="A303">
        <v>303</v>
      </c>
      <c r="B303" t="s">
        <v>33</v>
      </c>
      <c r="C303">
        <v>1</v>
      </c>
      <c r="D303" t="s">
        <v>34</v>
      </c>
      <c r="E303" s="6">
        <v>46044.380555555559</v>
      </c>
      <c r="F303" s="18">
        <f t="shared" si="12"/>
        <v>2.2916666668606922E-2</v>
      </c>
      <c r="G303" s="19">
        <f t="shared" si="13"/>
        <v>0.55000000004656613</v>
      </c>
      <c r="H303" s="20">
        <f t="shared" si="14"/>
        <v>33.000000002793968</v>
      </c>
    </row>
    <row r="304" spans="1:8" x14ac:dyDescent="0.25">
      <c r="A304">
        <v>300</v>
      </c>
      <c r="B304" t="s">
        <v>31</v>
      </c>
      <c r="C304">
        <v>1</v>
      </c>
      <c r="D304" t="s">
        <v>32</v>
      </c>
      <c r="E304" s="6">
        <v>46044.402777777781</v>
      </c>
      <c r="F304" s="18">
        <f t="shared" si="12"/>
        <v>2.2222222221898846E-2</v>
      </c>
      <c r="G304" s="19">
        <f t="shared" si="13"/>
        <v>0.53333333332557231</v>
      </c>
      <c r="H304" s="20">
        <f t="shared" si="14"/>
        <v>31.999999999534339</v>
      </c>
    </row>
    <row r="305" spans="1:8" x14ac:dyDescent="0.25">
      <c r="A305">
        <v>309</v>
      </c>
      <c r="B305" t="s">
        <v>29</v>
      </c>
      <c r="C305">
        <v>1</v>
      </c>
      <c r="D305" t="s">
        <v>30</v>
      </c>
      <c r="E305" s="6">
        <v>46044.552083333336</v>
      </c>
      <c r="F305" s="18">
        <f t="shared" si="12"/>
        <v>0.14930555555474712</v>
      </c>
      <c r="G305" s="19">
        <f t="shared" si="13"/>
        <v>3.5833333333139308</v>
      </c>
      <c r="H305" s="20">
        <f t="shared" si="14"/>
        <v>214.99999999883585</v>
      </c>
    </row>
    <row r="306" spans="1:8" x14ac:dyDescent="0.25">
      <c r="A306">
        <v>304</v>
      </c>
      <c r="B306" t="s">
        <v>31</v>
      </c>
      <c r="C306">
        <v>1</v>
      </c>
      <c r="D306" t="s">
        <v>37</v>
      </c>
      <c r="E306" s="6">
        <v>46044.5625</v>
      </c>
      <c r="F306" s="18">
        <f t="shared" si="12"/>
        <v>1.0416666664241347E-2</v>
      </c>
      <c r="G306" s="19">
        <f t="shared" si="13"/>
        <v>0.24999999994179234</v>
      </c>
      <c r="H306" s="20">
        <f t="shared" si="14"/>
        <v>14.99999999650754</v>
      </c>
    </row>
    <row r="307" spans="1:8" x14ac:dyDescent="0.25">
      <c r="A307">
        <v>301</v>
      </c>
      <c r="B307" t="s">
        <v>33</v>
      </c>
      <c r="C307">
        <v>1</v>
      </c>
      <c r="D307" t="s">
        <v>30</v>
      </c>
      <c r="E307" s="6">
        <v>46044.611111111109</v>
      </c>
      <c r="F307" s="18">
        <f t="shared" si="12"/>
        <v>4.8611111109494232E-2</v>
      </c>
      <c r="G307" s="19">
        <f t="shared" si="13"/>
        <v>1.1666666666278616</v>
      </c>
      <c r="H307" s="20">
        <f t="shared" si="14"/>
        <v>69.999999997671694</v>
      </c>
    </row>
    <row r="308" spans="1:8" x14ac:dyDescent="0.25">
      <c r="A308">
        <v>313</v>
      </c>
      <c r="B308" t="s">
        <v>31</v>
      </c>
      <c r="C308">
        <v>1</v>
      </c>
      <c r="D308" t="s">
        <v>36</v>
      </c>
      <c r="E308" s="6">
        <v>46044.618055555555</v>
      </c>
      <c r="F308" s="18">
        <f t="shared" si="12"/>
        <v>6.9444444452528842E-3</v>
      </c>
      <c r="G308" s="19">
        <f t="shared" si="13"/>
        <v>0.16666666668606922</v>
      </c>
      <c r="H308" s="20">
        <f t="shared" si="14"/>
        <v>10.000000001164153</v>
      </c>
    </row>
    <row r="309" spans="1:8" x14ac:dyDescent="0.25">
      <c r="A309">
        <v>307</v>
      </c>
      <c r="B309" t="s">
        <v>33</v>
      </c>
      <c r="C309">
        <v>1</v>
      </c>
      <c r="D309" t="s">
        <v>35</v>
      </c>
      <c r="E309" s="6">
        <v>46044.638888888891</v>
      </c>
      <c r="F309" s="18">
        <f t="shared" si="12"/>
        <v>2.0833333335758653E-2</v>
      </c>
      <c r="G309" s="19">
        <f t="shared" si="13"/>
        <v>0.50000000005820766</v>
      </c>
      <c r="H309" s="20">
        <f t="shared" si="14"/>
        <v>30.00000000349246</v>
      </c>
    </row>
    <row r="310" spans="1:8" hidden="1" x14ac:dyDescent="0.25">
      <c r="A310">
        <v>318</v>
      </c>
      <c r="B310" t="s">
        <v>31</v>
      </c>
      <c r="C310">
        <v>1</v>
      </c>
      <c r="D310" t="s">
        <v>30</v>
      </c>
      <c r="E310" s="6">
        <v>46044.847222222219</v>
      </c>
      <c r="F310" s="18">
        <f t="shared" si="12"/>
        <v>0.20833333332848269</v>
      </c>
      <c r="G310" s="19">
        <f t="shared" si="13"/>
        <v>4.9999999998835847</v>
      </c>
      <c r="H310" s="20">
        <f t="shared" si="14"/>
        <v>299.99999999301508</v>
      </c>
    </row>
    <row r="311" spans="1:8" x14ac:dyDescent="0.25">
      <c r="A311">
        <v>320</v>
      </c>
      <c r="B311" t="s">
        <v>33</v>
      </c>
      <c r="C311">
        <v>1</v>
      </c>
      <c r="D311" t="s">
        <v>30</v>
      </c>
      <c r="E311" s="6">
        <v>46044.923611111109</v>
      </c>
      <c r="F311" s="18">
        <f t="shared" si="12"/>
        <v>7.6388888890505768E-2</v>
      </c>
      <c r="G311" s="19">
        <f t="shared" si="13"/>
        <v>1.8333333333721384</v>
      </c>
      <c r="H311" s="20">
        <f t="shared" si="14"/>
        <v>110.00000000232831</v>
      </c>
    </row>
    <row r="312" spans="1:8" x14ac:dyDescent="0.25">
      <c r="A312">
        <v>319</v>
      </c>
      <c r="B312" t="s">
        <v>33</v>
      </c>
      <c r="C312">
        <v>1</v>
      </c>
      <c r="D312" t="s">
        <v>30</v>
      </c>
      <c r="E312" s="6">
        <v>46044.927083333336</v>
      </c>
      <c r="F312" s="18">
        <f t="shared" si="12"/>
        <v>3.4722222262644209E-3</v>
      </c>
      <c r="G312" s="19">
        <f t="shared" si="13"/>
        <v>8.3333333430346102E-2</v>
      </c>
      <c r="H312" s="20">
        <f t="shared" si="14"/>
        <v>5.0000000058207661</v>
      </c>
    </row>
    <row r="313" spans="1:8" hidden="1" x14ac:dyDescent="0.25">
      <c r="A313">
        <v>314</v>
      </c>
      <c r="B313" t="s">
        <v>33</v>
      </c>
      <c r="C313">
        <v>1</v>
      </c>
      <c r="D313" t="s">
        <v>32</v>
      </c>
      <c r="E313" s="6">
        <v>46045.288194444445</v>
      </c>
      <c r="F313" s="18">
        <f t="shared" si="12"/>
        <v>0.36111111110949423</v>
      </c>
      <c r="G313" s="19">
        <f t="shared" si="13"/>
        <v>8.6666666666278616</v>
      </c>
      <c r="H313" s="20">
        <f t="shared" si="14"/>
        <v>519.99999999767169</v>
      </c>
    </row>
    <row r="314" spans="1:8" x14ac:dyDescent="0.25">
      <c r="A314">
        <v>290</v>
      </c>
      <c r="B314" t="s">
        <v>31</v>
      </c>
      <c r="C314">
        <v>1</v>
      </c>
      <c r="D314" t="s">
        <v>35</v>
      </c>
      <c r="E314" s="6">
        <v>46045.291666666664</v>
      </c>
      <c r="F314" s="18">
        <f t="shared" si="12"/>
        <v>3.4722222189884633E-3</v>
      </c>
      <c r="G314" s="19">
        <f t="shared" si="13"/>
        <v>8.3333333255723119E-2</v>
      </c>
      <c r="H314" s="20">
        <f t="shared" si="14"/>
        <v>4.9999999953433871</v>
      </c>
    </row>
    <row r="315" spans="1:8" hidden="1" x14ac:dyDescent="0.25">
      <c r="A315">
        <v>312</v>
      </c>
      <c r="B315" t="s">
        <v>31</v>
      </c>
      <c r="C315">
        <v>1</v>
      </c>
      <c r="D315" t="s">
        <v>36</v>
      </c>
      <c r="E315" s="6">
        <v>46045.291666666664</v>
      </c>
      <c r="F315" s="18">
        <f t="shared" si="12"/>
        <v>0</v>
      </c>
      <c r="G315" s="19">
        <f t="shared" si="13"/>
        <v>0</v>
      </c>
      <c r="H315" s="19">
        <f t="shared" si="14"/>
        <v>0</v>
      </c>
    </row>
    <row r="316" spans="1:8" x14ac:dyDescent="0.25">
      <c r="A316">
        <v>317</v>
      </c>
      <c r="B316" t="s">
        <v>29</v>
      </c>
      <c r="C316">
        <v>1</v>
      </c>
      <c r="D316" t="s">
        <v>34</v>
      </c>
      <c r="E316" s="6">
        <v>46045.333333333336</v>
      </c>
      <c r="F316" s="18">
        <f t="shared" si="12"/>
        <v>4.1666666671517305E-2</v>
      </c>
      <c r="G316" s="19">
        <f t="shared" si="13"/>
        <v>1.0000000001164153</v>
      </c>
      <c r="H316" s="20">
        <f t="shared" si="14"/>
        <v>60.000000006984919</v>
      </c>
    </row>
    <row r="317" spans="1:8" x14ac:dyDescent="0.25">
      <c r="A317">
        <v>315</v>
      </c>
      <c r="B317" t="s">
        <v>31</v>
      </c>
      <c r="C317">
        <v>1</v>
      </c>
      <c r="D317" t="s">
        <v>36</v>
      </c>
      <c r="E317" s="6">
        <v>46045.375</v>
      </c>
      <c r="F317" s="18">
        <f t="shared" si="12"/>
        <v>4.1666666664241347E-2</v>
      </c>
      <c r="G317" s="19">
        <f t="shared" si="13"/>
        <v>0.99999999994179234</v>
      </c>
      <c r="H317" s="20">
        <f t="shared" si="14"/>
        <v>59.99999999650754</v>
      </c>
    </row>
    <row r="318" spans="1:8" x14ac:dyDescent="0.25">
      <c r="A318">
        <v>321</v>
      </c>
      <c r="B318" t="s">
        <v>31</v>
      </c>
      <c r="C318">
        <v>1</v>
      </c>
      <c r="D318" t="s">
        <v>36</v>
      </c>
      <c r="E318" s="6">
        <v>46045.493055555555</v>
      </c>
      <c r="F318" s="18">
        <f t="shared" si="12"/>
        <v>0.11805555555474712</v>
      </c>
      <c r="G318" s="19">
        <f t="shared" si="13"/>
        <v>2.8333333333139308</v>
      </c>
      <c r="H318" s="20">
        <f t="shared" si="14"/>
        <v>169.99999999883585</v>
      </c>
    </row>
    <row r="319" spans="1:8" x14ac:dyDescent="0.25">
      <c r="A319">
        <v>322</v>
      </c>
      <c r="B319" t="s">
        <v>31</v>
      </c>
      <c r="C319">
        <v>1</v>
      </c>
      <c r="D319" t="s">
        <v>32</v>
      </c>
      <c r="E319" s="6">
        <v>46045.496527777781</v>
      </c>
      <c r="F319" s="18">
        <f t="shared" si="12"/>
        <v>3.4722222262644209E-3</v>
      </c>
      <c r="G319" s="19">
        <f t="shared" si="13"/>
        <v>8.3333333430346102E-2</v>
      </c>
      <c r="H319" s="20">
        <f t="shared" si="14"/>
        <v>5.0000000058207661</v>
      </c>
    </row>
    <row r="320" spans="1:8" x14ac:dyDescent="0.25">
      <c r="A320">
        <v>311</v>
      </c>
      <c r="B320" t="s">
        <v>33</v>
      </c>
      <c r="C320">
        <v>1</v>
      </c>
      <c r="D320" t="s">
        <v>34</v>
      </c>
      <c r="E320" s="6">
        <v>46045.510416666664</v>
      </c>
      <c r="F320" s="18">
        <f t="shared" si="12"/>
        <v>1.3888888883229811E-2</v>
      </c>
      <c r="G320" s="19">
        <f t="shared" si="13"/>
        <v>0.33333333319751546</v>
      </c>
      <c r="H320" s="20">
        <f t="shared" si="14"/>
        <v>19.999999991850927</v>
      </c>
    </row>
    <row r="321" spans="1:8" x14ac:dyDescent="0.25">
      <c r="A321">
        <v>310</v>
      </c>
      <c r="B321" t="s">
        <v>29</v>
      </c>
      <c r="C321">
        <v>1</v>
      </c>
      <c r="D321" t="s">
        <v>37</v>
      </c>
      <c r="E321" s="6">
        <v>46045.559027777781</v>
      </c>
      <c r="F321" s="18">
        <f t="shared" si="12"/>
        <v>4.8611111116770189E-2</v>
      </c>
      <c r="G321" s="19">
        <f t="shared" si="13"/>
        <v>1.1666666668024845</v>
      </c>
      <c r="H321" s="20">
        <f t="shared" si="14"/>
        <v>70.000000008149073</v>
      </c>
    </row>
    <row r="322" spans="1:8" x14ac:dyDescent="0.25">
      <c r="A322">
        <v>316</v>
      </c>
      <c r="B322" t="s">
        <v>33</v>
      </c>
      <c r="C322">
        <v>1</v>
      </c>
      <c r="D322" t="s">
        <v>32</v>
      </c>
      <c r="E322" s="6">
        <v>46045.725694444445</v>
      </c>
      <c r="F322" s="18">
        <f t="shared" si="12"/>
        <v>0.16666666666424135</v>
      </c>
      <c r="G322" s="19">
        <f t="shared" si="13"/>
        <v>3.9999999999417923</v>
      </c>
      <c r="H322" s="20">
        <f t="shared" si="14"/>
        <v>239.99999999650754</v>
      </c>
    </row>
    <row r="323" spans="1:8" x14ac:dyDescent="0.25">
      <c r="A323">
        <v>323</v>
      </c>
      <c r="B323" t="s">
        <v>31</v>
      </c>
      <c r="C323">
        <v>1</v>
      </c>
      <c r="D323" t="s">
        <v>36</v>
      </c>
      <c r="E323" s="6">
        <v>46045.739583333336</v>
      </c>
      <c r="F323" s="18">
        <f t="shared" si="12"/>
        <v>1.3888888890505768E-2</v>
      </c>
      <c r="G323" s="19">
        <f t="shared" si="13"/>
        <v>0.33333333337213844</v>
      </c>
      <c r="H323" s="20">
        <f t="shared" si="14"/>
        <v>20.000000002328306</v>
      </c>
    </row>
    <row r="324" spans="1:8" hidden="1" x14ac:dyDescent="0.25">
      <c r="A324">
        <v>328</v>
      </c>
      <c r="B324" t="s">
        <v>33</v>
      </c>
      <c r="C324">
        <v>1</v>
      </c>
      <c r="D324" t="s">
        <v>34</v>
      </c>
      <c r="E324" s="6">
        <v>46045.930555555555</v>
      </c>
      <c r="F324" s="18">
        <f t="shared" si="12"/>
        <v>0.19097222221898846</v>
      </c>
      <c r="G324" s="19">
        <f t="shared" si="13"/>
        <v>4.5833333332557231</v>
      </c>
      <c r="H324" s="20">
        <f t="shared" si="14"/>
        <v>274.99999999534339</v>
      </c>
    </row>
    <row r="325" spans="1:8" x14ac:dyDescent="0.25">
      <c r="A325">
        <v>329</v>
      </c>
      <c r="B325" t="s">
        <v>31</v>
      </c>
      <c r="C325">
        <v>1</v>
      </c>
      <c r="D325" t="s">
        <v>30</v>
      </c>
      <c r="E325" s="6">
        <v>46045.947916666664</v>
      </c>
      <c r="F325" s="18">
        <f t="shared" ref="F325:F388" si="15">E325-E324</f>
        <v>1.7361111109494232E-2</v>
      </c>
      <c r="G325" s="19">
        <f t="shared" ref="G325:G388" si="16">F325*24</f>
        <v>0.41666666662786156</v>
      </c>
      <c r="H325" s="20">
        <f t="shared" ref="H325:H388" si="17">G325*60</f>
        <v>24.999999997671694</v>
      </c>
    </row>
    <row r="326" spans="1:8" x14ac:dyDescent="0.25">
      <c r="A326">
        <v>330</v>
      </c>
      <c r="B326" t="s">
        <v>33</v>
      </c>
      <c r="C326">
        <v>1</v>
      </c>
      <c r="D326" t="s">
        <v>35</v>
      </c>
      <c r="E326" s="6">
        <v>46045.982638888891</v>
      </c>
      <c r="F326" s="18">
        <f t="shared" si="15"/>
        <v>3.4722222226264421E-2</v>
      </c>
      <c r="G326" s="19">
        <f t="shared" si="16"/>
        <v>0.8333333334303461</v>
      </c>
      <c r="H326" s="20">
        <f t="shared" si="17"/>
        <v>50.000000005820766</v>
      </c>
    </row>
    <row r="327" spans="1:8" x14ac:dyDescent="0.25">
      <c r="A327">
        <v>331</v>
      </c>
      <c r="B327" t="s">
        <v>33</v>
      </c>
      <c r="C327">
        <v>1</v>
      </c>
      <c r="D327" t="s">
        <v>34</v>
      </c>
      <c r="E327" s="6">
        <v>46046.0625</v>
      </c>
      <c r="F327" s="18">
        <f t="shared" si="15"/>
        <v>7.9861111109494232E-2</v>
      </c>
      <c r="G327" s="19">
        <f t="shared" si="16"/>
        <v>1.9166666666278616</v>
      </c>
      <c r="H327" s="20">
        <f t="shared" si="17"/>
        <v>114.99999999767169</v>
      </c>
    </row>
    <row r="328" spans="1:8" hidden="1" x14ac:dyDescent="0.25">
      <c r="A328">
        <v>332</v>
      </c>
      <c r="B328" t="s">
        <v>33</v>
      </c>
      <c r="C328">
        <v>1</v>
      </c>
      <c r="D328" t="s">
        <v>34</v>
      </c>
      <c r="E328" s="6">
        <v>46046.392361111109</v>
      </c>
      <c r="F328" s="18">
        <f t="shared" si="15"/>
        <v>0.32986111110949423</v>
      </c>
      <c r="G328" s="19">
        <f t="shared" si="16"/>
        <v>7.9166666666278616</v>
      </c>
      <c r="H328" s="20">
        <f t="shared" si="17"/>
        <v>474.99999999767169</v>
      </c>
    </row>
    <row r="329" spans="1:8" x14ac:dyDescent="0.25">
      <c r="A329">
        <v>333</v>
      </c>
      <c r="B329" t="s">
        <v>33</v>
      </c>
      <c r="C329">
        <v>1</v>
      </c>
      <c r="D329" t="s">
        <v>30</v>
      </c>
      <c r="E329" s="6">
        <v>46046.453472222223</v>
      </c>
      <c r="F329" s="18">
        <f t="shared" si="15"/>
        <v>6.1111111113859806E-2</v>
      </c>
      <c r="G329" s="19">
        <f t="shared" si="16"/>
        <v>1.4666666667326353</v>
      </c>
      <c r="H329" s="20">
        <f t="shared" si="17"/>
        <v>88.000000003958121</v>
      </c>
    </row>
    <row r="330" spans="1:8" x14ac:dyDescent="0.25">
      <c r="A330">
        <v>334</v>
      </c>
      <c r="B330" t="s">
        <v>33</v>
      </c>
      <c r="C330">
        <v>1</v>
      </c>
      <c r="D330" t="s">
        <v>30</v>
      </c>
      <c r="E330" s="6">
        <v>46046.604166666664</v>
      </c>
      <c r="F330" s="18">
        <f t="shared" si="15"/>
        <v>0.15069444444088731</v>
      </c>
      <c r="G330" s="19">
        <f t="shared" si="16"/>
        <v>3.6166666665812954</v>
      </c>
      <c r="H330" s="20">
        <f t="shared" si="17"/>
        <v>216.99999999487773</v>
      </c>
    </row>
    <row r="331" spans="1:8" x14ac:dyDescent="0.25">
      <c r="A331">
        <v>336</v>
      </c>
      <c r="B331" t="s">
        <v>33</v>
      </c>
      <c r="C331">
        <v>1</v>
      </c>
      <c r="D331" t="s">
        <v>36</v>
      </c>
      <c r="E331" s="6">
        <v>46046.704861111109</v>
      </c>
      <c r="F331" s="18">
        <f t="shared" si="15"/>
        <v>0.10069444444525288</v>
      </c>
      <c r="G331" s="19">
        <f t="shared" si="16"/>
        <v>2.4166666666860692</v>
      </c>
      <c r="H331" s="20">
        <f t="shared" si="17"/>
        <v>145.00000000116415</v>
      </c>
    </row>
    <row r="332" spans="1:8" hidden="1" x14ac:dyDescent="0.25">
      <c r="A332">
        <v>337</v>
      </c>
      <c r="B332" t="s">
        <v>33</v>
      </c>
      <c r="C332">
        <v>1</v>
      </c>
      <c r="D332" t="s">
        <v>35</v>
      </c>
      <c r="E332" s="6">
        <v>46046.920138888891</v>
      </c>
      <c r="F332" s="18">
        <f t="shared" si="15"/>
        <v>0.21527777778101154</v>
      </c>
      <c r="G332" s="19">
        <f t="shared" si="16"/>
        <v>5.1666666667442769</v>
      </c>
      <c r="H332" s="20">
        <f t="shared" si="17"/>
        <v>310.00000000465661</v>
      </c>
    </row>
    <row r="333" spans="1:8" hidden="1" x14ac:dyDescent="0.25">
      <c r="A333">
        <v>339</v>
      </c>
      <c r="B333" t="s">
        <v>33</v>
      </c>
      <c r="C333">
        <v>1</v>
      </c>
      <c r="D333" t="s">
        <v>34</v>
      </c>
      <c r="E333" s="6">
        <v>46047.354166666664</v>
      </c>
      <c r="F333" s="18">
        <f t="shared" si="15"/>
        <v>0.43402777777373558</v>
      </c>
      <c r="G333" s="19">
        <f t="shared" si="16"/>
        <v>10.416666666569654</v>
      </c>
      <c r="H333" s="20">
        <f t="shared" si="17"/>
        <v>624.99999999417923</v>
      </c>
    </row>
    <row r="334" spans="1:8" x14ac:dyDescent="0.25">
      <c r="A334">
        <v>335</v>
      </c>
      <c r="B334" t="s">
        <v>33</v>
      </c>
      <c r="C334">
        <v>1</v>
      </c>
      <c r="D334" t="s">
        <v>30</v>
      </c>
      <c r="E334" s="6">
        <v>46047.368055555555</v>
      </c>
      <c r="F334" s="18">
        <f t="shared" si="15"/>
        <v>1.3888888890505768E-2</v>
      </c>
      <c r="G334" s="19">
        <f t="shared" si="16"/>
        <v>0.33333333337213844</v>
      </c>
      <c r="H334" s="20">
        <f t="shared" si="17"/>
        <v>20.000000002328306</v>
      </c>
    </row>
    <row r="335" spans="1:8" hidden="1" x14ac:dyDescent="0.25">
      <c r="A335">
        <v>338</v>
      </c>
      <c r="B335" t="s">
        <v>31</v>
      </c>
      <c r="C335">
        <v>1</v>
      </c>
      <c r="D335" t="s">
        <v>30</v>
      </c>
      <c r="E335" s="6">
        <v>46047.368055555555</v>
      </c>
      <c r="F335" s="18">
        <f t="shared" si="15"/>
        <v>0</v>
      </c>
      <c r="G335" s="19">
        <f t="shared" si="16"/>
        <v>0</v>
      </c>
      <c r="H335" s="19">
        <f t="shared" si="17"/>
        <v>0</v>
      </c>
    </row>
    <row r="336" spans="1:8" hidden="1" x14ac:dyDescent="0.25">
      <c r="A336">
        <v>343</v>
      </c>
      <c r="B336" t="s">
        <v>31</v>
      </c>
      <c r="C336">
        <v>1</v>
      </c>
      <c r="D336" t="s">
        <v>35</v>
      </c>
      <c r="E336" s="6">
        <v>46047.572916666664</v>
      </c>
      <c r="F336" s="18">
        <f t="shared" si="15"/>
        <v>0.20486111110949423</v>
      </c>
      <c r="G336" s="19">
        <f t="shared" si="16"/>
        <v>4.9166666666278616</v>
      </c>
      <c r="H336" s="20">
        <f t="shared" si="17"/>
        <v>294.99999999767169</v>
      </c>
    </row>
    <row r="337" spans="1:8" x14ac:dyDescent="0.25">
      <c r="A337">
        <v>342</v>
      </c>
      <c r="B337" t="s">
        <v>31</v>
      </c>
      <c r="C337">
        <v>1</v>
      </c>
      <c r="D337" t="s">
        <v>35</v>
      </c>
      <c r="E337" s="6">
        <v>46047.645833333336</v>
      </c>
      <c r="F337" s="18">
        <f t="shared" si="15"/>
        <v>7.2916666671517305E-2</v>
      </c>
      <c r="G337" s="19">
        <f t="shared" si="16"/>
        <v>1.7500000001164153</v>
      </c>
      <c r="H337" s="20">
        <f t="shared" si="17"/>
        <v>105.00000000698492</v>
      </c>
    </row>
    <row r="338" spans="1:8" x14ac:dyDescent="0.25">
      <c r="A338">
        <v>348</v>
      </c>
      <c r="B338" t="s">
        <v>31</v>
      </c>
      <c r="C338">
        <v>1</v>
      </c>
      <c r="D338" t="s">
        <v>30</v>
      </c>
      <c r="E338" s="6">
        <v>46047.779861111114</v>
      </c>
      <c r="F338" s="18">
        <f t="shared" si="15"/>
        <v>0.13402777777810115</v>
      </c>
      <c r="G338" s="19">
        <f t="shared" si="16"/>
        <v>3.2166666666744277</v>
      </c>
      <c r="H338" s="20">
        <f t="shared" si="17"/>
        <v>193.00000000046566</v>
      </c>
    </row>
    <row r="339" spans="1:8" hidden="1" x14ac:dyDescent="0.25">
      <c r="A339">
        <v>349</v>
      </c>
      <c r="B339" t="s">
        <v>33</v>
      </c>
      <c r="C339">
        <v>1</v>
      </c>
      <c r="D339" t="s">
        <v>34</v>
      </c>
      <c r="E339" s="6">
        <v>46047.982638888891</v>
      </c>
      <c r="F339" s="18">
        <f t="shared" si="15"/>
        <v>0.20277777777664596</v>
      </c>
      <c r="G339" s="19">
        <f t="shared" si="16"/>
        <v>4.8666666666395031</v>
      </c>
      <c r="H339" s="20">
        <f t="shared" si="17"/>
        <v>291.99999999837019</v>
      </c>
    </row>
    <row r="340" spans="1:8" hidden="1" x14ac:dyDescent="0.25">
      <c r="A340">
        <v>326</v>
      </c>
      <c r="B340" t="s">
        <v>29</v>
      </c>
      <c r="C340">
        <v>1</v>
      </c>
      <c r="D340" t="s">
        <v>34</v>
      </c>
      <c r="E340" s="6">
        <v>46048.284722222219</v>
      </c>
      <c r="F340" s="18">
        <f t="shared" si="15"/>
        <v>0.30208333332848269</v>
      </c>
      <c r="G340" s="19">
        <f t="shared" si="16"/>
        <v>7.2499999998835847</v>
      </c>
      <c r="H340" s="20">
        <f t="shared" si="17"/>
        <v>434.99999999301508</v>
      </c>
    </row>
    <row r="341" spans="1:8" hidden="1" x14ac:dyDescent="0.25">
      <c r="A341">
        <v>347</v>
      </c>
      <c r="B341" t="s">
        <v>31</v>
      </c>
      <c r="C341">
        <v>1</v>
      </c>
      <c r="D341" t="s">
        <v>30</v>
      </c>
      <c r="E341" s="6">
        <v>46048.284722222219</v>
      </c>
      <c r="F341" s="18">
        <f t="shared" si="15"/>
        <v>0</v>
      </c>
      <c r="G341" s="19">
        <f t="shared" si="16"/>
        <v>0</v>
      </c>
      <c r="H341" s="19">
        <f t="shared" si="17"/>
        <v>0</v>
      </c>
    </row>
    <row r="342" spans="1:8" x14ac:dyDescent="0.25">
      <c r="A342">
        <v>340</v>
      </c>
      <c r="B342" t="s">
        <v>33</v>
      </c>
      <c r="C342">
        <v>1</v>
      </c>
      <c r="D342" t="s">
        <v>34</v>
      </c>
      <c r="E342" s="6">
        <v>46048.298611111109</v>
      </c>
      <c r="F342" s="18">
        <f t="shared" si="15"/>
        <v>1.3888888890505768E-2</v>
      </c>
      <c r="G342" s="19">
        <f t="shared" si="16"/>
        <v>0.33333333337213844</v>
      </c>
      <c r="H342" s="20">
        <f t="shared" si="17"/>
        <v>20.000000002328306</v>
      </c>
    </row>
    <row r="343" spans="1:8" hidden="1" x14ac:dyDescent="0.25">
      <c r="A343">
        <v>344</v>
      </c>
      <c r="B343" t="s">
        <v>33</v>
      </c>
      <c r="C343">
        <v>1</v>
      </c>
      <c r="D343" t="s">
        <v>36</v>
      </c>
      <c r="E343" s="6">
        <v>46048.298611111109</v>
      </c>
      <c r="F343" s="18">
        <f t="shared" si="15"/>
        <v>0</v>
      </c>
      <c r="G343" s="19">
        <f t="shared" si="16"/>
        <v>0</v>
      </c>
      <c r="H343" s="19">
        <f t="shared" si="17"/>
        <v>0</v>
      </c>
    </row>
    <row r="344" spans="1:8" x14ac:dyDescent="0.25">
      <c r="A344">
        <v>327</v>
      </c>
      <c r="B344" t="s">
        <v>29</v>
      </c>
      <c r="C344">
        <v>1</v>
      </c>
      <c r="D344" t="s">
        <v>35</v>
      </c>
      <c r="E344" s="6">
        <v>46048.371527777781</v>
      </c>
      <c r="F344" s="18">
        <f t="shared" si="15"/>
        <v>7.2916666671517305E-2</v>
      </c>
      <c r="G344" s="19">
        <f t="shared" si="16"/>
        <v>1.7500000001164153</v>
      </c>
      <c r="H344" s="20">
        <f t="shared" si="17"/>
        <v>105.00000000698492</v>
      </c>
    </row>
    <row r="345" spans="1:8" x14ac:dyDescent="0.25">
      <c r="A345">
        <v>341</v>
      </c>
      <c r="B345" t="s">
        <v>31</v>
      </c>
      <c r="C345">
        <v>1</v>
      </c>
      <c r="D345" t="s">
        <v>35</v>
      </c>
      <c r="E345" s="6">
        <v>46048.416666666664</v>
      </c>
      <c r="F345" s="18">
        <f t="shared" si="15"/>
        <v>4.5138888883229811E-2</v>
      </c>
      <c r="G345" s="19">
        <f t="shared" si="16"/>
        <v>1.0833333331975155</v>
      </c>
      <c r="H345" s="20">
        <f t="shared" si="17"/>
        <v>64.999999991850927</v>
      </c>
    </row>
    <row r="346" spans="1:8" x14ac:dyDescent="0.25">
      <c r="A346">
        <v>345</v>
      </c>
      <c r="B346" t="s">
        <v>31</v>
      </c>
      <c r="C346">
        <v>1</v>
      </c>
      <c r="D346" t="s">
        <v>32</v>
      </c>
      <c r="E346" s="6">
        <v>46048.486111111109</v>
      </c>
      <c r="F346" s="18">
        <f t="shared" si="15"/>
        <v>6.9444444445252884E-2</v>
      </c>
      <c r="G346" s="19">
        <f t="shared" si="16"/>
        <v>1.6666666666860692</v>
      </c>
      <c r="H346" s="20">
        <f t="shared" si="17"/>
        <v>100.00000000116415</v>
      </c>
    </row>
    <row r="347" spans="1:8" hidden="1" x14ac:dyDescent="0.25">
      <c r="A347">
        <v>346</v>
      </c>
      <c r="B347" t="s">
        <v>33</v>
      </c>
      <c r="C347">
        <v>1</v>
      </c>
      <c r="D347" t="s">
        <v>30</v>
      </c>
      <c r="E347" s="6">
        <v>46048.486111111109</v>
      </c>
      <c r="F347" s="18">
        <f t="shared" si="15"/>
        <v>0</v>
      </c>
      <c r="G347" s="19">
        <f t="shared" si="16"/>
        <v>0</v>
      </c>
      <c r="H347" s="19">
        <f t="shared" si="17"/>
        <v>0</v>
      </c>
    </row>
    <row r="348" spans="1:8" x14ac:dyDescent="0.25">
      <c r="A348">
        <v>325</v>
      </c>
      <c r="B348" t="s">
        <v>33</v>
      </c>
      <c r="C348">
        <v>1</v>
      </c>
      <c r="D348" t="s">
        <v>30</v>
      </c>
      <c r="E348" s="6">
        <v>46048.559027777781</v>
      </c>
      <c r="F348" s="18">
        <f t="shared" si="15"/>
        <v>7.2916666671517305E-2</v>
      </c>
      <c r="G348" s="19">
        <f t="shared" si="16"/>
        <v>1.7500000001164153</v>
      </c>
      <c r="H348" s="20">
        <f t="shared" si="17"/>
        <v>105.00000000698492</v>
      </c>
    </row>
    <row r="349" spans="1:8" x14ac:dyDescent="0.25">
      <c r="A349">
        <v>353</v>
      </c>
      <c r="B349" t="s">
        <v>29</v>
      </c>
      <c r="C349">
        <v>1</v>
      </c>
      <c r="D349" t="s">
        <v>32</v>
      </c>
      <c r="E349" s="6">
        <v>46048.604166666664</v>
      </c>
      <c r="F349" s="18">
        <f t="shared" si="15"/>
        <v>4.5138888883229811E-2</v>
      </c>
      <c r="G349" s="19">
        <f t="shared" si="16"/>
        <v>1.0833333331975155</v>
      </c>
      <c r="H349" s="20">
        <f t="shared" si="17"/>
        <v>64.999999991850927</v>
      </c>
    </row>
    <row r="350" spans="1:8" x14ac:dyDescent="0.25">
      <c r="A350">
        <v>351</v>
      </c>
      <c r="B350" t="s">
        <v>29</v>
      </c>
      <c r="C350">
        <v>1</v>
      </c>
      <c r="D350" t="s">
        <v>30</v>
      </c>
      <c r="E350" s="6">
        <v>46048.649305555555</v>
      </c>
      <c r="F350" s="18">
        <f t="shared" si="15"/>
        <v>4.5138888890505768E-2</v>
      </c>
      <c r="G350" s="19">
        <f t="shared" si="16"/>
        <v>1.0833333333721384</v>
      </c>
      <c r="H350" s="20">
        <f t="shared" si="17"/>
        <v>65.000000002328306</v>
      </c>
    </row>
    <row r="351" spans="1:8" x14ac:dyDescent="0.25">
      <c r="A351">
        <v>350</v>
      </c>
      <c r="B351" t="s">
        <v>33</v>
      </c>
      <c r="C351">
        <v>1</v>
      </c>
      <c r="D351" t="s">
        <v>30</v>
      </c>
      <c r="E351" s="6">
        <v>46048.697916666664</v>
      </c>
      <c r="F351" s="18">
        <f t="shared" si="15"/>
        <v>4.8611111109494232E-2</v>
      </c>
      <c r="G351" s="19">
        <f t="shared" si="16"/>
        <v>1.1666666666278616</v>
      </c>
      <c r="H351" s="20">
        <f t="shared" si="17"/>
        <v>69.999999997671694</v>
      </c>
    </row>
    <row r="352" spans="1:8" x14ac:dyDescent="0.25">
      <c r="A352">
        <v>366</v>
      </c>
      <c r="B352" t="s">
        <v>31</v>
      </c>
      <c r="C352">
        <v>1</v>
      </c>
      <c r="D352" t="s">
        <v>30</v>
      </c>
      <c r="E352" s="6">
        <v>46048.715277777781</v>
      </c>
      <c r="F352" s="18">
        <f t="shared" si="15"/>
        <v>1.7361111116770189E-2</v>
      </c>
      <c r="G352" s="19">
        <f t="shared" si="16"/>
        <v>0.41666666680248454</v>
      </c>
      <c r="H352" s="20">
        <f t="shared" si="17"/>
        <v>25.000000008149073</v>
      </c>
    </row>
    <row r="353" spans="1:8" x14ac:dyDescent="0.25">
      <c r="A353">
        <v>352</v>
      </c>
      <c r="B353" t="s">
        <v>29</v>
      </c>
      <c r="C353">
        <v>1</v>
      </c>
      <c r="D353" t="s">
        <v>30</v>
      </c>
      <c r="E353" s="6">
        <v>46048.736111111109</v>
      </c>
      <c r="F353" s="18">
        <f t="shared" si="15"/>
        <v>2.0833333328482695E-2</v>
      </c>
      <c r="G353" s="19">
        <f t="shared" si="16"/>
        <v>0.49999999988358468</v>
      </c>
      <c r="H353" s="20">
        <f t="shared" si="17"/>
        <v>29.999999993015081</v>
      </c>
    </row>
    <row r="354" spans="1:8" x14ac:dyDescent="0.25">
      <c r="A354">
        <v>365</v>
      </c>
      <c r="B354" t="s">
        <v>33</v>
      </c>
      <c r="C354">
        <v>1</v>
      </c>
      <c r="D354" t="s">
        <v>30</v>
      </c>
      <c r="E354" s="6">
        <v>46048.881944444445</v>
      </c>
      <c r="F354" s="18">
        <f t="shared" si="15"/>
        <v>0.14583333333575865</v>
      </c>
      <c r="G354" s="19">
        <f t="shared" si="16"/>
        <v>3.5000000000582077</v>
      </c>
      <c r="H354" s="20">
        <f t="shared" si="17"/>
        <v>210.00000000349246</v>
      </c>
    </row>
    <row r="355" spans="1:8" x14ac:dyDescent="0.25">
      <c r="A355">
        <v>364</v>
      </c>
      <c r="B355" t="s">
        <v>31</v>
      </c>
      <c r="C355">
        <v>1</v>
      </c>
      <c r="D355" t="s">
        <v>30</v>
      </c>
      <c r="E355" s="6">
        <v>46048.947916666664</v>
      </c>
      <c r="F355" s="18">
        <f t="shared" si="15"/>
        <v>6.5972222218988463E-2</v>
      </c>
      <c r="G355" s="19">
        <f t="shared" si="16"/>
        <v>1.5833333332557231</v>
      </c>
      <c r="H355" s="20">
        <f t="shared" si="17"/>
        <v>94.999999995343387</v>
      </c>
    </row>
    <row r="356" spans="1:8" x14ac:dyDescent="0.25">
      <c r="A356">
        <v>367</v>
      </c>
      <c r="B356" t="s">
        <v>29</v>
      </c>
      <c r="C356">
        <v>1</v>
      </c>
      <c r="D356" t="s">
        <v>30</v>
      </c>
      <c r="E356" s="6">
        <v>46048.979166666664</v>
      </c>
      <c r="F356" s="18">
        <f t="shared" si="15"/>
        <v>3.125E-2</v>
      </c>
      <c r="G356" s="19">
        <f t="shared" si="16"/>
        <v>0.75</v>
      </c>
      <c r="H356" s="20">
        <f t="shared" si="17"/>
        <v>45</v>
      </c>
    </row>
    <row r="357" spans="1:8" hidden="1" x14ac:dyDescent="0.25">
      <c r="A357">
        <v>361</v>
      </c>
      <c r="B357" t="s">
        <v>33</v>
      </c>
      <c r="C357">
        <v>1</v>
      </c>
      <c r="D357" t="s">
        <v>35</v>
      </c>
      <c r="E357" s="6">
        <v>46049.288194444445</v>
      </c>
      <c r="F357" s="18">
        <f t="shared" si="15"/>
        <v>0.30902777778101154</v>
      </c>
      <c r="G357" s="19">
        <f t="shared" si="16"/>
        <v>7.4166666667442769</v>
      </c>
      <c r="H357" s="20">
        <f t="shared" si="17"/>
        <v>445.00000000465661</v>
      </c>
    </row>
    <row r="358" spans="1:8" x14ac:dyDescent="0.25">
      <c r="A358">
        <v>355</v>
      </c>
      <c r="B358" t="s">
        <v>29</v>
      </c>
      <c r="C358">
        <v>1</v>
      </c>
      <c r="D358" t="s">
        <v>34</v>
      </c>
      <c r="E358" s="6">
        <v>46049.291666666664</v>
      </c>
      <c r="F358" s="18">
        <f t="shared" si="15"/>
        <v>3.4722222189884633E-3</v>
      </c>
      <c r="G358" s="19">
        <f t="shared" si="16"/>
        <v>8.3333333255723119E-2</v>
      </c>
      <c r="H358" s="20">
        <f t="shared" si="17"/>
        <v>4.9999999953433871</v>
      </c>
    </row>
    <row r="359" spans="1:8" hidden="1" x14ac:dyDescent="0.25">
      <c r="A359">
        <v>358</v>
      </c>
      <c r="B359" t="s">
        <v>31</v>
      </c>
      <c r="C359">
        <v>1</v>
      </c>
      <c r="D359" t="s">
        <v>36</v>
      </c>
      <c r="E359" s="6">
        <v>46049.291666666664</v>
      </c>
      <c r="F359" s="18">
        <f t="shared" si="15"/>
        <v>0</v>
      </c>
      <c r="G359" s="19">
        <f t="shared" si="16"/>
        <v>0</v>
      </c>
      <c r="H359" s="19">
        <f t="shared" si="17"/>
        <v>0</v>
      </c>
    </row>
    <row r="360" spans="1:8" x14ac:dyDescent="0.25">
      <c r="A360">
        <v>360</v>
      </c>
      <c r="B360" t="s">
        <v>33</v>
      </c>
      <c r="C360">
        <v>1</v>
      </c>
      <c r="D360" t="s">
        <v>34</v>
      </c>
      <c r="E360" s="6">
        <v>46049.475694444445</v>
      </c>
      <c r="F360" s="18">
        <f t="shared" si="15"/>
        <v>0.18402777778101154</v>
      </c>
      <c r="G360" s="19">
        <f t="shared" si="16"/>
        <v>4.4166666667442769</v>
      </c>
      <c r="H360" s="20">
        <f t="shared" si="17"/>
        <v>265.00000000465661</v>
      </c>
    </row>
    <row r="361" spans="1:8" x14ac:dyDescent="0.25">
      <c r="A361">
        <v>354</v>
      </c>
      <c r="B361" t="s">
        <v>29</v>
      </c>
      <c r="C361">
        <v>1</v>
      </c>
      <c r="D361" t="s">
        <v>32</v>
      </c>
      <c r="E361" s="6">
        <v>46049.477083333331</v>
      </c>
      <c r="F361" s="18">
        <f t="shared" si="15"/>
        <v>1.3888888861401938E-3</v>
      </c>
      <c r="G361" s="19">
        <f t="shared" si="16"/>
        <v>3.3333333267364651E-2</v>
      </c>
      <c r="H361" s="20">
        <f t="shared" si="17"/>
        <v>1.9999999960418791</v>
      </c>
    </row>
    <row r="362" spans="1:8" x14ac:dyDescent="0.25">
      <c r="A362">
        <v>369</v>
      </c>
      <c r="B362" t="s">
        <v>31</v>
      </c>
      <c r="C362">
        <v>1</v>
      </c>
      <c r="D362" t="s">
        <v>37</v>
      </c>
      <c r="E362" s="6">
        <v>46049.496527777781</v>
      </c>
      <c r="F362" s="18">
        <f t="shared" si="15"/>
        <v>1.9444444449618459E-2</v>
      </c>
      <c r="G362" s="19">
        <f t="shared" si="16"/>
        <v>0.46666666679084301</v>
      </c>
      <c r="H362" s="20">
        <f t="shared" si="17"/>
        <v>28.000000007450581</v>
      </c>
    </row>
    <row r="363" spans="1:8" x14ac:dyDescent="0.25">
      <c r="A363">
        <v>371</v>
      </c>
      <c r="B363" t="s">
        <v>29</v>
      </c>
      <c r="C363">
        <v>1</v>
      </c>
      <c r="D363" t="s">
        <v>30</v>
      </c>
      <c r="E363" s="6">
        <v>46049.552083333336</v>
      </c>
      <c r="F363" s="18">
        <f t="shared" si="15"/>
        <v>5.5555555554747116E-2</v>
      </c>
      <c r="G363" s="19">
        <f t="shared" si="16"/>
        <v>1.3333333333139308</v>
      </c>
      <c r="H363" s="20">
        <f t="shared" si="17"/>
        <v>79.999999998835847</v>
      </c>
    </row>
    <row r="364" spans="1:8" x14ac:dyDescent="0.25">
      <c r="A364">
        <v>368</v>
      </c>
      <c r="B364" t="s">
        <v>29</v>
      </c>
      <c r="C364">
        <v>1</v>
      </c>
      <c r="D364" t="s">
        <v>32</v>
      </c>
      <c r="E364" s="6">
        <v>46049.59375</v>
      </c>
      <c r="F364" s="18">
        <f t="shared" si="15"/>
        <v>4.1666666664241347E-2</v>
      </c>
      <c r="G364" s="19">
        <f t="shared" si="16"/>
        <v>0.99999999994179234</v>
      </c>
      <c r="H364" s="20">
        <f t="shared" si="17"/>
        <v>59.99999999650754</v>
      </c>
    </row>
    <row r="365" spans="1:8" x14ac:dyDescent="0.25">
      <c r="A365">
        <v>370</v>
      </c>
      <c r="B365" t="s">
        <v>33</v>
      </c>
      <c r="C365">
        <v>1</v>
      </c>
      <c r="D365" t="s">
        <v>36</v>
      </c>
      <c r="E365" s="6">
        <v>46049.659722222219</v>
      </c>
      <c r="F365" s="18">
        <f t="shared" si="15"/>
        <v>6.5972222218988463E-2</v>
      </c>
      <c r="G365" s="19">
        <f t="shared" si="16"/>
        <v>1.5833333332557231</v>
      </c>
      <c r="H365" s="20">
        <f t="shared" si="17"/>
        <v>94.999999995343387</v>
      </c>
    </row>
    <row r="366" spans="1:8" x14ac:dyDescent="0.25">
      <c r="A366">
        <v>372</v>
      </c>
      <c r="B366" t="s">
        <v>29</v>
      </c>
      <c r="C366">
        <v>1</v>
      </c>
      <c r="D366" t="s">
        <v>30</v>
      </c>
      <c r="E366" s="6">
        <v>46049.71875</v>
      </c>
      <c r="F366" s="18">
        <f t="shared" si="15"/>
        <v>5.9027777781011537E-2</v>
      </c>
      <c r="G366" s="19">
        <f t="shared" si="16"/>
        <v>1.4166666667442769</v>
      </c>
      <c r="H366" s="20">
        <f t="shared" si="17"/>
        <v>85.000000004656613</v>
      </c>
    </row>
    <row r="367" spans="1:8" x14ac:dyDescent="0.25">
      <c r="A367">
        <v>375</v>
      </c>
      <c r="B367" t="s">
        <v>29</v>
      </c>
      <c r="C367">
        <v>1</v>
      </c>
      <c r="D367" t="s">
        <v>32</v>
      </c>
      <c r="E367" s="6">
        <v>46049.729166666664</v>
      </c>
      <c r="F367" s="18">
        <f t="shared" si="15"/>
        <v>1.0416666664241347E-2</v>
      </c>
      <c r="G367" s="19">
        <f t="shared" si="16"/>
        <v>0.24999999994179234</v>
      </c>
      <c r="H367" s="20">
        <f t="shared" si="17"/>
        <v>14.99999999650754</v>
      </c>
    </row>
    <row r="368" spans="1:8" x14ac:dyDescent="0.25">
      <c r="A368">
        <v>378</v>
      </c>
      <c r="B368" t="s">
        <v>29</v>
      </c>
      <c r="C368">
        <v>1</v>
      </c>
      <c r="D368" t="s">
        <v>30</v>
      </c>
      <c r="E368" s="6">
        <v>46049.833333333336</v>
      </c>
      <c r="F368" s="18">
        <f t="shared" si="15"/>
        <v>0.10416666667151731</v>
      </c>
      <c r="G368" s="19">
        <f t="shared" si="16"/>
        <v>2.5000000001164153</v>
      </c>
      <c r="H368" s="20">
        <f t="shared" si="17"/>
        <v>150.00000000698492</v>
      </c>
    </row>
    <row r="369" spans="1:8" x14ac:dyDescent="0.25">
      <c r="A369">
        <v>377</v>
      </c>
      <c r="B369" t="s">
        <v>31</v>
      </c>
      <c r="C369">
        <v>1</v>
      </c>
      <c r="D369" t="s">
        <v>30</v>
      </c>
      <c r="E369" s="6">
        <v>46049.888888888891</v>
      </c>
      <c r="F369" s="18">
        <f t="shared" si="15"/>
        <v>5.5555555554747116E-2</v>
      </c>
      <c r="G369" s="19">
        <f t="shared" si="16"/>
        <v>1.3333333333139308</v>
      </c>
      <c r="H369" s="20">
        <f t="shared" si="17"/>
        <v>79.999999998835847</v>
      </c>
    </row>
    <row r="370" spans="1:8" x14ac:dyDescent="0.25">
      <c r="A370">
        <v>376</v>
      </c>
      <c r="B370" t="s">
        <v>31</v>
      </c>
      <c r="C370">
        <v>1</v>
      </c>
      <c r="D370" t="s">
        <v>30</v>
      </c>
      <c r="E370" s="6">
        <v>46049.944444444445</v>
      </c>
      <c r="F370" s="18">
        <f t="shared" si="15"/>
        <v>5.5555555554747116E-2</v>
      </c>
      <c r="G370" s="19">
        <f t="shared" si="16"/>
        <v>1.3333333333139308</v>
      </c>
      <c r="H370" s="20">
        <f t="shared" si="17"/>
        <v>79.999999998835847</v>
      </c>
    </row>
    <row r="371" spans="1:8" x14ac:dyDescent="0.25">
      <c r="A371">
        <v>380</v>
      </c>
      <c r="B371" t="s">
        <v>29</v>
      </c>
      <c r="C371">
        <v>1</v>
      </c>
      <c r="D371" t="s">
        <v>30</v>
      </c>
      <c r="E371" s="6">
        <v>46050.034722222219</v>
      </c>
      <c r="F371" s="18">
        <f t="shared" si="15"/>
        <v>9.0277777773735579E-2</v>
      </c>
      <c r="G371" s="19">
        <f t="shared" si="16"/>
        <v>2.1666666665696539</v>
      </c>
      <c r="H371" s="20">
        <f t="shared" si="17"/>
        <v>129.99999999417923</v>
      </c>
    </row>
    <row r="372" spans="1:8" x14ac:dyDescent="0.25">
      <c r="A372">
        <v>379</v>
      </c>
      <c r="B372" t="s">
        <v>31</v>
      </c>
      <c r="C372">
        <v>1</v>
      </c>
      <c r="D372" t="s">
        <v>30</v>
      </c>
      <c r="E372" s="6">
        <v>46050.048611111109</v>
      </c>
      <c r="F372" s="18">
        <f t="shared" si="15"/>
        <v>1.3888888890505768E-2</v>
      </c>
      <c r="G372" s="19">
        <f t="shared" si="16"/>
        <v>0.33333333337213844</v>
      </c>
      <c r="H372" s="20">
        <f t="shared" si="17"/>
        <v>20.000000002328306</v>
      </c>
    </row>
    <row r="373" spans="1:8" x14ac:dyDescent="0.25">
      <c r="A373">
        <v>382</v>
      </c>
      <c r="B373" t="s">
        <v>31</v>
      </c>
      <c r="C373">
        <v>1</v>
      </c>
      <c r="D373" t="s">
        <v>37</v>
      </c>
      <c r="E373" s="6">
        <v>46050.166666666664</v>
      </c>
      <c r="F373" s="18">
        <f t="shared" si="15"/>
        <v>0.11805555555474712</v>
      </c>
      <c r="G373" s="19">
        <f t="shared" si="16"/>
        <v>2.8333333333139308</v>
      </c>
      <c r="H373" s="20">
        <f t="shared" si="17"/>
        <v>169.99999999883585</v>
      </c>
    </row>
    <row r="374" spans="1:8" x14ac:dyDescent="0.25">
      <c r="A374">
        <v>383</v>
      </c>
      <c r="B374" t="s">
        <v>31</v>
      </c>
      <c r="C374">
        <v>1</v>
      </c>
      <c r="D374" t="s">
        <v>30</v>
      </c>
      <c r="E374" s="6">
        <v>46050.225694444445</v>
      </c>
      <c r="F374" s="18">
        <f t="shared" si="15"/>
        <v>5.9027777781011537E-2</v>
      </c>
      <c r="G374" s="19">
        <f t="shared" si="16"/>
        <v>1.4166666667442769</v>
      </c>
      <c r="H374" s="20">
        <f t="shared" si="17"/>
        <v>85.000000004656613</v>
      </c>
    </row>
    <row r="375" spans="1:8" hidden="1" x14ac:dyDescent="0.25">
      <c r="A375">
        <v>381</v>
      </c>
      <c r="B375" t="s">
        <v>29</v>
      </c>
      <c r="C375">
        <v>1</v>
      </c>
      <c r="D375" t="s">
        <v>35</v>
      </c>
      <c r="E375" s="6">
        <v>46050.444444444445</v>
      </c>
      <c r="F375" s="18">
        <f t="shared" si="15"/>
        <v>0.21875</v>
      </c>
      <c r="G375" s="19">
        <f t="shared" si="16"/>
        <v>5.25</v>
      </c>
      <c r="H375" s="20">
        <f t="shared" si="17"/>
        <v>315</v>
      </c>
    </row>
    <row r="376" spans="1:8" x14ac:dyDescent="0.25">
      <c r="A376">
        <v>385</v>
      </c>
      <c r="B376" t="s">
        <v>33</v>
      </c>
      <c r="C376">
        <v>1</v>
      </c>
      <c r="D376" t="s">
        <v>35</v>
      </c>
      <c r="E376" s="6">
        <v>46050.576388888891</v>
      </c>
      <c r="F376" s="18">
        <f t="shared" si="15"/>
        <v>0.13194444444525288</v>
      </c>
      <c r="G376" s="19">
        <f t="shared" si="16"/>
        <v>3.1666666666860692</v>
      </c>
      <c r="H376" s="20">
        <f t="shared" si="17"/>
        <v>190.00000000116415</v>
      </c>
    </row>
    <row r="377" spans="1:8" x14ac:dyDescent="0.25">
      <c r="A377">
        <v>384</v>
      </c>
      <c r="B377" t="s">
        <v>33</v>
      </c>
      <c r="C377">
        <v>1</v>
      </c>
      <c r="D377" t="s">
        <v>30</v>
      </c>
      <c r="E377" s="6">
        <v>46050.611111111109</v>
      </c>
      <c r="F377" s="18">
        <f t="shared" si="15"/>
        <v>3.4722222218988463E-2</v>
      </c>
      <c r="G377" s="19">
        <f t="shared" si="16"/>
        <v>0.83333333325572312</v>
      </c>
      <c r="H377" s="20">
        <f t="shared" si="17"/>
        <v>49.999999995343387</v>
      </c>
    </row>
    <row r="378" spans="1:8" x14ac:dyDescent="0.25">
      <c r="A378">
        <v>374</v>
      </c>
      <c r="B378" t="s">
        <v>29</v>
      </c>
      <c r="C378">
        <v>1</v>
      </c>
      <c r="D378" t="s">
        <v>36</v>
      </c>
      <c r="E378" s="6">
        <v>46050.677083333336</v>
      </c>
      <c r="F378" s="18">
        <f t="shared" si="15"/>
        <v>6.5972222226264421E-2</v>
      </c>
      <c r="G378" s="19">
        <f t="shared" si="16"/>
        <v>1.5833333334303461</v>
      </c>
      <c r="H378" s="20">
        <f t="shared" si="17"/>
        <v>95.000000005820766</v>
      </c>
    </row>
    <row r="379" spans="1:8" x14ac:dyDescent="0.25">
      <c r="A379">
        <v>386</v>
      </c>
      <c r="B379" t="s">
        <v>31</v>
      </c>
      <c r="C379">
        <v>1</v>
      </c>
      <c r="D379" t="s">
        <v>35</v>
      </c>
      <c r="E379" s="6">
        <v>46050.684027777781</v>
      </c>
      <c r="F379" s="18">
        <f t="shared" si="15"/>
        <v>6.9444444452528842E-3</v>
      </c>
      <c r="G379" s="19">
        <f t="shared" si="16"/>
        <v>0.16666666668606922</v>
      </c>
      <c r="H379" s="20">
        <f t="shared" si="17"/>
        <v>10.000000001164153</v>
      </c>
    </row>
    <row r="380" spans="1:8" x14ac:dyDescent="0.25">
      <c r="A380">
        <v>373</v>
      </c>
      <c r="B380" t="s">
        <v>33</v>
      </c>
      <c r="C380">
        <v>1</v>
      </c>
      <c r="D380" t="s">
        <v>36</v>
      </c>
      <c r="E380" s="6">
        <v>46050.722222222219</v>
      </c>
      <c r="F380" s="18">
        <f t="shared" si="15"/>
        <v>3.8194444437976927E-2</v>
      </c>
      <c r="G380" s="19">
        <f t="shared" si="16"/>
        <v>0.91666666651144624</v>
      </c>
      <c r="H380" s="20">
        <f t="shared" si="17"/>
        <v>54.999999990686774</v>
      </c>
    </row>
    <row r="381" spans="1:8" x14ac:dyDescent="0.25">
      <c r="A381">
        <v>399</v>
      </c>
      <c r="B381" t="s">
        <v>29</v>
      </c>
      <c r="C381">
        <v>1</v>
      </c>
      <c r="D381" t="s">
        <v>30</v>
      </c>
      <c r="E381" s="6">
        <v>46050.845833333333</v>
      </c>
      <c r="F381" s="18">
        <f t="shared" si="15"/>
        <v>0.12361111111385981</v>
      </c>
      <c r="G381" s="19">
        <f t="shared" si="16"/>
        <v>2.9666666667326353</v>
      </c>
      <c r="H381" s="20">
        <f t="shared" si="17"/>
        <v>178.00000000395812</v>
      </c>
    </row>
    <row r="382" spans="1:8" x14ac:dyDescent="0.25">
      <c r="A382">
        <v>400</v>
      </c>
      <c r="B382" t="s">
        <v>33</v>
      </c>
      <c r="C382">
        <v>1</v>
      </c>
      <c r="D382" t="s">
        <v>30</v>
      </c>
      <c r="E382" s="6">
        <v>46050.902777777781</v>
      </c>
      <c r="F382" s="18">
        <f t="shared" si="15"/>
        <v>5.6944444448163267E-2</v>
      </c>
      <c r="G382" s="19">
        <f t="shared" si="16"/>
        <v>1.3666666667559184</v>
      </c>
      <c r="H382" s="20">
        <f t="shared" si="17"/>
        <v>82.000000005355105</v>
      </c>
    </row>
    <row r="383" spans="1:8" x14ac:dyDescent="0.25">
      <c r="A383">
        <v>401</v>
      </c>
      <c r="B383" t="s">
        <v>29</v>
      </c>
      <c r="C383">
        <v>1</v>
      </c>
      <c r="D383" t="s">
        <v>30</v>
      </c>
      <c r="E383" s="6">
        <v>46050.92083333333</v>
      </c>
      <c r="F383" s="18">
        <f t="shared" si="15"/>
        <v>1.805555554892635E-2</v>
      </c>
      <c r="G383" s="19">
        <f t="shared" si="16"/>
        <v>0.43333333317423239</v>
      </c>
      <c r="H383" s="20">
        <f t="shared" si="17"/>
        <v>25.999999990453944</v>
      </c>
    </row>
    <row r="384" spans="1:8" x14ac:dyDescent="0.25">
      <c r="A384">
        <v>402</v>
      </c>
      <c r="B384" t="s">
        <v>31</v>
      </c>
      <c r="C384">
        <v>1</v>
      </c>
      <c r="D384" t="s">
        <v>30</v>
      </c>
      <c r="E384" s="6">
        <v>46050.96875</v>
      </c>
      <c r="F384" s="18">
        <f t="shared" si="15"/>
        <v>4.7916666670062114E-2</v>
      </c>
      <c r="G384" s="19">
        <f t="shared" si="16"/>
        <v>1.1500000000814907</v>
      </c>
      <c r="H384" s="20">
        <f t="shared" si="17"/>
        <v>69.000000004889444</v>
      </c>
    </row>
    <row r="385" spans="1:8" x14ac:dyDescent="0.25">
      <c r="A385">
        <v>403</v>
      </c>
      <c r="B385" t="s">
        <v>33</v>
      </c>
      <c r="C385">
        <v>1</v>
      </c>
      <c r="D385" t="s">
        <v>30</v>
      </c>
      <c r="E385" s="6">
        <v>46051.027777777781</v>
      </c>
      <c r="F385" s="18">
        <f t="shared" si="15"/>
        <v>5.9027777781011537E-2</v>
      </c>
      <c r="G385" s="19">
        <f t="shared" si="16"/>
        <v>1.4166666667442769</v>
      </c>
      <c r="H385" s="20">
        <f t="shared" si="17"/>
        <v>85.000000004656613</v>
      </c>
    </row>
    <row r="386" spans="1:8" hidden="1" x14ac:dyDescent="0.25">
      <c r="A386">
        <v>392</v>
      </c>
      <c r="B386" t="s">
        <v>29</v>
      </c>
      <c r="C386">
        <v>1</v>
      </c>
      <c r="D386" t="s">
        <v>37</v>
      </c>
      <c r="E386" s="6">
        <v>46051.243055555555</v>
      </c>
      <c r="F386" s="18">
        <f t="shared" si="15"/>
        <v>0.21527777777373558</v>
      </c>
      <c r="G386" s="19">
        <f t="shared" si="16"/>
        <v>5.1666666665696539</v>
      </c>
      <c r="H386" s="20">
        <f t="shared" si="17"/>
        <v>309.99999999417923</v>
      </c>
    </row>
    <row r="387" spans="1:8" x14ac:dyDescent="0.25">
      <c r="A387">
        <v>362</v>
      </c>
      <c r="B387" t="s">
        <v>31</v>
      </c>
      <c r="C387">
        <v>1</v>
      </c>
      <c r="D387" t="s">
        <v>34</v>
      </c>
      <c r="E387" s="6">
        <v>46051.291666666664</v>
      </c>
      <c r="F387" s="18">
        <f t="shared" si="15"/>
        <v>4.8611111109494232E-2</v>
      </c>
      <c r="G387" s="19">
        <f t="shared" si="16"/>
        <v>1.1666666666278616</v>
      </c>
      <c r="H387" s="20">
        <f t="shared" si="17"/>
        <v>69.999999997671694</v>
      </c>
    </row>
    <row r="388" spans="1:8" hidden="1" x14ac:dyDescent="0.25">
      <c r="A388">
        <v>387</v>
      </c>
      <c r="B388" t="s">
        <v>29</v>
      </c>
      <c r="C388">
        <v>1</v>
      </c>
      <c r="D388" t="s">
        <v>36</v>
      </c>
      <c r="E388" s="6">
        <v>46051.291666666664</v>
      </c>
      <c r="F388" s="18">
        <f t="shared" si="15"/>
        <v>0</v>
      </c>
      <c r="G388" s="19">
        <f t="shared" si="16"/>
        <v>0</v>
      </c>
      <c r="H388" s="19">
        <f t="shared" si="17"/>
        <v>0</v>
      </c>
    </row>
    <row r="389" spans="1:8" hidden="1" x14ac:dyDescent="0.25">
      <c r="A389">
        <v>393</v>
      </c>
      <c r="B389" t="s">
        <v>31</v>
      </c>
      <c r="C389">
        <v>1</v>
      </c>
      <c r="D389" t="s">
        <v>30</v>
      </c>
      <c r="E389" s="6">
        <v>46051.291666666664</v>
      </c>
      <c r="F389" s="18">
        <f t="shared" ref="F389:F452" si="18">E389-E388</f>
        <v>0</v>
      </c>
      <c r="G389" s="19">
        <f t="shared" ref="G389:G452" si="19">F389*24</f>
        <v>0</v>
      </c>
      <c r="H389" s="19">
        <f t="shared" ref="H389:H452" si="20">G389*60</f>
        <v>0</v>
      </c>
    </row>
    <row r="390" spans="1:8" x14ac:dyDescent="0.25">
      <c r="A390">
        <v>396</v>
      </c>
      <c r="B390" t="s">
        <v>33</v>
      </c>
      <c r="C390">
        <v>1</v>
      </c>
      <c r="D390" t="s">
        <v>35</v>
      </c>
      <c r="E390" s="6">
        <v>46051.29583333333</v>
      </c>
      <c r="F390" s="18">
        <f t="shared" si="18"/>
        <v>4.166666665696539E-3</v>
      </c>
      <c r="G390" s="19">
        <f t="shared" si="19"/>
        <v>9.9999999976716936E-2</v>
      </c>
      <c r="H390" s="20">
        <f t="shared" si="20"/>
        <v>5.9999999986030161</v>
      </c>
    </row>
    <row r="391" spans="1:8" x14ac:dyDescent="0.25">
      <c r="A391">
        <v>404</v>
      </c>
      <c r="B391" t="s">
        <v>29</v>
      </c>
      <c r="C391">
        <v>1</v>
      </c>
      <c r="D391" t="s">
        <v>32</v>
      </c>
      <c r="E391" s="6">
        <v>46051.371527777781</v>
      </c>
      <c r="F391" s="18">
        <f t="shared" si="18"/>
        <v>7.569444445107365E-2</v>
      </c>
      <c r="G391" s="19">
        <f t="shared" si="19"/>
        <v>1.8166666668257676</v>
      </c>
      <c r="H391" s="20">
        <f t="shared" si="20"/>
        <v>109.00000000954606</v>
      </c>
    </row>
    <row r="392" spans="1:8" x14ac:dyDescent="0.25">
      <c r="A392">
        <v>397</v>
      </c>
      <c r="B392" t="s">
        <v>33</v>
      </c>
      <c r="C392">
        <v>1</v>
      </c>
      <c r="D392" t="s">
        <v>32</v>
      </c>
      <c r="E392" s="6">
        <v>46051.409722222219</v>
      </c>
      <c r="F392" s="18">
        <f t="shared" si="18"/>
        <v>3.8194444437976927E-2</v>
      </c>
      <c r="G392" s="19">
        <f t="shared" si="19"/>
        <v>0.91666666651144624</v>
      </c>
      <c r="H392" s="20">
        <f t="shared" si="20"/>
        <v>54.999999990686774</v>
      </c>
    </row>
    <row r="393" spans="1:8" x14ac:dyDescent="0.25">
      <c r="A393">
        <v>394</v>
      </c>
      <c r="B393" t="s">
        <v>31</v>
      </c>
      <c r="C393">
        <v>1</v>
      </c>
      <c r="D393" t="s">
        <v>35</v>
      </c>
      <c r="E393" s="6">
        <v>46051.46875</v>
      </c>
      <c r="F393" s="18">
        <f t="shared" si="18"/>
        <v>5.9027777781011537E-2</v>
      </c>
      <c r="G393" s="19">
        <f t="shared" si="19"/>
        <v>1.4166666667442769</v>
      </c>
      <c r="H393" s="20">
        <f t="shared" si="20"/>
        <v>85.000000004656613</v>
      </c>
    </row>
    <row r="394" spans="1:8" x14ac:dyDescent="0.25">
      <c r="A394">
        <v>388</v>
      </c>
      <c r="B394" t="s">
        <v>33</v>
      </c>
      <c r="C394">
        <v>1</v>
      </c>
      <c r="D394" t="s">
        <v>36</v>
      </c>
      <c r="E394" s="6">
        <v>46051.53125</v>
      </c>
      <c r="F394" s="18">
        <f t="shared" si="18"/>
        <v>6.25E-2</v>
      </c>
      <c r="G394" s="19">
        <f t="shared" si="19"/>
        <v>1.5</v>
      </c>
      <c r="H394" s="20">
        <f t="shared" si="20"/>
        <v>90</v>
      </c>
    </row>
    <row r="395" spans="1:8" x14ac:dyDescent="0.25">
      <c r="A395">
        <v>395</v>
      </c>
      <c r="B395" t="s">
        <v>31</v>
      </c>
      <c r="C395">
        <v>1</v>
      </c>
      <c r="D395" t="s">
        <v>35</v>
      </c>
      <c r="E395" s="6">
        <v>46051.548611111109</v>
      </c>
      <c r="F395" s="18">
        <f t="shared" si="18"/>
        <v>1.7361111109494232E-2</v>
      </c>
      <c r="G395" s="19">
        <f t="shared" si="19"/>
        <v>0.41666666662786156</v>
      </c>
      <c r="H395" s="20">
        <f t="shared" si="20"/>
        <v>24.999999997671694</v>
      </c>
    </row>
    <row r="396" spans="1:8" x14ac:dyDescent="0.25">
      <c r="A396">
        <v>406</v>
      </c>
      <c r="B396" t="s">
        <v>29</v>
      </c>
      <c r="C396">
        <v>1</v>
      </c>
      <c r="D396" t="s">
        <v>30</v>
      </c>
      <c r="E396" s="6">
        <v>46051.552083333336</v>
      </c>
      <c r="F396" s="18">
        <f t="shared" si="18"/>
        <v>3.4722222262644209E-3</v>
      </c>
      <c r="G396" s="19">
        <f t="shared" si="19"/>
        <v>8.3333333430346102E-2</v>
      </c>
      <c r="H396" s="20">
        <f t="shared" si="20"/>
        <v>5.0000000058207661</v>
      </c>
    </row>
    <row r="397" spans="1:8" x14ac:dyDescent="0.25">
      <c r="A397">
        <v>363</v>
      </c>
      <c r="B397" t="s">
        <v>29</v>
      </c>
      <c r="C397">
        <v>1</v>
      </c>
      <c r="D397" t="s">
        <v>34</v>
      </c>
      <c r="E397" s="6">
        <v>46051.604166666664</v>
      </c>
      <c r="F397" s="18">
        <f t="shared" si="18"/>
        <v>5.2083333328482695E-2</v>
      </c>
      <c r="G397" s="19">
        <f t="shared" si="19"/>
        <v>1.2499999998835847</v>
      </c>
      <c r="H397" s="20">
        <f t="shared" si="20"/>
        <v>74.999999993015081</v>
      </c>
    </row>
    <row r="398" spans="1:8" x14ac:dyDescent="0.25">
      <c r="A398">
        <v>412</v>
      </c>
      <c r="B398" t="s">
        <v>29</v>
      </c>
      <c r="C398">
        <v>1</v>
      </c>
      <c r="D398" t="s">
        <v>34</v>
      </c>
      <c r="E398" s="6">
        <v>46051.659722222219</v>
      </c>
      <c r="F398" s="18">
        <f t="shared" si="18"/>
        <v>5.5555555554747116E-2</v>
      </c>
      <c r="G398" s="19">
        <f t="shared" si="19"/>
        <v>1.3333333333139308</v>
      </c>
      <c r="H398" s="20">
        <f t="shared" si="20"/>
        <v>79.999999998835847</v>
      </c>
    </row>
    <row r="399" spans="1:8" x14ac:dyDescent="0.25">
      <c r="A399">
        <v>398</v>
      </c>
      <c r="B399" t="s">
        <v>29</v>
      </c>
      <c r="C399">
        <v>1</v>
      </c>
      <c r="D399" t="s">
        <v>32</v>
      </c>
      <c r="E399" s="6">
        <v>46051.6875</v>
      </c>
      <c r="F399" s="18">
        <f t="shared" si="18"/>
        <v>2.7777777781011537E-2</v>
      </c>
      <c r="G399" s="19">
        <f t="shared" si="19"/>
        <v>0.66666666674427688</v>
      </c>
      <c r="H399" s="20">
        <f t="shared" si="20"/>
        <v>40.000000004656613</v>
      </c>
    </row>
    <row r="400" spans="1:8" hidden="1" x14ac:dyDescent="0.25">
      <c r="A400">
        <v>414</v>
      </c>
      <c r="B400" t="s">
        <v>33</v>
      </c>
      <c r="C400">
        <v>1</v>
      </c>
      <c r="D400" t="s">
        <v>30</v>
      </c>
      <c r="E400" s="6">
        <v>46051.6875</v>
      </c>
      <c r="F400" s="18">
        <f t="shared" si="18"/>
        <v>0</v>
      </c>
      <c r="G400" s="19">
        <f t="shared" si="19"/>
        <v>0</v>
      </c>
      <c r="H400" s="19">
        <f t="shared" si="20"/>
        <v>0</v>
      </c>
    </row>
    <row r="401" spans="1:8" x14ac:dyDescent="0.25">
      <c r="A401">
        <v>413</v>
      </c>
      <c r="B401" t="s">
        <v>29</v>
      </c>
      <c r="C401">
        <v>1</v>
      </c>
      <c r="D401" t="s">
        <v>30</v>
      </c>
      <c r="E401" s="6">
        <v>46051.78125</v>
      </c>
      <c r="F401" s="18">
        <f t="shared" si="18"/>
        <v>9.375E-2</v>
      </c>
      <c r="G401" s="19">
        <f t="shared" si="19"/>
        <v>2.25</v>
      </c>
      <c r="H401" s="20">
        <f t="shared" si="20"/>
        <v>135</v>
      </c>
    </row>
    <row r="402" spans="1:8" hidden="1" x14ac:dyDescent="0.25">
      <c r="A402">
        <v>415</v>
      </c>
      <c r="B402" t="s">
        <v>31</v>
      </c>
      <c r="C402">
        <v>1</v>
      </c>
      <c r="D402" t="s">
        <v>34</v>
      </c>
      <c r="E402" s="6">
        <v>46051.982638888891</v>
      </c>
      <c r="F402" s="18">
        <f t="shared" si="18"/>
        <v>0.20138888889050577</v>
      </c>
      <c r="G402" s="19">
        <f t="shared" si="19"/>
        <v>4.8333333333721384</v>
      </c>
      <c r="H402" s="20">
        <f t="shared" si="20"/>
        <v>290.00000000232831</v>
      </c>
    </row>
    <row r="403" spans="1:8" x14ac:dyDescent="0.25">
      <c r="A403">
        <v>416</v>
      </c>
      <c r="B403" t="s">
        <v>31</v>
      </c>
      <c r="C403">
        <v>1</v>
      </c>
      <c r="D403" t="s">
        <v>35</v>
      </c>
      <c r="E403" s="6">
        <v>46052.041666666664</v>
      </c>
      <c r="F403" s="18">
        <f t="shared" si="18"/>
        <v>5.9027777773735579E-2</v>
      </c>
      <c r="G403" s="19">
        <f t="shared" si="19"/>
        <v>1.4166666665696539</v>
      </c>
      <c r="H403" s="20">
        <f t="shared" si="20"/>
        <v>84.999999994179234</v>
      </c>
    </row>
    <row r="404" spans="1:8" x14ac:dyDescent="0.25">
      <c r="A404">
        <v>418</v>
      </c>
      <c r="B404" t="s">
        <v>29</v>
      </c>
      <c r="C404">
        <v>1</v>
      </c>
      <c r="D404" t="s">
        <v>30</v>
      </c>
      <c r="E404" s="6">
        <v>46052.129166666666</v>
      </c>
      <c r="F404" s="18">
        <f t="shared" si="18"/>
        <v>8.7500000001455192E-2</v>
      </c>
      <c r="G404" s="19">
        <f t="shared" si="19"/>
        <v>2.1000000000349246</v>
      </c>
      <c r="H404" s="20">
        <f t="shared" si="20"/>
        <v>126.00000000209548</v>
      </c>
    </row>
    <row r="405" spans="1:8" x14ac:dyDescent="0.25">
      <c r="A405">
        <v>419</v>
      </c>
      <c r="B405" t="s">
        <v>33</v>
      </c>
      <c r="C405">
        <v>1</v>
      </c>
      <c r="D405" t="s">
        <v>37</v>
      </c>
      <c r="E405" s="6">
        <v>46052.166666666664</v>
      </c>
      <c r="F405" s="18">
        <f t="shared" si="18"/>
        <v>3.7499999998544808E-2</v>
      </c>
      <c r="G405" s="19">
        <f t="shared" si="19"/>
        <v>0.8999999999650754</v>
      </c>
      <c r="H405" s="20">
        <f t="shared" si="20"/>
        <v>53.999999997904524</v>
      </c>
    </row>
    <row r="406" spans="1:8" x14ac:dyDescent="0.25">
      <c r="A406">
        <v>407</v>
      </c>
      <c r="B406" t="s">
        <v>29</v>
      </c>
      <c r="C406">
        <v>1</v>
      </c>
      <c r="D406" t="s">
        <v>34</v>
      </c>
      <c r="E406" s="6">
        <v>46052.291666666664</v>
      </c>
      <c r="F406" s="18">
        <f t="shared" si="18"/>
        <v>0.125</v>
      </c>
      <c r="G406" s="19">
        <f t="shared" si="19"/>
        <v>3</v>
      </c>
      <c r="H406" s="20">
        <f t="shared" si="20"/>
        <v>180</v>
      </c>
    </row>
    <row r="407" spans="1:8" hidden="1" x14ac:dyDescent="0.25">
      <c r="A407">
        <v>411</v>
      </c>
      <c r="B407" t="s">
        <v>31</v>
      </c>
      <c r="C407">
        <v>1</v>
      </c>
      <c r="D407" t="s">
        <v>30</v>
      </c>
      <c r="E407" s="6">
        <v>46052.291666666664</v>
      </c>
      <c r="F407" s="18">
        <f t="shared" si="18"/>
        <v>0</v>
      </c>
      <c r="G407" s="19">
        <f t="shared" si="19"/>
        <v>0</v>
      </c>
      <c r="H407" s="19">
        <f t="shared" si="20"/>
        <v>0</v>
      </c>
    </row>
    <row r="408" spans="1:8" hidden="1" x14ac:dyDescent="0.25">
      <c r="A408">
        <v>420</v>
      </c>
      <c r="B408" t="s">
        <v>29</v>
      </c>
      <c r="C408">
        <v>1</v>
      </c>
      <c r="D408" t="s">
        <v>36</v>
      </c>
      <c r="E408" s="6">
        <v>46052.291666666664</v>
      </c>
      <c r="F408" s="18">
        <f t="shared" si="18"/>
        <v>0</v>
      </c>
      <c r="G408" s="19">
        <f t="shared" si="19"/>
        <v>0</v>
      </c>
      <c r="H408" s="19">
        <f t="shared" si="20"/>
        <v>0</v>
      </c>
    </row>
    <row r="409" spans="1:8" x14ac:dyDescent="0.25">
      <c r="A409">
        <v>417</v>
      </c>
      <c r="B409" t="s">
        <v>33</v>
      </c>
      <c r="C409">
        <v>1</v>
      </c>
      <c r="D409" t="s">
        <v>37</v>
      </c>
      <c r="E409" s="6">
        <v>46052.333333333336</v>
      </c>
      <c r="F409" s="18">
        <f t="shared" si="18"/>
        <v>4.1666666671517305E-2</v>
      </c>
      <c r="G409" s="19">
        <f t="shared" si="19"/>
        <v>1.0000000001164153</v>
      </c>
      <c r="H409" s="20">
        <f t="shared" si="20"/>
        <v>60.000000006984919</v>
      </c>
    </row>
    <row r="410" spans="1:8" x14ac:dyDescent="0.25">
      <c r="A410">
        <v>405</v>
      </c>
      <c r="B410" t="s">
        <v>33</v>
      </c>
      <c r="C410">
        <v>1</v>
      </c>
      <c r="D410" t="s">
        <v>34</v>
      </c>
      <c r="E410" s="6">
        <v>46052.344444444447</v>
      </c>
      <c r="F410" s="18">
        <f t="shared" si="18"/>
        <v>1.1111111110949423E-2</v>
      </c>
      <c r="G410" s="19">
        <f t="shared" si="19"/>
        <v>0.26666666666278616</v>
      </c>
      <c r="H410" s="20">
        <f t="shared" si="20"/>
        <v>15.999999999767169</v>
      </c>
    </row>
    <row r="411" spans="1:8" x14ac:dyDescent="0.25">
      <c r="A411">
        <v>422</v>
      </c>
      <c r="B411" t="s">
        <v>33</v>
      </c>
      <c r="C411">
        <v>1</v>
      </c>
      <c r="D411" t="s">
        <v>30</v>
      </c>
      <c r="E411" s="6">
        <v>46052.414583333331</v>
      </c>
      <c r="F411" s="18">
        <f t="shared" si="18"/>
        <v>7.0138888884685002E-2</v>
      </c>
      <c r="G411" s="19">
        <f t="shared" si="19"/>
        <v>1.6833333332324401</v>
      </c>
      <c r="H411" s="20">
        <f t="shared" si="20"/>
        <v>100.9999999939464</v>
      </c>
    </row>
    <row r="412" spans="1:8" x14ac:dyDescent="0.25">
      <c r="A412">
        <v>410</v>
      </c>
      <c r="B412" t="s">
        <v>31</v>
      </c>
      <c r="C412">
        <v>1</v>
      </c>
      <c r="D412" t="s">
        <v>34</v>
      </c>
      <c r="E412" s="6">
        <v>46052.454861111109</v>
      </c>
      <c r="F412" s="18">
        <f t="shared" si="18"/>
        <v>4.0277777778101154E-2</v>
      </c>
      <c r="G412" s="19">
        <f t="shared" si="19"/>
        <v>0.96666666667442769</v>
      </c>
      <c r="H412" s="20">
        <f t="shared" si="20"/>
        <v>58.000000000465661</v>
      </c>
    </row>
    <row r="413" spans="1:8" x14ac:dyDescent="0.25">
      <c r="A413">
        <v>421</v>
      </c>
      <c r="B413" t="s">
        <v>33</v>
      </c>
      <c r="C413">
        <v>1</v>
      </c>
      <c r="D413" t="s">
        <v>30</v>
      </c>
      <c r="E413" s="6">
        <v>46052.59097222222</v>
      </c>
      <c r="F413" s="18">
        <f t="shared" si="18"/>
        <v>0.13611111111094942</v>
      </c>
      <c r="G413" s="19">
        <f t="shared" si="19"/>
        <v>3.2666666666627862</v>
      </c>
      <c r="H413" s="20">
        <f t="shared" si="20"/>
        <v>195.99999999976717</v>
      </c>
    </row>
    <row r="414" spans="1:8" x14ac:dyDescent="0.25">
      <c r="A414">
        <v>391</v>
      </c>
      <c r="B414" t="s">
        <v>33</v>
      </c>
      <c r="C414">
        <v>1</v>
      </c>
      <c r="D414" t="s">
        <v>30</v>
      </c>
      <c r="E414" s="6">
        <v>46052.594444444447</v>
      </c>
      <c r="F414" s="18">
        <f t="shared" si="18"/>
        <v>3.4722222262644209E-3</v>
      </c>
      <c r="G414" s="19">
        <f t="shared" si="19"/>
        <v>8.3333333430346102E-2</v>
      </c>
      <c r="H414" s="20">
        <f t="shared" si="20"/>
        <v>5.0000000058207661</v>
      </c>
    </row>
    <row r="415" spans="1:8" x14ac:dyDescent="0.25">
      <c r="A415">
        <v>428</v>
      </c>
      <c r="B415" t="s">
        <v>29</v>
      </c>
      <c r="C415">
        <v>1</v>
      </c>
      <c r="D415" t="s">
        <v>30</v>
      </c>
      <c r="E415" s="6">
        <v>46052.604166666664</v>
      </c>
      <c r="F415" s="18">
        <f t="shared" si="18"/>
        <v>9.7222222175332718E-3</v>
      </c>
      <c r="G415" s="19">
        <f t="shared" si="19"/>
        <v>0.23333333322079852</v>
      </c>
      <c r="H415" s="20">
        <f t="shared" si="20"/>
        <v>13.999999993247911</v>
      </c>
    </row>
    <row r="416" spans="1:8" x14ac:dyDescent="0.25">
      <c r="A416">
        <v>408</v>
      </c>
      <c r="B416" t="s">
        <v>31</v>
      </c>
      <c r="C416">
        <v>1</v>
      </c>
      <c r="D416" t="s">
        <v>34</v>
      </c>
      <c r="E416" s="6">
        <v>46052.607638888891</v>
      </c>
      <c r="F416" s="18">
        <f t="shared" si="18"/>
        <v>3.4722222262644209E-3</v>
      </c>
      <c r="G416" s="19">
        <f t="shared" si="19"/>
        <v>8.3333333430346102E-2</v>
      </c>
      <c r="H416" s="20">
        <f t="shared" si="20"/>
        <v>5.0000000058207661</v>
      </c>
    </row>
    <row r="417" spans="1:8" x14ac:dyDescent="0.25">
      <c r="A417">
        <v>431</v>
      </c>
      <c r="B417" t="s">
        <v>33</v>
      </c>
      <c r="C417">
        <v>1</v>
      </c>
      <c r="D417" t="s">
        <v>30</v>
      </c>
      <c r="E417" s="6">
        <v>46052.727777777778</v>
      </c>
      <c r="F417" s="18">
        <f t="shared" si="18"/>
        <v>0.12013888888759539</v>
      </c>
      <c r="G417" s="19">
        <f t="shared" si="19"/>
        <v>2.8833333333022892</v>
      </c>
      <c r="H417" s="20">
        <f t="shared" si="20"/>
        <v>172.99999999813735</v>
      </c>
    </row>
    <row r="418" spans="1:8" x14ac:dyDescent="0.25">
      <c r="A418">
        <v>432</v>
      </c>
      <c r="B418" t="s">
        <v>33</v>
      </c>
      <c r="C418">
        <v>1</v>
      </c>
      <c r="D418" t="s">
        <v>30</v>
      </c>
      <c r="E418" s="6">
        <v>46052.840277777781</v>
      </c>
      <c r="F418" s="18">
        <f t="shared" si="18"/>
        <v>0.11250000000291038</v>
      </c>
      <c r="G418" s="19">
        <f t="shared" si="19"/>
        <v>2.7000000000698492</v>
      </c>
      <c r="H418" s="20">
        <f t="shared" si="20"/>
        <v>162.00000000419095</v>
      </c>
    </row>
    <row r="419" spans="1:8" x14ac:dyDescent="0.25">
      <c r="A419">
        <v>433</v>
      </c>
      <c r="B419" t="s">
        <v>31</v>
      </c>
      <c r="C419">
        <v>1</v>
      </c>
      <c r="D419" t="s">
        <v>30</v>
      </c>
      <c r="E419" s="6">
        <v>46052.965277777781</v>
      </c>
      <c r="F419" s="18">
        <f t="shared" si="18"/>
        <v>0.125</v>
      </c>
      <c r="G419" s="19">
        <f t="shared" si="19"/>
        <v>3</v>
      </c>
      <c r="H419" s="20">
        <f t="shared" si="20"/>
        <v>180</v>
      </c>
    </row>
    <row r="420" spans="1:8" hidden="1" x14ac:dyDescent="0.25">
      <c r="A420">
        <v>424</v>
      </c>
      <c r="B420" t="s">
        <v>29</v>
      </c>
      <c r="C420">
        <v>1</v>
      </c>
      <c r="D420" t="s">
        <v>34</v>
      </c>
      <c r="E420" s="6">
        <v>46053.368055555555</v>
      </c>
      <c r="F420" s="18">
        <f t="shared" si="18"/>
        <v>0.40277777777373558</v>
      </c>
      <c r="G420" s="19">
        <f t="shared" si="19"/>
        <v>9.6666666665696539</v>
      </c>
      <c r="H420" s="20">
        <f t="shared" si="20"/>
        <v>579.99999999417923</v>
      </c>
    </row>
    <row r="421" spans="1:8" x14ac:dyDescent="0.25">
      <c r="A421">
        <v>425</v>
      </c>
      <c r="B421" t="s">
        <v>29</v>
      </c>
      <c r="C421">
        <v>1</v>
      </c>
      <c r="D421" t="s">
        <v>36</v>
      </c>
      <c r="E421" s="6">
        <v>46053.385416666664</v>
      </c>
      <c r="F421" s="18">
        <f t="shared" si="18"/>
        <v>1.7361111109494232E-2</v>
      </c>
      <c r="G421" s="19">
        <f t="shared" si="19"/>
        <v>0.41666666662786156</v>
      </c>
      <c r="H421" s="20">
        <f t="shared" si="20"/>
        <v>24.999999997671694</v>
      </c>
    </row>
    <row r="422" spans="1:8" x14ac:dyDescent="0.25">
      <c r="A422">
        <v>423</v>
      </c>
      <c r="B422" t="s">
        <v>33</v>
      </c>
      <c r="C422">
        <v>1</v>
      </c>
      <c r="D422" t="s">
        <v>35</v>
      </c>
      <c r="E422" s="6">
        <v>46053.409722222219</v>
      </c>
      <c r="F422" s="18">
        <f t="shared" si="18"/>
        <v>2.4305555554747116E-2</v>
      </c>
      <c r="G422" s="19">
        <f t="shared" si="19"/>
        <v>0.58333333331393078</v>
      </c>
      <c r="H422" s="20">
        <f t="shared" si="20"/>
        <v>34.999999998835847</v>
      </c>
    </row>
    <row r="423" spans="1:8" x14ac:dyDescent="0.25">
      <c r="A423">
        <v>429</v>
      </c>
      <c r="B423" t="s">
        <v>33</v>
      </c>
      <c r="C423">
        <v>1</v>
      </c>
      <c r="D423" t="s">
        <v>30</v>
      </c>
      <c r="E423" s="6">
        <v>46053.440972222219</v>
      </c>
      <c r="F423" s="18">
        <f t="shared" si="18"/>
        <v>3.125E-2</v>
      </c>
      <c r="G423" s="19">
        <f t="shared" si="19"/>
        <v>0.75</v>
      </c>
      <c r="H423" s="20">
        <f t="shared" si="20"/>
        <v>45</v>
      </c>
    </row>
    <row r="424" spans="1:8" x14ac:dyDescent="0.25">
      <c r="A424">
        <v>434</v>
      </c>
      <c r="B424" t="s">
        <v>29</v>
      </c>
      <c r="C424">
        <v>1</v>
      </c>
      <c r="D424" t="s">
        <v>34</v>
      </c>
      <c r="E424" s="6">
        <v>46053.503472222219</v>
      </c>
      <c r="F424" s="18">
        <f t="shared" si="18"/>
        <v>6.25E-2</v>
      </c>
      <c r="G424" s="19">
        <f t="shared" si="19"/>
        <v>1.5</v>
      </c>
      <c r="H424" s="20">
        <f t="shared" si="20"/>
        <v>90</v>
      </c>
    </row>
    <row r="425" spans="1:8" x14ac:dyDescent="0.25">
      <c r="A425">
        <v>430</v>
      </c>
      <c r="B425" t="s">
        <v>31</v>
      </c>
      <c r="C425">
        <v>1</v>
      </c>
      <c r="D425" t="s">
        <v>36</v>
      </c>
      <c r="E425" s="6">
        <v>46053.576388888891</v>
      </c>
      <c r="F425" s="18">
        <f t="shared" si="18"/>
        <v>7.2916666671517305E-2</v>
      </c>
      <c r="G425" s="19">
        <f t="shared" si="19"/>
        <v>1.7500000001164153</v>
      </c>
      <c r="H425" s="20">
        <f t="shared" si="20"/>
        <v>105.00000000698492</v>
      </c>
    </row>
    <row r="426" spans="1:8" x14ac:dyDescent="0.25">
      <c r="A426">
        <v>438</v>
      </c>
      <c r="B426" t="s">
        <v>31</v>
      </c>
      <c r="C426">
        <v>1</v>
      </c>
      <c r="D426" t="s">
        <v>30</v>
      </c>
      <c r="E426" s="6">
        <v>46053.736111111109</v>
      </c>
      <c r="F426" s="18">
        <f t="shared" si="18"/>
        <v>0.15972222221898846</v>
      </c>
      <c r="G426" s="19">
        <f t="shared" si="19"/>
        <v>3.8333333332557231</v>
      </c>
      <c r="H426" s="20">
        <f t="shared" si="20"/>
        <v>229.99999999534339</v>
      </c>
    </row>
    <row r="427" spans="1:8" hidden="1" x14ac:dyDescent="0.25">
      <c r="A427">
        <v>439</v>
      </c>
      <c r="B427" t="s">
        <v>31</v>
      </c>
      <c r="C427">
        <v>1</v>
      </c>
      <c r="D427" t="s">
        <v>34</v>
      </c>
      <c r="E427" s="6">
        <v>46054.003472222219</v>
      </c>
      <c r="F427" s="18">
        <f t="shared" si="18"/>
        <v>0.26736111110949423</v>
      </c>
      <c r="G427" s="19">
        <f t="shared" si="19"/>
        <v>6.4166666666278616</v>
      </c>
      <c r="H427" s="20">
        <f t="shared" si="20"/>
        <v>384.99999999767169</v>
      </c>
    </row>
    <row r="428" spans="1:8" x14ac:dyDescent="0.25">
      <c r="A428">
        <v>440</v>
      </c>
      <c r="B428" t="s">
        <v>31</v>
      </c>
      <c r="C428">
        <v>1</v>
      </c>
      <c r="D428" t="s">
        <v>34</v>
      </c>
      <c r="E428" s="6">
        <v>46054.017361111109</v>
      </c>
      <c r="F428" s="18">
        <f t="shared" si="18"/>
        <v>1.3888888890505768E-2</v>
      </c>
      <c r="G428" s="19">
        <f t="shared" si="19"/>
        <v>0.33333333337213844</v>
      </c>
      <c r="H428" s="20">
        <f t="shared" si="20"/>
        <v>20.000000002328306</v>
      </c>
    </row>
    <row r="429" spans="1:8" hidden="1" x14ac:dyDescent="0.25">
      <c r="A429">
        <v>441</v>
      </c>
      <c r="B429" t="s">
        <v>33</v>
      </c>
      <c r="C429">
        <v>1</v>
      </c>
      <c r="D429" t="s">
        <v>34</v>
      </c>
      <c r="E429" s="6">
        <v>46054.258333333331</v>
      </c>
      <c r="F429" s="18">
        <f t="shared" si="18"/>
        <v>0.24097222222189885</v>
      </c>
      <c r="G429" s="19">
        <f t="shared" si="19"/>
        <v>5.7833333333255723</v>
      </c>
      <c r="H429" s="20">
        <f t="shared" si="20"/>
        <v>346.99999999953434</v>
      </c>
    </row>
    <row r="430" spans="1:8" x14ac:dyDescent="0.25">
      <c r="A430">
        <v>442</v>
      </c>
      <c r="B430" t="s">
        <v>31</v>
      </c>
      <c r="C430">
        <v>1</v>
      </c>
      <c r="D430" t="s">
        <v>30</v>
      </c>
      <c r="E430" s="6">
        <v>46054.354166666664</v>
      </c>
      <c r="F430" s="18">
        <f t="shared" si="18"/>
        <v>9.5833333332848269E-2</v>
      </c>
      <c r="G430" s="19">
        <f t="shared" si="19"/>
        <v>2.2999999999883585</v>
      </c>
      <c r="H430" s="20">
        <f t="shared" si="20"/>
        <v>137.99999999930151</v>
      </c>
    </row>
    <row r="431" spans="1:8" x14ac:dyDescent="0.25">
      <c r="A431">
        <v>437</v>
      </c>
      <c r="B431" t="s">
        <v>33</v>
      </c>
      <c r="C431">
        <v>1</v>
      </c>
      <c r="D431" t="s">
        <v>34</v>
      </c>
      <c r="E431" s="6">
        <v>46054.420138888891</v>
      </c>
      <c r="F431" s="18">
        <f t="shared" si="18"/>
        <v>6.5972222226264421E-2</v>
      </c>
      <c r="G431" s="19">
        <f t="shared" si="19"/>
        <v>1.5833333334303461</v>
      </c>
      <c r="H431" s="20">
        <f t="shared" si="20"/>
        <v>95.000000005820766</v>
      </c>
    </row>
    <row r="432" spans="1:8" x14ac:dyDescent="0.25">
      <c r="A432">
        <v>443</v>
      </c>
      <c r="B432" t="s">
        <v>29</v>
      </c>
      <c r="C432">
        <v>1</v>
      </c>
      <c r="D432" t="s">
        <v>30</v>
      </c>
      <c r="E432" s="6">
        <v>46054.458333333336</v>
      </c>
      <c r="F432" s="18">
        <f t="shared" si="18"/>
        <v>3.8194444445252884E-2</v>
      </c>
      <c r="G432" s="19">
        <f t="shared" si="19"/>
        <v>0.91666666668606922</v>
      </c>
      <c r="H432" s="20">
        <f t="shared" si="20"/>
        <v>55.000000001164153</v>
      </c>
    </row>
    <row r="433" spans="1:8" x14ac:dyDescent="0.25">
      <c r="A433">
        <v>435</v>
      </c>
      <c r="B433" t="s">
        <v>31</v>
      </c>
      <c r="C433">
        <v>1</v>
      </c>
      <c r="D433" t="s">
        <v>30</v>
      </c>
      <c r="E433" s="6">
        <v>46054.559027777781</v>
      </c>
      <c r="F433" s="18">
        <f t="shared" si="18"/>
        <v>0.10069444444525288</v>
      </c>
      <c r="G433" s="19">
        <f t="shared" si="19"/>
        <v>2.4166666666860692</v>
      </c>
      <c r="H433" s="20">
        <f t="shared" si="20"/>
        <v>145.00000000116415</v>
      </c>
    </row>
    <row r="434" spans="1:8" x14ac:dyDescent="0.25">
      <c r="A434">
        <v>449</v>
      </c>
      <c r="B434" t="s">
        <v>33</v>
      </c>
      <c r="C434">
        <v>1</v>
      </c>
      <c r="D434" t="s">
        <v>30</v>
      </c>
      <c r="E434" s="6">
        <v>46054.657638888886</v>
      </c>
      <c r="F434" s="18">
        <f t="shared" si="18"/>
        <v>9.8611111105128657E-2</v>
      </c>
      <c r="G434" s="19">
        <f t="shared" si="19"/>
        <v>2.3666666665230878</v>
      </c>
      <c r="H434" s="20">
        <f t="shared" si="20"/>
        <v>141.99999999138527</v>
      </c>
    </row>
    <row r="435" spans="1:8" x14ac:dyDescent="0.25">
      <c r="A435">
        <v>451</v>
      </c>
      <c r="B435" t="s">
        <v>33</v>
      </c>
      <c r="C435">
        <v>1</v>
      </c>
      <c r="D435" t="s">
        <v>34</v>
      </c>
      <c r="E435" s="6">
        <v>46054.736111111109</v>
      </c>
      <c r="F435" s="18">
        <f t="shared" si="18"/>
        <v>7.8472222223354038E-2</v>
      </c>
      <c r="G435" s="19">
        <f t="shared" si="19"/>
        <v>1.8833333333604969</v>
      </c>
      <c r="H435" s="20">
        <f t="shared" si="20"/>
        <v>113.00000000162981</v>
      </c>
    </row>
    <row r="436" spans="1:8" x14ac:dyDescent="0.25">
      <c r="A436">
        <v>453</v>
      </c>
      <c r="B436" t="s">
        <v>31</v>
      </c>
      <c r="C436">
        <v>1</v>
      </c>
      <c r="D436" t="s">
        <v>35</v>
      </c>
      <c r="E436" s="6">
        <v>46054.881944444445</v>
      </c>
      <c r="F436" s="18">
        <f t="shared" si="18"/>
        <v>0.14583333333575865</v>
      </c>
      <c r="G436" s="19">
        <f t="shared" si="19"/>
        <v>3.5000000000582077</v>
      </c>
      <c r="H436" s="20">
        <f t="shared" si="20"/>
        <v>210.00000000349246</v>
      </c>
    </row>
    <row r="437" spans="1:8" x14ac:dyDescent="0.25">
      <c r="A437">
        <v>454</v>
      </c>
      <c r="B437" t="s">
        <v>31</v>
      </c>
      <c r="C437">
        <v>1</v>
      </c>
      <c r="D437" t="s">
        <v>30</v>
      </c>
      <c r="E437" s="6">
        <v>46054.957638888889</v>
      </c>
      <c r="F437" s="18">
        <f t="shared" si="18"/>
        <v>7.5694444443797693E-2</v>
      </c>
      <c r="G437" s="19">
        <f t="shared" si="19"/>
        <v>1.8166666666511446</v>
      </c>
      <c r="H437" s="20">
        <f t="shared" si="20"/>
        <v>108.99999999906868</v>
      </c>
    </row>
    <row r="438" spans="1:8" x14ac:dyDescent="0.25">
      <c r="A438">
        <v>452</v>
      </c>
      <c r="B438" t="s">
        <v>33</v>
      </c>
      <c r="C438">
        <v>1</v>
      </c>
      <c r="D438" t="s">
        <v>30</v>
      </c>
      <c r="E438" s="6">
        <v>46055.027777777781</v>
      </c>
      <c r="F438" s="18">
        <f t="shared" si="18"/>
        <v>7.013888889196096E-2</v>
      </c>
      <c r="G438" s="19">
        <f t="shared" si="19"/>
        <v>1.683333333407063</v>
      </c>
      <c r="H438" s="20">
        <f t="shared" si="20"/>
        <v>101.00000000442378</v>
      </c>
    </row>
    <row r="439" spans="1:8" hidden="1" x14ac:dyDescent="0.25">
      <c r="A439">
        <v>455</v>
      </c>
      <c r="B439" t="s">
        <v>33</v>
      </c>
      <c r="C439">
        <v>1</v>
      </c>
      <c r="D439" t="s">
        <v>36</v>
      </c>
      <c r="E439" s="6">
        <v>46055.288194444445</v>
      </c>
      <c r="F439" s="18">
        <f t="shared" si="18"/>
        <v>0.26041666666424135</v>
      </c>
      <c r="G439" s="19">
        <f t="shared" si="19"/>
        <v>6.2499999999417923</v>
      </c>
      <c r="H439" s="20">
        <f t="shared" si="20"/>
        <v>374.99999999650754</v>
      </c>
    </row>
    <row r="440" spans="1:8" x14ac:dyDescent="0.25">
      <c r="A440">
        <v>446</v>
      </c>
      <c r="B440" t="s">
        <v>29</v>
      </c>
      <c r="C440">
        <v>1</v>
      </c>
      <c r="D440" t="s">
        <v>30</v>
      </c>
      <c r="E440" s="6">
        <v>46055.291666666664</v>
      </c>
      <c r="F440" s="18">
        <f t="shared" si="18"/>
        <v>3.4722222189884633E-3</v>
      </c>
      <c r="G440" s="19">
        <f t="shared" si="19"/>
        <v>8.3333333255723119E-2</v>
      </c>
      <c r="H440" s="20">
        <f t="shared" si="20"/>
        <v>4.9999999953433871</v>
      </c>
    </row>
    <row r="441" spans="1:8" x14ac:dyDescent="0.25">
      <c r="A441">
        <v>426</v>
      </c>
      <c r="B441" t="s">
        <v>29</v>
      </c>
      <c r="C441">
        <v>1</v>
      </c>
      <c r="D441" t="s">
        <v>35</v>
      </c>
      <c r="E441" s="6">
        <v>46055.3125</v>
      </c>
      <c r="F441" s="18">
        <f t="shared" si="18"/>
        <v>2.0833333335758653E-2</v>
      </c>
      <c r="G441" s="19">
        <f t="shared" si="19"/>
        <v>0.50000000005820766</v>
      </c>
      <c r="H441" s="20">
        <f t="shared" si="20"/>
        <v>30.00000000349246</v>
      </c>
    </row>
    <row r="442" spans="1:8" x14ac:dyDescent="0.25">
      <c r="A442">
        <v>444</v>
      </c>
      <c r="B442" t="s">
        <v>33</v>
      </c>
      <c r="C442">
        <v>1</v>
      </c>
      <c r="D442" t="s">
        <v>32</v>
      </c>
      <c r="E442" s="6">
        <v>46055.326388888891</v>
      </c>
      <c r="F442" s="18">
        <f t="shared" si="18"/>
        <v>1.3888888890505768E-2</v>
      </c>
      <c r="G442" s="19">
        <f t="shared" si="19"/>
        <v>0.33333333337213844</v>
      </c>
      <c r="H442" s="20">
        <f t="shared" si="20"/>
        <v>20.000000002328306</v>
      </c>
    </row>
    <row r="443" spans="1:8" x14ac:dyDescent="0.25">
      <c r="A443">
        <v>445</v>
      </c>
      <c r="B443" t="s">
        <v>31</v>
      </c>
      <c r="C443">
        <v>1</v>
      </c>
      <c r="D443" t="s">
        <v>32</v>
      </c>
      <c r="E443" s="6">
        <v>46055.347222222219</v>
      </c>
      <c r="F443" s="18">
        <f t="shared" si="18"/>
        <v>2.0833333328482695E-2</v>
      </c>
      <c r="G443" s="19">
        <f t="shared" si="19"/>
        <v>0.49999999988358468</v>
      </c>
      <c r="H443" s="20">
        <f t="shared" si="20"/>
        <v>29.999999993015081</v>
      </c>
    </row>
    <row r="444" spans="1:8" x14ac:dyDescent="0.25">
      <c r="A444">
        <v>448</v>
      </c>
      <c r="B444" t="s">
        <v>33</v>
      </c>
      <c r="C444">
        <v>1</v>
      </c>
      <c r="D444" t="s">
        <v>37</v>
      </c>
      <c r="E444" s="6">
        <v>46055.458333333336</v>
      </c>
      <c r="F444" s="18">
        <f t="shared" si="18"/>
        <v>0.11111111111677019</v>
      </c>
      <c r="G444" s="19">
        <f t="shared" si="19"/>
        <v>2.6666666668024845</v>
      </c>
      <c r="H444" s="20">
        <f t="shared" si="20"/>
        <v>160.00000000814907</v>
      </c>
    </row>
    <row r="445" spans="1:8" x14ac:dyDescent="0.25">
      <c r="A445">
        <v>459</v>
      </c>
      <c r="B445" t="s">
        <v>29</v>
      </c>
      <c r="C445">
        <v>1</v>
      </c>
      <c r="D445" t="s">
        <v>30</v>
      </c>
      <c r="E445" s="6">
        <v>46055.479166666664</v>
      </c>
      <c r="F445" s="18">
        <f t="shared" si="18"/>
        <v>2.0833333328482695E-2</v>
      </c>
      <c r="G445" s="19">
        <f t="shared" si="19"/>
        <v>0.49999999988358468</v>
      </c>
      <c r="H445" s="20">
        <f t="shared" si="20"/>
        <v>29.999999993015081</v>
      </c>
    </row>
    <row r="446" spans="1:8" x14ac:dyDescent="0.25">
      <c r="A446">
        <v>427</v>
      </c>
      <c r="B446" t="s">
        <v>29</v>
      </c>
      <c r="C446">
        <v>1</v>
      </c>
      <c r="D446" t="s">
        <v>36</v>
      </c>
      <c r="E446" s="6">
        <v>46055.482638888891</v>
      </c>
      <c r="F446" s="18">
        <f t="shared" si="18"/>
        <v>3.4722222262644209E-3</v>
      </c>
      <c r="G446" s="19">
        <f t="shared" si="19"/>
        <v>8.3333333430346102E-2</v>
      </c>
      <c r="H446" s="20">
        <f t="shared" si="20"/>
        <v>5.0000000058207661</v>
      </c>
    </row>
    <row r="447" spans="1:8" x14ac:dyDescent="0.25">
      <c r="A447">
        <v>457</v>
      </c>
      <c r="B447" t="s">
        <v>33</v>
      </c>
      <c r="C447">
        <v>1</v>
      </c>
      <c r="D447" t="s">
        <v>32</v>
      </c>
      <c r="E447" s="6">
        <v>46055.510416666664</v>
      </c>
      <c r="F447" s="18">
        <f t="shared" si="18"/>
        <v>2.7777777773735579E-2</v>
      </c>
      <c r="G447" s="19">
        <f t="shared" si="19"/>
        <v>0.6666666665696539</v>
      </c>
      <c r="H447" s="20">
        <f t="shared" si="20"/>
        <v>39.999999994179234</v>
      </c>
    </row>
    <row r="448" spans="1:8" x14ac:dyDescent="0.25">
      <c r="A448">
        <v>456</v>
      </c>
      <c r="B448" t="s">
        <v>33</v>
      </c>
      <c r="C448">
        <v>1</v>
      </c>
      <c r="D448" t="s">
        <v>30</v>
      </c>
      <c r="E448" s="6">
        <v>46055.555555555555</v>
      </c>
      <c r="F448" s="18">
        <f t="shared" si="18"/>
        <v>4.5138888890505768E-2</v>
      </c>
      <c r="G448" s="19">
        <f t="shared" si="19"/>
        <v>1.0833333333721384</v>
      </c>
      <c r="H448" s="20">
        <f t="shared" si="20"/>
        <v>65.000000002328306</v>
      </c>
    </row>
    <row r="449" spans="1:8" x14ac:dyDescent="0.25">
      <c r="A449">
        <v>447</v>
      </c>
      <c r="B449" t="s">
        <v>29</v>
      </c>
      <c r="C449">
        <v>1</v>
      </c>
      <c r="D449" t="s">
        <v>34</v>
      </c>
      <c r="E449" s="6">
        <v>46055.604861111111</v>
      </c>
      <c r="F449" s="18">
        <f t="shared" si="18"/>
        <v>4.9305555556202307E-2</v>
      </c>
      <c r="G449" s="19">
        <f t="shared" si="19"/>
        <v>1.1833333333488554</v>
      </c>
      <c r="H449" s="20">
        <f t="shared" si="20"/>
        <v>71.000000000931323</v>
      </c>
    </row>
    <row r="450" spans="1:8" x14ac:dyDescent="0.25">
      <c r="A450">
        <v>450</v>
      </c>
      <c r="B450" t="s">
        <v>33</v>
      </c>
      <c r="C450">
        <v>1</v>
      </c>
      <c r="D450" t="s">
        <v>36</v>
      </c>
      <c r="E450" s="6">
        <v>46055.611111111109</v>
      </c>
      <c r="F450" s="18">
        <f t="shared" si="18"/>
        <v>6.2499999985448085E-3</v>
      </c>
      <c r="G450" s="19">
        <f t="shared" si="19"/>
        <v>0.1499999999650754</v>
      </c>
      <c r="H450" s="20">
        <f t="shared" si="20"/>
        <v>8.9999999979045242</v>
      </c>
    </row>
    <row r="451" spans="1:8" x14ac:dyDescent="0.25">
      <c r="A451">
        <v>460</v>
      </c>
      <c r="B451" t="s">
        <v>29</v>
      </c>
      <c r="C451">
        <v>1</v>
      </c>
      <c r="D451" t="s">
        <v>30</v>
      </c>
      <c r="E451" s="6">
        <v>46055.677083333336</v>
      </c>
      <c r="F451" s="18">
        <f t="shared" si="18"/>
        <v>6.5972222226264421E-2</v>
      </c>
      <c r="G451" s="19">
        <f t="shared" si="19"/>
        <v>1.5833333334303461</v>
      </c>
      <c r="H451" s="20">
        <f t="shared" si="20"/>
        <v>95.000000005820766</v>
      </c>
    </row>
    <row r="452" spans="1:8" x14ac:dyDescent="0.25">
      <c r="A452">
        <v>467</v>
      </c>
      <c r="B452" t="s">
        <v>31</v>
      </c>
      <c r="C452">
        <v>1</v>
      </c>
      <c r="D452" t="s">
        <v>30</v>
      </c>
      <c r="E452" s="6">
        <v>46055.716666666667</v>
      </c>
      <c r="F452" s="18">
        <f t="shared" si="18"/>
        <v>3.9583333331393078E-2</v>
      </c>
      <c r="G452" s="19">
        <f t="shared" si="19"/>
        <v>0.94999999995343387</v>
      </c>
      <c r="H452" s="20">
        <f t="shared" si="20"/>
        <v>56.999999997206032</v>
      </c>
    </row>
    <row r="453" spans="1:8" x14ac:dyDescent="0.25">
      <c r="A453">
        <v>458</v>
      </c>
      <c r="B453" t="s">
        <v>33</v>
      </c>
      <c r="C453">
        <v>1</v>
      </c>
      <c r="D453" t="s">
        <v>30</v>
      </c>
      <c r="E453" s="6">
        <v>46055.736111111109</v>
      </c>
      <c r="F453" s="18">
        <f t="shared" ref="F453:F516" si="21">E453-E452</f>
        <v>1.9444444442342501E-2</v>
      </c>
      <c r="G453" s="19">
        <f t="shared" ref="G453:G516" si="22">F453*24</f>
        <v>0.46666666661622003</v>
      </c>
      <c r="H453" s="20">
        <f t="shared" ref="H453:H516" si="23">G453*60</f>
        <v>27.999999996973202</v>
      </c>
    </row>
    <row r="454" spans="1:8" x14ac:dyDescent="0.25">
      <c r="A454">
        <v>469</v>
      </c>
      <c r="B454" t="s">
        <v>31</v>
      </c>
      <c r="C454">
        <v>1</v>
      </c>
      <c r="D454" t="s">
        <v>30</v>
      </c>
      <c r="E454" s="6">
        <v>46055.895833333336</v>
      </c>
      <c r="F454" s="18">
        <f t="shared" si="21"/>
        <v>0.15972222222626442</v>
      </c>
      <c r="G454" s="19">
        <f t="shared" si="22"/>
        <v>3.8333333334303461</v>
      </c>
      <c r="H454" s="20">
        <f t="shared" si="23"/>
        <v>230.00000000582077</v>
      </c>
    </row>
    <row r="455" spans="1:8" x14ac:dyDescent="0.25">
      <c r="A455">
        <v>470</v>
      </c>
      <c r="B455" t="s">
        <v>29</v>
      </c>
      <c r="C455">
        <v>1</v>
      </c>
      <c r="D455" t="s">
        <v>35</v>
      </c>
      <c r="E455" s="6">
        <v>46055.901388888888</v>
      </c>
      <c r="F455" s="18">
        <f t="shared" si="21"/>
        <v>5.5555555518367328E-3</v>
      </c>
      <c r="G455" s="19">
        <f t="shared" si="22"/>
        <v>0.13333333324408159</v>
      </c>
      <c r="H455" s="20">
        <f t="shared" si="23"/>
        <v>7.9999999946448952</v>
      </c>
    </row>
    <row r="456" spans="1:8" x14ac:dyDescent="0.25">
      <c r="A456">
        <v>472</v>
      </c>
      <c r="B456" t="s">
        <v>33</v>
      </c>
      <c r="C456">
        <v>1</v>
      </c>
      <c r="D456" t="s">
        <v>37</v>
      </c>
      <c r="E456" s="6">
        <v>46055.954861111109</v>
      </c>
      <c r="F456" s="18">
        <f t="shared" si="21"/>
        <v>5.3472222221898846E-2</v>
      </c>
      <c r="G456" s="19">
        <f t="shared" si="22"/>
        <v>1.2833333333255723</v>
      </c>
      <c r="H456" s="20">
        <f t="shared" si="23"/>
        <v>76.999999999534339</v>
      </c>
    </row>
    <row r="457" spans="1:8" hidden="1" x14ac:dyDescent="0.25">
      <c r="A457">
        <v>468</v>
      </c>
      <c r="B457" t="s">
        <v>31</v>
      </c>
      <c r="C457">
        <v>1</v>
      </c>
      <c r="D457" t="s">
        <v>30</v>
      </c>
      <c r="E457" s="6">
        <v>46056.284722222219</v>
      </c>
      <c r="F457" s="18">
        <f t="shared" si="21"/>
        <v>0.32986111110949423</v>
      </c>
      <c r="G457" s="19">
        <f t="shared" si="22"/>
        <v>7.9166666666278616</v>
      </c>
      <c r="H457" s="20">
        <f t="shared" si="23"/>
        <v>474.99999999767169</v>
      </c>
    </row>
    <row r="458" spans="1:8" x14ac:dyDescent="0.25">
      <c r="A458">
        <v>356</v>
      </c>
      <c r="B458" t="s">
        <v>33</v>
      </c>
      <c r="C458">
        <v>1</v>
      </c>
      <c r="D458" t="s">
        <v>32</v>
      </c>
      <c r="E458" s="6">
        <v>46056.291666666664</v>
      </c>
      <c r="F458" s="18">
        <f t="shared" si="21"/>
        <v>6.9444444452528842E-3</v>
      </c>
      <c r="G458" s="19">
        <f t="shared" si="22"/>
        <v>0.16666666668606922</v>
      </c>
      <c r="H458" s="20">
        <f t="shared" si="23"/>
        <v>10.000000001164153</v>
      </c>
    </row>
    <row r="459" spans="1:8" x14ac:dyDescent="0.25">
      <c r="A459">
        <v>464</v>
      </c>
      <c r="B459" t="s">
        <v>33</v>
      </c>
      <c r="C459">
        <v>1</v>
      </c>
      <c r="D459" t="s">
        <v>36</v>
      </c>
      <c r="E459" s="6">
        <v>46056.295138888891</v>
      </c>
      <c r="F459" s="18">
        <f t="shared" si="21"/>
        <v>3.4722222262644209E-3</v>
      </c>
      <c r="G459" s="19">
        <f t="shared" si="22"/>
        <v>8.3333333430346102E-2</v>
      </c>
      <c r="H459" s="20">
        <f t="shared" si="23"/>
        <v>5.0000000058207661</v>
      </c>
    </row>
    <row r="460" spans="1:8" x14ac:dyDescent="0.25">
      <c r="A460">
        <v>286</v>
      </c>
      <c r="B460" t="s">
        <v>29</v>
      </c>
      <c r="C460">
        <v>1</v>
      </c>
      <c r="D460" t="s">
        <v>32</v>
      </c>
      <c r="E460" s="6">
        <v>46056.333333333336</v>
      </c>
      <c r="F460" s="18">
        <f t="shared" si="21"/>
        <v>3.8194444445252884E-2</v>
      </c>
      <c r="G460" s="19">
        <f t="shared" si="22"/>
        <v>0.91666666668606922</v>
      </c>
      <c r="H460" s="20">
        <f t="shared" si="23"/>
        <v>55.000000001164153</v>
      </c>
    </row>
    <row r="461" spans="1:8" hidden="1" x14ac:dyDescent="0.25">
      <c r="A461">
        <v>462</v>
      </c>
      <c r="B461" t="s">
        <v>29</v>
      </c>
      <c r="C461">
        <v>1</v>
      </c>
      <c r="D461" t="s">
        <v>35</v>
      </c>
      <c r="E461" s="6">
        <v>46056.333333333336</v>
      </c>
      <c r="F461" s="18">
        <f t="shared" si="21"/>
        <v>0</v>
      </c>
      <c r="G461" s="19">
        <f t="shared" si="22"/>
        <v>0</v>
      </c>
      <c r="H461" s="19">
        <f t="shared" si="23"/>
        <v>0</v>
      </c>
    </row>
    <row r="462" spans="1:8" x14ac:dyDescent="0.25">
      <c r="A462">
        <v>283</v>
      </c>
      <c r="B462" t="s">
        <v>29</v>
      </c>
      <c r="C462">
        <v>1</v>
      </c>
      <c r="D462" t="s">
        <v>34</v>
      </c>
      <c r="E462" s="6">
        <v>46056.334722222222</v>
      </c>
      <c r="F462" s="18">
        <f t="shared" si="21"/>
        <v>1.3888888861401938E-3</v>
      </c>
      <c r="G462" s="19">
        <f t="shared" si="22"/>
        <v>3.3333333267364651E-2</v>
      </c>
      <c r="H462" s="20">
        <f t="shared" si="23"/>
        <v>1.9999999960418791</v>
      </c>
    </row>
    <row r="463" spans="1:8" x14ac:dyDescent="0.25">
      <c r="A463">
        <v>357</v>
      </c>
      <c r="B463" t="s">
        <v>33</v>
      </c>
      <c r="C463">
        <v>1</v>
      </c>
      <c r="D463" t="s">
        <v>32</v>
      </c>
      <c r="E463" s="6">
        <v>46056.395833333336</v>
      </c>
      <c r="F463" s="18">
        <f t="shared" si="21"/>
        <v>6.1111111113859806E-2</v>
      </c>
      <c r="G463" s="19">
        <f t="shared" si="22"/>
        <v>1.4666666667326353</v>
      </c>
      <c r="H463" s="20">
        <f t="shared" si="23"/>
        <v>88.000000003958121</v>
      </c>
    </row>
    <row r="464" spans="1:8" x14ac:dyDescent="0.25">
      <c r="A464">
        <v>474</v>
      </c>
      <c r="B464" t="s">
        <v>29</v>
      </c>
      <c r="C464">
        <v>1</v>
      </c>
      <c r="D464" t="s">
        <v>35</v>
      </c>
      <c r="E464" s="6">
        <v>46056.416666666664</v>
      </c>
      <c r="F464" s="18">
        <f t="shared" si="21"/>
        <v>2.0833333328482695E-2</v>
      </c>
      <c r="G464" s="19">
        <f t="shared" si="22"/>
        <v>0.49999999988358468</v>
      </c>
      <c r="H464" s="20">
        <f t="shared" si="23"/>
        <v>29.999999993015081</v>
      </c>
    </row>
    <row r="465" spans="1:8" x14ac:dyDescent="0.25">
      <c r="A465">
        <v>475</v>
      </c>
      <c r="B465" t="s">
        <v>31</v>
      </c>
      <c r="C465">
        <v>1</v>
      </c>
      <c r="D465" t="s">
        <v>34</v>
      </c>
      <c r="E465" s="6">
        <v>46056.454861111109</v>
      </c>
      <c r="F465" s="18">
        <f t="shared" si="21"/>
        <v>3.8194444445252884E-2</v>
      </c>
      <c r="G465" s="19">
        <f t="shared" si="22"/>
        <v>0.91666666668606922</v>
      </c>
      <c r="H465" s="20">
        <f t="shared" si="23"/>
        <v>55.000000001164153</v>
      </c>
    </row>
    <row r="466" spans="1:8" x14ac:dyDescent="0.25">
      <c r="A466">
        <v>463</v>
      </c>
      <c r="B466" t="s">
        <v>33</v>
      </c>
      <c r="C466">
        <v>1</v>
      </c>
      <c r="D466" t="s">
        <v>36</v>
      </c>
      <c r="E466" s="6">
        <v>46056.458333333336</v>
      </c>
      <c r="F466" s="18">
        <f t="shared" si="21"/>
        <v>3.4722222262644209E-3</v>
      </c>
      <c r="G466" s="19">
        <f t="shared" si="22"/>
        <v>8.3333333430346102E-2</v>
      </c>
      <c r="H466" s="20">
        <f t="shared" si="23"/>
        <v>5.0000000058207661</v>
      </c>
    </row>
    <row r="467" spans="1:8" x14ac:dyDescent="0.25">
      <c r="A467">
        <v>477</v>
      </c>
      <c r="B467" t="s">
        <v>33</v>
      </c>
      <c r="C467">
        <v>1</v>
      </c>
      <c r="D467" t="s">
        <v>30</v>
      </c>
      <c r="E467" s="6">
        <v>46056.489583333336</v>
      </c>
      <c r="F467" s="18">
        <f t="shared" si="21"/>
        <v>3.125E-2</v>
      </c>
      <c r="G467" s="19">
        <f t="shared" si="22"/>
        <v>0.75</v>
      </c>
      <c r="H467" s="20">
        <f t="shared" si="23"/>
        <v>45</v>
      </c>
    </row>
    <row r="468" spans="1:8" x14ac:dyDescent="0.25">
      <c r="A468">
        <v>461</v>
      </c>
      <c r="B468" t="s">
        <v>33</v>
      </c>
      <c r="C468">
        <v>1</v>
      </c>
      <c r="D468" t="s">
        <v>35</v>
      </c>
      <c r="E468" s="6">
        <v>46056.506944444445</v>
      </c>
      <c r="F468" s="18">
        <f t="shared" si="21"/>
        <v>1.7361111109494232E-2</v>
      </c>
      <c r="G468" s="19">
        <f t="shared" si="22"/>
        <v>0.41666666662786156</v>
      </c>
      <c r="H468" s="20">
        <f t="shared" si="23"/>
        <v>24.999999997671694</v>
      </c>
    </row>
    <row r="469" spans="1:8" x14ac:dyDescent="0.25">
      <c r="A469">
        <v>473</v>
      </c>
      <c r="B469" t="s">
        <v>31</v>
      </c>
      <c r="C469">
        <v>1</v>
      </c>
      <c r="D469" t="s">
        <v>30</v>
      </c>
      <c r="E469" s="6">
        <v>46056.534722222219</v>
      </c>
      <c r="F469" s="18">
        <f t="shared" si="21"/>
        <v>2.7777777773735579E-2</v>
      </c>
      <c r="G469" s="19">
        <f t="shared" si="22"/>
        <v>0.6666666665696539</v>
      </c>
      <c r="H469" s="20">
        <f t="shared" si="23"/>
        <v>39.999999994179234</v>
      </c>
    </row>
    <row r="470" spans="1:8" x14ac:dyDescent="0.25">
      <c r="A470">
        <v>471</v>
      </c>
      <c r="B470" t="s">
        <v>31</v>
      </c>
      <c r="C470">
        <v>1</v>
      </c>
      <c r="D470" t="s">
        <v>34</v>
      </c>
      <c r="E470" s="6">
        <v>46056.555555555555</v>
      </c>
      <c r="F470" s="18">
        <f t="shared" si="21"/>
        <v>2.0833333335758653E-2</v>
      </c>
      <c r="G470" s="19">
        <f t="shared" si="22"/>
        <v>0.50000000005820766</v>
      </c>
      <c r="H470" s="20">
        <f t="shared" si="23"/>
        <v>30.00000000349246</v>
      </c>
    </row>
    <row r="471" spans="1:8" x14ac:dyDescent="0.25">
      <c r="A471">
        <v>478</v>
      </c>
      <c r="B471" t="s">
        <v>29</v>
      </c>
      <c r="C471">
        <v>1</v>
      </c>
      <c r="D471" t="s">
        <v>30</v>
      </c>
      <c r="E471" s="6">
        <v>46056.583333333336</v>
      </c>
      <c r="F471" s="18">
        <f t="shared" si="21"/>
        <v>2.7777777781011537E-2</v>
      </c>
      <c r="G471" s="19">
        <f t="shared" si="22"/>
        <v>0.66666666674427688</v>
      </c>
      <c r="H471" s="20">
        <f t="shared" si="23"/>
        <v>40.000000004656613</v>
      </c>
    </row>
    <row r="472" spans="1:8" x14ac:dyDescent="0.25">
      <c r="A472">
        <v>466</v>
      </c>
      <c r="B472" t="s">
        <v>29</v>
      </c>
      <c r="C472">
        <v>1</v>
      </c>
      <c r="D472" t="s">
        <v>30</v>
      </c>
      <c r="E472" s="6">
        <v>46056.71875</v>
      </c>
      <c r="F472" s="18">
        <f t="shared" si="21"/>
        <v>0.13541666666424135</v>
      </c>
      <c r="G472" s="19">
        <f t="shared" si="22"/>
        <v>3.2499999999417923</v>
      </c>
      <c r="H472" s="20">
        <f t="shared" si="23"/>
        <v>194.99999999650754</v>
      </c>
    </row>
    <row r="473" spans="1:8" x14ac:dyDescent="0.25">
      <c r="A473">
        <v>465</v>
      </c>
      <c r="B473" t="s">
        <v>33</v>
      </c>
      <c r="C473">
        <v>1</v>
      </c>
      <c r="D473" t="s">
        <v>32</v>
      </c>
      <c r="E473" s="6">
        <v>46056.75</v>
      </c>
      <c r="F473" s="18">
        <f t="shared" si="21"/>
        <v>3.125E-2</v>
      </c>
      <c r="G473" s="19">
        <f t="shared" si="22"/>
        <v>0.75</v>
      </c>
      <c r="H473" s="20">
        <f t="shared" si="23"/>
        <v>45</v>
      </c>
    </row>
    <row r="474" spans="1:8" x14ac:dyDescent="0.25">
      <c r="A474">
        <v>476</v>
      </c>
      <c r="B474" t="s">
        <v>29</v>
      </c>
      <c r="C474">
        <v>1</v>
      </c>
      <c r="D474" t="s">
        <v>30</v>
      </c>
      <c r="E474" s="6">
        <v>46056.895833333336</v>
      </c>
      <c r="F474" s="18">
        <f t="shared" si="21"/>
        <v>0.14583333333575865</v>
      </c>
      <c r="G474" s="19">
        <f t="shared" si="22"/>
        <v>3.5000000000582077</v>
      </c>
      <c r="H474" s="20">
        <f t="shared" si="23"/>
        <v>210.00000000349246</v>
      </c>
    </row>
    <row r="475" spans="1:8" x14ac:dyDescent="0.25">
      <c r="A475">
        <v>491</v>
      </c>
      <c r="B475" t="s">
        <v>29</v>
      </c>
      <c r="C475">
        <v>1</v>
      </c>
      <c r="D475" t="s">
        <v>30</v>
      </c>
      <c r="E475" s="6">
        <v>46056.909722222219</v>
      </c>
      <c r="F475" s="18">
        <f t="shared" si="21"/>
        <v>1.3888888883229811E-2</v>
      </c>
      <c r="G475" s="19">
        <f t="shared" si="22"/>
        <v>0.33333333319751546</v>
      </c>
      <c r="H475" s="20">
        <f t="shared" si="23"/>
        <v>19.999999991850927</v>
      </c>
    </row>
    <row r="476" spans="1:8" hidden="1" x14ac:dyDescent="0.25">
      <c r="A476">
        <v>492</v>
      </c>
      <c r="B476" t="s">
        <v>33</v>
      </c>
      <c r="C476">
        <v>1</v>
      </c>
      <c r="D476" t="s">
        <v>30</v>
      </c>
      <c r="E476" s="6">
        <v>46056.909722222219</v>
      </c>
      <c r="F476" s="18">
        <f t="shared" si="21"/>
        <v>0</v>
      </c>
      <c r="G476" s="19">
        <f t="shared" si="22"/>
        <v>0</v>
      </c>
      <c r="H476" s="19">
        <f t="shared" si="23"/>
        <v>0</v>
      </c>
    </row>
    <row r="477" spans="1:8" x14ac:dyDescent="0.25">
      <c r="A477">
        <v>493</v>
      </c>
      <c r="B477" t="s">
        <v>29</v>
      </c>
      <c r="C477">
        <v>1</v>
      </c>
      <c r="D477" t="s">
        <v>30</v>
      </c>
      <c r="E477" s="6">
        <v>46056.956944444442</v>
      </c>
      <c r="F477" s="18">
        <f t="shared" si="21"/>
        <v>4.7222222223354038E-2</v>
      </c>
      <c r="G477" s="19">
        <f t="shared" si="22"/>
        <v>1.1333333333604969</v>
      </c>
      <c r="H477" s="20">
        <f t="shared" si="23"/>
        <v>68.000000001629815</v>
      </c>
    </row>
    <row r="478" spans="1:8" hidden="1" x14ac:dyDescent="0.25">
      <c r="A478">
        <v>484</v>
      </c>
      <c r="B478" t="s">
        <v>31</v>
      </c>
      <c r="C478">
        <v>1</v>
      </c>
      <c r="D478" t="s">
        <v>30</v>
      </c>
      <c r="E478" s="6">
        <v>46057.291666666664</v>
      </c>
      <c r="F478" s="18">
        <f t="shared" si="21"/>
        <v>0.33472222222189885</v>
      </c>
      <c r="G478" s="19">
        <f t="shared" si="22"/>
        <v>8.0333333333255723</v>
      </c>
      <c r="H478" s="20">
        <f t="shared" si="23"/>
        <v>481.99999999953434</v>
      </c>
    </row>
    <row r="479" spans="1:8" hidden="1" x14ac:dyDescent="0.25">
      <c r="A479">
        <v>487</v>
      </c>
      <c r="B479" t="s">
        <v>31</v>
      </c>
      <c r="C479">
        <v>1</v>
      </c>
      <c r="D479" t="s">
        <v>30</v>
      </c>
      <c r="E479" s="6">
        <v>46057.291666666664</v>
      </c>
      <c r="F479" s="18">
        <f t="shared" si="21"/>
        <v>0</v>
      </c>
      <c r="G479" s="19">
        <f t="shared" si="22"/>
        <v>0</v>
      </c>
      <c r="H479" s="19">
        <f t="shared" si="23"/>
        <v>0</v>
      </c>
    </row>
    <row r="480" spans="1:8" x14ac:dyDescent="0.25">
      <c r="A480">
        <v>488</v>
      </c>
      <c r="B480" t="s">
        <v>33</v>
      </c>
      <c r="C480">
        <v>1</v>
      </c>
      <c r="D480" t="s">
        <v>36</v>
      </c>
      <c r="E480" s="6">
        <v>46057.29583333333</v>
      </c>
      <c r="F480" s="18">
        <f t="shared" si="21"/>
        <v>4.166666665696539E-3</v>
      </c>
      <c r="G480" s="19">
        <f t="shared" si="22"/>
        <v>9.9999999976716936E-2</v>
      </c>
      <c r="H480" s="20">
        <f t="shared" si="23"/>
        <v>5.9999999986030161</v>
      </c>
    </row>
    <row r="481" spans="1:8" x14ac:dyDescent="0.25">
      <c r="A481">
        <v>481</v>
      </c>
      <c r="B481" t="s">
        <v>33</v>
      </c>
      <c r="C481">
        <v>1</v>
      </c>
      <c r="D481" t="s">
        <v>32</v>
      </c>
      <c r="E481" s="6">
        <v>46057.326388888891</v>
      </c>
      <c r="F481" s="18">
        <f t="shared" si="21"/>
        <v>3.0555555560567882E-2</v>
      </c>
      <c r="G481" s="19">
        <f t="shared" si="22"/>
        <v>0.73333333345362917</v>
      </c>
      <c r="H481" s="20">
        <f t="shared" si="23"/>
        <v>44.00000000721775</v>
      </c>
    </row>
    <row r="482" spans="1:8" x14ac:dyDescent="0.25">
      <c r="A482">
        <v>494</v>
      </c>
      <c r="B482" t="s">
        <v>31</v>
      </c>
      <c r="C482">
        <v>1</v>
      </c>
      <c r="D482" t="s">
        <v>30</v>
      </c>
      <c r="E482" s="6">
        <v>46057.45</v>
      </c>
      <c r="F482" s="18">
        <f t="shared" si="21"/>
        <v>0.12361111110658385</v>
      </c>
      <c r="G482" s="19">
        <f t="shared" si="22"/>
        <v>2.9666666665580124</v>
      </c>
      <c r="H482" s="20">
        <f t="shared" si="23"/>
        <v>177.99999999348074</v>
      </c>
    </row>
    <row r="483" spans="1:8" x14ac:dyDescent="0.25">
      <c r="A483">
        <v>482</v>
      </c>
      <c r="B483" t="s">
        <v>33</v>
      </c>
      <c r="C483">
        <v>1</v>
      </c>
      <c r="D483" t="s">
        <v>35</v>
      </c>
      <c r="E483" s="6">
        <v>46057.451388888891</v>
      </c>
      <c r="F483" s="18">
        <f t="shared" si="21"/>
        <v>1.3888888934161514E-3</v>
      </c>
      <c r="G483" s="19">
        <f t="shared" si="22"/>
        <v>3.3333333441987634E-2</v>
      </c>
      <c r="H483" s="20">
        <f t="shared" si="23"/>
        <v>2.000000006519258</v>
      </c>
    </row>
    <row r="484" spans="1:8" x14ac:dyDescent="0.25">
      <c r="A484">
        <v>490</v>
      </c>
      <c r="B484" t="s">
        <v>29</v>
      </c>
      <c r="C484">
        <v>1</v>
      </c>
      <c r="D484" t="s">
        <v>35</v>
      </c>
      <c r="E484" s="6">
        <v>46057.465277777781</v>
      </c>
      <c r="F484" s="18">
        <f t="shared" si="21"/>
        <v>1.3888888890505768E-2</v>
      </c>
      <c r="G484" s="19">
        <f t="shared" si="22"/>
        <v>0.33333333337213844</v>
      </c>
      <c r="H484" s="20">
        <f t="shared" si="23"/>
        <v>20.000000002328306</v>
      </c>
    </row>
    <row r="485" spans="1:8" x14ac:dyDescent="0.25">
      <c r="A485">
        <v>483</v>
      </c>
      <c r="B485" t="s">
        <v>33</v>
      </c>
      <c r="C485">
        <v>1</v>
      </c>
      <c r="D485" t="s">
        <v>32</v>
      </c>
      <c r="E485" s="6">
        <v>46057.482638888891</v>
      </c>
      <c r="F485" s="18">
        <f t="shared" si="21"/>
        <v>1.7361111109494232E-2</v>
      </c>
      <c r="G485" s="19">
        <f t="shared" si="22"/>
        <v>0.41666666662786156</v>
      </c>
      <c r="H485" s="20">
        <f t="shared" si="23"/>
        <v>24.999999997671694</v>
      </c>
    </row>
    <row r="486" spans="1:8" x14ac:dyDescent="0.25">
      <c r="A486">
        <v>479</v>
      </c>
      <c r="B486" t="s">
        <v>29</v>
      </c>
      <c r="C486">
        <v>1</v>
      </c>
      <c r="D486" t="s">
        <v>35</v>
      </c>
      <c r="E486" s="6">
        <v>46057.5625</v>
      </c>
      <c r="F486" s="18">
        <f t="shared" si="21"/>
        <v>7.9861111109494232E-2</v>
      </c>
      <c r="G486" s="19">
        <f t="shared" si="22"/>
        <v>1.9166666666278616</v>
      </c>
      <c r="H486" s="20">
        <f t="shared" si="23"/>
        <v>114.99999999767169</v>
      </c>
    </row>
    <row r="487" spans="1:8" x14ac:dyDescent="0.25">
      <c r="A487">
        <v>480</v>
      </c>
      <c r="B487" t="s">
        <v>33</v>
      </c>
      <c r="C487">
        <v>1</v>
      </c>
      <c r="D487" t="s">
        <v>36</v>
      </c>
      <c r="E487" s="6">
        <v>46057.572916666664</v>
      </c>
      <c r="F487" s="18">
        <f t="shared" si="21"/>
        <v>1.0416666664241347E-2</v>
      </c>
      <c r="G487" s="19">
        <f t="shared" si="22"/>
        <v>0.24999999994179234</v>
      </c>
      <c r="H487" s="20">
        <f t="shared" si="23"/>
        <v>14.99999999650754</v>
      </c>
    </row>
    <row r="488" spans="1:8" x14ac:dyDescent="0.25">
      <c r="A488">
        <v>485</v>
      </c>
      <c r="B488" t="s">
        <v>33</v>
      </c>
      <c r="C488">
        <v>1</v>
      </c>
      <c r="D488" t="s">
        <v>30</v>
      </c>
      <c r="E488" s="6">
        <v>46057.604166666664</v>
      </c>
      <c r="F488" s="18">
        <f t="shared" si="21"/>
        <v>3.125E-2</v>
      </c>
      <c r="G488" s="19">
        <f t="shared" si="22"/>
        <v>0.75</v>
      </c>
      <c r="H488" s="20">
        <f t="shared" si="23"/>
        <v>45</v>
      </c>
    </row>
    <row r="489" spans="1:8" x14ac:dyDescent="0.25">
      <c r="A489">
        <v>495</v>
      </c>
      <c r="B489" t="s">
        <v>29</v>
      </c>
      <c r="C489">
        <v>1</v>
      </c>
      <c r="D489" t="s">
        <v>30</v>
      </c>
      <c r="E489" s="6">
        <v>46057.611111111109</v>
      </c>
      <c r="F489" s="18">
        <f t="shared" si="21"/>
        <v>6.9444444452528842E-3</v>
      </c>
      <c r="G489" s="19">
        <f t="shared" si="22"/>
        <v>0.16666666668606922</v>
      </c>
      <c r="H489" s="20">
        <f t="shared" si="23"/>
        <v>10.000000001164153</v>
      </c>
    </row>
    <row r="490" spans="1:8" hidden="1" x14ac:dyDescent="0.25">
      <c r="A490">
        <v>504</v>
      </c>
      <c r="B490" t="s">
        <v>33</v>
      </c>
      <c r="C490">
        <v>1</v>
      </c>
      <c r="D490" t="s">
        <v>34</v>
      </c>
      <c r="E490" s="6">
        <v>46057.861805555556</v>
      </c>
      <c r="F490" s="18">
        <f t="shared" si="21"/>
        <v>0.25069444444670808</v>
      </c>
      <c r="G490" s="19">
        <f t="shared" si="22"/>
        <v>6.0166666667209938</v>
      </c>
      <c r="H490" s="20">
        <f t="shared" si="23"/>
        <v>361.00000000325963</v>
      </c>
    </row>
    <row r="491" spans="1:8" x14ac:dyDescent="0.25">
      <c r="A491">
        <v>505</v>
      </c>
      <c r="B491" t="s">
        <v>31</v>
      </c>
      <c r="C491">
        <v>1</v>
      </c>
      <c r="D491" t="s">
        <v>34</v>
      </c>
      <c r="E491" s="6">
        <v>46057.977083333331</v>
      </c>
      <c r="F491" s="18">
        <f t="shared" si="21"/>
        <v>0.11527777777519077</v>
      </c>
      <c r="G491" s="19">
        <f t="shared" si="22"/>
        <v>2.7666666666045785</v>
      </c>
      <c r="H491" s="20">
        <f t="shared" si="23"/>
        <v>165.99999999627471</v>
      </c>
    </row>
    <row r="492" spans="1:8" hidden="1" x14ac:dyDescent="0.25">
      <c r="A492">
        <v>498</v>
      </c>
      <c r="B492" t="s">
        <v>31</v>
      </c>
      <c r="C492">
        <v>1</v>
      </c>
      <c r="D492" t="s">
        <v>35</v>
      </c>
      <c r="E492" s="6">
        <v>46058.291666666664</v>
      </c>
      <c r="F492" s="18">
        <f t="shared" si="21"/>
        <v>0.31458333333284827</v>
      </c>
      <c r="G492" s="19">
        <f t="shared" si="22"/>
        <v>7.5499999999883585</v>
      </c>
      <c r="H492" s="20">
        <f t="shared" si="23"/>
        <v>452.99999999930151</v>
      </c>
    </row>
    <row r="493" spans="1:8" x14ac:dyDescent="0.25">
      <c r="A493">
        <v>359</v>
      </c>
      <c r="B493" t="s">
        <v>33</v>
      </c>
      <c r="C493">
        <v>1</v>
      </c>
      <c r="D493" t="s">
        <v>32</v>
      </c>
      <c r="E493" s="6">
        <v>46058.29583333333</v>
      </c>
      <c r="F493" s="18">
        <f t="shared" si="21"/>
        <v>4.166666665696539E-3</v>
      </c>
      <c r="G493" s="19">
        <f t="shared" si="22"/>
        <v>9.9999999976716936E-2</v>
      </c>
      <c r="H493" s="20">
        <f t="shared" si="23"/>
        <v>5.9999999986030161</v>
      </c>
    </row>
    <row r="494" spans="1:8" x14ac:dyDescent="0.25">
      <c r="A494">
        <v>499</v>
      </c>
      <c r="B494" t="s">
        <v>33</v>
      </c>
      <c r="C494">
        <v>1</v>
      </c>
      <c r="D494" t="s">
        <v>34</v>
      </c>
      <c r="E494" s="6">
        <v>46058.298611111109</v>
      </c>
      <c r="F494" s="18">
        <f t="shared" si="21"/>
        <v>2.7777777795563452E-3</v>
      </c>
      <c r="G494" s="19">
        <f t="shared" si="22"/>
        <v>6.6666666709352285E-2</v>
      </c>
      <c r="H494" s="20">
        <f t="shared" si="23"/>
        <v>4.0000000025611371</v>
      </c>
    </row>
    <row r="495" spans="1:8" x14ac:dyDescent="0.25">
      <c r="A495">
        <v>501</v>
      </c>
      <c r="B495" t="s">
        <v>31</v>
      </c>
      <c r="C495">
        <v>1</v>
      </c>
      <c r="D495" t="s">
        <v>36</v>
      </c>
      <c r="E495" s="6">
        <v>46058.3125</v>
      </c>
      <c r="F495" s="18">
        <f t="shared" si="21"/>
        <v>1.3888888890505768E-2</v>
      </c>
      <c r="G495" s="19">
        <f t="shared" si="22"/>
        <v>0.33333333337213844</v>
      </c>
      <c r="H495" s="20">
        <f t="shared" si="23"/>
        <v>20.000000002328306</v>
      </c>
    </row>
    <row r="496" spans="1:8" x14ac:dyDescent="0.25">
      <c r="A496">
        <v>486</v>
      </c>
      <c r="B496" t="s">
        <v>29</v>
      </c>
      <c r="C496">
        <v>1</v>
      </c>
      <c r="D496" t="s">
        <v>36</v>
      </c>
      <c r="E496" s="6">
        <v>46058.319444444445</v>
      </c>
      <c r="F496" s="18">
        <f t="shared" si="21"/>
        <v>6.9444444452528842E-3</v>
      </c>
      <c r="G496" s="19">
        <f t="shared" si="22"/>
        <v>0.16666666668606922</v>
      </c>
      <c r="H496" s="20">
        <f t="shared" si="23"/>
        <v>10.000000001164153</v>
      </c>
    </row>
    <row r="497" spans="1:8" x14ac:dyDescent="0.25">
      <c r="A497">
        <v>409</v>
      </c>
      <c r="B497" t="s">
        <v>33</v>
      </c>
      <c r="C497">
        <v>1</v>
      </c>
      <c r="D497" t="s">
        <v>36</v>
      </c>
      <c r="E497" s="6">
        <v>46058.380555555559</v>
      </c>
      <c r="F497" s="18">
        <f t="shared" si="21"/>
        <v>6.1111111113859806E-2</v>
      </c>
      <c r="G497" s="19">
        <f t="shared" si="22"/>
        <v>1.4666666667326353</v>
      </c>
      <c r="H497" s="20">
        <f t="shared" si="23"/>
        <v>88.000000003958121</v>
      </c>
    </row>
    <row r="498" spans="1:8" x14ac:dyDescent="0.25">
      <c r="A498">
        <v>508</v>
      </c>
      <c r="B498" t="s">
        <v>31</v>
      </c>
      <c r="C498">
        <v>1</v>
      </c>
      <c r="D498" t="s">
        <v>32</v>
      </c>
      <c r="E498" s="6">
        <v>46058.392361111109</v>
      </c>
      <c r="F498" s="18">
        <f t="shared" si="21"/>
        <v>1.1805555550381541E-2</v>
      </c>
      <c r="G498" s="19">
        <f t="shared" si="22"/>
        <v>0.28333333320915699</v>
      </c>
      <c r="H498" s="20">
        <f t="shared" si="23"/>
        <v>16.999999992549419</v>
      </c>
    </row>
    <row r="499" spans="1:8" x14ac:dyDescent="0.25">
      <c r="A499">
        <v>511</v>
      </c>
      <c r="B499" t="s">
        <v>31</v>
      </c>
      <c r="C499">
        <v>1</v>
      </c>
      <c r="D499" t="s">
        <v>30</v>
      </c>
      <c r="E499" s="6">
        <v>46058.457638888889</v>
      </c>
      <c r="F499" s="18">
        <f t="shared" si="21"/>
        <v>6.5277777779556345E-2</v>
      </c>
      <c r="G499" s="19">
        <f t="shared" si="22"/>
        <v>1.5666666667093523</v>
      </c>
      <c r="H499" s="20">
        <f t="shared" si="23"/>
        <v>94.000000002561137</v>
      </c>
    </row>
    <row r="500" spans="1:8" x14ac:dyDescent="0.25">
      <c r="A500">
        <v>509</v>
      </c>
      <c r="B500" t="s">
        <v>33</v>
      </c>
      <c r="C500">
        <v>1</v>
      </c>
      <c r="D500" t="s">
        <v>36</v>
      </c>
      <c r="E500" s="6">
        <v>46058.458333333336</v>
      </c>
      <c r="F500" s="18">
        <f t="shared" si="21"/>
        <v>6.944444467080757E-4</v>
      </c>
      <c r="G500" s="19">
        <f t="shared" si="22"/>
        <v>1.6666666720993817E-2</v>
      </c>
      <c r="H500" s="20">
        <f t="shared" si="23"/>
        <v>1.000000003259629</v>
      </c>
    </row>
    <row r="501" spans="1:8" x14ac:dyDescent="0.25">
      <c r="A501">
        <v>507</v>
      </c>
      <c r="B501" t="s">
        <v>31</v>
      </c>
      <c r="C501">
        <v>1</v>
      </c>
      <c r="D501" t="s">
        <v>34</v>
      </c>
      <c r="E501" s="6">
        <v>46058.472222222219</v>
      </c>
      <c r="F501" s="18">
        <f t="shared" si="21"/>
        <v>1.3888888883229811E-2</v>
      </c>
      <c r="G501" s="19">
        <f t="shared" si="22"/>
        <v>0.33333333319751546</v>
      </c>
      <c r="H501" s="20">
        <f t="shared" si="23"/>
        <v>19.999999991850927</v>
      </c>
    </row>
    <row r="502" spans="1:8" x14ac:dyDescent="0.25">
      <c r="A502">
        <v>500</v>
      </c>
      <c r="B502" t="s">
        <v>29</v>
      </c>
      <c r="C502">
        <v>1</v>
      </c>
      <c r="D502" t="s">
        <v>35</v>
      </c>
      <c r="E502" s="6">
        <v>46058.486111111109</v>
      </c>
      <c r="F502" s="18">
        <f t="shared" si="21"/>
        <v>1.3888888890505768E-2</v>
      </c>
      <c r="G502" s="19">
        <f t="shared" si="22"/>
        <v>0.33333333337213844</v>
      </c>
      <c r="H502" s="20">
        <f t="shared" si="23"/>
        <v>20.000000002328306</v>
      </c>
    </row>
    <row r="503" spans="1:8" x14ac:dyDescent="0.25">
      <c r="A503">
        <v>510</v>
      </c>
      <c r="B503" t="s">
        <v>29</v>
      </c>
      <c r="C503">
        <v>1</v>
      </c>
      <c r="D503" t="s">
        <v>30</v>
      </c>
      <c r="E503" s="6">
        <v>46058.555555555555</v>
      </c>
      <c r="F503" s="18">
        <f t="shared" si="21"/>
        <v>6.9444444445252884E-2</v>
      </c>
      <c r="G503" s="19">
        <f t="shared" si="22"/>
        <v>1.6666666666860692</v>
      </c>
      <c r="H503" s="20">
        <f t="shared" si="23"/>
        <v>100.00000000116415</v>
      </c>
    </row>
    <row r="504" spans="1:8" x14ac:dyDescent="0.25">
      <c r="A504">
        <v>512</v>
      </c>
      <c r="B504" t="s">
        <v>33</v>
      </c>
      <c r="C504">
        <v>1</v>
      </c>
      <c r="D504" t="s">
        <v>32</v>
      </c>
      <c r="E504" s="6">
        <v>46058.5625</v>
      </c>
      <c r="F504" s="18">
        <f t="shared" si="21"/>
        <v>6.9444444452528842E-3</v>
      </c>
      <c r="G504" s="19">
        <f t="shared" si="22"/>
        <v>0.16666666668606922</v>
      </c>
      <c r="H504" s="20">
        <f t="shared" si="23"/>
        <v>10.000000001164153</v>
      </c>
    </row>
    <row r="505" spans="1:8" x14ac:dyDescent="0.25">
      <c r="A505">
        <v>514</v>
      </c>
      <c r="B505" t="s">
        <v>33</v>
      </c>
      <c r="C505">
        <v>1</v>
      </c>
      <c r="D505" t="s">
        <v>36</v>
      </c>
      <c r="E505" s="6">
        <v>46058.621527777781</v>
      </c>
      <c r="F505" s="18">
        <f t="shared" si="21"/>
        <v>5.9027777781011537E-2</v>
      </c>
      <c r="G505" s="19">
        <f t="shared" si="22"/>
        <v>1.4166666667442769</v>
      </c>
      <c r="H505" s="20">
        <f t="shared" si="23"/>
        <v>85.000000004656613</v>
      </c>
    </row>
    <row r="506" spans="1:8" x14ac:dyDescent="0.25">
      <c r="A506">
        <v>503</v>
      </c>
      <c r="B506" t="s">
        <v>33</v>
      </c>
      <c r="C506">
        <v>1</v>
      </c>
      <c r="D506" t="s">
        <v>35</v>
      </c>
      <c r="E506" s="6">
        <v>46058.635416666664</v>
      </c>
      <c r="F506" s="18">
        <f t="shared" si="21"/>
        <v>1.3888888883229811E-2</v>
      </c>
      <c r="G506" s="19">
        <f t="shared" si="22"/>
        <v>0.33333333319751546</v>
      </c>
      <c r="H506" s="20">
        <f t="shared" si="23"/>
        <v>19.999999991850927</v>
      </c>
    </row>
    <row r="507" spans="1:8" x14ac:dyDescent="0.25">
      <c r="A507">
        <v>506</v>
      </c>
      <c r="B507" t="s">
        <v>31</v>
      </c>
      <c r="C507">
        <v>1</v>
      </c>
      <c r="D507" t="s">
        <v>35</v>
      </c>
      <c r="E507" s="6">
        <v>46058.652777777781</v>
      </c>
      <c r="F507" s="18">
        <f t="shared" si="21"/>
        <v>1.7361111116770189E-2</v>
      </c>
      <c r="G507" s="19">
        <f t="shared" si="22"/>
        <v>0.41666666680248454</v>
      </c>
      <c r="H507" s="20">
        <f t="shared" si="23"/>
        <v>25.000000008149073</v>
      </c>
    </row>
    <row r="508" spans="1:8" x14ac:dyDescent="0.25">
      <c r="A508">
        <v>513</v>
      </c>
      <c r="B508" t="s">
        <v>29</v>
      </c>
      <c r="C508">
        <v>1</v>
      </c>
      <c r="D508" t="s">
        <v>30</v>
      </c>
      <c r="E508" s="6">
        <v>46058.670138888891</v>
      </c>
      <c r="F508" s="18">
        <f t="shared" si="21"/>
        <v>1.7361111109494232E-2</v>
      </c>
      <c r="G508" s="19">
        <f t="shared" si="22"/>
        <v>0.41666666662786156</v>
      </c>
      <c r="H508" s="20">
        <f t="shared" si="23"/>
        <v>24.999999997671694</v>
      </c>
    </row>
    <row r="509" spans="1:8" hidden="1" x14ac:dyDescent="0.25">
      <c r="A509">
        <v>521</v>
      </c>
      <c r="B509" t="s">
        <v>33</v>
      </c>
      <c r="C509">
        <v>1</v>
      </c>
      <c r="D509" t="s">
        <v>35</v>
      </c>
      <c r="E509" s="6">
        <v>46058.909722222219</v>
      </c>
      <c r="F509" s="18">
        <f t="shared" si="21"/>
        <v>0.23958333332848269</v>
      </c>
      <c r="G509" s="19">
        <f t="shared" si="22"/>
        <v>5.7499999998835847</v>
      </c>
      <c r="H509" s="20">
        <f t="shared" si="23"/>
        <v>344.99999999301508</v>
      </c>
    </row>
    <row r="510" spans="1:8" x14ac:dyDescent="0.25">
      <c r="A510">
        <v>522</v>
      </c>
      <c r="B510" t="s">
        <v>29</v>
      </c>
      <c r="C510">
        <v>1</v>
      </c>
      <c r="D510" t="s">
        <v>30</v>
      </c>
      <c r="E510" s="6">
        <v>46058.958333333336</v>
      </c>
      <c r="F510" s="18">
        <f t="shared" si="21"/>
        <v>4.8611111116770189E-2</v>
      </c>
      <c r="G510" s="19">
        <f t="shared" si="22"/>
        <v>1.1666666668024845</v>
      </c>
      <c r="H510" s="20">
        <f t="shared" si="23"/>
        <v>70.000000008149073</v>
      </c>
    </row>
    <row r="511" spans="1:8" x14ac:dyDescent="0.25">
      <c r="A511">
        <v>523</v>
      </c>
      <c r="B511" t="s">
        <v>33</v>
      </c>
      <c r="C511">
        <v>1</v>
      </c>
      <c r="D511" t="s">
        <v>30</v>
      </c>
      <c r="E511" s="6">
        <v>46059.013888888891</v>
      </c>
      <c r="F511" s="18">
        <f t="shared" si="21"/>
        <v>5.5555555554747116E-2</v>
      </c>
      <c r="G511" s="19">
        <f t="shared" si="22"/>
        <v>1.3333333333139308</v>
      </c>
      <c r="H511" s="20">
        <f t="shared" si="23"/>
        <v>79.999999998835847</v>
      </c>
    </row>
    <row r="512" spans="1:8" x14ac:dyDescent="0.25">
      <c r="A512">
        <v>524</v>
      </c>
      <c r="B512" t="s">
        <v>33</v>
      </c>
      <c r="C512">
        <v>1</v>
      </c>
      <c r="D512" t="s">
        <v>35</v>
      </c>
      <c r="E512" s="6">
        <v>46059.131944444445</v>
      </c>
      <c r="F512" s="18">
        <f t="shared" si="21"/>
        <v>0.11805555555474712</v>
      </c>
      <c r="G512" s="19">
        <f t="shared" si="22"/>
        <v>2.8333333333139308</v>
      </c>
      <c r="H512" s="20">
        <f t="shared" si="23"/>
        <v>169.99999999883585</v>
      </c>
    </row>
    <row r="513" spans="1:8" x14ac:dyDescent="0.25">
      <c r="A513">
        <v>517</v>
      </c>
      <c r="B513" t="s">
        <v>31</v>
      </c>
      <c r="C513">
        <v>1</v>
      </c>
      <c r="D513" t="s">
        <v>36</v>
      </c>
      <c r="E513" s="6">
        <v>46059.295138888891</v>
      </c>
      <c r="F513" s="18">
        <f t="shared" si="21"/>
        <v>0.16319444444525288</v>
      </c>
      <c r="G513" s="19">
        <f t="shared" si="22"/>
        <v>3.9166666666860692</v>
      </c>
      <c r="H513" s="20">
        <f t="shared" si="23"/>
        <v>235.00000000116415</v>
      </c>
    </row>
    <row r="514" spans="1:8" x14ac:dyDescent="0.25">
      <c r="A514">
        <v>516</v>
      </c>
      <c r="B514" t="s">
        <v>33</v>
      </c>
      <c r="C514">
        <v>1</v>
      </c>
      <c r="D514" t="s">
        <v>34</v>
      </c>
      <c r="E514" s="6">
        <v>46059.333333333336</v>
      </c>
      <c r="F514" s="18">
        <f t="shared" si="21"/>
        <v>3.8194444445252884E-2</v>
      </c>
      <c r="G514" s="19">
        <f t="shared" si="22"/>
        <v>0.91666666668606922</v>
      </c>
      <c r="H514" s="20">
        <f t="shared" si="23"/>
        <v>55.000000001164153</v>
      </c>
    </row>
    <row r="515" spans="1:8" hidden="1" x14ac:dyDescent="0.25">
      <c r="A515">
        <v>520</v>
      </c>
      <c r="B515" t="s">
        <v>29</v>
      </c>
      <c r="C515">
        <v>1</v>
      </c>
      <c r="D515" t="s">
        <v>30</v>
      </c>
      <c r="E515" s="6">
        <v>46059.333333333336</v>
      </c>
      <c r="F515" s="18">
        <f t="shared" si="21"/>
        <v>0</v>
      </c>
      <c r="G515" s="19">
        <f t="shared" si="22"/>
        <v>0</v>
      </c>
      <c r="H515" s="19">
        <f t="shared" si="23"/>
        <v>0</v>
      </c>
    </row>
    <row r="516" spans="1:8" x14ac:dyDescent="0.25">
      <c r="A516">
        <v>526</v>
      </c>
      <c r="B516" t="s">
        <v>33</v>
      </c>
      <c r="C516">
        <v>1</v>
      </c>
      <c r="D516" t="s">
        <v>30</v>
      </c>
      <c r="E516" s="6">
        <v>46059.390277777777</v>
      </c>
      <c r="F516" s="18">
        <f t="shared" si="21"/>
        <v>5.694444444088731E-2</v>
      </c>
      <c r="G516" s="19">
        <f t="shared" si="22"/>
        <v>1.3666666665812954</v>
      </c>
      <c r="H516" s="20">
        <f t="shared" si="23"/>
        <v>81.999999994877726</v>
      </c>
    </row>
    <row r="517" spans="1:8" x14ac:dyDescent="0.25">
      <c r="A517">
        <v>525</v>
      </c>
      <c r="B517" t="s">
        <v>29</v>
      </c>
      <c r="C517">
        <v>1</v>
      </c>
      <c r="D517" t="s">
        <v>32</v>
      </c>
      <c r="E517" s="6">
        <v>46059.444444444445</v>
      </c>
      <c r="F517" s="18">
        <f t="shared" ref="F517:F580" si="24">E517-E516</f>
        <v>5.4166666668606922E-2</v>
      </c>
      <c r="G517" s="19">
        <f t="shared" ref="G517:G580" si="25">F517*24</f>
        <v>1.3000000000465661</v>
      </c>
      <c r="H517" s="20">
        <f t="shared" ref="H517:H580" si="26">G517*60</f>
        <v>78.000000002793968</v>
      </c>
    </row>
    <row r="518" spans="1:8" x14ac:dyDescent="0.25">
      <c r="A518">
        <v>518</v>
      </c>
      <c r="B518" t="s">
        <v>29</v>
      </c>
      <c r="C518">
        <v>1</v>
      </c>
      <c r="D518" t="s">
        <v>35</v>
      </c>
      <c r="E518" s="6">
        <v>46059.482638888891</v>
      </c>
      <c r="F518" s="18">
        <f t="shared" si="24"/>
        <v>3.8194444445252884E-2</v>
      </c>
      <c r="G518" s="19">
        <f t="shared" si="25"/>
        <v>0.91666666668606922</v>
      </c>
      <c r="H518" s="20">
        <f t="shared" si="26"/>
        <v>55.000000001164153</v>
      </c>
    </row>
    <row r="519" spans="1:8" x14ac:dyDescent="0.25">
      <c r="A519">
        <v>389</v>
      </c>
      <c r="B519" t="s">
        <v>33</v>
      </c>
      <c r="C519">
        <v>1</v>
      </c>
      <c r="D519" t="s">
        <v>30</v>
      </c>
      <c r="E519" s="6">
        <v>46059.572916666664</v>
      </c>
      <c r="F519" s="18">
        <f t="shared" si="24"/>
        <v>9.0277777773735579E-2</v>
      </c>
      <c r="G519" s="19">
        <f t="shared" si="25"/>
        <v>2.1666666665696539</v>
      </c>
      <c r="H519" s="20">
        <f t="shared" si="26"/>
        <v>129.99999999417923</v>
      </c>
    </row>
    <row r="520" spans="1:8" hidden="1" x14ac:dyDescent="0.25">
      <c r="A520">
        <v>390</v>
      </c>
      <c r="B520" t="s">
        <v>31</v>
      </c>
      <c r="C520">
        <v>1</v>
      </c>
      <c r="D520" t="s">
        <v>30</v>
      </c>
      <c r="E520" s="6">
        <v>46059.572916666664</v>
      </c>
      <c r="F520" s="18">
        <f t="shared" si="24"/>
        <v>0</v>
      </c>
      <c r="G520" s="19">
        <f t="shared" si="25"/>
        <v>0</v>
      </c>
      <c r="H520" s="19">
        <f t="shared" si="26"/>
        <v>0</v>
      </c>
    </row>
    <row r="521" spans="1:8" x14ac:dyDescent="0.25">
      <c r="A521">
        <v>528</v>
      </c>
      <c r="B521" t="s">
        <v>33</v>
      </c>
      <c r="C521">
        <v>1</v>
      </c>
      <c r="D521" t="s">
        <v>32</v>
      </c>
      <c r="E521" s="6">
        <v>46059.659722222219</v>
      </c>
      <c r="F521" s="18">
        <f t="shared" si="24"/>
        <v>8.6805555554747116E-2</v>
      </c>
      <c r="G521" s="19">
        <f t="shared" si="25"/>
        <v>2.0833333333139308</v>
      </c>
      <c r="H521" s="20">
        <f t="shared" si="26"/>
        <v>124.99999999883585</v>
      </c>
    </row>
    <row r="522" spans="1:8" x14ac:dyDescent="0.25">
      <c r="A522">
        <v>529</v>
      </c>
      <c r="B522" t="s">
        <v>33</v>
      </c>
      <c r="C522">
        <v>1</v>
      </c>
      <c r="D522" t="s">
        <v>36</v>
      </c>
      <c r="E522" s="6">
        <v>46059.685416666667</v>
      </c>
      <c r="F522" s="18">
        <f t="shared" si="24"/>
        <v>2.5694444448163267E-2</v>
      </c>
      <c r="G522" s="19">
        <f t="shared" si="25"/>
        <v>0.61666666675591841</v>
      </c>
      <c r="H522" s="20">
        <f t="shared" si="26"/>
        <v>37.000000005355105</v>
      </c>
    </row>
    <row r="523" spans="1:8" x14ac:dyDescent="0.25">
      <c r="A523">
        <v>530</v>
      </c>
      <c r="B523" t="s">
        <v>33</v>
      </c>
      <c r="C523">
        <v>1</v>
      </c>
      <c r="D523" t="s">
        <v>30</v>
      </c>
      <c r="E523" s="6">
        <v>46059.729166666664</v>
      </c>
      <c r="F523" s="18">
        <f t="shared" si="24"/>
        <v>4.3749999997089617E-2</v>
      </c>
      <c r="G523" s="19">
        <f t="shared" si="25"/>
        <v>1.0499999999301508</v>
      </c>
      <c r="H523" s="20">
        <f t="shared" si="26"/>
        <v>62.999999995809048</v>
      </c>
    </row>
    <row r="524" spans="1:8" x14ac:dyDescent="0.25">
      <c r="A524">
        <v>519</v>
      </c>
      <c r="B524" t="s">
        <v>33</v>
      </c>
      <c r="C524">
        <v>1</v>
      </c>
      <c r="D524" t="s">
        <v>35</v>
      </c>
      <c r="E524" s="6">
        <v>46059.777777777781</v>
      </c>
      <c r="F524" s="18">
        <f t="shared" si="24"/>
        <v>4.8611111116770189E-2</v>
      </c>
      <c r="G524" s="19">
        <f t="shared" si="25"/>
        <v>1.1666666668024845</v>
      </c>
      <c r="H524" s="20">
        <f t="shared" si="26"/>
        <v>70.000000008149073</v>
      </c>
    </row>
    <row r="525" spans="1:8" x14ac:dyDescent="0.25">
      <c r="A525">
        <v>527</v>
      </c>
      <c r="B525" t="s">
        <v>31</v>
      </c>
      <c r="C525">
        <v>1</v>
      </c>
      <c r="D525" t="s">
        <v>30</v>
      </c>
      <c r="E525" s="6">
        <v>46059.871527777781</v>
      </c>
      <c r="F525" s="18">
        <f t="shared" si="24"/>
        <v>9.375E-2</v>
      </c>
      <c r="G525" s="19">
        <f t="shared" si="25"/>
        <v>2.25</v>
      </c>
      <c r="H525" s="20">
        <f t="shared" si="26"/>
        <v>135</v>
      </c>
    </row>
    <row r="526" spans="1:8" x14ac:dyDescent="0.25">
      <c r="A526">
        <v>532</v>
      </c>
      <c r="B526" t="s">
        <v>29</v>
      </c>
      <c r="C526">
        <v>1</v>
      </c>
      <c r="D526" t="s">
        <v>35</v>
      </c>
      <c r="E526" s="6">
        <v>46059.961805555555</v>
      </c>
      <c r="F526" s="18">
        <f t="shared" si="24"/>
        <v>9.0277777773735579E-2</v>
      </c>
      <c r="G526" s="19">
        <f t="shared" si="25"/>
        <v>2.1666666665696539</v>
      </c>
      <c r="H526" s="20">
        <f t="shared" si="26"/>
        <v>129.99999999417923</v>
      </c>
    </row>
    <row r="527" spans="1:8" x14ac:dyDescent="0.25">
      <c r="A527">
        <v>533</v>
      </c>
      <c r="B527" t="s">
        <v>33</v>
      </c>
      <c r="C527">
        <v>1</v>
      </c>
      <c r="D527" t="s">
        <v>34</v>
      </c>
      <c r="E527" s="6">
        <v>46060.125</v>
      </c>
      <c r="F527" s="18">
        <f t="shared" si="24"/>
        <v>0.16319444444525288</v>
      </c>
      <c r="G527" s="19">
        <f t="shared" si="25"/>
        <v>3.9166666666860692</v>
      </c>
      <c r="H527" s="20">
        <f t="shared" si="26"/>
        <v>235.00000000116415</v>
      </c>
    </row>
    <row r="528" spans="1:8" hidden="1" x14ac:dyDescent="0.25">
      <c r="A528">
        <v>531</v>
      </c>
      <c r="B528" t="s">
        <v>31</v>
      </c>
      <c r="C528">
        <v>1</v>
      </c>
      <c r="D528" t="s">
        <v>35</v>
      </c>
      <c r="E528" s="6">
        <v>46060.329861111109</v>
      </c>
      <c r="F528" s="18">
        <f t="shared" si="24"/>
        <v>0.20486111110949423</v>
      </c>
      <c r="G528" s="19">
        <f t="shared" si="25"/>
        <v>4.9166666666278616</v>
      </c>
      <c r="H528" s="20">
        <f t="shared" si="26"/>
        <v>294.99999999767169</v>
      </c>
    </row>
    <row r="529" spans="1:8" x14ac:dyDescent="0.25">
      <c r="A529">
        <v>534</v>
      </c>
      <c r="B529" t="s">
        <v>31</v>
      </c>
      <c r="C529">
        <v>1</v>
      </c>
      <c r="D529" t="s">
        <v>35</v>
      </c>
      <c r="E529" s="6">
        <v>46060.388888888891</v>
      </c>
      <c r="F529" s="18">
        <f t="shared" si="24"/>
        <v>5.9027777781011537E-2</v>
      </c>
      <c r="G529" s="19">
        <f t="shared" si="25"/>
        <v>1.4166666667442769</v>
      </c>
      <c r="H529" s="20">
        <f t="shared" si="26"/>
        <v>85.000000004656613</v>
      </c>
    </row>
    <row r="530" spans="1:8" hidden="1" x14ac:dyDescent="0.25">
      <c r="A530">
        <v>535</v>
      </c>
      <c r="B530" t="s">
        <v>29</v>
      </c>
      <c r="C530">
        <v>1</v>
      </c>
      <c r="D530" t="s">
        <v>35</v>
      </c>
      <c r="E530" s="6">
        <v>46060.388888888891</v>
      </c>
      <c r="F530" s="18">
        <f t="shared" si="24"/>
        <v>0</v>
      </c>
      <c r="G530" s="19">
        <f t="shared" si="25"/>
        <v>0</v>
      </c>
      <c r="H530" s="19">
        <f t="shared" si="26"/>
        <v>0</v>
      </c>
    </row>
    <row r="531" spans="1:8" x14ac:dyDescent="0.25">
      <c r="A531">
        <v>537</v>
      </c>
      <c r="B531" t="s">
        <v>29</v>
      </c>
      <c r="C531">
        <v>1</v>
      </c>
      <c r="D531" t="s">
        <v>36</v>
      </c>
      <c r="E531" s="6">
        <v>46060.395833333336</v>
      </c>
      <c r="F531" s="18">
        <f t="shared" si="24"/>
        <v>6.9444444452528842E-3</v>
      </c>
      <c r="G531" s="19">
        <f t="shared" si="25"/>
        <v>0.16666666668606922</v>
      </c>
      <c r="H531" s="20">
        <f t="shared" si="26"/>
        <v>10.000000001164153</v>
      </c>
    </row>
    <row r="532" spans="1:8" x14ac:dyDescent="0.25">
      <c r="A532">
        <v>536</v>
      </c>
      <c r="B532" t="s">
        <v>29</v>
      </c>
      <c r="C532">
        <v>1</v>
      </c>
      <c r="D532" t="s">
        <v>30</v>
      </c>
      <c r="E532" s="6">
        <v>46060.434027777781</v>
      </c>
      <c r="F532" s="18">
        <f t="shared" si="24"/>
        <v>3.8194444445252884E-2</v>
      </c>
      <c r="G532" s="19">
        <f t="shared" si="25"/>
        <v>0.91666666668606922</v>
      </c>
      <c r="H532" s="20">
        <f t="shared" si="26"/>
        <v>55.000000001164153</v>
      </c>
    </row>
    <row r="533" spans="1:8" x14ac:dyDescent="0.25">
      <c r="A533">
        <v>541</v>
      </c>
      <c r="B533" t="s">
        <v>33</v>
      </c>
      <c r="C533">
        <v>1</v>
      </c>
      <c r="D533" t="s">
        <v>36</v>
      </c>
      <c r="E533" s="6">
        <v>46060.506944444445</v>
      </c>
      <c r="F533" s="18">
        <f t="shared" si="24"/>
        <v>7.2916666664241347E-2</v>
      </c>
      <c r="G533" s="19">
        <f t="shared" si="25"/>
        <v>1.7499999999417923</v>
      </c>
      <c r="H533" s="20">
        <f t="shared" si="26"/>
        <v>104.99999999650754</v>
      </c>
    </row>
    <row r="534" spans="1:8" x14ac:dyDescent="0.25">
      <c r="A534">
        <v>540</v>
      </c>
      <c r="B534" t="s">
        <v>33</v>
      </c>
      <c r="C534">
        <v>1</v>
      </c>
      <c r="D534" t="s">
        <v>35</v>
      </c>
      <c r="E534" s="6">
        <v>46060.597222222219</v>
      </c>
      <c r="F534" s="18">
        <f t="shared" si="24"/>
        <v>9.0277777773735579E-2</v>
      </c>
      <c r="G534" s="19">
        <f t="shared" si="25"/>
        <v>2.1666666665696539</v>
      </c>
      <c r="H534" s="20">
        <f t="shared" si="26"/>
        <v>129.99999999417923</v>
      </c>
    </row>
    <row r="535" spans="1:8" x14ac:dyDescent="0.25">
      <c r="A535">
        <v>538</v>
      </c>
      <c r="B535" t="s">
        <v>31</v>
      </c>
      <c r="C535">
        <v>1</v>
      </c>
      <c r="D535" t="s">
        <v>30</v>
      </c>
      <c r="E535" s="6">
        <v>46060.643750000003</v>
      </c>
      <c r="F535" s="18">
        <f t="shared" si="24"/>
        <v>4.652777778392192E-2</v>
      </c>
      <c r="G535" s="19">
        <f t="shared" si="25"/>
        <v>1.1166666668141261</v>
      </c>
      <c r="H535" s="20">
        <f t="shared" si="26"/>
        <v>67.000000008847564</v>
      </c>
    </row>
    <row r="536" spans="1:8" x14ac:dyDescent="0.25">
      <c r="A536">
        <v>544</v>
      </c>
      <c r="B536" t="s">
        <v>29</v>
      </c>
      <c r="C536">
        <v>1</v>
      </c>
      <c r="D536" t="s">
        <v>30</v>
      </c>
      <c r="E536" s="6">
        <v>46060.652777777781</v>
      </c>
      <c r="F536" s="18">
        <f t="shared" si="24"/>
        <v>9.0277777781011537E-3</v>
      </c>
      <c r="G536" s="19">
        <f t="shared" si="25"/>
        <v>0.21666666667442769</v>
      </c>
      <c r="H536" s="20">
        <f t="shared" si="26"/>
        <v>13.000000000465661</v>
      </c>
    </row>
    <row r="537" spans="1:8" x14ac:dyDescent="0.25">
      <c r="A537">
        <v>546</v>
      </c>
      <c r="B537" t="s">
        <v>31</v>
      </c>
      <c r="C537">
        <v>1</v>
      </c>
      <c r="D537" t="s">
        <v>30</v>
      </c>
      <c r="E537" s="6">
        <v>46060.815972222219</v>
      </c>
      <c r="F537" s="18">
        <f t="shared" si="24"/>
        <v>0.16319444443797693</v>
      </c>
      <c r="G537" s="19">
        <f t="shared" si="25"/>
        <v>3.9166666665114462</v>
      </c>
      <c r="H537" s="20">
        <f t="shared" si="26"/>
        <v>234.99999999068677</v>
      </c>
    </row>
    <row r="538" spans="1:8" x14ac:dyDescent="0.25">
      <c r="A538">
        <v>545</v>
      </c>
      <c r="B538" t="s">
        <v>29</v>
      </c>
      <c r="C538">
        <v>1</v>
      </c>
      <c r="D538" t="s">
        <v>32</v>
      </c>
      <c r="E538" s="6">
        <v>46060.861111111109</v>
      </c>
      <c r="F538" s="18">
        <f t="shared" si="24"/>
        <v>4.5138888890505768E-2</v>
      </c>
      <c r="G538" s="19">
        <f t="shared" si="25"/>
        <v>1.0833333333721384</v>
      </c>
      <c r="H538" s="20">
        <f t="shared" si="26"/>
        <v>65.000000002328306</v>
      </c>
    </row>
    <row r="539" spans="1:8" x14ac:dyDescent="0.25">
      <c r="A539">
        <v>539</v>
      </c>
      <c r="B539" t="s">
        <v>33</v>
      </c>
      <c r="C539">
        <v>1</v>
      </c>
      <c r="D539" t="s">
        <v>30</v>
      </c>
      <c r="E539" s="6">
        <v>46060.916666666664</v>
      </c>
      <c r="F539" s="18">
        <f t="shared" si="24"/>
        <v>5.5555555554747116E-2</v>
      </c>
      <c r="G539" s="19">
        <f t="shared" si="25"/>
        <v>1.3333333333139308</v>
      </c>
      <c r="H539" s="20">
        <f t="shared" si="26"/>
        <v>79.999999998835847</v>
      </c>
    </row>
    <row r="540" spans="1:8" x14ac:dyDescent="0.25">
      <c r="A540">
        <v>547</v>
      </c>
      <c r="B540" t="s">
        <v>29</v>
      </c>
      <c r="C540">
        <v>1</v>
      </c>
      <c r="D540" t="s">
        <v>30</v>
      </c>
      <c r="E540" s="6">
        <v>46061.052083333336</v>
      </c>
      <c r="F540" s="18">
        <f t="shared" si="24"/>
        <v>0.13541666667151731</v>
      </c>
      <c r="G540" s="19">
        <f t="shared" si="25"/>
        <v>3.2500000001164153</v>
      </c>
      <c r="H540" s="20">
        <f t="shared" si="26"/>
        <v>195.00000000698492</v>
      </c>
    </row>
    <row r="541" spans="1:8" hidden="1" x14ac:dyDescent="0.25">
      <c r="A541">
        <v>542</v>
      </c>
      <c r="B541" t="s">
        <v>31</v>
      </c>
      <c r="C541">
        <v>1</v>
      </c>
      <c r="D541" t="s">
        <v>30</v>
      </c>
      <c r="E541" s="6">
        <v>46061.34375</v>
      </c>
      <c r="F541" s="18">
        <f t="shared" si="24"/>
        <v>0.29166666666424135</v>
      </c>
      <c r="G541" s="19">
        <f t="shared" si="25"/>
        <v>6.9999999999417923</v>
      </c>
      <c r="H541" s="20">
        <f t="shared" si="26"/>
        <v>419.99999999650754</v>
      </c>
    </row>
    <row r="542" spans="1:8" x14ac:dyDescent="0.25">
      <c r="A542">
        <v>548</v>
      </c>
      <c r="B542" t="s">
        <v>29</v>
      </c>
      <c r="C542">
        <v>1</v>
      </c>
      <c r="D542" t="s">
        <v>36</v>
      </c>
      <c r="E542" s="6">
        <v>46061.409722222219</v>
      </c>
      <c r="F542" s="18">
        <f t="shared" si="24"/>
        <v>6.5972222218988463E-2</v>
      </c>
      <c r="G542" s="19">
        <f t="shared" si="25"/>
        <v>1.5833333332557231</v>
      </c>
      <c r="H542" s="20">
        <f t="shared" si="26"/>
        <v>94.999999995343387</v>
      </c>
    </row>
    <row r="543" spans="1:8" x14ac:dyDescent="0.25">
      <c r="A543">
        <v>543</v>
      </c>
      <c r="B543" t="s">
        <v>33</v>
      </c>
      <c r="C543">
        <v>1</v>
      </c>
      <c r="D543" t="s">
        <v>30</v>
      </c>
      <c r="E543" s="6">
        <v>46061.466666666667</v>
      </c>
      <c r="F543" s="18">
        <f t="shared" si="24"/>
        <v>5.6944444448163267E-2</v>
      </c>
      <c r="G543" s="19">
        <f t="shared" si="25"/>
        <v>1.3666666667559184</v>
      </c>
      <c r="H543" s="20">
        <f t="shared" si="26"/>
        <v>82.000000005355105</v>
      </c>
    </row>
    <row r="544" spans="1:8" x14ac:dyDescent="0.25">
      <c r="A544">
        <v>554</v>
      </c>
      <c r="B544" t="s">
        <v>29</v>
      </c>
      <c r="C544">
        <v>1</v>
      </c>
      <c r="D544" t="s">
        <v>34</v>
      </c>
      <c r="E544" s="6">
        <v>46061.559027777781</v>
      </c>
      <c r="F544" s="18">
        <f t="shared" si="24"/>
        <v>9.2361111113859806E-2</v>
      </c>
      <c r="G544" s="19">
        <f t="shared" si="25"/>
        <v>2.2166666667326353</v>
      </c>
      <c r="H544" s="20">
        <f t="shared" si="26"/>
        <v>133.00000000395812</v>
      </c>
    </row>
    <row r="545" spans="1:8" x14ac:dyDescent="0.25">
      <c r="A545">
        <v>549</v>
      </c>
      <c r="B545" t="s">
        <v>29</v>
      </c>
      <c r="C545">
        <v>1</v>
      </c>
      <c r="D545" t="s">
        <v>30</v>
      </c>
      <c r="E545" s="6">
        <v>46061.631944444445</v>
      </c>
      <c r="F545" s="18">
        <f t="shared" si="24"/>
        <v>7.2916666664241347E-2</v>
      </c>
      <c r="G545" s="19">
        <f t="shared" si="25"/>
        <v>1.7499999999417923</v>
      </c>
      <c r="H545" s="20">
        <f t="shared" si="26"/>
        <v>104.99999999650754</v>
      </c>
    </row>
    <row r="546" spans="1:8" x14ac:dyDescent="0.25">
      <c r="A546">
        <v>555</v>
      </c>
      <c r="B546" t="s">
        <v>29</v>
      </c>
      <c r="C546">
        <v>1</v>
      </c>
      <c r="D546" t="s">
        <v>36</v>
      </c>
      <c r="E546" s="6">
        <v>46061.663194444445</v>
      </c>
      <c r="F546" s="18">
        <f t="shared" si="24"/>
        <v>3.125E-2</v>
      </c>
      <c r="G546" s="19">
        <f t="shared" si="25"/>
        <v>0.75</v>
      </c>
      <c r="H546" s="20">
        <f t="shared" si="26"/>
        <v>45</v>
      </c>
    </row>
    <row r="547" spans="1:8" x14ac:dyDescent="0.25">
      <c r="A547">
        <v>550</v>
      </c>
      <c r="B547" t="s">
        <v>31</v>
      </c>
      <c r="C547">
        <v>1</v>
      </c>
      <c r="D547" t="s">
        <v>30</v>
      </c>
      <c r="E547" s="6">
        <v>46061.84375</v>
      </c>
      <c r="F547" s="18">
        <f t="shared" si="24"/>
        <v>0.18055555555474712</v>
      </c>
      <c r="G547" s="19">
        <f t="shared" si="25"/>
        <v>4.3333333333139308</v>
      </c>
      <c r="H547" s="20">
        <f t="shared" si="26"/>
        <v>259.99999999883585</v>
      </c>
    </row>
    <row r="548" spans="1:8" x14ac:dyDescent="0.25">
      <c r="A548">
        <v>552</v>
      </c>
      <c r="B548" t="s">
        <v>29</v>
      </c>
      <c r="C548">
        <v>1</v>
      </c>
      <c r="D548" t="s">
        <v>30</v>
      </c>
      <c r="E548" s="6">
        <v>46061.915972222225</v>
      </c>
      <c r="F548" s="18">
        <f t="shared" si="24"/>
        <v>7.2222222224809229E-2</v>
      </c>
      <c r="G548" s="19">
        <f t="shared" si="25"/>
        <v>1.7333333333954215</v>
      </c>
      <c r="H548" s="20">
        <f t="shared" si="26"/>
        <v>104.00000000372529</v>
      </c>
    </row>
    <row r="549" spans="1:8" x14ac:dyDescent="0.25">
      <c r="A549">
        <v>557</v>
      </c>
      <c r="B549" t="s">
        <v>31</v>
      </c>
      <c r="C549">
        <v>1</v>
      </c>
      <c r="D549" t="s">
        <v>30</v>
      </c>
      <c r="E549" s="6">
        <v>46062.027777777781</v>
      </c>
      <c r="F549" s="18">
        <f t="shared" si="24"/>
        <v>0.11180555555620231</v>
      </c>
      <c r="G549" s="19">
        <f t="shared" si="25"/>
        <v>2.6833333333488554</v>
      </c>
      <c r="H549" s="20">
        <f t="shared" si="26"/>
        <v>161.00000000093132</v>
      </c>
    </row>
    <row r="550" spans="1:8" x14ac:dyDescent="0.25">
      <c r="A550">
        <v>558</v>
      </c>
      <c r="B550" t="s">
        <v>31</v>
      </c>
      <c r="C550">
        <v>1</v>
      </c>
      <c r="D550" t="s">
        <v>36</v>
      </c>
      <c r="E550" s="6">
        <v>46062.104166666664</v>
      </c>
      <c r="F550" s="18">
        <f t="shared" si="24"/>
        <v>7.6388888883229811E-2</v>
      </c>
      <c r="G550" s="19">
        <f t="shared" si="25"/>
        <v>1.8333333331975155</v>
      </c>
      <c r="H550" s="20">
        <f t="shared" si="26"/>
        <v>109.99999999185093</v>
      </c>
    </row>
    <row r="551" spans="1:8" x14ac:dyDescent="0.25">
      <c r="A551">
        <v>556</v>
      </c>
      <c r="B551" t="s">
        <v>33</v>
      </c>
      <c r="C551">
        <v>1</v>
      </c>
      <c r="D551" t="s">
        <v>30</v>
      </c>
      <c r="E551" s="6">
        <v>46062.284722222219</v>
      </c>
      <c r="F551" s="18">
        <f t="shared" si="24"/>
        <v>0.18055555555474712</v>
      </c>
      <c r="G551" s="19">
        <f t="shared" si="25"/>
        <v>4.3333333333139308</v>
      </c>
      <c r="H551" s="20">
        <f t="shared" si="26"/>
        <v>259.99999999883585</v>
      </c>
    </row>
    <row r="552" spans="1:8" x14ac:dyDescent="0.25">
      <c r="A552">
        <v>553</v>
      </c>
      <c r="B552" t="s">
        <v>31</v>
      </c>
      <c r="C552">
        <v>1</v>
      </c>
      <c r="D552" t="s">
        <v>32</v>
      </c>
      <c r="E552" s="6">
        <v>46062.291666666664</v>
      </c>
      <c r="F552" s="18">
        <f t="shared" si="24"/>
        <v>6.9444444452528842E-3</v>
      </c>
      <c r="G552" s="19">
        <f t="shared" si="25"/>
        <v>0.16666666668606922</v>
      </c>
      <c r="H552" s="20">
        <f t="shared" si="26"/>
        <v>10.000000001164153</v>
      </c>
    </row>
    <row r="553" spans="1:8" hidden="1" x14ac:dyDescent="0.25">
      <c r="A553">
        <v>551</v>
      </c>
      <c r="B553" t="s">
        <v>31</v>
      </c>
      <c r="C553">
        <v>1</v>
      </c>
      <c r="D553" t="s">
        <v>32</v>
      </c>
      <c r="E553" s="6">
        <v>46062.510416666664</v>
      </c>
      <c r="F553" s="18">
        <f t="shared" si="24"/>
        <v>0.21875</v>
      </c>
      <c r="G553" s="19">
        <f t="shared" si="25"/>
        <v>5.25</v>
      </c>
      <c r="H553" s="20">
        <f t="shared" si="26"/>
        <v>315</v>
      </c>
    </row>
    <row r="554" spans="1:8" x14ac:dyDescent="0.25">
      <c r="A554">
        <v>560</v>
      </c>
      <c r="B554" t="s">
        <v>33</v>
      </c>
      <c r="C554">
        <v>1</v>
      </c>
      <c r="D554" t="s">
        <v>30</v>
      </c>
      <c r="E554" s="6">
        <v>46062.524305555555</v>
      </c>
      <c r="F554" s="18">
        <f t="shared" si="24"/>
        <v>1.3888888890505768E-2</v>
      </c>
      <c r="G554" s="19">
        <f t="shared" si="25"/>
        <v>0.33333333337213844</v>
      </c>
      <c r="H554" s="20">
        <f t="shared" si="26"/>
        <v>20.000000002328306</v>
      </c>
    </row>
    <row r="555" spans="1:8" x14ac:dyDescent="0.25">
      <c r="A555">
        <v>571</v>
      </c>
      <c r="B555" t="s">
        <v>31</v>
      </c>
      <c r="C555">
        <v>1</v>
      </c>
      <c r="D555" t="s">
        <v>30</v>
      </c>
      <c r="E555" s="6">
        <v>46062.708333333336</v>
      </c>
      <c r="F555" s="18">
        <f t="shared" si="24"/>
        <v>0.18402777778101154</v>
      </c>
      <c r="G555" s="19">
        <f t="shared" si="25"/>
        <v>4.4166666667442769</v>
      </c>
      <c r="H555" s="20">
        <f t="shared" si="26"/>
        <v>265.00000000465661</v>
      </c>
    </row>
    <row r="556" spans="1:8" x14ac:dyDescent="0.25">
      <c r="A556">
        <v>561</v>
      </c>
      <c r="B556" t="s">
        <v>33</v>
      </c>
      <c r="C556">
        <v>1</v>
      </c>
      <c r="D556" t="s">
        <v>36</v>
      </c>
      <c r="E556" s="6">
        <v>46062.722222222219</v>
      </c>
      <c r="F556" s="18">
        <f t="shared" si="24"/>
        <v>1.3888888883229811E-2</v>
      </c>
      <c r="G556" s="19">
        <f t="shared" si="25"/>
        <v>0.33333333319751546</v>
      </c>
      <c r="H556" s="20">
        <f t="shared" si="26"/>
        <v>19.999999991850927</v>
      </c>
    </row>
    <row r="557" spans="1:8" x14ac:dyDescent="0.25">
      <c r="A557">
        <v>559</v>
      </c>
      <c r="B557" t="s">
        <v>33</v>
      </c>
      <c r="C557">
        <v>1</v>
      </c>
      <c r="D557" t="s">
        <v>30</v>
      </c>
      <c r="E557" s="6">
        <v>46062.9</v>
      </c>
      <c r="F557" s="18">
        <f t="shared" si="24"/>
        <v>0.17777777778246673</v>
      </c>
      <c r="G557" s="19">
        <f t="shared" si="25"/>
        <v>4.2666666667792015</v>
      </c>
      <c r="H557" s="20">
        <f t="shared" si="26"/>
        <v>256.00000000675209</v>
      </c>
    </row>
    <row r="558" spans="1:8" hidden="1" x14ac:dyDescent="0.25">
      <c r="A558">
        <v>515</v>
      </c>
      <c r="B558" t="s">
        <v>33</v>
      </c>
      <c r="C558">
        <v>1</v>
      </c>
      <c r="D558" t="s">
        <v>32</v>
      </c>
      <c r="E558" s="6">
        <v>46063.288194444445</v>
      </c>
      <c r="F558" s="18">
        <f t="shared" si="24"/>
        <v>0.38819444444379769</v>
      </c>
      <c r="G558" s="19">
        <f t="shared" si="25"/>
        <v>9.3166666666511446</v>
      </c>
      <c r="H558" s="20">
        <f t="shared" si="26"/>
        <v>558.99999999906868</v>
      </c>
    </row>
    <row r="559" spans="1:8" x14ac:dyDescent="0.25">
      <c r="A559">
        <v>563</v>
      </c>
      <c r="B559" t="s">
        <v>31</v>
      </c>
      <c r="C559">
        <v>1</v>
      </c>
      <c r="D559" t="s">
        <v>37</v>
      </c>
      <c r="E559" s="6">
        <v>46063.291666666664</v>
      </c>
      <c r="F559" s="18">
        <f t="shared" si="24"/>
        <v>3.4722222189884633E-3</v>
      </c>
      <c r="G559" s="19">
        <f t="shared" si="25"/>
        <v>8.3333333255723119E-2</v>
      </c>
      <c r="H559" s="20">
        <f t="shared" si="26"/>
        <v>4.9999999953433871</v>
      </c>
    </row>
    <row r="560" spans="1:8" hidden="1" x14ac:dyDescent="0.25">
      <c r="A560">
        <v>573</v>
      </c>
      <c r="B560" t="s">
        <v>29</v>
      </c>
      <c r="C560">
        <v>1</v>
      </c>
      <c r="D560" t="s">
        <v>30</v>
      </c>
      <c r="E560" s="6">
        <v>46063.291666666664</v>
      </c>
      <c r="F560" s="18">
        <f t="shared" si="24"/>
        <v>0</v>
      </c>
      <c r="G560" s="19">
        <f t="shared" si="25"/>
        <v>0</v>
      </c>
      <c r="H560" s="19">
        <f t="shared" si="26"/>
        <v>0</v>
      </c>
    </row>
    <row r="561" spans="1:8" x14ac:dyDescent="0.25">
      <c r="A561">
        <v>564</v>
      </c>
      <c r="B561" t="s">
        <v>31</v>
      </c>
      <c r="C561">
        <v>1</v>
      </c>
      <c r="D561" t="s">
        <v>32</v>
      </c>
      <c r="E561" s="6">
        <v>46063.331944444442</v>
      </c>
      <c r="F561" s="18">
        <f t="shared" si="24"/>
        <v>4.0277777778101154E-2</v>
      </c>
      <c r="G561" s="19">
        <f t="shared" si="25"/>
        <v>0.96666666667442769</v>
      </c>
      <c r="H561" s="20">
        <f t="shared" si="26"/>
        <v>58.000000000465661</v>
      </c>
    </row>
    <row r="562" spans="1:8" x14ac:dyDescent="0.25">
      <c r="A562">
        <v>569</v>
      </c>
      <c r="B562" t="s">
        <v>33</v>
      </c>
      <c r="C562">
        <v>1</v>
      </c>
      <c r="D562" t="s">
        <v>32</v>
      </c>
      <c r="E562" s="6">
        <v>46063.333333333336</v>
      </c>
      <c r="F562" s="18">
        <f t="shared" si="24"/>
        <v>1.3888888934161514E-3</v>
      </c>
      <c r="G562" s="19">
        <f t="shared" si="25"/>
        <v>3.3333333441987634E-2</v>
      </c>
      <c r="H562" s="20">
        <f t="shared" si="26"/>
        <v>2.000000006519258</v>
      </c>
    </row>
    <row r="563" spans="1:8" x14ac:dyDescent="0.25">
      <c r="A563">
        <v>574</v>
      </c>
      <c r="B563" t="s">
        <v>29</v>
      </c>
      <c r="C563">
        <v>1</v>
      </c>
      <c r="D563" t="s">
        <v>32</v>
      </c>
      <c r="E563" s="6">
        <v>46063.336805555555</v>
      </c>
      <c r="F563" s="18">
        <f t="shared" si="24"/>
        <v>3.4722222189884633E-3</v>
      </c>
      <c r="G563" s="19">
        <f t="shared" si="25"/>
        <v>8.3333333255723119E-2</v>
      </c>
      <c r="H563" s="20">
        <f t="shared" si="26"/>
        <v>4.9999999953433871</v>
      </c>
    </row>
    <row r="564" spans="1:8" x14ac:dyDescent="0.25">
      <c r="A564">
        <v>562</v>
      </c>
      <c r="B564" t="s">
        <v>33</v>
      </c>
      <c r="C564">
        <v>1</v>
      </c>
      <c r="D564" t="s">
        <v>30</v>
      </c>
      <c r="E564" s="6">
        <v>46063.423611111109</v>
      </c>
      <c r="F564" s="18">
        <f t="shared" si="24"/>
        <v>8.6805555554747116E-2</v>
      </c>
      <c r="G564" s="19">
        <f t="shared" si="25"/>
        <v>2.0833333333139308</v>
      </c>
      <c r="H564" s="20">
        <f t="shared" si="26"/>
        <v>124.99999999883585</v>
      </c>
    </row>
    <row r="565" spans="1:8" x14ac:dyDescent="0.25">
      <c r="A565">
        <v>566</v>
      </c>
      <c r="B565" t="s">
        <v>31</v>
      </c>
      <c r="C565">
        <v>1</v>
      </c>
      <c r="D565" t="s">
        <v>30</v>
      </c>
      <c r="E565" s="6">
        <v>46063.46875</v>
      </c>
      <c r="F565" s="18">
        <f t="shared" si="24"/>
        <v>4.5138888890505768E-2</v>
      </c>
      <c r="G565" s="19">
        <f t="shared" si="25"/>
        <v>1.0833333333721384</v>
      </c>
      <c r="H565" s="20">
        <f t="shared" si="26"/>
        <v>65.000000002328306</v>
      </c>
    </row>
    <row r="566" spans="1:8" x14ac:dyDescent="0.25">
      <c r="A566">
        <v>575</v>
      </c>
      <c r="B566" t="s">
        <v>33</v>
      </c>
      <c r="C566">
        <v>1</v>
      </c>
      <c r="D566" t="s">
        <v>30</v>
      </c>
      <c r="E566" s="6">
        <v>46063.486111111109</v>
      </c>
      <c r="F566" s="18">
        <f t="shared" si="24"/>
        <v>1.7361111109494232E-2</v>
      </c>
      <c r="G566" s="19">
        <f t="shared" si="25"/>
        <v>0.41666666662786156</v>
      </c>
      <c r="H566" s="20">
        <f t="shared" si="26"/>
        <v>24.999999997671694</v>
      </c>
    </row>
    <row r="567" spans="1:8" x14ac:dyDescent="0.25">
      <c r="A567">
        <v>565</v>
      </c>
      <c r="B567" t="s">
        <v>33</v>
      </c>
      <c r="C567">
        <v>1</v>
      </c>
      <c r="D567" t="s">
        <v>35</v>
      </c>
      <c r="E567" s="6">
        <v>46063.534722222219</v>
      </c>
      <c r="F567" s="18">
        <f t="shared" si="24"/>
        <v>4.8611111109494232E-2</v>
      </c>
      <c r="G567" s="19">
        <f t="shared" si="25"/>
        <v>1.1666666666278616</v>
      </c>
      <c r="H567" s="20">
        <f t="shared" si="26"/>
        <v>69.999999997671694</v>
      </c>
    </row>
    <row r="568" spans="1:8" x14ac:dyDescent="0.25">
      <c r="A568">
        <v>570</v>
      </c>
      <c r="B568" t="s">
        <v>33</v>
      </c>
      <c r="C568">
        <v>1</v>
      </c>
      <c r="D568" t="s">
        <v>30</v>
      </c>
      <c r="E568" s="6">
        <v>46063.548611111109</v>
      </c>
      <c r="F568" s="18">
        <f t="shared" si="24"/>
        <v>1.3888888890505768E-2</v>
      </c>
      <c r="G568" s="19">
        <f t="shared" si="25"/>
        <v>0.33333333337213844</v>
      </c>
      <c r="H568" s="20">
        <f t="shared" si="26"/>
        <v>20.000000002328306</v>
      </c>
    </row>
    <row r="569" spans="1:8" x14ac:dyDescent="0.25">
      <c r="A569">
        <v>578</v>
      </c>
      <c r="B569" t="s">
        <v>31</v>
      </c>
      <c r="C569">
        <v>1</v>
      </c>
      <c r="D569" t="s">
        <v>32</v>
      </c>
      <c r="E569" s="6">
        <v>46063.576388888891</v>
      </c>
      <c r="F569" s="18">
        <f t="shared" si="24"/>
        <v>2.7777777781011537E-2</v>
      </c>
      <c r="G569" s="19">
        <f t="shared" si="25"/>
        <v>0.66666666674427688</v>
      </c>
      <c r="H569" s="20">
        <f t="shared" si="26"/>
        <v>40.000000004656613</v>
      </c>
    </row>
    <row r="570" spans="1:8" x14ac:dyDescent="0.25">
      <c r="A570">
        <v>577</v>
      </c>
      <c r="B570" t="s">
        <v>31</v>
      </c>
      <c r="C570">
        <v>1</v>
      </c>
      <c r="D570" t="s">
        <v>30</v>
      </c>
      <c r="E570" s="6">
        <v>46063.586805555555</v>
      </c>
      <c r="F570" s="18">
        <f t="shared" si="24"/>
        <v>1.0416666664241347E-2</v>
      </c>
      <c r="G570" s="19">
        <f t="shared" si="25"/>
        <v>0.24999999994179234</v>
      </c>
      <c r="H570" s="20">
        <f t="shared" si="26"/>
        <v>14.99999999650754</v>
      </c>
    </row>
    <row r="571" spans="1:8" x14ac:dyDescent="0.25">
      <c r="A571">
        <v>589</v>
      </c>
      <c r="B571" t="s">
        <v>33</v>
      </c>
      <c r="C571">
        <v>1</v>
      </c>
      <c r="D571" t="s">
        <v>35</v>
      </c>
      <c r="E571" s="6">
        <v>46063.666666666664</v>
      </c>
      <c r="F571" s="18">
        <f t="shared" si="24"/>
        <v>7.9861111109494232E-2</v>
      </c>
      <c r="G571" s="19">
        <f t="shared" si="25"/>
        <v>1.9166666666278616</v>
      </c>
      <c r="H571" s="20">
        <f t="shared" si="26"/>
        <v>114.99999999767169</v>
      </c>
    </row>
    <row r="572" spans="1:8" x14ac:dyDescent="0.25">
      <c r="A572">
        <v>579</v>
      </c>
      <c r="B572" t="s">
        <v>29</v>
      </c>
      <c r="C572">
        <v>1</v>
      </c>
      <c r="D572" t="s">
        <v>30</v>
      </c>
      <c r="E572" s="6">
        <v>46063.690972222219</v>
      </c>
      <c r="F572" s="18">
        <f t="shared" si="24"/>
        <v>2.4305555554747116E-2</v>
      </c>
      <c r="G572" s="19">
        <f t="shared" si="25"/>
        <v>0.58333333331393078</v>
      </c>
      <c r="H572" s="20">
        <f t="shared" si="26"/>
        <v>34.999999998835847</v>
      </c>
    </row>
    <row r="573" spans="1:8" x14ac:dyDescent="0.25">
      <c r="A573">
        <v>587</v>
      </c>
      <c r="B573" t="s">
        <v>29</v>
      </c>
      <c r="C573">
        <v>1</v>
      </c>
      <c r="D573" t="s">
        <v>34</v>
      </c>
      <c r="E573" s="6">
        <v>46063.708333333336</v>
      </c>
      <c r="F573" s="18">
        <f t="shared" si="24"/>
        <v>1.7361111116770189E-2</v>
      </c>
      <c r="G573" s="19">
        <f t="shared" si="25"/>
        <v>0.41666666680248454</v>
      </c>
      <c r="H573" s="20">
        <f t="shared" si="26"/>
        <v>25.000000008149073</v>
      </c>
    </row>
    <row r="574" spans="1:8" x14ac:dyDescent="0.25">
      <c r="A574">
        <v>588</v>
      </c>
      <c r="B574" t="s">
        <v>29</v>
      </c>
      <c r="C574">
        <v>1</v>
      </c>
      <c r="D574" t="s">
        <v>32</v>
      </c>
      <c r="E574" s="6">
        <v>46063.743055555555</v>
      </c>
      <c r="F574" s="18">
        <f t="shared" si="24"/>
        <v>3.4722222218988463E-2</v>
      </c>
      <c r="G574" s="19">
        <f t="shared" si="25"/>
        <v>0.83333333325572312</v>
      </c>
      <c r="H574" s="20">
        <f t="shared" si="26"/>
        <v>49.999999995343387</v>
      </c>
    </row>
    <row r="575" spans="1:8" x14ac:dyDescent="0.25">
      <c r="A575">
        <v>591</v>
      </c>
      <c r="B575" t="s">
        <v>33</v>
      </c>
      <c r="C575">
        <v>1</v>
      </c>
      <c r="D575" t="s">
        <v>30</v>
      </c>
      <c r="E575" s="6">
        <v>46063.84375</v>
      </c>
      <c r="F575" s="18">
        <f t="shared" si="24"/>
        <v>0.10069444444525288</v>
      </c>
      <c r="G575" s="19">
        <f t="shared" si="25"/>
        <v>2.4166666666860692</v>
      </c>
      <c r="H575" s="20">
        <f t="shared" si="26"/>
        <v>145.00000000116415</v>
      </c>
    </row>
    <row r="576" spans="1:8" x14ac:dyDescent="0.25">
      <c r="A576">
        <v>592</v>
      </c>
      <c r="B576" t="s">
        <v>29</v>
      </c>
      <c r="C576">
        <v>1</v>
      </c>
      <c r="D576" t="s">
        <v>35</v>
      </c>
      <c r="E576" s="6">
        <v>46063.873611111114</v>
      </c>
      <c r="F576" s="18">
        <f t="shared" si="24"/>
        <v>2.9861111113859806E-2</v>
      </c>
      <c r="G576" s="19">
        <f t="shared" si="25"/>
        <v>0.71666666673263535</v>
      </c>
      <c r="H576" s="20">
        <f t="shared" si="26"/>
        <v>43.000000003958121</v>
      </c>
    </row>
    <row r="577" spans="1:8" x14ac:dyDescent="0.25">
      <c r="A577">
        <v>594</v>
      </c>
      <c r="B577" t="s">
        <v>31</v>
      </c>
      <c r="C577">
        <v>1</v>
      </c>
      <c r="D577" t="s">
        <v>34</v>
      </c>
      <c r="E577" s="6">
        <v>46063.970138888886</v>
      </c>
      <c r="F577" s="18">
        <f t="shared" si="24"/>
        <v>9.6527777772280388E-2</v>
      </c>
      <c r="G577" s="19">
        <f t="shared" si="25"/>
        <v>2.3166666665347293</v>
      </c>
      <c r="H577" s="20">
        <f t="shared" si="26"/>
        <v>138.99999999208376</v>
      </c>
    </row>
    <row r="578" spans="1:8" x14ac:dyDescent="0.25">
      <c r="A578">
        <v>595</v>
      </c>
      <c r="B578" t="s">
        <v>31</v>
      </c>
      <c r="C578">
        <v>1</v>
      </c>
      <c r="D578" t="s">
        <v>35</v>
      </c>
      <c r="E578" s="6">
        <v>46064.003472222219</v>
      </c>
      <c r="F578" s="18">
        <f t="shared" si="24"/>
        <v>3.3333333332848269E-2</v>
      </c>
      <c r="G578" s="19">
        <f t="shared" si="25"/>
        <v>0.79999999998835847</v>
      </c>
      <c r="H578" s="20">
        <f t="shared" si="26"/>
        <v>47.999999999301508</v>
      </c>
    </row>
    <row r="579" spans="1:8" hidden="1" x14ac:dyDescent="0.25">
      <c r="A579">
        <v>586</v>
      </c>
      <c r="B579" t="s">
        <v>29</v>
      </c>
      <c r="C579">
        <v>1</v>
      </c>
      <c r="D579" t="s">
        <v>34</v>
      </c>
      <c r="E579" s="6">
        <v>46064.291666666664</v>
      </c>
      <c r="F579" s="18">
        <f t="shared" si="24"/>
        <v>0.28819444444525288</v>
      </c>
      <c r="G579" s="19">
        <f t="shared" si="25"/>
        <v>6.9166666666860692</v>
      </c>
      <c r="H579" s="20">
        <f t="shared" si="26"/>
        <v>415.00000000116415</v>
      </c>
    </row>
    <row r="580" spans="1:8" x14ac:dyDescent="0.25">
      <c r="A580">
        <v>590</v>
      </c>
      <c r="B580" t="s">
        <v>31</v>
      </c>
      <c r="C580">
        <v>1</v>
      </c>
      <c r="D580" t="s">
        <v>35</v>
      </c>
      <c r="E580" s="6">
        <v>46064.295138888891</v>
      </c>
      <c r="F580" s="18">
        <f t="shared" si="24"/>
        <v>3.4722222262644209E-3</v>
      </c>
      <c r="G580" s="19">
        <f t="shared" si="25"/>
        <v>8.3333333430346102E-2</v>
      </c>
      <c r="H580" s="20">
        <f t="shared" si="26"/>
        <v>5.0000000058207661</v>
      </c>
    </row>
    <row r="581" spans="1:8" x14ac:dyDescent="0.25">
      <c r="A581">
        <v>324</v>
      </c>
      <c r="B581" t="s">
        <v>31</v>
      </c>
      <c r="C581">
        <v>1</v>
      </c>
      <c r="D581" t="s">
        <v>32</v>
      </c>
      <c r="E581" s="6">
        <v>46064.309027777781</v>
      </c>
      <c r="F581" s="18">
        <f t="shared" ref="F581:F644" si="27">E581-E580</f>
        <v>1.3888888890505768E-2</v>
      </c>
      <c r="G581" s="19">
        <f t="shared" ref="G581:G644" si="28">F581*24</f>
        <v>0.33333333337213844</v>
      </c>
      <c r="H581" s="20">
        <f t="shared" ref="H581:H644" si="29">G581*60</f>
        <v>20.000000002328306</v>
      </c>
    </row>
    <row r="582" spans="1:8" x14ac:dyDescent="0.25">
      <c r="A582">
        <v>585</v>
      </c>
      <c r="B582" t="s">
        <v>33</v>
      </c>
      <c r="C582">
        <v>1</v>
      </c>
      <c r="D582" t="s">
        <v>35</v>
      </c>
      <c r="E582" s="6">
        <v>46064.329861111109</v>
      </c>
      <c r="F582" s="18">
        <f t="shared" si="27"/>
        <v>2.0833333328482695E-2</v>
      </c>
      <c r="G582" s="19">
        <f t="shared" si="28"/>
        <v>0.49999999988358468</v>
      </c>
      <c r="H582" s="20">
        <f t="shared" si="29"/>
        <v>29.999999993015081</v>
      </c>
    </row>
    <row r="583" spans="1:8" x14ac:dyDescent="0.25">
      <c r="A583">
        <v>576</v>
      </c>
      <c r="B583" t="s">
        <v>31</v>
      </c>
      <c r="C583">
        <v>1</v>
      </c>
      <c r="D583" t="s">
        <v>34</v>
      </c>
      <c r="E583" s="6">
        <v>46064.340277777781</v>
      </c>
      <c r="F583" s="18">
        <f t="shared" si="27"/>
        <v>1.0416666671517305E-2</v>
      </c>
      <c r="G583" s="19">
        <f t="shared" si="28"/>
        <v>0.25000000011641532</v>
      </c>
      <c r="H583" s="20">
        <f t="shared" si="29"/>
        <v>15.000000006984919</v>
      </c>
    </row>
    <row r="584" spans="1:8" x14ac:dyDescent="0.25">
      <c r="A584">
        <v>598</v>
      </c>
      <c r="B584" t="s">
        <v>31</v>
      </c>
      <c r="C584">
        <v>1</v>
      </c>
      <c r="D584" t="s">
        <v>35</v>
      </c>
      <c r="E584" s="6">
        <v>46064.45</v>
      </c>
      <c r="F584" s="18">
        <f t="shared" si="27"/>
        <v>0.10972222221607808</v>
      </c>
      <c r="G584" s="19">
        <f t="shared" si="28"/>
        <v>2.6333333331858739</v>
      </c>
      <c r="H584" s="20">
        <f t="shared" si="29"/>
        <v>157.99999999115244</v>
      </c>
    </row>
    <row r="585" spans="1:8" x14ac:dyDescent="0.25">
      <c r="A585">
        <v>593</v>
      </c>
      <c r="B585" t="s">
        <v>31</v>
      </c>
      <c r="C585">
        <v>1</v>
      </c>
      <c r="D585" t="s">
        <v>34</v>
      </c>
      <c r="E585" s="6">
        <v>46064.454861111109</v>
      </c>
      <c r="F585" s="18">
        <f t="shared" si="27"/>
        <v>4.8611111124046147E-3</v>
      </c>
      <c r="G585" s="19">
        <f t="shared" si="28"/>
        <v>0.11666666669771075</v>
      </c>
      <c r="H585" s="20">
        <f t="shared" si="29"/>
        <v>7.0000000018626451</v>
      </c>
    </row>
    <row r="586" spans="1:8" hidden="1" x14ac:dyDescent="0.25">
      <c r="A586">
        <v>596</v>
      </c>
      <c r="B586" t="s">
        <v>33</v>
      </c>
      <c r="C586">
        <v>1</v>
      </c>
      <c r="D586" t="s">
        <v>32</v>
      </c>
      <c r="E586" s="6">
        <v>46064.454861111109</v>
      </c>
      <c r="F586" s="18">
        <f t="shared" si="27"/>
        <v>0</v>
      </c>
      <c r="G586" s="19">
        <f t="shared" si="28"/>
        <v>0</v>
      </c>
      <c r="H586" s="19">
        <f t="shared" si="29"/>
        <v>0</v>
      </c>
    </row>
    <row r="587" spans="1:8" x14ac:dyDescent="0.25">
      <c r="A587">
        <v>600</v>
      </c>
      <c r="B587" t="s">
        <v>31</v>
      </c>
      <c r="C587">
        <v>1</v>
      </c>
      <c r="D587" t="s">
        <v>30</v>
      </c>
      <c r="E587" s="6">
        <v>46064.513888888891</v>
      </c>
      <c r="F587" s="18">
        <f t="shared" si="27"/>
        <v>5.9027777781011537E-2</v>
      </c>
      <c r="G587" s="19">
        <f t="shared" si="28"/>
        <v>1.4166666667442769</v>
      </c>
      <c r="H587" s="20">
        <f t="shared" si="29"/>
        <v>85.000000004656613</v>
      </c>
    </row>
    <row r="588" spans="1:8" x14ac:dyDescent="0.25">
      <c r="A588">
        <v>580</v>
      </c>
      <c r="B588" t="s">
        <v>29</v>
      </c>
      <c r="C588">
        <v>1</v>
      </c>
      <c r="D588" t="s">
        <v>36</v>
      </c>
      <c r="E588" s="6">
        <v>46064.520833333336</v>
      </c>
      <c r="F588" s="18">
        <f t="shared" si="27"/>
        <v>6.9444444452528842E-3</v>
      </c>
      <c r="G588" s="19">
        <f t="shared" si="28"/>
        <v>0.16666666668606922</v>
      </c>
      <c r="H588" s="20">
        <f t="shared" si="29"/>
        <v>10.000000001164153</v>
      </c>
    </row>
    <row r="589" spans="1:8" x14ac:dyDescent="0.25">
      <c r="A589">
        <v>599</v>
      </c>
      <c r="B589" t="s">
        <v>31</v>
      </c>
      <c r="C589">
        <v>1</v>
      </c>
      <c r="D589" t="s">
        <v>32</v>
      </c>
      <c r="E589" s="6">
        <v>46064.569444444445</v>
      </c>
      <c r="F589" s="18">
        <f t="shared" si="27"/>
        <v>4.8611111109494232E-2</v>
      </c>
      <c r="G589" s="19">
        <f t="shared" si="28"/>
        <v>1.1666666666278616</v>
      </c>
      <c r="H589" s="20">
        <f t="shared" si="29"/>
        <v>69.999999997671694</v>
      </c>
    </row>
    <row r="590" spans="1:8" x14ac:dyDescent="0.25">
      <c r="A590">
        <v>606</v>
      </c>
      <c r="B590" t="s">
        <v>33</v>
      </c>
      <c r="C590">
        <v>1</v>
      </c>
      <c r="D590" t="s">
        <v>36</v>
      </c>
      <c r="E590" s="6">
        <v>46064.614583333336</v>
      </c>
      <c r="F590" s="18">
        <f t="shared" si="27"/>
        <v>4.5138888890505768E-2</v>
      </c>
      <c r="G590" s="19">
        <f t="shared" si="28"/>
        <v>1.0833333333721384</v>
      </c>
      <c r="H590" s="20">
        <f t="shared" si="29"/>
        <v>65.000000002328306</v>
      </c>
    </row>
    <row r="591" spans="1:8" x14ac:dyDescent="0.25">
      <c r="A591">
        <v>611</v>
      </c>
      <c r="B591" t="s">
        <v>33</v>
      </c>
      <c r="C591">
        <v>1</v>
      </c>
      <c r="D591" t="s">
        <v>30</v>
      </c>
      <c r="E591" s="6">
        <v>46064.685416666667</v>
      </c>
      <c r="F591" s="18">
        <f t="shared" si="27"/>
        <v>7.0833333331393078E-2</v>
      </c>
      <c r="G591" s="19">
        <f t="shared" si="28"/>
        <v>1.6999999999534339</v>
      </c>
      <c r="H591" s="20">
        <f t="shared" si="29"/>
        <v>101.99999999720603</v>
      </c>
    </row>
    <row r="592" spans="1:8" x14ac:dyDescent="0.25">
      <c r="A592">
        <v>597</v>
      </c>
      <c r="B592" t="s">
        <v>31</v>
      </c>
      <c r="C592">
        <v>1</v>
      </c>
      <c r="D592" t="s">
        <v>30</v>
      </c>
      <c r="E592" s="6">
        <v>46064.701388888891</v>
      </c>
      <c r="F592" s="18">
        <f t="shared" si="27"/>
        <v>1.5972222223354038E-2</v>
      </c>
      <c r="G592" s="19">
        <f t="shared" si="28"/>
        <v>0.38333333336049691</v>
      </c>
      <c r="H592" s="20">
        <f t="shared" si="29"/>
        <v>23.000000001629815</v>
      </c>
    </row>
    <row r="593" spans="1:8" x14ac:dyDescent="0.25">
      <c r="A593">
        <v>612</v>
      </c>
      <c r="B593" t="s">
        <v>29</v>
      </c>
      <c r="C593">
        <v>1</v>
      </c>
      <c r="D593" t="s">
        <v>36</v>
      </c>
      <c r="E593" s="6">
        <v>46064.732638888891</v>
      </c>
      <c r="F593" s="18">
        <f t="shared" si="27"/>
        <v>3.125E-2</v>
      </c>
      <c r="G593" s="19">
        <f t="shared" si="28"/>
        <v>0.75</v>
      </c>
      <c r="H593" s="20">
        <f t="shared" si="29"/>
        <v>45</v>
      </c>
    </row>
    <row r="594" spans="1:8" x14ac:dyDescent="0.25">
      <c r="A594">
        <v>605</v>
      </c>
      <c r="B594" t="s">
        <v>31</v>
      </c>
      <c r="C594">
        <v>1</v>
      </c>
      <c r="D594" t="s">
        <v>30</v>
      </c>
      <c r="E594" s="6">
        <v>46064.847222222219</v>
      </c>
      <c r="F594" s="18">
        <f t="shared" si="27"/>
        <v>0.11458333332848269</v>
      </c>
      <c r="G594" s="19">
        <f t="shared" si="28"/>
        <v>2.7499999998835847</v>
      </c>
      <c r="H594" s="20">
        <f t="shared" si="29"/>
        <v>164.99999999301508</v>
      </c>
    </row>
    <row r="595" spans="1:8" x14ac:dyDescent="0.25">
      <c r="A595">
        <v>615</v>
      </c>
      <c r="B595" t="s">
        <v>31</v>
      </c>
      <c r="C595">
        <v>1</v>
      </c>
      <c r="D595" t="s">
        <v>30</v>
      </c>
      <c r="E595" s="6">
        <v>46064.953472222223</v>
      </c>
      <c r="F595" s="18">
        <f t="shared" si="27"/>
        <v>0.10625000000436557</v>
      </c>
      <c r="G595" s="19">
        <f t="shared" si="28"/>
        <v>2.5500000001047738</v>
      </c>
      <c r="H595" s="20">
        <f t="shared" si="29"/>
        <v>153.00000000628643</v>
      </c>
    </row>
    <row r="596" spans="1:8" hidden="1" x14ac:dyDescent="0.25">
      <c r="A596">
        <v>613</v>
      </c>
      <c r="B596" t="s">
        <v>29</v>
      </c>
      <c r="C596">
        <v>1</v>
      </c>
      <c r="D596" t="s">
        <v>34</v>
      </c>
      <c r="E596" s="6">
        <v>46065.263888888891</v>
      </c>
      <c r="F596" s="18">
        <f t="shared" si="27"/>
        <v>0.31041666666715173</v>
      </c>
      <c r="G596" s="19">
        <f t="shared" si="28"/>
        <v>7.4500000000116415</v>
      </c>
      <c r="H596" s="20">
        <f t="shared" si="29"/>
        <v>447.00000000069849</v>
      </c>
    </row>
    <row r="597" spans="1:8" x14ac:dyDescent="0.25">
      <c r="A597">
        <v>607</v>
      </c>
      <c r="B597" t="s">
        <v>31</v>
      </c>
      <c r="C597">
        <v>1</v>
      </c>
      <c r="D597" t="s">
        <v>30</v>
      </c>
      <c r="E597" s="6">
        <v>46065.291666666664</v>
      </c>
      <c r="F597" s="18">
        <f t="shared" si="27"/>
        <v>2.7777777773735579E-2</v>
      </c>
      <c r="G597" s="19">
        <f t="shared" si="28"/>
        <v>0.6666666665696539</v>
      </c>
      <c r="H597" s="20">
        <f t="shared" si="29"/>
        <v>39.999999994179234</v>
      </c>
    </row>
    <row r="598" spans="1:8" hidden="1" x14ac:dyDescent="0.25">
      <c r="A598">
        <v>608</v>
      </c>
      <c r="B598" t="s">
        <v>31</v>
      </c>
      <c r="C598">
        <v>1</v>
      </c>
      <c r="D598" t="s">
        <v>36</v>
      </c>
      <c r="E598" s="6">
        <v>46065.291666666664</v>
      </c>
      <c r="F598" s="18">
        <f t="shared" si="27"/>
        <v>0</v>
      </c>
      <c r="G598" s="19">
        <f t="shared" si="28"/>
        <v>0</v>
      </c>
      <c r="H598" s="19">
        <f t="shared" si="29"/>
        <v>0</v>
      </c>
    </row>
    <row r="599" spans="1:8" x14ac:dyDescent="0.25">
      <c r="A599">
        <v>604</v>
      </c>
      <c r="B599" t="s">
        <v>31</v>
      </c>
      <c r="C599">
        <v>1</v>
      </c>
      <c r="D599" t="s">
        <v>35</v>
      </c>
      <c r="E599" s="6">
        <v>46065.295138888891</v>
      </c>
      <c r="F599" s="18">
        <f t="shared" si="27"/>
        <v>3.4722222262644209E-3</v>
      </c>
      <c r="G599" s="19">
        <f t="shared" si="28"/>
        <v>8.3333333430346102E-2</v>
      </c>
      <c r="H599" s="20">
        <f t="shared" si="29"/>
        <v>5.0000000058207661</v>
      </c>
    </row>
    <row r="600" spans="1:8" x14ac:dyDescent="0.25">
      <c r="A600">
        <v>584</v>
      </c>
      <c r="B600" t="s">
        <v>33</v>
      </c>
      <c r="C600">
        <v>1</v>
      </c>
      <c r="D600" t="s">
        <v>36</v>
      </c>
      <c r="E600" s="6">
        <v>46065.309027777781</v>
      </c>
      <c r="F600" s="18">
        <f t="shared" si="27"/>
        <v>1.3888888890505768E-2</v>
      </c>
      <c r="G600" s="19">
        <f t="shared" si="28"/>
        <v>0.33333333337213844</v>
      </c>
      <c r="H600" s="20">
        <f t="shared" si="29"/>
        <v>20.000000002328306</v>
      </c>
    </row>
    <row r="601" spans="1:8" x14ac:dyDescent="0.25">
      <c r="A601">
        <v>601</v>
      </c>
      <c r="B601" t="s">
        <v>29</v>
      </c>
      <c r="C601">
        <v>1</v>
      </c>
      <c r="D601" t="s">
        <v>32</v>
      </c>
      <c r="E601" s="6">
        <v>46065.322916666664</v>
      </c>
      <c r="F601" s="18">
        <f t="shared" si="27"/>
        <v>1.3888888883229811E-2</v>
      </c>
      <c r="G601" s="19">
        <f t="shared" si="28"/>
        <v>0.33333333319751546</v>
      </c>
      <c r="H601" s="20">
        <f t="shared" si="29"/>
        <v>19.999999991850927</v>
      </c>
    </row>
    <row r="602" spans="1:8" x14ac:dyDescent="0.25">
      <c r="A602">
        <v>583</v>
      </c>
      <c r="B602" t="s">
        <v>29</v>
      </c>
      <c r="C602">
        <v>1</v>
      </c>
      <c r="D602" t="s">
        <v>36</v>
      </c>
      <c r="E602" s="6">
        <v>46065.361111111109</v>
      </c>
      <c r="F602" s="18">
        <f t="shared" si="27"/>
        <v>3.8194444445252884E-2</v>
      </c>
      <c r="G602" s="19">
        <f t="shared" si="28"/>
        <v>0.91666666668606922</v>
      </c>
      <c r="H602" s="20">
        <f t="shared" si="29"/>
        <v>55.000000001164153</v>
      </c>
    </row>
    <row r="603" spans="1:8" x14ac:dyDescent="0.25">
      <c r="A603">
        <v>602</v>
      </c>
      <c r="B603" t="s">
        <v>33</v>
      </c>
      <c r="C603">
        <v>1</v>
      </c>
      <c r="D603" t="s">
        <v>32</v>
      </c>
      <c r="E603" s="6">
        <v>46065.409722222219</v>
      </c>
      <c r="F603" s="18">
        <f t="shared" si="27"/>
        <v>4.8611111109494232E-2</v>
      </c>
      <c r="G603" s="19">
        <f t="shared" si="28"/>
        <v>1.1666666666278616</v>
      </c>
      <c r="H603" s="20">
        <f t="shared" si="29"/>
        <v>69.999999997671694</v>
      </c>
    </row>
    <row r="604" spans="1:8" x14ac:dyDescent="0.25">
      <c r="A604">
        <v>616</v>
      </c>
      <c r="B604" t="s">
        <v>33</v>
      </c>
      <c r="C604">
        <v>1</v>
      </c>
      <c r="D604" t="s">
        <v>30</v>
      </c>
      <c r="E604" s="6">
        <v>46065.42083333333</v>
      </c>
      <c r="F604" s="18">
        <f t="shared" si="27"/>
        <v>1.1111111110949423E-2</v>
      </c>
      <c r="G604" s="19">
        <f t="shared" si="28"/>
        <v>0.26666666666278616</v>
      </c>
      <c r="H604" s="20">
        <f t="shared" si="29"/>
        <v>15.999999999767169</v>
      </c>
    </row>
    <row r="605" spans="1:8" x14ac:dyDescent="0.25">
      <c r="A605">
        <v>609</v>
      </c>
      <c r="B605" t="s">
        <v>33</v>
      </c>
      <c r="C605">
        <v>1</v>
      </c>
      <c r="D605" t="s">
        <v>36</v>
      </c>
      <c r="E605" s="6">
        <v>46065.475694444445</v>
      </c>
      <c r="F605" s="18">
        <f t="shared" si="27"/>
        <v>5.4861111115314998E-2</v>
      </c>
      <c r="G605" s="19">
        <f t="shared" si="28"/>
        <v>1.3166666667675599</v>
      </c>
      <c r="H605" s="20">
        <f t="shared" si="29"/>
        <v>79.000000006053597</v>
      </c>
    </row>
    <row r="606" spans="1:8" x14ac:dyDescent="0.25">
      <c r="A606">
        <v>617</v>
      </c>
      <c r="B606" t="s">
        <v>31</v>
      </c>
      <c r="C606">
        <v>1</v>
      </c>
      <c r="D606" t="s">
        <v>30</v>
      </c>
      <c r="E606" s="6">
        <v>46065.489583333336</v>
      </c>
      <c r="F606" s="18">
        <f t="shared" si="27"/>
        <v>1.3888888890505768E-2</v>
      </c>
      <c r="G606" s="19">
        <f t="shared" si="28"/>
        <v>0.33333333337213844</v>
      </c>
      <c r="H606" s="20">
        <f t="shared" si="29"/>
        <v>20.000000002328306</v>
      </c>
    </row>
    <row r="607" spans="1:8" x14ac:dyDescent="0.25">
      <c r="A607">
        <v>610</v>
      </c>
      <c r="B607" t="s">
        <v>33</v>
      </c>
      <c r="C607">
        <v>1</v>
      </c>
      <c r="D607" t="s">
        <v>35</v>
      </c>
      <c r="E607" s="6">
        <v>46065.493055555555</v>
      </c>
      <c r="F607" s="18">
        <f t="shared" si="27"/>
        <v>3.4722222189884633E-3</v>
      </c>
      <c r="G607" s="19">
        <f t="shared" si="28"/>
        <v>8.3333333255723119E-2</v>
      </c>
      <c r="H607" s="20">
        <f t="shared" si="29"/>
        <v>4.9999999953433871</v>
      </c>
    </row>
    <row r="608" spans="1:8" hidden="1" x14ac:dyDescent="0.25">
      <c r="A608">
        <v>621</v>
      </c>
      <c r="B608" t="s">
        <v>33</v>
      </c>
      <c r="C608">
        <v>1</v>
      </c>
      <c r="D608" t="s">
        <v>30</v>
      </c>
      <c r="E608" s="6">
        <v>46065.493055555555</v>
      </c>
      <c r="F608" s="18">
        <f t="shared" si="27"/>
        <v>0</v>
      </c>
      <c r="G608" s="19">
        <f t="shared" si="28"/>
        <v>0</v>
      </c>
      <c r="H608" s="19">
        <f t="shared" si="29"/>
        <v>0</v>
      </c>
    </row>
    <row r="609" spans="1:8" x14ac:dyDescent="0.25">
      <c r="A609">
        <v>627</v>
      </c>
      <c r="B609" t="s">
        <v>31</v>
      </c>
      <c r="C609">
        <v>1</v>
      </c>
      <c r="D609" t="s">
        <v>30</v>
      </c>
      <c r="E609" s="6">
        <v>46065.576388888891</v>
      </c>
      <c r="F609" s="18">
        <f t="shared" si="27"/>
        <v>8.3333333335758653E-2</v>
      </c>
      <c r="G609" s="19">
        <f t="shared" si="28"/>
        <v>2.0000000000582077</v>
      </c>
      <c r="H609" s="20">
        <f t="shared" si="29"/>
        <v>120.00000000349246</v>
      </c>
    </row>
    <row r="610" spans="1:8" x14ac:dyDescent="0.25">
      <c r="A610">
        <v>489</v>
      </c>
      <c r="B610" t="s">
        <v>33</v>
      </c>
      <c r="C610">
        <v>1</v>
      </c>
      <c r="D610" t="s">
        <v>30</v>
      </c>
      <c r="E610" s="6">
        <v>46065.590277777781</v>
      </c>
      <c r="F610" s="18">
        <f t="shared" si="27"/>
        <v>1.3888888890505768E-2</v>
      </c>
      <c r="G610" s="19">
        <f t="shared" si="28"/>
        <v>0.33333333337213844</v>
      </c>
      <c r="H610" s="20">
        <f t="shared" si="29"/>
        <v>20.000000002328306</v>
      </c>
    </row>
    <row r="611" spans="1:8" x14ac:dyDescent="0.25">
      <c r="A611">
        <v>629</v>
      </c>
      <c r="B611" t="s">
        <v>31</v>
      </c>
      <c r="C611">
        <v>1</v>
      </c>
      <c r="D611" t="s">
        <v>37</v>
      </c>
      <c r="E611" s="6">
        <v>46065.621527777781</v>
      </c>
      <c r="F611" s="18">
        <f t="shared" si="27"/>
        <v>3.125E-2</v>
      </c>
      <c r="G611" s="19">
        <f t="shared" si="28"/>
        <v>0.75</v>
      </c>
      <c r="H611" s="20">
        <f t="shared" si="29"/>
        <v>45</v>
      </c>
    </row>
    <row r="612" spans="1:8" x14ac:dyDescent="0.25">
      <c r="A612">
        <v>624</v>
      </c>
      <c r="B612" t="s">
        <v>29</v>
      </c>
      <c r="C612">
        <v>1</v>
      </c>
      <c r="D612" t="s">
        <v>32</v>
      </c>
      <c r="E612" s="6">
        <v>46065.753472222219</v>
      </c>
      <c r="F612" s="18">
        <f t="shared" si="27"/>
        <v>0.13194444443797693</v>
      </c>
      <c r="G612" s="19">
        <f t="shared" si="28"/>
        <v>3.1666666665114462</v>
      </c>
      <c r="H612" s="20">
        <f t="shared" si="29"/>
        <v>189.99999999068677</v>
      </c>
    </row>
    <row r="613" spans="1:8" x14ac:dyDescent="0.25">
      <c r="A613">
        <v>630</v>
      </c>
      <c r="B613" t="s">
        <v>29</v>
      </c>
      <c r="C613">
        <v>1</v>
      </c>
      <c r="D613" t="s">
        <v>30</v>
      </c>
      <c r="E613" s="6">
        <v>46065.881944444445</v>
      </c>
      <c r="F613" s="18">
        <f t="shared" si="27"/>
        <v>0.12847222222626442</v>
      </c>
      <c r="G613" s="19">
        <f t="shared" si="28"/>
        <v>3.0833333334303461</v>
      </c>
      <c r="H613" s="20">
        <f t="shared" si="29"/>
        <v>185.00000000582077</v>
      </c>
    </row>
    <row r="614" spans="1:8" x14ac:dyDescent="0.25">
      <c r="A614">
        <v>632</v>
      </c>
      <c r="B614" t="s">
        <v>29</v>
      </c>
      <c r="C614">
        <v>1</v>
      </c>
      <c r="D614" t="s">
        <v>34</v>
      </c>
      <c r="E614" s="6">
        <v>46065.913194444445</v>
      </c>
      <c r="F614" s="18">
        <f t="shared" si="27"/>
        <v>3.125E-2</v>
      </c>
      <c r="G614" s="19">
        <f t="shared" si="28"/>
        <v>0.75</v>
      </c>
      <c r="H614" s="20">
        <f t="shared" si="29"/>
        <v>45</v>
      </c>
    </row>
    <row r="615" spans="1:8" x14ac:dyDescent="0.25">
      <c r="A615">
        <v>633</v>
      </c>
      <c r="B615" t="s">
        <v>31</v>
      </c>
      <c r="C615">
        <v>1</v>
      </c>
      <c r="D615" t="s">
        <v>35</v>
      </c>
      <c r="E615" s="6">
        <v>46066.013888888891</v>
      </c>
      <c r="F615" s="18">
        <f t="shared" si="27"/>
        <v>0.10069444444525288</v>
      </c>
      <c r="G615" s="19">
        <f t="shared" si="28"/>
        <v>2.4166666666860692</v>
      </c>
      <c r="H615" s="20">
        <f t="shared" si="29"/>
        <v>145.00000000116415</v>
      </c>
    </row>
    <row r="616" spans="1:8" hidden="1" x14ac:dyDescent="0.25">
      <c r="A616">
        <v>614</v>
      </c>
      <c r="B616" t="s">
        <v>29</v>
      </c>
      <c r="C616">
        <v>1</v>
      </c>
      <c r="D616" t="s">
        <v>32</v>
      </c>
      <c r="E616" s="6">
        <v>46066.267361111109</v>
      </c>
      <c r="F616" s="18">
        <f t="shared" si="27"/>
        <v>0.25347222221898846</v>
      </c>
      <c r="G616" s="19">
        <f t="shared" si="28"/>
        <v>6.0833333332557231</v>
      </c>
      <c r="H616" s="20">
        <f t="shared" si="29"/>
        <v>364.99999999534339</v>
      </c>
    </row>
    <row r="617" spans="1:8" x14ac:dyDescent="0.25">
      <c r="A617">
        <v>626</v>
      </c>
      <c r="B617" t="s">
        <v>29</v>
      </c>
      <c r="C617">
        <v>1</v>
      </c>
      <c r="D617" t="s">
        <v>35</v>
      </c>
      <c r="E617" s="6">
        <v>46066.291666666664</v>
      </c>
      <c r="F617" s="18">
        <f t="shared" si="27"/>
        <v>2.4305555554747116E-2</v>
      </c>
      <c r="G617" s="19">
        <f t="shared" si="28"/>
        <v>0.58333333331393078</v>
      </c>
      <c r="H617" s="20">
        <f t="shared" si="29"/>
        <v>34.999999998835847</v>
      </c>
    </row>
    <row r="618" spans="1:8" x14ac:dyDescent="0.25">
      <c r="A618">
        <v>567</v>
      </c>
      <c r="B618" t="s">
        <v>29</v>
      </c>
      <c r="C618">
        <v>1</v>
      </c>
      <c r="D618" t="s">
        <v>35</v>
      </c>
      <c r="E618" s="6">
        <v>46066.295138888891</v>
      </c>
      <c r="F618" s="18">
        <f t="shared" si="27"/>
        <v>3.4722222262644209E-3</v>
      </c>
      <c r="G618" s="19">
        <f t="shared" si="28"/>
        <v>8.3333333430346102E-2</v>
      </c>
      <c r="H618" s="20">
        <f t="shared" si="29"/>
        <v>5.0000000058207661</v>
      </c>
    </row>
    <row r="619" spans="1:8" x14ac:dyDescent="0.25">
      <c r="A619">
        <v>622</v>
      </c>
      <c r="B619" t="s">
        <v>33</v>
      </c>
      <c r="C619">
        <v>1</v>
      </c>
      <c r="D619" t="s">
        <v>32</v>
      </c>
      <c r="E619" s="6">
        <v>46066.350694444445</v>
      </c>
      <c r="F619" s="18">
        <f t="shared" si="27"/>
        <v>5.5555555554747116E-2</v>
      </c>
      <c r="G619" s="19">
        <f t="shared" si="28"/>
        <v>1.3333333333139308</v>
      </c>
      <c r="H619" s="20">
        <f t="shared" si="29"/>
        <v>79.999999998835847</v>
      </c>
    </row>
    <row r="620" spans="1:8" x14ac:dyDescent="0.25">
      <c r="A620">
        <v>496</v>
      </c>
      <c r="B620" t="s">
        <v>29</v>
      </c>
      <c r="C620">
        <v>1</v>
      </c>
      <c r="D620" t="s">
        <v>36</v>
      </c>
      <c r="E620" s="6">
        <v>46066.368055555555</v>
      </c>
      <c r="F620" s="18">
        <f t="shared" si="27"/>
        <v>1.7361111109494232E-2</v>
      </c>
      <c r="G620" s="19">
        <f t="shared" si="28"/>
        <v>0.41666666662786156</v>
      </c>
      <c r="H620" s="20">
        <f t="shared" si="29"/>
        <v>24.999999997671694</v>
      </c>
    </row>
    <row r="621" spans="1:8" x14ac:dyDescent="0.25">
      <c r="A621">
        <v>625</v>
      </c>
      <c r="B621" t="s">
        <v>29</v>
      </c>
      <c r="C621">
        <v>1</v>
      </c>
      <c r="D621" t="s">
        <v>30</v>
      </c>
      <c r="E621" s="6">
        <v>46066.423611111109</v>
      </c>
      <c r="F621" s="18">
        <f t="shared" si="27"/>
        <v>5.5555555554747116E-2</v>
      </c>
      <c r="G621" s="19">
        <f t="shared" si="28"/>
        <v>1.3333333333139308</v>
      </c>
      <c r="H621" s="20">
        <f t="shared" si="29"/>
        <v>79.999999998835847</v>
      </c>
    </row>
    <row r="622" spans="1:8" x14ac:dyDescent="0.25">
      <c r="A622">
        <v>581</v>
      </c>
      <c r="B622" t="s">
        <v>29</v>
      </c>
      <c r="C622">
        <v>1</v>
      </c>
      <c r="D622" t="s">
        <v>37</v>
      </c>
      <c r="E622" s="6">
        <v>46066.4375</v>
      </c>
      <c r="F622" s="18">
        <f t="shared" si="27"/>
        <v>1.3888888890505768E-2</v>
      </c>
      <c r="G622" s="19">
        <f t="shared" si="28"/>
        <v>0.33333333337213844</v>
      </c>
      <c r="H622" s="20">
        <f t="shared" si="29"/>
        <v>20.000000002328306</v>
      </c>
    </row>
    <row r="623" spans="1:8" x14ac:dyDescent="0.25">
      <c r="A623">
        <v>628</v>
      </c>
      <c r="B623" t="s">
        <v>33</v>
      </c>
      <c r="C623">
        <v>1</v>
      </c>
      <c r="D623" t="s">
        <v>35</v>
      </c>
      <c r="E623" s="6">
        <v>46066.479166666664</v>
      </c>
      <c r="F623" s="18">
        <f t="shared" si="27"/>
        <v>4.1666666664241347E-2</v>
      </c>
      <c r="G623" s="19">
        <f t="shared" si="28"/>
        <v>0.99999999994179234</v>
      </c>
      <c r="H623" s="20">
        <f t="shared" si="29"/>
        <v>59.99999999650754</v>
      </c>
    </row>
    <row r="624" spans="1:8" x14ac:dyDescent="0.25">
      <c r="A624">
        <v>623</v>
      </c>
      <c r="B624" t="s">
        <v>33</v>
      </c>
      <c r="C624">
        <v>1</v>
      </c>
      <c r="D624" t="s">
        <v>35</v>
      </c>
      <c r="E624" s="6">
        <v>46066.638888888891</v>
      </c>
      <c r="F624" s="18">
        <f t="shared" si="27"/>
        <v>0.15972222222626442</v>
      </c>
      <c r="G624" s="19">
        <f t="shared" si="28"/>
        <v>3.8333333334303461</v>
      </c>
      <c r="H624" s="20">
        <f t="shared" si="29"/>
        <v>230.00000000582077</v>
      </c>
    </row>
    <row r="625" spans="1:8" x14ac:dyDescent="0.25">
      <c r="A625">
        <v>603</v>
      </c>
      <c r="B625" t="s">
        <v>33</v>
      </c>
      <c r="C625">
        <v>1</v>
      </c>
      <c r="D625" t="s">
        <v>30</v>
      </c>
      <c r="E625" s="6">
        <v>46066.645833333336</v>
      </c>
      <c r="F625" s="18">
        <f t="shared" si="27"/>
        <v>6.9444444452528842E-3</v>
      </c>
      <c r="G625" s="19">
        <f t="shared" si="28"/>
        <v>0.16666666668606922</v>
      </c>
      <c r="H625" s="20">
        <f t="shared" si="29"/>
        <v>10.000000001164153</v>
      </c>
    </row>
    <row r="626" spans="1:8" x14ac:dyDescent="0.25">
      <c r="A626">
        <v>631</v>
      </c>
      <c r="B626" t="s">
        <v>31</v>
      </c>
      <c r="C626">
        <v>1</v>
      </c>
      <c r="D626" t="s">
        <v>35</v>
      </c>
      <c r="E626" s="6">
        <v>46066.652777777781</v>
      </c>
      <c r="F626" s="18">
        <f t="shared" si="27"/>
        <v>6.9444444452528842E-3</v>
      </c>
      <c r="G626" s="19">
        <f t="shared" si="28"/>
        <v>0.16666666668606922</v>
      </c>
      <c r="H626" s="20">
        <f t="shared" si="29"/>
        <v>10.000000001164153</v>
      </c>
    </row>
    <row r="627" spans="1:8" x14ac:dyDescent="0.25">
      <c r="A627">
        <v>634</v>
      </c>
      <c r="B627" t="s">
        <v>31</v>
      </c>
      <c r="C627">
        <v>1</v>
      </c>
      <c r="D627" t="s">
        <v>30</v>
      </c>
      <c r="E627" s="6">
        <v>46066.673611111109</v>
      </c>
      <c r="F627" s="18">
        <f t="shared" si="27"/>
        <v>2.0833333328482695E-2</v>
      </c>
      <c r="G627" s="19">
        <f t="shared" si="28"/>
        <v>0.49999999988358468</v>
      </c>
      <c r="H627" s="20">
        <f t="shared" si="29"/>
        <v>29.999999993015081</v>
      </c>
    </row>
    <row r="628" spans="1:8" hidden="1" x14ac:dyDescent="0.25">
      <c r="A628">
        <v>644</v>
      </c>
      <c r="B628" t="s">
        <v>31</v>
      </c>
      <c r="C628">
        <v>1</v>
      </c>
      <c r="D628" t="s">
        <v>30</v>
      </c>
      <c r="E628" s="6">
        <v>46066.902777777781</v>
      </c>
      <c r="F628" s="18">
        <f t="shared" si="27"/>
        <v>0.22916666667151731</v>
      </c>
      <c r="G628" s="19">
        <f t="shared" si="28"/>
        <v>5.5000000001164153</v>
      </c>
      <c r="H628" s="20">
        <f t="shared" si="29"/>
        <v>330.00000000698492</v>
      </c>
    </row>
    <row r="629" spans="1:8" hidden="1" x14ac:dyDescent="0.25">
      <c r="A629">
        <v>645</v>
      </c>
      <c r="B629" t="s">
        <v>31</v>
      </c>
      <c r="C629">
        <v>1</v>
      </c>
      <c r="D629" t="s">
        <v>35</v>
      </c>
      <c r="E629" s="6">
        <v>46067.229166666664</v>
      </c>
      <c r="F629" s="18">
        <f t="shared" si="27"/>
        <v>0.32638888888322981</v>
      </c>
      <c r="G629" s="19">
        <f t="shared" si="28"/>
        <v>7.8333333331975155</v>
      </c>
      <c r="H629" s="20">
        <f t="shared" si="29"/>
        <v>469.99999999185093</v>
      </c>
    </row>
    <row r="630" spans="1:8" hidden="1" x14ac:dyDescent="0.25">
      <c r="A630">
        <v>646</v>
      </c>
      <c r="B630" t="s">
        <v>31</v>
      </c>
      <c r="C630">
        <v>1</v>
      </c>
      <c r="D630" t="s">
        <v>35</v>
      </c>
      <c r="E630" s="6">
        <v>46067.229166666664</v>
      </c>
      <c r="F630" s="18">
        <f t="shared" si="27"/>
        <v>0</v>
      </c>
      <c r="G630" s="19">
        <f t="shared" si="28"/>
        <v>0</v>
      </c>
      <c r="H630" s="19">
        <f t="shared" si="29"/>
        <v>0</v>
      </c>
    </row>
    <row r="631" spans="1:8" x14ac:dyDescent="0.25">
      <c r="A631">
        <v>639</v>
      </c>
      <c r="B631" t="s">
        <v>31</v>
      </c>
      <c r="C631">
        <v>1</v>
      </c>
      <c r="D631" t="s">
        <v>36</v>
      </c>
      <c r="E631" s="6">
        <v>46067.354166666664</v>
      </c>
      <c r="F631" s="18">
        <f t="shared" si="27"/>
        <v>0.125</v>
      </c>
      <c r="G631" s="19">
        <f t="shared" si="28"/>
        <v>3</v>
      </c>
      <c r="H631" s="20">
        <f t="shared" si="29"/>
        <v>180</v>
      </c>
    </row>
    <row r="632" spans="1:8" x14ac:dyDescent="0.25">
      <c r="A632">
        <v>637</v>
      </c>
      <c r="B632" t="s">
        <v>33</v>
      </c>
      <c r="C632">
        <v>1</v>
      </c>
      <c r="D632" t="s">
        <v>34</v>
      </c>
      <c r="E632" s="6">
        <v>46067.363888888889</v>
      </c>
      <c r="F632" s="18">
        <f t="shared" si="27"/>
        <v>9.7222222248092294E-3</v>
      </c>
      <c r="G632" s="19">
        <f t="shared" si="28"/>
        <v>0.2333333333954215</v>
      </c>
      <c r="H632" s="20">
        <f t="shared" si="29"/>
        <v>14.00000000372529</v>
      </c>
    </row>
    <row r="633" spans="1:8" x14ac:dyDescent="0.25">
      <c r="A633">
        <v>647</v>
      </c>
      <c r="B633" t="s">
        <v>33</v>
      </c>
      <c r="C633">
        <v>1</v>
      </c>
      <c r="D633" t="s">
        <v>30</v>
      </c>
      <c r="E633" s="6">
        <v>46067.458333333336</v>
      </c>
      <c r="F633" s="18">
        <f t="shared" si="27"/>
        <v>9.4444444446708076E-2</v>
      </c>
      <c r="G633" s="19">
        <f t="shared" si="28"/>
        <v>2.2666666667209938</v>
      </c>
      <c r="H633" s="20">
        <f t="shared" si="29"/>
        <v>136.00000000325963</v>
      </c>
    </row>
    <row r="634" spans="1:8" x14ac:dyDescent="0.25">
      <c r="A634">
        <v>638</v>
      </c>
      <c r="B634" t="s">
        <v>33</v>
      </c>
      <c r="C634">
        <v>1</v>
      </c>
      <c r="D634" t="s">
        <v>37</v>
      </c>
      <c r="E634" s="6">
        <v>46067.472222222219</v>
      </c>
      <c r="F634" s="18">
        <f t="shared" si="27"/>
        <v>1.3888888883229811E-2</v>
      </c>
      <c r="G634" s="19">
        <f t="shared" si="28"/>
        <v>0.33333333319751546</v>
      </c>
      <c r="H634" s="20">
        <f t="shared" si="29"/>
        <v>19.999999991850927</v>
      </c>
    </row>
    <row r="635" spans="1:8" x14ac:dyDescent="0.25">
      <c r="A635">
        <v>643</v>
      </c>
      <c r="B635" t="s">
        <v>29</v>
      </c>
      <c r="C635">
        <v>1</v>
      </c>
      <c r="D635" t="s">
        <v>30</v>
      </c>
      <c r="E635" s="6">
        <v>46067.520833333336</v>
      </c>
      <c r="F635" s="18">
        <f t="shared" si="27"/>
        <v>4.8611111116770189E-2</v>
      </c>
      <c r="G635" s="19">
        <f t="shared" si="28"/>
        <v>1.1666666668024845</v>
      </c>
      <c r="H635" s="20">
        <f t="shared" si="29"/>
        <v>70.000000008149073</v>
      </c>
    </row>
    <row r="636" spans="1:8" x14ac:dyDescent="0.25">
      <c r="A636">
        <v>649</v>
      </c>
      <c r="B636" t="s">
        <v>31</v>
      </c>
      <c r="C636">
        <v>1</v>
      </c>
      <c r="D636" t="s">
        <v>30</v>
      </c>
      <c r="E636" s="6">
        <v>46067.611111111109</v>
      </c>
      <c r="F636" s="18">
        <f t="shared" si="27"/>
        <v>9.0277777773735579E-2</v>
      </c>
      <c r="G636" s="19">
        <f t="shared" si="28"/>
        <v>2.1666666665696539</v>
      </c>
      <c r="H636" s="20">
        <f t="shared" si="29"/>
        <v>129.99999999417923</v>
      </c>
    </row>
    <row r="637" spans="1:8" x14ac:dyDescent="0.25">
      <c r="A637">
        <v>648</v>
      </c>
      <c r="B637" t="s">
        <v>31</v>
      </c>
      <c r="C637">
        <v>1</v>
      </c>
      <c r="D637" t="s">
        <v>30</v>
      </c>
      <c r="E637" s="6">
        <v>46067.690972222219</v>
      </c>
      <c r="F637" s="18">
        <f t="shared" si="27"/>
        <v>7.9861111109494232E-2</v>
      </c>
      <c r="G637" s="19">
        <f t="shared" si="28"/>
        <v>1.9166666666278616</v>
      </c>
      <c r="H637" s="20">
        <f t="shared" si="29"/>
        <v>114.99999999767169</v>
      </c>
    </row>
    <row r="638" spans="1:8" x14ac:dyDescent="0.25">
      <c r="A638">
        <v>636</v>
      </c>
      <c r="B638" t="s">
        <v>29</v>
      </c>
      <c r="C638">
        <v>1</v>
      </c>
      <c r="D638" t="s">
        <v>30</v>
      </c>
      <c r="E638" s="6">
        <v>46067.708333333336</v>
      </c>
      <c r="F638" s="18">
        <f t="shared" si="27"/>
        <v>1.7361111116770189E-2</v>
      </c>
      <c r="G638" s="19">
        <f t="shared" si="28"/>
        <v>0.41666666680248454</v>
      </c>
      <c r="H638" s="20">
        <f t="shared" si="29"/>
        <v>25.000000008149073</v>
      </c>
    </row>
    <row r="639" spans="1:8" x14ac:dyDescent="0.25">
      <c r="A639">
        <v>652</v>
      </c>
      <c r="B639" t="s">
        <v>33</v>
      </c>
      <c r="C639">
        <v>1</v>
      </c>
      <c r="D639" t="s">
        <v>30</v>
      </c>
      <c r="E639" s="6">
        <v>46067.809027777781</v>
      </c>
      <c r="F639" s="18">
        <f t="shared" si="27"/>
        <v>0.10069444444525288</v>
      </c>
      <c r="G639" s="19">
        <f t="shared" si="28"/>
        <v>2.4166666666860692</v>
      </c>
      <c r="H639" s="20">
        <f t="shared" si="29"/>
        <v>145.00000000116415</v>
      </c>
    </row>
    <row r="640" spans="1:8" x14ac:dyDescent="0.25">
      <c r="A640">
        <v>653</v>
      </c>
      <c r="B640" t="s">
        <v>29</v>
      </c>
      <c r="C640">
        <v>1</v>
      </c>
      <c r="D640" t="s">
        <v>30</v>
      </c>
      <c r="E640" s="6">
        <v>46067.888888888891</v>
      </c>
      <c r="F640" s="18">
        <f t="shared" si="27"/>
        <v>7.9861111109494232E-2</v>
      </c>
      <c r="G640" s="19">
        <f t="shared" si="28"/>
        <v>1.9166666666278616</v>
      </c>
      <c r="H640" s="20">
        <f t="shared" si="29"/>
        <v>114.99999999767169</v>
      </c>
    </row>
    <row r="641" spans="1:8" x14ac:dyDescent="0.25">
      <c r="A641">
        <v>655</v>
      </c>
      <c r="B641" t="s">
        <v>29</v>
      </c>
      <c r="C641">
        <v>1</v>
      </c>
      <c r="D641" t="s">
        <v>30</v>
      </c>
      <c r="E641" s="6">
        <v>46068.03125</v>
      </c>
      <c r="F641" s="18">
        <f t="shared" si="27"/>
        <v>0.14236111110949423</v>
      </c>
      <c r="G641" s="19">
        <f t="shared" si="28"/>
        <v>3.4166666666278616</v>
      </c>
      <c r="H641" s="20">
        <f t="shared" si="29"/>
        <v>204.99999999767169</v>
      </c>
    </row>
    <row r="642" spans="1:8" x14ac:dyDescent="0.25">
      <c r="A642">
        <v>656</v>
      </c>
      <c r="B642" t="s">
        <v>29</v>
      </c>
      <c r="C642">
        <v>1</v>
      </c>
      <c r="D642" t="s">
        <v>34</v>
      </c>
      <c r="E642" s="6">
        <v>46068.072916666664</v>
      </c>
      <c r="F642" s="18">
        <f t="shared" si="27"/>
        <v>4.1666666664241347E-2</v>
      </c>
      <c r="G642" s="19">
        <f t="shared" si="28"/>
        <v>0.99999999994179234</v>
      </c>
      <c r="H642" s="20">
        <f t="shared" si="29"/>
        <v>59.99999999650754</v>
      </c>
    </row>
    <row r="643" spans="1:8" hidden="1" x14ac:dyDescent="0.25">
      <c r="A643">
        <v>651</v>
      </c>
      <c r="B643" t="s">
        <v>33</v>
      </c>
      <c r="C643">
        <v>1</v>
      </c>
      <c r="D643" t="s">
        <v>35</v>
      </c>
      <c r="E643" s="6">
        <v>46068.364583333336</v>
      </c>
      <c r="F643" s="18">
        <f t="shared" si="27"/>
        <v>0.29166666667151731</v>
      </c>
      <c r="G643" s="19">
        <f t="shared" si="28"/>
        <v>7.0000000001164153</v>
      </c>
      <c r="H643" s="20">
        <f t="shared" si="29"/>
        <v>420.00000000698492</v>
      </c>
    </row>
    <row r="644" spans="1:8" x14ac:dyDescent="0.25">
      <c r="A644">
        <v>654</v>
      </c>
      <c r="B644" t="s">
        <v>33</v>
      </c>
      <c r="C644">
        <v>1</v>
      </c>
      <c r="D644" t="s">
        <v>30</v>
      </c>
      <c r="E644" s="6">
        <v>46068.416666666664</v>
      </c>
      <c r="F644" s="18">
        <f t="shared" si="27"/>
        <v>5.2083333328482695E-2</v>
      </c>
      <c r="G644" s="19">
        <f t="shared" si="28"/>
        <v>1.2499999998835847</v>
      </c>
      <c r="H644" s="20">
        <f t="shared" si="29"/>
        <v>74.999999993015081</v>
      </c>
    </row>
    <row r="645" spans="1:8" x14ac:dyDescent="0.25">
      <c r="A645">
        <v>658</v>
      </c>
      <c r="B645" t="s">
        <v>29</v>
      </c>
      <c r="C645">
        <v>1</v>
      </c>
      <c r="D645" t="s">
        <v>34</v>
      </c>
      <c r="E645" s="6">
        <v>46068.423611111109</v>
      </c>
      <c r="F645" s="18">
        <f t="shared" ref="F645:F708" si="30">E645-E644</f>
        <v>6.9444444452528842E-3</v>
      </c>
      <c r="G645" s="19">
        <f t="shared" ref="G645:G708" si="31">F645*24</f>
        <v>0.16666666668606922</v>
      </c>
      <c r="H645" s="20">
        <f t="shared" ref="H645:H708" si="32">G645*60</f>
        <v>10.000000001164153</v>
      </c>
    </row>
    <row r="646" spans="1:8" x14ac:dyDescent="0.25">
      <c r="A646">
        <v>657</v>
      </c>
      <c r="B646" t="s">
        <v>29</v>
      </c>
      <c r="C646">
        <v>1</v>
      </c>
      <c r="D646" t="s">
        <v>30</v>
      </c>
      <c r="E646" s="6">
        <v>46068.475694444445</v>
      </c>
      <c r="F646" s="18">
        <f t="shared" si="30"/>
        <v>5.2083333335758653E-2</v>
      </c>
      <c r="G646" s="19">
        <f t="shared" si="31"/>
        <v>1.2500000000582077</v>
      </c>
      <c r="H646" s="20">
        <f t="shared" si="32"/>
        <v>75.00000000349246</v>
      </c>
    </row>
    <row r="647" spans="1:8" hidden="1" x14ac:dyDescent="0.25">
      <c r="A647">
        <v>663</v>
      </c>
      <c r="B647" t="s">
        <v>29</v>
      </c>
      <c r="C647">
        <v>1</v>
      </c>
      <c r="D647" t="s">
        <v>35</v>
      </c>
      <c r="E647" s="6">
        <v>46068.71875</v>
      </c>
      <c r="F647" s="18">
        <f t="shared" si="30"/>
        <v>0.24305555555474712</v>
      </c>
      <c r="G647" s="19">
        <f t="shared" si="31"/>
        <v>5.8333333333139308</v>
      </c>
      <c r="H647" s="20">
        <f t="shared" si="32"/>
        <v>349.99999999883585</v>
      </c>
    </row>
    <row r="648" spans="1:8" x14ac:dyDescent="0.25">
      <c r="A648">
        <v>664</v>
      </c>
      <c r="B648" t="s">
        <v>29</v>
      </c>
      <c r="C648">
        <v>1</v>
      </c>
      <c r="D648" t="s">
        <v>30</v>
      </c>
      <c r="E648" s="6">
        <v>46068.836805555555</v>
      </c>
      <c r="F648" s="18">
        <f t="shared" si="30"/>
        <v>0.11805555555474712</v>
      </c>
      <c r="G648" s="19">
        <f t="shared" si="31"/>
        <v>2.8333333333139308</v>
      </c>
      <c r="H648" s="20">
        <f t="shared" si="32"/>
        <v>169.99999999883585</v>
      </c>
    </row>
    <row r="649" spans="1:8" x14ac:dyDescent="0.25">
      <c r="A649">
        <v>665</v>
      </c>
      <c r="B649" t="s">
        <v>31</v>
      </c>
      <c r="C649">
        <v>1</v>
      </c>
      <c r="D649" t="s">
        <v>30</v>
      </c>
      <c r="E649" s="6">
        <v>46068.868055555555</v>
      </c>
      <c r="F649" s="18">
        <f t="shared" si="30"/>
        <v>3.125E-2</v>
      </c>
      <c r="G649" s="19">
        <f t="shared" si="31"/>
        <v>0.75</v>
      </c>
      <c r="H649" s="20">
        <f t="shared" si="32"/>
        <v>45</v>
      </c>
    </row>
    <row r="650" spans="1:8" x14ac:dyDescent="0.25">
      <c r="A650">
        <v>668</v>
      </c>
      <c r="B650" t="s">
        <v>31</v>
      </c>
      <c r="C650">
        <v>1</v>
      </c>
      <c r="D650" t="s">
        <v>30</v>
      </c>
      <c r="E650" s="6">
        <v>46068.975694444445</v>
      </c>
      <c r="F650" s="18">
        <f t="shared" si="30"/>
        <v>0.10763888889050577</v>
      </c>
      <c r="G650" s="19">
        <f t="shared" si="31"/>
        <v>2.5833333333721384</v>
      </c>
      <c r="H650" s="20">
        <f t="shared" si="32"/>
        <v>155.00000000232831</v>
      </c>
    </row>
    <row r="651" spans="1:8" x14ac:dyDescent="0.25">
      <c r="A651">
        <v>666</v>
      </c>
      <c r="B651" t="s">
        <v>33</v>
      </c>
      <c r="C651">
        <v>1</v>
      </c>
      <c r="D651" t="s">
        <v>30</v>
      </c>
      <c r="E651" s="6">
        <v>46069.024305555555</v>
      </c>
      <c r="F651" s="18">
        <f t="shared" si="30"/>
        <v>4.8611111109494232E-2</v>
      </c>
      <c r="G651" s="19">
        <f t="shared" si="31"/>
        <v>1.1666666666278616</v>
      </c>
      <c r="H651" s="20">
        <f t="shared" si="32"/>
        <v>69.999999997671694</v>
      </c>
    </row>
    <row r="652" spans="1:8" x14ac:dyDescent="0.25">
      <c r="A652">
        <v>667</v>
      </c>
      <c r="B652" t="s">
        <v>33</v>
      </c>
      <c r="C652">
        <v>1</v>
      </c>
      <c r="D652" t="s">
        <v>30</v>
      </c>
      <c r="E652" s="6">
        <v>46069.091666666667</v>
      </c>
      <c r="F652" s="18">
        <f t="shared" si="30"/>
        <v>6.7361111112404615E-2</v>
      </c>
      <c r="G652" s="19">
        <f t="shared" si="31"/>
        <v>1.6166666666977108</v>
      </c>
      <c r="H652" s="20">
        <f t="shared" si="32"/>
        <v>97.000000001862645</v>
      </c>
    </row>
    <row r="653" spans="1:8" x14ac:dyDescent="0.25">
      <c r="A653">
        <v>669</v>
      </c>
      <c r="B653" t="s">
        <v>31</v>
      </c>
      <c r="C653">
        <v>1</v>
      </c>
      <c r="D653" t="s">
        <v>34</v>
      </c>
      <c r="E653" s="6">
        <v>46069.201388888891</v>
      </c>
      <c r="F653" s="18">
        <f t="shared" si="30"/>
        <v>0.10972222222335404</v>
      </c>
      <c r="G653" s="19">
        <f t="shared" si="31"/>
        <v>2.6333333333604969</v>
      </c>
      <c r="H653" s="20">
        <f t="shared" si="32"/>
        <v>158.00000000162981</v>
      </c>
    </row>
    <row r="654" spans="1:8" x14ac:dyDescent="0.25">
      <c r="A654">
        <v>640</v>
      </c>
      <c r="B654" t="s">
        <v>29</v>
      </c>
      <c r="C654">
        <v>1</v>
      </c>
      <c r="D654" t="s">
        <v>36</v>
      </c>
      <c r="E654" s="6">
        <v>46069.288194444445</v>
      </c>
      <c r="F654" s="18">
        <f t="shared" si="30"/>
        <v>8.6805555554747116E-2</v>
      </c>
      <c r="G654" s="19">
        <f t="shared" si="31"/>
        <v>2.0833333333139308</v>
      </c>
      <c r="H654" s="20">
        <f t="shared" si="32"/>
        <v>124.99999999883585</v>
      </c>
    </row>
    <row r="655" spans="1:8" x14ac:dyDescent="0.25">
      <c r="A655">
        <v>642</v>
      </c>
      <c r="B655" t="s">
        <v>29</v>
      </c>
      <c r="C655">
        <v>1</v>
      </c>
      <c r="D655" t="s">
        <v>32</v>
      </c>
      <c r="E655" s="6">
        <v>46069.291666666664</v>
      </c>
      <c r="F655" s="18">
        <f t="shared" si="30"/>
        <v>3.4722222189884633E-3</v>
      </c>
      <c r="G655" s="19">
        <f t="shared" si="31"/>
        <v>8.3333333255723119E-2</v>
      </c>
      <c r="H655" s="20">
        <f t="shared" si="32"/>
        <v>4.9999999953433871</v>
      </c>
    </row>
    <row r="656" spans="1:8" hidden="1" x14ac:dyDescent="0.25">
      <c r="A656">
        <v>660</v>
      </c>
      <c r="B656" t="s">
        <v>33</v>
      </c>
      <c r="C656">
        <v>1</v>
      </c>
      <c r="D656" t="s">
        <v>36</v>
      </c>
      <c r="E656" s="6">
        <v>46069.291666666664</v>
      </c>
      <c r="F656" s="18">
        <f t="shared" si="30"/>
        <v>0</v>
      </c>
      <c r="G656" s="19">
        <f t="shared" si="31"/>
        <v>0</v>
      </c>
      <c r="H656" s="19">
        <f t="shared" si="32"/>
        <v>0</v>
      </c>
    </row>
    <row r="657" spans="1:8" x14ac:dyDescent="0.25">
      <c r="A657">
        <v>662</v>
      </c>
      <c r="B657" t="s">
        <v>31</v>
      </c>
      <c r="C657">
        <v>1</v>
      </c>
      <c r="D657" t="s">
        <v>30</v>
      </c>
      <c r="E657" s="6">
        <v>46069.333333333336</v>
      </c>
      <c r="F657" s="18">
        <f t="shared" si="30"/>
        <v>4.1666666671517305E-2</v>
      </c>
      <c r="G657" s="19">
        <f t="shared" si="31"/>
        <v>1.0000000001164153</v>
      </c>
      <c r="H657" s="20">
        <f t="shared" si="32"/>
        <v>60.000000006984919</v>
      </c>
    </row>
    <row r="658" spans="1:8" x14ac:dyDescent="0.25">
      <c r="A658">
        <v>672</v>
      </c>
      <c r="B658" t="s">
        <v>29</v>
      </c>
      <c r="C658">
        <v>1</v>
      </c>
      <c r="D658" t="s">
        <v>30</v>
      </c>
      <c r="E658" s="6">
        <v>46069.385416666664</v>
      </c>
      <c r="F658" s="18">
        <f t="shared" si="30"/>
        <v>5.2083333328482695E-2</v>
      </c>
      <c r="G658" s="19">
        <f t="shared" si="31"/>
        <v>1.2499999998835847</v>
      </c>
      <c r="H658" s="20">
        <f t="shared" si="32"/>
        <v>74.999999993015081</v>
      </c>
    </row>
    <row r="659" spans="1:8" x14ac:dyDescent="0.25">
      <c r="A659">
        <v>671</v>
      </c>
      <c r="B659" t="s">
        <v>33</v>
      </c>
      <c r="C659">
        <v>1</v>
      </c>
      <c r="D659" t="s">
        <v>30</v>
      </c>
      <c r="E659" s="6">
        <v>46069.413194444445</v>
      </c>
      <c r="F659" s="18">
        <f t="shared" si="30"/>
        <v>2.7777777781011537E-2</v>
      </c>
      <c r="G659" s="19">
        <f t="shared" si="31"/>
        <v>0.66666666674427688</v>
      </c>
      <c r="H659" s="20">
        <f t="shared" si="32"/>
        <v>40.000000004656613</v>
      </c>
    </row>
    <row r="660" spans="1:8" x14ac:dyDescent="0.25">
      <c r="A660">
        <v>673</v>
      </c>
      <c r="B660" t="s">
        <v>31</v>
      </c>
      <c r="C660">
        <v>1</v>
      </c>
      <c r="D660" t="s">
        <v>30</v>
      </c>
      <c r="E660" s="6">
        <v>46069.486111111109</v>
      </c>
      <c r="F660" s="18">
        <f t="shared" si="30"/>
        <v>7.2916666664241347E-2</v>
      </c>
      <c r="G660" s="19">
        <f t="shared" si="31"/>
        <v>1.7499999999417923</v>
      </c>
      <c r="H660" s="20">
        <f t="shared" si="32"/>
        <v>104.99999999650754</v>
      </c>
    </row>
    <row r="661" spans="1:8" x14ac:dyDescent="0.25">
      <c r="A661">
        <v>641</v>
      </c>
      <c r="B661" t="s">
        <v>29</v>
      </c>
      <c r="C661">
        <v>1</v>
      </c>
      <c r="D661" t="s">
        <v>32</v>
      </c>
      <c r="E661" s="6">
        <v>46069.510416666664</v>
      </c>
      <c r="F661" s="18">
        <f t="shared" si="30"/>
        <v>2.4305555554747116E-2</v>
      </c>
      <c r="G661" s="19">
        <f t="shared" si="31"/>
        <v>0.58333333331393078</v>
      </c>
      <c r="H661" s="20">
        <f t="shared" si="32"/>
        <v>34.999999998835847</v>
      </c>
    </row>
    <row r="662" spans="1:8" x14ac:dyDescent="0.25">
      <c r="A662">
        <v>659</v>
      </c>
      <c r="B662" t="s">
        <v>31</v>
      </c>
      <c r="C662">
        <v>1</v>
      </c>
      <c r="D662" t="s">
        <v>37</v>
      </c>
      <c r="E662" s="6">
        <v>46069.527777777781</v>
      </c>
      <c r="F662" s="18">
        <f t="shared" si="30"/>
        <v>1.7361111116770189E-2</v>
      </c>
      <c r="G662" s="19">
        <f t="shared" si="31"/>
        <v>0.41666666680248454</v>
      </c>
      <c r="H662" s="20">
        <f t="shared" si="32"/>
        <v>25.000000008149073</v>
      </c>
    </row>
    <row r="663" spans="1:8" x14ac:dyDescent="0.25">
      <c r="A663">
        <v>661</v>
      </c>
      <c r="B663" t="s">
        <v>33</v>
      </c>
      <c r="C663">
        <v>1</v>
      </c>
      <c r="D663" t="s">
        <v>36</v>
      </c>
      <c r="E663" s="6">
        <v>46069.597222222219</v>
      </c>
      <c r="F663" s="18">
        <f t="shared" si="30"/>
        <v>6.9444444437976927E-2</v>
      </c>
      <c r="G663" s="19">
        <f t="shared" si="31"/>
        <v>1.6666666665114462</v>
      </c>
      <c r="H663" s="20">
        <f t="shared" si="32"/>
        <v>99.999999990686774</v>
      </c>
    </row>
    <row r="664" spans="1:8" x14ac:dyDescent="0.25">
      <c r="A664">
        <v>670</v>
      </c>
      <c r="B664" t="s">
        <v>33</v>
      </c>
      <c r="C664">
        <v>1</v>
      </c>
      <c r="D664" t="s">
        <v>35</v>
      </c>
      <c r="E664" s="6">
        <v>46069.618055555555</v>
      </c>
      <c r="F664" s="18">
        <f t="shared" si="30"/>
        <v>2.0833333335758653E-2</v>
      </c>
      <c r="G664" s="19">
        <f t="shared" si="31"/>
        <v>0.50000000005820766</v>
      </c>
      <c r="H664" s="20">
        <f t="shared" si="32"/>
        <v>30.00000000349246</v>
      </c>
    </row>
    <row r="665" spans="1:8" x14ac:dyDescent="0.25">
      <c r="A665">
        <v>674</v>
      </c>
      <c r="B665" t="s">
        <v>31</v>
      </c>
      <c r="C665">
        <v>1</v>
      </c>
      <c r="D665" t="s">
        <v>30</v>
      </c>
      <c r="E665" s="6">
        <v>46069.732638888891</v>
      </c>
      <c r="F665" s="18">
        <f t="shared" si="30"/>
        <v>0.11458333333575865</v>
      </c>
      <c r="G665" s="19">
        <f t="shared" si="31"/>
        <v>2.7500000000582077</v>
      </c>
      <c r="H665" s="20">
        <f t="shared" si="32"/>
        <v>165.00000000349246</v>
      </c>
    </row>
    <row r="666" spans="1:8" x14ac:dyDescent="0.25">
      <c r="A666">
        <v>687</v>
      </c>
      <c r="B666" t="s">
        <v>33</v>
      </c>
      <c r="C666">
        <v>1</v>
      </c>
      <c r="D666" t="s">
        <v>30</v>
      </c>
      <c r="E666" s="6">
        <v>46069.899305555555</v>
      </c>
      <c r="F666" s="18">
        <f t="shared" si="30"/>
        <v>0.16666666666424135</v>
      </c>
      <c r="G666" s="19">
        <f t="shared" si="31"/>
        <v>3.9999999999417923</v>
      </c>
      <c r="H666" s="20">
        <f t="shared" si="32"/>
        <v>239.99999999650754</v>
      </c>
    </row>
    <row r="667" spans="1:8" x14ac:dyDescent="0.25">
      <c r="A667">
        <v>686</v>
      </c>
      <c r="B667" t="s">
        <v>31</v>
      </c>
      <c r="C667">
        <v>1</v>
      </c>
      <c r="D667" t="s">
        <v>30</v>
      </c>
      <c r="E667" s="6">
        <v>46069.904861111114</v>
      </c>
      <c r="F667" s="18">
        <f t="shared" si="30"/>
        <v>5.5555555591126904E-3</v>
      </c>
      <c r="G667" s="19">
        <f t="shared" si="31"/>
        <v>0.13333333341870457</v>
      </c>
      <c r="H667" s="20">
        <f t="shared" si="32"/>
        <v>8.0000000051222742</v>
      </c>
    </row>
    <row r="668" spans="1:8" hidden="1" x14ac:dyDescent="0.25">
      <c r="A668">
        <v>675</v>
      </c>
      <c r="B668" t="s">
        <v>31</v>
      </c>
      <c r="C668">
        <v>1</v>
      </c>
      <c r="D668" t="s">
        <v>30</v>
      </c>
      <c r="E668" s="6">
        <v>46070.291666666664</v>
      </c>
      <c r="F668" s="18">
        <f t="shared" si="30"/>
        <v>0.38680555555038154</v>
      </c>
      <c r="G668" s="19">
        <f t="shared" si="31"/>
        <v>9.283333333209157</v>
      </c>
      <c r="H668" s="20">
        <f t="shared" si="32"/>
        <v>556.99999999254942</v>
      </c>
    </row>
    <row r="669" spans="1:8" hidden="1" x14ac:dyDescent="0.25">
      <c r="A669">
        <v>683</v>
      </c>
      <c r="B669" t="s">
        <v>31</v>
      </c>
      <c r="C669">
        <v>1</v>
      </c>
      <c r="D669" t="s">
        <v>32</v>
      </c>
      <c r="E669" s="6">
        <v>46070.291666666664</v>
      </c>
      <c r="F669" s="18">
        <f t="shared" si="30"/>
        <v>0</v>
      </c>
      <c r="G669" s="19">
        <f t="shared" si="31"/>
        <v>0</v>
      </c>
      <c r="H669" s="19">
        <f t="shared" si="32"/>
        <v>0</v>
      </c>
    </row>
    <row r="670" spans="1:8" x14ac:dyDescent="0.25">
      <c r="A670">
        <v>676</v>
      </c>
      <c r="B670" t="s">
        <v>29</v>
      </c>
      <c r="C670">
        <v>1</v>
      </c>
      <c r="D670" t="s">
        <v>36</v>
      </c>
      <c r="E670" s="6">
        <v>46070.322916666664</v>
      </c>
      <c r="F670" s="18">
        <f t="shared" si="30"/>
        <v>3.125E-2</v>
      </c>
      <c r="G670" s="19">
        <f t="shared" si="31"/>
        <v>0.75</v>
      </c>
      <c r="H670" s="20">
        <f t="shared" si="32"/>
        <v>45</v>
      </c>
    </row>
    <row r="671" spans="1:8" x14ac:dyDescent="0.25">
      <c r="A671">
        <v>688</v>
      </c>
      <c r="B671" t="s">
        <v>29</v>
      </c>
      <c r="C671">
        <v>1</v>
      </c>
      <c r="D671" t="s">
        <v>36</v>
      </c>
      <c r="E671" s="6">
        <v>46070.336805555555</v>
      </c>
      <c r="F671" s="18">
        <f t="shared" si="30"/>
        <v>1.3888888890505768E-2</v>
      </c>
      <c r="G671" s="19">
        <f t="shared" si="31"/>
        <v>0.33333333337213844</v>
      </c>
      <c r="H671" s="20">
        <f t="shared" si="32"/>
        <v>20.000000002328306</v>
      </c>
    </row>
    <row r="672" spans="1:8" x14ac:dyDescent="0.25">
      <c r="A672">
        <v>681</v>
      </c>
      <c r="B672" t="s">
        <v>33</v>
      </c>
      <c r="C672">
        <v>1</v>
      </c>
      <c r="D672" t="s">
        <v>34</v>
      </c>
      <c r="E672" s="6">
        <v>46070.345833333333</v>
      </c>
      <c r="F672" s="18">
        <f t="shared" si="30"/>
        <v>9.0277777781011537E-3</v>
      </c>
      <c r="G672" s="19">
        <f t="shared" si="31"/>
        <v>0.21666666667442769</v>
      </c>
      <c r="H672" s="20">
        <f t="shared" si="32"/>
        <v>13.000000000465661</v>
      </c>
    </row>
    <row r="673" spans="1:8" x14ac:dyDescent="0.25">
      <c r="A673">
        <v>680</v>
      </c>
      <c r="B673" t="s">
        <v>29</v>
      </c>
      <c r="C673">
        <v>1</v>
      </c>
      <c r="D673" t="s">
        <v>36</v>
      </c>
      <c r="E673" s="6">
        <v>46070.420138888891</v>
      </c>
      <c r="F673" s="18">
        <f t="shared" si="30"/>
        <v>7.4305555557657499E-2</v>
      </c>
      <c r="G673" s="19">
        <f t="shared" si="31"/>
        <v>1.78333333338378</v>
      </c>
      <c r="H673" s="20">
        <f t="shared" si="32"/>
        <v>107.0000000030268</v>
      </c>
    </row>
    <row r="674" spans="1:8" x14ac:dyDescent="0.25">
      <c r="A674">
        <v>677</v>
      </c>
      <c r="B674" t="s">
        <v>33</v>
      </c>
      <c r="C674">
        <v>1</v>
      </c>
      <c r="D674" t="s">
        <v>32</v>
      </c>
      <c r="E674" s="6">
        <v>46070.458333333336</v>
      </c>
      <c r="F674" s="18">
        <f t="shared" si="30"/>
        <v>3.8194444445252884E-2</v>
      </c>
      <c r="G674" s="19">
        <f t="shared" si="31"/>
        <v>0.91666666668606922</v>
      </c>
      <c r="H674" s="20">
        <f t="shared" si="32"/>
        <v>55.000000001164153</v>
      </c>
    </row>
    <row r="675" spans="1:8" x14ac:dyDescent="0.25">
      <c r="A675">
        <v>689</v>
      </c>
      <c r="B675" t="s">
        <v>29</v>
      </c>
      <c r="C675">
        <v>1</v>
      </c>
      <c r="D675" t="s">
        <v>30</v>
      </c>
      <c r="E675" s="6">
        <v>46070.496527777781</v>
      </c>
      <c r="F675" s="18">
        <f t="shared" si="30"/>
        <v>3.8194444445252884E-2</v>
      </c>
      <c r="G675" s="19">
        <f t="shared" si="31"/>
        <v>0.91666666668606922</v>
      </c>
      <c r="H675" s="20">
        <f t="shared" si="32"/>
        <v>55.000000001164153</v>
      </c>
    </row>
    <row r="676" spans="1:8" x14ac:dyDescent="0.25">
      <c r="A676">
        <v>690</v>
      </c>
      <c r="B676" t="s">
        <v>29</v>
      </c>
      <c r="C676">
        <v>1</v>
      </c>
      <c r="D676" t="s">
        <v>30</v>
      </c>
      <c r="E676" s="6">
        <v>46070.506944444445</v>
      </c>
      <c r="F676" s="18">
        <f t="shared" si="30"/>
        <v>1.0416666664241347E-2</v>
      </c>
      <c r="G676" s="19">
        <f t="shared" si="31"/>
        <v>0.24999999994179234</v>
      </c>
      <c r="H676" s="20">
        <f t="shared" si="32"/>
        <v>14.99999999650754</v>
      </c>
    </row>
    <row r="677" spans="1:8" x14ac:dyDescent="0.25">
      <c r="A677">
        <v>679</v>
      </c>
      <c r="B677" t="s">
        <v>31</v>
      </c>
      <c r="C677">
        <v>1</v>
      </c>
      <c r="D677" t="s">
        <v>35</v>
      </c>
      <c r="E677" s="6">
        <v>46070.565972222219</v>
      </c>
      <c r="F677" s="18">
        <f t="shared" si="30"/>
        <v>5.9027777773735579E-2</v>
      </c>
      <c r="G677" s="19">
        <f t="shared" si="31"/>
        <v>1.4166666665696539</v>
      </c>
      <c r="H677" s="20">
        <f t="shared" si="32"/>
        <v>84.999999994179234</v>
      </c>
    </row>
    <row r="678" spans="1:8" x14ac:dyDescent="0.25">
      <c r="A678">
        <v>685</v>
      </c>
      <c r="B678" t="s">
        <v>31</v>
      </c>
      <c r="C678">
        <v>1</v>
      </c>
      <c r="D678" t="s">
        <v>36</v>
      </c>
      <c r="E678" s="6">
        <v>46070.59375</v>
      </c>
      <c r="F678" s="18">
        <f t="shared" si="30"/>
        <v>2.7777777781011537E-2</v>
      </c>
      <c r="G678" s="19">
        <f t="shared" si="31"/>
        <v>0.66666666674427688</v>
      </c>
      <c r="H678" s="20">
        <f t="shared" si="32"/>
        <v>40.000000004656613</v>
      </c>
    </row>
    <row r="679" spans="1:8" x14ac:dyDescent="0.25">
      <c r="A679">
        <v>682</v>
      </c>
      <c r="B679" t="s">
        <v>33</v>
      </c>
      <c r="C679">
        <v>1</v>
      </c>
      <c r="D679" t="s">
        <v>30</v>
      </c>
      <c r="E679" s="6">
        <v>46070.621527777781</v>
      </c>
      <c r="F679" s="18">
        <f t="shared" si="30"/>
        <v>2.7777777781011537E-2</v>
      </c>
      <c r="G679" s="19">
        <f t="shared" si="31"/>
        <v>0.66666666674427688</v>
      </c>
      <c r="H679" s="20">
        <f t="shared" si="32"/>
        <v>40.000000004656613</v>
      </c>
    </row>
    <row r="680" spans="1:8" x14ac:dyDescent="0.25">
      <c r="A680">
        <v>691</v>
      </c>
      <c r="B680" t="s">
        <v>31</v>
      </c>
      <c r="C680">
        <v>1</v>
      </c>
      <c r="D680" t="s">
        <v>32</v>
      </c>
      <c r="E680" s="6">
        <v>46070.628472222219</v>
      </c>
      <c r="F680" s="18">
        <f t="shared" si="30"/>
        <v>6.9444444379769266E-3</v>
      </c>
      <c r="G680" s="19">
        <f t="shared" si="31"/>
        <v>0.16666666651144624</v>
      </c>
      <c r="H680" s="20">
        <f t="shared" si="32"/>
        <v>9.9999999906867743</v>
      </c>
    </row>
    <row r="681" spans="1:8" x14ac:dyDescent="0.25">
      <c r="A681">
        <v>678</v>
      </c>
      <c r="B681" t="s">
        <v>31</v>
      </c>
      <c r="C681">
        <v>1</v>
      </c>
      <c r="D681" t="s">
        <v>34</v>
      </c>
      <c r="E681" s="6">
        <v>46070.694444444445</v>
      </c>
      <c r="F681" s="18">
        <f t="shared" si="30"/>
        <v>6.5972222226264421E-2</v>
      </c>
      <c r="G681" s="19">
        <f t="shared" si="31"/>
        <v>1.5833333334303461</v>
      </c>
      <c r="H681" s="20">
        <f t="shared" si="32"/>
        <v>95.000000005820766</v>
      </c>
    </row>
    <row r="682" spans="1:8" hidden="1" x14ac:dyDescent="0.25">
      <c r="A682">
        <v>700</v>
      </c>
      <c r="B682" t="s">
        <v>31</v>
      </c>
      <c r="C682">
        <v>1</v>
      </c>
      <c r="D682" t="s">
        <v>30</v>
      </c>
      <c r="E682" s="6">
        <v>46070.923611111109</v>
      </c>
      <c r="F682" s="18">
        <f t="shared" si="30"/>
        <v>0.22916666666424135</v>
      </c>
      <c r="G682" s="19">
        <f t="shared" si="31"/>
        <v>5.4999999999417923</v>
      </c>
      <c r="H682" s="20">
        <f t="shared" si="32"/>
        <v>329.99999999650754</v>
      </c>
    </row>
    <row r="683" spans="1:8" hidden="1" x14ac:dyDescent="0.25">
      <c r="A683">
        <v>701</v>
      </c>
      <c r="B683" t="s">
        <v>29</v>
      </c>
      <c r="C683">
        <v>1</v>
      </c>
      <c r="D683" t="s">
        <v>30</v>
      </c>
      <c r="E683" s="6">
        <v>46070.923611111109</v>
      </c>
      <c r="F683" s="18">
        <f t="shared" si="30"/>
        <v>0</v>
      </c>
      <c r="G683" s="19">
        <f t="shared" si="31"/>
        <v>0</v>
      </c>
      <c r="H683" s="19">
        <f t="shared" si="32"/>
        <v>0</v>
      </c>
    </row>
    <row r="684" spans="1:8" hidden="1" x14ac:dyDescent="0.25">
      <c r="A684">
        <v>693</v>
      </c>
      <c r="B684" t="s">
        <v>29</v>
      </c>
      <c r="C684">
        <v>1</v>
      </c>
      <c r="D684" t="s">
        <v>34</v>
      </c>
      <c r="E684" s="6">
        <v>46071.291666666664</v>
      </c>
      <c r="F684" s="18">
        <f t="shared" si="30"/>
        <v>0.36805555555474712</v>
      </c>
      <c r="G684" s="19">
        <f t="shared" si="31"/>
        <v>8.8333333333139308</v>
      </c>
      <c r="H684" s="20">
        <f t="shared" si="32"/>
        <v>529.99999999883585</v>
      </c>
    </row>
    <row r="685" spans="1:8" x14ac:dyDescent="0.25">
      <c r="A685">
        <v>696</v>
      </c>
      <c r="B685" t="s">
        <v>31</v>
      </c>
      <c r="C685">
        <v>1</v>
      </c>
      <c r="D685" t="s">
        <v>34</v>
      </c>
      <c r="E685" s="6">
        <v>46071.298611111109</v>
      </c>
      <c r="F685" s="18">
        <f t="shared" si="30"/>
        <v>6.9444444452528842E-3</v>
      </c>
      <c r="G685" s="19">
        <f t="shared" si="31"/>
        <v>0.16666666668606922</v>
      </c>
      <c r="H685" s="20">
        <f t="shared" si="32"/>
        <v>10.000000001164153</v>
      </c>
    </row>
    <row r="686" spans="1:8" x14ac:dyDescent="0.25">
      <c r="A686">
        <v>698</v>
      </c>
      <c r="B686" t="s">
        <v>31</v>
      </c>
      <c r="C686">
        <v>1</v>
      </c>
      <c r="D686" t="s">
        <v>36</v>
      </c>
      <c r="E686" s="6">
        <v>46071.315972222219</v>
      </c>
      <c r="F686" s="18">
        <f t="shared" si="30"/>
        <v>1.7361111109494232E-2</v>
      </c>
      <c r="G686" s="19">
        <f t="shared" si="31"/>
        <v>0.41666666662786156</v>
      </c>
      <c r="H686" s="20">
        <f t="shared" si="32"/>
        <v>24.999999997671694</v>
      </c>
    </row>
    <row r="687" spans="1:8" x14ac:dyDescent="0.25">
      <c r="A687">
        <v>702</v>
      </c>
      <c r="B687" t="s">
        <v>33</v>
      </c>
      <c r="C687">
        <v>1</v>
      </c>
      <c r="D687" t="s">
        <v>30</v>
      </c>
      <c r="E687" s="6">
        <v>46071.327777777777</v>
      </c>
      <c r="F687" s="18">
        <f t="shared" si="30"/>
        <v>1.1805555557657499E-2</v>
      </c>
      <c r="G687" s="19">
        <f t="shared" si="31"/>
        <v>0.28333333338377997</v>
      </c>
      <c r="H687" s="20">
        <f t="shared" si="32"/>
        <v>17.000000003026798</v>
      </c>
    </row>
    <row r="688" spans="1:8" x14ac:dyDescent="0.25">
      <c r="A688">
        <v>497</v>
      </c>
      <c r="B688" t="s">
        <v>33</v>
      </c>
      <c r="C688">
        <v>1</v>
      </c>
      <c r="D688" t="s">
        <v>32</v>
      </c>
      <c r="E688" s="6">
        <v>46071.333333333336</v>
      </c>
      <c r="F688" s="18">
        <f t="shared" si="30"/>
        <v>5.5555555591126904E-3</v>
      </c>
      <c r="G688" s="19">
        <f t="shared" si="31"/>
        <v>0.13333333341870457</v>
      </c>
      <c r="H688" s="20">
        <f t="shared" si="32"/>
        <v>8.0000000051222742</v>
      </c>
    </row>
    <row r="689" spans="1:8" x14ac:dyDescent="0.25">
      <c r="A689">
        <v>692</v>
      </c>
      <c r="B689" t="s">
        <v>29</v>
      </c>
      <c r="C689">
        <v>1</v>
      </c>
      <c r="D689" t="s">
        <v>35</v>
      </c>
      <c r="E689" s="6">
        <v>46071.395833333336</v>
      </c>
      <c r="F689" s="18">
        <f t="shared" si="30"/>
        <v>6.25E-2</v>
      </c>
      <c r="G689" s="19">
        <f t="shared" si="31"/>
        <v>1.5</v>
      </c>
      <c r="H689" s="20">
        <f t="shared" si="32"/>
        <v>90</v>
      </c>
    </row>
    <row r="690" spans="1:8" x14ac:dyDescent="0.25">
      <c r="A690">
        <v>695</v>
      </c>
      <c r="B690" t="s">
        <v>29</v>
      </c>
      <c r="C690">
        <v>1</v>
      </c>
      <c r="D690" t="s">
        <v>30</v>
      </c>
      <c r="E690" s="6">
        <v>46071.479166666664</v>
      </c>
      <c r="F690" s="18">
        <f t="shared" si="30"/>
        <v>8.3333333328482695E-2</v>
      </c>
      <c r="G690" s="19">
        <f t="shared" si="31"/>
        <v>1.9999999998835847</v>
      </c>
      <c r="H690" s="20">
        <f t="shared" si="32"/>
        <v>119.99999999301508</v>
      </c>
    </row>
    <row r="691" spans="1:8" hidden="1" x14ac:dyDescent="0.25">
      <c r="A691">
        <v>703</v>
      </c>
      <c r="B691" t="s">
        <v>31</v>
      </c>
      <c r="C691">
        <v>1</v>
      </c>
      <c r="D691" t="s">
        <v>36</v>
      </c>
      <c r="E691" s="6">
        <v>46071.479166666664</v>
      </c>
      <c r="F691" s="18">
        <f t="shared" si="30"/>
        <v>0</v>
      </c>
      <c r="G691" s="19">
        <f t="shared" si="31"/>
        <v>0</v>
      </c>
      <c r="H691" s="19">
        <f t="shared" si="32"/>
        <v>0</v>
      </c>
    </row>
    <row r="692" spans="1:8" x14ac:dyDescent="0.25">
      <c r="A692">
        <v>694</v>
      </c>
      <c r="B692" t="s">
        <v>33</v>
      </c>
      <c r="C692">
        <v>1</v>
      </c>
      <c r="D692" t="s">
        <v>32</v>
      </c>
      <c r="E692" s="6">
        <v>46071.541666666664</v>
      </c>
      <c r="F692" s="18">
        <f t="shared" si="30"/>
        <v>6.25E-2</v>
      </c>
      <c r="G692" s="19">
        <f t="shared" si="31"/>
        <v>1.5</v>
      </c>
      <c r="H692" s="20">
        <f t="shared" si="32"/>
        <v>90</v>
      </c>
    </row>
    <row r="693" spans="1:8" x14ac:dyDescent="0.25">
      <c r="A693">
        <v>697</v>
      </c>
      <c r="B693" t="s">
        <v>31</v>
      </c>
      <c r="C693">
        <v>1</v>
      </c>
      <c r="D693" t="s">
        <v>37</v>
      </c>
      <c r="E693" s="6">
        <v>46071.621527777781</v>
      </c>
      <c r="F693" s="18">
        <f t="shared" si="30"/>
        <v>7.9861111116770189E-2</v>
      </c>
      <c r="G693" s="19">
        <f t="shared" si="31"/>
        <v>1.9166666668024845</v>
      </c>
      <c r="H693" s="20">
        <f t="shared" si="32"/>
        <v>115.00000000814907</v>
      </c>
    </row>
    <row r="694" spans="1:8" x14ac:dyDescent="0.25">
      <c r="A694">
        <v>714</v>
      </c>
      <c r="B694" t="s">
        <v>29</v>
      </c>
      <c r="C694">
        <v>1</v>
      </c>
      <c r="D694" t="s">
        <v>30</v>
      </c>
      <c r="E694" s="6">
        <v>46071.670138888891</v>
      </c>
      <c r="F694" s="18">
        <f t="shared" si="30"/>
        <v>4.8611111109494232E-2</v>
      </c>
      <c r="G694" s="19">
        <f t="shared" si="31"/>
        <v>1.1666666666278616</v>
      </c>
      <c r="H694" s="20">
        <f t="shared" si="32"/>
        <v>69.999999997671694</v>
      </c>
    </row>
    <row r="695" spans="1:8" x14ac:dyDescent="0.25">
      <c r="A695">
        <v>699</v>
      </c>
      <c r="B695" t="s">
        <v>29</v>
      </c>
      <c r="C695">
        <v>1</v>
      </c>
      <c r="D695" t="s">
        <v>32</v>
      </c>
      <c r="E695" s="6">
        <v>46071.729166666664</v>
      </c>
      <c r="F695" s="18">
        <f t="shared" si="30"/>
        <v>5.9027777773735579E-2</v>
      </c>
      <c r="G695" s="19">
        <f t="shared" si="31"/>
        <v>1.4166666665696539</v>
      </c>
      <c r="H695" s="20">
        <f t="shared" si="32"/>
        <v>84.999999994179234</v>
      </c>
    </row>
    <row r="696" spans="1:8" hidden="1" x14ac:dyDescent="0.25">
      <c r="A696">
        <v>707</v>
      </c>
      <c r="B696" t="s">
        <v>33</v>
      </c>
      <c r="C696">
        <v>1</v>
      </c>
      <c r="D696" t="s">
        <v>34</v>
      </c>
      <c r="E696" s="6">
        <v>46072.284722222219</v>
      </c>
      <c r="F696" s="18">
        <f t="shared" si="30"/>
        <v>0.55555555555474712</v>
      </c>
      <c r="G696" s="19">
        <f t="shared" si="31"/>
        <v>13.333333333313931</v>
      </c>
      <c r="H696" s="20">
        <f t="shared" si="32"/>
        <v>799.99999999883585</v>
      </c>
    </row>
    <row r="697" spans="1:8" x14ac:dyDescent="0.25">
      <c r="A697">
        <v>708</v>
      </c>
      <c r="B697" t="s">
        <v>33</v>
      </c>
      <c r="C697">
        <v>1</v>
      </c>
      <c r="D697" t="s">
        <v>36</v>
      </c>
      <c r="E697" s="6">
        <v>46072.288194444445</v>
      </c>
      <c r="F697" s="18">
        <f t="shared" si="30"/>
        <v>3.4722222262644209E-3</v>
      </c>
      <c r="G697" s="19">
        <f t="shared" si="31"/>
        <v>8.3333333430346102E-2</v>
      </c>
      <c r="H697" s="20">
        <f t="shared" si="32"/>
        <v>5.0000000058207661</v>
      </c>
    </row>
    <row r="698" spans="1:8" x14ac:dyDescent="0.25">
      <c r="A698">
        <v>711</v>
      </c>
      <c r="B698" t="s">
        <v>33</v>
      </c>
      <c r="C698">
        <v>1</v>
      </c>
      <c r="D698" t="s">
        <v>34</v>
      </c>
      <c r="E698" s="6">
        <v>46072.291666666664</v>
      </c>
      <c r="F698" s="18">
        <f t="shared" si="30"/>
        <v>3.4722222189884633E-3</v>
      </c>
      <c r="G698" s="19">
        <f t="shared" si="31"/>
        <v>8.3333333255723119E-2</v>
      </c>
      <c r="H698" s="20">
        <f t="shared" si="32"/>
        <v>4.9999999953433871</v>
      </c>
    </row>
    <row r="699" spans="1:8" x14ac:dyDescent="0.25">
      <c r="A699">
        <v>618</v>
      </c>
      <c r="B699" t="s">
        <v>29</v>
      </c>
      <c r="C699">
        <v>1</v>
      </c>
      <c r="D699" t="s">
        <v>32</v>
      </c>
      <c r="E699" s="6">
        <v>46072.305555555555</v>
      </c>
      <c r="F699" s="18">
        <f t="shared" si="30"/>
        <v>1.3888888890505768E-2</v>
      </c>
      <c r="G699" s="19">
        <f t="shared" si="31"/>
        <v>0.33333333337213844</v>
      </c>
      <c r="H699" s="20">
        <f t="shared" si="32"/>
        <v>20.000000002328306</v>
      </c>
    </row>
    <row r="700" spans="1:8" x14ac:dyDescent="0.25">
      <c r="A700">
        <v>713</v>
      </c>
      <c r="B700" t="s">
        <v>31</v>
      </c>
      <c r="C700">
        <v>1</v>
      </c>
      <c r="D700" t="s">
        <v>35</v>
      </c>
      <c r="E700" s="6">
        <v>46072.347222222219</v>
      </c>
      <c r="F700" s="18">
        <f t="shared" si="30"/>
        <v>4.1666666664241347E-2</v>
      </c>
      <c r="G700" s="19">
        <f t="shared" si="31"/>
        <v>0.99999999994179234</v>
      </c>
      <c r="H700" s="20">
        <f t="shared" si="32"/>
        <v>59.99999999650754</v>
      </c>
    </row>
    <row r="701" spans="1:8" x14ac:dyDescent="0.25">
      <c r="A701">
        <v>716</v>
      </c>
      <c r="B701" t="s">
        <v>29</v>
      </c>
      <c r="C701">
        <v>1</v>
      </c>
      <c r="D701" t="s">
        <v>30</v>
      </c>
      <c r="E701" s="6">
        <v>46072.392361111109</v>
      </c>
      <c r="F701" s="18">
        <f t="shared" si="30"/>
        <v>4.5138888890505768E-2</v>
      </c>
      <c r="G701" s="19">
        <f t="shared" si="31"/>
        <v>1.0833333333721384</v>
      </c>
      <c r="H701" s="20">
        <f t="shared" si="32"/>
        <v>65.000000002328306</v>
      </c>
    </row>
    <row r="702" spans="1:8" x14ac:dyDescent="0.25">
      <c r="A702">
        <v>619</v>
      </c>
      <c r="B702" t="s">
        <v>31</v>
      </c>
      <c r="C702">
        <v>1</v>
      </c>
      <c r="D702" t="s">
        <v>32</v>
      </c>
      <c r="E702" s="6">
        <v>46072.434027777781</v>
      </c>
      <c r="F702" s="18">
        <f t="shared" si="30"/>
        <v>4.1666666671517305E-2</v>
      </c>
      <c r="G702" s="19">
        <f t="shared" si="31"/>
        <v>1.0000000001164153</v>
      </c>
      <c r="H702" s="20">
        <f t="shared" si="32"/>
        <v>60.000000006984919</v>
      </c>
    </row>
    <row r="703" spans="1:8" x14ac:dyDescent="0.25">
      <c r="A703">
        <v>705</v>
      </c>
      <c r="B703" t="s">
        <v>29</v>
      </c>
      <c r="C703">
        <v>1</v>
      </c>
      <c r="D703" t="s">
        <v>30</v>
      </c>
      <c r="E703" s="6">
        <v>46072.440972222219</v>
      </c>
      <c r="F703" s="18">
        <f t="shared" si="30"/>
        <v>6.9444444379769266E-3</v>
      </c>
      <c r="G703" s="19">
        <f t="shared" si="31"/>
        <v>0.16666666651144624</v>
      </c>
      <c r="H703" s="20">
        <f t="shared" si="32"/>
        <v>9.9999999906867743</v>
      </c>
    </row>
    <row r="704" spans="1:8" x14ac:dyDescent="0.25">
      <c r="A704">
        <v>650</v>
      </c>
      <c r="B704" t="s">
        <v>33</v>
      </c>
      <c r="C704">
        <v>1</v>
      </c>
      <c r="D704" t="s">
        <v>37</v>
      </c>
      <c r="E704" s="6">
        <v>46072.511805555558</v>
      </c>
      <c r="F704" s="18">
        <f t="shared" si="30"/>
        <v>7.0833333338669036E-2</v>
      </c>
      <c r="G704" s="19">
        <f t="shared" si="31"/>
        <v>1.7000000001280569</v>
      </c>
      <c r="H704" s="20">
        <f t="shared" si="32"/>
        <v>102.00000000768341</v>
      </c>
    </row>
    <row r="705" spans="1:8" x14ac:dyDescent="0.25">
      <c r="A705">
        <v>710</v>
      </c>
      <c r="B705" t="s">
        <v>31</v>
      </c>
      <c r="C705">
        <v>1</v>
      </c>
      <c r="D705" t="s">
        <v>35</v>
      </c>
      <c r="E705" s="6">
        <v>46072.513888888891</v>
      </c>
      <c r="F705" s="18">
        <f t="shared" si="30"/>
        <v>2.0833333328482695E-3</v>
      </c>
      <c r="G705" s="19">
        <f t="shared" si="31"/>
        <v>4.9999999988358468E-2</v>
      </c>
      <c r="H705" s="20">
        <f t="shared" si="32"/>
        <v>2.9999999993015081</v>
      </c>
    </row>
    <row r="706" spans="1:8" x14ac:dyDescent="0.25">
      <c r="A706">
        <v>436</v>
      </c>
      <c r="B706" t="s">
        <v>29</v>
      </c>
      <c r="C706">
        <v>1</v>
      </c>
      <c r="D706" t="s">
        <v>32</v>
      </c>
      <c r="E706" s="6">
        <v>46072.534722222219</v>
      </c>
      <c r="F706" s="18">
        <f t="shared" si="30"/>
        <v>2.0833333328482695E-2</v>
      </c>
      <c r="G706" s="19">
        <f t="shared" si="31"/>
        <v>0.49999999988358468</v>
      </c>
      <c r="H706" s="20">
        <f t="shared" si="32"/>
        <v>29.999999993015081</v>
      </c>
    </row>
    <row r="707" spans="1:8" x14ac:dyDescent="0.25">
      <c r="A707">
        <v>709</v>
      </c>
      <c r="B707" t="s">
        <v>29</v>
      </c>
      <c r="C707">
        <v>1</v>
      </c>
      <c r="D707" t="s">
        <v>34</v>
      </c>
      <c r="E707" s="6">
        <v>46072.538194444445</v>
      </c>
      <c r="F707" s="18">
        <f t="shared" si="30"/>
        <v>3.4722222262644209E-3</v>
      </c>
      <c r="G707" s="19">
        <f t="shared" si="31"/>
        <v>8.3333333430346102E-2</v>
      </c>
      <c r="H707" s="20">
        <f t="shared" si="32"/>
        <v>5.0000000058207661</v>
      </c>
    </row>
    <row r="708" spans="1:8" x14ac:dyDescent="0.25">
      <c r="A708">
        <v>704</v>
      </c>
      <c r="B708" t="s">
        <v>29</v>
      </c>
      <c r="C708">
        <v>1</v>
      </c>
      <c r="D708" t="s">
        <v>32</v>
      </c>
      <c r="E708" s="6">
        <v>46072.576388888891</v>
      </c>
      <c r="F708" s="18">
        <f t="shared" si="30"/>
        <v>3.8194444445252884E-2</v>
      </c>
      <c r="G708" s="19">
        <f t="shared" si="31"/>
        <v>0.91666666668606922</v>
      </c>
      <c r="H708" s="20">
        <f t="shared" si="32"/>
        <v>55.000000001164153</v>
      </c>
    </row>
    <row r="709" spans="1:8" x14ac:dyDescent="0.25">
      <c r="A709">
        <v>712</v>
      </c>
      <c r="B709" t="s">
        <v>31</v>
      </c>
      <c r="C709">
        <v>1</v>
      </c>
      <c r="D709" t="s">
        <v>32</v>
      </c>
      <c r="E709" s="6">
        <v>46072.625</v>
      </c>
      <c r="F709" s="18">
        <f t="shared" ref="F709:F772" si="33">E709-E708</f>
        <v>4.8611111109494232E-2</v>
      </c>
      <c r="G709" s="19">
        <f t="shared" ref="G709:G772" si="34">F709*24</f>
        <v>1.1666666666278616</v>
      </c>
      <c r="H709" s="20">
        <f t="shared" ref="H709:H772" si="35">G709*60</f>
        <v>69.999999997671694</v>
      </c>
    </row>
    <row r="710" spans="1:8" x14ac:dyDescent="0.25">
      <c r="A710">
        <v>706</v>
      </c>
      <c r="B710" t="s">
        <v>33</v>
      </c>
      <c r="C710">
        <v>1</v>
      </c>
      <c r="D710" t="s">
        <v>35</v>
      </c>
      <c r="E710" s="6">
        <v>46072.680555555555</v>
      </c>
      <c r="F710" s="18">
        <f t="shared" si="33"/>
        <v>5.5555555554747116E-2</v>
      </c>
      <c r="G710" s="19">
        <f t="shared" si="34"/>
        <v>1.3333333333139308</v>
      </c>
      <c r="H710" s="20">
        <f t="shared" si="35"/>
        <v>79.999999998835847</v>
      </c>
    </row>
    <row r="711" spans="1:8" hidden="1" x14ac:dyDescent="0.25">
      <c r="A711">
        <v>721</v>
      </c>
      <c r="B711" t="s">
        <v>33</v>
      </c>
      <c r="C711">
        <v>1</v>
      </c>
      <c r="D711" t="s">
        <v>36</v>
      </c>
      <c r="E711" s="6">
        <v>46073.288194444445</v>
      </c>
      <c r="F711" s="18">
        <f t="shared" si="33"/>
        <v>0.60763888889050577</v>
      </c>
      <c r="G711" s="19">
        <f t="shared" si="34"/>
        <v>14.583333333372138</v>
      </c>
      <c r="H711" s="20">
        <f t="shared" si="35"/>
        <v>875.00000000232831</v>
      </c>
    </row>
    <row r="712" spans="1:8" x14ac:dyDescent="0.25">
      <c r="A712">
        <v>723</v>
      </c>
      <c r="B712" t="s">
        <v>29</v>
      </c>
      <c r="C712">
        <v>1</v>
      </c>
      <c r="D712" t="s">
        <v>35</v>
      </c>
      <c r="E712" s="6">
        <v>46073.291666666664</v>
      </c>
      <c r="F712" s="18">
        <f t="shared" si="33"/>
        <v>3.4722222189884633E-3</v>
      </c>
      <c r="G712" s="19">
        <f t="shared" si="34"/>
        <v>8.3333333255723119E-2</v>
      </c>
      <c r="H712" s="20">
        <f t="shared" si="35"/>
        <v>4.9999999953433871</v>
      </c>
    </row>
    <row r="713" spans="1:8" hidden="1" x14ac:dyDescent="0.25">
      <c r="A713">
        <v>729</v>
      </c>
      <c r="B713" t="s">
        <v>31</v>
      </c>
      <c r="C713">
        <v>1</v>
      </c>
      <c r="D713" t="s">
        <v>32</v>
      </c>
      <c r="E713" s="6">
        <v>46073.291666666664</v>
      </c>
      <c r="F713" s="18">
        <f t="shared" si="33"/>
        <v>0</v>
      </c>
      <c r="G713" s="19">
        <f t="shared" si="34"/>
        <v>0</v>
      </c>
      <c r="H713" s="19">
        <f t="shared" si="35"/>
        <v>0</v>
      </c>
    </row>
    <row r="714" spans="1:8" x14ac:dyDescent="0.25">
      <c r="A714">
        <v>728</v>
      </c>
      <c r="B714" t="s">
        <v>33</v>
      </c>
      <c r="C714">
        <v>1</v>
      </c>
      <c r="D714" t="s">
        <v>36</v>
      </c>
      <c r="E714" s="6">
        <v>46073.298611111109</v>
      </c>
      <c r="F714" s="18">
        <f t="shared" si="33"/>
        <v>6.9444444452528842E-3</v>
      </c>
      <c r="G714" s="19">
        <f t="shared" si="34"/>
        <v>0.16666666668606922</v>
      </c>
      <c r="H714" s="20">
        <f t="shared" si="35"/>
        <v>10.000000001164153</v>
      </c>
    </row>
    <row r="715" spans="1:8" x14ac:dyDescent="0.25">
      <c r="A715">
        <v>727</v>
      </c>
      <c r="B715" t="s">
        <v>33</v>
      </c>
      <c r="C715">
        <v>1</v>
      </c>
      <c r="D715" t="s">
        <v>30</v>
      </c>
      <c r="E715" s="6">
        <v>46073.326388888891</v>
      </c>
      <c r="F715" s="18">
        <f t="shared" si="33"/>
        <v>2.7777777781011537E-2</v>
      </c>
      <c r="G715" s="19">
        <f t="shared" si="34"/>
        <v>0.66666666674427688</v>
      </c>
      <c r="H715" s="20">
        <f t="shared" si="35"/>
        <v>40.000000004656613</v>
      </c>
    </row>
    <row r="716" spans="1:8" x14ac:dyDescent="0.25">
      <c r="A716">
        <v>720</v>
      </c>
      <c r="B716" t="s">
        <v>29</v>
      </c>
      <c r="C716">
        <v>1</v>
      </c>
      <c r="D716" t="s">
        <v>37</v>
      </c>
      <c r="E716" s="6">
        <v>46073.423611111109</v>
      </c>
      <c r="F716" s="18">
        <f t="shared" si="33"/>
        <v>9.7222222218988463E-2</v>
      </c>
      <c r="G716" s="19">
        <f t="shared" si="34"/>
        <v>2.3333333332557231</v>
      </c>
      <c r="H716" s="20">
        <f t="shared" si="35"/>
        <v>139.99999999534339</v>
      </c>
    </row>
    <row r="717" spans="1:8" x14ac:dyDescent="0.25">
      <c r="A717">
        <v>730</v>
      </c>
      <c r="B717" t="s">
        <v>31</v>
      </c>
      <c r="C717">
        <v>1</v>
      </c>
      <c r="D717" t="s">
        <v>30</v>
      </c>
      <c r="E717" s="6">
        <v>46073.513888888891</v>
      </c>
      <c r="F717" s="18">
        <f t="shared" si="33"/>
        <v>9.0277777781011537E-2</v>
      </c>
      <c r="G717" s="19">
        <f t="shared" si="34"/>
        <v>2.1666666667442769</v>
      </c>
      <c r="H717" s="20">
        <f t="shared" si="35"/>
        <v>130.00000000465661</v>
      </c>
    </row>
    <row r="718" spans="1:8" x14ac:dyDescent="0.25">
      <c r="A718">
        <v>724</v>
      </c>
      <c r="B718" t="s">
        <v>29</v>
      </c>
      <c r="C718">
        <v>1</v>
      </c>
      <c r="D718" t="s">
        <v>32</v>
      </c>
      <c r="E718" s="6">
        <v>46073.520833333336</v>
      </c>
      <c r="F718" s="18">
        <f t="shared" si="33"/>
        <v>6.9444444452528842E-3</v>
      </c>
      <c r="G718" s="19">
        <f t="shared" si="34"/>
        <v>0.16666666668606922</v>
      </c>
      <c r="H718" s="20">
        <f t="shared" si="35"/>
        <v>10.000000001164153</v>
      </c>
    </row>
    <row r="719" spans="1:8" x14ac:dyDescent="0.25">
      <c r="A719">
        <v>725</v>
      </c>
      <c r="B719" t="s">
        <v>33</v>
      </c>
      <c r="C719">
        <v>1</v>
      </c>
      <c r="D719" t="s">
        <v>30</v>
      </c>
      <c r="E719" s="6">
        <v>46073.555555555555</v>
      </c>
      <c r="F719" s="18">
        <f t="shared" si="33"/>
        <v>3.4722222218988463E-2</v>
      </c>
      <c r="G719" s="19">
        <f t="shared" si="34"/>
        <v>0.83333333325572312</v>
      </c>
      <c r="H719" s="20">
        <f t="shared" si="35"/>
        <v>49.999999995343387</v>
      </c>
    </row>
    <row r="720" spans="1:8" x14ac:dyDescent="0.25">
      <c r="A720">
        <v>718</v>
      </c>
      <c r="B720" t="s">
        <v>31</v>
      </c>
      <c r="C720">
        <v>1</v>
      </c>
      <c r="D720" t="s">
        <v>32</v>
      </c>
      <c r="E720" s="6">
        <v>46073.607638888891</v>
      </c>
      <c r="F720" s="18">
        <f t="shared" si="33"/>
        <v>5.2083333335758653E-2</v>
      </c>
      <c r="G720" s="19">
        <f t="shared" si="34"/>
        <v>1.2500000000582077</v>
      </c>
      <c r="H720" s="20">
        <f t="shared" si="35"/>
        <v>75.00000000349246</v>
      </c>
    </row>
    <row r="721" spans="1:8" x14ac:dyDescent="0.25">
      <c r="A721">
        <v>726</v>
      </c>
      <c r="B721" t="s">
        <v>33</v>
      </c>
      <c r="C721">
        <v>1</v>
      </c>
      <c r="D721" t="s">
        <v>32</v>
      </c>
      <c r="E721" s="6">
        <v>46073.625</v>
      </c>
      <c r="F721" s="18">
        <f t="shared" si="33"/>
        <v>1.7361111109494232E-2</v>
      </c>
      <c r="G721" s="19">
        <f t="shared" si="34"/>
        <v>0.41666666662786156</v>
      </c>
      <c r="H721" s="20">
        <f t="shared" si="35"/>
        <v>24.999999997671694</v>
      </c>
    </row>
    <row r="722" spans="1:8" x14ac:dyDescent="0.25">
      <c r="A722">
        <v>715</v>
      </c>
      <c r="B722" t="s">
        <v>29</v>
      </c>
      <c r="C722">
        <v>1</v>
      </c>
      <c r="D722" t="s">
        <v>30</v>
      </c>
      <c r="E722" s="6">
        <v>46073.628472222219</v>
      </c>
      <c r="F722" s="18">
        <f t="shared" si="33"/>
        <v>3.4722222189884633E-3</v>
      </c>
      <c r="G722" s="19">
        <f t="shared" si="34"/>
        <v>8.3333333255723119E-2</v>
      </c>
      <c r="H722" s="20">
        <f t="shared" si="35"/>
        <v>4.9999999953433871</v>
      </c>
    </row>
    <row r="723" spans="1:8" x14ac:dyDescent="0.25">
      <c r="A723">
        <v>722</v>
      </c>
      <c r="B723" t="s">
        <v>33</v>
      </c>
      <c r="C723">
        <v>1</v>
      </c>
      <c r="D723" t="s">
        <v>32</v>
      </c>
      <c r="E723" s="6">
        <v>46073.697916666664</v>
      </c>
      <c r="F723" s="18">
        <f t="shared" si="33"/>
        <v>6.9444444445252884E-2</v>
      </c>
      <c r="G723" s="19">
        <f t="shared" si="34"/>
        <v>1.6666666666860692</v>
      </c>
      <c r="H723" s="20">
        <f t="shared" si="35"/>
        <v>100.00000000116415</v>
      </c>
    </row>
    <row r="724" spans="1:8" x14ac:dyDescent="0.25">
      <c r="A724">
        <v>738</v>
      </c>
      <c r="B724" t="s">
        <v>31</v>
      </c>
      <c r="C724">
        <v>1</v>
      </c>
      <c r="D724" t="s">
        <v>30</v>
      </c>
      <c r="E724" s="6">
        <v>46073.7</v>
      </c>
      <c r="F724" s="18">
        <f t="shared" si="33"/>
        <v>2.0833333328482695E-3</v>
      </c>
      <c r="G724" s="19">
        <f t="shared" si="34"/>
        <v>4.9999999988358468E-2</v>
      </c>
      <c r="H724" s="20">
        <f t="shared" si="35"/>
        <v>2.9999999993015081</v>
      </c>
    </row>
    <row r="725" spans="1:8" x14ac:dyDescent="0.25">
      <c r="A725">
        <v>719</v>
      </c>
      <c r="B725" t="s">
        <v>31</v>
      </c>
      <c r="C725">
        <v>1</v>
      </c>
      <c r="D725" t="s">
        <v>35</v>
      </c>
      <c r="E725" s="6">
        <v>46073.708333333336</v>
      </c>
      <c r="F725" s="18">
        <f t="shared" si="33"/>
        <v>8.3333333386690356E-3</v>
      </c>
      <c r="G725" s="19">
        <f t="shared" si="34"/>
        <v>0.20000000012805685</v>
      </c>
      <c r="H725" s="20">
        <f t="shared" si="35"/>
        <v>12.000000007683411</v>
      </c>
    </row>
    <row r="726" spans="1:8" x14ac:dyDescent="0.25">
      <c r="A726">
        <v>740</v>
      </c>
      <c r="B726" t="s">
        <v>31</v>
      </c>
      <c r="C726">
        <v>1</v>
      </c>
      <c r="D726" t="s">
        <v>30</v>
      </c>
      <c r="E726" s="6">
        <v>46073.834722222222</v>
      </c>
      <c r="F726" s="18">
        <f t="shared" si="33"/>
        <v>0.12638888888614019</v>
      </c>
      <c r="G726" s="19">
        <f t="shared" si="34"/>
        <v>3.0333333332673647</v>
      </c>
      <c r="H726" s="20">
        <f t="shared" si="35"/>
        <v>181.99999999604188</v>
      </c>
    </row>
    <row r="727" spans="1:8" x14ac:dyDescent="0.25">
      <c r="A727">
        <v>735</v>
      </c>
      <c r="B727" t="s">
        <v>33</v>
      </c>
      <c r="C727">
        <v>1</v>
      </c>
      <c r="D727" t="s">
        <v>30</v>
      </c>
      <c r="E727" s="6">
        <v>46073.885416666664</v>
      </c>
      <c r="F727" s="18">
        <f t="shared" si="33"/>
        <v>5.0694444442342501E-2</v>
      </c>
      <c r="G727" s="19">
        <f t="shared" si="34"/>
        <v>1.21666666661622</v>
      </c>
      <c r="H727" s="20">
        <f t="shared" si="35"/>
        <v>72.999999996973202</v>
      </c>
    </row>
    <row r="728" spans="1:8" x14ac:dyDescent="0.25">
      <c r="A728">
        <v>741</v>
      </c>
      <c r="B728" t="s">
        <v>33</v>
      </c>
      <c r="C728">
        <v>1</v>
      </c>
      <c r="D728" t="s">
        <v>30</v>
      </c>
      <c r="E728" s="6">
        <v>46073.984027777777</v>
      </c>
      <c r="F728" s="18">
        <f t="shared" si="33"/>
        <v>9.8611111112404615E-2</v>
      </c>
      <c r="G728" s="19">
        <f t="shared" si="34"/>
        <v>2.3666666666977108</v>
      </c>
      <c r="H728" s="20">
        <f t="shared" si="35"/>
        <v>142.00000000186265</v>
      </c>
    </row>
    <row r="729" spans="1:8" hidden="1" x14ac:dyDescent="0.25">
      <c r="A729">
        <v>734</v>
      </c>
      <c r="B729" t="s">
        <v>31</v>
      </c>
      <c r="C729">
        <v>1</v>
      </c>
      <c r="D729" t="s">
        <v>37</v>
      </c>
      <c r="E729" s="6">
        <v>46074.368055555555</v>
      </c>
      <c r="F729" s="18">
        <f t="shared" si="33"/>
        <v>0.38402777777810115</v>
      </c>
      <c r="G729" s="19">
        <f t="shared" si="34"/>
        <v>9.2166666666744277</v>
      </c>
      <c r="H729" s="20">
        <f t="shared" si="35"/>
        <v>553.00000000046566</v>
      </c>
    </row>
    <row r="730" spans="1:8" x14ac:dyDescent="0.25">
      <c r="A730">
        <v>742</v>
      </c>
      <c r="B730" t="s">
        <v>31</v>
      </c>
      <c r="C730">
        <v>1</v>
      </c>
      <c r="D730" t="s">
        <v>35</v>
      </c>
      <c r="E730" s="6">
        <v>46074.378472222219</v>
      </c>
      <c r="F730" s="18">
        <f t="shared" si="33"/>
        <v>1.0416666664241347E-2</v>
      </c>
      <c r="G730" s="19">
        <f t="shared" si="34"/>
        <v>0.24999999994179234</v>
      </c>
      <c r="H730" s="20">
        <f t="shared" si="35"/>
        <v>14.99999999650754</v>
      </c>
    </row>
    <row r="731" spans="1:8" x14ac:dyDescent="0.25">
      <c r="A731">
        <v>732</v>
      </c>
      <c r="B731" t="s">
        <v>31</v>
      </c>
      <c r="C731">
        <v>1</v>
      </c>
      <c r="D731" t="s">
        <v>34</v>
      </c>
      <c r="E731" s="6">
        <v>46074.381944444445</v>
      </c>
      <c r="F731" s="18">
        <f t="shared" si="33"/>
        <v>3.4722222262644209E-3</v>
      </c>
      <c r="G731" s="19">
        <f t="shared" si="34"/>
        <v>8.3333333430346102E-2</v>
      </c>
      <c r="H731" s="20">
        <f t="shared" si="35"/>
        <v>5.0000000058207661</v>
      </c>
    </row>
    <row r="732" spans="1:8" x14ac:dyDescent="0.25">
      <c r="A732">
        <v>743</v>
      </c>
      <c r="B732" t="s">
        <v>31</v>
      </c>
      <c r="C732">
        <v>1</v>
      </c>
      <c r="D732" t="s">
        <v>30</v>
      </c>
      <c r="E732" s="6">
        <v>46074.430555555555</v>
      </c>
      <c r="F732" s="18">
        <f t="shared" si="33"/>
        <v>4.8611111109494232E-2</v>
      </c>
      <c r="G732" s="19">
        <f t="shared" si="34"/>
        <v>1.1666666666278616</v>
      </c>
      <c r="H732" s="20">
        <f t="shared" si="35"/>
        <v>69.999999997671694</v>
      </c>
    </row>
    <row r="733" spans="1:8" x14ac:dyDescent="0.25">
      <c r="A733">
        <v>731</v>
      </c>
      <c r="B733" t="s">
        <v>29</v>
      </c>
      <c r="C733">
        <v>1</v>
      </c>
      <c r="D733" t="s">
        <v>32</v>
      </c>
      <c r="E733" s="6">
        <v>46074.444444444445</v>
      </c>
      <c r="F733" s="18">
        <f t="shared" si="33"/>
        <v>1.3888888890505768E-2</v>
      </c>
      <c r="G733" s="19">
        <f t="shared" si="34"/>
        <v>0.33333333337213844</v>
      </c>
      <c r="H733" s="20">
        <f t="shared" si="35"/>
        <v>20.000000002328306</v>
      </c>
    </row>
    <row r="734" spans="1:8" x14ac:dyDescent="0.25">
      <c r="A734">
        <v>744</v>
      </c>
      <c r="B734" t="s">
        <v>29</v>
      </c>
      <c r="C734">
        <v>1</v>
      </c>
      <c r="D734" t="s">
        <v>35</v>
      </c>
      <c r="E734" s="6">
        <v>46074.527777777781</v>
      </c>
      <c r="F734" s="18">
        <f t="shared" si="33"/>
        <v>8.3333333335758653E-2</v>
      </c>
      <c r="G734" s="19">
        <f t="shared" si="34"/>
        <v>2.0000000000582077</v>
      </c>
      <c r="H734" s="20">
        <f t="shared" si="35"/>
        <v>120.00000000349246</v>
      </c>
    </row>
    <row r="735" spans="1:8" x14ac:dyDescent="0.25">
      <c r="A735">
        <v>733</v>
      </c>
      <c r="B735" t="s">
        <v>33</v>
      </c>
      <c r="C735">
        <v>1</v>
      </c>
      <c r="D735" t="s">
        <v>34</v>
      </c>
      <c r="E735" s="6">
        <v>46074.580555555556</v>
      </c>
      <c r="F735" s="18">
        <f t="shared" si="33"/>
        <v>5.2777777775190771E-2</v>
      </c>
      <c r="G735" s="19">
        <f t="shared" si="34"/>
        <v>1.2666666666045785</v>
      </c>
      <c r="H735" s="20">
        <f t="shared" si="35"/>
        <v>75.99999999627471</v>
      </c>
    </row>
    <row r="736" spans="1:8" x14ac:dyDescent="0.25">
      <c r="A736">
        <v>749</v>
      </c>
      <c r="B736" t="s">
        <v>33</v>
      </c>
      <c r="C736">
        <v>1</v>
      </c>
      <c r="D736" t="s">
        <v>35</v>
      </c>
      <c r="E736" s="6">
        <v>46074.666666666664</v>
      </c>
      <c r="F736" s="18">
        <f t="shared" si="33"/>
        <v>8.611111110803904E-2</v>
      </c>
      <c r="G736" s="19">
        <f t="shared" si="34"/>
        <v>2.066666666592937</v>
      </c>
      <c r="H736" s="20">
        <f t="shared" si="35"/>
        <v>123.99999999557622</v>
      </c>
    </row>
    <row r="737" spans="1:8" x14ac:dyDescent="0.25">
      <c r="A737">
        <v>745</v>
      </c>
      <c r="B737" t="s">
        <v>29</v>
      </c>
      <c r="C737">
        <v>1</v>
      </c>
      <c r="D737" t="s">
        <v>34</v>
      </c>
      <c r="E737" s="6">
        <v>46074.677083333336</v>
      </c>
      <c r="F737" s="18">
        <f t="shared" si="33"/>
        <v>1.0416666671517305E-2</v>
      </c>
      <c r="G737" s="19">
        <f t="shared" si="34"/>
        <v>0.25000000011641532</v>
      </c>
      <c r="H737" s="20">
        <f t="shared" si="35"/>
        <v>15.000000006984919</v>
      </c>
    </row>
    <row r="738" spans="1:8" x14ac:dyDescent="0.25">
      <c r="A738">
        <v>747</v>
      </c>
      <c r="B738" t="s">
        <v>29</v>
      </c>
      <c r="C738">
        <v>1</v>
      </c>
      <c r="D738" t="s">
        <v>30</v>
      </c>
      <c r="E738" s="6">
        <v>46074.8125</v>
      </c>
      <c r="F738" s="18">
        <f t="shared" si="33"/>
        <v>0.13541666666424135</v>
      </c>
      <c r="G738" s="19">
        <f t="shared" si="34"/>
        <v>3.2499999999417923</v>
      </c>
      <c r="H738" s="20">
        <f t="shared" si="35"/>
        <v>194.99999999650754</v>
      </c>
    </row>
    <row r="739" spans="1:8" x14ac:dyDescent="0.25">
      <c r="A739">
        <v>746</v>
      </c>
      <c r="B739" t="s">
        <v>33</v>
      </c>
      <c r="C739">
        <v>1</v>
      </c>
      <c r="D739" t="s">
        <v>30</v>
      </c>
      <c r="E739" s="6">
        <v>46074.899305555555</v>
      </c>
      <c r="F739" s="18">
        <f t="shared" si="33"/>
        <v>8.6805555554747116E-2</v>
      </c>
      <c r="G739" s="19">
        <f t="shared" si="34"/>
        <v>2.0833333333139308</v>
      </c>
      <c r="H739" s="20">
        <f t="shared" si="35"/>
        <v>124.99999999883585</v>
      </c>
    </row>
    <row r="740" spans="1:8" x14ac:dyDescent="0.25">
      <c r="A740">
        <v>750</v>
      </c>
      <c r="B740" t="s">
        <v>31</v>
      </c>
      <c r="C740">
        <v>1</v>
      </c>
      <c r="D740" t="s">
        <v>36</v>
      </c>
      <c r="E740" s="6">
        <v>46074.947916666664</v>
      </c>
      <c r="F740" s="18">
        <f t="shared" si="33"/>
        <v>4.8611111109494232E-2</v>
      </c>
      <c r="G740" s="19">
        <f t="shared" si="34"/>
        <v>1.1666666666278616</v>
      </c>
      <c r="H740" s="20">
        <f t="shared" si="35"/>
        <v>69.999999997671694</v>
      </c>
    </row>
    <row r="741" spans="1:8" hidden="1" x14ac:dyDescent="0.25">
      <c r="A741">
        <v>748</v>
      </c>
      <c r="B741" t="s">
        <v>31</v>
      </c>
      <c r="C741">
        <v>1</v>
      </c>
      <c r="D741" t="s">
        <v>35</v>
      </c>
      <c r="E741" s="6">
        <v>46075.340277777781</v>
      </c>
      <c r="F741" s="18">
        <f t="shared" si="33"/>
        <v>0.39236111111677019</v>
      </c>
      <c r="G741" s="19">
        <f t="shared" si="34"/>
        <v>9.4166666668024845</v>
      </c>
      <c r="H741" s="20">
        <f t="shared" si="35"/>
        <v>565.00000000814907</v>
      </c>
    </row>
    <row r="742" spans="1:8" x14ac:dyDescent="0.25">
      <c r="A742">
        <v>739</v>
      </c>
      <c r="B742" t="s">
        <v>29</v>
      </c>
      <c r="C742">
        <v>1</v>
      </c>
      <c r="D742" t="s">
        <v>30</v>
      </c>
      <c r="E742" s="6">
        <v>46075.423611111109</v>
      </c>
      <c r="F742" s="18">
        <f t="shared" si="33"/>
        <v>8.3333333328482695E-2</v>
      </c>
      <c r="G742" s="19">
        <f t="shared" si="34"/>
        <v>1.9999999998835847</v>
      </c>
      <c r="H742" s="20">
        <f t="shared" si="35"/>
        <v>119.99999999301508</v>
      </c>
    </row>
    <row r="743" spans="1:8" x14ac:dyDescent="0.25">
      <c r="A743">
        <v>751</v>
      </c>
      <c r="B743" t="s">
        <v>29</v>
      </c>
      <c r="C743">
        <v>1</v>
      </c>
      <c r="D743" t="s">
        <v>30</v>
      </c>
      <c r="E743" s="6">
        <v>46075.479166666664</v>
      </c>
      <c r="F743" s="18">
        <f t="shared" si="33"/>
        <v>5.5555555554747116E-2</v>
      </c>
      <c r="G743" s="19">
        <f t="shared" si="34"/>
        <v>1.3333333333139308</v>
      </c>
      <c r="H743" s="20">
        <f t="shared" si="35"/>
        <v>79.999999998835847</v>
      </c>
    </row>
    <row r="744" spans="1:8" hidden="1" x14ac:dyDescent="0.25">
      <c r="A744">
        <v>754</v>
      </c>
      <c r="B744" t="s">
        <v>31</v>
      </c>
      <c r="C744">
        <v>1</v>
      </c>
      <c r="D744" t="s">
        <v>30</v>
      </c>
      <c r="E744" s="6">
        <v>46075.895833333336</v>
      </c>
      <c r="F744" s="18">
        <f t="shared" si="33"/>
        <v>0.41666666667151731</v>
      </c>
      <c r="G744" s="19">
        <f t="shared" si="34"/>
        <v>10.000000000116415</v>
      </c>
      <c r="H744" s="20">
        <f t="shared" si="35"/>
        <v>600.00000000698492</v>
      </c>
    </row>
    <row r="745" spans="1:8" hidden="1" x14ac:dyDescent="0.25">
      <c r="A745">
        <v>752</v>
      </c>
      <c r="B745" t="s">
        <v>31</v>
      </c>
      <c r="C745">
        <v>1</v>
      </c>
      <c r="D745" t="s">
        <v>35</v>
      </c>
      <c r="E745" s="6">
        <v>46076.291666666664</v>
      </c>
      <c r="F745" s="18">
        <f t="shared" si="33"/>
        <v>0.39583333332848269</v>
      </c>
      <c r="G745" s="19">
        <f t="shared" si="34"/>
        <v>9.4999999998835847</v>
      </c>
      <c r="H745" s="20">
        <f t="shared" si="35"/>
        <v>569.99999999301508</v>
      </c>
    </row>
    <row r="746" spans="1:8" hidden="1" x14ac:dyDescent="0.25">
      <c r="A746">
        <v>753</v>
      </c>
      <c r="B746" t="s">
        <v>33</v>
      </c>
      <c r="C746">
        <v>1</v>
      </c>
      <c r="D746" t="s">
        <v>34</v>
      </c>
      <c r="E746" s="6">
        <v>46076.291666666664</v>
      </c>
      <c r="F746" s="18">
        <f t="shared" si="33"/>
        <v>0</v>
      </c>
      <c r="G746" s="19">
        <f t="shared" si="34"/>
        <v>0</v>
      </c>
      <c r="H746" s="19">
        <f t="shared" si="35"/>
        <v>0</v>
      </c>
    </row>
    <row r="747" spans="1:8" x14ac:dyDescent="0.25">
      <c r="A747">
        <v>736</v>
      </c>
      <c r="B747" t="s">
        <v>31</v>
      </c>
      <c r="C747">
        <v>1</v>
      </c>
      <c r="D747" t="s">
        <v>32</v>
      </c>
      <c r="E747" s="6">
        <v>46076.333333333336</v>
      </c>
      <c r="F747" s="18">
        <f t="shared" si="33"/>
        <v>4.1666666671517305E-2</v>
      </c>
      <c r="G747" s="19">
        <f t="shared" si="34"/>
        <v>1.0000000001164153</v>
      </c>
      <c r="H747" s="20">
        <f t="shared" si="35"/>
        <v>60.000000006984919</v>
      </c>
    </row>
    <row r="748" spans="1:8" x14ac:dyDescent="0.25">
      <c r="A748">
        <v>755</v>
      </c>
      <c r="B748" t="s">
        <v>33</v>
      </c>
      <c r="C748">
        <v>1</v>
      </c>
      <c r="D748" t="s">
        <v>30</v>
      </c>
      <c r="E748" s="6">
        <v>46076.338194444441</v>
      </c>
      <c r="F748" s="18">
        <f t="shared" si="33"/>
        <v>4.8611111051286571E-3</v>
      </c>
      <c r="G748" s="19">
        <f t="shared" si="34"/>
        <v>0.11666666652308777</v>
      </c>
      <c r="H748" s="20">
        <f t="shared" si="35"/>
        <v>6.9999999913852662</v>
      </c>
    </row>
    <row r="749" spans="1:8" x14ac:dyDescent="0.25">
      <c r="A749">
        <v>756</v>
      </c>
      <c r="B749" t="s">
        <v>33</v>
      </c>
      <c r="C749">
        <v>1</v>
      </c>
      <c r="D749" t="s">
        <v>30</v>
      </c>
      <c r="E749" s="6">
        <v>46076.376388888886</v>
      </c>
      <c r="F749" s="18">
        <f t="shared" si="33"/>
        <v>3.8194444445252884E-2</v>
      </c>
      <c r="G749" s="19">
        <f t="shared" si="34"/>
        <v>0.91666666668606922</v>
      </c>
      <c r="H749" s="20">
        <f t="shared" si="35"/>
        <v>55.000000001164153</v>
      </c>
    </row>
    <row r="750" spans="1:8" x14ac:dyDescent="0.25">
      <c r="A750">
        <v>737</v>
      </c>
      <c r="B750" t="s">
        <v>29</v>
      </c>
      <c r="C750">
        <v>1</v>
      </c>
      <c r="D750" t="s">
        <v>36</v>
      </c>
      <c r="E750" s="6">
        <v>46076.479166666664</v>
      </c>
      <c r="F750" s="18">
        <f t="shared" si="33"/>
        <v>0.10277777777810115</v>
      </c>
      <c r="G750" s="19">
        <f t="shared" si="34"/>
        <v>2.4666666666744277</v>
      </c>
      <c r="H750" s="20">
        <f t="shared" si="35"/>
        <v>148.00000000046566</v>
      </c>
    </row>
    <row r="751" spans="1:8" x14ac:dyDescent="0.25">
      <c r="A751">
        <v>758</v>
      </c>
      <c r="B751" t="s">
        <v>33</v>
      </c>
      <c r="C751">
        <v>1</v>
      </c>
      <c r="D751" t="s">
        <v>35</v>
      </c>
      <c r="E751" s="6">
        <v>46076.506944444445</v>
      </c>
      <c r="F751" s="18">
        <f t="shared" si="33"/>
        <v>2.7777777781011537E-2</v>
      </c>
      <c r="G751" s="19">
        <f t="shared" si="34"/>
        <v>0.66666666674427688</v>
      </c>
      <c r="H751" s="20">
        <f t="shared" si="35"/>
        <v>40.000000004656613</v>
      </c>
    </row>
    <row r="752" spans="1:8" x14ac:dyDescent="0.25">
      <c r="A752">
        <v>759</v>
      </c>
      <c r="B752" t="s">
        <v>29</v>
      </c>
      <c r="C752">
        <v>1</v>
      </c>
      <c r="D752" t="s">
        <v>30</v>
      </c>
      <c r="E752" s="6">
        <v>46076.621527777781</v>
      </c>
      <c r="F752" s="18">
        <f t="shared" si="33"/>
        <v>0.11458333333575865</v>
      </c>
      <c r="G752" s="19">
        <f t="shared" si="34"/>
        <v>2.7500000000582077</v>
      </c>
      <c r="H752" s="20">
        <f t="shared" si="35"/>
        <v>165.00000000349246</v>
      </c>
    </row>
    <row r="753" spans="1:8" x14ac:dyDescent="0.25">
      <c r="A753">
        <v>762</v>
      </c>
      <c r="B753" t="s">
        <v>33</v>
      </c>
      <c r="C753">
        <v>1</v>
      </c>
      <c r="D753" t="s">
        <v>32</v>
      </c>
      <c r="E753" s="6">
        <v>46076.635416666664</v>
      </c>
      <c r="F753" s="18">
        <f t="shared" si="33"/>
        <v>1.3888888883229811E-2</v>
      </c>
      <c r="G753" s="19">
        <f t="shared" si="34"/>
        <v>0.33333333319751546</v>
      </c>
      <c r="H753" s="20">
        <f t="shared" si="35"/>
        <v>19.999999991850927</v>
      </c>
    </row>
    <row r="754" spans="1:8" x14ac:dyDescent="0.25">
      <c r="A754">
        <v>760</v>
      </c>
      <c r="B754" t="s">
        <v>31</v>
      </c>
      <c r="C754">
        <v>1</v>
      </c>
      <c r="D754" t="s">
        <v>36</v>
      </c>
      <c r="E754" s="6">
        <v>46076.673611111109</v>
      </c>
      <c r="F754" s="18">
        <f t="shared" si="33"/>
        <v>3.8194444445252884E-2</v>
      </c>
      <c r="G754" s="19">
        <f t="shared" si="34"/>
        <v>0.91666666668606922</v>
      </c>
      <c r="H754" s="20">
        <f t="shared" si="35"/>
        <v>55.000000001164153</v>
      </c>
    </row>
    <row r="755" spans="1:8" x14ac:dyDescent="0.25">
      <c r="A755">
        <v>767</v>
      </c>
      <c r="B755" t="s">
        <v>33</v>
      </c>
      <c r="C755">
        <v>1</v>
      </c>
      <c r="D755" t="s">
        <v>34</v>
      </c>
      <c r="E755" s="6">
        <v>46076.725694444445</v>
      </c>
      <c r="F755" s="18">
        <f t="shared" si="33"/>
        <v>5.2083333335758653E-2</v>
      </c>
      <c r="G755" s="19">
        <f t="shared" si="34"/>
        <v>1.2500000000582077</v>
      </c>
      <c r="H755" s="20">
        <f t="shared" si="35"/>
        <v>75.00000000349246</v>
      </c>
    </row>
    <row r="756" spans="1:8" x14ac:dyDescent="0.25">
      <c r="A756">
        <v>761</v>
      </c>
      <c r="B756" t="s">
        <v>29</v>
      </c>
      <c r="C756">
        <v>1</v>
      </c>
      <c r="D756" t="s">
        <v>35</v>
      </c>
      <c r="E756" s="6">
        <v>46076.760416666664</v>
      </c>
      <c r="F756" s="18">
        <f t="shared" si="33"/>
        <v>3.4722222218988463E-2</v>
      </c>
      <c r="G756" s="19">
        <f t="shared" si="34"/>
        <v>0.83333333325572312</v>
      </c>
      <c r="H756" s="20">
        <f t="shared" si="35"/>
        <v>49.999999995343387</v>
      </c>
    </row>
    <row r="757" spans="1:8" x14ac:dyDescent="0.25">
      <c r="A757">
        <v>768</v>
      </c>
      <c r="B757" t="s">
        <v>31</v>
      </c>
      <c r="C757">
        <v>1</v>
      </c>
      <c r="D757" t="s">
        <v>30</v>
      </c>
      <c r="E757" s="6">
        <v>46076.840277777781</v>
      </c>
      <c r="F757" s="18">
        <f t="shared" si="33"/>
        <v>7.9861111116770189E-2</v>
      </c>
      <c r="G757" s="19">
        <f t="shared" si="34"/>
        <v>1.9166666668024845</v>
      </c>
      <c r="H757" s="20">
        <f t="shared" si="35"/>
        <v>115.00000000814907</v>
      </c>
    </row>
    <row r="758" spans="1:8" hidden="1" x14ac:dyDescent="0.25">
      <c r="A758">
        <v>717</v>
      </c>
      <c r="B758" t="s">
        <v>33</v>
      </c>
      <c r="C758">
        <v>1</v>
      </c>
      <c r="D758" t="s">
        <v>32</v>
      </c>
      <c r="E758" s="6">
        <v>46077.291666666664</v>
      </c>
      <c r="F758" s="18">
        <f t="shared" si="33"/>
        <v>0.45138888888322981</v>
      </c>
      <c r="G758" s="19">
        <f t="shared" si="34"/>
        <v>10.833333333197515</v>
      </c>
      <c r="H758" s="20">
        <f t="shared" si="35"/>
        <v>649.99999999185093</v>
      </c>
    </row>
    <row r="759" spans="1:8" hidden="1" x14ac:dyDescent="0.25">
      <c r="A759">
        <v>763</v>
      </c>
      <c r="B759" t="s">
        <v>33</v>
      </c>
      <c r="C759">
        <v>1</v>
      </c>
      <c r="D759" t="s">
        <v>36</v>
      </c>
      <c r="E759" s="6">
        <v>46077.291666666664</v>
      </c>
      <c r="F759" s="18">
        <f t="shared" si="33"/>
        <v>0</v>
      </c>
      <c r="G759" s="19">
        <f t="shared" si="34"/>
        <v>0</v>
      </c>
      <c r="H759" s="19">
        <f t="shared" si="35"/>
        <v>0</v>
      </c>
    </row>
    <row r="760" spans="1:8" hidden="1" x14ac:dyDescent="0.25">
      <c r="A760">
        <v>764</v>
      </c>
      <c r="B760" t="s">
        <v>33</v>
      </c>
      <c r="C760">
        <v>1</v>
      </c>
      <c r="D760" t="s">
        <v>34</v>
      </c>
      <c r="E760" s="6">
        <v>46077.291666666664</v>
      </c>
      <c r="F760" s="18">
        <f t="shared" si="33"/>
        <v>0</v>
      </c>
      <c r="G760" s="19">
        <f t="shared" si="34"/>
        <v>0</v>
      </c>
      <c r="H760" s="19">
        <f t="shared" si="35"/>
        <v>0</v>
      </c>
    </row>
    <row r="761" spans="1:8" x14ac:dyDescent="0.25">
      <c r="A761">
        <v>769</v>
      </c>
      <c r="B761" t="s">
        <v>33</v>
      </c>
      <c r="C761">
        <v>1</v>
      </c>
      <c r="D761" t="s">
        <v>30</v>
      </c>
      <c r="E761" s="6">
        <v>46077.347222222219</v>
      </c>
      <c r="F761" s="18">
        <f t="shared" si="33"/>
        <v>5.5555555554747116E-2</v>
      </c>
      <c r="G761" s="19">
        <f t="shared" si="34"/>
        <v>1.3333333333139308</v>
      </c>
      <c r="H761" s="20">
        <f t="shared" si="35"/>
        <v>79.999999998835847</v>
      </c>
    </row>
    <row r="762" spans="1:8" x14ac:dyDescent="0.25">
      <c r="A762">
        <v>757</v>
      </c>
      <c r="B762" t="s">
        <v>29</v>
      </c>
      <c r="C762">
        <v>1</v>
      </c>
      <c r="D762" t="s">
        <v>34</v>
      </c>
      <c r="E762" s="6">
        <v>46077.375</v>
      </c>
      <c r="F762" s="18">
        <f t="shared" si="33"/>
        <v>2.7777777781011537E-2</v>
      </c>
      <c r="G762" s="19">
        <f t="shared" si="34"/>
        <v>0.66666666674427688</v>
      </c>
      <c r="H762" s="20">
        <f t="shared" si="35"/>
        <v>40.000000004656613</v>
      </c>
    </row>
    <row r="763" spans="1:8" x14ac:dyDescent="0.25">
      <c r="A763">
        <v>620</v>
      </c>
      <c r="B763" t="s">
        <v>29</v>
      </c>
      <c r="C763">
        <v>1</v>
      </c>
      <c r="D763" t="s">
        <v>32</v>
      </c>
      <c r="E763" s="6">
        <v>46077.427083333336</v>
      </c>
      <c r="F763" s="18">
        <f t="shared" si="33"/>
        <v>5.2083333335758653E-2</v>
      </c>
      <c r="G763" s="19">
        <f t="shared" si="34"/>
        <v>1.2500000000582077</v>
      </c>
      <c r="H763" s="20">
        <f t="shared" si="35"/>
        <v>75.00000000349246</v>
      </c>
    </row>
    <row r="764" spans="1:8" x14ac:dyDescent="0.25">
      <c r="A764">
        <v>771</v>
      </c>
      <c r="B764" t="s">
        <v>31</v>
      </c>
      <c r="C764">
        <v>1</v>
      </c>
      <c r="D764" t="s">
        <v>30</v>
      </c>
      <c r="E764" s="6">
        <v>46077.53125</v>
      </c>
      <c r="F764" s="18">
        <f t="shared" si="33"/>
        <v>0.10416666666424135</v>
      </c>
      <c r="G764" s="19">
        <f t="shared" si="34"/>
        <v>2.4999999999417923</v>
      </c>
      <c r="H764" s="20">
        <f t="shared" si="35"/>
        <v>149.99999999650754</v>
      </c>
    </row>
    <row r="765" spans="1:8" x14ac:dyDescent="0.25">
      <c r="A765">
        <v>772</v>
      </c>
      <c r="B765" t="s">
        <v>29</v>
      </c>
      <c r="C765">
        <v>1</v>
      </c>
      <c r="D765" t="s">
        <v>30</v>
      </c>
      <c r="E765" s="6">
        <v>46077.548611111109</v>
      </c>
      <c r="F765" s="18">
        <f t="shared" si="33"/>
        <v>1.7361111109494232E-2</v>
      </c>
      <c r="G765" s="19">
        <f t="shared" si="34"/>
        <v>0.41666666662786156</v>
      </c>
      <c r="H765" s="20">
        <f t="shared" si="35"/>
        <v>24.999999997671694</v>
      </c>
    </row>
    <row r="766" spans="1:8" x14ac:dyDescent="0.25">
      <c r="A766">
        <v>770</v>
      </c>
      <c r="B766" t="s">
        <v>33</v>
      </c>
      <c r="C766">
        <v>1</v>
      </c>
      <c r="D766" t="s">
        <v>36</v>
      </c>
      <c r="E766" s="6">
        <v>46077.569444444445</v>
      </c>
      <c r="F766" s="18">
        <f t="shared" si="33"/>
        <v>2.0833333335758653E-2</v>
      </c>
      <c r="G766" s="19">
        <f t="shared" si="34"/>
        <v>0.50000000005820766</v>
      </c>
      <c r="H766" s="20">
        <f t="shared" si="35"/>
        <v>30.00000000349246</v>
      </c>
    </row>
    <row r="767" spans="1:8" x14ac:dyDescent="0.25">
      <c r="A767">
        <v>773</v>
      </c>
      <c r="B767" t="s">
        <v>29</v>
      </c>
      <c r="C767">
        <v>1</v>
      </c>
      <c r="D767" t="s">
        <v>32</v>
      </c>
      <c r="E767" s="6">
        <v>46077.600694444445</v>
      </c>
      <c r="F767" s="18">
        <f t="shared" si="33"/>
        <v>3.125E-2</v>
      </c>
      <c r="G767" s="19">
        <f t="shared" si="34"/>
        <v>0.75</v>
      </c>
      <c r="H767" s="20">
        <f t="shared" si="35"/>
        <v>45</v>
      </c>
    </row>
    <row r="768" spans="1:8" x14ac:dyDescent="0.25">
      <c r="A768">
        <v>784</v>
      </c>
      <c r="B768" t="s">
        <v>33</v>
      </c>
      <c r="C768">
        <v>1</v>
      </c>
      <c r="D768" t="s">
        <v>30</v>
      </c>
      <c r="E768" s="6">
        <v>46077.659722222219</v>
      </c>
      <c r="F768" s="18">
        <f t="shared" si="33"/>
        <v>5.9027777773735579E-2</v>
      </c>
      <c r="G768" s="19">
        <f t="shared" si="34"/>
        <v>1.4166666665696539</v>
      </c>
      <c r="H768" s="20">
        <f t="shared" si="35"/>
        <v>84.999999994179234</v>
      </c>
    </row>
    <row r="769" spans="1:8" x14ac:dyDescent="0.25">
      <c r="A769">
        <v>765</v>
      </c>
      <c r="B769" t="s">
        <v>31</v>
      </c>
      <c r="C769">
        <v>1</v>
      </c>
      <c r="D769" t="s">
        <v>30</v>
      </c>
      <c r="E769" s="6">
        <v>46077.684027777781</v>
      </c>
      <c r="F769" s="18">
        <f t="shared" si="33"/>
        <v>2.4305555562023073E-2</v>
      </c>
      <c r="G769" s="19">
        <f t="shared" si="34"/>
        <v>0.58333333348855376</v>
      </c>
      <c r="H769" s="20">
        <f t="shared" si="35"/>
        <v>35.000000009313226</v>
      </c>
    </row>
    <row r="770" spans="1:8" x14ac:dyDescent="0.25">
      <c r="A770">
        <v>786</v>
      </c>
      <c r="B770" t="s">
        <v>29</v>
      </c>
      <c r="C770">
        <v>1</v>
      </c>
      <c r="D770" t="s">
        <v>30</v>
      </c>
      <c r="E770" s="6">
        <v>46077.756944444445</v>
      </c>
      <c r="F770" s="18">
        <f t="shared" si="33"/>
        <v>7.2916666664241347E-2</v>
      </c>
      <c r="G770" s="19">
        <f t="shared" si="34"/>
        <v>1.7499999999417923</v>
      </c>
      <c r="H770" s="20">
        <f t="shared" si="35"/>
        <v>104.99999999650754</v>
      </c>
    </row>
    <row r="771" spans="1:8" x14ac:dyDescent="0.25">
      <c r="A771">
        <v>787</v>
      </c>
      <c r="B771" t="s">
        <v>29</v>
      </c>
      <c r="C771">
        <v>1</v>
      </c>
      <c r="D771" t="s">
        <v>30</v>
      </c>
      <c r="E771" s="6">
        <v>46077.915972222225</v>
      </c>
      <c r="F771" s="18">
        <f t="shared" si="33"/>
        <v>0.15902777777955635</v>
      </c>
      <c r="G771" s="19">
        <f t="shared" si="34"/>
        <v>3.8166666667093523</v>
      </c>
      <c r="H771" s="20">
        <f t="shared" si="35"/>
        <v>229.00000000256114</v>
      </c>
    </row>
    <row r="772" spans="1:8" hidden="1" x14ac:dyDescent="0.25">
      <c r="A772">
        <v>775</v>
      </c>
      <c r="B772" t="s">
        <v>33</v>
      </c>
      <c r="C772">
        <v>1</v>
      </c>
      <c r="D772" t="s">
        <v>36</v>
      </c>
      <c r="E772" s="6">
        <v>46078.284722222219</v>
      </c>
      <c r="F772" s="18">
        <f t="shared" si="33"/>
        <v>0.36874999999417923</v>
      </c>
      <c r="G772" s="19">
        <f t="shared" si="34"/>
        <v>8.8499999998603016</v>
      </c>
      <c r="H772" s="20">
        <f t="shared" si="35"/>
        <v>530.9999999916181</v>
      </c>
    </row>
    <row r="773" spans="1:8" x14ac:dyDescent="0.25">
      <c r="A773">
        <v>782</v>
      </c>
      <c r="B773" t="s">
        <v>29</v>
      </c>
      <c r="C773">
        <v>1</v>
      </c>
      <c r="D773" t="s">
        <v>35</v>
      </c>
      <c r="E773" s="6">
        <v>46078.288194444445</v>
      </c>
      <c r="F773" s="18">
        <f t="shared" ref="F773:F836" si="36">E773-E772</f>
        <v>3.4722222262644209E-3</v>
      </c>
      <c r="G773" s="19">
        <f t="shared" ref="G773:G836" si="37">F773*24</f>
        <v>8.3333333430346102E-2</v>
      </c>
      <c r="H773" s="20">
        <f t="shared" ref="H773:H836" si="38">G773*60</f>
        <v>5.0000000058207661</v>
      </c>
    </row>
    <row r="774" spans="1:8" x14ac:dyDescent="0.25">
      <c r="A774">
        <v>776</v>
      </c>
      <c r="B774" t="s">
        <v>33</v>
      </c>
      <c r="C774">
        <v>1</v>
      </c>
      <c r="D774" t="s">
        <v>34</v>
      </c>
      <c r="E774" s="6">
        <v>46078.291666666664</v>
      </c>
      <c r="F774" s="18">
        <f t="shared" si="36"/>
        <v>3.4722222189884633E-3</v>
      </c>
      <c r="G774" s="19">
        <f t="shared" si="37"/>
        <v>8.3333333255723119E-2</v>
      </c>
      <c r="H774" s="20">
        <f t="shared" si="38"/>
        <v>4.9999999953433871</v>
      </c>
    </row>
    <row r="775" spans="1:8" hidden="1" x14ac:dyDescent="0.25">
      <c r="A775">
        <v>785</v>
      </c>
      <c r="B775" t="s">
        <v>31</v>
      </c>
      <c r="C775">
        <v>1</v>
      </c>
      <c r="D775" t="s">
        <v>36</v>
      </c>
      <c r="E775" s="6">
        <v>46078.291666666664</v>
      </c>
      <c r="F775" s="18">
        <f t="shared" si="36"/>
        <v>0</v>
      </c>
      <c r="G775" s="19">
        <f t="shared" si="37"/>
        <v>0</v>
      </c>
      <c r="H775" s="19">
        <f t="shared" si="38"/>
        <v>0</v>
      </c>
    </row>
    <row r="776" spans="1:8" x14ac:dyDescent="0.25">
      <c r="A776">
        <v>635</v>
      </c>
      <c r="B776" t="s">
        <v>33</v>
      </c>
      <c r="C776">
        <v>1</v>
      </c>
      <c r="D776" t="s">
        <v>32</v>
      </c>
      <c r="E776" s="6">
        <v>46078.333333333336</v>
      </c>
      <c r="F776" s="18">
        <f t="shared" si="36"/>
        <v>4.1666666671517305E-2</v>
      </c>
      <c r="G776" s="19">
        <f t="shared" si="37"/>
        <v>1.0000000001164153</v>
      </c>
      <c r="H776" s="20">
        <f t="shared" si="38"/>
        <v>60.000000006984919</v>
      </c>
    </row>
    <row r="777" spans="1:8" x14ac:dyDescent="0.25">
      <c r="A777">
        <v>783</v>
      </c>
      <c r="B777" t="s">
        <v>33</v>
      </c>
      <c r="C777">
        <v>1</v>
      </c>
      <c r="D777" t="s">
        <v>36</v>
      </c>
      <c r="E777" s="6">
        <v>46078.402777777781</v>
      </c>
      <c r="F777" s="18">
        <f t="shared" si="36"/>
        <v>6.9444444445252884E-2</v>
      </c>
      <c r="G777" s="19">
        <f t="shared" si="37"/>
        <v>1.6666666666860692</v>
      </c>
      <c r="H777" s="20">
        <f t="shared" si="38"/>
        <v>100.00000000116415</v>
      </c>
    </row>
    <row r="778" spans="1:8" x14ac:dyDescent="0.25">
      <c r="A778">
        <v>788</v>
      </c>
      <c r="B778" t="s">
        <v>33</v>
      </c>
      <c r="C778">
        <v>1</v>
      </c>
      <c r="D778" t="s">
        <v>30</v>
      </c>
      <c r="E778" s="6">
        <v>46078.484722222223</v>
      </c>
      <c r="F778" s="18">
        <f t="shared" si="36"/>
        <v>8.1944444442342501E-2</v>
      </c>
      <c r="G778" s="19">
        <f t="shared" si="37"/>
        <v>1.96666666661622</v>
      </c>
      <c r="H778" s="20">
        <f t="shared" si="38"/>
        <v>117.9999999969732</v>
      </c>
    </row>
    <row r="779" spans="1:8" x14ac:dyDescent="0.25">
      <c r="A779">
        <v>778</v>
      </c>
      <c r="B779" t="s">
        <v>33</v>
      </c>
      <c r="C779">
        <v>1</v>
      </c>
      <c r="D779" t="s">
        <v>36</v>
      </c>
      <c r="E779" s="6">
        <v>46078.486111111109</v>
      </c>
      <c r="F779" s="18">
        <f t="shared" si="36"/>
        <v>1.3888888861401938E-3</v>
      </c>
      <c r="G779" s="19">
        <f t="shared" si="37"/>
        <v>3.3333333267364651E-2</v>
      </c>
      <c r="H779" s="20">
        <f t="shared" si="38"/>
        <v>1.9999999960418791</v>
      </c>
    </row>
    <row r="780" spans="1:8" x14ac:dyDescent="0.25">
      <c r="A780">
        <v>774</v>
      </c>
      <c r="B780" t="s">
        <v>31</v>
      </c>
      <c r="C780">
        <v>1</v>
      </c>
      <c r="D780" t="s">
        <v>34</v>
      </c>
      <c r="E780" s="6">
        <v>46078.510416666664</v>
      </c>
      <c r="F780" s="18">
        <f t="shared" si="36"/>
        <v>2.4305555554747116E-2</v>
      </c>
      <c r="G780" s="19">
        <f t="shared" si="37"/>
        <v>0.58333333331393078</v>
      </c>
      <c r="H780" s="20">
        <f t="shared" si="38"/>
        <v>34.999999998835847</v>
      </c>
    </row>
    <row r="781" spans="1:8" x14ac:dyDescent="0.25">
      <c r="A781">
        <v>779</v>
      </c>
      <c r="B781" t="s">
        <v>29</v>
      </c>
      <c r="C781">
        <v>1</v>
      </c>
      <c r="D781" t="s">
        <v>32</v>
      </c>
      <c r="E781" s="6">
        <v>46078.530555555553</v>
      </c>
      <c r="F781" s="18">
        <f t="shared" si="36"/>
        <v>2.0138888889050577E-2</v>
      </c>
      <c r="G781" s="19">
        <f t="shared" si="37"/>
        <v>0.48333333333721384</v>
      </c>
      <c r="H781" s="20">
        <f t="shared" si="38"/>
        <v>29.000000000232831</v>
      </c>
    </row>
    <row r="782" spans="1:8" x14ac:dyDescent="0.25">
      <c r="A782">
        <v>780</v>
      </c>
      <c r="B782" t="s">
        <v>31</v>
      </c>
      <c r="C782">
        <v>1</v>
      </c>
      <c r="D782" t="s">
        <v>36</v>
      </c>
      <c r="E782" s="6">
        <v>46078.597222222219</v>
      </c>
      <c r="F782" s="18">
        <f t="shared" si="36"/>
        <v>6.6666666665696539E-2</v>
      </c>
      <c r="G782" s="19">
        <f t="shared" si="37"/>
        <v>1.5999999999767169</v>
      </c>
      <c r="H782" s="20">
        <f t="shared" si="38"/>
        <v>95.999999998603016</v>
      </c>
    </row>
    <row r="783" spans="1:8" x14ac:dyDescent="0.25">
      <c r="A783">
        <v>777</v>
      </c>
      <c r="B783" t="s">
        <v>31</v>
      </c>
      <c r="C783">
        <v>1</v>
      </c>
      <c r="D783" t="s">
        <v>34</v>
      </c>
      <c r="E783" s="6">
        <v>46078.645833333336</v>
      </c>
      <c r="F783" s="18">
        <f t="shared" si="36"/>
        <v>4.8611111116770189E-2</v>
      </c>
      <c r="G783" s="19">
        <f t="shared" si="37"/>
        <v>1.1666666668024845</v>
      </c>
      <c r="H783" s="20">
        <f t="shared" si="38"/>
        <v>70.000000008149073</v>
      </c>
    </row>
    <row r="784" spans="1:8" x14ac:dyDescent="0.25">
      <c r="A784">
        <v>795</v>
      </c>
      <c r="B784" t="s">
        <v>31</v>
      </c>
      <c r="C784">
        <v>1</v>
      </c>
      <c r="D784" t="s">
        <v>30</v>
      </c>
      <c r="E784" s="6">
        <v>46078.673611111109</v>
      </c>
      <c r="F784" s="18">
        <f t="shared" si="36"/>
        <v>2.7777777773735579E-2</v>
      </c>
      <c r="G784" s="19">
        <f t="shared" si="37"/>
        <v>0.6666666665696539</v>
      </c>
      <c r="H784" s="20">
        <f t="shared" si="38"/>
        <v>39.999999994179234</v>
      </c>
    </row>
    <row r="785" spans="1:8" x14ac:dyDescent="0.25">
      <c r="A785">
        <v>796</v>
      </c>
      <c r="B785" t="s">
        <v>31</v>
      </c>
      <c r="C785">
        <v>1</v>
      </c>
      <c r="D785" t="s">
        <v>32</v>
      </c>
      <c r="E785" s="6">
        <v>46078.708333333336</v>
      </c>
      <c r="F785" s="18">
        <f t="shared" si="36"/>
        <v>3.4722222226264421E-2</v>
      </c>
      <c r="G785" s="19">
        <f t="shared" si="37"/>
        <v>0.8333333334303461</v>
      </c>
      <c r="H785" s="20">
        <f t="shared" si="38"/>
        <v>50.000000005820766</v>
      </c>
    </row>
    <row r="786" spans="1:8" x14ac:dyDescent="0.25">
      <c r="A786">
        <v>502</v>
      </c>
      <c r="B786" t="s">
        <v>29</v>
      </c>
      <c r="C786">
        <v>1</v>
      </c>
      <c r="D786" t="s">
        <v>30</v>
      </c>
      <c r="E786" s="6">
        <v>46078.75</v>
      </c>
      <c r="F786" s="18">
        <f t="shared" si="36"/>
        <v>4.1666666664241347E-2</v>
      </c>
      <c r="G786" s="19">
        <f t="shared" si="37"/>
        <v>0.99999999994179234</v>
      </c>
      <c r="H786" s="20">
        <f t="shared" si="38"/>
        <v>59.99999999650754</v>
      </c>
    </row>
    <row r="787" spans="1:8" x14ac:dyDescent="0.25">
      <c r="A787">
        <v>801</v>
      </c>
      <c r="B787" t="s">
        <v>29</v>
      </c>
      <c r="C787">
        <v>1</v>
      </c>
      <c r="D787" t="s">
        <v>30</v>
      </c>
      <c r="E787" s="6">
        <v>46078.881944444445</v>
      </c>
      <c r="F787" s="18">
        <f t="shared" si="36"/>
        <v>0.13194444444525288</v>
      </c>
      <c r="G787" s="19">
        <f t="shared" si="37"/>
        <v>3.1666666666860692</v>
      </c>
      <c r="H787" s="20">
        <f t="shared" si="38"/>
        <v>190.00000000116415</v>
      </c>
    </row>
    <row r="788" spans="1:8" hidden="1" x14ac:dyDescent="0.25">
      <c r="A788">
        <v>791</v>
      </c>
      <c r="B788" t="s">
        <v>29</v>
      </c>
      <c r="C788">
        <v>1</v>
      </c>
      <c r="D788" t="s">
        <v>36</v>
      </c>
      <c r="E788" s="6">
        <v>46079.288194444445</v>
      </c>
      <c r="F788" s="18">
        <f t="shared" si="36"/>
        <v>0.40625</v>
      </c>
      <c r="G788" s="19">
        <f t="shared" si="37"/>
        <v>9.75</v>
      </c>
      <c r="H788" s="20">
        <f t="shared" si="38"/>
        <v>585</v>
      </c>
    </row>
    <row r="789" spans="1:8" x14ac:dyDescent="0.25">
      <c r="A789">
        <v>766</v>
      </c>
      <c r="B789" t="s">
        <v>33</v>
      </c>
      <c r="C789">
        <v>1</v>
      </c>
      <c r="D789" t="s">
        <v>34</v>
      </c>
      <c r="E789" s="6">
        <v>46079.291666666664</v>
      </c>
      <c r="F789" s="18">
        <f t="shared" si="36"/>
        <v>3.4722222189884633E-3</v>
      </c>
      <c r="G789" s="19">
        <f t="shared" si="37"/>
        <v>8.3333333255723119E-2</v>
      </c>
      <c r="H789" s="20">
        <f t="shared" si="38"/>
        <v>4.9999999953433871</v>
      </c>
    </row>
    <row r="790" spans="1:8" hidden="1" x14ac:dyDescent="0.25">
      <c r="A790">
        <v>793</v>
      </c>
      <c r="B790" t="s">
        <v>33</v>
      </c>
      <c r="C790">
        <v>1</v>
      </c>
      <c r="D790" t="s">
        <v>30</v>
      </c>
      <c r="E790" s="6">
        <v>46079.291666666664</v>
      </c>
      <c r="F790" s="18">
        <f t="shared" si="36"/>
        <v>0</v>
      </c>
      <c r="G790" s="19">
        <f t="shared" si="37"/>
        <v>0</v>
      </c>
      <c r="H790" s="19">
        <f t="shared" si="38"/>
        <v>0</v>
      </c>
    </row>
    <row r="791" spans="1:8" hidden="1" x14ac:dyDescent="0.25">
      <c r="A791">
        <v>799</v>
      </c>
      <c r="B791" t="s">
        <v>33</v>
      </c>
      <c r="C791">
        <v>1</v>
      </c>
      <c r="D791" t="s">
        <v>37</v>
      </c>
      <c r="E791" s="6">
        <v>46079.291666666664</v>
      </c>
      <c r="F791" s="18">
        <f t="shared" si="36"/>
        <v>0</v>
      </c>
      <c r="G791" s="19">
        <f t="shared" si="37"/>
        <v>0</v>
      </c>
      <c r="H791" s="19">
        <f t="shared" si="38"/>
        <v>0</v>
      </c>
    </row>
    <row r="792" spans="1:8" x14ac:dyDescent="0.25">
      <c r="A792">
        <v>781</v>
      </c>
      <c r="B792" t="s">
        <v>31</v>
      </c>
      <c r="C792">
        <v>1</v>
      </c>
      <c r="D792" t="s">
        <v>32</v>
      </c>
      <c r="E792" s="6">
        <v>46079.315972222219</v>
      </c>
      <c r="F792" s="18">
        <f t="shared" si="36"/>
        <v>2.4305555554747116E-2</v>
      </c>
      <c r="G792" s="19">
        <f t="shared" si="37"/>
        <v>0.58333333331393078</v>
      </c>
      <c r="H792" s="20">
        <f t="shared" si="38"/>
        <v>34.999999998835847</v>
      </c>
    </row>
    <row r="793" spans="1:8" x14ac:dyDescent="0.25">
      <c r="A793">
        <v>789</v>
      </c>
      <c r="B793" t="s">
        <v>29</v>
      </c>
      <c r="C793">
        <v>1</v>
      </c>
      <c r="D793" t="s">
        <v>32</v>
      </c>
      <c r="E793" s="6">
        <v>46079.392361111109</v>
      </c>
      <c r="F793" s="18">
        <f t="shared" si="36"/>
        <v>7.6388888890505768E-2</v>
      </c>
      <c r="G793" s="19">
        <f t="shared" si="37"/>
        <v>1.8333333333721384</v>
      </c>
      <c r="H793" s="20">
        <f t="shared" si="38"/>
        <v>110.00000000232831</v>
      </c>
    </row>
    <row r="794" spans="1:8" x14ac:dyDescent="0.25">
      <c r="A794">
        <v>794</v>
      </c>
      <c r="B794" t="s">
        <v>31</v>
      </c>
      <c r="C794">
        <v>1</v>
      </c>
      <c r="D794" t="s">
        <v>30</v>
      </c>
      <c r="E794" s="6">
        <v>46079.416666666664</v>
      </c>
      <c r="F794" s="18">
        <f t="shared" si="36"/>
        <v>2.4305555554747116E-2</v>
      </c>
      <c r="G794" s="19">
        <f t="shared" si="37"/>
        <v>0.58333333331393078</v>
      </c>
      <c r="H794" s="20">
        <f t="shared" si="38"/>
        <v>34.999999998835847</v>
      </c>
    </row>
    <row r="795" spans="1:8" x14ac:dyDescent="0.25">
      <c r="A795">
        <v>792</v>
      </c>
      <c r="B795" t="s">
        <v>29</v>
      </c>
      <c r="C795">
        <v>1</v>
      </c>
      <c r="D795" t="s">
        <v>36</v>
      </c>
      <c r="E795" s="6">
        <v>46079.432638888888</v>
      </c>
      <c r="F795" s="18">
        <f t="shared" si="36"/>
        <v>1.5972222223354038E-2</v>
      </c>
      <c r="G795" s="19">
        <f t="shared" si="37"/>
        <v>0.38333333336049691</v>
      </c>
      <c r="H795" s="20">
        <f t="shared" si="38"/>
        <v>23.000000001629815</v>
      </c>
    </row>
    <row r="796" spans="1:8" x14ac:dyDescent="0.25">
      <c r="A796">
        <v>798</v>
      </c>
      <c r="B796" t="s">
        <v>29</v>
      </c>
      <c r="C796">
        <v>1</v>
      </c>
      <c r="D796" t="s">
        <v>34</v>
      </c>
      <c r="E796" s="6">
        <v>46079.444444444445</v>
      </c>
      <c r="F796" s="18">
        <f t="shared" si="36"/>
        <v>1.1805555557657499E-2</v>
      </c>
      <c r="G796" s="19">
        <f t="shared" si="37"/>
        <v>0.28333333338377997</v>
      </c>
      <c r="H796" s="20">
        <f t="shared" si="38"/>
        <v>17.000000003026798</v>
      </c>
    </row>
    <row r="797" spans="1:8" x14ac:dyDescent="0.25">
      <c r="A797">
        <v>802</v>
      </c>
      <c r="B797" t="s">
        <v>29</v>
      </c>
      <c r="C797">
        <v>1</v>
      </c>
      <c r="D797" t="s">
        <v>32</v>
      </c>
      <c r="E797" s="6">
        <v>46079.510416666664</v>
      </c>
      <c r="F797" s="18">
        <f t="shared" si="36"/>
        <v>6.5972222218988463E-2</v>
      </c>
      <c r="G797" s="19">
        <f t="shared" si="37"/>
        <v>1.5833333332557231</v>
      </c>
      <c r="H797" s="20">
        <f t="shared" si="38"/>
        <v>94.999999995343387</v>
      </c>
    </row>
    <row r="798" spans="1:8" x14ac:dyDescent="0.25">
      <c r="A798">
        <v>803</v>
      </c>
      <c r="B798" t="s">
        <v>31</v>
      </c>
      <c r="C798">
        <v>1</v>
      </c>
      <c r="D798" t="s">
        <v>30</v>
      </c>
      <c r="E798" s="6">
        <v>46079.559027777781</v>
      </c>
      <c r="F798" s="18">
        <f t="shared" si="36"/>
        <v>4.8611111116770189E-2</v>
      </c>
      <c r="G798" s="19">
        <f t="shared" si="37"/>
        <v>1.1666666668024845</v>
      </c>
      <c r="H798" s="20">
        <f t="shared" si="38"/>
        <v>70.000000008149073</v>
      </c>
    </row>
    <row r="799" spans="1:8" x14ac:dyDescent="0.25">
      <c r="A799">
        <v>800</v>
      </c>
      <c r="B799" t="s">
        <v>31</v>
      </c>
      <c r="C799">
        <v>1</v>
      </c>
      <c r="D799" t="s">
        <v>32</v>
      </c>
      <c r="E799" s="6">
        <v>46079.597222222219</v>
      </c>
      <c r="F799" s="18">
        <f t="shared" si="36"/>
        <v>3.8194444437976927E-2</v>
      </c>
      <c r="G799" s="19">
        <f t="shared" si="37"/>
        <v>0.91666666651144624</v>
      </c>
      <c r="H799" s="20">
        <f t="shared" si="38"/>
        <v>54.999999990686774</v>
      </c>
    </row>
    <row r="800" spans="1:8" x14ac:dyDescent="0.25">
      <c r="A800">
        <v>790</v>
      </c>
      <c r="B800" t="s">
        <v>33</v>
      </c>
      <c r="C800">
        <v>1</v>
      </c>
      <c r="D800" t="s">
        <v>32</v>
      </c>
      <c r="E800" s="6">
        <v>46079.611111111109</v>
      </c>
      <c r="F800" s="18">
        <f t="shared" si="36"/>
        <v>1.3888888890505768E-2</v>
      </c>
      <c r="G800" s="19">
        <f t="shared" si="37"/>
        <v>0.33333333337213844</v>
      </c>
      <c r="H800" s="20">
        <f t="shared" si="38"/>
        <v>20.000000002328306</v>
      </c>
    </row>
    <row r="801" spans="1:8" x14ac:dyDescent="0.25">
      <c r="A801">
        <v>811</v>
      </c>
      <c r="B801" t="s">
        <v>31</v>
      </c>
      <c r="C801">
        <v>1</v>
      </c>
      <c r="D801" t="s">
        <v>37</v>
      </c>
      <c r="E801" s="6">
        <v>46079.621527777781</v>
      </c>
      <c r="F801" s="18">
        <f t="shared" si="36"/>
        <v>1.0416666671517305E-2</v>
      </c>
      <c r="G801" s="19">
        <f t="shared" si="37"/>
        <v>0.25000000011641532</v>
      </c>
      <c r="H801" s="20">
        <f t="shared" si="38"/>
        <v>15.000000006984919</v>
      </c>
    </row>
    <row r="802" spans="1:8" x14ac:dyDescent="0.25">
      <c r="A802">
        <v>810</v>
      </c>
      <c r="B802" t="s">
        <v>33</v>
      </c>
      <c r="C802">
        <v>1</v>
      </c>
      <c r="D802" t="s">
        <v>30</v>
      </c>
      <c r="E802" s="6">
        <v>46079.642361111109</v>
      </c>
      <c r="F802" s="18">
        <f t="shared" si="36"/>
        <v>2.0833333328482695E-2</v>
      </c>
      <c r="G802" s="19">
        <f t="shared" si="37"/>
        <v>0.49999999988358468</v>
      </c>
      <c r="H802" s="20">
        <f t="shared" si="38"/>
        <v>29.999999993015081</v>
      </c>
    </row>
    <row r="803" spans="1:8" x14ac:dyDescent="0.25">
      <c r="A803">
        <v>797</v>
      </c>
      <c r="B803" t="s">
        <v>29</v>
      </c>
      <c r="C803">
        <v>1</v>
      </c>
      <c r="D803" t="s">
        <v>30</v>
      </c>
      <c r="E803" s="6">
        <v>46079.711805555555</v>
      </c>
      <c r="F803" s="18">
        <f t="shared" si="36"/>
        <v>6.9444444445252884E-2</v>
      </c>
      <c r="G803" s="19">
        <f t="shared" si="37"/>
        <v>1.6666666666860692</v>
      </c>
      <c r="H803" s="20">
        <f t="shared" si="38"/>
        <v>100.00000000116415</v>
      </c>
    </row>
    <row r="804" spans="1:8" x14ac:dyDescent="0.25">
      <c r="A804">
        <v>814</v>
      </c>
      <c r="B804" t="s">
        <v>29</v>
      </c>
      <c r="C804">
        <v>1</v>
      </c>
      <c r="D804" t="s">
        <v>30</v>
      </c>
      <c r="E804" s="6">
        <v>46079.774305555555</v>
      </c>
      <c r="F804" s="18">
        <f t="shared" si="36"/>
        <v>6.25E-2</v>
      </c>
      <c r="G804" s="19">
        <f t="shared" si="37"/>
        <v>1.5</v>
      </c>
      <c r="H804" s="20">
        <f t="shared" si="38"/>
        <v>90</v>
      </c>
    </row>
    <row r="805" spans="1:8" x14ac:dyDescent="0.25">
      <c r="A805">
        <v>815</v>
      </c>
      <c r="B805" t="s">
        <v>31</v>
      </c>
      <c r="C805">
        <v>1</v>
      </c>
      <c r="D805" t="s">
        <v>34</v>
      </c>
      <c r="E805" s="6">
        <v>46079.888888888891</v>
      </c>
      <c r="F805" s="18">
        <f t="shared" si="36"/>
        <v>0.11458333333575865</v>
      </c>
      <c r="G805" s="19">
        <f t="shared" si="37"/>
        <v>2.7500000000582077</v>
      </c>
      <c r="H805" s="20">
        <f t="shared" si="38"/>
        <v>165.00000000349246</v>
      </c>
    </row>
    <row r="806" spans="1:8" x14ac:dyDescent="0.25">
      <c r="A806">
        <v>816</v>
      </c>
      <c r="B806" t="s">
        <v>29</v>
      </c>
      <c r="C806">
        <v>1</v>
      </c>
      <c r="D806" t="s">
        <v>36</v>
      </c>
      <c r="E806" s="6">
        <v>46079.940972222219</v>
      </c>
      <c r="F806" s="18">
        <f t="shared" si="36"/>
        <v>5.2083333328482695E-2</v>
      </c>
      <c r="G806" s="19">
        <f t="shared" si="37"/>
        <v>1.2499999998835847</v>
      </c>
      <c r="H806" s="20">
        <f t="shared" si="38"/>
        <v>74.999999993015081</v>
      </c>
    </row>
    <row r="807" spans="1:8" x14ac:dyDescent="0.25">
      <c r="A807">
        <v>817</v>
      </c>
      <c r="B807" t="s">
        <v>31</v>
      </c>
      <c r="C807">
        <v>1</v>
      </c>
      <c r="D807" t="s">
        <v>35</v>
      </c>
      <c r="E807" s="6">
        <v>46079.96875</v>
      </c>
      <c r="F807" s="18">
        <f t="shared" si="36"/>
        <v>2.7777777781011537E-2</v>
      </c>
      <c r="G807" s="19">
        <f t="shared" si="37"/>
        <v>0.66666666674427688</v>
      </c>
      <c r="H807" s="20">
        <f t="shared" si="38"/>
        <v>40.000000004656613</v>
      </c>
    </row>
    <row r="808" spans="1:8" hidden="1" x14ac:dyDescent="0.25">
      <c r="A808">
        <v>805</v>
      </c>
      <c r="B808" t="s">
        <v>29</v>
      </c>
      <c r="C808">
        <v>1</v>
      </c>
      <c r="D808" t="s">
        <v>32</v>
      </c>
      <c r="E808" s="6">
        <v>46080.284722222219</v>
      </c>
      <c r="F808" s="18">
        <f t="shared" si="36"/>
        <v>0.31597222221898846</v>
      </c>
      <c r="G808" s="19">
        <f t="shared" si="37"/>
        <v>7.5833333332557231</v>
      </c>
      <c r="H808" s="20">
        <f t="shared" si="38"/>
        <v>454.99999999534339</v>
      </c>
    </row>
    <row r="809" spans="1:8" x14ac:dyDescent="0.25">
      <c r="A809">
        <v>807</v>
      </c>
      <c r="B809" t="s">
        <v>29</v>
      </c>
      <c r="C809">
        <v>1</v>
      </c>
      <c r="D809" t="s">
        <v>36</v>
      </c>
      <c r="E809" s="6">
        <v>46080.288194444445</v>
      </c>
      <c r="F809" s="18">
        <f t="shared" si="36"/>
        <v>3.4722222262644209E-3</v>
      </c>
      <c r="G809" s="19">
        <f t="shared" si="37"/>
        <v>8.3333333430346102E-2</v>
      </c>
      <c r="H809" s="20">
        <f t="shared" si="38"/>
        <v>5.0000000058207661</v>
      </c>
    </row>
    <row r="810" spans="1:8" hidden="1" x14ac:dyDescent="0.25">
      <c r="A810">
        <v>813</v>
      </c>
      <c r="B810" t="s">
        <v>31</v>
      </c>
      <c r="C810">
        <v>1</v>
      </c>
      <c r="D810" t="s">
        <v>34</v>
      </c>
      <c r="E810" s="6">
        <v>46080.288194444445</v>
      </c>
      <c r="F810" s="18">
        <f t="shared" si="36"/>
        <v>0</v>
      </c>
      <c r="G810" s="19">
        <f t="shared" si="37"/>
        <v>0</v>
      </c>
      <c r="H810" s="19">
        <f t="shared" si="38"/>
        <v>0</v>
      </c>
    </row>
    <row r="811" spans="1:8" x14ac:dyDescent="0.25">
      <c r="A811">
        <v>806</v>
      </c>
      <c r="B811" t="s">
        <v>33</v>
      </c>
      <c r="C811">
        <v>1</v>
      </c>
      <c r="D811" t="s">
        <v>34</v>
      </c>
      <c r="E811" s="6">
        <v>46080.291666666664</v>
      </c>
      <c r="F811" s="18">
        <f t="shared" si="36"/>
        <v>3.4722222189884633E-3</v>
      </c>
      <c r="G811" s="19">
        <f t="shared" si="37"/>
        <v>8.3333333255723119E-2</v>
      </c>
      <c r="H811" s="20">
        <f t="shared" si="38"/>
        <v>4.9999999953433871</v>
      </c>
    </row>
    <row r="812" spans="1:8" x14ac:dyDescent="0.25">
      <c r="A812">
        <v>568</v>
      </c>
      <c r="B812" t="s">
        <v>33</v>
      </c>
      <c r="C812">
        <v>1</v>
      </c>
      <c r="D812" t="s">
        <v>35</v>
      </c>
      <c r="E812" s="6">
        <v>46080.322916666664</v>
      </c>
      <c r="F812" s="18">
        <f t="shared" si="36"/>
        <v>3.125E-2</v>
      </c>
      <c r="G812" s="19">
        <f t="shared" si="37"/>
        <v>0.75</v>
      </c>
      <c r="H812" s="20">
        <f t="shared" si="38"/>
        <v>45</v>
      </c>
    </row>
    <row r="813" spans="1:8" x14ac:dyDescent="0.25">
      <c r="A813">
        <v>818</v>
      </c>
      <c r="B813" t="s">
        <v>31</v>
      </c>
      <c r="C813">
        <v>1</v>
      </c>
      <c r="D813" t="s">
        <v>36</v>
      </c>
      <c r="E813" s="6">
        <v>46080.409722222219</v>
      </c>
      <c r="F813" s="18">
        <f t="shared" si="36"/>
        <v>8.6805555554747116E-2</v>
      </c>
      <c r="G813" s="19">
        <f t="shared" si="37"/>
        <v>2.0833333333139308</v>
      </c>
      <c r="H813" s="20">
        <f t="shared" si="38"/>
        <v>124.99999999883585</v>
      </c>
    </row>
    <row r="814" spans="1:8" x14ac:dyDescent="0.25">
      <c r="A814">
        <v>819</v>
      </c>
      <c r="B814" t="s">
        <v>31</v>
      </c>
      <c r="C814">
        <v>1</v>
      </c>
      <c r="D814" t="s">
        <v>32</v>
      </c>
      <c r="E814" s="6">
        <v>46080.447916666664</v>
      </c>
      <c r="F814" s="18">
        <f t="shared" si="36"/>
        <v>3.8194444445252884E-2</v>
      </c>
      <c r="G814" s="19">
        <f t="shared" si="37"/>
        <v>0.91666666668606922</v>
      </c>
      <c r="H814" s="20">
        <f t="shared" si="38"/>
        <v>55.000000001164153</v>
      </c>
    </row>
    <row r="815" spans="1:8" x14ac:dyDescent="0.25">
      <c r="A815">
        <v>808</v>
      </c>
      <c r="B815" t="s">
        <v>29</v>
      </c>
      <c r="C815">
        <v>1</v>
      </c>
      <c r="D815" t="s">
        <v>32</v>
      </c>
      <c r="E815" s="6">
        <v>46080.506944444445</v>
      </c>
      <c r="F815" s="18">
        <f t="shared" si="36"/>
        <v>5.9027777781011537E-2</v>
      </c>
      <c r="G815" s="19">
        <f t="shared" si="37"/>
        <v>1.4166666667442769</v>
      </c>
      <c r="H815" s="20">
        <f t="shared" si="38"/>
        <v>85.000000004656613</v>
      </c>
    </row>
    <row r="816" spans="1:8" x14ac:dyDescent="0.25">
      <c r="A816">
        <v>804</v>
      </c>
      <c r="B816" t="s">
        <v>33</v>
      </c>
      <c r="C816">
        <v>1</v>
      </c>
      <c r="D816" t="s">
        <v>35</v>
      </c>
      <c r="E816" s="6">
        <v>46080.576388888891</v>
      </c>
      <c r="F816" s="18">
        <f t="shared" si="36"/>
        <v>6.9444444445252884E-2</v>
      </c>
      <c r="G816" s="19">
        <f t="shared" si="37"/>
        <v>1.6666666666860692</v>
      </c>
      <c r="H816" s="20">
        <f t="shared" si="38"/>
        <v>100.00000000116415</v>
      </c>
    </row>
    <row r="817" spans="1:8" x14ac:dyDescent="0.25">
      <c r="A817">
        <v>822</v>
      </c>
      <c r="B817" t="s">
        <v>33</v>
      </c>
      <c r="C817">
        <v>1</v>
      </c>
      <c r="D817" t="s">
        <v>32</v>
      </c>
      <c r="E817" s="6">
        <v>46080.597222222219</v>
      </c>
      <c r="F817" s="18">
        <f t="shared" si="36"/>
        <v>2.0833333328482695E-2</v>
      </c>
      <c r="G817" s="19">
        <f t="shared" si="37"/>
        <v>0.49999999988358468</v>
      </c>
      <c r="H817" s="20">
        <f t="shared" si="38"/>
        <v>29.999999993015081</v>
      </c>
    </row>
    <row r="818" spans="1:8" x14ac:dyDescent="0.25">
      <c r="A818">
        <v>812</v>
      </c>
      <c r="B818" t="s">
        <v>31</v>
      </c>
      <c r="C818">
        <v>1</v>
      </c>
      <c r="D818" t="s">
        <v>34</v>
      </c>
      <c r="E818" s="6">
        <v>46080.680555555555</v>
      </c>
      <c r="F818" s="18">
        <f t="shared" si="36"/>
        <v>8.3333333335758653E-2</v>
      </c>
      <c r="G818" s="19">
        <f t="shared" si="37"/>
        <v>2.0000000000582077</v>
      </c>
      <c r="H818" s="20">
        <f t="shared" si="38"/>
        <v>120.00000000349246</v>
      </c>
    </row>
    <row r="819" spans="1:8" x14ac:dyDescent="0.25">
      <c r="A819">
        <v>809</v>
      </c>
      <c r="B819" t="s">
        <v>31</v>
      </c>
      <c r="C819">
        <v>1</v>
      </c>
      <c r="D819" t="s">
        <v>32</v>
      </c>
      <c r="E819" s="6">
        <v>46080.697916666664</v>
      </c>
      <c r="F819" s="18">
        <f t="shared" si="36"/>
        <v>1.7361111109494232E-2</v>
      </c>
      <c r="G819" s="19">
        <f t="shared" si="37"/>
        <v>0.41666666662786156</v>
      </c>
      <c r="H819" s="20">
        <f t="shared" si="38"/>
        <v>24.999999997671694</v>
      </c>
    </row>
    <row r="820" spans="1:8" x14ac:dyDescent="0.25">
      <c r="A820">
        <v>826</v>
      </c>
      <c r="B820" t="s">
        <v>33</v>
      </c>
      <c r="C820">
        <v>1</v>
      </c>
      <c r="D820" t="s">
        <v>30</v>
      </c>
      <c r="E820" s="6">
        <v>46080.840277777781</v>
      </c>
      <c r="F820" s="18">
        <f t="shared" si="36"/>
        <v>0.14236111111677019</v>
      </c>
      <c r="G820" s="19">
        <f t="shared" si="37"/>
        <v>3.4166666668024845</v>
      </c>
      <c r="H820" s="20">
        <f t="shared" si="38"/>
        <v>205.00000000814907</v>
      </c>
    </row>
    <row r="821" spans="1:8" x14ac:dyDescent="0.25">
      <c r="A821">
        <v>825</v>
      </c>
      <c r="B821" t="s">
        <v>29</v>
      </c>
      <c r="C821">
        <v>1</v>
      </c>
      <c r="D821" t="s">
        <v>30</v>
      </c>
      <c r="E821" s="6">
        <v>46080.944444444445</v>
      </c>
      <c r="F821" s="18">
        <f t="shared" si="36"/>
        <v>0.10416666666424135</v>
      </c>
      <c r="G821" s="19">
        <f t="shared" si="37"/>
        <v>2.4999999999417923</v>
      </c>
      <c r="H821" s="20">
        <f t="shared" si="38"/>
        <v>149.99999999650754</v>
      </c>
    </row>
    <row r="822" spans="1:8" hidden="1" x14ac:dyDescent="0.25">
      <c r="A822">
        <v>827</v>
      </c>
      <c r="B822" t="s">
        <v>29</v>
      </c>
      <c r="C822">
        <v>1</v>
      </c>
      <c r="D822" t="s">
        <v>30</v>
      </c>
      <c r="E822" s="6">
        <v>46081.21875</v>
      </c>
      <c r="F822" s="18">
        <f t="shared" si="36"/>
        <v>0.27430555555474712</v>
      </c>
      <c r="G822" s="19">
        <f t="shared" si="37"/>
        <v>6.5833333333139308</v>
      </c>
      <c r="H822" s="20">
        <f t="shared" si="38"/>
        <v>394.99999999883585</v>
      </c>
    </row>
    <row r="823" spans="1:8" x14ac:dyDescent="0.25">
      <c r="A823">
        <v>820</v>
      </c>
      <c r="B823" t="s">
        <v>31</v>
      </c>
      <c r="C823">
        <v>1</v>
      </c>
      <c r="D823" t="s">
        <v>30</v>
      </c>
      <c r="E823" s="6">
        <v>46081.350694444445</v>
      </c>
      <c r="F823" s="18">
        <f t="shared" si="36"/>
        <v>0.13194444444525288</v>
      </c>
      <c r="G823" s="19">
        <f t="shared" si="37"/>
        <v>3.1666666666860692</v>
      </c>
      <c r="H823" s="20">
        <f t="shared" si="38"/>
        <v>190.00000000116415</v>
      </c>
    </row>
    <row r="824" spans="1:8" x14ac:dyDescent="0.25">
      <c r="A824">
        <v>828</v>
      </c>
      <c r="B824" t="s">
        <v>31</v>
      </c>
      <c r="C824">
        <v>1</v>
      </c>
      <c r="D824" t="s">
        <v>30</v>
      </c>
      <c r="E824" s="6">
        <v>46081.392361111109</v>
      </c>
      <c r="F824" s="18">
        <f t="shared" si="36"/>
        <v>4.1666666664241347E-2</v>
      </c>
      <c r="G824" s="19">
        <f t="shared" si="37"/>
        <v>0.99999999994179234</v>
      </c>
      <c r="H824" s="20">
        <f t="shared" si="38"/>
        <v>59.99999999650754</v>
      </c>
    </row>
    <row r="825" spans="1:8" x14ac:dyDescent="0.25">
      <c r="A825">
        <v>821</v>
      </c>
      <c r="B825" t="s">
        <v>33</v>
      </c>
      <c r="C825">
        <v>1</v>
      </c>
      <c r="D825" t="s">
        <v>35</v>
      </c>
      <c r="E825" s="6">
        <v>46081.423611111109</v>
      </c>
      <c r="F825" s="18">
        <f t="shared" si="36"/>
        <v>3.125E-2</v>
      </c>
      <c r="G825" s="19">
        <f t="shared" si="37"/>
        <v>0.75</v>
      </c>
      <c r="H825" s="20">
        <f t="shared" si="38"/>
        <v>45</v>
      </c>
    </row>
    <row r="826" spans="1:8" x14ac:dyDescent="0.25">
      <c r="A826">
        <v>831</v>
      </c>
      <c r="B826" t="s">
        <v>31</v>
      </c>
      <c r="C826">
        <v>1</v>
      </c>
      <c r="D826" t="s">
        <v>35</v>
      </c>
      <c r="E826" s="6">
        <v>46081.506944444445</v>
      </c>
      <c r="F826" s="18">
        <f t="shared" si="36"/>
        <v>8.3333333335758653E-2</v>
      </c>
      <c r="G826" s="19">
        <f t="shared" si="37"/>
        <v>2.0000000000582077</v>
      </c>
      <c r="H826" s="20">
        <f t="shared" si="38"/>
        <v>120.00000000349246</v>
      </c>
    </row>
    <row r="827" spans="1:8" x14ac:dyDescent="0.25">
      <c r="A827">
        <v>830</v>
      </c>
      <c r="B827" t="s">
        <v>33</v>
      </c>
      <c r="C827">
        <v>1</v>
      </c>
      <c r="D827" t="s">
        <v>32</v>
      </c>
      <c r="E827" s="6">
        <v>46081.520833333336</v>
      </c>
      <c r="F827" s="18">
        <f t="shared" si="36"/>
        <v>1.3888888890505768E-2</v>
      </c>
      <c r="G827" s="19">
        <f t="shared" si="37"/>
        <v>0.33333333337213844</v>
      </c>
      <c r="H827" s="20">
        <f t="shared" si="38"/>
        <v>20.000000002328306</v>
      </c>
    </row>
    <row r="828" spans="1:8" x14ac:dyDescent="0.25">
      <c r="A828">
        <v>829</v>
      </c>
      <c r="B828" t="s">
        <v>29</v>
      </c>
      <c r="C828">
        <v>1</v>
      </c>
      <c r="D828" t="s">
        <v>30</v>
      </c>
      <c r="E828" s="6">
        <v>46081.621527777781</v>
      </c>
      <c r="F828" s="18">
        <f t="shared" si="36"/>
        <v>0.10069444444525288</v>
      </c>
      <c r="G828" s="19">
        <f t="shared" si="37"/>
        <v>2.4166666666860692</v>
      </c>
      <c r="H828" s="20">
        <f t="shared" si="38"/>
        <v>145.00000000116415</v>
      </c>
    </row>
    <row r="829" spans="1:8" x14ac:dyDescent="0.25">
      <c r="A829">
        <v>832</v>
      </c>
      <c r="B829" t="s">
        <v>29</v>
      </c>
      <c r="C829">
        <v>1</v>
      </c>
      <c r="D829" t="s">
        <v>36</v>
      </c>
      <c r="E829" s="6">
        <v>46081.638888888891</v>
      </c>
      <c r="F829" s="18">
        <f t="shared" si="36"/>
        <v>1.7361111109494232E-2</v>
      </c>
      <c r="G829" s="19">
        <f t="shared" si="37"/>
        <v>0.41666666662786156</v>
      </c>
      <c r="H829" s="20">
        <f t="shared" si="38"/>
        <v>24.999999997671694</v>
      </c>
    </row>
    <row r="830" spans="1:8" x14ac:dyDescent="0.25">
      <c r="A830">
        <v>834</v>
      </c>
      <c r="B830" t="s">
        <v>33</v>
      </c>
      <c r="C830">
        <v>1</v>
      </c>
      <c r="D830" t="s">
        <v>30</v>
      </c>
      <c r="E830" s="6">
        <v>46081.680555555555</v>
      </c>
      <c r="F830" s="18">
        <f t="shared" si="36"/>
        <v>4.1666666664241347E-2</v>
      </c>
      <c r="G830" s="19">
        <f t="shared" si="37"/>
        <v>0.99999999994179234</v>
      </c>
      <c r="H830" s="20">
        <f t="shared" si="38"/>
        <v>59.99999999650754</v>
      </c>
    </row>
    <row r="831" spans="1:8" x14ac:dyDescent="0.25">
      <c r="A831">
        <v>833</v>
      </c>
      <c r="B831" t="s">
        <v>33</v>
      </c>
      <c r="C831">
        <v>1</v>
      </c>
      <c r="D831" t="s">
        <v>34</v>
      </c>
      <c r="E831" s="6">
        <v>46081.722222222219</v>
      </c>
      <c r="F831" s="18">
        <f t="shared" si="36"/>
        <v>4.1666666664241347E-2</v>
      </c>
      <c r="G831" s="19">
        <f t="shared" si="37"/>
        <v>0.99999999994179234</v>
      </c>
      <c r="H831" s="20">
        <f t="shared" si="38"/>
        <v>59.99999999650754</v>
      </c>
    </row>
    <row r="832" spans="1:8" x14ac:dyDescent="0.25">
      <c r="A832">
        <v>837</v>
      </c>
      <c r="B832" t="s">
        <v>29</v>
      </c>
      <c r="C832">
        <v>1</v>
      </c>
      <c r="D832" t="s">
        <v>30</v>
      </c>
      <c r="E832" s="6">
        <v>46081.813888888886</v>
      </c>
      <c r="F832" s="18">
        <f t="shared" si="36"/>
        <v>9.1666666667151731E-2</v>
      </c>
      <c r="G832" s="19">
        <f t="shared" si="37"/>
        <v>2.2000000000116415</v>
      </c>
      <c r="H832" s="20">
        <f t="shared" si="38"/>
        <v>132.00000000069849</v>
      </c>
    </row>
    <row r="833" spans="1:8" x14ac:dyDescent="0.25">
      <c r="A833">
        <v>838</v>
      </c>
      <c r="B833" t="s">
        <v>29</v>
      </c>
      <c r="C833">
        <v>1</v>
      </c>
      <c r="D833" t="s">
        <v>30</v>
      </c>
      <c r="E833" s="6">
        <v>46081.981249999997</v>
      </c>
      <c r="F833" s="18">
        <f t="shared" si="36"/>
        <v>0.16736111111094942</v>
      </c>
      <c r="G833" s="19">
        <f t="shared" si="37"/>
        <v>4.0166666666627862</v>
      </c>
      <c r="H833" s="20">
        <f t="shared" si="38"/>
        <v>240.99999999976717</v>
      </c>
    </row>
    <row r="834" spans="1:8" x14ac:dyDescent="0.25">
      <c r="A834">
        <v>839</v>
      </c>
      <c r="B834" t="s">
        <v>33</v>
      </c>
      <c r="C834">
        <v>1</v>
      </c>
      <c r="D834" t="s">
        <v>30</v>
      </c>
      <c r="E834" s="6">
        <v>46082.010416666664</v>
      </c>
      <c r="F834" s="18">
        <f t="shared" si="36"/>
        <v>2.9166666667151731E-2</v>
      </c>
      <c r="G834" s="19">
        <f t="shared" si="37"/>
        <v>0.70000000001164153</v>
      </c>
      <c r="H834" s="20">
        <f t="shared" si="38"/>
        <v>42.000000000698492</v>
      </c>
    </row>
    <row r="835" spans="1:8" hidden="1" x14ac:dyDescent="0.25">
      <c r="A835">
        <v>835</v>
      </c>
      <c r="B835" t="s">
        <v>33</v>
      </c>
      <c r="C835">
        <v>1</v>
      </c>
      <c r="D835" t="s">
        <v>30</v>
      </c>
      <c r="E835" s="6">
        <v>46082.340277777781</v>
      </c>
      <c r="F835" s="18">
        <f t="shared" si="36"/>
        <v>0.32986111111677019</v>
      </c>
      <c r="G835" s="19">
        <f t="shared" si="37"/>
        <v>7.9166666668024845</v>
      </c>
      <c r="H835" s="20">
        <f t="shared" si="38"/>
        <v>475.00000000814907</v>
      </c>
    </row>
    <row r="836" spans="1:8" x14ac:dyDescent="0.25">
      <c r="A836">
        <v>836</v>
      </c>
      <c r="B836" t="s">
        <v>33</v>
      </c>
      <c r="C836">
        <v>1</v>
      </c>
      <c r="D836" t="s">
        <v>35</v>
      </c>
      <c r="E836" s="6">
        <v>46082.409722222219</v>
      </c>
      <c r="F836" s="18">
        <f t="shared" si="36"/>
        <v>6.9444444437976927E-2</v>
      </c>
      <c r="G836" s="19">
        <f t="shared" si="37"/>
        <v>1.6666666665114462</v>
      </c>
      <c r="H836" s="20">
        <f t="shared" si="38"/>
        <v>99.999999990686774</v>
      </c>
    </row>
    <row r="837" spans="1:8" x14ac:dyDescent="0.25">
      <c r="A837">
        <v>840</v>
      </c>
      <c r="B837" t="s">
        <v>29</v>
      </c>
      <c r="C837">
        <v>1</v>
      </c>
      <c r="D837" t="s">
        <v>30</v>
      </c>
      <c r="E837" s="6">
        <v>46082.524305555555</v>
      </c>
      <c r="F837" s="18">
        <f t="shared" ref="F837:F900" si="39">E837-E836</f>
        <v>0.11458333333575865</v>
      </c>
      <c r="G837" s="19">
        <f t="shared" ref="G837:G900" si="40">F837*24</f>
        <v>2.7500000000582077</v>
      </c>
      <c r="H837" s="20">
        <f t="shared" ref="H837:H900" si="41">G837*60</f>
        <v>165.00000000349246</v>
      </c>
    </row>
    <row r="838" spans="1:8" x14ac:dyDescent="0.25">
      <c r="A838">
        <v>846</v>
      </c>
      <c r="B838" t="s">
        <v>29</v>
      </c>
      <c r="C838">
        <v>1</v>
      </c>
      <c r="D838" t="s">
        <v>35</v>
      </c>
      <c r="E838" s="6">
        <v>46082.619444444441</v>
      </c>
      <c r="F838" s="18">
        <f t="shared" si="39"/>
        <v>9.5138888886140194E-2</v>
      </c>
      <c r="G838" s="19">
        <f t="shared" si="40"/>
        <v>2.2833333332673647</v>
      </c>
      <c r="H838" s="20">
        <f t="shared" si="41"/>
        <v>136.99999999604188</v>
      </c>
    </row>
    <row r="839" spans="1:8" x14ac:dyDescent="0.25">
      <c r="A839">
        <v>847</v>
      </c>
      <c r="B839" t="s">
        <v>29</v>
      </c>
      <c r="C839">
        <v>1</v>
      </c>
      <c r="D839" t="s">
        <v>30</v>
      </c>
      <c r="E839" s="6">
        <v>46082.692361111112</v>
      </c>
      <c r="F839" s="18">
        <f t="shared" si="39"/>
        <v>7.2916666671517305E-2</v>
      </c>
      <c r="G839" s="19">
        <f t="shared" si="40"/>
        <v>1.7500000001164153</v>
      </c>
      <c r="H839" s="20">
        <f t="shared" si="41"/>
        <v>105.00000000698492</v>
      </c>
    </row>
    <row r="840" spans="1:8" hidden="1" x14ac:dyDescent="0.25">
      <c r="A840">
        <v>849</v>
      </c>
      <c r="B840" t="s">
        <v>31</v>
      </c>
      <c r="C840">
        <v>1</v>
      </c>
      <c r="D840" t="s">
        <v>30</v>
      </c>
      <c r="E840" s="6">
        <v>46082.909722222219</v>
      </c>
      <c r="F840" s="18">
        <f t="shared" si="39"/>
        <v>0.21736111110658385</v>
      </c>
      <c r="G840" s="19">
        <f t="shared" si="40"/>
        <v>5.2166666665580124</v>
      </c>
      <c r="H840" s="20">
        <f t="shared" si="41"/>
        <v>312.99999999348074</v>
      </c>
    </row>
    <row r="841" spans="1:8" x14ac:dyDescent="0.25">
      <c r="A841">
        <v>850</v>
      </c>
      <c r="B841" t="s">
        <v>29</v>
      </c>
      <c r="C841">
        <v>1</v>
      </c>
      <c r="D841" t="s">
        <v>30</v>
      </c>
      <c r="E841" s="6">
        <v>46082.913194444445</v>
      </c>
      <c r="F841" s="18">
        <f t="shared" si="39"/>
        <v>3.4722222262644209E-3</v>
      </c>
      <c r="G841" s="19">
        <f t="shared" si="40"/>
        <v>8.3333333430346102E-2</v>
      </c>
      <c r="H841" s="20">
        <f t="shared" si="41"/>
        <v>5.0000000058207661</v>
      </c>
    </row>
    <row r="842" spans="1:8" x14ac:dyDescent="0.25">
      <c r="A842">
        <v>851</v>
      </c>
      <c r="B842" t="s">
        <v>29</v>
      </c>
      <c r="C842">
        <v>1</v>
      </c>
      <c r="D842" t="s">
        <v>30</v>
      </c>
      <c r="E842" s="6">
        <v>46082.979166666664</v>
      </c>
      <c r="F842" s="18">
        <f t="shared" si="39"/>
        <v>6.5972222218988463E-2</v>
      </c>
      <c r="G842" s="19">
        <f t="shared" si="40"/>
        <v>1.5833333332557231</v>
      </c>
      <c r="H842" s="20">
        <f t="shared" si="41"/>
        <v>94.999999995343387</v>
      </c>
    </row>
    <row r="843" spans="1:8" x14ac:dyDescent="0.25">
      <c r="A843">
        <v>852</v>
      </c>
      <c r="B843" t="s">
        <v>29</v>
      </c>
      <c r="C843">
        <v>1</v>
      </c>
      <c r="D843" t="s">
        <v>30</v>
      </c>
      <c r="E843" s="6">
        <v>46083.107638888891</v>
      </c>
      <c r="F843" s="18">
        <f t="shared" si="39"/>
        <v>0.12847222222626442</v>
      </c>
      <c r="G843" s="19">
        <f t="shared" si="40"/>
        <v>3.0833333334303461</v>
      </c>
      <c r="H843" s="20">
        <f t="shared" si="41"/>
        <v>185.00000000582077</v>
      </c>
    </row>
    <row r="844" spans="1:8" x14ac:dyDescent="0.25">
      <c r="A844">
        <v>823</v>
      </c>
      <c r="B844" t="s">
        <v>33</v>
      </c>
      <c r="C844">
        <v>1</v>
      </c>
      <c r="D844" t="s">
        <v>35</v>
      </c>
      <c r="E844" s="6">
        <v>46083.291666666664</v>
      </c>
      <c r="F844" s="18">
        <f t="shared" si="39"/>
        <v>0.18402777777373558</v>
      </c>
      <c r="G844" s="19">
        <f t="shared" si="40"/>
        <v>4.4166666665696539</v>
      </c>
      <c r="H844" s="20">
        <f t="shared" si="41"/>
        <v>264.99999999417923</v>
      </c>
    </row>
    <row r="845" spans="1:8" hidden="1" x14ac:dyDescent="0.25">
      <c r="A845">
        <v>843</v>
      </c>
      <c r="B845" t="s">
        <v>33</v>
      </c>
      <c r="C845">
        <v>1</v>
      </c>
      <c r="D845" t="s">
        <v>34</v>
      </c>
      <c r="E845" s="6">
        <v>46083.291666666664</v>
      </c>
      <c r="F845" s="18">
        <f t="shared" si="39"/>
        <v>0</v>
      </c>
      <c r="G845" s="19">
        <f t="shared" si="40"/>
        <v>0</v>
      </c>
      <c r="H845" s="19">
        <f t="shared" si="41"/>
        <v>0</v>
      </c>
    </row>
    <row r="846" spans="1:8" hidden="1" x14ac:dyDescent="0.25">
      <c r="A846">
        <v>848</v>
      </c>
      <c r="B846" t="s">
        <v>33</v>
      </c>
      <c r="C846">
        <v>1</v>
      </c>
      <c r="D846" t="s">
        <v>30</v>
      </c>
      <c r="E846" s="6">
        <v>46083.291666666664</v>
      </c>
      <c r="F846" s="18">
        <f t="shared" si="39"/>
        <v>0</v>
      </c>
      <c r="G846" s="19">
        <f t="shared" si="40"/>
        <v>0</v>
      </c>
      <c r="H846" s="19">
        <f t="shared" si="41"/>
        <v>0</v>
      </c>
    </row>
    <row r="847" spans="1:8" x14ac:dyDescent="0.25">
      <c r="A847">
        <v>853</v>
      </c>
      <c r="B847" t="s">
        <v>33</v>
      </c>
      <c r="C847">
        <v>1</v>
      </c>
      <c r="D847" t="s">
        <v>30</v>
      </c>
      <c r="E847" s="6">
        <v>46083.322916666664</v>
      </c>
      <c r="F847" s="18">
        <f t="shared" si="39"/>
        <v>3.125E-2</v>
      </c>
      <c r="G847" s="19">
        <f t="shared" si="40"/>
        <v>0.75</v>
      </c>
      <c r="H847" s="20">
        <f t="shared" si="41"/>
        <v>45</v>
      </c>
    </row>
    <row r="848" spans="1:8" x14ac:dyDescent="0.25">
      <c r="A848">
        <v>854</v>
      </c>
      <c r="B848" t="s">
        <v>31</v>
      </c>
      <c r="C848">
        <v>1</v>
      </c>
      <c r="D848" t="s">
        <v>30</v>
      </c>
      <c r="E848" s="6">
        <v>46083.364583333336</v>
      </c>
      <c r="F848" s="18">
        <f t="shared" si="39"/>
        <v>4.1666666671517305E-2</v>
      </c>
      <c r="G848" s="19">
        <f t="shared" si="40"/>
        <v>1.0000000001164153</v>
      </c>
      <c r="H848" s="20">
        <f t="shared" si="41"/>
        <v>60.000000006984919</v>
      </c>
    </row>
    <row r="849" spans="1:8" x14ac:dyDescent="0.25">
      <c r="A849">
        <v>841</v>
      </c>
      <c r="B849" t="s">
        <v>33</v>
      </c>
      <c r="C849">
        <v>1</v>
      </c>
      <c r="D849" t="s">
        <v>34</v>
      </c>
      <c r="E849" s="6">
        <v>46083.430555555555</v>
      </c>
      <c r="F849" s="18">
        <f t="shared" si="39"/>
        <v>6.5972222218988463E-2</v>
      </c>
      <c r="G849" s="19">
        <f t="shared" si="40"/>
        <v>1.5833333332557231</v>
      </c>
      <c r="H849" s="20">
        <f t="shared" si="41"/>
        <v>94.999999995343387</v>
      </c>
    </row>
    <row r="850" spans="1:8" x14ac:dyDescent="0.25">
      <c r="A850">
        <v>855</v>
      </c>
      <c r="B850" t="s">
        <v>33</v>
      </c>
      <c r="C850">
        <v>1</v>
      </c>
      <c r="D850" t="s">
        <v>32</v>
      </c>
      <c r="E850" s="6">
        <v>46083.444444444445</v>
      </c>
      <c r="F850" s="18">
        <f t="shared" si="39"/>
        <v>1.3888888890505768E-2</v>
      </c>
      <c r="G850" s="19">
        <f t="shared" si="40"/>
        <v>0.33333333337213844</v>
      </c>
      <c r="H850" s="20">
        <f t="shared" si="41"/>
        <v>20.000000002328306</v>
      </c>
    </row>
    <row r="851" spans="1:8" x14ac:dyDescent="0.25">
      <c r="A851">
        <v>824</v>
      </c>
      <c r="B851" t="s">
        <v>33</v>
      </c>
      <c r="C851">
        <v>1</v>
      </c>
      <c r="D851" t="s">
        <v>37</v>
      </c>
      <c r="E851" s="6">
        <v>46083.466666666667</v>
      </c>
      <c r="F851" s="18">
        <f t="shared" si="39"/>
        <v>2.2222222221898846E-2</v>
      </c>
      <c r="G851" s="19">
        <f t="shared" si="40"/>
        <v>0.53333333332557231</v>
      </c>
      <c r="H851" s="20">
        <f t="shared" si="41"/>
        <v>31.999999999534339</v>
      </c>
    </row>
    <row r="852" spans="1:8" x14ac:dyDescent="0.25">
      <c r="A852">
        <v>845</v>
      </c>
      <c r="B852" t="s">
        <v>31</v>
      </c>
      <c r="C852">
        <v>1</v>
      </c>
      <c r="D852" t="s">
        <v>36</v>
      </c>
      <c r="E852" s="6">
        <v>46083.541666666664</v>
      </c>
      <c r="F852" s="18">
        <f t="shared" si="39"/>
        <v>7.4999999997089617E-2</v>
      </c>
      <c r="G852" s="19">
        <f t="shared" si="40"/>
        <v>1.7999999999301508</v>
      </c>
      <c r="H852" s="20">
        <f t="shared" si="41"/>
        <v>107.99999999580905</v>
      </c>
    </row>
    <row r="853" spans="1:8" x14ac:dyDescent="0.25">
      <c r="A853">
        <v>856</v>
      </c>
      <c r="B853" t="s">
        <v>33</v>
      </c>
      <c r="C853">
        <v>1</v>
      </c>
      <c r="D853" t="s">
        <v>30</v>
      </c>
      <c r="E853" s="6">
        <v>46083.565972222219</v>
      </c>
      <c r="F853" s="18">
        <f t="shared" si="39"/>
        <v>2.4305555554747116E-2</v>
      </c>
      <c r="G853" s="19">
        <f t="shared" si="40"/>
        <v>0.58333333331393078</v>
      </c>
      <c r="H853" s="20">
        <f t="shared" si="41"/>
        <v>34.999999998835847</v>
      </c>
    </row>
    <row r="854" spans="1:8" x14ac:dyDescent="0.25">
      <c r="A854">
        <v>865</v>
      </c>
      <c r="B854" t="s">
        <v>29</v>
      </c>
      <c r="C854">
        <v>1</v>
      </c>
      <c r="D854" t="s">
        <v>30</v>
      </c>
      <c r="E854" s="6">
        <v>46083.649305555555</v>
      </c>
      <c r="F854" s="18">
        <f t="shared" si="39"/>
        <v>8.3333333335758653E-2</v>
      </c>
      <c r="G854" s="19">
        <f t="shared" si="40"/>
        <v>2.0000000000582077</v>
      </c>
      <c r="H854" s="20">
        <f t="shared" si="41"/>
        <v>120.00000000349246</v>
      </c>
    </row>
    <row r="855" spans="1:8" x14ac:dyDescent="0.25">
      <c r="A855">
        <v>844</v>
      </c>
      <c r="B855" t="s">
        <v>31</v>
      </c>
      <c r="C855">
        <v>1</v>
      </c>
      <c r="D855" t="s">
        <v>36</v>
      </c>
      <c r="E855" s="6">
        <v>46083.708333333336</v>
      </c>
      <c r="F855" s="18">
        <f t="shared" si="39"/>
        <v>5.9027777781011537E-2</v>
      </c>
      <c r="G855" s="19">
        <f t="shared" si="40"/>
        <v>1.4166666667442769</v>
      </c>
      <c r="H855" s="20">
        <f t="shared" si="41"/>
        <v>85.000000004656613</v>
      </c>
    </row>
    <row r="856" spans="1:8" x14ac:dyDescent="0.25">
      <c r="A856">
        <v>867</v>
      </c>
      <c r="B856" t="s">
        <v>33</v>
      </c>
      <c r="C856">
        <v>1</v>
      </c>
      <c r="D856" t="s">
        <v>30</v>
      </c>
      <c r="E856" s="6">
        <v>46083.729166666664</v>
      </c>
      <c r="F856" s="18">
        <f t="shared" si="39"/>
        <v>2.0833333328482695E-2</v>
      </c>
      <c r="G856" s="19">
        <f t="shared" si="40"/>
        <v>0.49999999988358468</v>
      </c>
      <c r="H856" s="20">
        <f t="shared" si="41"/>
        <v>29.999999993015081</v>
      </c>
    </row>
    <row r="857" spans="1:8" x14ac:dyDescent="0.25">
      <c r="A857">
        <v>866</v>
      </c>
      <c r="B857" t="s">
        <v>33</v>
      </c>
      <c r="C857">
        <v>1</v>
      </c>
      <c r="D857" t="s">
        <v>34</v>
      </c>
      <c r="E857" s="6">
        <v>46083.760416666664</v>
      </c>
      <c r="F857" s="18">
        <f t="shared" si="39"/>
        <v>3.125E-2</v>
      </c>
      <c r="G857" s="19">
        <f t="shared" si="40"/>
        <v>0.75</v>
      </c>
      <c r="H857" s="20">
        <f t="shared" si="41"/>
        <v>45</v>
      </c>
    </row>
    <row r="858" spans="1:8" x14ac:dyDescent="0.25">
      <c r="A858">
        <v>842</v>
      </c>
      <c r="B858" t="s">
        <v>31</v>
      </c>
      <c r="C858">
        <v>1</v>
      </c>
      <c r="D858" t="s">
        <v>30</v>
      </c>
      <c r="E858" s="6">
        <v>46083.770138888889</v>
      </c>
      <c r="F858" s="18">
        <f t="shared" si="39"/>
        <v>9.7222222248092294E-3</v>
      </c>
      <c r="G858" s="19">
        <f t="shared" si="40"/>
        <v>0.2333333333954215</v>
      </c>
      <c r="H858" s="20">
        <f t="shared" si="41"/>
        <v>14.00000000372529</v>
      </c>
    </row>
    <row r="859" spans="1:8" x14ac:dyDescent="0.25">
      <c r="A859">
        <v>870</v>
      </c>
      <c r="B859" t="s">
        <v>33</v>
      </c>
      <c r="C859">
        <v>1</v>
      </c>
      <c r="D859" t="s">
        <v>30</v>
      </c>
      <c r="E859" s="6">
        <v>46083.890972222223</v>
      </c>
      <c r="F859" s="18">
        <f t="shared" si="39"/>
        <v>0.12083333333430346</v>
      </c>
      <c r="G859" s="19">
        <f t="shared" si="40"/>
        <v>2.9000000000232831</v>
      </c>
      <c r="H859" s="20">
        <f t="shared" si="41"/>
        <v>174.00000000139698</v>
      </c>
    </row>
    <row r="860" spans="1:8" x14ac:dyDescent="0.25">
      <c r="A860">
        <v>868</v>
      </c>
      <c r="B860" t="s">
        <v>29</v>
      </c>
      <c r="C860">
        <v>1</v>
      </c>
      <c r="D860" t="s">
        <v>30</v>
      </c>
      <c r="E860" s="6">
        <v>46083.929861111108</v>
      </c>
      <c r="F860" s="18">
        <f t="shared" si="39"/>
        <v>3.8888888884685002E-2</v>
      </c>
      <c r="G860" s="19">
        <f t="shared" si="40"/>
        <v>0.93333333323244005</v>
      </c>
      <c r="H860" s="20">
        <f t="shared" si="41"/>
        <v>55.999999993946403</v>
      </c>
    </row>
    <row r="861" spans="1:8" x14ac:dyDescent="0.25">
      <c r="A861">
        <v>871</v>
      </c>
      <c r="B861" t="s">
        <v>33</v>
      </c>
      <c r="C861">
        <v>1</v>
      </c>
      <c r="D861" t="s">
        <v>30</v>
      </c>
      <c r="E861" s="6">
        <v>46083.972222222219</v>
      </c>
      <c r="F861" s="18">
        <f t="shared" si="39"/>
        <v>4.2361111110949423E-2</v>
      </c>
      <c r="G861" s="19">
        <f t="shared" si="40"/>
        <v>1.0166666666627862</v>
      </c>
      <c r="H861" s="20">
        <f t="shared" si="41"/>
        <v>60.999999999767169</v>
      </c>
    </row>
    <row r="862" spans="1:8" x14ac:dyDescent="0.25">
      <c r="A862">
        <v>872</v>
      </c>
      <c r="B862" t="s">
        <v>29</v>
      </c>
      <c r="C862">
        <v>1</v>
      </c>
      <c r="D862" t="s">
        <v>30</v>
      </c>
      <c r="E862" s="6">
        <v>46084</v>
      </c>
      <c r="F862" s="18">
        <f t="shared" si="39"/>
        <v>2.7777777781011537E-2</v>
      </c>
      <c r="G862" s="19">
        <f t="shared" si="40"/>
        <v>0.66666666674427688</v>
      </c>
      <c r="H862" s="20">
        <f t="shared" si="41"/>
        <v>40.000000004656613</v>
      </c>
    </row>
    <row r="863" spans="1:8" x14ac:dyDescent="0.25">
      <c r="A863">
        <v>873</v>
      </c>
      <c r="B863" t="s">
        <v>29</v>
      </c>
      <c r="C863">
        <v>1</v>
      </c>
      <c r="D863" t="s">
        <v>30</v>
      </c>
      <c r="E863" s="6">
        <v>46084.045138888891</v>
      </c>
      <c r="F863" s="18">
        <f t="shared" si="39"/>
        <v>4.5138888890505768E-2</v>
      </c>
      <c r="G863" s="19">
        <f t="shared" si="40"/>
        <v>1.0833333333721384</v>
      </c>
      <c r="H863" s="20">
        <f t="shared" si="41"/>
        <v>65.000000002328306</v>
      </c>
    </row>
    <row r="864" spans="1:8" hidden="1" x14ac:dyDescent="0.25">
      <c r="A864">
        <v>857</v>
      </c>
      <c r="B864" t="s">
        <v>33</v>
      </c>
      <c r="C864">
        <v>1</v>
      </c>
      <c r="D864" t="s">
        <v>34</v>
      </c>
      <c r="E864" s="6">
        <v>46084.291666666664</v>
      </c>
      <c r="F864" s="18">
        <f t="shared" si="39"/>
        <v>0.24652777777373558</v>
      </c>
      <c r="G864" s="19">
        <f t="shared" si="40"/>
        <v>5.9166666665696539</v>
      </c>
      <c r="H864" s="20">
        <f t="shared" si="41"/>
        <v>354.99999999417923</v>
      </c>
    </row>
    <row r="865" spans="1:8" hidden="1" x14ac:dyDescent="0.25">
      <c r="A865">
        <v>869</v>
      </c>
      <c r="B865" t="s">
        <v>31</v>
      </c>
      <c r="C865">
        <v>1</v>
      </c>
      <c r="D865" t="s">
        <v>36</v>
      </c>
      <c r="E865" s="6">
        <v>46084.291666666664</v>
      </c>
      <c r="F865" s="18">
        <f t="shared" si="39"/>
        <v>0</v>
      </c>
      <c r="G865" s="19">
        <f t="shared" si="40"/>
        <v>0</v>
      </c>
      <c r="H865" s="19">
        <f t="shared" si="41"/>
        <v>0</v>
      </c>
    </row>
    <row r="866" spans="1:8" x14ac:dyDescent="0.25">
      <c r="A866">
        <v>582</v>
      </c>
      <c r="B866" t="s">
        <v>29</v>
      </c>
      <c r="C866">
        <v>1</v>
      </c>
      <c r="D866" t="s">
        <v>32</v>
      </c>
      <c r="E866" s="6">
        <v>46084.309027777781</v>
      </c>
      <c r="F866" s="18">
        <f t="shared" si="39"/>
        <v>1.7361111116770189E-2</v>
      </c>
      <c r="G866" s="19">
        <f t="shared" si="40"/>
        <v>0.41666666680248454</v>
      </c>
      <c r="H866" s="20">
        <f t="shared" si="41"/>
        <v>25.000000008149073</v>
      </c>
    </row>
    <row r="867" spans="1:8" x14ac:dyDescent="0.25">
      <c r="A867">
        <v>864</v>
      </c>
      <c r="B867" t="s">
        <v>29</v>
      </c>
      <c r="C867">
        <v>1</v>
      </c>
      <c r="D867" t="s">
        <v>35</v>
      </c>
      <c r="E867" s="6">
        <v>46084.319444444445</v>
      </c>
      <c r="F867" s="18">
        <f t="shared" si="39"/>
        <v>1.0416666664241347E-2</v>
      </c>
      <c r="G867" s="19">
        <f t="shared" si="40"/>
        <v>0.24999999994179234</v>
      </c>
      <c r="H867" s="20">
        <f t="shared" si="41"/>
        <v>14.99999999650754</v>
      </c>
    </row>
    <row r="868" spans="1:8" x14ac:dyDescent="0.25">
      <c r="A868">
        <v>862</v>
      </c>
      <c r="B868" t="s">
        <v>31</v>
      </c>
      <c r="C868">
        <v>1</v>
      </c>
      <c r="D868" t="s">
        <v>37</v>
      </c>
      <c r="E868" s="6">
        <v>46084.345833333333</v>
      </c>
      <c r="F868" s="18">
        <f t="shared" si="39"/>
        <v>2.6388888887595385E-2</v>
      </c>
      <c r="G868" s="19">
        <f t="shared" si="40"/>
        <v>0.63333333330228925</v>
      </c>
      <c r="H868" s="20">
        <f t="shared" si="41"/>
        <v>37.999999998137355</v>
      </c>
    </row>
    <row r="869" spans="1:8" x14ac:dyDescent="0.25">
      <c r="A869">
        <v>863</v>
      </c>
      <c r="B869" t="s">
        <v>33</v>
      </c>
      <c r="C869">
        <v>1</v>
      </c>
      <c r="D869" t="s">
        <v>36</v>
      </c>
      <c r="E869" s="6">
        <v>46084.427083333336</v>
      </c>
      <c r="F869" s="18">
        <f t="shared" si="39"/>
        <v>8.1250000002910383E-2</v>
      </c>
      <c r="G869" s="19">
        <f t="shared" si="40"/>
        <v>1.9500000000698492</v>
      </c>
      <c r="H869" s="20">
        <f t="shared" si="41"/>
        <v>117.00000000419095</v>
      </c>
    </row>
    <row r="870" spans="1:8" x14ac:dyDescent="0.25">
      <c r="A870">
        <v>859</v>
      </c>
      <c r="B870" t="s">
        <v>31</v>
      </c>
      <c r="C870">
        <v>1</v>
      </c>
      <c r="D870" t="s">
        <v>32</v>
      </c>
      <c r="E870" s="6">
        <v>46084.472222222219</v>
      </c>
      <c r="F870" s="18">
        <f t="shared" si="39"/>
        <v>4.5138888883229811E-2</v>
      </c>
      <c r="G870" s="19">
        <f t="shared" si="40"/>
        <v>1.0833333331975155</v>
      </c>
      <c r="H870" s="20">
        <f t="shared" si="41"/>
        <v>64.999999991850927</v>
      </c>
    </row>
    <row r="871" spans="1:8" x14ac:dyDescent="0.25">
      <c r="A871">
        <v>875</v>
      </c>
      <c r="B871" t="s">
        <v>29</v>
      </c>
      <c r="C871">
        <v>1</v>
      </c>
      <c r="D871" t="s">
        <v>30</v>
      </c>
      <c r="E871" s="6">
        <v>46084.479166666664</v>
      </c>
      <c r="F871" s="18">
        <f t="shared" si="39"/>
        <v>6.9444444452528842E-3</v>
      </c>
      <c r="G871" s="19">
        <f t="shared" si="40"/>
        <v>0.16666666668606922</v>
      </c>
      <c r="H871" s="20">
        <f t="shared" si="41"/>
        <v>10.000000001164153</v>
      </c>
    </row>
    <row r="872" spans="1:8" x14ac:dyDescent="0.25">
      <c r="A872">
        <v>874</v>
      </c>
      <c r="B872" t="s">
        <v>29</v>
      </c>
      <c r="C872">
        <v>1</v>
      </c>
      <c r="D872" t="s">
        <v>36</v>
      </c>
      <c r="E872" s="6">
        <v>46084.480555555558</v>
      </c>
      <c r="F872" s="18">
        <f t="shared" si="39"/>
        <v>1.3888888934161514E-3</v>
      </c>
      <c r="G872" s="19">
        <f t="shared" si="40"/>
        <v>3.3333333441987634E-2</v>
      </c>
      <c r="H872" s="20">
        <f t="shared" si="41"/>
        <v>2.000000006519258</v>
      </c>
    </row>
    <row r="873" spans="1:8" x14ac:dyDescent="0.25">
      <c r="A873">
        <v>860</v>
      </c>
      <c r="B873" t="s">
        <v>33</v>
      </c>
      <c r="C873">
        <v>1</v>
      </c>
      <c r="D873" t="s">
        <v>32</v>
      </c>
      <c r="E873" s="6">
        <v>46084.550694444442</v>
      </c>
      <c r="F873" s="18">
        <f t="shared" si="39"/>
        <v>7.0138888884685002E-2</v>
      </c>
      <c r="G873" s="19">
        <f t="shared" si="40"/>
        <v>1.6833333332324401</v>
      </c>
      <c r="H873" s="20">
        <f t="shared" si="41"/>
        <v>100.9999999939464</v>
      </c>
    </row>
    <row r="874" spans="1:8" x14ac:dyDescent="0.25">
      <c r="A874">
        <v>877</v>
      </c>
      <c r="B874" t="s">
        <v>31</v>
      </c>
      <c r="C874">
        <v>1</v>
      </c>
      <c r="D874" t="s">
        <v>30</v>
      </c>
      <c r="E874" s="6">
        <v>46084.57708333333</v>
      </c>
      <c r="F874" s="18">
        <f t="shared" si="39"/>
        <v>2.6388888887595385E-2</v>
      </c>
      <c r="G874" s="19">
        <f t="shared" si="40"/>
        <v>0.63333333330228925</v>
      </c>
      <c r="H874" s="20">
        <f t="shared" si="41"/>
        <v>37.999999998137355</v>
      </c>
    </row>
    <row r="875" spans="1:8" x14ac:dyDescent="0.25">
      <c r="A875">
        <v>876</v>
      </c>
      <c r="B875" t="s">
        <v>31</v>
      </c>
      <c r="C875">
        <v>1</v>
      </c>
      <c r="D875" t="s">
        <v>36</v>
      </c>
      <c r="E875" s="6">
        <v>46084.607638888891</v>
      </c>
      <c r="F875" s="18">
        <f t="shared" si="39"/>
        <v>3.0555555560567882E-2</v>
      </c>
      <c r="G875" s="19">
        <f t="shared" si="40"/>
        <v>0.73333333345362917</v>
      </c>
      <c r="H875" s="20">
        <f t="shared" si="41"/>
        <v>44.00000000721775</v>
      </c>
    </row>
    <row r="876" spans="1:8" x14ac:dyDescent="0.25">
      <c r="A876">
        <v>884</v>
      </c>
      <c r="B876" t="s">
        <v>29</v>
      </c>
      <c r="C876">
        <v>1</v>
      </c>
      <c r="D876" t="s">
        <v>30</v>
      </c>
      <c r="E876" s="6">
        <v>46084.611111111109</v>
      </c>
      <c r="F876" s="18">
        <f t="shared" si="39"/>
        <v>3.4722222189884633E-3</v>
      </c>
      <c r="G876" s="19">
        <f t="shared" si="40"/>
        <v>8.3333333255723119E-2</v>
      </c>
      <c r="H876" s="20">
        <f t="shared" si="41"/>
        <v>4.9999999953433871</v>
      </c>
    </row>
    <row r="877" spans="1:8" x14ac:dyDescent="0.25">
      <c r="A877">
        <v>858</v>
      </c>
      <c r="B877" t="s">
        <v>31</v>
      </c>
      <c r="C877">
        <v>1</v>
      </c>
      <c r="D877" t="s">
        <v>35</v>
      </c>
      <c r="E877" s="6">
        <v>46084.645833333336</v>
      </c>
      <c r="F877" s="18">
        <f t="shared" si="39"/>
        <v>3.4722222226264421E-2</v>
      </c>
      <c r="G877" s="19">
        <f t="shared" si="40"/>
        <v>0.8333333334303461</v>
      </c>
      <c r="H877" s="20">
        <f t="shared" si="41"/>
        <v>50.000000005820766</v>
      </c>
    </row>
    <row r="878" spans="1:8" x14ac:dyDescent="0.25">
      <c r="A878">
        <v>886</v>
      </c>
      <c r="B878" t="s">
        <v>33</v>
      </c>
      <c r="C878">
        <v>1</v>
      </c>
      <c r="D878" t="s">
        <v>30</v>
      </c>
      <c r="E878" s="6">
        <v>46084.697916666664</v>
      </c>
      <c r="F878" s="18">
        <f t="shared" si="39"/>
        <v>5.2083333328482695E-2</v>
      </c>
      <c r="G878" s="19">
        <f t="shared" si="40"/>
        <v>1.2499999998835847</v>
      </c>
      <c r="H878" s="20">
        <f t="shared" si="41"/>
        <v>74.999999993015081</v>
      </c>
    </row>
    <row r="879" spans="1:8" x14ac:dyDescent="0.25">
      <c r="A879">
        <v>861</v>
      </c>
      <c r="B879" t="s">
        <v>31</v>
      </c>
      <c r="C879">
        <v>1</v>
      </c>
      <c r="D879" t="s">
        <v>34</v>
      </c>
      <c r="E879" s="6">
        <v>46084.746527777781</v>
      </c>
      <c r="F879" s="18">
        <f t="shared" si="39"/>
        <v>4.8611111116770189E-2</v>
      </c>
      <c r="G879" s="19">
        <f t="shared" si="40"/>
        <v>1.1666666668024845</v>
      </c>
      <c r="H879" s="20">
        <f t="shared" si="41"/>
        <v>70.000000008149073</v>
      </c>
    </row>
    <row r="880" spans="1:8" x14ac:dyDescent="0.25">
      <c r="A880">
        <v>887</v>
      </c>
      <c r="B880" t="s">
        <v>31</v>
      </c>
      <c r="C880">
        <v>1</v>
      </c>
      <c r="D880" t="s">
        <v>30</v>
      </c>
      <c r="E880" s="6">
        <v>46084.854166666664</v>
      </c>
      <c r="F880" s="18">
        <f t="shared" si="39"/>
        <v>0.10763888888322981</v>
      </c>
      <c r="G880" s="19">
        <f t="shared" si="40"/>
        <v>2.5833333331975155</v>
      </c>
      <c r="H880" s="20">
        <f t="shared" si="41"/>
        <v>154.99999999185093</v>
      </c>
    </row>
    <row r="881" spans="1:8" x14ac:dyDescent="0.25">
      <c r="A881">
        <v>888</v>
      </c>
      <c r="B881" t="s">
        <v>31</v>
      </c>
      <c r="C881">
        <v>1</v>
      </c>
      <c r="D881" t="s">
        <v>30</v>
      </c>
      <c r="E881" s="6">
        <v>46084.885416666664</v>
      </c>
      <c r="F881" s="18">
        <f t="shared" si="39"/>
        <v>3.125E-2</v>
      </c>
      <c r="G881" s="19">
        <f t="shared" si="40"/>
        <v>0.75</v>
      </c>
      <c r="H881" s="20">
        <f t="shared" si="41"/>
        <v>45</v>
      </c>
    </row>
    <row r="882" spans="1:8" x14ac:dyDescent="0.25">
      <c r="A882">
        <v>889</v>
      </c>
      <c r="B882" t="s">
        <v>29</v>
      </c>
      <c r="C882">
        <v>1</v>
      </c>
      <c r="D882" t="s">
        <v>30</v>
      </c>
      <c r="E882" s="6">
        <v>46084.931944444441</v>
      </c>
      <c r="F882" s="18">
        <f t="shared" si="39"/>
        <v>4.6527777776645962E-2</v>
      </c>
      <c r="G882" s="19">
        <f t="shared" si="40"/>
        <v>1.1166666666395031</v>
      </c>
      <c r="H882" s="20">
        <f t="shared" si="41"/>
        <v>66.999999998370185</v>
      </c>
    </row>
    <row r="883" spans="1:8" x14ac:dyDescent="0.25">
      <c r="A883">
        <v>890</v>
      </c>
      <c r="B883" t="s">
        <v>33</v>
      </c>
      <c r="C883">
        <v>1</v>
      </c>
      <c r="D883" t="s">
        <v>30</v>
      </c>
      <c r="E883" s="6">
        <v>46084.965277777781</v>
      </c>
      <c r="F883" s="18">
        <f t="shared" si="39"/>
        <v>3.3333333340124227E-2</v>
      </c>
      <c r="G883" s="19">
        <f t="shared" si="40"/>
        <v>0.80000000016298145</v>
      </c>
      <c r="H883" s="20">
        <f t="shared" si="41"/>
        <v>48.000000009778887</v>
      </c>
    </row>
    <row r="884" spans="1:8" x14ac:dyDescent="0.25">
      <c r="A884">
        <v>892</v>
      </c>
      <c r="B884" t="s">
        <v>33</v>
      </c>
      <c r="C884">
        <v>1</v>
      </c>
      <c r="D884" t="s">
        <v>34</v>
      </c>
      <c r="E884" s="6">
        <v>46085.027777777781</v>
      </c>
      <c r="F884" s="18">
        <f t="shared" si="39"/>
        <v>6.25E-2</v>
      </c>
      <c r="G884" s="19">
        <f t="shared" si="40"/>
        <v>1.5</v>
      </c>
      <c r="H884" s="20">
        <f t="shared" si="41"/>
        <v>90</v>
      </c>
    </row>
    <row r="885" spans="1:8" x14ac:dyDescent="0.25">
      <c r="A885">
        <v>891</v>
      </c>
      <c r="B885" t="s">
        <v>31</v>
      </c>
      <c r="C885">
        <v>1</v>
      </c>
      <c r="D885" t="s">
        <v>30</v>
      </c>
      <c r="E885" s="6">
        <v>46085.041666666664</v>
      </c>
      <c r="F885" s="18">
        <f t="shared" si="39"/>
        <v>1.3888888883229811E-2</v>
      </c>
      <c r="G885" s="19">
        <f t="shared" si="40"/>
        <v>0.33333333319751546</v>
      </c>
      <c r="H885" s="20">
        <f t="shared" si="41"/>
        <v>19.999999991850927</v>
      </c>
    </row>
    <row r="886" spans="1:8" x14ac:dyDescent="0.25">
      <c r="A886">
        <v>894</v>
      </c>
      <c r="B886" t="s">
        <v>31</v>
      </c>
      <c r="C886">
        <v>1</v>
      </c>
      <c r="D886" t="s">
        <v>30</v>
      </c>
      <c r="E886" s="6">
        <v>46085.173611111109</v>
      </c>
      <c r="F886" s="18">
        <f t="shared" si="39"/>
        <v>0.13194444444525288</v>
      </c>
      <c r="G886" s="19">
        <f t="shared" si="40"/>
        <v>3.1666666666860692</v>
      </c>
      <c r="H886" s="20">
        <f t="shared" si="41"/>
        <v>190.00000000116415</v>
      </c>
    </row>
    <row r="887" spans="1:8" x14ac:dyDescent="0.25">
      <c r="A887">
        <v>879</v>
      </c>
      <c r="B887" t="s">
        <v>31</v>
      </c>
      <c r="C887">
        <v>1</v>
      </c>
      <c r="D887" t="s">
        <v>34</v>
      </c>
      <c r="E887" s="6">
        <v>46085.291666666664</v>
      </c>
      <c r="F887" s="18">
        <f t="shared" si="39"/>
        <v>0.11805555555474712</v>
      </c>
      <c r="G887" s="19">
        <f t="shared" si="40"/>
        <v>2.8333333333139308</v>
      </c>
      <c r="H887" s="20">
        <f t="shared" si="41"/>
        <v>169.99999999883585</v>
      </c>
    </row>
    <row r="888" spans="1:8" hidden="1" x14ac:dyDescent="0.25">
      <c r="A888">
        <v>880</v>
      </c>
      <c r="B888" t="s">
        <v>29</v>
      </c>
      <c r="C888">
        <v>1</v>
      </c>
      <c r="D888" t="s">
        <v>37</v>
      </c>
      <c r="E888" s="6">
        <v>46085.291666666664</v>
      </c>
      <c r="F888" s="18">
        <f t="shared" si="39"/>
        <v>0</v>
      </c>
      <c r="G888" s="19">
        <f t="shared" si="40"/>
        <v>0</v>
      </c>
      <c r="H888" s="19">
        <f t="shared" si="41"/>
        <v>0</v>
      </c>
    </row>
    <row r="889" spans="1:8" hidden="1" x14ac:dyDescent="0.25">
      <c r="A889">
        <v>885</v>
      </c>
      <c r="B889" t="s">
        <v>33</v>
      </c>
      <c r="C889">
        <v>1</v>
      </c>
      <c r="D889" t="s">
        <v>30</v>
      </c>
      <c r="E889" s="6">
        <v>46085.291666666664</v>
      </c>
      <c r="F889" s="18">
        <f t="shared" si="39"/>
        <v>0</v>
      </c>
      <c r="G889" s="19">
        <f t="shared" si="40"/>
        <v>0</v>
      </c>
      <c r="H889" s="19">
        <f t="shared" si="41"/>
        <v>0</v>
      </c>
    </row>
    <row r="890" spans="1:8" x14ac:dyDescent="0.25">
      <c r="A890">
        <v>572</v>
      </c>
      <c r="B890" t="s">
        <v>33</v>
      </c>
      <c r="C890">
        <v>1</v>
      </c>
      <c r="D890" t="s">
        <v>34</v>
      </c>
      <c r="E890" s="6">
        <v>46085.336805555555</v>
      </c>
      <c r="F890" s="18">
        <f t="shared" si="39"/>
        <v>4.5138888890505768E-2</v>
      </c>
      <c r="G890" s="19">
        <f t="shared" si="40"/>
        <v>1.0833333333721384</v>
      </c>
      <c r="H890" s="20">
        <f t="shared" si="41"/>
        <v>65.000000002328306</v>
      </c>
    </row>
    <row r="891" spans="1:8" x14ac:dyDescent="0.25">
      <c r="A891">
        <v>895</v>
      </c>
      <c r="B891" t="s">
        <v>33</v>
      </c>
      <c r="C891">
        <v>1</v>
      </c>
      <c r="D891" t="s">
        <v>30</v>
      </c>
      <c r="E891" s="6">
        <v>46085.416666666664</v>
      </c>
      <c r="F891" s="18">
        <f t="shared" si="39"/>
        <v>7.9861111109494232E-2</v>
      </c>
      <c r="G891" s="19">
        <f t="shared" si="40"/>
        <v>1.9166666666278616</v>
      </c>
      <c r="H891" s="20">
        <f t="shared" si="41"/>
        <v>114.99999999767169</v>
      </c>
    </row>
    <row r="892" spans="1:8" x14ac:dyDescent="0.25">
      <c r="A892">
        <v>893</v>
      </c>
      <c r="B892" t="s">
        <v>33</v>
      </c>
      <c r="C892">
        <v>1</v>
      </c>
      <c r="D892" t="s">
        <v>34</v>
      </c>
      <c r="E892" s="6">
        <v>46085.454861111109</v>
      </c>
      <c r="F892" s="18">
        <f t="shared" si="39"/>
        <v>3.8194444445252884E-2</v>
      </c>
      <c r="G892" s="19">
        <f t="shared" si="40"/>
        <v>0.91666666668606922</v>
      </c>
      <c r="H892" s="20">
        <f t="shared" si="41"/>
        <v>55.000000001164153</v>
      </c>
    </row>
    <row r="893" spans="1:8" x14ac:dyDescent="0.25">
      <c r="A893">
        <v>883</v>
      </c>
      <c r="B893" t="s">
        <v>33</v>
      </c>
      <c r="C893">
        <v>1</v>
      </c>
      <c r="D893" t="s">
        <v>32</v>
      </c>
      <c r="E893" s="6">
        <v>46085.475694444445</v>
      </c>
      <c r="F893" s="18">
        <f t="shared" si="39"/>
        <v>2.0833333335758653E-2</v>
      </c>
      <c r="G893" s="19">
        <f t="shared" si="40"/>
        <v>0.50000000005820766</v>
      </c>
      <c r="H893" s="20">
        <f t="shared" si="41"/>
        <v>30.00000000349246</v>
      </c>
    </row>
    <row r="894" spans="1:8" x14ac:dyDescent="0.25">
      <c r="A894">
        <v>882</v>
      </c>
      <c r="B894" t="s">
        <v>29</v>
      </c>
      <c r="C894">
        <v>1</v>
      </c>
      <c r="D894" t="s">
        <v>32</v>
      </c>
      <c r="E894" s="6">
        <v>46085.5</v>
      </c>
      <c r="F894" s="18">
        <f t="shared" si="39"/>
        <v>2.4305555554747116E-2</v>
      </c>
      <c r="G894" s="19">
        <f t="shared" si="40"/>
        <v>0.58333333331393078</v>
      </c>
      <c r="H894" s="20">
        <f t="shared" si="41"/>
        <v>34.999999998835847</v>
      </c>
    </row>
    <row r="895" spans="1:8" x14ac:dyDescent="0.25">
      <c r="A895">
        <v>897</v>
      </c>
      <c r="B895" t="s">
        <v>29</v>
      </c>
      <c r="C895">
        <v>1</v>
      </c>
      <c r="D895" t="s">
        <v>30</v>
      </c>
      <c r="E895" s="6">
        <v>46085.513888888891</v>
      </c>
      <c r="F895" s="18">
        <f t="shared" si="39"/>
        <v>1.3888888890505768E-2</v>
      </c>
      <c r="G895" s="19">
        <f t="shared" si="40"/>
        <v>0.33333333337213844</v>
      </c>
      <c r="H895" s="20">
        <f t="shared" si="41"/>
        <v>20.000000002328306</v>
      </c>
    </row>
    <row r="896" spans="1:8" x14ac:dyDescent="0.25">
      <c r="A896">
        <v>896</v>
      </c>
      <c r="B896" t="s">
        <v>31</v>
      </c>
      <c r="C896">
        <v>1</v>
      </c>
      <c r="D896" t="s">
        <v>30</v>
      </c>
      <c r="E896" s="6">
        <v>46085.520833333336</v>
      </c>
      <c r="F896" s="18">
        <f t="shared" si="39"/>
        <v>6.9444444452528842E-3</v>
      </c>
      <c r="G896" s="19">
        <f t="shared" si="40"/>
        <v>0.16666666668606922</v>
      </c>
      <c r="H896" s="20">
        <f t="shared" si="41"/>
        <v>10.000000001164153</v>
      </c>
    </row>
    <row r="897" spans="1:8" x14ac:dyDescent="0.25">
      <c r="A897">
        <v>902</v>
      </c>
      <c r="B897" t="s">
        <v>29</v>
      </c>
      <c r="C897">
        <v>1</v>
      </c>
      <c r="D897" t="s">
        <v>35</v>
      </c>
      <c r="E897" s="6">
        <v>46085.618055555555</v>
      </c>
      <c r="F897" s="18">
        <f t="shared" si="39"/>
        <v>9.7222222218988463E-2</v>
      </c>
      <c r="G897" s="19">
        <f t="shared" si="40"/>
        <v>2.3333333332557231</v>
      </c>
      <c r="H897" s="20">
        <f t="shared" si="41"/>
        <v>139.99999999534339</v>
      </c>
    </row>
    <row r="898" spans="1:8" x14ac:dyDescent="0.25">
      <c r="A898">
        <v>881</v>
      </c>
      <c r="B898" t="s">
        <v>31</v>
      </c>
      <c r="C898">
        <v>1</v>
      </c>
      <c r="D898" t="s">
        <v>32</v>
      </c>
      <c r="E898" s="6">
        <v>46085.638888888891</v>
      </c>
      <c r="F898" s="18">
        <f t="shared" si="39"/>
        <v>2.0833333335758653E-2</v>
      </c>
      <c r="G898" s="19">
        <f t="shared" si="40"/>
        <v>0.50000000005820766</v>
      </c>
      <c r="H898" s="20">
        <f t="shared" si="41"/>
        <v>30.00000000349246</v>
      </c>
    </row>
    <row r="899" spans="1:8" x14ac:dyDescent="0.25">
      <c r="A899">
        <v>900</v>
      </c>
      <c r="B899" t="s">
        <v>29</v>
      </c>
      <c r="C899">
        <v>1</v>
      </c>
      <c r="D899" t="s">
        <v>30</v>
      </c>
      <c r="E899" s="6">
        <v>46085.645833333336</v>
      </c>
      <c r="F899" s="18">
        <f t="shared" si="39"/>
        <v>6.9444444452528842E-3</v>
      </c>
      <c r="G899" s="19">
        <f t="shared" si="40"/>
        <v>0.16666666668606922</v>
      </c>
      <c r="H899" s="20">
        <f t="shared" si="41"/>
        <v>10.000000001164153</v>
      </c>
    </row>
    <row r="900" spans="1:8" hidden="1" x14ac:dyDescent="0.25">
      <c r="A900">
        <v>906</v>
      </c>
      <c r="B900" t="s">
        <v>31</v>
      </c>
      <c r="C900">
        <v>1</v>
      </c>
      <c r="D900" t="s">
        <v>34</v>
      </c>
      <c r="E900" s="6">
        <v>46085.88958333333</v>
      </c>
      <c r="F900" s="18">
        <f t="shared" si="39"/>
        <v>0.24374999999417923</v>
      </c>
      <c r="G900" s="19">
        <f t="shared" si="40"/>
        <v>5.8499999998603016</v>
      </c>
      <c r="H900" s="20">
        <f t="shared" si="41"/>
        <v>350.9999999916181</v>
      </c>
    </row>
    <row r="901" spans="1:8" x14ac:dyDescent="0.25">
      <c r="A901">
        <v>907</v>
      </c>
      <c r="B901" t="s">
        <v>29</v>
      </c>
      <c r="C901">
        <v>1</v>
      </c>
      <c r="D901" t="s">
        <v>30</v>
      </c>
      <c r="E901" s="6">
        <v>46085.975694444445</v>
      </c>
      <c r="F901" s="18">
        <f t="shared" ref="F901:F964" si="42">E901-E900</f>
        <v>8.6111111115314998E-2</v>
      </c>
      <c r="G901" s="19">
        <f t="shared" ref="G901:G964" si="43">F901*24</f>
        <v>2.0666666667675599</v>
      </c>
      <c r="H901" s="20">
        <f t="shared" ref="H901:H964" si="44">G901*60</f>
        <v>124.0000000060536</v>
      </c>
    </row>
    <row r="902" spans="1:8" x14ac:dyDescent="0.25">
      <c r="A902">
        <v>908</v>
      </c>
      <c r="B902" t="s">
        <v>31</v>
      </c>
      <c r="C902">
        <v>1</v>
      </c>
      <c r="D902" t="s">
        <v>34</v>
      </c>
      <c r="E902" s="6">
        <v>46085.999305555553</v>
      </c>
      <c r="F902" s="18">
        <f t="shared" si="42"/>
        <v>2.361111110803904E-2</v>
      </c>
      <c r="G902" s="19">
        <f t="shared" si="43"/>
        <v>0.56666666659293696</v>
      </c>
      <c r="H902" s="20">
        <f t="shared" si="44"/>
        <v>33.999999995576218</v>
      </c>
    </row>
    <row r="903" spans="1:8" hidden="1" x14ac:dyDescent="0.25">
      <c r="A903">
        <v>909</v>
      </c>
      <c r="B903" t="s">
        <v>33</v>
      </c>
      <c r="C903">
        <v>1</v>
      </c>
      <c r="D903" t="s">
        <v>35</v>
      </c>
      <c r="E903" s="6">
        <v>46086.288194444445</v>
      </c>
      <c r="F903" s="18">
        <f t="shared" si="42"/>
        <v>0.28888888889196096</v>
      </c>
      <c r="G903" s="19">
        <f t="shared" si="43"/>
        <v>6.933333333407063</v>
      </c>
      <c r="H903" s="20">
        <f t="shared" si="44"/>
        <v>416.00000000442378</v>
      </c>
    </row>
    <row r="904" spans="1:8" x14ac:dyDescent="0.25">
      <c r="A904">
        <v>898</v>
      </c>
      <c r="B904" t="s">
        <v>33</v>
      </c>
      <c r="C904">
        <v>1</v>
      </c>
      <c r="D904" t="s">
        <v>32</v>
      </c>
      <c r="E904" s="6">
        <v>46086.291666666664</v>
      </c>
      <c r="F904" s="18">
        <f t="shared" si="42"/>
        <v>3.4722222189884633E-3</v>
      </c>
      <c r="G904" s="19">
        <f t="shared" si="43"/>
        <v>8.3333333255723119E-2</v>
      </c>
      <c r="H904" s="20">
        <f t="shared" si="44"/>
        <v>4.9999999953433871</v>
      </c>
    </row>
    <row r="905" spans="1:8" hidden="1" x14ac:dyDescent="0.25">
      <c r="A905">
        <v>904</v>
      </c>
      <c r="B905" t="s">
        <v>33</v>
      </c>
      <c r="C905">
        <v>1</v>
      </c>
      <c r="D905" t="s">
        <v>36</v>
      </c>
      <c r="E905" s="6">
        <v>46086.291666666664</v>
      </c>
      <c r="F905" s="18">
        <f t="shared" si="42"/>
        <v>0</v>
      </c>
      <c r="G905" s="19">
        <f t="shared" si="43"/>
        <v>0</v>
      </c>
      <c r="H905" s="19">
        <f t="shared" si="44"/>
        <v>0</v>
      </c>
    </row>
    <row r="906" spans="1:8" x14ac:dyDescent="0.25">
      <c r="A906">
        <v>905</v>
      </c>
      <c r="B906" t="s">
        <v>33</v>
      </c>
      <c r="C906">
        <v>1</v>
      </c>
      <c r="D906" t="s">
        <v>34</v>
      </c>
      <c r="E906" s="6">
        <v>46086.322916666664</v>
      </c>
      <c r="F906" s="18">
        <f t="shared" si="42"/>
        <v>3.125E-2</v>
      </c>
      <c r="G906" s="19">
        <f t="shared" si="43"/>
        <v>0.75</v>
      </c>
      <c r="H906" s="20">
        <f t="shared" si="44"/>
        <v>45</v>
      </c>
    </row>
    <row r="907" spans="1:8" x14ac:dyDescent="0.25">
      <c r="A907">
        <v>910</v>
      </c>
      <c r="B907" t="s">
        <v>33</v>
      </c>
      <c r="C907">
        <v>1</v>
      </c>
      <c r="D907" t="s">
        <v>30</v>
      </c>
      <c r="E907" s="6">
        <v>46086.333333333336</v>
      </c>
      <c r="F907" s="18">
        <f t="shared" si="42"/>
        <v>1.0416666671517305E-2</v>
      </c>
      <c r="G907" s="19">
        <f t="shared" si="43"/>
        <v>0.25000000011641532</v>
      </c>
      <c r="H907" s="20">
        <f t="shared" si="44"/>
        <v>15.000000006984919</v>
      </c>
    </row>
    <row r="908" spans="1:8" x14ac:dyDescent="0.25">
      <c r="A908">
        <v>878</v>
      </c>
      <c r="B908" t="s">
        <v>31</v>
      </c>
      <c r="C908">
        <v>1</v>
      </c>
      <c r="D908" t="s">
        <v>32</v>
      </c>
      <c r="E908" s="6">
        <v>46086.361111111109</v>
      </c>
      <c r="F908" s="18">
        <f t="shared" si="42"/>
        <v>2.7777777773735579E-2</v>
      </c>
      <c r="G908" s="19">
        <f t="shared" si="43"/>
        <v>0.6666666665696539</v>
      </c>
      <c r="H908" s="20">
        <f t="shared" si="44"/>
        <v>39.999999994179234</v>
      </c>
    </row>
    <row r="909" spans="1:8" x14ac:dyDescent="0.25">
      <c r="A909">
        <v>899</v>
      </c>
      <c r="B909" t="s">
        <v>31</v>
      </c>
      <c r="C909">
        <v>1</v>
      </c>
      <c r="D909" t="s">
        <v>36</v>
      </c>
      <c r="E909" s="6">
        <v>46086.4375</v>
      </c>
      <c r="F909" s="18">
        <f t="shared" si="42"/>
        <v>7.6388888890505768E-2</v>
      </c>
      <c r="G909" s="19">
        <f t="shared" si="43"/>
        <v>1.8333333333721384</v>
      </c>
      <c r="H909" s="20">
        <f t="shared" si="44"/>
        <v>110.00000000232831</v>
      </c>
    </row>
    <row r="910" spans="1:8" hidden="1" x14ac:dyDescent="0.25">
      <c r="A910">
        <v>901</v>
      </c>
      <c r="B910" t="s">
        <v>31</v>
      </c>
      <c r="C910">
        <v>1</v>
      </c>
      <c r="D910" t="s">
        <v>32</v>
      </c>
      <c r="E910" s="6">
        <v>46086.4375</v>
      </c>
      <c r="F910" s="18">
        <f t="shared" si="42"/>
        <v>0</v>
      </c>
      <c r="G910" s="19">
        <f t="shared" si="43"/>
        <v>0</v>
      </c>
      <c r="H910" s="19">
        <f t="shared" si="44"/>
        <v>0</v>
      </c>
    </row>
    <row r="911" spans="1:8" x14ac:dyDescent="0.25">
      <c r="A911">
        <v>912</v>
      </c>
      <c r="B911" t="s">
        <v>31</v>
      </c>
      <c r="C911">
        <v>1</v>
      </c>
      <c r="D911" t="s">
        <v>32</v>
      </c>
      <c r="E911" s="6">
        <v>46086.45</v>
      </c>
      <c r="F911" s="18">
        <f t="shared" si="42"/>
        <v>1.2499999997089617E-2</v>
      </c>
      <c r="G911" s="19">
        <f t="shared" si="43"/>
        <v>0.29999999993015081</v>
      </c>
      <c r="H911" s="20">
        <f t="shared" si="44"/>
        <v>17.999999995809048</v>
      </c>
    </row>
    <row r="912" spans="1:8" x14ac:dyDescent="0.25">
      <c r="A912">
        <v>913</v>
      </c>
      <c r="B912" t="s">
        <v>33</v>
      </c>
      <c r="C912">
        <v>1</v>
      </c>
      <c r="D912" t="s">
        <v>30</v>
      </c>
      <c r="E912" s="6">
        <v>46086.472222222219</v>
      </c>
      <c r="F912" s="18">
        <f t="shared" si="42"/>
        <v>2.2222222221898846E-2</v>
      </c>
      <c r="G912" s="19">
        <f t="shared" si="43"/>
        <v>0.53333333332557231</v>
      </c>
      <c r="H912" s="20">
        <f t="shared" si="44"/>
        <v>31.999999999534339</v>
      </c>
    </row>
    <row r="913" spans="1:8" x14ac:dyDescent="0.25">
      <c r="A913">
        <v>911</v>
      </c>
      <c r="B913" t="s">
        <v>33</v>
      </c>
      <c r="C913">
        <v>1</v>
      </c>
      <c r="D913" t="s">
        <v>37</v>
      </c>
      <c r="E913" s="6">
        <v>46086.569444444445</v>
      </c>
      <c r="F913" s="18">
        <f t="shared" si="42"/>
        <v>9.7222222226264421E-2</v>
      </c>
      <c r="G913" s="19">
        <f t="shared" si="43"/>
        <v>2.3333333334303461</v>
      </c>
      <c r="H913" s="20">
        <f t="shared" si="44"/>
        <v>140.00000000582077</v>
      </c>
    </row>
    <row r="914" spans="1:8" x14ac:dyDescent="0.25">
      <c r="A914">
        <v>915</v>
      </c>
      <c r="B914" t="s">
        <v>29</v>
      </c>
      <c r="C914">
        <v>1</v>
      </c>
      <c r="D914" t="s">
        <v>30</v>
      </c>
      <c r="E914" s="6">
        <v>46086.579861111109</v>
      </c>
      <c r="F914" s="18">
        <f t="shared" si="42"/>
        <v>1.0416666664241347E-2</v>
      </c>
      <c r="G914" s="19">
        <f t="shared" si="43"/>
        <v>0.24999999994179234</v>
      </c>
      <c r="H914" s="20">
        <f t="shared" si="44"/>
        <v>14.99999999650754</v>
      </c>
    </row>
    <row r="915" spans="1:8" x14ac:dyDescent="0.25">
      <c r="A915">
        <v>916</v>
      </c>
      <c r="B915" t="s">
        <v>31</v>
      </c>
      <c r="C915">
        <v>1</v>
      </c>
      <c r="D915" t="s">
        <v>30</v>
      </c>
      <c r="E915" s="6">
        <v>46086.638888888891</v>
      </c>
      <c r="F915" s="18">
        <f t="shared" si="42"/>
        <v>5.9027777781011537E-2</v>
      </c>
      <c r="G915" s="19">
        <f t="shared" si="43"/>
        <v>1.4166666667442769</v>
      </c>
      <c r="H915" s="20">
        <f t="shared" si="44"/>
        <v>85.000000004656613</v>
      </c>
    </row>
    <row r="916" spans="1:8" x14ac:dyDescent="0.25">
      <c r="A916">
        <v>914</v>
      </c>
      <c r="B916" t="s">
        <v>31</v>
      </c>
      <c r="C916">
        <v>1</v>
      </c>
      <c r="D916" t="s">
        <v>36</v>
      </c>
      <c r="E916" s="6">
        <v>46086.652777777781</v>
      </c>
      <c r="F916" s="18">
        <f t="shared" si="42"/>
        <v>1.3888888890505768E-2</v>
      </c>
      <c r="G916" s="19">
        <f t="shared" si="43"/>
        <v>0.33333333337213844</v>
      </c>
      <c r="H916" s="20">
        <f t="shared" si="44"/>
        <v>20.000000002328306</v>
      </c>
    </row>
    <row r="917" spans="1:8" x14ac:dyDescent="0.25">
      <c r="A917">
        <v>903</v>
      </c>
      <c r="B917" t="s">
        <v>33</v>
      </c>
      <c r="C917">
        <v>1</v>
      </c>
      <c r="D917" t="s">
        <v>37</v>
      </c>
      <c r="E917" s="6">
        <v>46086.670138888891</v>
      </c>
      <c r="F917" s="18">
        <f t="shared" si="42"/>
        <v>1.7361111109494232E-2</v>
      </c>
      <c r="G917" s="19">
        <f t="shared" si="43"/>
        <v>0.41666666662786156</v>
      </c>
      <c r="H917" s="20">
        <f t="shared" si="44"/>
        <v>24.999999997671694</v>
      </c>
    </row>
    <row r="918" spans="1:8" x14ac:dyDescent="0.25">
      <c r="A918">
        <v>917</v>
      </c>
      <c r="B918" t="s">
        <v>31</v>
      </c>
      <c r="C918">
        <v>1</v>
      </c>
      <c r="D918" t="s">
        <v>32</v>
      </c>
      <c r="E918" s="6">
        <v>46086.701388888891</v>
      </c>
      <c r="F918" s="18">
        <f t="shared" si="42"/>
        <v>3.125E-2</v>
      </c>
      <c r="G918" s="19">
        <f t="shared" si="43"/>
        <v>0.75</v>
      </c>
      <c r="H918" s="20">
        <f t="shared" si="44"/>
        <v>45</v>
      </c>
    </row>
    <row r="919" spans="1:8" x14ac:dyDescent="0.25">
      <c r="A919">
        <v>925</v>
      </c>
      <c r="B919" t="s">
        <v>31</v>
      </c>
      <c r="C919">
        <v>1</v>
      </c>
      <c r="D919" t="s">
        <v>30</v>
      </c>
      <c r="E919" s="6">
        <v>46086.758333333331</v>
      </c>
      <c r="F919" s="18">
        <f t="shared" si="42"/>
        <v>5.694444444088731E-2</v>
      </c>
      <c r="G919" s="19">
        <f t="shared" si="43"/>
        <v>1.3666666665812954</v>
      </c>
      <c r="H919" s="20">
        <f t="shared" si="44"/>
        <v>81.999999994877726</v>
      </c>
    </row>
    <row r="920" spans="1:8" x14ac:dyDescent="0.25">
      <c r="A920">
        <v>926</v>
      </c>
      <c r="B920" t="s">
        <v>29</v>
      </c>
      <c r="C920">
        <v>1</v>
      </c>
      <c r="D920" t="s">
        <v>30</v>
      </c>
      <c r="E920" s="6">
        <v>46086.868055555555</v>
      </c>
      <c r="F920" s="18">
        <f t="shared" si="42"/>
        <v>0.10972222222335404</v>
      </c>
      <c r="G920" s="19">
        <f t="shared" si="43"/>
        <v>2.6333333333604969</v>
      </c>
      <c r="H920" s="20">
        <f t="shared" si="44"/>
        <v>158.00000000162981</v>
      </c>
    </row>
    <row r="921" spans="1:8" x14ac:dyDescent="0.25">
      <c r="A921">
        <v>927</v>
      </c>
      <c r="B921" t="s">
        <v>33</v>
      </c>
      <c r="C921">
        <v>1</v>
      </c>
      <c r="D921" t="s">
        <v>30</v>
      </c>
      <c r="E921" s="6">
        <v>46086.973611111112</v>
      </c>
      <c r="F921" s="18">
        <f t="shared" si="42"/>
        <v>0.1055555555576575</v>
      </c>
      <c r="G921" s="19">
        <f t="shared" si="43"/>
        <v>2.53333333338378</v>
      </c>
      <c r="H921" s="20">
        <f t="shared" si="44"/>
        <v>152.0000000030268</v>
      </c>
    </row>
    <row r="922" spans="1:8" x14ac:dyDescent="0.25">
      <c r="A922">
        <v>928</v>
      </c>
      <c r="B922" t="s">
        <v>29</v>
      </c>
      <c r="C922">
        <v>1</v>
      </c>
      <c r="D922" t="s">
        <v>30</v>
      </c>
      <c r="E922" s="6">
        <v>46087.013888888891</v>
      </c>
      <c r="F922" s="18">
        <f t="shared" si="42"/>
        <v>4.0277777778101154E-2</v>
      </c>
      <c r="G922" s="19">
        <f t="shared" si="43"/>
        <v>0.96666666667442769</v>
      </c>
      <c r="H922" s="20">
        <f t="shared" si="44"/>
        <v>58.000000000465661</v>
      </c>
    </row>
    <row r="923" spans="1:8" hidden="1" x14ac:dyDescent="0.25">
      <c r="A923">
        <v>919</v>
      </c>
      <c r="B923" t="s">
        <v>33</v>
      </c>
      <c r="C923">
        <v>1</v>
      </c>
      <c r="D923" t="s">
        <v>35</v>
      </c>
      <c r="E923" s="6">
        <v>46087.291666666664</v>
      </c>
      <c r="F923" s="18">
        <f t="shared" si="42"/>
        <v>0.27777777777373558</v>
      </c>
      <c r="G923" s="19">
        <f t="shared" si="43"/>
        <v>6.6666666665696539</v>
      </c>
      <c r="H923" s="20">
        <f t="shared" si="44"/>
        <v>399.99999999417923</v>
      </c>
    </row>
    <row r="924" spans="1:8" hidden="1" x14ac:dyDescent="0.25">
      <c r="A924">
        <v>921</v>
      </c>
      <c r="B924" t="s">
        <v>33</v>
      </c>
      <c r="C924">
        <v>1</v>
      </c>
      <c r="D924" t="s">
        <v>34</v>
      </c>
      <c r="E924" s="6">
        <v>46087.291666666664</v>
      </c>
      <c r="F924" s="18">
        <f t="shared" si="42"/>
        <v>0</v>
      </c>
      <c r="G924" s="19">
        <f t="shared" si="43"/>
        <v>0</v>
      </c>
      <c r="H924" s="19">
        <f t="shared" si="44"/>
        <v>0</v>
      </c>
    </row>
    <row r="925" spans="1:8" hidden="1" x14ac:dyDescent="0.25">
      <c r="A925">
        <v>922</v>
      </c>
      <c r="B925" t="s">
        <v>31</v>
      </c>
      <c r="C925">
        <v>1</v>
      </c>
      <c r="D925" t="s">
        <v>30</v>
      </c>
      <c r="E925" s="6">
        <v>46087.291666666664</v>
      </c>
      <c r="F925" s="18">
        <f t="shared" si="42"/>
        <v>0</v>
      </c>
      <c r="G925" s="19">
        <f t="shared" si="43"/>
        <v>0</v>
      </c>
      <c r="H925" s="19">
        <f t="shared" si="44"/>
        <v>0</v>
      </c>
    </row>
    <row r="926" spans="1:8" x14ac:dyDescent="0.25">
      <c r="A926">
        <v>918</v>
      </c>
      <c r="B926" t="s">
        <v>29</v>
      </c>
      <c r="C926">
        <v>1</v>
      </c>
      <c r="D926" t="s">
        <v>30</v>
      </c>
      <c r="E926" s="6">
        <v>46087.322916666664</v>
      </c>
      <c r="F926" s="18">
        <f t="shared" si="42"/>
        <v>3.125E-2</v>
      </c>
      <c r="G926" s="19">
        <f t="shared" si="43"/>
        <v>0.75</v>
      </c>
      <c r="H926" s="20">
        <f t="shared" si="44"/>
        <v>45</v>
      </c>
    </row>
    <row r="927" spans="1:8" x14ac:dyDescent="0.25">
      <c r="A927">
        <v>924</v>
      </c>
      <c r="B927" t="s">
        <v>33</v>
      </c>
      <c r="C927">
        <v>1</v>
      </c>
      <c r="D927" t="s">
        <v>37</v>
      </c>
      <c r="E927" s="6">
        <v>46087.340277777781</v>
      </c>
      <c r="F927" s="18">
        <f t="shared" si="42"/>
        <v>1.7361111116770189E-2</v>
      </c>
      <c r="G927" s="19">
        <f t="shared" si="43"/>
        <v>0.41666666680248454</v>
      </c>
      <c r="H927" s="20">
        <f t="shared" si="44"/>
        <v>25.000000008149073</v>
      </c>
    </row>
    <row r="928" spans="1:8" x14ac:dyDescent="0.25">
      <c r="A928">
        <v>929</v>
      </c>
      <c r="B928" t="s">
        <v>33</v>
      </c>
      <c r="C928">
        <v>1</v>
      </c>
      <c r="D928" t="s">
        <v>30</v>
      </c>
      <c r="E928" s="6">
        <v>46087.454861111109</v>
      </c>
      <c r="F928" s="18">
        <f t="shared" si="42"/>
        <v>0.11458333332848269</v>
      </c>
      <c r="G928" s="19">
        <f t="shared" si="43"/>
        <v>2.7499999998835847</v>
      </c>
      <c r="H928" s="20">
        <f t="shared" si="44"/>
        <v>164.99999999301508</v>
      </c>
    </row>
    <row r="929" spans="1:8" x14ac:dyDescent="0.25">
      <c r="A929">
        <v>930</v>
      </c>
      <c r="B929" t="s">
        <v>31</v>
      </c>
      <c r="C929">
        <v>1</v>
      </c>
      <c r="D929" t="s">
        <v>37</v>
      </c>
      <c r="E929" s="6">
        <v>46087.493055555555</v>
      </c>
      <c r="F929" s="18">
        <f t="shared" si="42"/>
        <v>3.8194444445252884E-2</v>
      </c>
      <c r="G929" s="19">
        <f t="shared" si="43"/>
        <v>0.91666666668606922</v>
      </c>
      <c r="H929" s="20">
        <f t="shared" si="44"/>
        <v>55.000000001164153</v>
      </c>
    </row>
    <row r="930" spans="1:8" x14ac:dyDescent="0.25">
      <c r="A930">
        <v>920</v>
      </c>
      <c r="B930" t="s">
        <v>33</v>
      </c>
      <c r="C930">
        <v>1</v>
      </c>
      <c r="D930" t="s">
        <v>37</v>
      </c>
      <c r="E930" s="6">
        <v>46087.590277777781</v>
      </c>
      <c r="F930" s="18">
        <f t="shared" si="42"/>
        <v>9.7222222226264421E-2</v>
      </c>
      <c r="G930" s="19">
        <f t="shared" si="43"/>
        <v>2.3333333334303461</v>
      </c>
      <c r="H930" s="20">
        <f t="shared" si="44"/>
        <v>140.00000000582077</v>
      </c>
    </row>
    <row r="931" spans="1:8" x14ac:dyDescent="0.25">
      <c r="A931">
        <v>923</v>
      </c>
      <c r="B931" t="s">
        <v>31</v>
      </c>
      <c r="C931">
        <v>1</v>
      </c>
      <c r="D931" t="s">
        <v>34</v>
      </c>
      <c r="E931" s="6">
        <v>46087.604166666664</v>
      </c>
      <c r="F931" s="18">
        <f t="shared" si="42"/>
        <v>1.3888888883229811E-2</v>
      </c>
      <c r="G931" s="19">
        <f t="shared" si="43"/>
        <v>0.33333333319751546</v>
      </c>
      <c r="H931" s="20">
        <f t="shared" si="44"/>
        <v>19.999999991850927</v>
      </c>
    </row>
    <row r="932" spans="1:8" hidden="1" x14ac:dyDescent="0.25">
      <c r="A932">
        <v>933</v>
      </c>
      <c r="B932" t="s">
        <v>31</v>
      </c>
      <c r="C932">
        <v>1</v>
      </c>
      <c r="D932" t="s">
        <v>32</v>
      </c>
      <c r="E932" s="6">
        <v>46087.604166666664</v>
      </c>
      <c r="F932" s="18">
        <f t="shared" si="42"/>
        <v>0</v>
      </c>
      <c r="G932" s="19">
        <f t="shared" si="43"/>
        <v>0</v>
      </c>
      <c r="H932" s="19">
        <f t="shared" si="44"/>
        <v>0</v>
      </c>
    </row>
    <row r="933" spans="1:8" x14ac:dyDescent="0.25">
      <c r="A933">
        <v>940</v>
      </c>
      <c r="B933" t="s">
        <v>33</v>
      </c>
      <c r="C933">
        <v>1</v>
      </c>
      <c r="D933" t="s">
        <v>30</v>
      </c>
      <c r="E933" s="6">
        <v>46087.78125</v>
      </c>
      <c r="F933" s="18">
        <f t="shared" si="42"/>
        <v>0.17708333333575865</v>
      </c>
      <c r="G933" s="19">
        <f t="shared" si="43"/>
        <v>4.2500000000582077</v>
      </c>
      <c r="H933" s="20">
        <f t="shared" si="44"/>
        <v>255.00000000349246</v>
      </c>
    </row>
    <row r="934" spans="1:8" hidden="1" x14ac:dyDescent="0.25">
      <c r="A934">
        <v>938</v>
      </c>
      <c r="B934" t="s">
        <v>33</v>
      </c>
      <c r="C934">
        <v>1</v>
      </c>
      <c r="D934" t="s">
        <v>36</v>
      </c>
      <c r="E934" s="6">
        <v>46088.409722222219</v>
      </c>
      <c r="F934" s="18">
        <f t="shared" si="42"/>
        <v>0.62847222221898846</v>
      </c>
      <c r="G934" s="19">
        <f t="shared" si="43"/>
        <v>15.083333333255723</v>
      </c>
      <c r="H934" s="20">
        <f t="shared" si="44"/>
        <v>904.99999999534339</v>
      </c>
    </row>
    <row r="935" spans="1:8" x14ac:dyDescent="0.25">
      <c r="A935">
        <v>944</v>
      </c>
      <c r="B935" t="s">
        <v>33</v>
      </c>
      <c r="C935">
        <v>1</v>
      </c>
      <c r="D935" t="s">
        <v>35</v>
      </c>
      <c r="E935" s="6">
        <v>46088.427083333336</v>
      </c>
      <c r="F935" s="18">
        <f t="shared" si="42"/>
        <v>1.7361111116770189E-2</v>
      </c>
      <c r="G935" s="19">
        <f t="shared" si="43"/>
        <v>0.41666666680248454</v>
      </c>
      <c r="H935" s="20">
        <f t="shared" si="44"/>
        <v>25.000000008149073</v>
      </c>
    </row>
    <row r="936" spans="1:8" x14ac:dyDescent="0.25">
      <c r="A936">
        <v>943</v>
      </c>
      <c r="B936" t="s">
        <v>29</v>
      </c>
      <c r="C936">
        <v>1</v>
      </c>
      <c r="D936" t="s">
        <v>30</v>
      </c>
      <c r="E936" s="6">
        <v>46088.433333333334</v>
      </c>
      <c r="F936" s="18">
        <f t="shared" si="42"/>
        <v>6.2499999985448085E-3</v>
      </c>
      <c r="G936" s="19">
        <f t="shared" si="43"/>
        <v>0.1499999999650754</v>
      </c>
      <c r="H936" s="20">
        <f t="shared" si="44"/>
        <v>8.9999999979045242</v>
      </c>
    </row>
    <row r="937" spans="1:8" x14ac:dyDescent="0.25">
      <c r="A937">
        <v>942</v>
      </c>
      <c r="B937" t="s">
        <v>31</v>
      </c>
      <c r="C937">
        <v>1</v>
      </c>
      <c r="D937" t="s">
        <v>30</v>
      </c>
      <c r="E937" s="6">
        <v>46088.461805555555</v>
      </c>
      <c r="F937" s="18">
        <f t="shared" si="42"/>
        <v>2.8472222220443655E-2</v>
      </c>
      <c r="G937" s="19">
        <f t="shared" si="43"/>
        <v>0.68333333329064772</v>
      </c>
      <c r="H937" s="20">
        <f t="shared" si="44"/>
        <v>40.999999997438863</v>
      </c>
    </row>
    <row r="938" spans="1:8" x14ac:dyDescent="0.25">
      <c r="A938">
        <v>932</v>
      </c>
      <c r="B938" t="s">
        <v>29</v>
      </c>
      <c r="C938">
        <v>1</v>
      </c>
      <c r="D938" t="s">
        <v>32</v>
      </c>
      <c r="E938" s="6">
        <v>46088.604166666664</v>
      </c>
      <c r="F938" s="18">
        <f t="shared" si="42"/>
        <v>0.14236111110949423</v>
      </c>
      <c r="G938" s="19">
        <f t="shared" si="43"/>
        <v>3.4166666666278616</v>
      </c>
      <c r="H938" s="20">
        <f t="shared" si="44"/>
        <v>204.99999999767169</v>
      </c>
    </row>
    <row r="939" spans="1:8" x14ac:dyDescent="0.25">
      <c r="A939">
        <v>946</v>
      </c>
      <c r="B939" t="s">
        <v>31</v>
      </c>
      <c r="C939">
        <v>1</v>
      </c>
      <c r="D939" t="s">
        <v>34</v>
      </c>
      <c r="E939" s="6">
        <v>46088.618055555555</v>
      </c>
      <c r="F939" s="18">
        <f t="shared" si="42"/>
        <v>1.3888888890505768E-2</v>
      </c>
      <c r="G939" s="19">
        <f t="shared" si="43"/>
        <v>0.33333333337213844</v>
      </c>
      <c r="H939" s="20">
        <f t="shared" si="44"/>
        <v>20.000000002328306</v>
      </c>
    </row>
    <row r="940" spans="1:8" x14ac:dyDescent="0.25">
      <c r="A940">
        <v>941</v>
      </c>
      <c r="B940" t="s">
        <v>31</v>
      </c>
      <c r="C940">
        <v>1</v>
      </c>
      <c r="D940" t="s">
        <v>35</v>
      </c>
      <c r="E940" s="6">
        <v>46088.677083333336</v>
      </c>
      <c r="F940" s="18">
        <f t="shared" si="42"/>
        <v>5.9027777781011537E-2</v>
      </c>
      <c r="G940" s="19">
        <f t="shared" si="43"/>
        <v>1.4166666667442769</v>
      </c>
      <c r="H940" s="20">
        <f t="shared" si="44"/>
        <v>85.000000004656613</v>
      </c>
    </row>
    <row r="941" spans="1:8" x14ac:dyDescent="0.25">
      <c r="A941">
        <v>948</v>
      </c>
      <c r="B941" t="s">
        <v>33</v>
      </c>
      <c r="C941">
        <v>1</v>
      </c>
      <c r="D941" t="s">
        <v>30</v>
      </c>
      <c r="E941" s="6">
        <v>46088.680555555555</v>
      </c>
      <c r="F941" s="18">
        <f t="shared" si="42"/>
        <v>3.4722222189884633E-3</v>
      </c>
      <c r="G941" s="19">
        <f t="shared" si="43"/>
        <v>8.3333333255723119E-2</v>
      </c>
      <c r="H941" s="20">
        <f t="shared" si="44"/>
        <v>4.9999999953433871</v>
      </c>
    </row>
    <row r="942" spans="1:8" x14ac:dyDescent="0.25">
      <c r="A942">
        <v>931</v>
      </c>
      <c r="B942" t="s">
        <v>33</v>
      </c>
      <c r="C942">
        <v>1</v>
      </c>
      <c r="D942" t="s">
        <v>30</v>
      </c>
      <c r="E942" s="6">
        <v>46088.701388888891</v>
      </c>
      <c r="F942" s="18">
        <f t="shared" si="42"/>
        <v>2.0833333335758653E-2</v>
      </c>
      <c r="G942" s="19">
        <f t="shared" si="43"/>
        <v>0.50000000005820766</v>
      </c>
      <c r="H942" s="20">
        <f t="shared" si="44"/>
        <v>30.00000000349246</v>
      </c>
    </row>
    <row r="943" spans="1:8" x14ac:dyDescent="0.25">
      <c r="A943">
        <v>951</v>
      </c>
      <c r="B943" t="s">
        <v>29</v>
      </c>
      <c r="C943">
        <v>1</v>
      </c>
      <c r="D943" t="s">
        <v>30</v>
      </c>
      <c r="E943" s="6">
        <v>46088.840277777781</v>
      </c>
      <c r="F943" s="18">
        <f t="shared" si="42"/>
        <v>0.13888888889050577</v>
      </c>
      <c r="G943" s="19">
        <f t="shared" si="43"/>
        <v>3.3333333333721384</v>
      </c>
      <c r="H943" s="20">
        <f t="shared" si="44"/>
        <v>200.00000000232831</v>
      </c>
    </row>
    <row r="944" spans="1:8" x14ac:dyDescent="0.25">
      <c r="A944">
        <v>952</v>
      </c>
      <c r="B944" t="s">
        <v>29</v>
      </c>
      <c r="C944">
        <v>1</v>
      </c>
      <c r="D944" t="s">
        <v>30</v>
      </c>
      <c r="E944" s="6">
        <v>46088.861111111109</v>
      </c>
      <c r="F944" s="18">
        <f t="shared" si="42"/>
        <v>2.0833333328482695E-2</v>
      </c>
      <c r="G944" s="19">
        <f t="shared" si="43"/>
        <v>0.49999999988358468</v>
      </c>
      <c r="H944" s="20">
        <f t="shared" si="44"/>
        <v>29.999999993015081</v>
      </c>
    </row>
    <row r="945" spans="1:8" x14ac:dyDescent="0.25">
      <c r="A945">
        <v>953</v>
      </c>
      <c r="B945" t="s">
        <v>31</v>
      </c>
      <c r="C945">
        <v>1</v>
      </c>
      <c r="D945" t="s">
        <v>30</v>
      </c>
      <c r="E945" s="6">
        <v>46088.958333333336</v>
      </c>
      <c r="F945" s="18">
        <f t="shared" si="42"/>
        <v>9.7222222226264421E-2</v>
      </c>
      <c r="G945" s="19">
        <f t="shared" si="43"/>
        <v>2.3333333334303461</v>
      </c>
      <c r="H945" s="20">
        <f t="shared" si="44"/>
        <v>140.00000000582077</v>
      </c>
    </row>
    <row r="946" spans="1:8" hidden="1" x14ac:dyDescent="0.25">
      <c r="A946">
        <v>947</v>
      </c>
      <c r="B946" t="s">
        <v>31</v>
      </c>
      <c r="C946">
        <v>1</v>
      </c>
      <c r="D946" t="s">
        <v>30</v>
      </c>
      <c r="E946" s="6">
        <v>46089.34375</v>
      </c>
      <c r="F946" s="18">
        <f t="shared" si="42"/>
        <v>0.38541666666424135</v>
      </c>
      <c r="G946" s="19">
        <f t="shared" si="43"/>
        <v>9.2499999999417923</v>
      </c>
      <c r="H946" s="20">
        <f t="shared" si="44"/>
        <v>554.99999999650754</v>
      </c>
    </row>
    <row r="947" spans="1:8" x14ac:dyDescent="0.25">
      <c r="A947">
        <v>949</v>
      </c>
      <c r="B947" t="s">
        <v>31</v>
      </c>
      <c r="C947">
        <v>1</v>
      </c>
      <c r="D947" t="s">
        <v>35</v>
      </c>
      <c r="E947" s="6">
        <v>46089.347222222219</v>
      </c>
      <c r="F947" s="18">
        <f t="shared" si="42"/>
        <v>3.4722222189884633E-3</v>
      </c>
      <c r="G947" s="19">
        <f t="shared" si="43"/>
        <v>8.3333333255723119E-2</v>
      </c>
      <c r="H947" s="20">
        <f t="shared" si="44"/>
        <v>4.9999999953433871</v>
      </c>
    </row>
    <row r="948" spans="1:8" x14ac:dyDescent="0.25">
      <c r="A948">
        <v>950</v>
      </c>
      <c r="B948" t="s">
        <v>31</v>
      </c>
      <c r="C948">
        <v>1</v>
      </c>
      <c r="D948" t="s">
        <v>34</v>
      </c>
      <c r="E948" s="6">
        <v>46089.361111111109</v>
      </c>
      <c r="F948" s="18">
        <f t="shared" si="42"/>
        <v>1.3888888890505768E-2</v>
      </c>
      <c r="G948" s="19">
        <f t="shared" si="43"/>
        <v>0.33333333337213844</v>
      </c>
      <c r="H948" s="20">
        <f t="shared" si="44"/>
        <v>20.000000002328306</v>
      </c>
    </row>
    <row r="949" spans="1:8" hidden="1" x14ac:dyDescent="0.25">
      <c r="A949">
        <v>958</v>
      </c>
      <c r="B949" t="s">
        <v>31</v>
      </c>
      <c r="C949">
        <v>1</v>
      </c>
      <c r="D949" t="s">
        <v>35</v>
      </c>
      <c r="E949" s="6">
        <v>46089.690972222219</v>
      </c>
      <c r="F949" s="18">
        <f t="shared" si="42"/>
        <v>0.32986111110949423</v>
      </c>
      <c r="G949" s="19">
        <f t="shared" si="43"/>
        <v>7.9166666666278616</v>
      </c>
      <c r="H949" s="20">
        <f t="shared" si="44"/>
        <v>474.99999999767169</v>
      </c>
    </row>
    <row r="950" spans="1:8" hidden="1" x14ac:dyDescent="0.25">
      <c r="A950">
        <v>959</v>
      </c>
      <c r="B950" t="s">
        <v>29</v>
      </c>
      <c r="C950">
        <v>1</v>
      </c>
      <c r="D950" t="s">
        <v>34</v>
      </c>
      <c r="E950" s="6">
        <v>46090.006944444445</v>
      </c>
      <c r="F950" s="18">
        <f t="shared" si="42"/>
        <v>0.31597222222626442</v>
      </c>
      <c r="G950" s="19">
        <f t="shared" si="43"/>
        <v>7.5833333334303461</v>
      </c>
      <c r="H950" s="20">
        <f t="shared" si="44"/>
        <v>455.00000000582077</v>
      </c>
    </row>
    <row r="951" spans="1:8" x14ac:dyDescent="0.25">
      <c r="A951">
        <v>960</v>
      </c>
      <c r="B951" t="s">
        <v>29</v>
      </c>
      <c r="C951">
        <v>1</v>
      </c>
      <c r="D951" t="s">
        <v>35</v>
      </c>
      <c r="E951" s="6">
        <v>46090.072916666664</v>
      </c>
      <c r="F951" s="18">
        <f t="shared" si="42"/>
        <v>6.5972222218988463E-2</v>
      </c>
      <c r="G951" s="19">
        <f t="shared" si="43"/>
        <v>1.5833333332557231</v>
      </c>
      <c r="H951" s="20">
        <f t="shared" si="44"/>
        <v>94.999999995343387</v>
      </c>
    </row>
    <row r="952" spans="1:8" hidden="1" x14ac:dyDescent="0.25">
      <c r="A952">
        <v>934</v>
      </c>
      <c r="B952" t="s">
        <v>33</v>
      </c>
      <c r="C952">
        <v>1</v>
      </c>
      <c r="D952" t="s">
        <v>35</v>
      </c>
      <c r="E952" s="6">
        <v>46090.291666666664</v>
      </c>
      <c r="F952" s="18">
        <f t="shared" si="42"/>
        <v>0.21875</v>
      </c>
      <c r="G952" s="19">
        <f t="shared" si="43"/>
        <v>5.25</v>
      </c>
      <c r="H952" s="20">
        <f t="shared" si="44"/>
        <v>315</v>
      </c>
    </row>
    <row r="953" spans="1:8" hidden="1" x14ac:dyDescent="0.25">
      <c r="A953">
        <v>956</v>
      </c>
      <c r="B953" t="s">
        <v>33</v>
      </c>
      <c r="C953">
        <v>1</v>
      </c>
      <c r="D953" t="s">
        <v>35</v>
      </c>
      <c r="E953" s="6">
        <v>46090.291666666664</v>
      </c>
      <c r="F953" s="18">
        <f t="shared" si="42"/>
        <v>0</v>
      </c>
      <c r="G953" s="19">
        <f t="shared" si="43"/>
        <v>0</v>
      </c>
      <c r="H953" s="19">
        <f t="shared" si="44"/>
        <v>0</v>
      </c>
    </row>
    <row r="954" spans="1:8" hidden="1" x14ac:dyDescent="0.25">
      <c r="A954">
        <v>961</v>
      </c>
      <c r="B954" t="s">
        <v>29</v>
      </c>
      <c r="C954">
        <v>1</v>
      </c>
      <c r="D954" t="s">
        <v>35</v>
      </c>
      <c r="E954" s="6">
        <v>46090.291666666664</v>
      </c>
      <c r="F954" s="18">
        <f t="shared" si="42"/>
        <v>0</v>
      </c>
      <c r="G954" s="19">
        <f t="shared" si="43"/>
        <v>0</v>
      </c>
      <c r="H954" s="19">
        <f t="shared" si="44"/>
        <v>0</v>
      </c>
    </row>
    <row r="955" spans="1:8" x14ac:dyDescent="0.25">
      <c r="A955">
        <v>954</v>
      </c>
      <c r="B955" t="s">
        <v>31</v>
      </c>
      <c r="C955">
        <v>1</v>
      </c>
      <c r="D955" t="s">
        <v>35</v>
      </c>
      <c r="E955" s="6">
        <v>46090.326388888891</v>
      </c>
      <c r="F955" s="18">
        <f t="shared" si="42"/>
        <v>3.4722222226264421E-2</v>
      </c>
      <c r="G955" s="19">
        <f t="shared" si="43"/>
        <v>0.8333333334303461</v>
      </c>
      <c r="H955" s="20">
        <f t="shared" si="44"/>
        <v>50.000000005820766</v>
      </c>
    </row>
    <row r="956" spans="1:8" x14ac:dyDescent="0.25">
      <c r="A956">
        <v>962</v>
      </c>
      <c r="B956" t="s">
        <v>31</v>
      </c>
      <c r="C956">
        <v>1</v>
      </c>
      <c r="D956" t="s">
        <v>32</v>
      </c>
      <c r="E956" s="6">
        <v>46090.34375</v>
      </c>
      <c r="F956" s="18">
        <f t="shared" si="42"/>
        <v>1.7361111109494232E-2</v>
      </c>
      <c r="G956" s="19">
        <f t="shared" si="43"/>
        <v>0.41666666662786156</v>
      </c>
      <c r="H956" s="20">
        <f t="shared" si="44"/>
        <v>24.999999997671694</v>
      </c>
    </row>
    <row r="957" spans="1:8" x14ac:dyDescent="0.25">
      <c r="A957">
        <v>955</v>
      </c>
      <c r="B957" t="s">
        <v>31</v>
      </c>
      <c r="C957">
        <v>1</v>
      </c>
      <c r="D957" t="s">
        <v>30</v>
      </c>
      <c r="E957" s="6">
        <v>46090.453472222223</v>
      </c>
      <c r="F957" s="18">
        <f t="shared" si="42"/>
        <v>0.10972222222335404</v>
      </c>
      <c r="G957" s="19">
        <f t="shared" si="43"/>
        <v>2.6333333333604969</v>
      </c>
      <c r="H957" s="20">
        <f t="shared" si="44"/>
        <v>158.00000000162981</v>
      </c>
    </row>
    <row r="958" spans="1:8" x14ac:dyDescent="0.25">
      <c r="A958">
        <v>935</v>
      </c>
      <c r="B958" t="s">
        <v>31</v>
      </c>
      <c r="C958">
        <v>1</v>
      </c>
      <c r="D958" t="s">
        <v>35</v>
      </c>
      <c r="E958" s="6">
        <v>46090.493055555555</v>
      </c>
      <c r="F958" s="18">
        <f t="shared" si="42"/>
        <v>3.9583333331393078E-2</v>
      </c>
      <c r="G958" s="19">
        <f t="shared" si="43"/>
        <v>0.94999999995343387</v>
      </c>
      <c r="H958" s="20">
        <f t="shared" si="44"/>
        <v>56.999999997206032</v>
      </c>
    </row>
    <row r="959" spans="1:8" x14ac:dyDescent="0.25">
      <c r="A959">
        <v>939</v>
      </c>
      <c r="B959" t="s">
        <v>33</v>
      </c>
      <c r="C959">
        <v>1</v>
      </c>
      <c r="D959" t="s">
        <v>35</v>
      </c>
      <c r="E959" s="6">
        <v>46090.541666666664</v>
      </c>
      <c r="F959" s="18">
        <f t="shared" si="42"/>
        <v>4.8611111109494232E-2</v>
      </c>
      <c r="G959" s="19">
        <f t="shared" si="43"/>
        <v>1.1666666666278616</v>
      </c>
      <c r="H959" s="20">
        <f t="shared" si="44"/>
        <v>69.999999997671694</v>
      </c>
    </row>
    <row r="960" spans="1:8" x14ac:dyDescent="0.25">
      <c r="A960">
        <v>957</v>
      </c>
      <c r="B960" t="s">
        <v>31</v>
      </c>
      <c r="C960">
        <v>1</v>
      </c>
      <c r="D960" t="s">
        <v>32</v>
      </c>
      <c r="E960" s="6">
        <v>46090.548611111109</v>
      </c>
      <c r="F960" s="18">
        <f t="shared" si="42"/>
        <v>6.9444444452528842E-3</v>
      </c>
      <c r="G960" s="19">
        <f t="shared" si="43"/>
        <v>0.16666666668606922</v>
      </c>
      <c r="H960" s="20">
        <f t="shared" si="44"/>
        <v>10.000000001164153</v>
      </c>
    </row>
    <row r="961" spans="1:8" x14ac:dyDescent="0.25">
      <c r="A961">
        <v>965</v>
      </c>
      <c r="B961" t="s">
        <v>31</v>
      </c>
      <c r="C961">
        <v>1</v>
      </c>
      <c r="D961" t="s">
        <v>30</v>
      </c>
      <c r="E961" s="6">
        <v>46090.621527777781</v>
      </c>
      <c r="F961" s="18">
        <f t="shared" si="42"/>
        <v>7.2916666671517305E-2</v>
      </c>
      <c r="G961" s="19">
        <f t="shared" si="43"/>
        <v>1.7500000001164153</v>
      </c>
      <c r="H961" s="20">
        <f t="shared" si="44"/>
        <v>105.00000000698492</v>
      </c>
    </row>
    <row r="962" spans="1:8" x14ac:dyDescent="0.25">
      <c r="A962">
        <v>936</v>
      </c>
      <c r="B962" t="s">
        <v>31</v>
      </c>
      <c r="C962">
        <v>1</v>
      </c>
      <c r="D962" t="s">
        <v>34</v>
      </c>
      <c r="E962" s="6">
        <v>46090.631944444445</v>
      </c>
      <c r="F962" s="18">
        <f t="shared" si="42"/>
        <v>1.0416666664241347E-2</v>
      </c>
      <c r="G962" s="19">
        <f t="shared" si="43"/>
        <v>0.24999999994179234</v>
      </c>
      <c r="H962" s="20">
        <f t="shared" si="44"/>
        <v>14.99999999650754</v>
      </c>
    </row>
    <row r="963" spans="1:8" x14ac:dyDescent="0.25">
      <c r="A963">
        <v>937</v>
      </c>
      <c r="B963" t="s">
        <v>29</v>
      </c>
      <c r="C963">
        <v>1</v>
      </c>
      <c r="D963" t="s">
        <v>32</v>
      </c>
      <c r="E963" s="6">
        <v>46090.670138888891</v>
      </c>
      <c r="F963" s="18">
        <f t="shared" si="42"/>
        <v>3.8194444445252884E-2</v>
      </c>
      <c r="G963" s="19">
        <f t="shared" si="43"/>
        <v>0.91666666668606922</v>
      </c>
      <c r="H963" s="20">
        <f t="shared" si="44"/>
        <v>55.000000001164153</v>
      </c>
    </row>
    <row r="964" spans="1:8" x14ac:dyDescent="0.25">
      <c r="A964">
        <v>963</v>
      </c>
      <c r="B964" t="s">
        <v>29</v>
      </c>
      <c r="C964">
        <v>1</v>
      </c>
      <c r="D964" t="s">
        <v>30</v>
      </c>
      <c r="E964" s="6">
        <v>46090.684027777781</v>
      </c>
      <c r="F964" s="18">
        <f t="shared" si="42"/>
        <v>1.3888888890505768E-2</v>
      </c>
      <c r="G964" s="19">
        <f t="shared" si="43"/>
        <v>0.33333333337213844</v>
      </c>
      <c r="H964" s="20">
        <f t="shared" si="44"/>
        <v>20.000000002328306</v>
      </c>
    </row>
    <row r="965" spans="1:8" x14ac:dyDescent="0.25">
      <c r="A965">
        <v>970</v>
      </c>
      <c r="B965" t="s">
        <v>31</v>
      </c>
      <c r="C965">
        <v>1</v>
      </c>
      <c r="D965" t="s">
        <v>30</v>
      </c>
      <c r="E965" s="6">
        <v>46090.725694444445</v>
      </c>
      <c r="F965" s="18">
        <f t="shared" ref="F965:F1028" si="45">E965-E964</f>
        <v>4.1666666664241347E-2</v>
      </c>
      <c r="G965" s="19">
        <f t="shared" ref="G965:G1028" si="46">F965*24</f>
        <v>0.99999999994179234</v>
      </c>
      <c r="H965" s="20">
        <f t="shared" ref="H965:H1028" si="47">G965*60</f>
        <v>59.99999999650754</v>
      </c>
    </row>
    <row r="966" spans="1:8" x14ac:dyDescent="0.25">
      <c r="A966">
        <v>972</v>
      </c>
      <c r="B966" t="s">
        <v>33</v>
      </c>
      <c r="C966">
        <v>1</v>
      </c>
      <c r="D966" t="s">
        <v>30</v>
      </c>
      <c r="E966" s="6">
        <v>46090.826388888891</v>
      </c>
      <c r="F966" s="18">
        <f t="shared" si="45"/>
        <v>0.10069444444525288</v>
      </c>
      <c r="G966" s="19">
        <f t="shared" si="46"/>
        <v>2.4166666666860692</v>
      </c>
      <c r="H966" s="20">
        <f t="shared" si="47"/>
        <v>145.00000000116415</v>
      </c>
    </row>
    <row r="967" spans="1:8" hidden="1" x14ac:dyDescent="0.25">
      <c r="A967">
        <v>945</v>
      </c>
      <c r="B967" t="s">
        <v>33</v>
      </c>
      <c r="C967">
        <v>1</v>
      </c>
      <c r="D967" t="s">
        <v>30</v>
      </c>
      <c r="E967" s="6">
        <v>46091.291666666664</v>
      </c>
      <c r="F967" s="18">
        <f t="shared" si="45"/>
        <v>0.46527777777373558</v>
      </c>
      <c r="G967" s="19">
        <f t="shared" si="46"/>
        <v>11.166666666569654</v>
      </c>
      <c r="H967" s="20">
        <f t="shared" si="47"/>
        <v>669.99999999417923</v>
      </c>
    </row>
    <row r="968" spans="1:8" hidden="1" x14ac:dyDescent="0.25">
      <c r="A968">
        <v>964</v>
      </c>
      <c r="B968" t="s">
        <v>29</v>
      </c>
      <c r="C968">
        <v>1</v>
      </c>
      <c r="D968" t="s">
        <v>30</v>
      </c>
      <c r="E968" s="6">
        <v>46091.291666666664</v>
      </c>
      <c r="F968" s="18">
        <f t="shared" si="45"/>
        <v>0</v>
      </c>
      <c r="G968" s="19">
        <f t="shared" si="46"/>
        <v>0</v>
      </c>
      <c r="H968" s="19">
        <f t="shared" si="47"/>
        <v>0</v>
      </c>
    </row>
    <row r="969" spans="1:8" hidden="1" x14ac:dyDescent="0.25">
      <c r="A969">
        <v>967</v>
      </c>
      <c r="B969" t="s">
        <v>31</v>
      </c>
      <c r="C969">
        <v>1</v>
      </c>
      <c r="D969" t="s">
        <v>34</v>
      </c>
      <c r="E969" s="6">
        <v>46091.291666666664</v>
      </c>
      <c r="F969" s="18">
        <f t="shared" si="45"/>
        <v>0</v>
      </c>
      <c r="G969" s="19">
        <f t="shared" si="46"/>
        <v>0</v>
      </c>
      <c r="H969" s="19">
        <f t="shared" si="47"/>
        <v>0</v>
      </c>
    </row>
    <row r="970" spans="1:8" hidden="1" x14ac:dyDescent="0.25">
      <c r="A970">
        <v>971</v>
      </c>
      <c r="B970" t="s">
        <v>31</v>
      </c>
      <c r="C970">
        <v>1</v>
      </c>
      <c r="D970" t="s">
        <v>35</v>
      </c>
      <c r="E970" s="6">
        <v>46091.291666666664</v>
      </c>
      <c r="F970" s="18">
        <f t="shared" si="45"/>
        <v>0</v>
      </c>
      <c r="G970" s="19">
        <f t="shared" si="46"/>
        <v>0</v>
      </c>
      <c r="H970" s="19">
        <f t="shared" si="47"/>
        <v>0</v>
      </c>
    </row>
    <row r="971" spans="1:8" x14ac:dyDescent="0.25">
      <c r="A971">
        <v>974</v>
      </c>
      <c r="B971" t="s">
        <v>29</v>
      </c>
      <c r="C971">
        <v>1</v>
      </c>
      <c r="D971" t="s">
        <v>30</v>
      </c>
      <c r="E971" s="6">
        <v>46091.347222222219</v>
      </c>
      <c r="F971" s="18">
        <f t="shared" si="45"/>
        <v>5.5555555554747116E-2</v>
      </c>
      <c r="G971" s="19">
        <f t="shared" si="46"/>
        <v>1.3333333333139308</v>
      </c>
      <c r="H971" s="20">
        <f t="shared" si="47"/>
        <v>79.999999998835847</v>
      </c>
    </row>
    <row r="972" spans="1:8" x14ac:dyDescent="0.25">
      <c r="A972">
        <v>973</v>
      </c>
      <c r="B972" t="s">
        <v>29</v>
      </c>
      <c r="C972">
        <v>1</v>
      </c>
      <c r="D972" t="s">
        <v>30</v>
      </c>
      <c r="E972" s="6">
        <v>46091.416666666664</v>
      </c>
      <c r="F972" s="18">
        <f t="shared" si="45"/>
        <v>6.9444444445252884E-2</v>
      </c>
      <c r="G972" s="19">
        <f t="shared" si="46"/>
        <v>1.6666666666860692</v>
      </c>
      <c r="H972" s="20">
        <f t="shared" si="47"/>
        <v>100.00000000116415</v>
      </c>
    </row>
    <row r="973" spans="1:8" x14ac:dyDescent="0.25">
      <c r="A973">
        <v>976</v>
      </c>
      <c r="B973" t="s">
        <v>31</v>
      </c>
      <c r="C973">
        <v>1</v>
      </c>
      <c r="D973" t="s">
        <v>30</v>
      </c>
      <c r="E973" s="6">
        <v>46091.510416666664</v>
      </c>
      <c r="F973" s="18">
        <f t="shared" si="45"/>
        <v>9.375E-2</v>
      </c>
      <c r="G973" s="19">
        <f t="shared" si="46"/>
        <v>2.25</v>
      </c>
      <c r="H973" s="20">
        <f t="shared" si="47"/>
        <v>135</v>
      </c>
    </row>
    <row r="974" spans="1:8" x14ac:dyDescent="0.25">
      <c r="A974">
        <v>975</v>
      </c>
      <c r="B974" t="s">
        <v>33</v>
      </c>
      <c r="C974">
        <v>1</v>
      </c>
      <c r="D974" t="s">
        <v>30</v>
      </c>
      <c r="E974" s="6">
        <v>46091.5625</v>
      </c>
      <c r="F974" s="18">
        <f t="shared" si="45"/>
        <v>5.2083333335758653E-2</v>
      </c>
      <c r="G974" s="19">
        <f t="shared" si="46"/>
        <v>1.2500000000582077</v>
      </c>
      <c r="H974" s="20">
        <f t="shared" si="47"/>
        <v>75.00000000349246</v>
      </c>
    </row>
    <row r="975" spans="1:8" x14ac:dyDescent="0.25">
      <c r="A975">
        <v>984</v>
      </c>
      <c r="B975" t="s">
        <v>33</v>
      </c>
      <c r="C975">
        <v>1</v>
      </c>
      <c r="D975" t="s">
        <v>35</v>
      </c>
      <c r="E975" s="6">
        <v>46091.635416666664</v>
      </c>
      <c r="F975" s="18">
        <f t="shared" si="45"/>
        <v>7.2916666664241347E-2</v>
      </c>
      <c r="G975" s="19">
        <f t="shared" si="46"/>
        <v>1.7499999999417923</v>
      </c>
      <c r="H975" s="20">
        <f t="shared" si="47"/>
        <v>104.99999999650754</v>
      </c>
    </row>
    <row r="976" spans="1:8" x14ac:dyDescent="0.25">
      <c r="A976">
        <v>969</v>
      </c>
      <c r="B976" t="s">
        <v>33</v>
      </c>
      <c r="C976">
        <v>1</v>
      </c>
      <c r="D976" t="s">
        <v>34</v>
      </c>
      <c r="E976" s="6">
        <v>46091.666666666664</v>
      </c>
      <c r="F976" s="18">
        <f t="shared" si="45"/>
        <v>3.125E-2</v>
      </c>
      <c r="G976" s="19">
        <f t="shared" si="46"/>
        <v>0.75</v>
      </c>
      <c r="H976" s="20">
        <f t="shared" si="47"/>
        <v>45</v>
      </c>
    </row>
    <row r="977" spans="1:8" x14ac:dyDescent="0.25">
      <c r="A977">
        <v>968</v>
      </c>
      <c r="B977" t="s">
        <v>33</v>
      </c>
      <c r="C977">
        <v>1</v>
      </c>
      <c r="D977" t="s">
        <v>32</v>
      </c>
      <c r="E977" s="6">
        <v>46091.690972222219</v>
      </c>
      <c r="F977" s="18">
        <f t="shared" si="45"/>
        <v>2.4305555554747116E-2</v>
      </c>
      <c r="G977" s="19">
        <f t="shared" si="46"/>
        <v>0.58333333331393078</v>
      </c>
      <c r="H977" s="20">
        <f t="shared" si="47"/>
        <v>34.999999998835847</v>
      </c>
    </row>
    <row r="978" spans="1:8" x14ac:dyDescent="0.25">
      <c r="A978">
        <v>989</v>
      </c>
      <c r="B978" t="s">
        <v>33</v>
      </c>
      <c r="C978">
        <v>1</v>
      </c>
      <c r="D978" t="s">
        <v>37</v>
      </c>
      <c r="E978" s="6">
        <v>46091.857638888891</v>
      </c>
      <c r="F978" s="18">
        <f t="shared" si="45"/>
        <v>0.16666666667151731</v>
      </c>
      <c r="G978" s="19">
        <f t="shared" si="46"/>
        <v>4.0000000001164153</v>
      </c>
      <c r="H978" s="20">
        <f t="shared" si="47"/>
        <v>240.00000000698492</v>
      </c>
    </row>
    <row r="979" spans="1:8" hidden="1" x14ac:dyDescent="0.25">
      <c r="A979">
        <v>990</v>
      </c>
      <c r="B979" t="s">
        <v>29</v>
      </c>
      <c r="C979">
        <v>1</v>
      </c>
      <c r="D979" t="s">
        <v>35</v>
      </c>
      <c r="E979" s="6">
        <v>46092.086805555555</v>
      </c>
      <c r="F979" s="18">
        <f t="shared" si="45"/>
        <v>0.22916666666424135</v>
      </c>
      <c r="G979" s="19">
        <f t="shared" si="46"/>
        <v>5.4999999999417923</v>
      </c>
      <c r="H979" s="20">
        <f t="shared" si="47"/>
        <v>329.99999999650754</v>
      </c>
    </row>
    <row r="980" spans="1:8" hidden="1" x14ac:dyDescent="0.25">
      <c r="A980">
        <v>978</v>
      </c>
      <c r="B980" t="s">
        <v>33</v>
      </c>
      <c r="C980">
        <v>1</v>
      </c>
      <c r="D980" t="s">
        <v>32</v>
      </c>
      <c r="E980" s="6">
        <v>46092.291666666664</v>
      </c>
      <c r="F980" s="18">
        <f t="shared" si="45"/>
        <v>0.20486111110949423</v>
      </c>
      <c r="G980" s="19">
        <f t="shared" si="46"/>
        <v>4.9166666666278616</v>
      </c>
      <c r="H980" s="20">
        <f t="shared" si="47"/>
        <v>294.99999999767169</v>
      </c>
    </row>
    <row r="981" spans="1:8" hidden="1" x14ac:dyDescent="0.25">
      <c r="A981">
        <v>982</v>
      </c>
      <c r="B981" t="s">
        <v>31</v>
      </c>
      <c r="C981">
        <v>1</v>
      </c>
      <c r="D981" t="s">
        <v>32</v>
      </c>
      <c r="E981" s="6">
        <v>46092.291666666664</v>
      </c>
      <c r="F981" s="18">
        <f t="shared" si="45"/>
        <v>0</v>
      </c>
      <c r="G981" s="19">
        <f t="shared" si="46"/>
        <v>0</v>
      </c>
      <c r="H981" s="19">
        <f t="shared" si="47"/>
        <v>0</v>
      </c>
    </row>
    <row r="982" spans="1:8" hidden="1" x14ac:dyDescent="0.25">
      <c r="A982">
        <v>985</v>
      </c>
      <c r="B982" t="s">
        <v>29</v>
      </c>
      <c r="C982">
        <v>1</v>
      </c>
      <c r="D982" t="s">
        <v>35</v>
      </c>
      <c r="E982" s="6">
        <v>46092.291666666664</v>
      </c>
      <c r="F982" s="18">
        <f t="shared" si="45"/>
        <v>0</v>
      </c>
      <c r="G982" s="19">
        <f t="shared" si="46"/>
        <v>0</v>
      </c>
      <c r="H982" s="19">
        <f t="shared" si="47"/>
        <v>0</v>
      </c>
    </row>
    <row r="983" spans="1:8" x14ac:dyDescent="0.25">
      <c r="A983">
        <v>981</v>
      </c>
      <c r="B983" t="s">
        <v>31</v>
      </c>
      <c r="C983">
        <v>1</v>
      </c>
      <c r="D983" t="s">
        <v>36</v>
      </c>
      <c r="E983" s="6">
        <v>46092.326388888891</v>
      </c>
      <c r="F983" s="18">
        <f t="shared" si="45"/>
        <v>3.4722222226264421E-2</v>
      </c>
      <c r="G983" s="19">
        <f t="shared" si="46"/>
        <v>0.8333333334303461</v>
      </c>
      <c r="H983" s="20">
        <f t="shared" si="47"/>
        <v>50.000000005820766</v>
      </c>
    </row>
    <row r="984" spans="1:8" x14ac:dyDescent="0.25">
      <c r="A984">
        <v>977</v>
      </c>
      <c r="B984" t="s">
        <v>31</v>
      </c>
      <c r="C984">
        <v>1</v>
      </c>
      <c r="D984" t="s">
        <v>30</v>
      </c>
      <c r="E984" s="6">
        <v>46092.34375</v>
      </c>
      <c r="F984" s="18">
        <f t="shared" si="45"/>
        <v>1.7361111109494232E-2</v>
      </c>
      <c r="G984" s="19">
        <f t="shared" si="46"/>
        <v>0.41666666662786156</v>
      </c>
      <c r="H984" s="20">
        <f t="shared" si="47"/>
        <v>24.999999997671694</v>
      </c>
    </row>
    <row r="985" spans="1:8" x14ac:dyDescent="0.25">
      <c r="A985">
        <v>987</v>
      </c>
      <c r="B985" t="s">
        <v>33</v>
      </c>
      <c r="C985">
        <v>1</v>
      </c>
      <c r="D985" t="s">
        <v>36</v>
      </c>
      <c r="E985" s="6">
        <v>46092.427083333336</v>
      </c>
      <c r="F985" s="18">
        <f t="shared" si="45"/>
        <v>8.3333333335758653E-2</v>
      </c>
      <c r="G985" s="19">
        <f t="shared" si="46"/>
        <v>2.0000000000582077</v>
      </c>
      <c r="H985" s="20">
        <f t="shared" si="47"/>
        <v>120.00000000349246</v>
      </c>
    </row>
    <row r="986" spans="1:8" x14ac:dyDescent="0.25">
      <c r="A986">
        <v>983</v>
      </c>
      <c r="B986" t="s">
        <v>33</v>
      </c>
      <c r="C986">
        <v>1</v>
      </c>
      <c r="D986" t="s">
        <v>35</v>
      </c>
      <c r="E986" s="6">
        <v>46092.482638888891</v>
      </c>
      <c r="F986" s="18">
        <f t="shared" si="45"/>
        <v>5.5555555554747116E-2</v>
      </c>
      <c r="G986" s="19">
        <f t="shared" si="46"/>
        <v>1.3333333333139308</v>
      </c>
      <c r="H986" s="20">
        <f t="shared" si="47"/>
        <v>79.999999998835847</v>
      </c>
    </row>
    <row r="987" spans="1:8" x14ac:dyDescent="0.25">
      <c r="A987">
        <v>980</v>
      </c>
      <c r="B987" t="s">
        <v>31</v>
      </c>
      <c r="C987">
        <v>1</v>
      </c>
      <c r="D987" t="s">
        <v>37</v>
      </c>
      <c r="E987" s="6">
        <v>46092.5625</v>
      </c>
      <c r="F987" s="18">
        <f t="shared" si="45"/>
        <v>7.9861111109494232E-2</v>
      </c>
      <c r="G987" s="19">
        <f t="shared" si="46"/>
        <v>1.9166666666278616</v>
      </c>
      <c r="H987" s="20">
        <f t="shared" si="47"/>
        <v>114.99999999767169</v>
      </c>
    </row>
    <row r="988" spans="1:8" x14ac:dyDescent="0.25">
      <c r="A988">
        <v>992</v>
      </c>
      <c r="B988" t="s">
        <v>31</v>
      </c>
      <c r="C988">
        <v>1</v>
      </c>
      <c r="D988" t="s">
        <v>36</v>
      </c>
      <c r="E988" s="6">
        <v>46092.581944444442</v>
      </c>
      <c r="F988" s="18">
        <f t="shared" si="45"/>
        <v>1.9444444442342501E-2</v>
      </c>
      <c r="G988" s="19">
        <f t="shared" si="46"/>
        <v>0.46666666661622003</v>
      </c>
      <c r="H988" s="20">
        <f t="shared" si="47"/>
        <v>27.999999996973202</v>
      </c>
    </row>
    <row r="989" spans="1:8" x14ac:dyDescent="0.25">
      <c r="A989">
        <v>991</v>
      </c>
      <c r="B989" t="s">
        <v>29</v>
      </c>
      <c r="C989">
        <v>1</v>
      </c>
      <c r="D989" t="s">
        <v>30</v>
      </c>
      <c r="E989" s="6">
        <v>46092.598611111112</v>
      </c>
      <c r="F989" s="18">
        <f t="shared" si="45"/>
        <v>1.6666666670062114E-2</v>
      </c>
      <c r="G989" s="19">
        <f t="shared" si="46"/>
        <v>0.40000000008149073</v>
      </c>
      <c r="H989" s="20">
        <f t="shared" si="47"/>
        <v>24.000000004889444</v>
      </c>
    </row>
    <row r="990" spans="1:8" x14ac:dyDescent="0.25">
      <c r="A990">
        <v>979</v>
      </c>
      <c r="B990" t="s">
        <v>31</v>
      </c>
      <c r="C990">
        <v>1</v>
      </c>
      <c r="D990" t="s">
        <v>32</v>
      </c>
      <c r="E990" s="6">
        <v>46092.618055555555</v>
      </c>
      <c r="F990" s="18">
        <f t="shared" si="45"/>
        <v>1.9444444442342501E-2</v>
      </c>
      <c r="G990" s="19">
        <f t="shared" si="46"/>
        <v>0.46666666661622003</v>
      </c>
      <c r="H990" s="20">
        <f t="shared" si="47"/>
        <v>27.999999996973202</v>
      </c>
    </row>
    <row r="991" spans="1:8" x14ac:dyDescent="0.25">
      <c r="A991">
        <v>986</v>
      </c>
      <c r="B991" t="s">
        <v>31</v>
      </c>
      <c r="C991">
        <v>1</v>
      </c>
      <c r="D991" t="s">
        <v>37</v>
      </c>
      <c r="E991" s="6">
        <v>46092.673611111109</v>
      </c>
      <c r="F991" s="18">
        <f t="shared" si="45"/>
        <v>5.5555555554747116E-2</v>
      </c>
      <c r="G991" s="19">
        <f t="shared" si="46"/>
        <v>1.3333333333139308</v>
      </c>
      <c r="H991" s="20">
        <f t="shared" si="47"/>
        <v>79.999999998835847</v>
      </c>
    </row>
    <row r="992" spans="1:8" x14ac:dyDescent="0.25">
      <c r="A992">
        <v>993</v>
      </c>
      <c r="B992" t="s">
        <v>31</v>
      </c>
      <c r="C992">
        <v>1</v>
      </c>
      <c r="D992" t="s">
        <v>30</v>
      </c>
      <c r="E992" s="6">
        <v>46092.692361111112</v>
      </c>
      <c r="F992" s="18">
        <f t="shared" si="45"/>
        <v>1.8750000002910383E-2</v>
      </c>
      <c r="G992" s="19">
        <f t="shared" si="46"/>
        <v>0.45000000006984919</v>
      </c>
      <c r="H992" s="20">
        <f t="shared" si="47"/>
        <v>27.000000004190952</v>
      </c>
    </row>
    <row r="993" spans="1:8" x14ac:dyDescent="0.25">
      <c r="A993">
        <v>1003</v>
      </c>
      <c r="B993" t="s">
        <v>33</v>
      </c>
      <c r="C993">
        <v>1</v>
      </c>
      <c r="D993" t="s">
        <v>30</v>
      </c>
      <c r="E993" s="6">
        <v>46092.815972222219</v>
      </c>
      <c r="F993" s="18">
        <f t="shared" si="45"/>
        <v>0.12361111110658385</v>
      </c>
      <c r="G993" s="19">
        <f t="shared" si="46"/>
        <v>2.9666666665580124</v>
      </c>
      <c r="H993" s="20">
        <f t="shared" si="47"/>
        <v>177.99999999348074</v>
      </c>
    </row>
    <row r="994" spans="1:8" x14ac:dyDescent="0.25">
      <c r="A994">
        <v>1001</v>
      </c>
      <c r="B994" t="s">
        <v>31</v>
      </c>
      <c r="C994">
        <v>1</v>
      </c>
      <c r="D994" t="s">
        <v>30</v>
      </c>
      <c r="E994" s="6">
        <v>46092.861111111109</v>
      </c>
      <c r="F994" s="18">
        <f t="shared" si="45"/>
        <v>4.5138888890505768E-2</v>
      </c>
      <c r="G994" s="19">
        <f t="shared" si="46"/>
        <v>1.0833333333721384</v>
      </c>
      <c r="H994" s="20">
        <f t="shared" si="47"/>
        <v>65.000000002328306</v>
      </c>
    </row>
    <row r="995" spans="1:8" x14ac:dyDescent="0.25">
      <c r="A995">
        <v>1004</v>
      </c>
      <c r="B995" t="s">
        <v>29</v>
      </c>
      <c r="C995">
        <v>1</v>
      </c>
      <c r="D995" t="s">
        <v>30</v>
      </c>
      <c r="E995" s="6">
        <v>46092.878472222219</v>
      </c>
      <c r="F995" s="18">
        <f t="shared" si="45"/>
        <v>1.7361111109494232E-2</v>
      </c>
      <c r="G995" s="19">
        <f t="shared" si="46"/>
        <v>0.41666666662786156</v>
      </c>
      <c r="H995" s="20">
        <f t="shared" si="47"/>
        <v>24.999999997671694</v>
      </c>
    </row>
    <row r="996" spans="1:8" x14ac:dyDescent="0.25">
      <c r="A996">
        <v>1005</v>
      </c>
      <c r="B996" t="s">
        <v>29</v>
      </c>
      <c r="C996">
        <v>1</v>
      </c>
      <c r="D996" t="s">
        <v>30</v>
      </c>
      <c r="E996" s="6">
        <v>46092.9375</v>
      </c>
      <c r="F996" s="18">
        <f t="shared" si="45"/>
        <v>5.9027777781011537E-2</v>
      </c>
      <c r="G996" s="19">
        <f t="shared" si="46"/>
        <v>1.4166666667442769</v>
      </c>
      <c r="H996" s="20">
        <f t="shared" si="47"/>
        <v>85.000000004656613</v>
      </c>
    </row>
    <row r="997" spans="1:8" hidden="1" x14ac:dyDescent="0.25">
      <c r="A997">
        <v>1006</v>
      </c>
      <c r="B997" t="s">
        <v>33</v>
      </c>
      <c r="C997">
        <v>1</v>
      </c>
      <c r="D997" t="s">
        <v>30</v>
      </c>
      <c r="E997" s="6">
        <v>46092.9375</v>
      </c>
      <c r="F997" s="18">
        <f t="shared" si="45"/>
        <v>0</v>
      </c>
      <c r="G997" s="19">
        <f t="shared" si="46"/>
        <v>0</v>
      </c>
      <c r="H997" s="19">
        <f t="shared" si="47"/>
        <v>0</v>
      </c>
    </row>
    <row r="998" spans="1:8" hidden="1" x14ac:dyDescent="0.25">
      <c r="A998">
        <v>988</v>
      </c>
      <c r="B998" t="s">
        <v>33</v>
      </c>
      <c r="C998">
        <v>1</v>
      </c>
      <c r="D998" t="s">
        <v>30</v>
      </c>
      <c r="E998" s="6">
        <v>46093.291666666664</v>
      </c>
      <c r="F998" s="18">
        <f t="shared" si="45"/>
        <v>0.35416666666424135</v>
      </c>
      <c r="G998" s="19">
        <f t="shared" si="46"/>
        <v>8.4999999999417923</v>
      </c>
      <c r="H998" s="20">
        <f t="shared" si="47"/>
        <v>509.99999999650754</v>
      </c>
    </row>
    <row r="999" spans="1:8" hidden="1" x14ac:dyDescent="0.25">
      <c r="A999">
        <v>995</v>
      </c>
      <c r="B999" t="s">
        <v>29</v>
      </c>
      <c r="C999">
        <v>1</v>
      </c>
      <c r="D999" t="s">
        <v>37</v>
      </c>
      <c r="E999" s="6">
        <v>46093.291666666664</v>
      </c>
      <c r="F999" s="18">
        <f t="shared" si="45"/>
        <v>0</v>
      </c>
      <c r="G999" s="19">
        <f t="shared" si="46"/>
        <v>0</v>
      </c>
      <c r="H999" s="19">
        <f t="shared" si="47"/>
        <v>0</v>
      </c>
    </row>
    <row r="1000" spans="1:8" hidden="1" x14ac:dyDescent="0.25">
      <c r="A1000">
        <v>996</v>
      </c>
      <c r="B1000" t="s">
        <v>31</v>
      </c>
      <c r="C1000">
        <v>1</v>
      </c>
      <c r="D1000" t="s">
        <v>35</v>
      </c>
      <c r="E1000" s="6">
        <v>46093.291666666664</v>
      </c>
      <c r="F1000" s="18">
        <f t="shared" si="45"/>
        <v>0</v>
      </c>
      <c r="G1000" s="19">
        <f t="shared" si="46"/>
        <v>0</v>
      </c>
      <c r="H1000" s="19">
        <f t="shared" si="47"/>
        <v>0</v>
      </c>
    </row>
    <row r="1001" spans="1:8" hidden="1" x14ac:dyDescent="0.25">
      <c r="A1001">
        <v>1000</v>
      </c>
      <c r="B1001" t="s">
        <v>31</v>
      </c>
      <c r="C1001">
        <v>1</v>
      </c>
      <c r="D1001" t="s">
        <v>34</v>
      </c>
      <c r="E1001" s="6">
        <v>46093.291666666664</v>
      </c>
      <c r="F1001" s="18">
        <f t="shared" si="45"/>
        <v>0</v>
      </c>
      <c r="G1001" s="19">
        <f t="shared" si="46"/>
        <v>0</v>
      </c>
      <c r="H1001" s="19">
        <f t="shared" si="47"/>
        <v>0</v>
      </c>
    </row>
    <row r="1002" spans="1:8" x14ac:dyDescent="0.25">
      <c r="A1002">
        <v>1007</v>
      </c>
      <c r="B1002" t="s">
        <v>33</v>
      </c>
      <c r="C1002">
        <v>1</v>
      </c>
      <c r="D1002" t="s">
        <v>30</v>
      </c>
      <c r="E1002" s="6">
        <v>46093.361111111109</v>
      </c>
      <c r="F1002" s="18">
        <f t="shared" si="45"/>
        <v>6.9444444445252884E-2</v>
      </c>
      <c r="G1002" s="19">
        <f t="shared" si="46"/>
        <v>1.6666666666860692</v>
      </c>
      <c r="H1002" s="20">
        <f t="shared" si="47"/>
        <v>100.00000000116415</v>
      </c>
    </row>
    <row r="1003" spans="1:8" x14ac:dyDescent="0.25">
      <c r="A1003">
        <v>1011</v>
      </c>
      <c r="B1003" t="s">
        <v>33</v>
      </c>
      <c r="C1003">
        <v>1</v>
      </c>
      <c r="D1003" t="s">
        <v>30</v>
      </c>
      <c r="E1003" s="6">
        <v>46093.420138888891</v>
      </c>
      <c r="F1003" s="18">
        <f t="shared" si="45"/>
        <v>5.9027777781011537E-2</v>
      </c>
      <c r="G1003" s="19">
        <f t="shared" si="46"/>
        <v>1.4166666667442769</v>
      </c>
      <c r="H1003" s="20">
        <f t="shared" si="47"/>
        <v>85.000000004656613</v>
      </c>
    </row>
    <row r="1004" spans="1:8" x14ac:dyDescent="0.25">
      <c r="A1004">
        <v>1002</v>
      </c>
      <c r="B1004" t="s">
        <v>33</v>
      </c>
      <c r="C1004">
        <v>1</v>
      </c>
      <c r="D1004" t="s">
        <v>30</v>
      </c>
      <c r="E1004" s="6">
        <v>46093.451388888891</v>
      </c>
      <c r="F1004" s="18">
        <f t="shared" si="45"/>
        <v>3.125E-2</v>
      </c>
      <c r="G1004" s="19">
        <f t="shared" si="46"/>
        <v>0.75</v>
      </c>
      <c r="H1004" s="20">
        <f t="shared" si="47"/>
        <v>45</v>
      </c>
    </row>
    <row r="1005" spans="1:8" hidden="1" x14ac:dyDescent="0.25">
      <c r="A1005">
        <v>1012</v>
      </c>
      <c r="B1005" t="s">
        <v>29</v>
      </c>
      <c r="C1005">
        <v>1</v>
      </c>
      <c r="D1005" t="s">
        <v>34</v>
      </c>
      <c r="E1005" s="6">
        <v>46093.451388888891</v>
      </c>
      <c r="F1005" s="18">
        <f t="shared" si="45"/>
        <v>0</v>
      </c>
      <c r="G1005" s="19">
        <f t="shared" si="46"/>
        <v>0</v>
      </c>
      <c r="H1005" s="19">
        <f t="shared" si="47"/>
        <v>0</v>
      </c>
    </row>
    <row r="1006" spans="1:8" x14ac:dyDescent="0.25">
      <c r="A1006">
        <v>999</v>
      </c>
      <c r="B1006" t="s">
        <v>33</v>
      </c>
      <c r="C1006">
        <v>1</v>
      </c>
      <c r="D1006" t="s">
        <v>36</v>
      </c>
      <c r="E1006" s="6">
        <v>46093.475694444445</v>
      </c>
      <c r="F1006" s="18">
        <f t="shared" si="45"/>
        <v>2.4305555554747116E-2</v>
      </c>
      <c r="G1006" s="19">
        <f t="shared" si="46"/>
        <v>0.58333333331393078</v>
      </c>
      <c r="H1006" s="20">
        <f t="shared" si="47"/>
        <v>34.999999998835847</v>
      </c>
    </row>
    <row r="1007" spans="1:8" x14ac:dyDescent="0.25">
      <c r="A1007">
        <v>1010</v>
      </c>
      <c r="B1007" t="s">
        <v>31</v>
      </c>
      <c r="C1007">
        <v>1</v>
      </c>
      <c r="D1007" t="s">
        <v>35</v>
      </c>
      <c r="E1007" s="6">
        <v>46093.524305555555</v>
      </c>
      <c r="F1007" s="18">
        <f t="shared" si="45"/>
        <v>4.8611111109494232E-2</v>
      </c>
      <c r="G1007" s="19">
        <f t="shared" si="46"/>
        <v>1.1666666666278616</v>
      </c>
      <c r="H1007" s="20">
        <f t="shared" si="47"/>
        <v>69.999999997671694</v>
      </c>
    </row>
    <row r="1008" spans="1:8" x14ac:dyDescent="0.25">
      <c r="A1008">
        <v>1014</v>
      </c>
      <c r="B1008" t="s">
        <v>29</v>
      </c>
      <c r="C1008">
        <v>1</v>
      </c>
      <c r="D1008" t="s">
        <v>35</v>
      </c>
      <c r="E1008" s="6">
        <v>46093.590277777781</v>
      </c>
      <c r="F1008" s="18">
        <f t="shared" si="45"/>
        <v>6.5972222226264421E-2</v>
      </c>
      <c r="G1008" s="19">
        <f t="shared" si="46"/>
        <v>1.5833333334303461</v>
      </c>
      <c r="H1008" s="20">
        <f t="shared" si="47"/>
        <v>95.000000005820766</v>
      </c>
    </row>
    <row r="1009" spans="1:8" x14ac:dyDescent="0.25">
      <c r="A1009">
        <v>994</v>
      </c>
      <c r="B1009" t="s">
        <v>29</v>
      </c>
      <c r="C1009">
        <v>1</v>
      </c>
      <c r="D1009" t="s">
        <v>32</v>
      </c>
      <c r="E1009" s="6">
        <v>46093.59375</v>
      </c>
      <c r="F1009" s="18">
        <f t="shared" si="45"/>
        <v>3.4722222189884633E-3</v>
      </c>
      <c r="G1009" s="19">
        <f t="shared" si="46"/>
        <v>8.3333333255723119E-2</v>
      </c>
      <c r="H1009" s="20">
        <f t="shared" si="47"/>
        <v>4.9999999953433871</v>
      </c>
    </row>
    <row r="1010" spans="1:8" x14ac:dyDescent="0.25">
      <c r="A1010">
        <v>1008</v>
      </c>
      <c r="B1010" t="s">
        <v>31</v>
      </c>
      <c r="C1010">
        <v>1</v>
      </c>
      <c r="D1010" t="s">
        <v>36</v>
      </c>
      <c r="E1010" s="6">
        <v>46093.645833333336</v>
      </c>
      <c r="F1010" s="18">
        <f t="shared" si="45"/>
        <v>5.2083333335758653E-2</v>
      </c>
      <c r="G1010" s="19">
        <f t="shared" si="46"/>
        <v>1.2500000000582077</v>
      </c>
      <c r="H1010" s="20">
        <f t="shared" si="47"/>
        <v>75.00000000349246</v>
      </c>
    </row>
    <row r="1011" spans="1:8" x14ac:dyDescent="0.25">
      <c r="A1011">
        <v>998</v>
      </c>
      <c r="B1011" t="s">
        <v>31</v>
      </c>
      <c r="C1011">
        <v>1</v>
      </c>
      <c r="D1011" t="s">
        <v>30</v>
      </c>
      <c r="E1011" s="6">
        <v>46093.652777777781</v>
      </c>
      <c r="F1011" s="18">
        <f t="shared" si="45"/>
        <v>6.9444444452528842E-3</v>
      </c>
      <c r="G1011" s="19">
        <f t="shared" si="46"/>
        <v>0.16666666668606922</v>
      </c>
      <c r="H1011" s="20">
        <f t="shared" si="47"/>
        <v>10.000000001164153</v>
      </c>
    </row>
    <row r="1012" spans="1:8" x14ac:dyDescent="0.25">
      <c r="A1012">
        <v>1009</v>
      </c>
      <c r="B1012" t="s">
        <v>29</v>
      </c>
      <c r="C1012">
        <v>1</v>
      </c>
      <c r="D1012" t="s">
        <v>35</v>
      </c>
      <c r="E1012" s="6">
        <v>46093.677083333336</v>
      </c>
      <c r="F1012" s="18">
        <f t="shared" si="45"/>
        <v>2.4305555554747116E-2</v>
      </c>
      <c r="G1012" s="19">
        <f t="shared" si="46"/>
        <v>0.58333333331393078</v>
      </c>
      <c r="H1012" s="20">
        <f t="shared" si="47"/>
        <v>34.999999998835847</v>
      </c>
    </row>
    <row r="1013" spans="1:8" x14ac:dyDescent="0.25">
      <c r="A1013">
        <v>1013</v>
      </c>
      <c r="B1013" t="s">
        <v>29</v>
      </c>
      <c r="C1013">
        <v>1</v>
      </c>
      <c r="D1013" t="s">
        <v>36</v>
      </c>
      <c r="E1013" s="6">
        <v>46093.75</v>
      </c>
      <c r="F1013" s="18">
        <f t="shared" si="45"/>
        <v>7.2916666664241347E-2</v>
      </c>
      <c r="G1013" s="19">
        <f t="shared" si="46"/>
        <v>1.7499999999417923</v>
      </c>
      <c r="H1013" s="20">
        <f t="shared" si="47"/>
        <v>104.99999999650754</v>
      </c>
    </row>
    <row r="1014" spans="1:8" x14ac:dyDescent="0.25">
      <c r="A1014">
        <v>997</v>
      </c>
      <c r="B1014" t="s">
        <v>29</v>
      </c>
      <c r="C1014">
        <v>1</v>
      </c>
      <c r="D1014" t="s">
        <v>32</v>
      </c>
      <c r="E1014" s="6">
        <v>46093.767361111109</v>
      </c>
      <c r="F1014" s="18">
        <f t="shared" si="45"/>
        <v>1.7361111109494232E-2</v>
      </c>
      <c r="G1014" s="19">
        <f t="shared" si="46"/>
        <v>0.41666666662786156</v>
      </c>
      <c r="H1014" s="20">
        <f t="shared" si="47"/>
        <v>24.999999997671694</v>
      </c>
    </row>
    <row r="1015" spans="1:8" hidden="1" x14ac:dyDescent="0.25">
      <c r="A1015">
        <v>1019</v>
      </c>
      <c r="B1015" t="s">
        <v>31</v>
      </c>
      <c r="C1015">
        <v>1</v>
      </c>
      <c r="D1015" t="s">
        <v>35</v>
      </c>
      <c r="E1015" s="6">
        <v>46094.291666666664</v>
      </c>
      <c r="F1015" s="18">
        <f t="shared" si="45"/>
        <v>0.52430555555474712</v>
      </c>
      <c r="G1015" s="19">
        <f t="shared" si="46"/>
        <v>12.583333333313931</v>
      </c>
      <c r="H1015" s="20">
        <f t="shared" si="47"/>
        <v>754.99999999883585</v>
      </c>
    </row>
    <row r="1016" spans="1:8" x14ac:dyDescent="0.25">
      <c r="A1016">
        <v>1020</v>
      </c>
      <c r="B1016" t="s">
        <v>31</v>
      </c>
      <c r="C1016">
        <v>1</v>
      </c>
      <c r="D1016" t="s">
        <v>34</v>
      </c>
      <c r="E1016" s="6">
        <v>46094.295138888891</v>
      </c>
      <c r="F1016" s="18">
        <f t="shared" si="45"/>
        <v>3.4722222262644209E-3</v>
      </c>
      <c r="G1016" s="19">
        <f t="shared" si="46"/>
        <v>8.3333333430346102E-2</v>
      </c>
      <c r="H1016" s="20">
        <f t="shared" si="47"/>
        <v>5.0000000058207661</v>
      </c>
    </row>
    <row r="1017" spans="1:8" x14ac:dyDescent="0.25">
      <c r="A1017">
        <v>1016</v>
      </c>
      <c r="B1017" t="s">
        <v>33</v>
      </c>
      <c r="C1017">
        <v>1</v>
      </c>
      <c r="D1017" t="s">
        <v>32</v>
      </c>
      <c r="E1017" s="6">
        <v>46094.326388888891</v>
      </c>
      <c r="F1017" s="18">
        <f t="shared" si="45"/>
        <v>3.125E-2</v>
      </c>
      <c r="G1017" s="19">
        <f t="shared" si="46"/>
        <v>0.75</v>
      </c>
      <c r="H1017" s="20">
        <f t="shared" si="47"/>
        <v>45</v>
      </c>
    </row>
    <row r="1018" spans="1:8" x14ac:dyDescent="0.25">
      <c r="A1018">
        <v>1017</v>
      </c>
      <c r="B1018" t="s">
        <v>33</v>
      </c>
      <c r="C1018">
        <v>1</v>
      </c>
      <c r="D1018" t="s">
        <v>36</v>
      </c>
      <c r="E1018" s="6">
        <v>46094.333333333336</v>
      </c>
      <c r="F1018" s="18">
        <f t="shared" si="45"/>
        <v>6.9444444452528842E-3</v>
      </c>
      <c r="G1018" s="19">
        <f t="shared" si="46"/>
        <v>0.16666666668606922</v>
      </c>
      <c r="H1018" s="20">
        <f t="shared" si="47"/>
        <v>10.000000001164153</v>
      </c>
    </row>
    <row r="1019" spans="1:8" x14ac:dyDescent="0.25">
      <c r="A1019">
        <v>1022</v>
      </c>
      <c r="B1019" t="s">
        <v>31</v>
      </c>
      <c r="C1019">
        <v>1</v>
      </c>
      <c r="D1019" t="s">
        <v>32</v>
      </c>
      <c r="E1019" s="6">
        <v>46094.357638888891</v>
      </c>
      <c r="F1019" s="18">
        <f t="shared" si="45"/>
        <v>2.4305555554747116E-2</v>
      </c>
      <c r="G1019" s="19">
        <f t="shared" si="46"/>
        <v>0.58333333331393078</v>
      </c>
      <c r="H1019" s="20">
        <f t="shared" si="47"/>
        <v>34.999999998835847</v>
      </c>
    </row>
    <row r="1020" spans="1:8" x14ac:dyDescent="0.25">
      <c r="A1020">
        <v>1018</v>
      </c>
      <c r="B1020" t="s">
        <v>33</v>
      </c>
      <c r="C1020">
        <v>1</v>
      </c>
      <c r="D1020" t="s">
        <v>30</v>
      </c>
      <c r="E1020" s="6">
        <v>46094.486111111109</v>
      </c>
      <c r="F1020" s="18">
        <f t="shared" si="45"/>
        <v>0.12847222221898846</v>
      </c>
      <c r="G1020" s="19">
        <f t="shared" si="46"/>
        <v>3.0833333332557231</v>
      </c>
      <c r="H1020" s="20">
        <f t="shared" si="47"/>
        <v>184.99999999534339</v>
      </c>
    </row>
    <row r="1021" spans="1:8" hidden="1" x14ac:dyDescent="0.25">
      <c r="A1021">
        <v>1021</v>
      </c>
      <c r="B1021" t="s">
        <v>31</v>
      </c>
      <c r="C1021">
        <v>1</v>
      </c>
      <c r="D1021" t="s">
        <v>36</v>
      </c>
      <c r="E1021" s="6">
        <v>46094.486111111109</v>
      </c>
      <c r="F1021" s="18">
        <f t="shared" si="45"/>
        <v>0</v>
      </c>
      <c r="G1021" s="19">
        <f t="shared" si="46"/>
        <v>0</v>
      </c>
      <c r="H1021" s="19">
        <f t="shared" si="47"/>
        <v>0</v>
      </c>
    </row>
    <row r="1022" spans="1:8" x14ac:dyDescent="0.25">
      <c r="A1022">
        <v>1026</v>
      </c>
      <c r="B1022" t="s">
        <v>33</v>
      </c>
      <c r="C1022">
        <v>1</v>
      </c>
      <c r="D1022" t="s">
        <v>30</v>
      </c>
      <c r="E1022" s="6">
        <v>46094.557638888888</v>
      </c>
      <c r="F1022" s="18">
        <f t="shared" si="45"/>
        <v>7.1527777778101154E-2</v>
      </c>
      <c r="G1022" s="19">
        <f t="shared" si="46"/>
        <v>1.7166666666744277</v>
      </c>
      <c r="H1022" s="20">
        <f t="shared" si="47"/>
        <v>103.00000000046566</v>
      </c>
    </row>
    <row r="1023" spans="1:8" x14ac:dyDescent="0.25">
      <c r="A1023">
        <v>1015</v>
      </c>
      <c r="B1023" t="s">
        <v>31</v>
      </c>
      <c r="C1023">
        <v>1</v>
      </c>
      <c r="D1023" t="s">
        <v>35</v>
      </c>
      <c r="E1023" s="6">
        <v>46094.572916666664</v>
      </c>
      <c r="F1023" s="18">
        <f t="shared" si="45"/>
        <v>1.5277777776645962E-2</v>
      </c>
      <c r="G1023" s="19">
        <f t="shared" si="46"/>
        <v>0.36666666663950309</v>
      </c>
      <c r="H1023" s="20">
        <f t="shared" si="47"/>
        <v>21.999999998370185</v>
      </c>
    </row>
    <row r="1024" spans="1:8" x14ac:dyDescent="0.25">
      <c r="A1024">
        <v>1031</v>
      </c>
      <c r="B1024" t="s">
        <v>33</v>
      </c>
      <c r="C1024">
        <v>1</v>
      </c>
      <c r="D1024" t="s">
        <v>30</v>
      </c>
      <c r="E1024" s="6">
        <v>46094.607638888891</v>
      </c>
      <c r="F1024" s="18">
        <f t="shared" si="45"/>
        <v>3.4722222226264421E-2</v>
      </c>
      <c r="G1024" s="19">
        <f t="shared" si="46"/>
        <v>0.8333333334303461</v>
      </c>
      <c r="H1024" s="20">
        <f t="shared" si="47"/>
        <v>50.000000005820766</v>
      </c>
    </row>
    <row r="1025" spans="1:8" x14ac:dyDescent="0.25">
      <c r="A1025">
        <v>1023</v>
      </c>
      <c r="B1025" t="s">
        <v>31</v>
      </c>
      <c r="C1025">
        <v>1</v>
      </c>
      <c r="D1025" t="s">
        <v>30</v>
      </c>
      <c r="E1025" s="6">
        <v>46094.628472222219</v>
      </c>
      <c r="F1025" s="18">
        <f t="shared" si="45"/>
        <v>2.0833333328482695E-2</v>
      </c>
      <c r="G1025" s="19">
        <f t="shared" si="46"/>
        <v>0.49999999988358468</v>
      </c>
      <c r="H1025" s="20">
        <f t="shared" si="47"/>
        <v>29.999999993015081</v>
      </c>
    </row>
    <row r="1026" spans="1:8" x14ac:dyDescent="0.25">
      <c r="A1026">
        <v>1034</v>
      </c>
      <c r="B1026" t="s">
        <v>31</v>
      </c>
      <c r="C1026">
        <v>1</v>
      </c>
      <c r="D1026" t="s">
        <v>35</v>
      </c>
      <c r="E1026" s="6">
        <v>46094.711805555555</v>
      </c>
      <c r="F1026" s="18">
        <f t="shared" si="45"/>
        <v>8.3333333335758653E-2</v>
      </c>
      <c r="G1026" s="19">
        <f t="shared" si="46"/>
        <v>2.0000000000582077</v>
      </c>
      <c r="H1026" s="20">
        <f t="shared" si="47"/>
        <v>120.00000000349246</v>
      </c>
    </row>
    <row r="1027" spans="1:8" x14ac:dyDescent="0.25">
      <c r="A1027">
        <v>1035</v>
      </c>
      <c r="B1027" t="s">
        <v>31</v>
      </c>
      <c r="C1027">
        <v>1</v>
      </c>
      <c r="D1027" t="s">
        <v>30</v>
      </c>
      <c r="E1027" s="6">
        <v>46094.715277777781</v>
      </c>
      <c r="F1027" s="18">
        <f t="shared" si="45"/>
        <v>3.4722222262644209E-3</v>
      </c>
      <c r="G1027" s="19">
        <f t="shared" si="46"/>
        <v>8.3333333430346102E-2</v>
      </c>
      <c r="H1027" s="20">
        <f t="shared" si="47"/>
        <v>5.0000000058207661</v>
      </c>
    </row>
    <row r="1028" spans="1:8" x14ac:dyDescent="0.25">
      <c r="A1028">
        <v>1025</v>
      </c>
      <c r="B1028" t="s">
        <v>31</v>
      </c>
      <c r="C1028">
        <v>1</v>
      </c>
      <c r="D1028" t="s">
        <v>30</v>
      </c>
      <c r="E1028" s="6">
        <v>46094.888888888891</v>
      </c>
      <c r="F1028" s="18">
        <f t="shared" si="45"/>
        <v>0.17361111110949423</v>
      </c>
      <c r="G1028" s="19">
        <f t="shared" si="46"/>
        <v>4.1666666666278616</v>
      </c>
      <c r="H1028" s="20">
        <f t="shared" si="47"/>
        <v>249.99999999767169</v>
      </c>
    </row>
    <row r="1029" spans="1:8" x14ac:dyDescent="0.25">
      <c r="A1029">
        <v>1036</v>
      </c>
      <c r="B1029" t="s">
        <v>33</v>
      </c>
      <c r="C1029">
        <v>1</v>
      </c>
      <c r="D1029" t="s">
        <v>30</v>
      </c>
      <c r="E1029" s="6">
        <v>46094.934027777781</v>
      </c>
      <c r="F1029" s="18">
        <f t="shared" ref="F1029:F1092" si="48">E1029-E1028</f>
        <v>4.5138888890505768E-2</v>
      </c>
      <c r="G1029" s="19">
        <f t="shared" ref="G1029:G1092" si="49">F1029*24</f>
        <v>1.0833333333721384</v>
      </c>
      <c r="H1029" s="20">
        <f t="shared" ref="H1029:H1092" si="50">G1029*60</f>
        <v>65.000000002328306</v>
      </c>
    </row>
    <row r="1030" spans="1:8" x14ac:dyDescent="0.25">
      <c r="A1030">
        <v>1037</v>
      </c>
      <c r="B1030" t="s">
        <v>31</v>
      </c>
      <c r="C1030">
        <v>1</v>
      </c>
      <c r="D1030" t="s">
        <v>30</v>
      </c>
      <c r="E1030" s="6">
        <v>46094.990972222222</v>
      </c>
      <c r="F1030" s="18">
        <f t="shared" si="48"/>
        <v>5.694444444088731E-2</v>
      </c>
      <c r="G1030" s="19">
        <f t="shared" si="49"/>
        <v>1.3666666665812954</v>
      </c>
      <c r="H1030" s="20">
        <f t="shared" si="50"/>
        <v>81.999999994877726</v>
      </c>
    </row>
    <row r="1031" spans="1:8" hidden="1" x14ac:dyDescent="0.25">
      <c r="A1031">
        <v>1024</v>
      </c>
      <c r="B1031" t="s">
        <v>33</v>
      </c>
      <c r="C1031">
        <v>1</v>
      </c>
      <c r="D1031" t="s">
        <v>35</v>
      </c>
      <c r="E1031" s="6">
        <v>46095.352777777778</v>
      </c>
      <c r="F1031" s="18">
        <f t="shared" si="48"/>
        <v>0.36180555555620231</v>
      </c>
      <c r="G1031" s="19">
        <f t="shared" si="49"/>
        <v>8.6833333333488554</v>
      </c>
      <c r="H1031" s="20">
        <f t="shared" si="50"/>
        <v>521.00000000093132</v>
      </c>
    </row>
    <row r="1032" spans="1:8" x14ac:dyDescent="0.25">
      <c r="A1032">
        <v>1038</v>
      </c>
      <c r="B1032" t="s">
        <v>31</v>
      </c>
      <c r="C1032">
        <v>1</v>
      </c>
      <c r="D1032" t="s">
        <v>30</v>
      </c>
      <c r="E1032" s="6">
        <v>46095.354166666664</v>
      </c>
      <c r="F1032" s="18">
        <f t="shared" si="48"/>
        <v>1.3888888861401938E-3</v>
      </c>
      <c r="G1032" s="19">
        <f t="shared" si="49"/>
        <v>3.3333333267364651E-2</v>
      </c>
      <c r="H1032" s="20">
        <f t="shared" si="50"/>
        <v>1.9999999960418791</v>
      </c>
    </row>
    <row r="1033" spans="1:8" x14ac:dyDescent="0.25">
      <c r="A1033">
        <v>1039</v>
      </c>
      <c r="B1033" t="s">
        <v>33</v>
      </c>
      <c r="C1033">
        <v>1</v>
      </c>
      <c r="D1033" t="s">
        <v>34</v>
      </c>
      <c r="E1033" s="6">
        <v>46095.371527777781</v>
      </c>
      <c r="F1033" s="18">
        <f t="shared" si="48"/>
        <v>1.7361111116770189E-2</v>
      </c>
      <c r="G1033" s="19">
        <f t="shared" si="49"/>
        <v>0.41666666680248454</v>
      </c>
      <c r="H1033" s="20">
        <f t="shared" si="50"/>
        <v>25.000000008149073</v>
      </c>
    </row>
    <row r="1034" spans="1:8" x14ac:dyDescent="0.25">
      <c r="A1034">
        <v>1040</v>
      </c>
      <c r="B1034" t="s">
        <v>31</v>
      </c>
      <c r="C1034">
        <v>1</v>
      </c>
      <c r="D1034" t="s">
        <v>34</v>
      </c>
      <c r="E1034" s="6">
        <v>46095.486111111109</v>
      </c>
      <c r="F1034" s="18">
        <f t="shared" si="48"/>
        <v>0.11458333332848269</v>
      </c>
      <c r="G1034" s="19">
        <f t="shared" si="49"/>
        <v>2.7499999998835847</v>
      </c>
      <c r="H1034" s="20">
        <f t="shared" si="50"/>
        <v>164.99999999301508</v>
      </c>
    </row>
    <row r="1035" spans="1:8" x14ac:dyDescent="0.25">
      <c r="A1035">
        <v>1041</v>
      </c>
      <c r="B1035" t="s">
        <v>31</v>
      </c>
      <c r="C1035">
        <v>1</v>
      </c>
      <c r="D1035" t="s">
        <v>30</v>
      </c>
      <c r="E1035" s="6">
        <v>46095.576388888891</v>
      </c>
      <c r="F1035" s="18">
        <f t="shared" si="48"/>
        <v>9.0277777781011537E-2</v>
      </c>
      <c r="G1035" s="19">
        <f t="shared" si="49"/>
        <v>2.1666666667442769</v>
      </c>
      <c r="H1035" s="20">
        <f t="shared" si="50"/>
        <v>130.00000000465661</v>
      </c>
    </row>
    <row r="1036" spans="1:8" x14ac:dyDescent="0.25">
      <c r="A1036">
        <v>1032</v>
      </c>
      <c r="B1036" t="s">
        <v>33</v>
      </c>
      <c r="C1036">
        <v>1</v>
      </c>
      <c r="D1036" t="s">
        <v>30</v>
      </c>
      <c r="E1036" s="6">
        <v>46095.614583333336</v>
      </c>
      <c r="F1036" s="18">
        <f t="shared" si="48"/>
        <v>3.8194444445252884E-2</v>
      </c>
      <c r="G1036" s="19">
        <f t="shared" si="49"/>
        <v>0.91666666668606922</v>
      </c>
      <c r="H1036" s="20">
        <f t="shared" si="50"/>
        <v>55.000000001164153</v>
      </c>
    </row>
    <row r="1037" spans="1:8" x14ac:dyDescent="0.25">
      <c r="A1037">
        <v>1044</v>
      </c>
      <c r="B1037" t="s">
        <v>33</v>
      </c>
      <c r="C1037">
        <v>1</v>
      </c>
      <c r="D1037" t="s">
        <v>30</v>
      </c>
      <c r="E1037" s="6">
        <v>46095.65625</v>
      </c>
      <c r="F1037" s="18">
        <f t="shared" si="48"/>
        <v>4.1666666664241347E-2</v>
      </c>
      <c r="G1037" s="19">
        <f t="shared" si="49"/>
        <v>0.99999999994179234</v>
      </c>
      <c r="H1037" s="20">
        <f t="shared" si="50"/>
        <v>59.99999999650754</v>
      </c>
    </row>
    <row r="1038" spans="1:8" x14ac:dyDescent="0.25">
      <c r="A1038">
        <v>1045</v>
      </c>
      <c r="B1038" t="s">
        <v>33</v>
      </c>
      <c r="C1038">
        <v>1</v>
      </c>
      <c r="D1038" t="s">
        <v>34</v>
      </c>
      <c r="E1038" s="6">
        <v>46095.680555555555</v>
      </c>
      <c r="F1038" s="18">
        <f t="shared" si="48"/>
        <v>2.4305555554747116E-2</v>
      </c>
      <c r="G1038" s="19">
        <f t="shared" si="49"/>
        <v>0.58333333331393078</v>
      </c>
      <c r="H1038" s="20">
        <f t="shared" si="50"/>
        <v>34.999999998835847</v>
      </c>
    </row>
    <row r="1039" spans="1:8" x14ac:dyDescent="0.25">
      <c r="A1039">
        <v>1046</v>
      </c>
      <c r="B1039" t="s">
        <v>33</v>
      </c>
      <c r="C1039">
        <v>1</v>
      </c>
      <c r="D1039" t="s">
        <v>35</v>
      </c>
      <c r="E1039" s="6">
        <v>46095.711805555555</v>
      </c>
      <c r="F1039" s="18">
        <f t="shared" si="48"/>
        <v>3.125E-2</v>
      </c>
      <c r="G1039" s="19">
        <f t="shared" si="49"/>
        <v>0.75</v>
      </c>
      <c r="H1039" s="20">
        <f t="shared" si="50"/>
        <v>45</v>
      </c>
    </row>
    <row r="1040" spans="1:8" x14ac:dyDescent="0.25">
      <c r="A1040">
        <v>1047</v>
      </c>
      <c r="B1040" t="s">
        <v>33</v>
      </c>
      <c r="C1040">
        <v>1</v>
      </c>
      <c r="D1040" t="s">
        <v>36</v>
      </c>
      <c r="E1040" s="6">
        <v>46095.725694444445</v>
      </c>
      <c r="F1040" s="18">
        <f t="shared" si="48"/>
        <v>1.3888888890505768E-2</v>
      </c>
      <c r="G1040" s="19">
        <f t="shared" si="49"/>
        <v>0.33333333337213844</v>
      </c>
      <c r="H1040" s="20">
        <f t="shared" si="50"/>
        <v>20.000000002328306</v>
      </c>
    </row>
    <row r="1041" spans="1:8" x14ac:dyDescent="0.25">
      <c r="A1041">
        <v>1048</v>
      </c>
      <c r="B1041" t="s">
        <v>29</v>
      </c>
      <c r="C1041">
        <v>1</v>
      </c>
      <c r="D1041" t="s">
        <v>34</v>
      </c>
      <c r="E1041" s="6">
        <v>46095.877083333333</v>
      </c>
      <c r="F1041" s="18">
        <f t="shared" si="48"/>
        <v>0.15138888888759539</v>
      </c>
      <c r="G1041" s="19">
        <f t="shared" si="49"/>
        <v>3.6333333333022892</v>
      </c>
      <c r="H1041" s="20">
        <f t="shared" si="50"/>
        <v>217.99999999813735</v>
      </c>
    </row>
    <row r="1042" spans="1:8" x14ac:dyDescent="0.25">
      <c r="A1042">
        <v>1049</v>
      </c>
      <c r="B1042" t="s">
        <v>33</v>
      </c>
      <c r="C1042">
        <v>1</v>
      </c>
      <c r="D1042" t="s">
        <v>30</v>
      </c>
      <c r="E1042" s="6">
        <v>46095.991666666669</v>
      </c>
      <c r="F1042" s="18">
        <f t="shared" si="48"/>
        <v>0.11458333333575865</v>
      </c>
      <c r="G1042" s="19">
        <f t="shared" si="49"/>
        <v>2.7500000000582077</v>
      </c>
      <c r="H1042" s="20">
        <f t="shared" si="50"/>
        <v>165.00000000349246</v>
      </c>
    </row>
    <row r="1043" spans="1:8" hidden="1" x14ac:dyDescent="0.25">
      <c r="A1043">
        <v>1050</v>
      </c>
      <c r="B1043" t="s">
        <v>33</v>
      </c>
      <c r="C1043">
        <v>1</v>
      </c>
      <c r="D1043" t="s">
        <v>34</v>
      </c>
      <c r="E1043" s="6">
        <v>46096.215277777781</v>
      </c>
      <c r="F1043" s="18">
        <f t="shared" si="48"/>
        <v>0.22361111111240461</v>
      </c>
      <c r="G1043" s="19">
        <f t="shared" si="49"/>
        <v>5.3666666666977108</v>
      </c>
      <c r="H1043" s="20">
        <f t="shared" si="50"/>
        <v>322.00000000186265</v>
      </c>
    </row>
    <row r="1044" spans="1:8" hidden="1" x14ac:dyDescent="0.25">
      <c r="A1044">
        <v>1051</v>
      </c>
      <c r="B1044" t="s">
        <v>29</v>
      </c>
      <c r="C1044">
        <v>1</v>
      </c>
      <c r="D1044" t="s">
        <v>34</v>
      </c>
      <c r="E1044" s="6">
        <v>46096.215277777781</v>
      </c>
      <c r="F1044" s="18">
        <f t="shared" si="48"/>
        <v>0</v>
      </c>
      <c r="G1044" s="19">
        <f t="shared" si="49"/>
        <v>0</v>
      </c>
      <c r="H1044" s="19">
        <f t="shared" si="50"/>
        <v>0</v>
      </c>
    </row>
    <row r="1045" spans="1:8" x14ac:dyDescent="0.25">
      <c r="A1045">
        <v>1052</v>
      </c>
      <c r="B1045" t="s">
        <v>33</v>
      </c>
      <c r="C1045">
        <v>1</v>
      </c>
      <c r="D1045" t="s">
        <v>30</v>
      </c>
      <c r="E1045" s="6">
        <v>46096.364583333336</v>
      </c>
      <c r="F1045" s="18">
        <f t="shared" si="48"/>
        <v>0.14930555555474712</v>
      </c>
      <c r="G1045" s="19">
        <f t="shared" si="49"/>
        <v>3.5833333333139308</v>
      </c>
      <c r="H1045" s="20">
        <f t="shared" si="50"/>
        <v>214.99999999883585</v>
      </c>
    </row>
    <row r="1046" spans="1:8" x14ac:dyDescent="0.25">
      <c r="A1046">
        <v>1043</v>
      </c>
      <c r="B1046" t="s">
        <v>33</v>
      </c>
      <c r="C1046">
        <v>1</v>
      </c>
      <c r="D1046" t="s">
        <v>35</v>
      </c>
      <c r="E1046" s="6">
        <v>46096.4375</v>
      </c>
      <c r="F1046" s="18">
        <f t="shared" si="48"/>
        <v>7.2916666664241347E-2</v>
      </c>
      <c r="G1046" s="19">
        <f t="shared" si="49"/>
        <v>1.7499999999417923</v>
      </c>
      <c r="H1046" s="20">
        <f t="shared" si="50"/>
        <v>104.99999999650754</v>
      </c>
    </row>
    <row r="1047" spans="1:8" x14ac:dyDescent="0.25">
      <c r="A1047">
        <v>1042</v>
      </c>
      <c r="B1047" t="s">
        <v>29</v>
      </c>
      <c r="C1047">
        <v>1</v>
      </c>
      <c r="D1047" t="s">
        <v>30</v>
      </c>
      <c r="E1047" s="6">
        <v>46096.482638888891</v>
      </c>
      <c r="F1047" s="18">
        <f t="shared" si="48"/>
        <v>4.5138888890505768E-2</v>
      </c>
      <c r="G1047" s="19">
        <f t="shared" si="49"/>
        <v>1.0833333333721384</v>
      </c>
      <c r="H1047" s="20">
        <f t="shared" si="50"/>
        <v>65.000000002328306</v>
      </c>
    </row>
    <row r="1048" spans="1:8" x14ac:dyDescent="0.25">
      <c r="A1048">
        <v>1060</v>
      </c>
      <c r="B1048" t="s">
        <v>33</v>
      </c>
      <c r="C1048">
        <v>1</v>
      </c>
      <c r="D1048" t="s">
        <v>30</v>
      </c>
      <c r="E1048" s="6">
        <v>46096.645833333336</v>
      </c>
      <c r="F1048" s="18">
        <f t="shared" si="48"/>
        <v>0.16319444444525288</v>
      </c>
      <c r="G1048" s="19">
        <f t="shared" si="49"/>
        <v>3.9166666666860692</v>
      </c>
      <c r="H1048" s="20">
        <f t="shared" si="50"/>
        <v>235.00000000116415</v>
      </c>
    </row>
    <row r="1049" spans="1:8" x14ac:dyDescent="0.25">
      <c r="A1049">
        <v>1061</v>
      </c>
      <c r="B1049" t="s">
        <v>29</v>
      </c>
      <c r="C1049">
        <v>1</v>
      </c>
      <c r="D1049" t="s">
        <v>34</v>
      </c>
      <c r="E1049" s="6">
        <v>46096.666666666664</v>
      </c>
      <c r="F1049" s="18">
        <f t="shared" si="48"/>
        <v>2.0833333328482695E-2</v>
      </c>
      <c r="G1049" s="19">
        <f t="shared" si="49"/>
        <v>0.49999999988358468</v>
      </c>
      <c r="H1049" s="20">
        <f t="shared" si="50"/>
        <v>29.999999993015081</v>
      </c>
    </row>
    <row r="1050" spans="1:8" hidden="1" x14ac:dyDescent="0.25">
      <c r="A1050">
        <v>1062</v>
      </c>
      <c r="B1050" t="s">
        <v>31</v>
      </c>
      <c r="C1050">
        <v>1</v>
      </c>
      <c r="D1050" t="s">
        <v>30</v>
      </c>
      <c r="E1050" s="6">
        <v>46096.9375</v>
      </c>
      <c r="F1050" s="18">
        <f t="shared" si="48"/>
        <v>0.27083333333575865</v>
      </c>
      <c r="G1050" s="19">
        <f t="shared" si="49"/>
        <v>6.5000000000582077</v>
      </c>
      <c r="H1050" s="20">
        <f t="shared" si="50"/>
        <v>390.00000000349246</v>
      </c>
    </row>
    <row r="1051" spans="1:8" x14ac:dyDescent="0.25">
      <c r="A1051">
        <v>1063</v>
      </c>
      <c r="B1051" t="s">
        <v>29</v>
      </c>
      <c r="C1051">
        <v>1</v>
      </c>
      <c r="D1051" t="s">
        <v>30</v>
      </c>
      <c r="E1051" s="6">
        <v>46097.041666666664</v>
      </c>
      <c r="F1051" s="18">
        <f t="shared" si="48"/>
        <v>0.10416666666424135</v>
      </c>
      <c r="G1051" s="19">
        <f t="shared" si="49"/>
        <v>2.4999999999417923</v>
      </c>
      <c r="H1051" s="20">
        <f t="shared" si="50"/>
        <v>149.99999999650754</v>
      </c>
    </row>
    <row r="1052" spans="1:8" hidden="1" x14ac:dyDescent="0.25">
      <c r="A1052">
        <v>1057</v>
      </c>
      <c r="B1052" t="s">
        <v>33</v>
      </c>
      <c r="C1052">
        <v>1</v>
      </c>
      <c r="D1052" t="s">
        <v>34</v>
      </c>
      <c r="E1052" s="6">
        <v>46097.291666666664</v>
      </c>
      <c r="F1052" s="18">
        <f t="shared" si="48"/>
        <v>0.25</v>
      </c>
      <c r="G1052" s="19">
        <f t="shared" si="49"/>
        <v>6</v>
      </c>
      <c r="H1052" s="20">
        <f t="shared" si="50"/>
        <v>360</v>
      </c>
    </row>
    <row r="1053" spans="1:8" x14ac:dyDescent="0.25">
      <c r="A1053">
        <v>1027</v>
      </c>
      <c r="B1053" t="s">
        <v>29</v>
      </c>
      <c r="C1053">
        <v>1</v>
      </c>
      <c r="D1053" t="s">
        <v>35</v>
      </c>
      <c r="E1053" s="6">
        <v>46097.295138888891</v>
      </c>
      <c r="F1053" s="18">
        <f t="shared" si="48"/>
        <v>3.4722222262644209E-3</v>
      </c>
      <c r="G1053" s="19">
        <f t="shared" si="49"/>
        <v>8.3333333430346102E-2</v>
      </c>
      <c r="H1053" s="20">
        <f t="shared" si="50"/>
        <v>5.0000000058207661</v>
      </c>
    </row>
    <row r="1054" spans="1:8" x14ac:dyDescent="0.25">
      <c r="A1054">
        <v>966</v>
      </c>
      <c r="B1054" t="s">
        <v>29</v>
      </c>
      <c r="C1054">
        <v>1</v>
      </c>
      <c r="D1054" t="s">
        <v>36</v>
      </c>
      <c r="E1054" s="6">
        <v>46097.305555555555</v>
      </c>
      <c r="F1054" s="18">
        <f t="shared" si="48"/>
        <v>1.0416666664241347E-2</v>
      </c>
      <c r="G1054" s="19">
        <f t="shared" si="49"/>
        <v>0.24999999994179234</v>
      </c>
      <c r="H1054" s="20">
        <f t="shared" si="50"/>
        <v>14.99999999650754</v>
      </c>
    </row>
    <row r="1055" spans="1:8" x14ac:dyDescent="0.25">
      <c r="A1055">
        <v>1054</v>
      </c>
      <c r="B1055" t="s">
        <v>31</v>
      </c>
      <c r="C1055">
        <v>1</v>
      </c>
      <c r="D1055" t="s">
        <v>34</v>
      </c>
      <c r="E1055" s="6">
        <v>46097.3125</v>
      </c>
      <c r="F1055" s="18">
        <f t="shared" si="48"/>
        <v>6.9444444452528842E-3</v>
      </c>
      <c r="G1055" s="19">
        <f t="shared" si="49"/>
        <v>0.16666666668606922</v>
      </c>
      <c r="H1055" s="20">
        <f t="shared" si="50"/>
        <v>10.000000001164153</v>
      </c>
    </row>
    <row r="1056" spans="1:8" x14ac:dyDescent="0.25">
      <c r="A1056">
        <v>1055</v>
      </c>
      <c r="B1056" t="s">
        <v>33</v>
      </c>
      <c r="C1056">
        <v>1</v>
      </c>
      <c r="D1056" t="s">
        <v>30</v>
      </c>
      <c r="E1056" s="6">
        <v>46097.333333333336</v>
      </c>
      <c r="F1056" s="18">
        <f t="shared" si="48"/>
        <v>2.0833333335758653E-2</v>
      </c>
      <c r="G1056" s="19">
        <f t="shared" si="49"/>
        <v>0.50000000005820766</v>
      </c>
      <c r="H1056" s="20">
        <f t="shared" si="50"/>
        <v>30.00000000349246</v>
      </c>
    </row>
    <row r="1057" spans="1:8" x14ac:dyDescent="0.25">
      <c r="A1057">
        <v>1053</v>
      </c>
      <c r="B1057" t="s">
        <v>31</v>
      </c>
      <c r="C1057">
        <v>1</v>
      </c>
      <c r="D1057" t="s">
        <v>36</v>
      </c>
      <c r="E1057" s="6">
        <v>46097.4375</v>
      </c>
      <c r="F1057" s="18">
        <f t="shared" si="48"/>
        <v>0.10416666666424135</v>
      </c>
      <c r="G1057" s="19">
        <f t="shared" si="49"/>
        <v>2.4999999999417923</v>
      </c>
      <c r="H1057" s="20">
        <f t="shared" si="50"/>
        <v>149.99999999650754</v>
      </c>
    </row>
    <row r="1058" spans="1:8" x14ac:dyDescent="0.25">
      <c r="A1058">
        <v>1064</v>
      </c>
      <c r="B1058" t="s">
        <v>33</v>
      </c>
      <c r="C1058">
        <v>1</v>
      </c>
      <c r="D1058" t="s">
        <v>30</v>
      </c>
      <c r="E1058" s="6">
        <v>46097.447916666664</v>
      </c>
      <c r="F1058" s="18">
        <f t="shared" si="48"/>
        <v>1.0416666664241347E-2</v>
      </c>
      <c r="G1058" s="19">
        <f t="shared" si="49"/>
        <v>0.24999999994179234</v>
      </c>
      <c r="H1058" s="20">
        <f t="shared" si="50"/>
        <v>14.99999999650754</v>
      </c>
    </row>
    <row r="1059" spans="1:8" x14ac:dyDescent="0.25">
      <c r="A1059">
        <v>1030</v>
      </c>
      <c r="B1059" t="s">
        <v>33</v>
      </c>
      <c r="C1059">
        <v>1</v>
      </c>
      <c r="D1059" t="s">
        <v>35</v>
      </c>
      <c r="E1059" s="6">
        <v>46097.465277777781</v>
      </c>
      <c r="F1059" s="18">
        <f t="shared" si="48"/>
        <v>1.7361111116770189E-2</v>
      </c>
      <c r="G1059" s="19">
        <f t="shared" si="49"/>
        <v>0.41666666680248454</v>
      </c>
      <c r="H1059" s="20">
        <f t="shared" si="50"/>
        <v>25.000000008149073</v>
      </c>
    </row>
    <row r="1060" spans="1:8" x14ac:dyDescent="0.25">
      <c r="A1060">
        <v>1058</v>
      </c>
      <c r="B1060" t="s">
        <v>31</v>
      </c>
      <c r="C1060">
        <v>1</v>
      </c>
      <c r="D1060" t="s">
        <v>36</v>
      </c>
      <c r="E1060" s="6">
        <v>46097.46875</v>
      </c>
      <c r="F1060" s="18">
        <f t="shared" si="48"/>
        <v>3.4722222189884633E-3</v>
      </c>
      <c r="G1060" s="19">
        <f t="shared" si="49"/>
        <v>8.3333333255723119E-2</v>
      </c>
      <c r="H1060" s="20">
        <f t="shared" si="50"/>
        <v>4.9999999953433871</v>
      </c>
    </row>
    <row r="1061" spans="1:8" x14ac:dyDescent="0.25">
      <c r="A1061">
        <v>1028</v>
      </c>
      <c r="B1061" t="s">
        <v>33</v>
      </c>
      <c r="C1061">
        <v>1</v>
      </c>
      <c r="D1061" t="s">
        <v>37</v>
      </c>
      <c r="E1061" s="6">
        <v>46097.489583333336</v>
      </c>
      <c r="F1061" s="18">
        <f t="shared" si="48"/>
        <v>2.0833333335758653E-2</v>
      </c>
      <c r="G1061" s="19">
        <f t="shared" si="49"/>
        <v>0.50000000005820766</v>
      </c>
      <c r="H1061" s="20">
        <f t="shared" si="50"/>
        <v>30.00000000349246</v>
      </c>
    </row>
    <row r="1062" spans="1:8" x14ac:dyDescent="0.25">
      <c r="A1062">
        <v>1069</v>
      </c>
      <c r="B1062" t="s">
        <v>31</v>
      </c>
      <c r="C1062">
        <v>1</v>
      </c>
      <c r="D1062" t="s">
        <v>37</v>
      </c>
      <c r="E1062" s="6">
        <v>46097.57708333333</v>
      </c>
      <c r="F1062" s="18">
        <f t="shared" si="48"/>
        <v>8.7499999994179234E-2</v>
      </c>
      <c r="G1062" s="19">
        <f t="shared" si="49"/>
        <v>2.0999999998603016</v>
      </c>
      <c r="H1062" s="20">
        <f t="shared" si="50"/>
        <v>125.9999999916181</v>
      </c>
    </row>
    <row r="1063" spans="1:8" x14ac:dyDescent="0.25">
      <c r="A1063">
        <v>1066</v>
      </c>
      <c r="B1063" t="s">
        <v>33</v>
      </c>
      <c r="C1063">
        <v>1</v>
      </c>
      <c r="D1063" t="s">
        <v>35</v>
      </c>
      <c r="E1063" s="6">
        <v>46097.590277777781</v>
      </c>
      <c r="F1063" s="18">
        <f t="shared" si="48"/>
        <v>1.319444445107365E-2</v>
      </c>
      <c r="G1063" s="19">
        <f t="shared" si="49"/>
        <v>0.31666666682576761</v>
      </c>
      <c r="H1063" s="20">
        <f t="shared" si="50"/>
        <v>19.000000009546056</v>
      </c>
    </row>
    <row r="1064" spans="1:8" x14ac:dyDescent="0.25">
      <c r="A1064">
        <v>1067</v>
      </c>
      <c r="B1064" t="s">
        <v>33</v>
      </c>
      <c r="C1064">
        <v>1</v>
      </c>
      <c r="D1064" t="s">
        <v>30</v>
      </c>
      <c r="E1064" s="6">
        <v>46097.604166666664</v>
      </c>
      <c r="F1064" s="18">
        <f t="shared" si="48"/>
        <v>1.3888888883229811E-2</v>
      </c>
      <c r="G1064" s="19">
        <f t="shared" si="49"/>
        <v>0.33333333319751546</v>
      </c>
      <c r="H1064" s="20">
        <f t="shared" si="50"/>
        <v>19.999999991850927</v>
      </c>
    </row>
    <row r="1065" spans="1:8" x14ac:dyDescent="0.25">
      <c r="A1065">
        <v>1029</v>
      </c>
      <c r="B1065" t="s">
        <v>33</v>
      </c>
      <c r="C1065">
        <v>1</v>
      </c>
      <c r="D1065" t="s">
        <v>32</v>
      </c>
      <c r="E1065" s="6">
        <v>46097.607638888891</v>
      </c>
      <c r="F1065" s="18">
        <f t="shared" si="48"/>
        <v>3.4722222262644209E-3</v>
      </c>
      <c r="G1065" s="19">
        <f t="shared" si="49"/>
        <v>8.3333333430346102E-2</v>
      </c>
      <c r="H1065" s="20">
        <f t="shared" si="50"/>
        <v>5.0000000058207661</v>
      </c>
    </row>
    <row r="1066" spans="1:8" x14ac:dyDescent="0.25">
      <c r="A1066">
        <v>1056</v>
      </c>
      <c r="B1066" t="s">
        <v>33</v>
      </c>
      <c r="C1066">
        <v>1</v>
      </c>
      <c r="D1066" t="s">
        <v>34</v>
      </c>
      <c r="E1066" s="6">
        <v>46097.638888888891</v>
      </c>
      <c r="F1066" s="18">
        <f t="shared" si="48"/>
        <v>3.125E-2</v>
      </c>
      <c r="G1066" s="19">
        <f t="shared" si="49"/>
        <v>0.75</v>
      </c>
      <c r="H1066" s="20">
        <f t="shared" si="50"/>
        <v>45</v>
      </c>
    </row>
    <row r="1067" spans="1:8" x14ac:dyDescent="0.25">
      <c r="A1067">
        <v>1068</v>
      </c>
      <c r="B1067" t="s">
        <v>33</v>
      </c>
      <c r="C1067">
        <v>1</v>
      </c>
      <c r="D1067" t="s">
        <v>30</v>
      </c>
      <c r="E1067" s="6">
        <v>46097.722222222219</v>
      </c>
      <c r="F1067" s="18">
        <f t="shared" si="48"/>
        <v>8.3333333328482695E-2</v>
      </c>
      <c r="G1067" s="19">
        <f t="shared" si="49"/>
        <v>1.9999999998835847</v>
      </c>
      <c r="H1067" s="20">
        <f t="shared" si="50"/>
        <v>119.99999999301508</v>
      </c>
    </row>
    <row r="1068" spans="1:8" x14ac:dyDescent="0.25">
      <c r="A1068">
        <v>1059</v>
      </c>
      <c r="B1068" t="s">
        <v>29</v>
      </c>
      <c r="C1068">
        <v>1</v>
      </c>
      <c r="D1068" t="s">
        <v>35</v>
      </c>
      <c r="E1068" s="6">
        <v>46097.75</v>
      </c>
      <c r="F1068" s="18">
        <f t="shared" si="48"/>
        <v>2.7777777781011537E-2</v>
      </c>
      <c r="G1068" s="19">
        <f t="shared" si="49"/>
        <v>0.66666666674427688</v>
      </c>
      <c r="H1068" s="20">
        <f t="shared" si="50"/>
        <v>40.000000004656613</v>
      </c>
    </row>
    <row r="1069" spans="1:8" x14ac:dyDescent="0.25">
      <c r="A1069">
        <v>1076</v>
      </c>
      <c r="B1069" t="s">
        <v>29</v>
      </c>
      <c r="C1069">
        <v>1</v>
      </c>
      <c r="D1069" t="s">
        <v>30</v>
      </c>
      <c r="E1069" s="6">
        <v>46097.756944444445</v>
      </c>
      <c r="F1069" s="18">
        <f t="shared" si="48"/>
        <v>6.9444444452528842E-3</v>
      </c>
      <c r="G1069" s="19">
        <f t="shared" si="49"/>
        <v>0.16666666668606922</v>
      </c>
      <c r="H1069" s="20">
        <f t="shared" si="50"/>
        <v>10.000000001164153</v>
      </c>
    </row>
    <row r="1070" spans="1:8" x14ac:dyDescent="0.25">
      <c r="A1070">
        <v>1065</v>
      </c>
      <c r="B1070" t="s">
        <v>29</v>
      </c>
      <c r="C1070">
        <v>1</v>
      </c>
      <c r="D1070" t="s">
        <v>30</v>
      </c>
      <c r="E1070" s="6">
        <v>46097.850694444445</v>
      </c>
      <c r="F1070" s="18">
        <f t="shared" si="48"/>
        <v>9.375E-2</v>
      </c>
      <c r="G1070" s="19">
        <f t="shared" si="49"/>
        <v>2.25</v>
      </c>
      <c r="H1070" s="20">
        <f t="shared" si="50"/>
        <v>135</v>
      </c>
    </row>
    <row r="1071" spans="1:8" x14ac:dyDescent="0.25">
      <c r="A1071">
        <v>1078</v>
      </c>
      <c r="B1071" t="s">
        <v>33</v>
      </c>
      <c r="C1071">
        <v>1</v>
      </c>
      <c r="D1071" t="s">
        <v>35</v>
      </c>
      <c r="E1071" s="6">
        <v>46097.934027777781</v>
      </c>
      <c r="F1071" s="18">
        <f t="shared" si="48"/>
        <v>8.3333333335758653E-2</v>
      </c>
      <c r="G1071" s="19">
        <f t="shared" si="49"/>
        <v>2.0000000000582077</v>
      </c>
      <c r="H1071" s="20">
        <f t="shared" si="50"/>
        <v>120.00000000349246</v>
      </c>
    </row>
    <row r="1072" spans="1:8" hidden="1" x14ac:dyDescent="0.25">
      <c r="A1072">
        <v>1071</v>
      </c>
      <c r="B1072" t="s">
        <v>33</v>
      </c>
      <c r="C1072">
        <v>1</v>
      </c>
      <c r="D1072" t="s">
        <v>32</v>
      </c>
      <c r="E1072" s="6">
        <v>46098.302083333336</v>
      </c>
      <c r="F1072" s="18">
        <f t="shared" si="48"/>
        <v>0.36805555555474712</v>
      </c>
      <c r="G1072" s="19">
        <f t="shared" si="49"/>
        <v>8.8333333333139308</v>
      </c>
      <c r="H1072" s="20">
        <f t="shared" si="50"/>
        <v>529.99999999883585</v>
      </c>
    </row>
    <row r="1073" spans="1:8" x14ac:dyDescent="0.25">
      <c r="A1073">
        <v>1079</v>
      </c>
      <c r="B1073" t="s">
        <v>33</v>
      </c>
      <c r="C1073">
        <v>1</v>
      </c>
      <c r="D1073" t="s">
        <v>30</v>
      </c>
      <c r="E1073" s="6">
        <v>46098.315972222219</v>
      </c>
      <c r="F1073" s="18">
        <f t="shared" si="48"/>
        <v>1.3888888883229811E-2</v>
      </c>
      <c r="G1073" s="19">
        <f t="shared" si="49"/>
        <v>0.33333333319751546</v>
      </c>
      <c r="H1073" s="20">
        <f t="shared" si="50"/>
        <v>19.999999991850927</v>
      </c>
    </row>
    <row r="1074" spans="1:8" x14ac:dyDescent="0.25">
      <c r="A1074">
        <v>1075</v>
      </c>
      <c r="B1074" t="s">
        <v>33</v>
      </c>
      <c r="C1074">
        <v>1</v>
      </c>
      <c r="D1074" t="s">
        <v>36</v>
      </c>
      <c r="E1074" s="6">
        <v>46098.327777777777</v>
      </c>
      <c r="F1074" s="18">
        <f t="shared" si="48"/>
        <v>1.1805555557657499E-2</v>
      </c>
      <c r="G1074" s="19">
        <f t="shared" si="49"/>
        <v>0.28333333338377997</v>
      </c>
      <c r="H1074" s="20">
        <f t="shared" si="50"/>
        <v>17.000000003026798</v>
      </c>
    </row>
    <row r="1075" spans="1:8" x14ac:dyDescent="0.25">
      <c r="A1075">
        <v>1074</v>
      </c>
      <c r="B1075" t="s">
        <v>33</v>
      </c>
      <c r="C1075">
        <v>1</v>
      </c>
      <c r="D1075" t="s">
        <v>35</v>
      </c>
      <c r="E1075" s="6">
        <v>46098.329861111109</v>
      </c>
      <c r="F1075" s="18">
        <f t="shared" si="48"/>
        <v>2.0833333328482695E-3</v>
      </c>
      <c r="G1075" s="19">
        <f t="shared" si="49"/>
        <v>4.9999999988358468E-2</v>
      </c>
      <c r="H1075" s="20">
        <f t="shared" si="50"/>
        <v>2.9999999993015081</v>
      </c>
    </row>
    <row r="1076" spans="1:8" x14ac:dyDescent="0.25">
      <c r="A1076">
        <v>1080</v>
      </c>
      <c r="B1076" t="s">
        <v>31</v>
      </c>
      <c r="C1076">
        <v>1</v>
      </c>
      <c r="D1076" t="s">
        <v>30</v>
      </c>
      <c r="E1076" s="6">
        <v>46098.385416666664</v>
      </c>
      <c r="F1076" s="18">
        <f t="shared" si="48"/>
        <v>5.5555555554747116E-2</v>
      </c>
      <c r="G1076" s="19">
        <f t="shared" si="49"/>
        <v>1.3333333333139308</v>
      </c>
      <c r="H1076" s="20">
        <f t="shared" si="50"/>
        <v>79.999999998835847</v>
      </c>
    </row>
    <row r="1077" spans="1:8" x14ac:dyDescent="0.25">
      <c r="A1077">
        <v>1077</v>
      </c>
      <c r="B1077" t="s">
        <v>29</v>
      </c>
      <c r="C1077">
        <v>1</v>
      </c>
      <c r="D1077" t="s">
        <v>35</v>
      </c>
      <c r="E1077" s="6">
        <v>46098.413194444445</v>
      </c>
      <c r="F1077" s="18">
        <f t="shared" si="48"/>
        <v>2.7777777781011537E-2</v>
      </c>
      <c r="G1077" s="19">
        <f t="shared" si="49"/>
        <v>0.66666666674427688</v>
      </c>
      <c r="H1077" s="20">
        <f t="shared" si="50"/>
        <v>40.000000004656613</v>
      </c>
    </row>
    <row r="1078" spans="1:8" x14ac:dyDescent="0.25">
      <c r="A1078">
        <v>1084</v>
      </c>
      <c r="B1078" t="s">
        <v>29</v>
      </c>
      <c r="C1078">
        <v>1</v>
      </c>
      <c r="D1078" t="s">
        <v>36</v>
      </c>
      <c r="E1078" s="6">
        <v>46098.46875</v>
      </c>
      <c r="F1078" s="18">
        <f t="shared" si="48"/>
        <v>5.5555555554747116E-2</v>
      </c>
      <c r="G1078" s="19">
        <f t="shared" si="49"/>
        <v>1.3333333333139308</v>
      </c>
      <c r="H1078" s="20">
        <f t="shared" si="50"/>
        <v>79.999999998835847</v>
      </c>
    </row>
    <row r="1079" spans="1:8" x14ac:dyDescent="0.25">
      <c r="A1079">
        <v>1070</v>
      </c>
      <c r="B1079" t="s">
        <v>29</v>
      </c>
      <c r="C1079">
        <v>1</v>
      </c>
      <c r="D1079" t="s">
        <v>36</v>
      </c>
      <c r="E1079" s="6">
        <v>46098.477083333331</v>
      </c>
      <c r="F1079" s="18">
        <f t="shared" si="48"/>
        <v>8.333333331393078E-3</v>
      </c>
      <c r="G1079" s="19">
        <f t="shared" si="49"/>
        <v>0.19999999995343387</v>
      </c>
      <c r="H1079" s="20">
        <f t="shared" si="50"/>
        <v>11.999999997206032</v>
      </c>
    </row>
    <row r="1080" spans="1:8" x14ac:dyDescent="0.25">
      <c r="A1080">
        <v>1081</v>
      </c>
      <c r="B1080" t="s">
        <v>31</v>
      </c>
      <c r="C1080">
        <v>1</v>
      </c>
      <c r="D1080" t="s">
        <v>30</v>
      </c>
      <c r="E1080" s="6">
        <v>46098.510416666664</v>
      </c>
      <c r="F1080" s="18">
        <f t="shared" si="48"/>
        <v>3.3333333332848269E-2</v>
      </c>
      <c r="G1080" s="19">
        <f t="shared" si="49"/>
        <v>0.79999999998835847</v>
      </c>
      <c r="H1080" s="20">
        <f t="shared" si="50"/>
        <v>47.999999999301508</v>
      </c>
    </row>
    <row r="1081" spans="1:8" x14ac:dyDescent="0.25">
      <c r="A1081">
        <v>1083</v>
      </c>
      <c r="B1081" t="s">
        <v>33</v>
      </c>
      <c r="C1081">
        <v>1</v>
      </c>
      <c r="D1081" t="s">
        <v>35</v>
      </c>
      <c r="E1081" s="6">
        <v>46098.513888888891</v>
      </c>
      <c r="F1081" s="18">
        <f t="shared" si="48"/>
        <v>3.4722222262644209E-3</v>
      </c>
      <c r="G1081" s="19">
        <f t="shared" si="49"/>
        <v>8.3333333430346102E-2</v>
      </c>
      <c r="H1081" s="20">
        <f t="shared" si="50"/>
        <v>5.0000000058207661</v>
      </c>
    </row>
    <row r="1082" spans="1:8" x14ac:dyDescent="0.25">
      <c r="A1082">
        <v>1087</v>
      </c>
      <c r="B1082" t="s">
        <v>31</v>
      </c>
      <c r="C1082">
        <v>1</v>
      </c>
      <c r="D1082" t="s">
        <v>30</v>
      </c>
      <c r="E1082" s="6">
        <v>46098.538194444445</v>
      </c>
      <c r="F1082" s="18">
        <f t="shared" si="48"/>
        <v>2.4305555554747116E-2</v>
      </c>
      <c r="G1082" s="19">
        <f t="shared" si="49"/>
        <v>0.58333333331393078</v>
      </c>
      <c r="H1082" s="20">
        <f t="shared" si="50"/>
        <v>34.999999998835847</v>
      </c>
    </row>
    <row r="1083" spans="1:8" x14ac:dyDescent="0.25">
      <c r="A1083">
        <v>1086</v>
      </c>
      <c r="B1083" t="s">
        <v>31</v>
      </c>
      <c r="C1083">
        <v>1</v>
      </c>
      <c r="D1083" t="s">
        <v>36</v>
      </c>
      <c r="E1083" s="6">
        <v>46098.625</v>
      </c>
      <c r="F1083" s="18">
        <f t="shared" si="48"/>
        <v>8.6805555554747116E-2</v>
      </c>
      <c r="G1083" s="19">
        <f t="shared" si="49"/>
        <v>2.0833333333139308</v>
      </c>
      <c r="H1083" s="20">
        <f t="shared" si="50"/>
        <v>124.99999999883585</v>
      </c>
    </row>
    <row r="1084" spans="1:8" x14ac:dyDescent="0.25">
      <c r="A1084">
        <v>1082</v>
      </c>
      <c r="B1084" t="s">
        <v>31</v>
      </c>
      <c r="C1084">
        <v>1</v>
      </c>
      <c r="D1084" t="s">
        <v>30</v>
      </c>
      <c r="E1084" s="6">
        <v>46098.677083333336</v>
      </c>
      <c r="F1084" s="18">
        <f t="shared" si="48"/>
        <v>5.2083333335758653E-2</v>
      </c>
      <c r="G1084" s="19">
        <f t="shared" si="49"/>
        <v>1.2500000000582077</v>
      </c>
      <c r="H1084" s="20">
        <f t="shared" si="50"/>
        <v>75.00000000349246</v>
      </c>
    </row>
    <row r="1085" spans="1:8" x14ac:dyDescent="0.25">
      <c r="A1085">
        <v>1085</v>
      </c>
      <c r="B1085" t="s">
        <v>33</v>
      </c>
      <c r="C1085">
        <v>1</v>
      </c>
      <c r="D1085" t="s">
        <v>35</v>
      </c>
      <c r="E1085" s="6">
        <v>46098.763888888891</v>
      </c>
      <c r="F1085" s="18">
        <f t="shared" si="48"/>
        <v>8.6805555554747116E-2</v>
      </c>
      <c r="G1085" s="19">
        <f t="shared" si="49"/>
        <v>2.0833333333139308</v>
      </c>
      <c r="H1085" s="20">
        <f t="shared" si="50"/>
        <v>124.99999999883585</v>
      </c>
    </row>
    <row r="1086" spans="1:8" x14ac:dyDescent="0.25">
      <c r="A1086">
        <v>1096</v>
      </c>
      <c r="B1086" t="s">
        <v>33</v>
      </c>
      <c r="C1086">
        <v>1</v>
      </c>
      <c r="D1086" t="s">
        <v>30</v>
      </c>
      <c r="E1086" s="6">
        <v>46098.951388888891</v>
      </c>
      <c r="F1086" s="18">
        <f t="shared" si="48"/>
        <v>0.1875</v>
      </c>
      <c r="G1086" s="19">
        <f t="shared" si="49"/>
        <v>4.5</v>
      </c>
      <c r="H1086" s="20">
        <f t="shared" si="50"/>
        <v>270</v>
      </c>
    </row>
    <row r="1087" spans="1:8" hidden="1" x14ac:dyDescent="0.25">
      <c r="A1087">
        <v>1097</v>
      </c>
      <c r="B1087" t="s">
        <v>33</v>
      </c>
      <c r="C1087">
        <v>1</v>
      </c>
      <c r="D1087" t="s">
        <v>30</v>
      </c>
      <c r="E1087" s="6">
        <v>46098.951388888891</v>
      </c>
      <c r="F1087" s="18">
        <f t="shared" si="48"/>
        <v>0</v>
      </c>
      <c r="G1087" s="19">
        <f t="shared" si="49"/>
        <v>0</v>
      </c>
      <c r="H1087" s="19">
        <f t="shared" si="50"/>
        <v>0</v>
      </c>
    </row>
    <row r="1088" spans="1:8" hidden="1" x14ac:dyDescent="0.25">
      <c r="A1088">
        <v>1098</v>
      </c>
      <c r="B1088" t="s">
        <v>29</v>
      </c>
      <c r="C1088">
        <v>1</v>
      </c>
      <c r="D1088" t="s">
        <v>30</v>
      </c>
      <c r="E1088" s="6">
        <v>46099.177083333336</v>
      </c>
      <c r="F1088" s="18">
        <f t="shared" si="48"/>
        <v>0.22569444444525288</v>
      </c>
      <c r="G1088" s="19">
        <f t="shared" si="49"/>
        <v>5.4166666666860692</v>
      </c>
      <c r="H1088" s="20">
        <f t="shared" si="50"/>
        <v>325.00000000116415</v>
      </c>
    </row>
    <row r="1089" spans="1:8" x14ac:dyDescent="0.25">
      <c r="A1089">
        <v>1091</v>
      </c>
      <c r="B1089" t="s">
        <v>29</v>
      </c>
      <c r="C1089">
        <v>1</v>
      </c>
      <c r="D1089" t="s">
        <v>30</v>
      </c>
      <c r="E1089" s="6">
        <v>46099.288194444445</v>
      </c>
      <c r="F1089" s="18">
        <f t="shared" si="48"/>
        <v>0.11111111110949423</v>
      </c>
      <c r="G1089" s="19">
        <f t="shared" si="49"/>
        <v>2.6666666666278616</v>
      </c>
      <c r="H1089" s="20">
        <f t="shared" si="50"/>
        <v>159.99999999767169</v>
      </c>
    </row>
    <row r="1090" spans="1:8" x14ac:dyDescent="0.25">
      <c r="A1090">
        <v>1072</v>
      </c>
      <c r="B1090" t="s">
        <v>29</v>
      </c>
      <c r="C1090">
        <v>1</v>
      </c>
      <c r="D1090" t="s">
        <v>35</v>
      </c>
      <c r="E1090" s="6">
        <v>46099.291666666664</v>
      </c>
      <c r="F1090" s="18">
        <f t="shared" si="48"/>
        <v>3.4722222189884633E-3</v>
      </c>
      <c r="G1090" s="19">
        <f t="shared" si="49"/>
        <v>8.3333333255723119E-2</v>
      </c>
      <c r="H1090" s="20">
        <f t="shared" si="50"/>
        <v>4.9999999953433871</v>
      </c>
    </row>
    <row r="1091" spans="1:8" hidden="1" x14ac:dyDescent="0.25">
      <c r="A1091">
        <v>1095</v>
      </c>
      <c r="B1091" t="s">
        <v>31</v>
      </c>
      <c r="C1091">
        <v>1</v>
      </c>
      <c r="D1091" t="s">
        <v>34</v>
      </c>
      <c r="E1091" s="6">
        <v>46099.291666666664</v>
      </c>
      <c r="F1091" s="18">
        <f t="shared" si="48"/>
        <v>0</v>
      </c>
      <c r="G1091" s="19">
        <f t="shared" si="49"/>
        <v>0</v>
      </c>
      <c r="H1091" s="19">
        <f t="shared" si="50"/>
        <v>0</v>
      </c>
    </row>
    <row r="1092" spans="1:8" x14ac:dyDescent="0.25">
      <c r="A1092">
        <v>684</v>
      </c>
      <c r="B1092" t="s">
        <v>33</v>
      </c>
      <c r="C1092">
        <v>1</v>
      </c>
      <c r="D1092" t="s">
        <v>30</v>
      </c>
      <c r="E1092" s="6">
        <v>46099.319444444445</v>
      </c>
      <c r="F1092" s="18">
        <f t="shared" si="48"/>
        <v>2.7777777781011537E-2</v>
      </c>
      <c r="G1092" s="19">
        <f t="shared" si="49"/>
        <v>0.66666666674427688</v>
      </c>
      <c r="H1092" s="20">
        <f t="shared" si="50"/>
        <v>40.000000004656613</v>
      </c>
    </row>
    <row r="1093" spans="1:8" x14ac:dyDescent="0.25">
      <c r="A1093">
        <v>1093</v>
      </c>
      <c r="B1093" t="s">
        <v>33</v>
      </c>
      <c r="C1093">
        <v>1</v>
      </c>
      <c r="D1093" t="s">
        <v>30</v>
      </c>
      <c r="E1093" s="6">
        <v>46099.322916666664</v>
      </c>
      <c r="F1093" s="18">
        <f t="shared" ref="F1093:F1156" si="51">E1093-E1092</f>
        <v>3.4722222189884633E-3</v>
      </c>
      <c r="G1093" s="19">
        <f t="shared" ref="G1093:G1156" si="52">F1093*24</f>
        <v>8.3333333255723119E-2</v>
      </c>
      <c r="H1093" s="20">
        <f t="shared" ref="H1093:H1156" si="53">G1093*60</f>
        <v>4.9999999953433871</v>
      </c>
    </row>
    <row r="1094" spans="1:8" x14ac:dyDescent="0.25">
      <c r="A1094">
        <v>1094</v>
      </c>
      <c r="B1094" t="s">
        <v>33</v>
      </c>
      <c r="C1094">
        <v>1</v>
      </c>
      <c r="D1094" t="s">
        <v>30</v>
      </c>
      <c r="E1094" s="6">
        <v>46099.434027777781</v>
      </c>
      <c r="F1094" s="18">
        <f t="shared" si="51"/>
        <v>0.11111111111677019</v>
      </c>
      <c r="G1094" s="19">
        <f t="shared" si="52"/>
        <v>2.6666666668024845</v>
      </c>
      <c r="H1094" s="20">
        <f t="shared" si="53"/>
        <v>160.00000000814907</v>
      </c>
    </row>
    <row r="1095" spans="1:8" x14ac:dyDescent="0.25">
      <c r="A1095">
        <v>1100</v>
      </c>
      <c r="B1095" t="s">
        <v>31</v>
      </c>
      <c r="C1095">
        <v>1</v>
      </c>
      <c r="D1095" t="s">
        <v>36</v>
      </c>
      <c r="E1095" s="6">
        <v>46099.444444444445</v>
      </c>
      <c r="F1095" s="18">
        <f t="shared" si="51"/>
        <v>1.0416666664241347E-2</v>
      </c>
      <c r="G1095" s="19">
        <f t="shared" si="52"/>
        <v>0.24999999994179234</v>
      </c>
      <c r="H1095" s="20">
        <f t="shared" si="53"/>
        <v>14.99999999650754</v>
      </c>
    </row>
    <row r="1096" spans="1:8" x14ac:dyDescent="0.25">
      <c r="A1096">
        <v>1102</v>
      </c>
      <c r="B1096" t="s">
        <v>31</v>
      </c>
      <c r="C1096">
        <v>1</v>
      </c>
      <c r="D1096" t="s">
        <v>36</v>
      </c>
      <c r="E1096" s="6">
        <v>46099.479166666664</v>
      </c>
      <c r="F1096" s="18">
        <f t="shared" si="51"/>
        <v>3.4722222218988463E-2</v>
      </c>
      <c r="G1096" s="19">
        <f t="shared" si="52"/>
        <v>0.83333333325572312</v>
      </c>
      <c r="H1096" s="20">
        <f t="shared" si="53"/>
        <v>49.999999995343387</v>
      </c>
    </row>
    <row r="1097" spans="1:8" x14ac:dyDescent="0.25">
      <c r="A1097">
        <v>1103</v>
      </c>
      <c r="B1097" t="s">
        <v>31</v>
      </c>
      <c r="C1097">
        <v>1</v>
      </c>
      <c r="D1097" t="s">
        <v>34</v>
      </c>
      <c r="E1097" s="6">
        <v>46099.498611111114</v>
      </c>
      <c r="F1097" s="18">
        <f t="shared" si="51"/>
        <v>1.9444444449618459E-2</v>
      </c>
      <c r="G1097" s="19">
        <f t="shared" si="52"/>
        <v>0.46666666679084301</v>
      </c>
      <c r="H1097" s="20">
        <f t="shared" si="53"/>
        <v>28.000000007450581</v>
      </c>
    </row>
    <row r="1098" spans="1:8" x14ac:dyDescent="0.25">
      <c r="A1098">
        <v>1104</v>
      </c>
      <c r="B1098" t="s">
        <v>31</v>
      </c>
      <c r="C1098">
        <v>1</v>
      </c>
      <c r="D1098" t="s">
        <v>30</v>
      </c>
      <c r="E1098" s="6">
        <v>46099.522222222222</v>
      </c>
      <c r="F1098" s="18">
        <f t="shared" si="51"/>
        <v>2.361111110803904E-2</v>
      </c>
      <c r="G1098" s="19">
        <f t="shared" si="52"/>
        <v>0.56666666659293696</v>
      </c>
      <c r="H1098" s="20">
        <f t="shared" si="53"/>
        <v>33.999999995576218</v>
      </c>
    </row>
    <row r="1099" spans="1:8" x14ac:dyDescent="0.25">
      <c r="A1099">
        <v>1089</v>
      </c>
      <c r="B1099" t="s">
        <v>31</v>
      </c>
      <c r="C1099">
        <v>1</v>
      </c>
      <c r="D1099" t="s">
        <v>35</v>
      </c>
      <c r="E1099" s="6">
        <v>46099.586805555555</v>
      </c>
      <c r="F1099" s="18">
        <f t="shared" si="51"/>
        <v>6.4583333332848269E-2</v>
      </c>
      <c r="G1099" s="19">
        <f t="shared" si="52"/>
        <v>1.5499999999883585</v>
      </c>
      <c r="H1099" s="20">
        <f t="shared" si="53"/>
        <v>92.999999999301508</v>
      </c>
    </row>
    <row r="1100" spans="1:8" x14ac:dyDescent="0.25">
      <c r="A1100">
        <v>1092</v>
      </c>
      <c r="B1100" t="s">
        <v>33</v>
      </c>
      <c r="C1100">
        <v>1</v>
      </c>
      <c r="D1100" t="s">
        <v>34</v>
      </c>
      <c r="E1100" s="6">
        <v>46099.621527777781</v>
      </c>
      <c r="F1100" s="18">
        <f t="shared" si="51"/>
        <v>3.4722222226264421E-2</v>
      </c>
      <c r="G1100" s="19">
        <f t="shared" si="52"/>
        <v>0.8333333334303461</v>
      </c>
      <c r="H1100" s="20">
        <f t="shared" si="53"/>
        <v>50.000000005820766</v>
      </c>
    </row>
    <row r="1101" spans="1:8" x14ac:dyDescent="0.25">
      <c r="A1101">
        <v>1099</v>
      </c>
      <c r="B1101" t="s">
        <v>31</v>
      </c>
      <c r="C1101">
        <v>8</v>
      </c>
      <c r="D1101" t="s">
        <v>30</v>
      </c>
      <c r="E1101" s="6">
        <v>46099.638888888891</v>
      </c>
      <c r="F1101" s="18">
        <f t="shared" si="51"/>
        <v>1.7361111109494232E-2</v>
      </c>
      <c r="G1101" s="19">
        <f t="shared" si="52"/>
        <v>0.41666666662786156</v>
      </c>
      <c r="H1101" s="20">
        <f t="shared" si="53"/>
        <v>24.999999997671694</v>
      </c>
    </row>
    <row r="1102" spans="1:8" x14ac:dyDescent="0.25">
      <c r="A1102">
        <v>1090</v>
      </c>
      <c r="B1102" t="s">
        <v>29</v>
      </c>
      <c r="C1102">
        <v>1</v>
      </c>
      <c r="D1102" t="s">
        <v>34</v>
      </c>
      <c r="E1102" s="6">
        <v>46099.659722222219</v>
      </c>
      <c r="F1102" s="18">
        <f t="shared" si="51"/>
        <v>2.0833333328482695E-2</v>
      </c>
      <c r="G1102" s="19">
        <f t="shared" si="52"/>
        <v>0.49999999988358468</v>
      </c>
      <c r="H1102" s="20">
        <f t="shared" si="53"/>
        <v>29.999999993015081</v>
      </c>
    </row>
    <row r="1103" spans="1:8" x14ac:dyDescent="0.25">
      <c r="A1103">
        <v>1101</v>
      </c>
      <c r="B1103" t="s">
        <v>29</v>
      </c>
      <c r="C1103">
        <v>1</v>
      </c>
      <c r="D1103" t="s">
        <v>35</v>
      </c>
      <c r="E1103" s="6">
        <v>46099.724305555559</v>
      </c>
      <c r="F1103" s="18">
        <f t="shared" si="51"/>
        <v>6.4583333340124227E-2</v>
      </c>
      <c r="G1103" s="19">
        <f t="shared" si="52"/>
        <v>1.5500000001629815</v>
      </c>
      <c r="H1103" s="20">
        <f t="shared" si="53"/>
        <v>93.000000009778887</v>
      </c>
    </row>
    <row r="1104" spans="1:8" x14ac:dyDescent="0.25">
      <c r="A1104">
        <v>1113</v>
      </c>
      <c r="B1104" t="s">
        <v>31</v>
      </c>
      <c r="C1104">
        <v>1</v>
      </c>
      <c r="D1104" t="s">
        <v>37</v>
      </c>
      <c r="E1104" s="6">
        <v>46099.784722222219</v>
      </c>
      <c r="F1104" s="18">
        <f t="shared" si="51"/>
        <v>6.0416666659875773E-2</v>
      </c>
      <c r="G1104" s="19">
        <f t="shared" si="52"/>
        <v>1.4499999998370185</v>
      </c>
      <c r="H1104" s="20">
        <f t="shared" si="53"/>
        <v>86.999999990221113</v>
      </c>
    </row>
    <row r="1105" spans="1:8" x14ac:dyDescent="0.25">
      <c r="A1105">
        <v>1114</v>
      </c>
      <c r="B1105" t="s">
        <v>31</v>
      </c>
      <c r="C1105">
        <v>1</v>
      </c>
      <c r="D1105" t="s">
        <v>30</v>
      </c>
      <c r="E1105" s="6">
        <v>46099.84375</v>
      </c>
      <c r="F1105" s="18">
        <f t="shared" si="51"/>
        <v>5.9027777781011537E-2</v>
      </c>
      <c r="G1105" s="19">
        <f t="shared" si="52"/>
        <v>1.4166666667442769</v>
      </c>
      <c r="H1105" s="20">
        <f t="shared" si="53"/>
        <v>85.000000004656613</v>
      </c>
    </row>
    <row r="1106" spans="1:8" x14ac:dyDescent="0.25">
      <c r="A1106">
        <v>1115</v>
      </c>
      <c r="B1106" t="s">
        <v>33</v>
      </c>
      <c r="C1106">
        <v>1</v>
      </c>
      <c r="D1106" t="s">
        <v>35</v>
      </c>
      <c r="E1106" s="6">
        <v>46099.909722222219</v>
      </c>
      <c r="F1106" s="18">
        <f t="shared" si="51"/>
        <v>6.5972222218988463E-2</v>
      </c>
      <c r="G1106" s="19">
        <f t="shared" si="52"/>
        <v>1.5833333332557231</v>
      </c>
      <c r="H1106" s="20">
        <f t="shared" si="53"/>
        <v>94.999999995343387</v>
      </c>
    </row>
    <row r="1107" spans="1:8" hidden="1" x14ac:dyDescent="0.25">
      <c r="A1107">
        <v>1108</v>
      </c>
      <c r="B1107" t="s">
        <v>31</v>
      </c>
      <c r="C1107">
        <v>1</v>
      </c>
      <c r="D1107" t="s">
        <v>35</v>
      </c>
      <c r="E1107" s="6">
        <v>46100.288194444445</v>
      </c>
      <c r="F1107" s="18">
        <f t="shared" si="51"/>
        <v>0.37847222222626442</v>
      </c>
      <c r="G1107" s="19">
        <f t="shared" si="52"/>
        <v>9.0833333334303461</v>
      </c>
      <c r="H1107" s="20">
        <f t="shared" si="53"/>
        <v>545.00000000582077</v>
      </c>
    </row>
    <row r="1108" spans="1:8" x14ac:dyDescent="0.25">
      <c r="A1108">
        <v>1106</v>
      </c>
      <c r="B1108" t="s">
        <v>33</v>
      </c>
      <c r="C1108">
        <v>1</v>
      </c>
      <c r="D1108" t="s">
        <v>36</v>
      </c>
      <c r="E1108" s="6">
        <v>46100.291666666664</v>
      </c>
      <c r="F1108" s="18">
        <f t="shared" si="51"/>
        <v>3.4722222189884633E-3</v>
      </c>
      <c r="G1108" s="19">
        <f t="shared" si="52"/>
        <v>8.3333333255723119E-2</v>
      </c>
      <c r="H1108" s="20">
        <f t="shared" si="53"/>
        <v>4.9999999953433871</v>
      </c>
    </row>
    <row r="1109" spans="1:8" x14ac:dyDescent="0.25">
      <c r="A1109">
        <v>1112</v>
      </c>
      <c r="B1109" t="s">
        <v>33</v>
      </c>
      <c r="C1109">
        <v>1</v>
      </c>
      <c r="D1109" t="s">
        <v>34</v>
      </c>
      <c r="E1109" s="6">
        <v>46100.305555555555</v>
      </c>
      <c r="F1109" s="18">
        <f t="shared" si="51"/>
        <v>1.3888888890505768E-2</v>
      </c>
      <c r="G1109" s="19">
        <f t="shared" si="52"/>
        <v>0.33333333337213844</v>
      </c>
      <c r="H1109" s="20">
        <f t="shared" si="53"/>
        <v>20.000000002328306</v>
      </c>
    </row>
    <row r="1110" spans="1:8" x14ac:dyDescent="0.25">
      <c r="A1110">
        <v>1110</v>
      </c>
      <c r="B1110" t="s">
        <v>33</v>
      </c>
      <c r="C1110">
        <v>1</v>
      </c>
      <c r="D1110" t="s">
        <v>35</v>
      </c>
      <c r="E1110" s="6">
        <v>46100.315972222219</v>
      </c>
      <c r="F1110" s="18">
        <f t="shared" si="51"/>
        <v>1.0416666664241347E-2</v>
      </c>
      <c r="G1110" s="19">
        <f t="shared" si="52"/>
        <v>0.24999999994179234</v>
      </c>
      <c r="H1110" s="20">
        <f t="shared" si="53"/>
        <v>14.99999999650754</v>
      </c>
    </row>
    <row r="1111" spans="1:8" x14ac:dyDescent="0.25">
      <c r="A1111">
        <v>1116</v>
      </c>
      <c r="B1111" t="s">
        <v>33</v>
      </c>
      <c r="C1111">
        <v>1</v>
      </c>
      <c r="D1111" t="s">
        <v>30</v>
      </c>
      <c r="E1111" s="6">
        <v>46100.322916666664</v>
      </c>
      <c r="F1111" s="18">
        <f t="shared" si="51"/>
        <v>6.9444444452528842E-3</v>
      </c>
      <c r="G1111" s="19">
        <f t="shared" si="52"/>
        <v>0.16666666668606922</v>
      </c>
      <c r="H1111" s="20">
        <f t="shared" si="53"/>
        <v>10.000000001164153</v>
      </c>
    </row>
    <row r="1112" spans="1:8" x14ac:dyDescent="0.25">
      <c r="A1112">
        <v>1111</v>
      </c>
      <c r="B1112" t="s">
        <v>29</v>
      </c>
      <c r="C1112">
        <v>1</v>
      </c>
      <c r="D1112" t="s">
        <v>34</v>
      </c>
      <c r="E1112" s="6">
        <v>46100.40625</v>
      </c>
      <c r="F1112" s="18">
        <f t="shared" si="51"/>
        <v>8.3333333335758653E-2</v>
      </c>
      <c r="G1112" s="19">
        <f t="shared" si="52"/>
        <v>2.0000000000582077</v>
      </c>
      <c r="H1112" s="20">
        <f t="shared" si="53"/>
        <v>120.00000000349246</v>
      </c>
    </row>
    <row r="1113" spans="1:8" x14ac:dyDescent="0.25">
      <c r="A1113">
        <v>1105</v>
      </c>
      <c r="B1113" t="s">
        <v>31</v>
      </c>
      <c r="C1113">
        <v>1</v>
      </c>
      <c r="D1113" t="s">
        <v>36</v>
      </c>
      <c r="E1113" s="6">
        <v>46100.427083333336</v>
      </c>
      <c r="F1113" s="18">
        <f t="shared" si="51"/>
        <v>2.0833333335758653E-2</v>
      </c>
      <c r="G1113" s="19">
        <f t="shared" si="52"/>
        <v>0.50000000005820766</v>
      </c>
      <c r="H1113" s="20">
        <f t="shared" si="53"/>
        <v>30.00000000349246</v>
      </c>
    </row>
    <row r="1114" spans="1:8" x14ac:dyDescent="0.25">
      <c r="A1114">
        <v>1117</v>
      </c>
      <c r="B1114" t="s">
        <v>33</v>
      </c>
      <c r="C1114">
        <v>1</v>
      </c>
      <c r="D1114" t="s">
        <v>30</v>
      </c>
      <c r="E1114" s="6">
        <v>46100.442361111112</v>
      </c>
      <c r="F1114" s="18">
        <f t="shared" si="51"/>
        <v>1.5277777776645962E-2</v>
      </c>
      <c r="G1114" s="19">
        <f t="shared" si="52"/>
        <v>0.36666666663950309</v>
      </c>
      <c r="H1114" s="20">
        <f t="shared" si="53"/>
        <v>21.999999998370185</v>
      </c>
    </row>
    <row r="1115" spans="1:8" x14ac:dyDescent="0.25">
      <c r="A1115">
        <v>1118</v>
      </c>
      <c r="B1115" t="s">
        <v>31</v>
      </c>
      <c r="C1115">
        <v>1</v>
      </c>
      <c r="D1115" t="s">
        <v>30</v>
      </c>
      <c r="E1115" s="6">
        <v>46100.454861111109</v>
      </c>
      <c r="F1115" s="18">
        <f t="shared" si="51"/>
        <v>1.2499999997089617E-2</v>
      </c>
      <c r="G1115" s="19">
        <f t="shared" si="52"/>
        <v>0.29999999993015081</v>
      </c>
      <c r="H1115" s="20">
        <f t="shared" si="53"/>
        <v>17.999999995809048</v>
      </c>
    </row>
    <row r="1116" spans="1:8" x14ac:dyDescent="0.25">
      <c r="A1116">
        <v>1033</v>
      </c>
      <c r="B1116" t="s">
        <v>33</v>
      </c>
      <c r="C1116">
        <v>1</v>
      </c>
      <c r="D1116" t="s">
        <v>30</v>
      </c>
      <c r="E1116" s="6">
        <v>46100.493055555555</v>
      </c>
      <c r="F1116" s="18">
        <f t="shared" si="51"/>
        <v>3.8194444445252884E-2</v>
      </c>
      <c r="G1116" s="19">
        <f t="shared" si="52"/>
        <v>0.91666666668606922</v>
      </c>
      <c r="H1116" s="20">
        <f t="shared" si="53"/>
        <v>55.000000001164153</v>
      </c>
    </row>
    <row r="1117" spans="1:8" x14ac:dyDescent="0.25">
      <c r="A1117">
        <v>1109</v>
      </c>
      <c r="B1117" t="s">
        <v>31</v>
      </c>
      <c r="C1117">
        <v>1</v>
      </c>
      <c r="D1117" t="s">
        <v>32</v>
      </c>
      <c r="E1117" s="6">
        <v>46100.552083333336</v>
      </c>
      <c r="F1117" s="18">
        <f t="shared" si="51"/>
        <v>5.9027777781011537E-2</v>
      </c>
      <c r="G1117" s="19">
        <f t="shared" si="52"/>
        <v>1.4166666667442769</v>
      </c>
      <c r="H1117" s="20">
        <f t="shared" si="53"/>
        <v>85.000000004656613</v>
      </c>
    </row>
    <row r="1118" spans="1:8" x14ac:dyDescent="0.25">
      <c r="A1118">
        <v>1073</v>
      </c>
      <c r="B1118" t="s">
        <v>33</v>
      </c>
      <c r="C1118">
        <v>1</v>
      </c>
      <c r="D1118" t="s">
        <v>35</v>
      </c>
      <c r="E1118" s="6">
        <v>46100.569444444445</v>
      </c>
      <c r="F1118" s="18">
        <f t="shared" si="51"/>
        <v>1.7361111109494232E-2</v>
      </c>
      <c r="G1118" s="19">
        <f t="shared" si="52"/>
        <v>0.41666666662786156</v>
      </c>
      <c r="H1118" s="20">
        <f t="shared" si="53"/>
        <v>24.999999997671694</v>
      </c>
    </row>
    <row r="1119" spans="1:8" x14ac:dyDescent="0.25">
      <c r="A1119">
        <v>1125</v>
      </c>
      <c r="B1119" t="s">
        <v>31</v>
      </c>
      <c r="C1119">
        <v>1</v>
      </c>
      <c r="D1119" t="s">
        <v>34</v>
      </c>
      <c r="E1119" s="6">
        <v>46100.597222222219</v>
      </c>
      <c r="F1119" s="18">
        <f t="shared" si="51"/>
        <v>2.7777777773735579E-2</v>
      </c>
      <c r="G1119" s="19">
        <f t="shared" si="52"/>
        <v>0.6666666665696539</v>
      </c>
      <c r="H1119" s="20">
        <f t="shared" si="53"/>
        <v>39.999999994179234</v>
      </c>
    </row>
    <row r="1120" spans="1:8" x14ac:dyDescent="0.25">
      <c r="A1120">
        <v>1128</v>
      </c>
      <c r="B1120" t="s">
        <v>31</v>
      </c>
      <c r="C1120">
        <v>1</v>
      </c>
      <c r="D1120" t="s">
        <v>30</v>
      </c>
      <c r="E1120" s="6">
        <v>46100.65625</v>
      </c>
      <c r="F1120" s="18">
        <f t="shared" si="51"/>
        <v>5.9027777781011537E-2</v>
      </c>
      <c r="G1120" s="19">
        <f t="shared" si="52"/>
        <v>1.4166666667442769</v>
      </c>
      <c r="H1120" s="20">
        <f t="shared" si="53"/>
        <v>85.000000004656613</v>
      </c>
    </row>
    <row r="1121" spans="1:8" x14ac:dyDescent="0.25">
      <c r="A1121">
        <v>1123</v>
      </c>
      <c r="B1121" t="s">
        <v>33</v>
      </c>
      <c r="C1121">
        <v>1</v>
      </c>
      <c r="D1121" t="s">
        <v>30</v>
      </c>
      <c r="E1121" s="6">
        <v>46100.715277777781</v>
      </c>
      <c r="F1121" s="18">
        <f t="shared" si="51"/>
        <v>5.9027777781011537E-2</v>
      </c>
      <c r="G1121" s="19">
        <f t="shared" si="52"/>
        <v>1.4166666667442769</v>
      </c>
      <c r="H1121" s="20">
        <f t="shared" si="53"/>
        <v>85.000000004656613</v>
      </c>
    </row>
    <row r="1122" spans="1:8" hidden="1" x14ac:dyDescent="0.25">
      <c r="A1122">
        <v>1124</v>
      </c>
      <c r="B1122" t="s">
        <v>31</v>
      </c>
      <c r="C1122">
        <v>1</v>
      </c>
      <c r="D1122" t="s">
        <v>36</v>
      </c>
      <c r="E1122" s="6">
        <v>46101.288194444445</v>
      </c>
      <c r="F1122" s="18">
        <f t="shared" si="51"/>
        <v>0.57291666666424135</v>
      </c>
      <c r="G1122" s="19">
        <f t="shared" si="52"/>
        <v>13.749999999941792</v>
      </c>
      <c r="H1122" s="20">
        <f t="shared" si="53"/>
        <v>824.99999999650754</v>
      </c>
    </row>
    <row r="1123" spans="1:8" x14ac:dyDescent="0.25">
      <c r="A1123">
        <v>1120</v>
      </c>
      <c r="B1123" t="s">
        <v>33</v>
      </c>
      <c r="C1123">
        <v>1</v>
      </c>
      <c r="D1123" t="s">
        <v>30</v>
      </c>
      <c r="E1123" s="6">
        <v>46101.291666666664</v>
      </c>
      <c r="F1123" s="18">
        <f t="shared" si="51"/>
        <v>3.4722222189884633E-3</v>
      </c>
      <c r="G1123" s="19">
        <f t="shared" si="52"/>
        <v>8.3333333255723119E-2</v>
      </c>
      <c r="H1123" s="20">
        <f t="shared" si="53"/>
        <v>4.9999999953433871</v>
      </c>
    </row>
    <row r="1124" spans="1:8" x14ac:dyDescent="0.25">
      <c r="A1124">
        <v>1122</v>
      </c>
      <c r="B1124" t="s">
        <v>31</v>
      </c>
      <c r="C1124">
        <v>1</v>
      </c>
      <c r="D1124" t="s">
        <v>35</v>
      </c>
      <c r="E1124" s="6">
        <v>46101.322916666664</v>
      </c>
      <c r="F1124" s="18">
        <f t="shared" si="51"/>
        <v>3.125E-2</v>
      </c>
      <c r="G1124" s="19">
        <f t="shared" si="52"/>
        <v>0.75</v>
      </c>
      <c r="H1124" s="20">
        <f t="shared" si="53"/>
        <v>45</v>
      </c>
    </row>
    <row r="1125" spans="1:8" x14ac:dyDescent="0.25">
      <c r="A1125">
        <v>1119</v>
      </c>
      <c r="B1125" t="s">
        <v>31</v>
      </c>
      <c r="C1125">
        <v>1</v>
      </c>
      <c r="D1125" t="s">
        <v>34</v>
      </c>
      <c r="E1125" s="6">
        <v>46101.329861111109</v>
      </c>
      <c r="F1125" s="18">
        <f t="shared" si="51"/>
        <v>6.9444444452528842E-3</v>
      </c>
      <c r="G1125" s="19">
        <f t="shared" si="52"/>
        <v>0.16666666668606922</v>
      </c>
      <c r="H1125" s="20">
        <f t="shared" si="53"/>
        <v>10.000000001164153</v>
      </c>
    </row>
    <row r="1126" spans="1:8" x14ac:dyDescent="0.25">
      <c r="A1126">
        <v>1107</v>
      </c>
      <c r="B1126" t="s">
        <v>29</v>
      </c>
      <c r="C1126">
        <v>1</v>
      </c>
      <c r="D1126" t="s">
        <v>30</v>
      </c>
      <c r="E1126" s="6">
        <v>46101.333333333336</v>
      </c>
      <c r="F1126" s="18">
        <f t="shared" si="51"/>
        <v>3.4722222262644209E-3</v>
      </c>
      <c r="G1126" s="19">
        <f t="shared" si="52"/>
        <v>8.3333333430346102E-2</v>
      </c>
      <c r="H1126" s="20">
        <f t="shared" si="53"/>
        <v>5.0000000058207661</v>
      </c>
    </row>
    <row r="1127" spans="1:8" x14ac:dyDescent="0.25">
      <c r="A1127">
        <v>1132</v>
      </c>
      <c r="B1127" t="s">
        <v>31</v>
      </c>
      <c r="C1127">
        <v>1</v>
      </c>
      <c r="D1127" t="s">
        <v>35</v>
      </c>
      <c r="E1127" s="6">
        <v>46101.4375</v>
      </c>
      <c r="F1127" s="18">
        <f t="shared" si="51"/>
        <v>0.10416666666424135</v>
      </c>
      <c r="G1127" s="19">
        <f t="shared" si="52"/>
        <v>2.4999999999417923</v>
      </c>
      <c r="H1127" s="20">
        <f t="shared" si="53"/>
        <v>149.99999999650754</v>
      </c>
    </row>
    <row r="1128" spans="1:8" x14ac:dyDescent="0.25">
      <c r="A1128">
        <v>1126</v>
      </c>
      <c r="B1128" t="s">
        <v>33</v>
      </c>
      <c r="C1128">
        <v>1</v>
      </c>
      <c r="D1128" t="s">
        <v>34</v>
      </c>
      <c r="E1128" s="6">
        <v>46101.493055555555</v>
      </c>
      <c r="F1128" s="18">
        <f t="shared" si="51"/>
        <v>5.5555555554747116E-2</v>
      </c>
      <c r="G1128" s="19">
        <f t="shared" si="52"/>
        <v>1.3333333333139308</v>
      </c>
      <c r="H1128" s="20">
        <f t="shared" si="53"/>
        <v>79.999999998835847</v>
      </c>
    </row>
    <row r="1129" spans="1:8" x14ac:dyDescent="0.25">
      <c r="A1129">
        <v>1133</v>
      </c>
      <c r="B1129" t="s">
        <v>33</v>
      </c>
      <c r="C1129">
        <v>1</v>
      </c>
      <c r="D1129" t="s">
        <v>36</v>
      </c>
      <c r="E1129" s="6">
        <v>46101.538194444445</v>
      </c>
      <c r="F1129" s="18">
        <f t="shared" si="51"/>
        <v>4.5138888890505768E-2</v>
      </c>
      <c r="G1129" s="19">
        <f t="shared" si="52"/>
        <v>1.0833333333721384</v>
      </c>
      <c r="H1129" s="20">
        <f t="shared" si="53"/>
        <v>65.000000002328306</v>
      </c>
    </row>
    <row r="1130" spans="1:8" x14ac:dyDescent="0.25">
      <c r="A1130">
        <v>1131</v>
      </c>
      <c r="B1130" t="s">
        <v>31</v>
      </c>
      <c r="C1130">
        <v>1</v>
      </c>
      <c r="D1130" t="s">
        <v>32</v>
      </c>
      <c r="E1130" s="6">
        <v>46101.5625</v>
      </c>
      <c r="F1130" s="18">
        <f t="shared" si="51"/>
        <v>2.4305555554747116E-2</v>
      </c>
      <c r="G1130" s="19">
        <f t="shared" si="52"/>
        <v>0.58333333331393078</v>
      </c>
      <c r="H1130" s="20">
        <f t="shared" si="53"/>
        <v>34.999999998835847</v>
      </c>
    </row>
    <row r="1131" spans="1:8" x14ac:dyDescent="0.25">
      <c r="A1131">
        <v>1129</v>
      </c>
      <c r="B1131" t="s">
        <v>33</v>
      </c>
      <c r="C1131">
        <v>1</v>
      </c>
      <c r="D1131" t="s">
        <v>34</v>
      </c>
      <c r="E1131" s="6">
        <v>46101.649305555555</v>
      </c>
      <c r="F1131" s="18">
        <f t="shared" si="51"/>
        <v>8.6805555554747116E-2</v>
      </c>
      <c r="G1131" s="19">
        <f t="shared" si="52"/>
        <v>2.0833333333139308</v>
      </c>
      <c r="H1131" s="20">
        <f t="shared" si="53"/>
        <v>124.99999999883585</v>
      </c>
    </row>
    <row r="1132" spans="1:8" x14ac:dyDescent="0.25">
      <c r="A1132">
        <v>1127</v>
      </c>
      <c r="B1132" t="s">
        <v>31</v>
      </c>
      <c r="C1132">
        <v>1</v>
      </c>
      <c r="D1132" t="s">
        <v>37</v>
      </c>
      <c r="E1132" s="6">
        <v>46101.694444444445</v>
      </c>
      <c r="F1132" s="18">
        <f t="shared" si="51"/>
        <v>4.5138888890505768E-2</v>
      </c>
      <c r="G1132" s="19">
        <f t="shared" si="52"/>
        <v>1.0833333333721384</v>
      </c>
      <c r="H1132" s="20">
        <f t="shared" si="53"/>
        <v>65.000000002328306</v>
      </c>
    </row>
    <row r="1133" spans="1:8" x14ac:dyDescent="0.25">
      <c r="A1133">
        <v>1121</v>
      </c>
      <c r="B1133" t="s">
        <v>31</v>
      </c>
      <c r="C1133">
        <v>1</v>
      </c>
      <c r="D1133" t="s">
        <v>36</v>
      </c>
      <c r="E1133" s="6">
        <v>46101.739583333336</v>
      </c>
      <c r="F1133" s="18">
        <f t="shared" si="51"/>
        <v>4.5138888890505768E-2</v>
      </c>
      <c r="G1133" s="19">
        <f t="shared" si="52"/>
        <v>1.0833333333721384</v>
      </c>
      <c r="H1133" s="20">
        <f t="shared" si="53"/>
        <v>65.000000002328306</v>
      </c>
    </row>
    <row r="1134" spans="1:8" x14ac:dyDescent="0.25">
      <c r="A1134">
        <v>1140</v>
      </c>
      <c r="B1134" t="s">
        <v>33</v>
      </c>
      <c r="C1134">
        <v>1</v>
      </c>
      <c r="D1134" t="s">
        <v>34</v>
      </c>
      <c r="E1134" s="6">
        <v>46101.895833333336</v>
      </c>
      <c r="F1134" s="18">
        <f t="shared" si="51"/>
        <v>0.15625</v>
      </c>
      <c r="G1134" s="19">
        <f t="shared" si="52"/>
        <v>3.75</v>
      </c>
      <c r="H1134" s="20">
        <f t="shared" si="53"/>
        <v>225</v>
      </c>
    </row>
    <row r="1135" spans="1:8" hidden="1" x14ac:dyDescent="0.25">
      <c r="A1135">
        <v>1141</v>
      </c>
      <c r="B1135" t="s">
        <v>33</v>
      </c>
      <c r="C1135">
        <v>1</v>
      </c>
      <c r="D1135" t="s">
        <v>35</v>
      </c>
      <c r="E1135" s="6">
        <v>46102.34375</v>
      </c>
      <c r="F1135" s="18">
        <f t="shared" si="51"/>
        <v>0.44791666666424135</v>
      </c>
      <c r="G1135" s="19">
        <f t="shared" si="52"/>
        <v>10.749999999941792</v>
      </c>
      <c r="H1135" s="20">
        <f t="shared" si="53"/>
        <v>644.99999999650754</v>
      </c>
    </row>
    <row r="1136" spans="1:8" x14ac:dyDescent="0.25">
      <c r="A1136">
        <v>1137</v>
      </c>
      <c r="B1136" t="s">
        <v>29</v>
      </c>
      <c r="C1136">
        <v>1</v>
      </c>
      <c r="D1136" t="s">
        <v>30</v>
      </c>
      <c r="E1136" s="6">
        <v>46102.347222222219</v>
      </c>
      <c r="F1136" s="18">
        <f t="shared" si="51"/>
        <v>3.4722222189884633E-3</v>
      </c>
      <c r="G1136" s="19">
        <f t="shared" si="52"/>
        <v>8.3333333255723119E-2</v>
      </c>
      <c r="H1136" s="20">
        <f t="shared" si="53"/>
        <v>4.9999999953433871</v>
      </c>
    </row>
    <row r="1137" spans="1:8" x14ac:dyDescent="0.25">
      <c r="A1137">
        <v>1138</v>
      </c>
      <c r="B1137" t="s">
        <v>31</v>
      </c>
      <c r="C1137">
        <v>1</v>
      </c>
      <c r="D1137" t="s">
        <v>34</v>
      </c>
      <c r="E1137" s="6">
        <v>46102.454861111109</v>
      </c>
      <c r="F1137" s="18">
        <f t="shared" si="51"/>
        <v>0.10763888889050577</v>
      </c>
      <c r="G1137" s="19">
        <f t="shared" si="52"/>
        <v>2.5833333333721384</v>
      </c>
      <c r="H1137" s="20">
        <f t="shared" si="53"/>
        <v>155.00000000232831</v>
      </c>
    </row>
    <row r="1138" spans="1:8" x14ac:dyDescent="0.25">
      <c r="A1138">
        <v>1144</v>
      </c>
      <c r="B1138" t="s">
        <v>33</v>
      </c>
      <c r="C1138">
        <v>1</v>
      </c>
      <c r="D1138" t="s">
        <v>30</v>
      </c>
      <c r="E1138" s="6">
        <v>46102.474305555559</v>
      </c>
      <c r="F1138" s="18">
        <f t="shared" si="51"/>
        <v>1.9444444449618459E-2</v>
      </c>
      <c r="G1138" s="19">
        <f t="shared" si="52"/>
        <v>0.46666666679084301</v>
      </c>
      <c r="H1138" s="20">
        <f t="shared" si="53"/>
        <v>28.000000007450581</v>
      </c>
    </row>
    <row r="1139" spans="1:8" x14ac:dyDescent="0.25">
      <c r="A1139">
        <v>1130</v>
      </c>
      <c r="B1139" t="s">
        <v>33</v>
      </c>
      <c r="C1139">
        <v>1</v>
      </c>
      <c r="D1139" t="s">
        <v>30</v>
      </c>
      <c r="E1139" s="6">
        <v>46102.512499999997</v>
      </c>
      <c r="F1139" s="18">
        <f t="shared" si="51"/>
        <v>3.8194444437976927E-2</v>
      </c>
      <c r="G1139" s="19">
        <f t="shared" si="52"/>
        <v>0.91666666651144624</v>
      </c>
      <c r="H1139" s="20">
        <f t="shared" si="53"/>
        <v>54.999999990686774</v>
      </c>
    </row>
    <row r="1140" spans="1:8" x14ac:dyDescent="0.25">
      <c r="A1140">
        <v>1142</v>
      </c>
      <c r="B1140" t="s">
        <v>31</v>
      </c>
      <c r="C1140">
        <v>1</v>
      </c>
      <c r="D1140" t="s">
        <v>34</v>
      </c>
      <c r="E1140" s="6">
        <v>46102.607638888891</v>
      </c>
      <c r="F1140" s="18">
        <f t="shared" si="51"/>
        <v>9.5138888893416151E-2</v>
      </c>
      <c r="G1140" s="19">
        <f t="shared" si="52"/>
        <v>2.2833333334419876</v>
      </c>
      <c r="H1140" s="20">
        <f t="shared" si="53"/>
        <v>137.00000000651926</v>
      </c>
    </row>
    <row r="1141" spans="1:8" x14ac:dyDescent="0.25">
      <c r="A1141">
        <v>1145</v>
      </c>
      <c r="B1141" t="s">
        <v>33</v>
      </c>
      <c r="C1141">
        <v>1</v>
      </c>
      <c r="D1141" t="s">
        <v>30</v>
      </c>
      <c r="E1141" s="6">
        <v>46102.621527777781</v>
      </c>
      <c r="F1141" s="18">
        <f t="shared" si="51"/>
        <v>1.3888888890505768E-2</v>
      </c>
      <c r="G1141" s="19">
        <f t="shared" si="52"/>
        <v>0.33333333337213844</v>
      </c>
      <c r="H1141" s="20">
        <f t="shared" si="53"/>
        <v>20.000000002328306</v>
      </c>
    </row>
    <row r="1142" spans="1:8" x14ac:dyDescent="0.25">
      <c r="A1142">
        <v>1143</v>
      </c>
      <c r="B1142" t="s">
        <v>31</v>
      </c>
      <c r="C1142">
        <v>1</v>
      </c>
      <c r="D1142" t="s">
        <v>30</v>
      </c>
      <c r="E1142" s="6">
        <v>46102.704861111109</v>
      </c>
      <c r="F1142" s="18">
        <f t="shared" si="51"/>
        <v>8.3333333328482695E-2</v>
      </c>
      <c r="G1142" s="19">
        <f t="shared" si="52"/>
        <v>1.9999999998835847</v>
      </c>
      <c r="H1142" s="20">
        <f t="shared" si="53"/>
        <v>119.99999999301508</v>
      </c>
    </row>
    <row r="1143" spans="1:8" x14ac:dyDescent="0.25">
      <c r="A1143">
        <v>1148</v>
      </c>
      <c r="B1143" t="s">
        <v>33</v>
      </c>
      <c r="C1143">
        <v>1</v>
      </c>
      <c r="D1143" t="s">
        <v>34</v>
      </c>
      <c r="E1143" s="6">
        <v>46102.716666666667</v>
      </c>
      <c r="F1143" s="18">
        <f t="shared" si="51"/>
        <v>1.1805555557657499E-2</v>
      </c>
      <c r="G1143" s="19">
        <f t="shared" si="52"/>
        <v>0.28333333338377997</v>
      </c>
      <c r="H1143" s="20">
        <f t="shared" si="53"/>
        <v>17.000000003026798</v>
      </c>
    </row>
    <row r="1144" spans="1:8" x14ac:dyDescent="0.25">
      <c r="A1144">
        <v>1149</v>
      </c>
      <c r="B1144" t="s">
        <v>33</v>
      </c>
      <c r="C1144">
        <v>1</v>
      </c>
      <c r="D1144" t="s">
        <v>30</v>
      </c>
      <c r="E1144" s="6">
        <v>46102.868055555555</v>
      </c>
      <c r="F1144" s="18">
        <f t="shared" si="51"/>
        <v>0.15138888888759539</v>
      </c>
      <c r="G1144" s="19">
        <f t="shared" si="52"/>
        <v>3.6333333333022892</v>
      </c>
      <c r="H1144" s="20">
        <f t="shared" si="53"/>
        <v>217.99999999813735</v>
      </c>
    </row>
    <row r="1145" spans="1:8" x14ac:dyDescent="0.25">
      <c r="A1145">
        <v>1150</v>
      </c>
      <c r="B1145" t="s">
        <v>29</v>
      </c>
      <c r="C1145">
        <v>1</v>
      </c>
      <c r="D1145" t="s">
        <v>30</v>
      </c>
      <c r="E1145" s="6">
        <v>46102.986111111109</v>
      </c>
      <c r="F1145" s="18">
        <f t="shared" si="51"/>
        <v>0.11805555555474712</v>
      </c>
      <c r="G1145" s="19">
        <f t="shared" si="52"/>
        <v>2.8333333333139308</v>
      </c>
      <c r="H1145" s="20">
        <f t="shared" si="53"/>
        <v>169.99999999883585</v>
      </c>
    </row>
    <row r="1146" spans="1:8" x14ac:dyDescent="0.25">
      <c r="A1146">
        <v>1151</v>
      </c>
      <c r="B1146" t="s">
        <v>29</v>
      </c>
      <c r="C1146">
        <v>1</v>
      </c>
      <c r="D1146" t="s">
        <v>30</v>
      </c>
      <c r="E1146" s="6">
        <v>46103.020833333336</v>
      </c>
      <c r="F1146" s="18">
        <f t="shared" si="51"/>
        <v>3.4722222226264421E-2</v>
      </c>
      <c r="G1146" s="19">
        <f t="shared" si="52"/>
        <v>0.8333333334303461</v>
      </c>
      <c r="H1146" s="20">
        <f t="shared" si="53"/>
        <v>50.000000005820766</v>
      </c>
    </row>
    <row r="1147" spans="1:8" x14ac:dyDescent="0.25">
      <c r="A1147">
        <v>1152</v>
      </c>
      <c r="B1147" t="s">
        <v>33</v>
      </c>
      <c r="C1147">
        <v>1</v>
      </c>
      <c r="D1147" t="s">
        <v>30</v>
      </c>
      <c r="E1147" s="6">
        <v>46103.055555555555</v>
      </c>
      <c r="F1147" s="18">
        <f t="shared" si="51"/>
        <v>3.4722222218988463E-2</v>
      </c>
      <c r="G1147" s="19">
        <f t="shared" si="52"/>
        <v>0.83333333325572312</v>
      </c>
      <c r="H1147" s="20">
        <f t="shared" si="53"/>
        <v>49.999999995343387</v>
      </c>
    </row>
    <row r="1148" spans="1:8" hidden="1" x14ac:dyDescent="0.25">
      <c r="A1148">
        <v>1154</v>
      </c>
      <c r="B1148" t="s">
        <v>29</v>
      </c>
      <c r="C1148">
        <v>1</v>
      </c>
      <c r="D1148" t="s">
        <v>35</v>
      </c>
      <c r="E1148" s="6">
        <v>46103.399305555555</v>
      </c>
      <c r="F1148" s="18">
        <f t="shared" si="51"/>
        <v>0.34375</v>
      </c>
      <c r="G1148" s="19">
        <f t="shared" si="52"/>
        <v>8.25</v>
      </c>
      <c r="H1148" s="20">
        <f t="shared" si="53"/>
        <v>495</v>
      </c>
    </row>
    <row r="1149" spans="1:8" x14ac:dyDescent="0.25">
      <c r="A1149">
        <v>1153</v>
      </c>
      <c r="B1149" t="s">
        <v>31</v>
      </c>
      <c r="C1149">
        <v>1</v>
      </c>
      <c r="D1149" t="s">
        <v>30</v>
      </c>
      <c r="E1149" s="6">
        <v>46103.416666666664</v>
      </c>
      <c r="F1149" s="18">
        <f t="shared" si="51"/>
        <v>1.7361111109494232E-2</v>
      </c>
      <c r="G1149" s="19">
        <f t="shared" si="52"/>
        <v>0.41666666662786156</v>
      </c>
      <c r="H1149" s="20">
        <f t="shared" si="53"/>
        <v>24.999999997671694</v>
      </c>
    </row>
    <row r="1150" spans="1:8" x14ac:dyDescent="0.25">
      <c r="A1150">
        <v>1147</v>
      </c>
      <c r="B1150" t="s">
        <v>31</v>
      </c>
      <c r="C1150">
        <v>1</v>
      </c>
      <c r="D1150" t="s">
        <v>35</v>
      </c>
      <c r="E1150" s="6">
        <v>46103.434027777781</v>
      </c>
      <c r="F1150" s="18">
        <f t="shared" si="51"/>
        <v>1.7361111116770189E-2</v>
      </c>
      <c r="G1150" s="19">
        <f t="shared" si="52"/>
        <v>0.41666666680248454</v>
      </c>
      <c r="H1150" s="20">
        <f t="shared" si="53"/>
        <v>25.000000008149073</v>
      </c>
    </row>
    <row r="1151" spans="1:8" x14ac:dyDescent="0.25">
      <c r="A1151">
        <v>1155</v>
      </c>
      <c r="B1151" t="s">
        <v>33</v>
      </c>
      <c r="C1151">
        <v>1</v>
      </c>
      <c r="D1151" t="s">
        <v>30</v>
      </c>
      <c r="E1151" s="6">
        <v>46103.454861111109</v>
      </c>
      <c r="F1151" s="18">
        <f t="shared" si="51"/>
        <v>2.0833333328482695E-2</v>
      </c>
      <c r="G1151" s="19">
        <f t="shared" si="52"/>
        <v>0.49999999988358468</v>
      </c>
      <c r="H1151" s="20">
        <f t="shared" si="53"/>
        <v>29.999999993015081</v>
      </c>
    </row>
    <row r="1152" spans="1:8" x14ac:dyDescent="0.25">
      <c r="A1152">
        <v>1156</v>
      </c>
      <c r="B1152" t="s">
        <v>31</v>
      </c>
      <c r="C1152">
        <v>1</v>
      </c>
      <c r="D1152" t="s">
        <v>35</v>
      </c>
      <c r="E1152" s="6">
        <v>46103.583333333336</v>
      </c>
      <c r="F1152" s="18">
        <f t="shared" si="51"/>
        <v>0.12847222222626442</v>
      </c>
      <c r="G1152" s="19">
        <f t="shared" si="52"/>
        <v>3.0833333334303461</v>
      </c>
      <c r="H1152" s="20">
        <f t="shared" si="53"/>
        <v>185.00000000582077</v>
      </c>
    </row>
    <row r="1153" spans="1:8" x14ac:dyDescent="0.25">
      <c r="A1153">
        <v>1146</v>
      </c>
      <c r="B1153" t="s">
        <v>33</v>
      </c>
      <c r="C1153">
        <v>1</v>
      </c>
      <c r="D1153" t="s">
        <v>30</v>
      </c>
      <c r="E1153" s="6">
        <v>46103.652777777781</v>
      </c>
      <c r="F1153" s="18">
        <f t="shared" si="51"/>
        <v>6.9444444445252884E-2</v>
      </c>
      <c r="G1153" s="19">
        <f t="shared" si="52"/>
        <v>1.6666666666860692</v>
      </c>
      <c r="H1153" s="20">
        <f t="shared" si="53"/>
        <v>100.00000000116415</v>
      </c>
    </row>
    <row r="1154" spans="1:8" x14ac:dyDescent="0.25">
      <c r="A1154">
        <v>1157</v>
      </c>
      <c r="B1154" t="s">
        <v>33</v>
      </c>
      <c r="C1154">
        <v>1</v>
      </c>
      <c r="D1154" t="s">
        <v>30</v>
      </c>
      <c r="E1154" s="6">
        <v>46103.663194444445</v>
      </c>
      <c r="F1154" s="18">
        <f t="shared" si="51"/>
        <v>1.0416666664241347E-2</v>
      </c>
      <c r="G1154" s="19">
        <f t="shared" si="52"/>
        <v>0.24999999994179234</v>
      </c>
      <c r="H1154" s="20">
        <f t="shared" si="53"/>
        <v>14.99999999650754</v>
      </c>
    </row>
    <row r="1155" spans="1:8" x14ac:dyDescent="0.25">
      <c r="A1155">
        <v>1161</v>
      </c>
      <c r="B1155" t="s">
        <v>29</v>
      </c>
      <c r="C1155">
        <v>1</v>
      </c>
      <c r="D1155" t="s">
        <v>35</v>
      </c>
      <c r="E1155" s="6">
        <v>46103.736111111109</v>
      </c>
      <c r="F1155" s="18">
        <f t="shared" si="51"/>
        <v>7.2916666664241347E-2</v>
      </c>
      <c r="G1155" s="19">
        <f t="shared" si="52"/>
        <v>1.7499999999417923</v>
      </c>
      <c r="H1155" s="20">
        <f t="shared" si="53"/>
        <v>104.99999999650754</v>
      </c>
    </row>
    <row r="1156" spans="1:8" x14ac:dyDescent="0.25">
      <c r="A1156">
        <v>1162</v>
      </c>
      <c r="B1156" t="s">
        <v>31</v>
      </c>
      <c r="C1156">
        <v>1</v>
      </c>
      <c r="D1156" t="s">
        <v>30</v>
      </c>
      <c r="E1156" s="6">
        <v>46103.818055555559</v>
      </c>
      <c r="F1156" s="18">
        <f t="shared" si="51"/>
        <v>8.1944444449618459E-2</v>
      </c>
      <c r="G1156" s="19">
        <f t="shared" si="52"/>
        <v>1.966666666790843</v>
      </c>
      <c r="H1156" s="20">
        <f t="shared" si="53"/>
        <v>118.00000000745058</v>
      </c>
    </row>
    <row r="1157" spans="1:8" x14ac:dyDescent="0.25">
      <c r="A1157">
        <v>1163</v>
      </c>
      <c r="B1157" t="s">
        <v>29</v>
      </c>
      <c r="C1157">
        <v>1</v>
      </c>
      <c r="D1157" t="s">
        <v>35</v>
      </c>
      <c r="E1157" s="6">
        <v>46103.975694444445</v>
      </c>
      <c r="F1157" s="18">
        <f t="shared" ref="F1157:F1220" si="54">E1157-E1156</f>
        <v>0.15763888888614019</v>
      </c>
      <c r="G1157" s="19">
        <f t="shared" ref="G1157:G1220" si="55">F1157*24</f>
        <v>3.7833333332673647</v>
      </c>
      <c r="H1157" s="20">
        <f t="shared" ref="H1157:H1220" si="56">G1157*60</f>
        <v>226.99999999604188</v>
      </c>
    </row>
    <row r="1158" spans="1:8" x14ac:dyDescent="0.25">
      <c r="A1158">
        <v>1164</v>
      </c>
      <c r="B1158" t="s">
        <v>29</v>
      </c>
      <c r="C1158">
        <v>1</v>
      </c>
      <c r="D1158" t="s">
        <v>30</v>
      </c>
      <c r="E1158" s="6">
        <v>46104.032638888886</v>
      </c>
      <c r="F1158" s="18">
        <f t="shared" si="54"/>
        <v>5.694444444088731E-2</v>
      </c>
      <c r="G1158" s="19">
        <f t="shared" si="55"/>
        <v>1.3666666665812954</v>
      </c>
      <c r="H1158" s="20">
        <f t="shared" si="56"/>
        <v>81.999999994877726</v>
      </c>
    </row>
    <row r="1159" spans="1:8" hidden="1" x14ac:dyDescent="0.25">
      <c r="A1159">
        <v>1159</v>
      </c>
      <c r="B1159" t="s">
        <v>31</v>
      </c>
      <c r="C1159">
        <v>1</v>
      </c>
      <c r="D1159" t="s">
        <v>30</v>
      </c>
      <c r="E1159" s="6">
        <v>46104.288194444445</v>
      </c>
      <c r="F1159" s="18">
        <f t="shared" si="54"/>
        <v>0.25555555555911269</v>
      </c>
      <c r="G1159" s="19">
        <f t="shared" si="55"/>
        <v>6.1333333334187046</v>
      </c>
      <c r="H1159" s="20">
        <f t="shared" si="56"/>
        <v>368.00000000512227</v>
      </c>
    </row>
    <row r="1160" spans="1:8" x14ac:dyDescent="0.25">
      <c r="A1160">
        <v>1134</v>
      </c>
      <c r="B1160" t="s">
        <v>29</v>
      </c>
      <c r="C1160">
        <v>1</v>
      </c>
      <c r="D1160" t="s">
        <v>35</v>
      </c>
      <c r="E1160" s="6">
        <v>46104.291666666664</v>
      </c>
      <c r="F1160" s="18">
        <f t="shared" si="54"/>
        <v>3.4722222189884633E-3</v>
      </c>
      <c r="G1160" s="19">
        <f t="shared" si="55"/>
        <v>8.3333333255723119E-2</v>
      </c>
      <c r="H1160" s="20">
        <f t="shared" si="56"/>
        <v>4.9999999953433871</v>
      </c>
    </row>
    <row r="1161" spans="1:8" x14ac:dyDescent="0.25">
      <c r="A1161">
        <v>1158</v>
      </c>
      <c r="B1161" t="s">
        <v>33</v>
      </c>
      <c r="C1161">
        <v>1</v>
      </c>
      <c r="D1161" t="s">
        <v>35</v>
      </c>
      <c r="E1161" s="6">
        <v>46104.329861111109</v>
      </c>
      <c r="F1161" s="18">
        <f t="shared" si="54"/>
        <v>3.8194444445252884E-2</v>
      </c>
      <c r="G1161" s="19">
        <f t="shared" si="55"/>
        <v>0.91666666668606922</v>
      </c>
      <c r="H1161" s="20">
        <f t="shared" si="56"/>
        <v>55.000000001164153</v>
      </c>
    </row>
    <row r="1162" spans="1:8" x14ac:dyDescent="0.25">
      <c r="A1162">
        <v>1166</v>
      </c>
      <c r="B1162" t="s">
        <v>29</v>
      </c>
      <c r="C1162">
        <v>1</v>
      </c>
      <c r="D1162" t="s">
        <v>36</v>
      </c>
      <c r="E1162" s="6">
        <v>46104.416666666664</v>
      </c>
      <c r="F1162" s="18">
        <f t="shared" si="54"/>
        <v>8.6805555554747116E-2</v>
      </c>
      <c r="G1162" s="19">
        <f t="shared" si="55"/>
        <v>2.0833333333139308</v>
      </c>
      <c r="H1162" s="20">
        <f t="shared" si="56"/>
        <v>124.99999999883585</v>
      </c>
    </row>
    <row r="1163" spans="1:8" x14ac:dyDescent="0.25">
      <c r="A1163">
        <v>1160</v>
      </c>
      <c r="B1163" t="s">
        <v>31</v>
      </c>
      <c r="C1163">
        <v>1</v>
      </c>
      <c r="D1163" t="s">
        <v>32</v>
      </c>
      <c r="E1163" s="6">
        <v>46104.423611111109</v>
      </c>
      <c r="F1163" s="18">
        <f t="shared" si="54"/>
        <v>6.9444444452528842E-3</v>
      </c>
      <c r="G1163" s="19">
        <f t="shared" si="55"/>
        <v>0.16666666668606922</v>
      </c>
      <c r="H1163" s="20">
        <f t="shared" si="56"/>
        <v>10.000000001164153</v>
      </c>
    </row>
    <row r="1164" spans="1:8" x14ac:dyDescent="0.25">
      <c r="A1164">
        <v>1135</v>
      </c>
      <c r="B1164" t="s">
        <v>29</v>
      </c>
      <c r="C1164">
        <v>1</v>
      </c>
      <c r="D1164" t="s">
        <v>36</v>
      </c>
      <c r="E1164" s="6">
        <v>46104.463194444441</v>
      </c>
      <c r="F1164" s="18">
        <f t="shared" si="54"/>
        <v>3.9583333331393078E-2</v>
      </c>
      <c r="G1164" s="19">
        <f t="shared" si="55"/>
        <v>0.94999999995343387</v>
      </c>
      <c r="H1164" s="20">
        <f t="shared" si="56"/>
        <v>56.999999997206032</v>
      </c>
    </row>
    <row r="1165" spans="1:8" x14ac:dyDescent="0.25">
      <c r="A1165">
        <v>1167</v>
      </c>
      <c r="B1165" t="s">
        <v>31</v>
      </c>
      <c r="C1165">
        <v>1</v>
      </c>
      <c r="D1165" t="s">
        <v>30</v>
      </c>
      <c r="E1165" s="6">
        <v>46104.486111111109</v>
      </c>
      <c r="F1165" s="18">
        <f t="shared" si="54"/>
        <v>2.2916666668606922E-2</v>
      </c>
      <c r="G1165" s="19">
        <f t="shared" si="55"/>
        <v>0.55000000004656613</v>
      </c>
      <c r="H1165" s="20">
        <f t="shared" si="56"/>
        <v>33.000000002793968</v>
      </c>
    </row>
    <row r="1166" spans="1:8" x14ac:dyDescent="0.25">
      <c r="A1166">
        <v>1165</v>
      </c>
      <c r="B1166" t="s">
        <v>33</v>
      </c>
      <c r="C1166">
        <v>1</v>
      </c>
      <c r="D1166" t="s">
        <v>36</v>
      </c>
      <c r="E1166" s="6">
        <v>46104.565972222219</v>
      </c>
      <c r="F1166" s="18">
        <f t="shared" si="54"/>
        <v>7.9861111109494232E-2</v>
      </c>
      <c r="G1166" s="19">
        <f t="shared" si="55"/>
        <v>1.9166666666278616</v>
      </c>
      <c r="H1166" s="20">
        <f t="shared" si="56"/>
        <v>114.99999999767169</v>
      </c>
    </row>
    <row r="1167" spans="1:8" x14ac:dyDescent="0.25">
      <c r="A1167">
        <v>1139</v>
      </c>
      <c r="B1167" t="s">
        <v>33</v>
      </c>
      <c r="C1167">
        <v>1</v>
      </c>
      <c r="D1167" t="s">
        <v>34</v>
      </c>
      <c r="E1167" s="6">
        <v>46104.621527777781</v>
      </c>
      <c r="F1167" s="18">
        <f t="shared" si="54"/>
        <v>5.5555555562023073E-2</v>
      </c>
      <c r="G1167" s="19">
        <f t="shared" si="55"/>
        <v>1.3333333334885538</v>
      </c>
      <c r="H1167" s="20">
        <f t="shared" si="56"/>
        <v>80.000000009313226</v>
      </c>
    </row>
    <row r="1168" spans="1:8" x14ac:dyDescent="0.25">
      <c r="A1168">
        <v>1136</v>
      </c>
      <c r="B1168" t="s">
        <v>29</v>
      </c>
      <c r="C1168">
        <v>1</v>
      </c>
      <c r="D1168" t="s">
        <v>32</v>
      </c>
      <c r="E1168" s="6">
        <v>46104.638888888891</v>
      </c>
      <c r="F1168" s="18">
        <f t="shared" si="54"/>
        <v>1.7361111109494232E-2</v>
      </c>
      <c r="G1168" s="19">
        <f t="shared" si="55"/>
        <v>0.41666666662786156</v>
      </c>
      <c r="H1168" s="20">
        <f t="shared" si="56"/>
        <v>24.999999997671694</v>
      </c>
    </row>
    <row r="1169" spans="1:8" hidden="1" x14ac:dyDescent="0.25">
      <c r="A1169">
        <v>1168</v>
      </c>
      <c r="B1169" t="s">
        <v>33</v>
      </c>
      <c r="C1169">
        <v>1</v>
      </c>
      <c r="D1169" t="s">
        <v>30</v>
      </c>
      <c r="E1169" s="6">
        <v>46104.638888888891</v>
      </c>
      <c r="F1169" s="18">
        <f t="shared" si="54"/>
        <v>0</v>
      </c>
      <c r="G1169" s="19">
        <f t="shared" si="55"/>
        <v>0</v>
      </c>
      <c r="H1169" s="19">
        <f t="shared" si="56"/>
        <v>0</v>
      </c>
    </row>
    <row r="1170" spans="1:8" x14ac:dyDescent="0.25">
      <c r="A1170">
        <v>1169</v>
      </c>
      <c r="B1170" t="s">
        <v>33</v>
      </c>
      <c r="C1170">
        <v>1</v>
      </c>
      <c r="D1170" t="s">
        <v>34</v>
      </c>
      <c r="E1170" s="6">
        <v>46104.677083333336</v>
      </c>
      <c r="F1170" s="18">
        <f t="shared" si="54"/>
        <v>3.8194444445252884E-2</v>
      </c>
      <c r="G1170" s="19">
        <f t="shared" si="55"/>
        <v>0.91666666668606922</v>
      </c>
      <c r="H1170" s="20">
        <f t="shared" si="56"/>
        <v>55.000000001164153</v>
      </c>
    </row>
    <row r="1171" spans="1:8" x14ac:dyDescent="0.25">
      <c r="A1171">
        <v>1179</v>
      </c>
      <c r="B1171" t="s">
        <v>33</v>
      </c>
      <c r="C1171">
        <v>1</v>
      </c>
      <c r="D1171" t="s">
        <v>30</v>
      </c>
      <c r="E1171" s="6">
        <v>46104.756944444445</v>
      </c>
      <c r="F1171" s="18">
        <f t="shared" si="54"/>
        <v>7.9861111109494232E-2</v>
      </c>
      <c r="G1171" s="19">
        <f t="shared" si="55"/>
        <v>1.9166666666278616</v>
      </c>
      <c r="H1171" s="20">
        <f t="shared" si="56"/>
        <v>114.99999999767169</v>
      </c>
    </row>
    <row r="1172" spans="1:8" x14ac:dyDescent="0.25">
      <c r="A1172">
        <v>1183</v>
      </c>
      <c r="B1172" t="s">
        <v>29</v>
      </c>
      <c r="C1172">
        <v>1</v>
      </c>
      <c r="D1172" t="s">
        <v>32</v>
      </c>
      <c r="E1172" s="6">
        <v>46104.763888888891</v>
      </c>
      <c r="F1172" s="18">
        <f t="shared" si="54"/>
        <v>6.9444444452528842E-3</v>
      </c>
      <c r="G1172" s="19">
        <f t="shared" si="55"/>
        <v>0.16666666668606922</v>
      </c>
      <c r="H1172" s="20">
        <f t="shared" si="56"/>
        <v>10.000000001164153</v>
      </c>
    </row>
    <row r="1173" spans="1:8" x14ac:dyDescent="0.25">
      <c r="A1173">
        <v>1170</v>
      </c>
      <c r="B1173" t="s">
        <v>29</v>
      </c>
      <c r="C1173">
        <v>1</v>
      </c>
      <c r="D1173" t="s">
        <v>30</v>
      </c>
      <c r="E1173" s="6">
        <v>46104.774305555555</v>
      </c>
      <c r="F1173" s="18">
        <f t="shared" si="54"/>
        <v>1.0416666664241347E-2</v>
      </c>
      <c r="G1173" s="19">
        <f t="shared" si="55"/>
        <v>0.24999999994179234</v>
      </c>
      <c r="H1173" s="20">
        <f t="shared" si="56"/>
        <v>14.99999999650754</v>
      </c>
    </row>
    <row r="1174" spans="1:8" x14ac:dyDescent="0.25">
      <c r="A1174">
        <v>1184</v>
      </c>
      <c r="B1174" t="s">
        <v>29</v>
      </c>
      <c r="C1174">
        <v>1</v>
      </c>
      <c r="D1174" t="s">
        <v>30</v>
      </c>
      <c r="E1174" s="6">
        <v>46104.905555555553</v>
      </c>
      <c r="F1174" s="18">
        <f t="shared" si="54"/>
        <v>0.13124999999854481</v>
      </c>
      <c r="G1174" s="19">
        <f t="shared" si="55"/>
        <v>3.1499999999650754</v>
      </c>
      <c r="H1174" s="20">
        <f t="shared" si="56"/>
        <v>188.99999999790452</v>
      </c>
    </row>
    <row r="1175" spans="1:8" hidden="1" x14ac:dyDescent="0.25">
      <c r="A1175">
        <v>1088</v>
      </c>
      <c r="B1175" t="s">
        <v>31</v>
      </c>
      <c r="C1175">
        <v>1</v>
      </c>
      <c r="D1175" t="s">
        <v>32</v>
      </c>
      <c r="E1175" s="6">
        <v>46105.291666666664</v>
      </c>
      <c r="F1175" s="18">
        <f t="shared" si="54"/>
        <v>0.38611111111094942</v>
      </c>
      <c r="G1175" s="19">
        <f t="shared" si="55"/>
        <v>9.2666666666627862</v>
      </c>
      <c r="H1175" s="20">
        <f t="shared" si="56"/>
        <v>555.99999999976717</v>
      </c>
    </row>
    <row r="1176" spans="1:8" hidden="1" x14ac:dyDescent="0.25">
      <c r="A1176">
        <v>1180</v>
      </c>
      <c r="B1176" t="s">
        <v>29</v>
      </c>
      <c r="C1176">
        <v>1</v>
      </c>
      <c r="D1176" t="s">
        <v>30</v>
      </c>
      <c r="E1176" s="6">
        <v>46105.291666666664</v>
      </c>
      <c r="F1176" s="18">
        <f t="shared" si="54"/>
        <v>0</v>
      </c>
      <c r="G1176" s="19">
        <f t="shared" si="55"/>
        <v>0</v>
      </c>
      <c r="H1176" s="19">
        <f t="shared" si="56"/>
        <v>0</v>
      </c>
    </row>
    <row r="1177" spans="1:8" hidden="1" x14ac:dyDescent="0.25">
      <c r="A1177">
        <v>1181</v>
      </c>
      <c r="B1177" t="s">
        <v>31</v>
      </c>
      <c r="C1177">
        <v>1</v>
      </c>
      <c r="D1177" t="s">
        <v>34</v>
      </c>
      <c r="E1177" s="6">
        <v>46105.291666666664</v>
      </c>
      <c r="F1177" s="18">
        <f t="shared" si="54"/>
        <v>0</v>
      </c>
      <c r="G1177" s="19">
        <f t="shared" si="55"/>
        <v>0</v>
      </c>
      <c r="H1177" s="19">
        <f t="shared" si="56"/>
        <v>0</v>
      </c>
    </row>
    <row r="1178" spans="1:8" x14ac:dyDescent="0.25">
      <c r="A1178">
        <v>1174</v>
      </c>
      <c r="B1178" t="s">
        <v>31</v>
      </c>
      <c r="C1178">
        <v>1</v>
      </c>
      <c r="D1178" t="s">
        <v>35</v>
      </c>
      <c r="E1178" s="6">
        <v>46105.305555555555</v>
      </c>
      <c r="F1178" s="18">
        <f t="shared" si="54"/>
        <v>1.3888888890505768E-2</v>
      </c>
      <c r="G1178" s="19">
        <f t="shared" si="55"/>
        <v>0.33333333337213844</v>
      </c>
      <c r="H1178" s="20">
        <f t="shared" si="56"/>
        <v>20.000000002328306</v>
      </c>
    </row>
    <row r="1179" spans="1:8" x14ac:dyDescent="0.25">
      <c r="A1179">
        <v>1175</v>
      </c>
      <c r="B1179" t="s">
        <v>33</v>
      </c>
      <c r="C1179">
        <v>1</v>
      </c>
      <c r="D1179" t="s">
        <v>30</v>
      </c>
      <c r="E1179" s="6">
        <v>46105.3125</v>
      </c>
      <c r="F1179" s="18">
        <f t="shared" si="54"/>
        <v>6.9444444452528842E-3</v>
      </c>
      <c r="G1179" s="19">
        <f t="shared" si="55"/>
        <v>0.16666666668606922</v>
      </c>
      <c r="H1179" s="20">
        <f t="shared" si="56"/>
        <v>10.000000001164153</v>
      </c>
    </row>
    <row r="1180" spans="1:8" x14ac:dyDescent="0.25">
      <c r="A1180">
        <v>1173</v>
      </c>
      <c r="B1180" t="s">
        <v>31</v>
      </c>
      <c r="C1180">
        <v>1</v>
      </c>
      <c r="D1180" t="s">
        <v>32</v>
      </c>
      <c r="E1180" s="6">
        <v>46105.378472222219</v>
      </c>
      <c r="F1180" s="18">
        <f t="shared" si="54"/>
        <v>6.5972222218988463E-2</v>
      </c>
      <c r="G1180" s="19">
        <f t="shared" si="55"/>
        <v>1.5833333332557231</v>
      </c>
      <c r="H1180" s="20">
        <f t="shared" si="56"/>
        <v>94.999999995343387</v>
      </c>
    </row>
    <row r="1181" spans="1:8" x14ac:dyDescent="0.25">
      <c r="A1181">
        <v>1178</v>
      </c>
      <c r="B1181" t="s">
        <v>31</v>
      </c>
      <c r="C1181">
        <v>1</v>
      </c>
      <c r="D1181" t="s">
        <v>35</v>
      </c>
      <c r="E1181" s="6">
        <v>46105.451388888891</v>
      </c>
      <c r="F1181" s="18">
        <f t="shared" si="54"/>
        <v>7.2916666671517305E-2</v>
      </c>
      <c r="G1181" s="19">
        <f t="shared" si="55"/>
        <v>1.7500000001164153</v>
      </c>
      <c r="H1181" s="20">
        <f t="shared" si="56"/>
        <v>105.00000000698492</v>
      </c>
    </row>
    <row r="1182" spans="1:8" x14ac:dyDescent="0.25">
      <c r="A1182">
        <v>1171</v>
      </c>
      <c r="B1182" t="s">
        <v>29</v>
      </c>
      <c r="C1182">
        <v>1</v>
      </c>
      <c r="D1182" t="s">
        <v>32</v>
      </c>
      <c r="E1182" s="6">
        <v>46105.513888888891</v>
      </c>
      <c r="F1182" s="18">
        <f t="shared" si="54"/>
        <v>6.25E-2</v>
      </c>
      <c r="G1182" s="19">
        <f t="shared" si="55"/>
        <v>1.5</v>
      </c>
      <c r="H1182" s="20">
        <f t="shared" si="56"/>
        <v>90</v>
      </c>
    </row>
    <row r="1183" spans="1:8" x14ac:dyDescent="0.25">
      <c r="A1183">
        <v>1186</v>
      </c>
      <c r="B1183" t="s">
        <v>31</v>
      </c>
      <c r="C1183">
        <v>1</v>
      </c>
      <c r="D1183" t="s">
        <v>34</v>
      </c>
      <c r="E1183" s="6">
        <v>46105.554166666669</v>
      </c>
      <c r="F1183" s="18">
        <f t="shared" si="54"/>
        <v>4.0277777778101154E-2</v>
      </c>
      <c r="G1183" s="19">
        <f t="shared" si="55"/>
        <v>0.96666666667442769</v>
      </c>
      <c r="H1183" s="20">
        <f t="shared" si="56"/>
        <v>58.000000000465661</v>
      </c>
    </row>
    <row r="1184" spans="1:8" x14ac:dyDescent="0.25">
      <c r="A1184">
        <v>1176</v>
      </c>
      <c r="B1184" t="s">
        <v>29</v>
      </c>
      <c r="C1184">
        <v>1</v>
      </c>
      <c r="D1184" t="s">
        <v>30</v>
      </c>
      <c r="E1184" s="6">
        <v>46105.575694444444</v>
      </c>
      <c r="F1184" s="18">
        <f t="shared" si="54"/>
        <v>2.1527777775190771E-2</v>
      </c>
      <c r="G1184" s="19">
        <f t="shared" si="55"/>
        <v>0.5166666666045785</v>
      </c>
      <c r="H1184" s="20">
        <f t="shared" si="56"/>
        <v>30.99999999627471</v>
      </c>
    </row>
    <row r="1185" spans="1:8" x14ac:dyDescent="0.25">
      <c r="A1185">
        <v>1182</v>
      </c>
      <c r="B1185" t="s">
        <v>31</v>
      </c>
      <c r="C1185">
        <v>1</v>
      </c>
      <c r="D1185" t="s">
        <v>34</v>
      </c>
      <c r="E1185" s="6">
        <v>46105.597222222219</v>
      </c>
      <c r="F1185" s="18">
        <f t="shared" si="54"/>
        <v>2.1527777775190771E-2</v>
      </c>
      <c r="G1185" s="19">
        <f t="shared" si="55"/>
        <v>0.5166666666045785</v>
      </c>
      <c r="H1185" s="20">
        <f t="shared" si="56"/>
        <v>30.99999999627471</v>
      </c>
    </row>
    <row r="1186" spans="1:8" x14ac:dyDescent="0.25">
      <c r="A1186">
        <v>1185</v>
      </c>
      <c r="B1186" t="s">
        <v>33</v>
      </c>
      <c r="C1186">
        <v>1</v>
      </c>
      <c r="D1186" t="s">
        <v>35</v>
      </c>
      <c r="E1186" s="6">
        <v>46105.652777777781</v>
      </c>
      <c r="F1186" s="18">
        <f t="shared" si="54"/>
        <v>5.5555555562023073E-2</v>
      </c>
      <c r="G1186" s="19">
        <f t="shared" si="55"/>
        <v>1.3333333334885538</v>
      </c>
      <c r="H1186" s="20">
        <f t="shared" si="56"/>
        <v>80.000000009313226</v>
      </c>
    </row>
    <row r="1187" spans="1:8" x14ac:dyDescent="0.25">
      <c r="A1187">
        <v>1177</v>
      </c>
      <c r="B1187" t="s">
        <v>33</v>
      </c>
      <c r="C1187">
        <v>1</v>
      </c>
      <c r="D1187" t="s">
        <v>34</v>
      </c>
      <c r="E1187" s="6">
        <v>46105.65625</v>
      </c>
      <c r="F1187" s="18">
        <f t="shared" si="54"/>
        <v>3.4722222189884633E-3</v>
      </c>
      <c r="G1187" s="19">
        <f t="shared" si="55"/>
        <v>8.3333333255723119E-2</v>
      </c>
      <c r="H1187" s="20">
        <f t="shared" si="56"/>
        <v>4.9999999953433871</v>
      </c>
    </row>
    <row r="1188" spans="1:8" x14ac:dyDescent="0.25">
      <c r="A1188">
        <v>1172</v>
      </c>
      <c r="B1188" t="s">
        <v>31</v>
      </c>
      <c r="C1188">
        <v>1</v>
      </c>
      <c r="D1188" t="s">
        <v>30</v>
      </c>
      <c r="E1188" s="6">
        <v>46105.701388888891</v>
      </c>
      <c r="F1188" s="18">
        <f t="shared" si="54"/>
        <v>4.5138888890505768E-2</v>
      </c>
      <c r="G1188" s="19">
        <f t="shared" si="55"/>
        <v>1.0833333333721384</v>
      </c>
      <c r="H1188" s="20">
        <f t="shared" si="56"/>
        <v>65.000000002328306</v>
      </c>
    </row>
    <row r="1189" spans="1:8" x14ac:dyDescent="0.25">
      <c r="A1189">
        <v>1198</v>
      </c>
      <c r="B1189" t="s">
        <v>29</v>
      </c>
      <c r="C1189">
        <v>1</v>
      </c>
      <c r="D1189" t="s">
        <v>32</v>
      </c>
      <c r="E1189" s="6">
        <v>46105.75</v>
      </c>
      <c r="F1189" s="18">
        <f t="shared" si="54"/>
        <v>4.8611111109494232E-2</v>
      </c>
      <c r="G1189" s="19">
        <f t="shared" si="55"/>
        <v>1.1666666666278616</v>
      </c>
      <c r="H1189" s="20">
        <f t="shared" si="56"/>
        <v>69.999999997671694</v>
      </c>
    </row>
    <row r="1190" spans="1:8" x14ac:dyDescent="0.25">
      <c r="A1190">
        <v>1199</v>
      </c>
      <c r="B1190" t="s">
        <v>31</v>
      </c>
      <c r="C1190">
        <v>1</v>
      </c>
      <c r="D1190" t="s">
        <v>30</v>
      </c>
      <c r="E1190" s="6">
        <v>46105.78125</v>
      </c>
      <c r="F1190" s="18">
        <f t="shared" si="54"/>
        <v>3.125E-2</v>
      </c>
      <c r="G1190" s="19">
        <f t="shared" si="55"/>
        <v>0.75</v>
      </c>
      <c r="H1190" s="20">
        <f t="shared" si="56"/>
        <v>45</v>
      </c>
    </row>
    <row r="1191" spans="1:8" hidden="1" x14ac:dyDescent="0.25">
      <c r="A1191">
        <v>1200</v>
      </c>
      <c r="B1191" t="s">
        <v>31</v>
      </c>
      <c r="C1191">
        <v>1</v>
      </c>
      <c r="D1191" t="s">
        <v>35</v>
      </c>
      <c r="E1191" s="6">
        <v>46106.166666666664</v>
      </c>
      <c r="F1191" s="18">
        <f t="shared" si="54"/>
        <v>0.38541666666424135</v>
      </c>
      <c r="G1191" s="19">
        <f t="shared" si="55"/>
        <v>9.2499999999417923</v>
      </c>
      <c r="H1191" s="20">
        <f t="shared" si="56"/>
        <v>554.99999999650754</v>
      </c>
    </row>
    <row r="1192" spans="1:8" x14ac:dyDescent="0.25">
      <c r="A1192">
        <v>1194</v>
      </c>
      <c r="B1192" t="s">
        <v>31</v>
      </c>
      <c r="C1192">
        <v>1</v>
      </c>
      <c r="D1192" t="s">
        <v>34</v>
      </c>
      <c r="E1192" s="6">
        <v>46106.290277777778</v>
      </c>
      <c r="F1192" s="18">
        <f t="shared" si="54"/>
        <v>0.12361111111385981</v>
      </c>
      <c r="G1192" s="19">
        <f t="shared" si="55"/>
        <v>2.9666666667326353</v>
      </c>
      <c r="H1192" s="20">
        <f t="shared" si="56"/>
        <v>178.00000000395812</v>
      </c>
    </row>
    <row r="1193" spans="1:8" x14ac:dyDescent="0.25">
      <c r="A1193">
        <v>1189</v>
      </c>
      <c r="B1193" t="s">
        <v>29</v>
      </c>
      <c r="C1193">
        <v>1</v>
      </c>
      <c r="D1193" t="s">
        <v>32</v>
      </c>
      <c r="E1193" s="6">
        <v>46106.291666666664</v>
      </c>
      <c r="F1193" s="18">
        <f t="shared" si="54"/>
        <v>1.3888888861401938E-3</v>
      </c>
      <c r="G1193" s="19">
        <f t="shared" si="55"/>
        <v>3.3333333267364651E-2</v>
      </c>
      <c r="H1193" s="20">
        <f t="shared" si="56"/>
        <v>1.9999999960418791</v>
      </c>
    </row>
    <row r="1194" spans="1:8" hidden="1" x14ac:dyDescent="0.25">
      <c r="A1194">
        <v>1192</v>
      </c>
      <c r="B1194" t="s">
        <v>31</v>
      </c>
      <c r="C1194">
        <v>1</v>
      </c>
      <c r="D1194" t="s">
        <v>35</v>
      </c>
      <c r="E1194" s="6">
        <v>46106.291666666664</v>
      </c>
      <c r="F1194" s="18">
        <f t="shared" si="54"/>
        <v>0</v>
      </c>
      <c r="G1194" s="19">
        <f t="shared" si="55"/>
        <v>0</v>
      </c>
      <c r="H1194" s="19">
        <f t="shared" si="56"/>
        <v>0</v>
      </c>
    </row>
    <row r="1195" spans="1:8" x14ac:dyDescent="0.25">
      <c r="A1195">
        <v>1196</v>
      </c>
      <c r="B1195" t="s">
        <v>31</v>
      </c>
      <c r="C1195">
        <v>1</v>
      </c>
      <c r="D1195" t="s">
        <v>32</v>
      </c>
      <c r="E1195" s="6">
        <v>46106.305555555555</v>
      </c>
      <c r="F1195" s="18">
        <f t="shared" si="54"/>
        <v>1.3888888890505768E-2</v>
      </c>
      <c r="G1195" s="19">
        <f t="shared" si="55"/>
        <v>0.33333333337213844</v>
      </c>
      <c r="H1195" s="20">
        <f t="shared" si="56"/>
        <v>20.000000002328306</v>
      </c>
    </row>
    <row r="1196" spans="1:8" x14ac:dyDescent="0.25">
      <c r="A1196">
        <v>1201</v>
      </c>
      <c r="B1196" t="s">
        <v>33</v>
      </c>
      <c r="C1196">
        <v>1</v>
      </c>
      <c r="D1196" t="s">
        <v>30</v>
      </c>
      <c r="E1196" s="6">
        <v>46106.326388888891</v>
      </c>
      <c r="F1196" s="18">
        <f t="shared" si="54"/>
        <v>2.0833333335758653E-2</v>
      </c>
      <c r="G1196" s="19">
        <f t="shared" si="55"/>
        <v>0.50000000005820766</v>
      </c>
      <c r="H1196" s="20">
        <f t="shared" si="56"/>
        <v>30.00000000349246</v>
      </c>
    </row>
    <row r="1197" spans="1:8" x14ac:dyDescent="0.25">
      <c r="A1197">
        <v>1204</v>
      </c>
      <c r="B1197" t="s">
        <v>33</v>
      </c>
      <c r="C1197">
        <v>1</v>
      </c>
      <c r="D1197" t="s">
        <v>30</v>
      </c>
      <c r="E1197" s="6">
        <v>46106.472222222219</v>
      </c>
      <c r="F1197" s="18">
        <f t="shared" si="54"/>
        <v>0.14583333332848269</v>
      </c>
      <c r="G1197" s="19">
        <f t="shared" si="55"/>
        <v>3.4999999998835847</v>
      </c>
      <c r="H1197" s="20">
        <f t="shared" si="56"/>
        <v>209.99999999301508</v>
      </c>
    </row>
    <row r="1198" spans="1:8" x14ac:dyDescent="0.25">
      <c r="A1198">
        <v>1195</v>
      </c>
      <c r="B1198" t="s">
        <v>33</v>
      </c>
      <c r="C1198">
        <v>1</v>
      </c>
      <c r="D1198" t="s">
        <v>37</v>
      </c>
      <c r="E1198" s="6">
        <v>46106.475694444445</v>
      </c>
      <c r="F1198" s="18">
        <f t="shared" si="54"/>
        <v>3.4722222262644209E-3</v>
      </c>
      <c r="G1198" s="19">
        <f t="shared" si="55"/>
        <v>8.3333333430346102E-2</v>
      </c>
      <c r="H1198" s="20">
        <f t="shared" si="56"/>
        <v>5.0000000058207661</v>
      </c>
    </row>
    <row r="1199" spans="1:8" x14ac:dyDescent="0.25">
      <c r="A1199">
        <v>1203</v>
      </c>
      <c r="B1199" t="s">
        <v>33</v>
      </c>
      <c r="C1199">
        <v>1</v>
      </c>
      <c r="D1199" t="s">
        <v>35</v>
      </c>
      <c r="E1199" s="6">
        <v>46106.489583333336</v>
      </c>
      <c r="F1199" s="18">
        <f t="shared" si="54"/>
        <v>1.3888888890505768E-2</v>
      </c>
      <c r="G1199" s="19">
        <f t="shared" si="55"/>
        <v>0.33333333337213844</v>
      </c>
      <c r="H1199" s="20">
        <f t="shared" si="56"/>
        <v>20.000000002328306</v>
      </c>
    </row>
    <row r="1200" spans="1:8" x14ac:dyDescent="0.25">
      <c r="A1200">
        <v>1205</v>
      </c>
      <c r="B1200" t="s">
        <v>33</v>
      </c>
      <c r="C1200">
        <v>1</v>
      </c>
      <c r="D1200" t="s">
        <v>30</v>
      </c>
      <c r="E1200" s="6">
        <v>46106.618055555555</v>
      </c>
      <c r="F1200" s="18">
        <f t="shared" si="54"/>
        <v>0.12847222221898846</v>
      </c>
      <c r="G1200" s="19">
        <f t="shared" si="55"/>
        <v>3.0833333332557231</v>
      </c>
      <c r="H1200" s="20">
        <f t="shared" si="56"/>
        <v>184.99999999534339</v>
      </c>
    </row>
    <row r="1201" spans="1:8" x14ac:dyDescent="0.25">
      <c r="A1201">
        <v>1202</v>
      </c>
      <c r="B1201" t="s">
        <v>31</v>
      </c>
      <c r="C1201">
        <v>1</v>
      </c>
      <c r="D1201" t="s">
        <v>30</v>
      </c>
      <c r="E1201" s="6">
        <v>46106.625</v>
      </c>
      <c r="F1201" s="18">
        <f t="shared" si="54"/>
        <v>6.9444444452528842E-3</v>
      </c>
      <c r="G1201" s="19">
        <f t="shared" si="55"/>
        <v>0.16666666668606922</v>
      </c>
      <c r="H1201" s="20">
        <f t="shared" si="56"/>
        <v>10.000000001164153</v>
      </c>
    </row>
    <row r="1202" spans="1:8" x14ac:dyDescent="0.25">
      <c r="A1202">
        <v>1209</v>
      </c>
      <c r="B1202" t="s">
        <v>33</v>
      </c>
      <c r="C1202">
        <v>1</v>
      </c>
      <c r="D1202" t="s">
        <v>32</v>
      </c>
      <c r="E1202" s="6">
        <v>46106.631944444445</v>
      </c>
      <c r="F1202" s="18">
        <f t="shared" si="54"/>
        <v>6.9444444452528842E-3</v>
      </c>
      <c r="G1202" s="19">
        <f t="shared" si="55"/>
        <v>0.16666666668606922</v>
      </c>
      <c r="H1202" s="20">
        <f t="shared" si="56"/>
        <v>10.000000001164153</v>
      </c>
    </row>
    <row r="1203" spans="1:8" x14ac:dyDescent="0.25">
      <c r="A1203">
        <v>1197</v>
      </c>
      <c r="B1203" t="s">
        <v>29</v>
      </c>
      <c r="C1203">
        <v>1</v>
      </c>
      <c r="D1203" t="s">
        <v>35</v>
      </c>
      <c r="E1203" s="6">
        <v>46106.736111111109</v>
      </c>
      <c r="F1203" s="18">
        <f t="shared" si="54"/>
        <v>0.10416666666424135</v>
      </c>
      <c r="G1203" s="19">
        <f t="shared" si="55"/>
        <v>2.4999999999417923</v>
      </c>
      <c r="H1203" s="20">
        <f t="shared" si="56"/>
        <v>149.99999999650754</v>
      </c>
    </row>
    <row r="1204" spans="1:8" x14ac:dyDescent="0.25">
      <c r="A1204">
        <v>1190</v>
      </c>
      <c r="B1204" t="s">
        <v>33</v>
      </c>
      <c r="C1204">
        <v>1</v>
      </c>
      <c r="D1204" t="s">
        <v>36</v>
      </c>
      <c r="E1204" s="6">
        <v>46106.743055555555</v>
      </c>
      <c r="F1204" s="18">
        <f t="shared" si="54"/>
        <v>6.9444444452528842E-3</v>
      </c>
      <c r="G1204" s="19">
        <f t="shared" si="55"/>
        <v>0.16666666668606922</v>
      </c>
      <c r="H1204" s="20">
        <f t="shared" si="56"/>
        <v>10.000000001164153</v>
      </c>
    </row>
    <row r="1205" spans="1:8" x14ac:dyDescent="0.25">
      <c r="A1205">
        <v>1213</v>
      </c>
      <c r="B1205" t="s">
        <v>29</v>
      </c>
      <c r="C1205">
        <v>1</v>
      </c>
      <c r="D1205" t="s">
        <v>30</v>
      </c>
      <c r="E1205" s="6">
        <v>46106.881944444445</v>
      </c>
      <c r="F1205" s="18">
        <f t="shared" si="54"/>
        <v>0.13888888889050577</v>
      </c>
      <c r="G1205" s="19">
        <f t="shared" si="55"/>
        <v>3.3333333333721384</v>
      </c>
      <c r="H1205" s="20">
        <f t="shared" si="56"/>
        <v>200.00000000232831</v>
      </c>
    </row>
    <row r="1206" spans="1:8" hidden="1" x14ac:dyDescent="0.25">
      <c r="A1206">
        <v>1214</v>
      </c>
      <c r="B1206" t="s">
        <v>29</v>
      </c>
      <c r="C1206">
        <v>1</v>
      </c>
      <c r="D1206" t="s">
        <v>30</v>
      </c>
      <c r="E1206" s="6">
        <v>46106.881944444445</v>
      </c>
      <c r="F1206" s="18">
        <f t="shared" si="54"/>
        <v>0</v>
      </c>
      <c r="G1206" s="19">
        <f t="shared" si="55"/>
        <v>0</v>
      </c>
      <c r="H1206" s="19">
        <f t="shared" si="56"/>
        <v>0</v>
      </c>
    </row>
    <row r="1207" spans="1:8" x14ac:dyDescent="0.25">
      <c r="A1207">
        <v>1215</v>
      </c>
      <c r="B1207" t="s">
        <v>33</v>
      </c>
      <c r="C1207">
        <v>1</v>
      </c>
      <c r="D1207" t="s">
        <v>30</v>
      </c>
      <c r="E1207" s="6">
        <v>46106.978472222225</v>
      </c>
      <c r="F1207" s="18">
        <f t="shared" si="54"/>
        <v>9.6527777779556345E-2</v>
      </c>
      <c r="G1207" s="19">
        <f t="shared" si="55"/>
        <v>2.3166666667093523</v>
      </c>
      <c r="H1207" s="20">
        <f t="shared" si="56"/>
        <v>139.00000000256114</v>
      </c>
    </row>
    <row r="1208" spans="1:8" hidden="1" x14ac:dyDescent="0.25">
      <c r="A1208">
        <v>1188</v>
      </c>
      <c r="B1208" t="s">
        <v>33</v>
      </c>
      <c r="C1208">
        <v>1</v>
      </c>
      <c r="D1208" t="s">
        <v>35</v>
      </c>
      <c r="E1208" s="6">
        <v>46107.288194444445</v>
      </c>
      <c r="F1208" s="18">
        <f t="shared" si="54"/>
        <v>0.30972222222044365</v>
      </c>
      <c r="G1208" s="19">
        <f t="shared" si="55"/>
        <v>7.4333333332906477</v>
      </c>
      <c r="H1208" s="20">
        <f t="shared" si="56"/>
        <v>445.99999999743886</v>
      </c>
    </row>
    <row r="1209" spans="1:8" x14ac:dyDescent="0.25">
      <c r="A1209">
        <v>1206</v>
      </c>
      <c r="B1209" t="s">
        <v>33</v>
      </c>
      <c r="C1209">
        <v>1</v>
      </c>
      <c r="D1209" t="s">
        <v>35</v>
      </c>
      <c r="E1209" s="6">
        <v>46107.291666666664</v>
      </c>
      <c r="F1209" s="18">
        <f t="shared" si="54"/>
        <v>3.4722222189884633E-3</v>
      </c>
      <c r="G1209" s="19">
        <f t="shared" si="55"/>
        <v>8.3333333255723119E-2</v>
      </c>
      <c r="H1209" s="20">
        <f t="shared" si="56"/>
        <v>4.9999999953433871</v>
      </c>
    </row>
    <row r="1210" spans="1:8" hidden="1" x14ac:dyDescent="0.25">
      <c r="A1210">
        <v>1207</v>
      </c>
      <c r="B1210" t="s">
        <v>29</v>
      </c>
      <c r="C1210">
        <v>1</v>
      </c>
      <c r="D1210" t="s">
        <v>34</v>
      </c>
      <c r="E1210" s="6">
        <v>46107.291666666664</v>
      </c>
      <c r="F1210" s="18">
        <f t="shared" si="54"/>
        <v>0</v>
      </c>
      <c r="G1210" s="19">
        <f t="shared" si="55"/>
        <v>0</v>
      </c>
      <c r="H1210" s="19">
        <f t="shared" si="56"/>
        <v>0</v>
      </c>
    </row>
    <row r="1211" spans="1:8" hidden="1" x14ac:dyDescent="0.25">
      <c r="A1211">
        <v>1208</v>
      </c>
      <c r="B1211" t="s">
        <v>33</v>
      </c>
      <c r="C1211">
        <v>1</v>
      </c>
      <c r="D1211" t="s">
        <v>30</v>
      </c>
      <c r="E1211" s="6">
        <v>46107.291666666664</v>
      </c>
      <c r="F1211" s="18">
        <f t="shared" si="54"/>
        <v>0</v>
      </c>
      <c r="G1211" s="19">
        <f t="shared" si="55"/>
        <v>0</v>
      </c>
      <c r="H1211" s="19">
        <f t="shared" si="56"/>
        <v>0</v>
      </c>
    </row>
    <row r="1212" spans="1:8" hidden="1" x14ac:dyDescent="0.25">
      <c r="A1212">
        <v>1211</v>
      </c>
      <c r="B1212" t="s">
        <v>31</v>
      </c>
      <c r="C1212">
        <v>1</v>
      </c>
      <c r="D1212" t="s">
        <v>34</v>
      </c>
      <c r="E1212" s="6">
        <v>46107.291666666664</v>
      </c>
      <c r="F1212" s="18">
        <f t="shared" si="54"/>
        <v>0</v>
      </c>
      <c r="G1212" s="19">
        <f t="shared" si="55"/>
        <v>0</v>
      </c>
      <c r="H1212" s="19">
        <f t="shared" si="56"/>
        <v>0</v>
      </c>
    </row>
    <row r="1213" spans="1:8" x14ac:dyDescent="0.25">
      <c r="A1213">
        <v>1193</v>
      </c>
      <c r="B1213" t="s">
        <v>29</v>
      </c>
      <c r="C1213">
        <v>1</v>
      </c>
      <c r="D1213" t="s">
        <v>32</v>
      </c>
      <c r="E1213" s="6">
        <v>46107.339583333334</v>
      </c>
      <c r="F1213" s="18">
        <f t="shared" si="54"/>
        <v>4.7916666670062114E-2</v>
      </c>
      <c r="G1213" s="19">
        <f t="shared" si="55"/>
        <v>1.1500000000814907</v>
      </c>
      <c r="H1213" s="20">
        <f t="shared" si="56"/>
        <v>69.000000004889444</v>
      </c>
    </row>
    <row r="1214" spans="1:8" x14ac:dyDescent="0.25">
      <c r="A1214">
        <v>1187</v>
      </c>
      <c r="B1214" t="s">
        <v>33</v>
      </c>
      <c r="C1214">
        <v>1</v>
      </c>
      <c r="D1214" t="s">
        <v>30</v>
      </c>
      <c r="E1214" s="6">
        <v>46107.372916666667</v>
      </c>
      <c r="F1214" s="18">
        <f t="shared" si="54"/>
        <v>3.3333333332848269E-2</v>
      </c>
      <c r="G1214" s="19">
        <f t="shared" si="55"/>
        <v>0.79999999998835847</v>
      </c>
      <c r="H1214" s="20">
        <f t="shared" si="56"/>
        <v>47.999999999301508</v>
      </c>
    </row>
    <row r="1215" spans="1:8" x14ac:dyDescent="0.25">
      <c r="A1215">
        <v>1216</v>
      </c>
      <c r="B1215" t="s">
        <v>31</v>
      </c>
      <c r="C1215">
        <v>1</v>
      </c>
      <c r="D1215" t="s">
        <v>30</v>
      </c>
      <c r="E1215" s="6">
        <v>46107.388888888891</v>
      </c>
      <c r="F1215" s="18">
        <f t="shared" si="54"/>
        <v>1.5972222223354038E-2</v>
      </c>
      <c r="G1215" s="19">
        <f t="shared" si="55"/>
        <v>0.38333333336049691</v>
      </c>
      <c r="H1215" s="20">
        <f t="shared" si="56"/>
        <v>23.000000001629815</v>
      </c>
    </row>
    <row r="1216" spans="1:8" x14ac:dyDescent="0.25">
      <c r="A1216">
        <v>1218</v>
      </c>
      <c r="B1216" t="s">
        <v>29</v>
      </c>
      <c r="C1216">
        <v>1</v>
      </c>
      <c r="D1216" t="s">
        <v>32</v>
      </c>
      <c r="E1216" s="6">
        <v>46107.416666666664</v>
      </c>
      <c r="F1216" s="18">
        <f t="shared" si="54"/>
        <v>2.7777777773735579E-2</v>
      </c>
      <c r="G1216" s="19">
        <f t="shared" si="55"/>
        <v>0.6666666665696539</v>
      </c>
      <c r="H1216" s="20">
        <f t="shared" si="56"/>
        <v>39.999999994179234</v>
      </c>
    </row>
    <row r="1217" spans="1:8" x14ac:dyDescent="0.25">
      <c r="A1217">
        <v>1219</v>
      </c>
      <c r="B1217" t="s">
        <v>29</v>
      </c>
      <c r="C1217">
        <v>1</v>
      </c>
      <c r="D1217" t="s">
        <v>30</v>
      </c>
      <c r="E1217" s="6">
        <v>46107.454861111109</v>
      </c>
      <c r="F1217" s="18">
        <f t="shared" si="54"/>
        <v>3.8194444445252884E-2</v>
      </c>
      <c r="G1217" s="19">
        <f t="shared" si="55"/>
        <v>0.91666666668606922</v>
      </c>
      <c r="H1217" s="20">
        <f t="shared" si="56"/>
        <v>55.000000001164153</v>
      </c>
    </row>
    <row r="1218" spans="1:8" x14ac:dyDescent="0.25">
      <c r="A1218">
        <v>1220</v>
      </c>
      <c r="B1218" t="s">
        <v>31</v>
      </c>
      <c r="C1218">
        <v>1</v>
      </c>
      <c r="D1218" t="s">
        <v>30</v>
      </c>
      <c r="E1218" s="6">
        <v>46107.458333333336</v>
      </c>
      <c r="F1218" s="18">
        <f t="shared" si="54"/>
        <v>3.4722222262644209E-3</v>
      </c>
      <c r="G1218" s="19">
        <f t="shared" si="55"/>
        <v>8.3333333430346102E-2</v>
      </c>
      <c r="H1218" s="20">
        <f t="shared" si="56"/>
        <v>5.0000000058207661</v>
      </c>
    </row>
    <row r="1219" spans="1:8" x14ac:dyDescent="0.25">
      <c r="A1219">
        <v>1217</v>
      </c>
      <c r="B1219" t="s">
        <v>31</v>
      </c>
      <c r="C1219">
        <v>1</v>
      </c>
      <c r="D1219" t="s">
        <v>30</v>
      </c>
      <c r="E1219" s="6">
        <v>46107.565972222219</v>
      </c>
      <c r="F1219" s="18">
        <f t="shared" si="54"/>
        <v>0.10763888888322981</v>
      </c>
      <c r="G1219" s="19">
        <f t="shared" si="55"/>
        <v>2.5833333331975155</v>
      </c>
      <c r="H1219" s="20">
        <f t="shared" si="56"/>
        <v>154.99999999185093</v>
      </c>
    </row>
    <row r="1220" spans="1:8" x14ac:dyDescent="0.25">
      <c r="A1220">
        <v>1222</v>
      </c>
      <c r="B1220" t="s">
        <v>31</v>
      </c>
      <c r="C1220">
        <v>1</v>
      </c>
      <c r="D1220" t="s">
        <v>32</v>
      </c>
      <c r="E1220" s="6">
        <v>46107.621527777781</v>
      </c>
      <c r="F1220" s="18">
        <f t="shared" si="54"/>
        <v>5.5555555562023073E-2</v>
      </c>
      <c r="G1220" s="19">
        <f t="shared" si="55"/>
        <v>1.3333333334885538</v>
      </c>
      <c r="H1220" s="20">
        <f t="shared" si="56"/>
        <v>80.000000009313226</v>
      </c>
    </row>
    <row r="1221" spans="1:8" hidden="1" x14ac:dyDescent="0.25">
      <c r="A1221">
        <v>1224</v>
      </c>
      <c r="B1221" t="s">
        <v>29</v>
      </c>
      <c r="C1221">
        <v>1</v>
      </c>
      <c r="D1221" t="s">
        <v>35</v>
      </c>
      <c r="E1221" s="6">
        <v>46107.621527777781</v>
      </c>
      <c r="F1221" s="18">
        <f t="shared" ref="F1221:F1284" si="57">E1221-E1220</f>
        <v>0</v>
      </c>
      <c r="G1221" s="19">
        <f t="shared" ref="G1221:G1284" si="58">F1221*24</f>
        <v>0</v>
      </c>
      <c r="H1221" s="19">
        <f t="shared" ref="H1221:H1284" si="59">G1221*60</f>
        <v>0</v>
      </c>
    </row>
    <row r="1222" spans="1:8" x14ac:dyDescent="0.25">
      <c r="A1222">
        <v>1221</v>
      </c>
      <c r="B1222" t="s">
        <v>33</v>
      </c>
      <c r="C1222">
        <v>1</v>
      </c>
      <c r="D1222" t="s">
        <v>36</v>
      </c>
      <c r="E1222" s="6">
        <v>46107.625</v>
      </c>
      <c r="F1222" s="18">
        <f t="shared" si="57"/>
        <v>3.4722222189884633E-3</v>
      </c>
      <c r="G1222" s="19">
        <f t="shared" si="58"/>
        <v>8.3333333255723119E-2</v>
      </c>
      <c r="H1222" s="20">
        <f t="shared" si="59"/>
        <v>4.9999999953433871</v>
      </c>
    </row>
    <row r="1223" spans="1:8" x14ac:dyDescent="0.25">
      <c r="A1223">
        <v>1223</v>
      </c>
      <c r="B1223" t="s">
        <v>29</v>
      </c>
      <c r="C1223">
        <v>1</v>
      </c>
      <c r="D1223" t="s">
        <v>30</v>
      </c>
      <c r="E1223" s="6">
        <v>46107.663194444445</v>
      </c>
      <c r="F1223" s="18">
        <f t="shared" si="57"/>
        <v>3.8194444445252884E-2</v>
      </c>
      <c r="G1223" s="19">
        <f t="shared" si="58"/>
        <v>0.91666666668606922</v>
      </c>
      <c r="H1223" s="20">
        <f t="shared" si="59"/>
        <v>55.000000001164153</v>
      </c>
    </row>
    <row r="1224" spans="1:8" x14ac:dyDescent="0.25">
      <c r="A1224">
        <v>1210</v>
      </c>
      <c r="B1224" t="s">
        <v>31</v>
      </c>
      <c r="C1224">
        <v>1</v>
      </c>
      <c r="D1224" t="s">
        <v>30</v>
      </c>
      <c r="E1224" s="6">
        <v>46107.708333333336</v>
      </c>
      <c r="F1224" s="18">
        <f t="shared" si="57"/>
        <v>4.5138888890505768E-2</v>
      </c>
      <c r="G1224" s="19">
        <f t="shared" si="58"/>
        <v>1.0833333333721384</v>
      </c>
      <c r="H1224" s="20">
        <f t="shared" si="59"/>
        <v>65.000000002328306</v>
      </c>
    </row>
    <row r="1225" spans="1:8" x14ac:dyDescent="0.25">
      <c r="A1225">
        <v>1212</v>
      </c>
      <c r="B1225" t="s">
        <v>33</v>
      </c>
      <c r="C1225">
        <v>1</v>
      </c>
      <c r="D1225" t="s">
        <v>35</v>
      </c>
      <c r="E1225" s="6">
        <v>46107.736111111109</v>
      </c>
      <c r="F1225" s="18">
        <f t="shared" si="57"/>
        <v>2.7777777773735579E-2</v>
      </c>
      <c r="G1225" s="19">
        <f t="shared" si="58"/>
        <v>0.6666666665696539</v>
      </c>
      <c r="H1225" s="20">
        <f t="shared" si="59"/>
        <v>39.999999994179234</v>
      </c>
    </row>
    <row r="1226" spans="1:8" x14ac:dyDescent="0.25">
      <c r="A1226">
        <v>1234</v>
      </c>
      <c r="B1226" t="s">
        <v>33</v>
      </c>
      <c r="C1226">
        <v>1</v>
      </c>
      <c r="D1226" t="s">
        <v>35</v>
      </c>
      <c r="E1226" s="6">
        <v>46107.826388888891</v>
      </c>
      <c r="F1226" s="18">
        <f t="shared" si="57"/>
        <v>9.0277777781011537E-2</v>
      </c>
      <c r="G1226" s="19">
        <f t="shared" si="58"/>
        <v>2.1666666667442769</v>
      </c>
      <c r="H1226" s="20">
        <f t="shared" si="59"/>
        <v>130.00000000465661</v>
      </c>
    </row>
    <row r="1227" spans="1:8" x14ac:dyDescent="0.25">
      <c r="A1227">
        <v>1235</v>
      </c>
      <c r="B1227" t="s">
        <v>31</v>
      </c>
      <c r="C1227">
        <v>1</v>
      </c>
      <c r="D1227" t="s">
        <v>34</v>
      </c>
      <c r="E1227" s="6">
        <v>46107.875</v>
      </c>
      <c r="F1227" s="18">
        <f t="shared" si="57"/>
        <v>4.8611111109494232E-2</v>
      </c>
      <c r="G1227" s="19">
        <f t="shared" si="58"/>
        <v>1.1666666666278616</v>
      </c>
      <c r="H1227" s="20">
        <f t="shared" si="59"/>
        <v>69.999999997671694</v>
      </c>
    </row>
    <row r="1228" spans="1:8" x14ac:dyDescent="0.25">
      <c r="A1228">
        <v>1236</v>
      </c>
      <c r="B1228" t="s">
        <v>33</v>
      </c>
      <c r="C1228">
        <v>1</v>
      </c>
      <c r="D1228" t="s">
        <v>34</v>
      </c>
      <c r="E1228" s="6">
        <v>46107.944444444445</v>
      </c>
      <c r="F1228" s="18">
        <f t="shared" si="57"/>
        <v>6.9444444445252884E-2</v>
      </c>
      <c r="G1228" s="19">
        <f t="shared" si="58"/>
        <v>1.6666666666860692</v>
      </c>
      <c r="H1228" s="20">
        <f t="shared" si="59"/>
        <v>100.00000000116415</v>
      </c>
    </row>
    <row r="1229" spans="1:8" x14ac:dyDescent="0.25">
      <c r="A1229">
        <v>1237</v>
      </c>
      <c r="B1229" t="s">
        <v>31</v>
      </c>
      <c r="C1229">
        <v>1</v>
      </c>
      <c r="D1229" t="s">
        <v>30</v>
      </c>
      <c r="E1229" s="6">
        <v>46107.958333333336</v>
      </c>
      <c r="F1229" s="18">
        <f t="shared" si="57"/>
        <v>1.3888888890505768E-2</v>
      </c>
      <c r="G1229" s="19">
        <f t="shared" si="58"/>
        <v>0.33333333337213844</v>
      </c>
      <c r="H1229" s="20">
        <f t="shared" si="59"/>
        <v>20.000000002328306</v>
      </c>
    </row>
    <row r="1230" spans="1:8" hidden="1" x14ac:dyDescent="0.25">
      <c r="A1230">
        <v>1228</v>
      </c>
      <c r="B1230" t="s">
        <v>33</v>
      </c>
      <c r="C1230">
        <v>1</v>
      </c>
      <c r="D1230" t="s">
        <v>35</v>
      </c>
      <c r="E1230" s="6">
        <v>46108.291666666664</v>
      </c>
      <c r="F1230" s="18">
        <f t="shared" si="57"/>
        <v>0.33333333332848269</v>
      </c>
      <c r="G1230" s="19">
        <f t="shared" si="58"/>
        <v>7.9999999998835847</v>
      </c>
      <c r="H1230" s="20">
        <f t="shared" si="59"/>
        <v>479.99999999301508</v>
      </c>
    </row>
    <row r="1231" spans="1:8" hidden="1" x14ac:dyDescent="0.25">
      <c r="A1231">
        <v>1233</v>
      </c>
      <c r="B1231" t="s">
        <v>31</v>
      </c>
      <c r="C1231">
        <v>1</v>
      </c>
      <c r="D1231" t="s">
        <v>36</v>
      </c>
      <c r="E1231" s="6">
        <v>46108.291666666664</v>
      </c>
      <c r="F1231" s="18">
        <f t="shared" si="57"/>
        <v>0</v>
      </c>
      <c r="G1231" s="19">
        <f t="shared" si="58"/>
        <v>0</v>
      </c>
      <c r="H1231" s="19">
        <f t="shared" si="59"/>
        <v>0</v>
      </c>
    </row>
    <row r="1232" spans="1:8" x14ac:dyDescent="0.25">
      <c r="A1232">
        <v>1227</v>
      </c>
      <c r="B1232" t="s">
        <v>33</v>
      </c>
      <c r="C1232">
        <v>1</v>
      </c>
      <c r="D1232" t="s">
        <v>32</v>
      </c>
      <c r="E1232" s="6">
        <v>46108.298611111109</v>
      </c>
      <c r="F1232" s="18">
        <f t="shared" si="57"/>
        <v>6.9444444452528842E-3</v>
      </c>
      <c r="G1232" s="19">
        <f t="shared" si="58"/>
        <v>0.16666666668606922</v>
      </c>
      <c r="H1232" s="20">
        <f t="shared" si="59"/>
        <v>10.000000001164153</v>
      </c>
    </row>
    <row r="1233" spans="1:8" hidden="1" x14ac:dyDescent="0.25">
      <c r="A1233">
        <v>1238</v>
      </c>
      <c r="B1233" t="s">
        <v>31</v>
      </c>
      <c r="C1233">
        <v>1</v>
      </c>
      <c r="D1233" t="s">
        <v>34</v>
      </c>
      <c r="E1233" s="6">
        <v>46108.298611111109</v>
      </c>
      <c r="F1233" s="18">
        <f t="shared" si="57"/>
        <v>0</v>
      </c>
      <c r="G1233" s="19">
        <f t="shared" si="58"/>
        <v>0</v>
      </c>
      <c r="H1233" s="19">
        <f t="shared" si="59"/>
        <v>0</v>
      </c>
    </row>
    <row r="1234" spans="1:8" x14ac:dyDescent="0.25">
      <c r="A1234">
        <v>1239</v>
      </c>
      <c r="B1234" t="s">
        <v>33</v>
      </c>
      <c r="C1234">
        <v>1</v>
      </c>
      <c r="D1234" t="s">
        <v>30</v>
      </c>
      <c r="E1234" s="6">
        <v>46108.368055555555</v>
      </c>
      <c r="F1234" s="18">
        <f t="shared" si="57"/>
        <v>6.9444444445252884E-2</v>
      </c>
      <c r="G1234" s="19">
        <f t="shared" si="58"/>
        <v>1.6666666666860692</v>
      </c>
      <c r="H1234" s="20">
        <f t="shared" si="59"/>
        <v>100.00000000116415</v>
      </c>
    </row>
    <row r="1235" spans="1:8" x14ac:dyDescent="0.25">
      <c r="A1235">
        <v>1229</v>
      </c>
      <c r="B1235" t="s">
        <v>33</v>
      </c>
      <c r="C1235">
        <v>1</v>
      </c>
      <c r="D1235" t="s">
        <v>30</v>
      </c>
      <c r="E1235" s="6">
        <v>46108.463888888888</v>
      </c>
      <c r="F1235" s="18">
        <f t="shared" si="57"/>
        <v>9.5833333332848269E-2</v>
      </c>
      <c r="G1235" s="19">
        <f t="shared" si="58"/>
        <v>2.2999999999883585</v>
      </c>
      <c r="H1235" s="20">
        <f t="shared" si="59"/>
        <v>137.99999999930151</v>
      </c>
    </row>
    <row r="1236" spans="1:8" x14ac:dyDescent="0.25">
      <c r="A1236">
        <v>1232</v>
      </c>
      <c r="B1236" t="s">
        <v>29</v>
      </c>
      <c r="C1236">
        <v>1</v>
      </c>
      <c r="D1236" t="s">
        <v>30</v>
      </c>
      <c r="E1236" s="6">
        <v>46108.493055555555</v>
      </c>
      <c r="F1236" s="18">
        <f t="shared" si="57"/>
        <v>2.9166666667151731E-2</v>
      </c>
      <c r="G1236" s="19">
        <f t="shared" si="58"/>
        <v>0.70000000001164153</v>
      </c>
      <c r="H1236" s="20">
        <f t="shared" si="59"/>
        <v>42.000000000698492</v>
      </c>
    </row>
    <row r="1237" spans="1:8" x14ac:dyDescent="0.25">
      <c r="A1237">
        <v>1241</v>
      </c>
      <c r="B1237" t="s">
        <v>29</v>
      </c>
      <c r="C1237">
        <v>1</v>
      </c>
      <c r="D1237" t="s">
        <v>36</v>
      </c>
      <c r="E1237" s="6">
        <v>46108.5</v>
      </c>
      <c r="F1237" s="18">
        <f t="shared" si="57"/>
        <v>6.9444444452528842E-3</v>
      </c>
      <c r="G1237" s="19">
        <f t="shared" si="58"/>
        <v>0.16666666668606922</v>
      </c>
      <c r="H1237" s="20">
        <f t="shared" si="59"/>
        <v>10.000000001164153</v>
      </c>
    </row>
    <row r="1238" spans="1:8" x14ac:dyDescent="0.25">
      <c r="A1238">
        <v>1240</v>
      </c>
      <c r="B1238" t="s">
        <v>33</v>
      </c>
      <c r="C1238">
        <v>1</v>
      </c>
      <c r="D1238" t="s">
        <v>36</v>
      </c>
      <c r="E1238" s="6">
        <v>46108.581250000003</v>
      </c>
      <c r="F1238" s="18">
        <f t="shared" si="57"/>
        <v>8.1250000002910383E-2</v>
      </c>
      <c r="G1238" s="19">
        <f t="shared" si="58"/>
        <v>1.9500000000698492</v>
      </c>
      <c r="H1238" s="20">
        <f t="shared" si="59"/>
        <v>117.00000000419095</v>
      </c>
    </row>
    <row r="1239" spans="1:8" x14ac:dyDescent="0.25">
      <c r="A1239">
        <v>1242</v>
      </c>
      <c r="B1239" t="s">
        <v>33</v>
      </c>
      <c r="C1239">
        <v>1</v>
      </c>
      <c r="D1239" t="s">
        <v>30</v>
      </c>
      <c r="E1239" s="6">
        <v>46108.635416666664</v>
      </c>
      <c r="F1239" s="18">
        <f t="shared" si="57"/>
        <v>5.4166666661330964E-2</v>
      </c>
      <c r="G1239" s="19">
        <f t="shared" si="58"/>
        <v>1.2999999998719431</v>
      </c>
      <c r="H1239" s="20">
        <f t="shared" si="59"/>
        <v>77.999999992316589</v>
      </c>
    </row>
    <row r="1240" spans="1:8" x14ac:dyDescent="0.25">
      <c r="A1240">
        <v>1243</v>
      </c>
      <c r="B1240" t="s">
        <v>31</v>
      </c>
      <c r="C1240">
        <v>1</v>
      </c>
      <c r="D1240" t="s">
        <v>34</v>
      </c>
      <c r="E1240" s="6">
        <v>46108.64166666667</v>
      </c>
      <c r="F1240" s="18">
        <f t="shared" si="57"/>
        <v>6.2500000058207661E-3</v>
      </c>
      <c r="G1240" s="19">
        <f t="shared" si="58"/>
        <v>0.15000000013969839</v>
      </c>
      <c r="H1240" s="20">
        <f t="shared" si="59"/>
        <v>9.0000000083819032</v>
      </c>
    </row>
    <row r="1241" spans="1:8" x14ac:dyDescent="0.25">
      <c r="A1241">
        <v>1246</v>
      </c>
      <c r="B1241" t="s">
        <v>31</v>
      </c>
      <c r="C1241">
        <v>1</v>
      </c>
      <c r="D1241" t="s">
        <v>30</v>
      </c>
      <c r="E1241" s="6">
        <v>46108.666666666664</v>
      </c>
      <c r="F1241" s="18">
        <f t="shared" si="57"/>
        <v>2.4999999994179234E-2</v>
      </c>
      <c r="G1241" s="19">
        <f t="shared" si="58"/>
        <v>0.59999999986030161</v>
      </c>
      <c r="H1241" s="20">
        <f t="shared" si="59"/>
        <v>35.999999991618097</v>
      </c>
    </row>
    <row r="1242" spans="1:8" x14ac:dyDescent="0.25">
      <c r="A1242">
        <v>1230</v>
      </c>
      <c r="B1242" t="s">
        <v>31</v>
      </c>
      <c r="C1242">
        <v>1</v>
      </c>
      <c r="D1242" t="s">
        <v>36</v>
      </c>
      <c r="E1242" s="6">
        <v>46108.6875</v>
      </c>
      <c r="F1242" s="18">
        <f t="shared" si="57"/>
        <v>2.0833333335758653E-2</v>
      </c>
      <c r="G1242" s="19">
        <f t="shared" si="58"/>
        <v>0.50000000005820766</v>
      </c>
      <c r="H1242" s="20">
        <f t="shared" si="59"/>
        <v>30.00000000349246</v>
      </c>
    </row>
    <row r="1243" spans="1:8" x14ac:dyDescent="0.25">
      <c r="A1243">
        <v>1247</v>
      </c>
      <c r="B1243" t="s">
        <v>33</v>
      </c>
      <c r="C1243">
        <v>1</v>
      </c>
      <c r="D1243" t="s">
        <v>30</v>
      </c>
      <c r="E1243" s="6">
        <v>46108.697916666664</v>
      </c>
      <c r="F1243" s="18">
        <f t="shared" si="57"/>
        <v>1.0416666664241347E-2</v>
      </c>
      <c r="G1243" s="19">
        <f t="shared" si="58"/>
        <v>0.24999999994179234</v>
      </c>
      <c r="H1243" s="20">
        <f t="shared" si="59"/>
        <v>14.99999999650754</v>
      </c>
    </row>
    <row r="1244" spans="1:8" x14ac:dyDescent="0.25">
      <c r="A1244">
        <v>1226</v>
      </c>
      <c r="B1244" t="s">
        <v>31</v>
      </c>
      <c r="C1244">
        <v>1</v>
      </c>
      <c r="D1244" t="s">
        <v>30</v>
      </c>
      <c r="E1244" s="6">
        <v>46108.722222222219</v>
      </c>
      <c r="F1244" s="18">
        <f t="shared" si="57"/>
        <v>2.4305555554747116E-2</v>
      </c>
      <c r="G1244" s="19">
        <f t="shared" si="58"/>
        <v>0.58333333331393078</v>
      </c>
      <c r="H1244" s="20">
        <f t="shared" si="59"/>
        <v>34.999999998835847</v>
      </c>
    </row>
    <row r="1245" spans="1:8" x14ac:dyDescent="0.25">
      <c r="A1245">
        <v>1231</v>
      </c>
      <c r="B1245" t="s">
        <v>33</v>
      </c>
      <c r="C1245">
        <v>1</v>
      </c>
      <c r="D1245" t="s">
        <v>36</v>
      </c>
      <c r="E1245" s="6">
        <v>46108.75</v>
      </c>
      <c r="F1245" s="18">
        <f t="shared" si="57"/>
        <v>2.7777777781011537E-2</v>
      </c>
      <c r="G1245" s="19">
        <f t="shared" si="58"/>
        <v>0.66666666674427688</v>
      </c>
      <c r="H1245" s="20">
        <f t="shared" si="59"/>
        <v>40.000000004656613</v>
      </c>
    </row>
    <row r="1246" spans="1:8" x14ac:dyDescent="0.25">
      <c r="A1246">
        <v>1249</v>
      </c>
      <c r="B1246" t="s">
        <v>29</v>
      </c>
      <c r="C1246">
        <v>1</v>
      </c>
      <c r="D1246" t="s">
        <v>30</v>
      </c>
      <c r="E1246" s="6">
        <v>46108.864583333336</v>
      </c>
      <c r="F1246" s="18">
        <f t="shared" si="57"/>
        <v>0.11458333333575865</v>
      </c>
      <c r="G1246" s="19">
        <f t="shared" si="58"/>
        <v>2.7500000000582077</v>
      </c>
      <c r="H1246" s="20">
        <f t="shared" si="59"/>
        <v>165.00000000349246</v>
      </c>
    </row>
    <row r="1247" spans="1:8" x14ac:dyDescent="0.25">
      <c r="A1247">
        <v>1250</v>
      </c>
      <c r="B1247" t="s">
        <v>31</v>
      </c>
      <c r="C1247">
        <v>1</v>
      </c>
      <c r="D1247" t="s">
        <v>30</v>
      </c>
      <c r="E1247" s="6">
        <v>46108.888888888891</v>
      </c>
      <c r="F1247" s="18">
        <f t="shared" si="57"/>
        <v>2.4305555554747116E-2</v>
      </c>
      <c r="G1247" s="19">
        <f t="shared" si="58"/>
        <v>0.58333333331393078</v>
      </c>
      <c r="H1247" s="20">
        <f t="shared" si="59"/>
        <v>34.999999998835847</v>
      </c>
    </row>
    <row r="1248" spans="1:8" x14ac:dyDescent="0.25">
      <c r="A1248">
        <v>1252</v>
      </c>
      <c r="B1248" t="s">
        <v>29</v>
      </c>
      <c r="C1248">
        <v>1</v>
      </c>
      <c r="D1248" t="s">
        <v>30</v>
      </c>
      <c r="E1248" s="6">
        <v>46108.951388888891</v>
      </c>
      <c r="F1248" s="18">
        <f t="shared" si="57"/>
        <v>6.25E-2</v>
      </c>
      <c r="G1248" s="19">
        <f t="shared" si="58"/>
        <v>1.5</v>
      </c>
      <c r="H1248" s="20">
        <f t="shared" si="59"/>
        <v>90</v>
      </c>
    </row>
    <row r="1249" spans="1:8" x14ac:dyDescent="0.25">
      <c r="A1249">
        <v>1251</v>
      </c>
      <c r="B1249" t="s">
        <v>29</v>
      </c>
      <c r="C1249">
        <v>1</v>
      </c>
      <c r="D1249" t="s">
        <v>30</v>
      </c>
      <c r="E1249" s="6">
        <v>46108.958333333336</v>
      </c>
      <c r="F1249" s="18">
        <f t="shared" si="57"/>
        <v>6.9444444452528842E-3</v>
      </c>
      <c r="G1249" s="19">
        <f t="shared" si="58"/>
        <v>0.16666666668606922</v>
      </c>
      <c r="H1249" s="20">
        <f t="shared" si="59"/>
        <v>10.000000001164153</v>
      </c>
    </row>
    <row r="1250" spans="1:8" x14ac:dyDescent="0.25">
      <c r="A1250">
        <v>1254</v>
      </c>
      <c r="B1250" t="s">
        <v>33</v>
      </c>
      <c r="C1250">
        <v>1</v>
      </c>
      <c r="D1250" t="s">
        <v>30</v>
      </c>
      <c r="E1250" s="6">
        <v>46109.059027777781</v>
      </c>
      <c r="F1250" s="18">
        <f t="shared" si="57"/>
        <v>0.10069444444525288</v>
      </c>
      <c r="G1250" s="19">
        <f t="shared" si="58"/>
        <v>2.4166666666860692</v>
      </c>
      <c r="H1250" s="20">
        <f t="shared" si="59"/>
        <v>145.00000000116415</v>
      </c>
    </row>
    <row r="1251" spans="1:8" x14ac:dyDescent="0.25">
      <c r="A1251">
        <v>1253</v>
      </c>
      <c r="B1251" t="s">
        <v>29</v>
      </c>
      <c r="C1251">
        <v>1</v>
      </c>
      <c r="D1251" t="s">
        <v>30</v>
      </c>
      <c r="E1251" s="6">
        <v>46109.097222222219</v>
      </c>
      <c r="F1251" s="18">
        <f t="shared" si="57"/>
        <v>3.8194444437976927E-2</v>
      </c>
      <c r="G1251" s="19">
        <f t="shared" si="58"/>
        <v>0.91666666651144624</v>
      </c>
      <c r="H1251" s="20">
        <f t="shared" si="59"/>
        <v>54.999999990686774</v>
      </c>
    </row>
    <row r="1252" spans="1:8" hidden="1" x14ac:dyDescent="0.25">
      <c r="A1252">
        <v>1245</v>
      </c>
      <c r="B1252" t="s">
        <v>29</v>
      </c>
      <c r="C1252">
        <v>1</v>
      </c>
      <c r="D1252" t="s">
        <v>35</v>
      </c>
      <c r="E1252" s="6">
        <v>46109.354166666664</v>
      </c>
      <c r="F1252" s="18">
        <f t="shared" si="57"/>
        <v>0.25694444444525288</v>
      </c>
      <c r="G1252" s="19">
        <f t="shared" si="58"/>
        <v>6.1666666666860692</v>
      </c>
      <c r="H1252" s="20">
        <f t="shared" si="59"/>
        <v>370.00000000116415</v>
      </c>
    </row>
    <row r="1253" spans="1:8" x14ac:dyDescent="0.25">
      <c r="A1253">
        <v>1255</v>
      </c>
      <c r="B1253" t="s">
        <v>31</v>
      </c>
      <c r="C1253">
        <v>1</v>
      </c>
      <c r="D1253" t="s">
        <v>30</v>
      </c>
      <c r="E1253" s="6">
        <v>46109.423611111109</v>
      </c>
      <c r="F1253" s="18">
        <f t="shared" si="57"/>
        <v>6.9444444445252884E-2</v>
      </c>
      <c r="G1253" s="19">
        <f t="shared" si="58"/>
        <v>1.6666666666860692</v>
      </c>
      <c r="H1253" s="20">
        <f t="shared" si="59"/>
        <v>100.00000000116415</v>
      </c>
    </row>
    <row r="1254" spans="1:8" hidden="1" x14ac:dyDescent="0.25">
      <c r="A1254">
        <v>1244</v>
      </c>
      <c r="B1254" t="s">
        <v>33</v>
      </c>
      <c r="C1254">
        <v>1</v>
      </c>
      <c r="D1254" t="s">
        <v>35</v>
      </c>
      <c r="E1254" s="6">
        <v>46109.65625</v>
      </c>
      <c r="F1254" s="18">
        <f t="shared" si="57"/>
        <v>0.23263888889050577</v>
      </c>
      <c r="G1254" s="19">
        <f t="shared" si="58"/>
        <v>5.5833333333721384</v>
      </c>
      <c r="H1254" s="20">
        <f t="shared" si="59"/>
        <v>335.00000000232831</v>
      </c>
    </row>
    <row r="1255" spans="1:8" x14ac:dyDescent="0.25">
      <c r="A1255">
        <v>1256</v>
      </c>
      <c r="B1255" t="s">
        <v>29</v>
      </c>
      <c r="C1255">
        <v>1</v>
      </c>
      <c r="D1255" t="s">
        <v>30</v>
      </c>
      <c r="E1255" s="6">
        <v>46109.6875</v>
      </c>
      <c r="F1255" s="18">
        <f t="shared" si="57"/>
        <v>3.125E-2</v>
      </c>
      <c r="G1255" s="19">
        <f t="shared" si="58"/>
        <v>0.75</v>
      </c>
      <c r="H1255" s="20">
        <f t="shared" si="59"/>
        <v>45</v>
      </c>
    </row>
    <row r="1256" spans="1:8" x14ac:dyDescent="0.25">
      <c r="A1256">
        <v>1257</v>
      </c>
      <c r="B1256" t="s">
        <v>31</v>
      </c>
      <c r="C1256">
        <v>1</v>
      </c>
      <c r="D1256" t="s">
        <v>30</v>
      </c>
      <c r="E1256" s="6">
        <v>46109.788194444445</v>
      </c>
      <c r="F1256" s="18">
        <f t="shared" si="57"/>
        <v>0.10069444444525288</v>
      </c>
      <c r="G1256" s="19">
        <f t="shared" si="58"/>
        <v>2.4166666666860692</v>
      </c>
      <c r="H1256" s="20">
        <f t="shared" si="59"/>
        <v>145.00000000116415</v>
      </c>
    </row>
    <row r="1257" spans="1:8" x14ac:dyDescent="0.25">
      <c r="A1257">
        <v>1258</v>
      </c>
      <c r="B1257" t="s">
        <v>29</v>
      </c>
      <c r="C1257">
        <v>1</v>
      </c>
      <c r="D1257" t="s">
        <v>30</v>
      </c>
      <c r="E1257" s="6">
        <v>46109.895833333336</v>
      </c>
      <c r="F1257" s="18">
        <f t="shared" si="57"/>
        <v>0.10763888889050577</v>
      </c>
      <c r="G1257" s="19">
        <f t="shared" si="58"/>
        <v>2.5833333333721384</v>
      </c>
      <c r="H1257" s="20">
        <f t="shared" si="59"/>
        <v>155.00000000232831</v>
      </c>
    </row>
    <row r="1258" spans="1:8" hidden="1" x14ac:dyDescent="0.25">
      <c r="A1258">
        <v>1259</v>
      </c>
      <c r="B1258" t="s">
        <v>29</v>
      </c>
      <c r="C1258">
        <v>1</v>
      </c>
      <c r="D1258" t="s">
        <v>35</v>
      </c>
      <c r="E1258" s="6">
        <v>46110.125</v>
      </c>
      <c r="F1258" s="18">
        <f t="shared" si="57"/>
        <v>0.22916666666424135</v>
      </c>
      <c r="G1258" s="19">
        <f t="shared" si="58"/>
        <v>5.4999999999417923</v>
      </c>
      <c r="H1258" s="20">
        <f t="shared" si="59"/>
        <v>329.99999999650754</v>
      </c>
    </row>
    <row r="1259" spans="1:8" hidden="1" x14ac:dyDescent="0.25">
      <c r="A1259">
        <v>1260</v>
      </c>
      <c r="B1259" t="s">
        <v>31</v>
      </c>
      <c r="C1259">
        <v>1</v>
      </c>
      <c r="D1259" t="s">
        <v>30</v>
      </c>
      <c r="E1259" s="6">
        <v>46110.371527777781</v>
      </c>
      <c r="F1259" s="18">
        <f t="shared" si="57"/>
        <v>0.24652777778101154</v>
      </c>
      <c r="G1259" s="19">
        <f t="shared" si="58"/>
        <v>5.9166666667442769</v>
      </c>
      <c r="H1259" s="20">
        <f t="shared" si="59"/>
        <v>355.00000000465661</v>
      </c>
    </row>
    <row r="1260" spans="1:8" hidden="1" x14ac:dyDescent="0.25">
      <c r="A1260">
        <v>1263</v>
      </c>
      <c r="B1260" t="s">
        <v>33</v>
      </c>
      <c r="C1260">
        <v>1</v>
      </c>
      <c r="D1260" t="s">
        <v>30</v>
      </c>
      <c r="E1260" s="6">
        <v>46110.9375</v>
      </c>
      <c r="F1260" s="18">
        <f t="shared" si="57"/>
        <v>0.56597222221898846</v>
      </c>
      <c r="G1260" s="19">
        <f t="shared" si="58"/>
        <v>13.583333333255723</v>
      </c>
      <c r="H1260" s="20">
        <f t="shared" si="59"/>
        <v>814.99999999534339</v>
      </c>
    </row>
    <row r="1261" spans="1:8" x14ac:dyDescent="0.25">
      <c r="A1261">
        <v>1264</v>
      </c>
      <c r="B1261" t="s">
        <v>33</v>
      </c>
      <c r="C1261">
        <v>1</v>
      </c>
      <c r="D1261" t="s">
        <v>30</v>
      </c>
      <c r="E1261" s="6">
        <v>46111.017361111109</v>
      </c>
      <c r="F1261" s="18">
        <f t="shared" si="57"/>
        <v>7.9861111109494232E-2</v>
      </c>
      <c r="G1261" s="19">
        <f t="shared" si="58"/>
        <v>1.9166666666278616</v>
      </c>
      <c r="H1261" s="20">
        <f t="shared" si="59"/>
        <v>114.99999999767169</v>
      </c>
    </row>
    <row r="1262" spans="1:8" x14ac:dyDescent="0.25">
      <c r="A1262">
        <v>1266</v>
      </c>
      <c r="B1262" t="s">
        <v>29</v>
      </c>
      <c r="C1262">
        <v>1</v>
      </c>
      <c r="D1262" t="s">
        <v>30</v>
      </c>
      <c r="E1262" s="6">
        <v>46111.048611111109</v>
      </c>
      <c r="F1262" s="18">
        <f t="shared" si="57"/>
        <v>3.125E-2</v>
      </c>
      <c r="G1262" s="19">
        <f t="shared" si="58"/>
        <v>0.75</v>
      </c>
      <c r="H1262" s="20">
        <f t="shared" si="59"/>
        <v>45</v>
      </c>
    </row>
    <row r="1263" spans="1:8" x14ac:dyDescent="0.25">
      <c r="A1263">
        <v>1265</v>
      </c>
      <c r="B1263" t="s">
        <v>29</v>
      </c>
      <c r="C1263">
        <v>1</v>
      </c>
      <c r="D1263" t="s">
        <v>30</v>
      </c>
      <c r="E1263" s="6">
        <v>46111.055555555555</v>
      </c>
      <c r="F1263" s="18">
        <f t="shared" si="57"/>
        <v>6.9444444452528842E-3</v>
      </c>
      <c r="G1263" s="19">
        <f t="shared" si="58"/>
        <v>0.16666666668606922</v>
      </c>
      <c r="H1263" s="20">
        <f t="shared" si="59"/>
        <v>10.000000001164153</v>
      </c>
    </row>
    <row r="1264" spans="1:8" x14ac:dyDescent="0.25">
      <c r="A1264">
        <v>1267</v>
      </c>
      <c r="B1264" t="s">
        <v>33</v>
      </c>
      <c r="C1264">
        <v>1</v>
      </c>
      <c r="D1264" t="s">
        <v>30</v>
      </c>
      <c r="E1264" s="6">
        <v>46111.090277777781</v>
      </c>
      <c r="F1264" s="18">
        <f t="shared" si="57"/>
        <v>3.4722222226264421E-2</v>
      </c>
      <c r="G1264" s="19">
        <f t="shared" si="58"/>
        <v>0.8333333334303461</v>
      </c>
      <c r="H1264" s="20">
        <f t="shared" si="59"/>
        <v>50.000000005820766</v>
      </c>
    </row>
    <row r="1265" spans="1:8" hidden="1" x14ac:dyDescent="0.25">
      <c r="A1265">
        <v>1248</v>
      </c>
      <c r="B1265" t="s">
        <v>29</v>
      </c>
      <c r="C1265">
        <v>1</v>
      </c>
      <c r="D1265" t="s">
        <v>32</v>
      </c>
      <c r="E1265" s="6">
        <v>46111.291666666664</v>
      </c>
      <c r="F1265" s="18">
        <f t="shared" si="57"/>
        <v>0.20138888888322981</v>
      </c>
      <c r="G1265" s="19">
        <f t="shared" si="58"/>
        <v>4.8333333331975155</v>
      </c>
      <c r="H1265" s="20">
        <f t="shared" si="59"/>
        <v>289.99999999185093</v>
      </c>
    </row>
    <row r="1266" spans="1:8" hidden="1" x14ac:dyDescent="0.25">
      <c r="A1266">
        <v>1261</v>
      </c>
      <c r="B1266" t="s">
        <v>33</v>
      </c>
      <c r="C1266">
        <v>1</v>
      </c>
      <c r="D1266" t="s">
        <v>35</v>
      </c>
      <c r="E1266" s="6">
        <v>46111.291666666664</v>
      </c>
      <c r="F1266" s="18">
        <f t="shared" si="57"/>
        <v>0</v>
      </c>
      <c r="G1266" s="19">
        <f t="shared" si="58"/>
        <v>0</v>
      </c>
      <c r="H1266" s="19">
        <f t="shared" si="59"/>
        <v>0</v>
      </c>
    </row>
    <row r="1267" spans="1:8" hidden="1" x14ac:dyDescent="0.25">
      <c r="A1267">
        <v>1262</v>
      </c>
      <c r="B1267" t="s">
        <v>33</v>
      </c>
      <c r="C1267">
        <v>1</v>
      </c>
      <c r="D1267" t="s">
        <v>34</v>
      </c>
      <c r="E1267" s="6">
        <v>46111.291666666664</v>
      </c>
      <c r="F1267" s="18">
        <f t="shared" si="57"/>
        <v>0</v>
      </c>
      <c r="G1267" s="19">
        <f t="shared" si="58"/>
        <v>0</v>
      </c>
      <c r="H1267" s="19">
        <f t="shared" si="59"/>
        <v>0</v>
      </c>
    </row>
    <row r="1268" spans="1:8" x14ac:dyDescent="0.25">
      <c r="A1268">
        <v>1268</v>
      </c>
      <c r="B1268" t="s">
        <v>31</v>
      </c>
      <c r="C1268">
        <v>1</v>
      </c>
      <c r="D1268" t="s">
        <v>30</v>
      </c>
      <c r="E1268" s="6">
        <v>46111.333333333336</v>
      </c>
      <c r="F1268" s="18">
        <f t="shared" si="57"/>
        <v>4.1666666671517305E-2</v>
      </c>
      <c r="G1268" s="19">
        <f t="shared" si="58"/>
        <v>1.0000000001164153</v>
      </c>
      <c r="H1268" s="20">
        <f t="shared" si="59"/>
        <v>60.000000006984919</v>
      </c>
    </row>
    <row r="1269" spans="1:8" x14ac:dyDescent="0.25">
      <c r="A1269">
        <v>1273</v>
      </c>
      <c r="B1269" t="s">
        <v>33</v>
      </c>
      <c r="C1269">
        <v>1</v>
      </c>
      <c r="D1269" t="s">
        <v>35</v>
      </c>
      <c r="E1269" s="6">
        <v>46111.413194444445</v>
      </c>
      <c r="F1269" s="18">
        <f t="shared" si="57"/>
        <v>7.9861111109494232E-2</v>
      </c>
      <c r="G1269" s="19">
        <f t="shared" si="58"/>
        <v>1.9166666666278616</v>
      </c>
      <c r="H1269" s="20">
        <f t="shared" si="59"/>
        <v>114.99999999767169</v>
      </c>
    </row>
    <row r="1270" spans="1:8" x14ac:dyDescent="0.25">
      <c r="A1270">
        <v>1270</v>
      </c>
      <c r="B1270" t="s">
        <v>31</v>
      </c>
      <c r="C1270">
        <v>1</v>
      </c>
      <c r="D1270" t="s">
        <v>34</v>
      </c>
      <c r="E1270" s="6">
        <v>46111.416666666664</v>
      </c>
      <c r="F1270" s="18">
        <f t="shared" si="57"/>
        <v>3.4722222189884633E-3</v>
      </c>
      <c r="G1270" s="19">
        <f t="shared" si="58"/>
        <v>8.3333333255723119E-2</v>
      </c>
      <c r="H1270" s="20">
        <f t="shared" si="59"/>
        <v>4.9999999953433871</v>
      </c>
    </row>
    <row r="1271" spans="1:8" x14ac:dyDescent="0.25">
      <c r="A1271">
        <v>1271</v>
      </c>
      <c r="B1271" t="s">
        <v>33</v>
      </c>
      <c r="C1271">
        <v>1</v>
      </c>
      <c r="D1271" t="s">
        <v>30</v>
      </c>
      <c r="E1271" s="6">
        <v>46111.493055555555</v>
      </c>
      <c r="F1271" s="18">
        <f t="shared" si="57"/>
        <v>7.6388888890505768E-2</v>
      </c>
      <c r="G1271" s="19">
        <f t="shared" si="58"/>
        <v>1.8333333333721384</v>
      </c>
      <c r="H1271" s="20">
        <f t="shared" si="59"/>
        <v>110.00000000232831</v>
      </c>
    </row>
    <row r="1272" spans="1:8" x14ac:dyDescent="0.25">
      <c r="A1272">
        <v>1274</v>
      </c>
      <c r="B1272" t="s">
        <v>31</v>
      </c>
      <c r="C1272">
        <v>1</v>
      </c>
      <c r="D1272" t="s">
        <v>30</v>
      </c>
      <c r="E1272" s="6">
        <v>46111.625</v>
      </c>
      <c r="F1272" s="18">
        <f t="shared" si="57"/>
        <v>0.13194444444525288</v>
      </c>
      <c r="G1272" s="19">
        <f t="shared" si="58"/>
        <v>3.1666666666860692</v>
      </c>
      <c r="H1272" s="20">
        <f t="shared" si="59"/>
        <v>190.00000000116415</v>
      </c>
    </row>
    <row r="1273" spans="1:8" x14ac:dyDescent="0.25">
      <c r="A1273">
        <v>1269</v>
      </c>
      <c r="B1273" t="s">
        <v>33</v>
      </c>
      <c r="C1273">
        <v>1</v>
      </c>
      <c r="D1273" t="s">
        <v>35</v>
      </c>
      <c r="E1273" s="6">
        <v>46111.770833333336</v>
      </c>
      <c r="F1273" s="18">
        <f t="shared" si="57"/>
        <v>0.14583333333575865</v>
      </c>
      <c r="G1273" s="19">
        <f t="shared" si="58"/>
        <v>3.5000000000582077</v>
      </c>
      <c r="H1273" s="20">
        <f t="shared" si="59"/>
        <v>210.00000000349246</v>
      </c>
    </row>
    <row r="1274" spans="1:8" hidden="1" x14ac:dyDescent="0.25">
      <c r="A1274">
        <v>1282</v>
      </c>
      <c r="B1274" t="s">
        <v>29</v>
      </c>
      <c r="C1274">
        <v>1</v>
      </c>
      <c r="D1274" t="s">
        <v>30</v>
      </c>
      <c r="E1274" s="6">
        <v>46111.770833333336</v>
      </c>
      <c r="F1274" s="18">
        <f t="shared" si="57"/>
        <v>0</v>
      </c>
      <c r="G1274" s="19">
        <f t="shared" si="58"/>
        <v>0</v>
      </c>
      <c r="H1274" s="19">
        <f t="shared" si="59"/>
        <v>0</v>
      </c>
    </row>
    <row r="1275" spans="1:8" x14ac:dyDescent="0.25">
      <c r="A1275">
        <v>1272</v>
      </c>
      <c r="B1275" t="s">
        <v>33</v>
      </c>
      <c r="C1275">
        <v>1</v>
      </c>
      <c r="D1275" t="s">
        <v>30</v>
      </c>
      <c r="E1275" s="6">
        <v>46111.930555555555</v>
      </c>
      <c r="F1275" s="18">
        <f t="shared" si="57"/>
        <v>0.15972222221898846</v>
      </c>
      <c r="G1275" s="19">
        <f t="shared" si="58"/>
        <v>3.8333333332557231</v>
      </c>
      <c r="H1275" s="20">
        <f t="shared" si="59"/>
        <v>229.99999999534339</v>
      </c>
    </row>
    <row r="1276" spans="1:8" x14ac:dyDescent="0.25">
      <c r="A1276">
        <v>1284</v>
      </c>
      <c r="B1276" t="s">
        <v>29</v>
      </c>
      <c r="C1276">
        <v>1</v>
      </c>
      <c r="D1276" t="s">
        <v>34</v>
      </c>
      <c r="E1276" s="6">
        <v>46112.000694444447</v>
      </c>
      <c r="F1276" s="18">
        <f t="shared" si="57"/>
        <v>7.013888889196096E-2</v>
      </c>
      <c r="G1276" s="19">
        <f t="shared" si="58"/>
        <v>1.683333333407063</v>
      </c>
      <c r="H1276" s="20">
        <f t="shared" si="59"/>
        <v>101.00000000442378</v>
      </c>
    </row>
    <row r="1277" spans="1:8" hidden="1" x14ac:dyDescent="0.25">
      <c r="A1277">
        <v>1225</v>
      </c>
      <c r="B1277" t="s">
        <v>29</v>
      </c>
      <c r="C1277">
        <v>1</v>
      </c>
      <c r="D1277" t="s">
        <v>32</v>
      </c>
      <c r="E1277" s="6">
        <v>46112.288194444445</v>
      </c>
      <c r="F1277" s="18">
        <f t="shared" si="57"/>
        <v>0.28749999999854481</v>
      </c>
      <c r="G1277" s="19">
        <f t="shared" si="58"/>
        <v>6.8999999999650754</v>
      </c>
      <c r="H1277" s="20">
        <f t="shared" si="59"/>
        <v>413.99999999790452</v>
      </c>
    </row>
    <row r="1278" spans="1:8" x14ac:dyDescent="0.25">
      <c r="A1278">
        <v>1283</v>
      </c>
      <c r="B1278" t="s">
        <v>29</v>
      </c>
      <c r="C1278">
        <v>1</v>
      </c>
      <c r="D1278" t="s">
        <v>34</v>
      </c>
      <c r="E1278" s="6">
        <v>46112.291666666664</v>
      </c>
      <c r="F1278" s="18">
        <f t="shared" si="57"/>
        <v>3.4722222189884633E-3</v>
      </c>
      <c r="G1278" s="19">
        <f t="shared" si="58"/>
        <v>8.3333333255723119E-2</v>
      </c>
      <c r="H1278" s="20">
        <f t="shared" si="59"/>
        <v>4.9999999953433871</v>
      </c>
    </row>
    <row r="1279" spans="1:8" x14ac:dyDescent="0.25">
      <c r="A1279">
        <v>1276</v>
      </c>
      <c r="B1279" t="s">
        <v>29</v>
      </c>
      <c r="C1279">
        <v>1</v>
      </c>
      <c r="D1279" t="s">
        <v>36</v>
      </c>
      <c r="E1279" s="6">
        <v>46112.315972222219</v>
      </c>
      <c r="F1279" s="18">
        <f t="shared" si="57"/>
        <v>2.4305555554747116E-2</v>
      </c>
      <c r="G1279" s="19">
        <f t="shared" si="58"/>
        <v>0.58333333331393078</v>
      </c>
      <c r="H1279" s="20">
        <f t="shared" si="59"/>
        <v>34.999999998835847</v>
      </c>
    </row>
    <row r="1280" spans="1:8" x14ac:dyDescent="0.25">
      <c r="A1280">
        <v>1278</v>
      </c>
      <c r="B1280" t="s">
        <v>33</v>
      </c>
      <c r="C1280">
        <v>1</v>
      </c>
      <c r="D1280" t="s">
        <v>36</v>
      </c>
      <c r="E1280" s="6">
        <v>46112.354166666664</v>
      </c>
      <c r="F1280" s="18">
        <f t="shared" si="57"/>
        <v>3.8194444445252884E-2</v>
      </c>
      <c r="G1280" s="19">
        <f t="shared" si="58"/>
        <v>0.91666666668606922</v>
      </c>
      <c r="H1280" s="20">
        <f t="shared" si="59"/>
        <v>55.000000001164153</v>
      </c>
    </row>
    <row r="1281" spans="1:8" x14ac:dyDescent="0.25">
      <c r="A1281">
        <v>1191</v>
      </c>
      <c r="B1281" t="s">
        <v>31</v>
      </c>
      <c r="C1281">
        <v>1</v>
      </c>
      <c r="D1281" t="s">
        <v>30</v>
      </c>
      <c r="E1281" s="6">
        <v>46112.376388888886</v>
      </c>
      <c r="F1281" s="18">
        <f t="shared" si="57"/>
        <v>2.2222222221898846E-2</v>
      </c>
      <c r="G1281" s="19">
        <f t="shared" si="58"/>
        <v>0.53333333332557231</v>
      </c>
      <c r="H1281" s="20">
        <f t="shared" si="59"/>
        <v>31.999999999534339</v>
      </c>
    </row>
    <row r="1282" spans="1:8" x14ac:dyDescent="0.25">
      <c r="A1282">
        <v>1280</v>
      </c>
      <c r="B1282" t="s">
        <v>29</v>
      </c>
      <c r="C1282">
        <v>1</v>
      </c>
      <c r="D1282" t="s">
        <v>30</v>
      </c>
      <c r="E1282" s="6">
        <v>46112.416666666664</v>
      </c>
      <c r="F1282" s="18">
        <f t="shared" si="57"/>
        <v>4.0277777778101154E-2</v>
      </c>
      <c r="G1282" s="19">
        <f t="shared" si="58"/>
        <v>0.96666666667442769</v>
      </c>
      <c r="H1282" s="20">
        <f t="shared" si="59"/>
        <v>58.000000000465661</v>
      </c>
    </row>
    <row r="1283" spans="1:8" x14ac:dyDescent="0.25">
      <c r="A1283">
        <v>1275</v>
      </c>
      <c r="B1283" t="s">
        <v>33</v>
      </c>
      <c r="C1283">
        <v>1</v>
      </c>
      <c r="D1283" t="s">
        <v>30</v>
      </c>
      <c r="E1283" s="6">
        <v>46112.444444444445</v>
      </c>
      <c r="F1283" s="18">
        <f t="shared" si="57"/>
        <v>2.7777777781011537E-2</v>
      </c>
      <c r="G1283" s="19">
        <f t="shared" si="58"/>
        <v>0.66666666674427688</v>
      </c>
      <c r="H1283" s="20">
        <f t="shared" si="59"/>
        <v>40.000000004656613</v>
      </c>
    </row>
    <row r="1284" spans="1:8" x14ac:dyDescent="0.25">
      <c r="A1284">
        <v>1279</v>
      </c>
      <c r="B1284" t="s">
        <v>33</v>
      </c>
      <c r="C1284">
        <v>1</v>
      </c>
      <c r="D1284" t="s">
        <v>37</v>
      </c>
      <c r="E1284" s="6">
        <v>46112.458333333336</v>
      </c>
      <c r="F1284" s="18">
        <f t="shared" si="57"/>
        <v>1.3888888890505768E-2</v>
      </c>
      <c r="G1284" s="19">
        <f t="shared" si="58"/>
        <v>0.33333333337213844</v>
      </c>
      <c r="H1284" s="20">
        <f t="shared" si="59"/>
        <v>20.000000002328306</v>
      </c>
    </row>
    <row r="1285" spans="1:8" x14ac:dyDescent="0.25">
      <c r="A1285">
        <v>1277</v>
      </c>
      <c r="B1285" t="s">
        <v>29</v>
      </c>
      <c r="C1285">
        <v>1</v>
      </c>
      <c r="D1285" t="s">
        <v>32</v>
      </c>
      <c r="E1285" s="6">
        <v>46112.506944444445</v>
      </c>
      <c r="F1285" s="18">
        <f t="shared" ref="F1285:F1294" si="60">E1285-E1284</f>
        <v>4.8611111109494232E-2</v>
      </c>
      <c r="G1285" s="19">
        <f t="shared" ref="G1285:G1294" si="61">F1285*24</f>
        <v>1.1666666666278616</v>
      </c>
      <c r="H1285" s="20">
        <f t="shared" ref="H1285:H1294" si="62">G1285*60</f>
        <v>69.999999997671694</v>
      </c>
    </row>
    <row r="1286" spans="1:8" x14ac:dyDescent="0.25">
      <c r="A1286">
        <v>1281</v>
      </c>
      <c r="B1286" t="s">
        <v>33</v>
      </c>
      <c r="C1286">
        <v>1</v>
      </c>
      <c r="D1286" t="s">
        <v>36</v>
      </c>
      <c r="E1286" s="6">
        <v>46112.583333333336</v>
      </c>
      <c r="F1286" s="18">
        <f t="shared" si="60"/>
        <v>7.6388888890505768E-2</v>
      </c>
      <c r="G1286" s="19">
        <f t="shared" si="61"/>
        <v>1.8333333333721384</v>
      </c>
      <c r="H1286" s="20">
        <f t="shared" si="62"/>
        <v>110.00000000232831</v>
      </c>
    </row>
    <row r="1287" spans="1:8" x14ac:dyDescent="0.25">
      <c r="A1287">
        <v>1285</v>
      </c>
      <c r="B1287" t="s">
        <v>31</v>
      </c>
      <c r="C1287">
        <v>1</v>
      </c>
      <c r="D1287" t="s">
        <v>30</v>
      </c>
      <c r="E1287" s="6">
        <v>46112.604166666664</v>
      </c>
      <c r="F1287" s="18">
        <f t="shared" si="60"/>
        <v>2.0833333328482695E-2</v>
      </c>
      <c r="G1287" s="19">
        <f t="shared" si="61"/>
        <v>0.49999999988358468</v>
      </c>
      <c r="H1287" s="20">
        <f t="shared" si="62"/>
        <v>29.999999993015081</v>
      </c>
    </row>
    <row r="1288" spans="1:8" x14ac:dyDescent="0.25">
      <c r="A1288">
        <v>1287</v>
      </c>
      <c r="B1288" t="s">
        <v>33</v>
      </c>
      <c r="C1288">
        <v>1</v>
      </c>
      <c r="D1288" t="s">
        <v>34</v>
      </c>
      <c r="E1288" s="6">
        <v>46112.625</v>
      </c>
      <c r="F1288" s="18">
        <f t="shared" si="60"/>
        <v>2.0833333335758653E-2</v>
      </c>
      <c r="G1288" s="19">
        <f t="shared" si="61"/>
        <v>0.50000000005820766</v>
      </c>
      <c r="H1288" s="20">
        <f t="shared" si="62"/>
        <v>30.00000000349246</v>
      </c>
    </row>
    <row r="1289" spans="1:8" x14ac:dyDescent="0.25">
      <c r="A1289">
        <v>1286</v>
      </c>
      <c r="B1289" t="s">
        <v>33</v>
      </c>
      <c r="C1289">
        <v>1</v>
      </c>
      <c r="D1289" t="s">
        <v>30</v>
      </c>
      <c r="E1289" s="6">
        <v>46112.684027777781</v>
      </c>
      <c r="F1289" s="18">
        <f t="shared" si="60"/>
        <v>5.9027777781011537E-2</v>
      </c>
      <c r="G1289" s="19">
        <f t="shared" si="61"/>
        <v>1.4166666667442769</v>
      </c>
      <c r="H1289" s="20">
        <f t="shared" si="62"/>
        <v>85.000000004656613</v>
      </c>
    </row>
    <row r="1290" spans="1:8" x14ac:dyDescent="0.25">
      <c r="A1290">
        <v>1288</v>
      </c>
      <c r="B1290" t="s">
        <v>29</v>
      </c>
      <c r="C1290">
        <v>1</v>
      </c>
      <c r="D1290" t="s">
        <v>32</v>
      </c>
      <c r="E1290" s="6">
        <v>46112.711805555555</v>
      </c>
      <c r="F1290" s="18">
        <f t="shared" si="60"/>
        <v>2.7777777773735579E-2</v>
      </c>
      <c r="G1290" s="19">
        <f t="shared" si="61"/>
        <v>0.6666666665696539</v>
      </c>
      <c r="H1290" s="20">
        <f t="shared" si="62"/>
        <v>39.999999994179234</v>
      </c>
    </row>
    <row r="1291" spans="1:8" x14ac:dyDescent="0.25">
      <c r="A1291">
        <v>1289</v>
      </c>
      <c r="B1291" t="s">
        <v>33</v>
      </c>
      <c r="C1291">
        <v>1</v>
      </c>
      <c r="D1291" t="s">
        <v>30</v>
      </c>
      <c r="E1291" s="6">
        <v>46112.847222222219</v>
      </c>
      <c r="F1291" s="18">
        <f t="shared" si="60"/>
        <v>0.13541666666424135</v>
      </c>
      <c r="G1291" s="19">
        <f t="shared" si="61"/>
        <v>3.2499999999417923</v>
      </c>
      <c r="H1291" s="20">
        <f t="shared" si="62"/>
        <v>194.99999999650754</v>
      </c>
    </row>
    <row r="1292" spans="1:8" x14ac:dyDescent="0.25">
      <c r="A1292">
        <v>1290</v>
      </c>
      <c r="B1292" t="s">
        <v>29</v>
      </c>
      <c r="C1292">
        <v>1</v>
      </c>
      <c r="D1292" t="s">
        <v>30</v>
      </c>
      <c r="E1292" s="6">
        <v>46112.930555555555</v>
      </c>
      <c r="F1292" s="18">
        <f t="shared" si="60"/>
        <v>8.3333333335758653E-2</v>
      </c>
      <c r="G1292" s="19">
        <f t="shared" si="61"/>
        <v>2.0000000000582077</v>
      </c>
      <c r="H1292" s="20">
        <f t="shared" si="62"/>
        <v>120.00000000349246</v>
      </c>
    </row>
    <row r="1293" spans="1:8" x14ac:dyDescent="0.25">
      <c r="A1293">
        <v>1291</v>
      </c>
      <c r="B1293" t="s">
        <v>31</v>
      </c>
      <c r="C1293">
        <v>1</v>
      </c>
      <c r="D1293" t="s">
        <v>30</v>
      </c>
      <c r="E1293" s="6">
        <v>46112.951388888891</v>
      </c>
      <c r="F1293" s="18">
        <f t="shared" si="60"/>
        <v>2.0833333335758653E-2</v>
      </c>
      <c r="G1293" s="19">
        <f t="shared" si="61"/>
        <v>0.50000000005820766</v>
      </c>
      <c r="H1293" s="20">
        <f t="shared" si="62"/>
        <v>30.00000000349246</v>
      </c>
    </row>
    <row r="1294" spans="1:8" x14ac:dyDescent="0.25">
      <c r="A1294">
        <v>1292</v>
      </c>
      <c r="B1294" t="s">
        <v>29</v>
      </c>
      <c r="C1294">
        <v>1</v>
      </c>
      <c r="D1294" t="s">
        <v>30</v>
      </c>
      <c r="E1294" s="6">
        <v>46112.988194444442</v>
      </c>
      <c r="F1294" s="18">
        <f t="shared" si="60"/>
        <v>3.6805555551836733E-2</v>
      </c>
      <c r="G1294" s="19">
        <f t="shared" si="61"/>
        <v>0.88333333324408159</v>
      </c>
      <c r="H1294" s="20">
        <f t="shared" si="62"/>
        <v>52.999999994644895</v>
      </c>
    </row>
  </sheetData>
  <autoFilter ref="A2:H1294" xr:uid="{F63C2BC0-C491-4DA6-8ACA-35C412D150C6}">
    <filterColumn colId="7">
      <customFilters and="1">
        <customFilter operator="greaterThan" val="0"/>
        <customFilter operator="lessThan" val="271"/>
      </customFilters>
    </filterColumn>
    <sortState xmlns:xlrd2="http://schemas.microsoft.com/office/spreadsheetml/2017/richdata2" ref="A3:H1294">
      <sortCondition ref="E2:E1294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B862-A240-44BB-A4C9-251714FC3CA4}">
  <dimension ref="B2:S1311"/>
  <sheetViews>
    <sheetView topLeftCell="C1" workbookViewId="0">
      <selection activeCell="P3" sqref="P3"/>
    </sheetView>
  </sheetViews>
  <sheetFormatPr defaultRowHeight="15" x14ac:dyDescent="0.25"/>
  <cols>
    <col min="1" max="1" width="3.85546875" customWidth="1"/>
    <col min="5" max="5" width="17.7109375" bestFit="1" customWidth="1"/>
    <col min="6" max="6" width="15.5703125" bestFit="1" customWidth="1"/>
    <col min="7" max="7" width="20.28515625" bestFit="1" customWidth="1"/>
    <col min="8" max="8" width="19.28515625" bestFit="1" customWidth="1"/>
    <col min="9" max="9" width="16.5703125" bestFit="1" customWidth="1"/>
    <col min="10" max="10" width="17.7109375" bestFit="1" customWidth="1"/>
    <col min="11" max="11" width="17" bestFit="1" customWidth="1"/>
    <col min="12" max="12" width="5.28515625" customWidth="1"/>
    <col min="13" max="13" width="18.28515625" bestFit="1" customWidth="1"/>
    <col min="15" max="15" width="15.5703125" style="9" bestFit="1" customWidth="1"/>
    <col min="16" max="16" width="8.42578125" style="9" customWidth="1"/>
    <col min="17" max="17" width="9" customWidth="1"/>
  </cols>
  <sheetData>
    <row r="2" spans="15:18" x14ac:dyDescent="0.25">
      <c r="O2" s="14" t="s">
        <v>58</v>
      </c>
      <c r="P2" t="s">
        <v>59</v>
      </c>
      <c r="Q2" s="4" t="s">
        <v>72</v>
      </c>
      <c r="R2" t="s">
        <v>73</v>
      </c>
    </row>
    <row r="3" spans="15:18" x14ac:dyDescent="0.25">
      <c r="O3" s="15">
        <v>0</v>
      </c>
      <c r="P3" s="15">
        <f>COUNTIFS($N$20:$N$1311,"&gt;="&amp;O3,$N$20:$N$1311,"&lt;"&amp;O4)</f>
        <v>45</v>
      </c>
      <c r="Q3" s="17" t="s">
        <v>60</v>
      </c>
      <c r="R3" s="4">
        <f>P3/SUM($P$3:$P$14)</f>
        <v>3.4829721362229102E-2</v>
      </c>
    </row>
    <row r="4" spans="15:18" x14ac:dyDescent="0.25">
      <c r="O4" s="11">
        <v>2</v>
      </c>
      <c r="P4" s="15">
        <f>COUNTIFS($N$20:$N$1311,"&gt;="&amp;O4,$N$20:$N$1311,"&lt;"&amp;O5)</f>
        <v>12</v>
      </c>
      <c r="Q4" s="17" t="s">
        <v>61</v>
      </c>
      <c r="R4" s="4">
        <f>P4/SUM($P$3:$P$14)</f>
        <v>9.2879256965944269E-3</v>
      </c>
    </row>
    <row r="5" spans="15:18" x14ac:dyDescent="0.25">
      <c r="O5" s="11">
        <v>4</v>
      </c>
      <c r="P5" s="15">
        <f>COUNTIFS($N$20:$N$1311,"&gt;="&amp;O5,$N$20:$N$1311,"&lt;"&amp;O6)</f>
        <v>13</v>
      </c>
      <c r="Q5" s="17" t="s">
        <v>62</v>
      </c>
      <c r="R5" s="4">
        <f>P5/SUM($P$3:$P$14)</f>
        <v>1.0061919504643963E-2</v>
      </c>
    </row>
    <row r="6" spans="15:18" x14ac:dyDescent="0.25">
      <c r="O6" s="15">
        <v>6</v>
      </c>
      <c r="P6" s="15">
        <f>COUNTIFS($N$20:$N$1311,"&gt;="&amp;O6,$N$20:$N$1311,"&lt;"&amp;O7)</f>
        <v>240</v>
      </c>
      <c r="Q6" s="17" t="s">
        <v>63</v>
      </c>
      <c r="R6" s="4">
        <f>P6/SUM($P$3:$P$14)</f>
        <v>0.18575851393188855</v>
      </c>
    </row>
    <row r="7" spans="15:18" x14ac:dyDescent="0.25">
      <c r="O7" s="11">
        <v>8</v>
      </c>
      <c r="P7" s="15">
        <f>COUNTIFS($N$20:$N$1311,"&gt;="&amp;O7,$N$20:$N$1311,"&lt;"&amp;O8)</f>
        <v>143</v>
      </c>
      <c r="Q7" s="17" t="s">
        <v>64</v>
      </c>
      <c r="R7" s="4">
        <f>P7/SUM($P$3:$P$14)</f>
        <v>0.11068111455108359</v>
      </c>
    </row>
    <row r="8" spans="15:18" x14ac:dyDescent="0.25">
      <c r="O8" s="11">
        <v>10</v>
      </c>
      <c r="P8" s="15">
        <f>COUNTIFS($N$20:$N$1311,"&gt;="&amp;O8,$N$20:$N$1311,"&lt;"&amp;O9)</f>
        <v>195</v>
      </c>
      <c r="Q8" s="17" t="s">
        <v>65</v>
      </c>
      <c r="R8" s="4">
        <f>P8/SUM($P$3:$P$14)</f>
        <v>0.15092879256965944</v>
      </c>
    </row>
    <row r="9" spans="15:18" x14ac:dyDescent="0.25">
      <c r="O9" s="15">
        <v>12</v>
      </c>
      <c r="P9" s="15">
        <f>COUNTIFS($N$20:$N$1311,"&gt;="&amp;O9,$N$20:$N$1311,"&lt;"&amp;O10)</f>
        <v>139</v>
      </c>
      <c r="Q9" s="17" t="s">
        <v>66</v>
      </c>
      <c r="R9" s="4">
        <f>P9/SUM($P$3:$P$14)</f>
        <v>0.10758513931888544</v>
      </c>
    </row>
    <row r="10" spans="15:18" x14ac:dyDescent="0.25">
      <c r="O10" s="11">
        <v>14</v>
      </c>
      <c r="P10" s="15">
        <f>COUNTIFS($N$20:$N$1311,"&gt;="&amp;O10,$N$20:$N$1311,"&lt;"&amp;O11)</f>
        <v>162</v>
      </c>
      <c r="Q10" s="17" t="s">
        <v>67</v>
      </c>
      <c r="R10" s="4">
        <f>P10/SUM($P$3:$P$14)</f>
        <v>0.12538699690402477</v>
      </c>
    </row>
    <row r="11" spans="15:18" x14ac:dyDescent="0.25">
      <c r="O11" s="11">
        <v>16</v>
      </c>
      <c r="P11" s="15">
        <f>COUNTIFS($N$20:$N$1311,"&gt;="&amp;O11,$N$20:$N$1311,"&lt;"&amp;O12)</f>
        <v>137</v>
      </c>
      <c r="Q11" s="17" t="s">
        <v>68</v>
      </c>
      <c r="R11" s="4">
        <f>P11/SUM($P$3:$P$14)</f>
        <v>0.10603715170278638</v>
      </c>
    </row>
    <row r="12" spans="15:18" x14ac:dyDescent="0.25">
      <c r="O12" s="15">
        <v>18</v>
      </c>
      <c r="P12" s="15">
        <f>COUNTIFS($N$20:$N$1311,"&gt;="&amp;O12,$N$20:$N$1311,"&lt;"&amp;O13)</f>
        <v>45</v>
      </c>
      <c r="Q12" s="17" t="s">
        <v>69</v>
      </c>
      <c r="R12" s="4">
        <f>P12/SUM($P$3:$P$14)</f>
        <v>3.4829721362229102E-2</v>
      </c>
    </row>
    <row r="13" spans="15:18" x14ac:dyDescent="0.25">
      <c r="O13" s="11">
        <v>20</v>
      </c>
      <c r="P13" s="15">
        <f>COUNTIFS($N$20:$N$1311,"&gt;="&amp;O13,$N$20:$N$1311,"&lt;"&amp;O14)</f>
        <v>82</v>
      </c>
      <c r="Q13" s="17" t="s">
        <v>70</v>
      </c>
      <c r="R13" s="4">
        <f>P13/SUM($P$3:$P$14)</f>
        <v>6.3467492260061917E-2</v>
      </c>
    </row>
    <row r="14" spans="15:18" x14ac:dyDescent="0.25">
      <c r="O14" s="11">
        <v>22</v>
      </c>
      <c r="P14" s="15">
        <f>COUNTIFS($N$20:$N$1311,"&gt;="&amp;O14,$N$20:$N$1311,"&lt;24")</f>
        <v>79</v>
      </c>
      <c r="Q14" s="17" t="s">
        <v>71</v>
      </c>
      <c r="R14" s="4">
        <f>P14/SUM($P$3:$P$14)</f>
        <v>6.1145510835913311E-2</v>
      </c>
    </row>
    <row r="18" spans="2:19" ht="15.75" thickBot="1" x14ac:dyDescent="0.3"/>
    <row r="19" spans="2:19" x14ac:dyDescent="0.25">
      <c r="B19" t="s">
        <v>14</v>
      </c>
      <c r="C19" t="s">
        <v>18</v>
      </c>
      <c r="D19" t="s">
        <v>19</v>
      </c>
      <c r="E19" t="s">
        <v>20</v>
      </c>
      <c r="F19" s="13" t="s">
        <v>21</v>
      </c>
      <c r="G19" s="6" t="s">
        <v>22</v>
      </c>
      <c r="H19" s="6" t="s">
        <v>23</v>
      </c>
      <c r="I19" s="6" t="s">
        <v>24</v>
      </c>
      <c r="J19" s="6" t="s">
        <v>25</v>
      </c>
      <c r="K19" s="6" t="s">
        <v>26</v>
      </c>
      <c r="L19" t="s">
        <v>27</v>
      </c>
      <c r="M19" s="6" t="s">
        <v>28</v>
      </c>
      <c r="N19" s="8" t="s">
        <v>57</v>
      </c>
      <c r="S19" s="16"/>
    </row>
    <row r="20" spans="2:19" x14ac:dyDescent="0.25">
      <c r="B20">
        <v>1</v>
      </c>
      <c r="C20" t="s">
        <v>29</v>
      </c>
      <c r="D20">
        <v>1</v>
      </c>
      <c r="E20" t="s">
        <v>30</v>
      </c>
      <c r="F20" s="6">
        <v>46024.256944444445</v>
      </c>
      <c r="G20" s="6">
        <v>46024.270833333336</v>
      </c>
      <c r="H20" s="6">
        <v>46024.274305555555</v>
      </c>
      <c r="I20" s="6">
        <v>46024.282638888886</v>
      </c>
      <c r="J20" s="6">
        <v>46024.284722222219</v>
      </c>
      <c r="K20" s="6">
        <v>46024.291666666664</v>
      </c>
      <c r="L20">
        <v>0.83</v>
      </c>
      <c r="M20" s="6">
        <v>46024.298611111109</v>
      </c>
      <c r="N20">
        <f>HOUR(F20)</f>
        <v>6</v>
      </c>
    </row>
    <row r="21" spans="2:19" x14ac:dyDescent="0.25">
      <c r="B21">
        <v>2</v>
      </c>
      <c r="C21" t="s">
        <v>31</v>
      </c>
      <c r="D21">
        <v>1</v>
      </c>
      <c r="E21" t="s">
        <v>32</v>
      </c>
      <c r="F21" s="6">
        <v>46027.364583333336</v>
      </c>
      <c r="G21" s="6">
        <v>46027.371527777781</v>
      </c>
      <c r="H21" s="6">
        <v>46027.399305555555</v>
      </c>
      <c r="I21" s="6">
        <v>46027.503472222219</v>
      </c>
      <c r="J21" s="6">
        <v>46027.510416666664</v>
      </c>
      <c r="K21" s="6">
        <v>46027.513888888891</v>
      </c>
      <c r="L21">
        <v>3.58</v>
      </c>
      <c r="M21" s="6">
        <v>46027.520833333336</v>
      </c>
      <c r="N21">
        <f t="shared" ref="N21:N84" si="0">HOUR(F21)</f>
        <v>8</v>
      </c>
    </row>
    <row r="22" spans="2:19" x14ac:dyDescent="0.25">
      <c r="B22">
        <v>3</v>
      </c>
      <c r="C22" t="s">
        <v>31</v>
      </c>
      <c r="D22">
        <v>1</v>
      </c>
      <c r="E22" t="s">
        <v>30</v>
      </c>
      <c r="F22" s="6">
        <v>46035.375</v>
      </c>
      <c r="G22" s="6">
        <v>46035.381944444445</v>
      </c>
      <c r="H22" s="6">
        <v>46035.458333333336</v>
      </c>
      <c r="I22" s="6">
        <v>46035.509722222225</v>
      </c>
      <c r="J22" s="6">
        <v>46035.51666666667</v>
      </c>
      <c r="K22" s="6">
        <v>46035.541666666664</v>
      </c>
      <c r="L22">
        <v>4</v>
      </c>
      <c r="M22" s="6">
        <v>46035.548611111109</v>
      </c>
      <c r="N22">
        <f t="shared" si="0"/>
        <v>9</v>
      </c>
    </row>
    <row r="23" spans="2:19" x14ac:dyDescent="0.25">
      <c r="B23">
        <v>4</v>
      </c>
      <c r="C23" t="s">
        <v>33</v>
      </c>
      <c r="D23">
        <v>1</v>
      </c>
      <c r="E23" t="s">
        <v>34</v>
      </c>
      <c r="F23" s="6">
        <v>46024.607638888891</v>
      </c>
      <c r="G23" s="6">
        <v>46024.618055555555</v>
      </c>
      <c r="H23" s="6">
        <v>46024.645833333336</v>
      </c>
      <c r="I23" s="6">
        <v>46024.776388888888</v>
      </c>
      <c r="J23" s="6">
        <v>46024.815972222219</v>
      </c>
      <c r="K23" s="6">
        <v>46024.819444444445</v>
      </c>
      <c r="L23">
        <v>5.08</v>
      </c>
      <c r="M23" s="6">
        <v>46024.820833333331</v>
      </c>
      <c r="N23">
        <f t="shared" si="0"/>
        <v>14</v>
      </c>
    </row>
    <row r="24" spans="2:19" x14ac:dyDescent="0.25">
      <c r="B24">
        <v>5</v>
      </c>
      <c r="C24" t="s">
        <v>33</v>
      </c>
      <c r="D24">
        <v>1</v>
      </c>
      <c r="E24" t="s">
        <v>35</v>
      </c>
      <c r="F24" s="6">
        <v>46028.324999999997</v>
      </c>
      <c r="G24" s="6">
        <v>46028.331944444442</v>
      </c>
      <c r="H24" s="6">
        <v>46028.333333333336</v>
      </c>
      <c r="I24" s="6">
        <v>46028.338194444441</v>
      </c>
      <c r="J24" s="6">
        <v>46028.339583333334</v>
      </c>
      <c r="K24" s="6">
        <v>46028.340277777781</v>
      </c>
      <c r="L24">
        <v>0.37</v>
      </c>
      <c r="M24" s="6">
        <v>46028.341666666667</v>
      </c>
      <c r="N24">
        <f t="shared" si="0"/>
        <v>7</v>
      </c>
    </row>
    <row r="25" spans="2:19" x14ac:dyDescent="0.25">
      <c r="B25">
        <v>6</v>
      </c>
      <c r="C25" t="s">
        <v>31</v>
      </c>
      <c r="D25">
        <v>1</v>
      </c>
      <c r="E25" t="s">
        <v>36</v>
      </c>
      <c r="F25" s="6">
        <v>46028.361111111109</v>
      </c>
      <c r="G25" s="6">
        <v>46028.364583333336</v>
      </c>
      <c r="H25" s="6">
        <v>46028.368055555555</v>
      </c>
      <c r="I25" s="6">
        <v>46028.375</v>
      </c>
      <c r="J25" s="6">
        <v>46028.378472222219</v>
      </c>
      <c r="K25" s="6">
        <v>46028.392361111109</v>
      </c>
      <c r="L25">
        <v>0.75</v>
      </c>
      <c r="M25" s="6">
        <v>46028.395833333336</v>
      </c>
      <c r="N25">
        <f t="shared" si="0"/>
        <v>8</v>
      </c>
    </row>
    <row r="26" spans="2:19" x14ac:dyDescent="0.25">
      <c r="B26">
        <v>7</v>
      </c>
      <c r="C26" t="s">
        <v>33</v>
      </c>
      <c r="D26">
        <v>1</v>
      </c>
      <c r="E26" t="s">
        <v>35</v>
      </c>
      <c r="F26" s="6">
        <v>46023.635416666664</v>
      </c>
      <c r="G26" s="6">
        <v>46023.645833333336</v>
      </c>
      <c r="H26" s="6">
        <v>46023.666666666664</v>
      </c>
      <c r="I26" s="6">
        <v>46023.710416666669</v>
      </c>
      <c r="J26" s="6">
        <v>46023.717361111114</v>
      </c>
      <c r="K26" s="6">
        <v>46023.722222222219</v>
      </c>
      <c r="L26">
        <v>2.08</v>
      </c>
      <c r="M26" s="6">
        <v>46023.729166666664</v>
      </c>
      <c r="N26">
        <f t="shared" si="0"/>
        <v>15</v>
      </c>
    </row>
    <row r="27" spans="2:19" x14ac:dyDescent="0.25">
      <c r="B27">
        <v>8</v>
      </c>
      <c r="C27" t="s">
        <v>33</v>
      </c>
      <c r="D27">
        <v>1</v>
      </c>
      <c r="E27" t="s">
        <v>34</v>
      </c>
      <c r="F27" s="6">
        <v>46023.291666666664</v>
      </c>
      <c r="G27" s="6">
        <v>46023.333333333336</v>
      </c>
      <c r="H27" s="6">
        <v>46023.375</v>
      </c>
      <c r="I27" s="6">
        <v>46023.513888888891</v>
      </c>
      <c r="J27" s="6">
        <v>46023.520833333336</v>
      </c>
      <c r="K27" s="6">
        <v>46023.541666666664</v>
      </c>
      <c r="L27">
        <v>6</v>
      </c>
      <c r="M27" s="6">
        <v>46023.548611111109</v>
      </c>
      <c r="N27">
        <f t="shared" si="0"/>
        <v>7</v>
      </c>
    </row>
    <row r="28" spans="2:19" x14ac:dyDescent="0.25">
      <c r="B28">
        <v>9</v>
      </c>
      <c r="C28" t="s">
        <v>33</v>
      </c>
      <c r="D28">
        <v>1</v>
      </c>
      <c r="E28" t="s">
        <v>30</v>
      </c>
      <c r="F28" s="6">
        <v>46023.352083333331</v>
      </c>
      <c r="G28" s="6">
        <v>46023.361111111109</v>
      </c>
      <c r="H28" s="6">
        <v>46023.368055555555</v>
      </c>
      <c r="I28" s="6">
        <v>46023.375</v>
      </c>
      <c r="J28" s="6">
        <v>46023.381944444445</v>
      </c>
      <c r="K28" s="6">
        <v>46023.385416666664</v>
      </c>
      <c r="L28">
        <v>0.8</v>
      </c>
      <c r="M28" s="6">
        <v>46023.395833333336</v>
      </c>
      <c r="N28">
        <f t="shared" si="0"/>
        <v>8</v>
      </c>
    </row>
    <row r="29" spans="2:19" x14ac:dyDescent="0.25">
      <c r="B29">
        <v>10</v>
      </c>
      <c r="C29" t="s">
        <v>33</v>
      </c>
      <c r="D29">
        <v>1</v>
      </c>
      <c r="E29" t="s">
        <v>34</v>
      </c>
      <c r="F29" s="6">
        <v>46023.361111111109</v>
      </c>
      <c r="G29" s="6">
        <v>46023.375</v>
      </c>
      <c r="H29" s="6">
        <v>46023.416666666664</v>
      </c>
      <c r="I29" s="6">
        <v>46023.461805555555</v>
      </c>
      <c r="J29" s="6">
        <v>46023.46875</v>
      </c>
      <c r="K29" s="6">
        <v>46023.5</v>
      </c>
      <c r="L29">
        <v>3.33</v>
      </c>
      <c r="M29" s="6">
        <v>46023.506944444445</v>
      </c>
      <c r="N29">
        <f t="shared" si="0"/>
        <v>8</v>
      </c>
    </row>
    <row r="30" spans="2:19" x14ac:dyDescent="0.25">
      <c r="B30">
        <v>11</v>
      </c>
      <c r="C30" t="s">
        <v>31</v>
      </c>
      <c r="D30">
        <v>1</v>
      </c>
      <c r="E30" t="s">
        <v>30</v>
      </c>
      <c r="F30" s="6">
        <v>46023</v>
      </c>
      <c r="G30" s="6">
        <v>46023.006944444445</v>
      </c>
      <c r="H30" s="6">
        <v>46023.020833333336</v>
      </c>
      <c r="I30" s="6">
        <v>46023.055555555555</v>
      </c>
      <c r="J30" s="6">
        <v>46023.059027777781</v>
      </c>
      <c r="K30" s="6">
        <v>46023.065972222219</v>
      </c>
      <c r="L30">
        <v>1.58</v>
      </c>
      <c r="M30" s="6">
        <v>46023.066666666666</v>
      </c>
      <c r="N30">
        <f t="shared" si="0"/>
        <v>0</v>
      </c>
    </row>
    <row r="31" spans="2:19" x14ac:dyDescent="0.25">
      <c r="B31">
        <v>12</v>
      </c>
      <c r="C31" t="s">
        <v>33</v>
      </c>
      <c r="D31">
        <v>1</v>
      </c>
      <c r="E31" t="s">
        <v>30</v>
      </c>
      <c r="F31" s="6">
        <v>46023.121527777781</v>
      </c>
      <c r="G31" s="6">
        <v>46023.125</v>
      </c>
      <c r="H31" s="6">
        <v>46023.131944444445</v>
      </c>
      <c r="I31" s="6">
        <v>46023.145833333336</v>
      </c>
      <c r="J31" s="6">
        <v>46023.149305555555</v>
      </c>
      <c r="K31" s="6">
        <v>46023.152777777781</v>
      </c>
      <c r="L31">
        <v>0.75</v>
      </c>
      <c r="M31" s="6">
        <v>46023.159722222219</v>
      </c>
      <c r="N31">
        <f t="shared" si="0"/>
        <v>2</v>
      </c>
    </row>
    <row r="32" spans="2:19" x14ac:dyDescent="0.25">
      <c r="B32">
        <v>13</v>
      </c>
      <c r="C32" t="s">
        <v>29</v>
      </c>
      <c r="D32">
        <v>1</v>
      </c>
      <c r="E32" t="s">
        <v>30</v>
      </c>
      <c r="F32" s="6">
        <v>46024.5</v>
      </c>
      <c r="G32" s="6">
        <v>46024.506944444445</v>
      </c>
      <c r="H32" s="6">
        <v>46024.520833333336</v>
      </c>
      <c r="I32" s="6">
        <v>46024.5625</v>
      </c>
      <c r="J32" s="6">
        <v>46024.569444444445</v>
      </c>
      <c r="K32" s="6">
        <v>46024.576388888891</v>
      </c>
      <c r="L32">
        <v>1.83</v>
      </c>
      <c r="M32" s="6">
        <v>46024.583333333336</v>
      </c>
      <c r="N32">
        <f t="shared" si="0"/>
        <v>12</v>
      </c>
      <c r="O32" s="15"/>
      <c r="P32" s="15"/>
      <c r="R32" s="11"/>
    </row>
    <row r="33" spans="2:18" x14ac:dyDescent="0.25">
      <c r="B33">
        <v>14</v>
      </c>
      <c r="C33" t="s">
        <v>33</v>
      </c>
      <c r="D33">
        <v>1</v>
      </c>
      <c r="E33" t="s">
        <v>36</v>
      </c>
      <c r="F33" s="6">
        <v>46023.416666666664</v>
      </c>
      <c r="G33" s="6">
        <v>46023.430555555555</v>
      </c>
      <c r="H33" s="6">
        <v>46023.451388888891</v>
      </c>
      <c r="I33" s="6">
        <v>46023.472222222219</v>
      </c>
      <c r="J33" s="6">
        <v>46023.479166666664</v>
      </c>
      <c r="K33" s="6">
        <v>46023.611111111109</v>
      </c>
      <c r="L33">
        <v>4.67</v>
      </c>
      <c r="M33" s="6">
        <v>46023.618055555555</v>
      </c>
      <c r="N33">
        <f t="shared" si="0"/>
        <v>10</v>
      </c>
      <c r="R33" s="11"/>
    </row>
    <row r="34" spans="2:18" x14ac:dyDescent="0.25">
      <c r="B34">
        <v>15</v>
      </c>
      <c r="C34" t="s">
        <v>31</v>
      </c>
      <c r="D34">
        <v>1</v>
      </c>
      <c r="E34" t="s">
        <v>32</v>
      </c>
      <c r="F34" s="6">
        <v>46023.440972222219</v>
      </c>
      <c r="G34" s="6">
        <v>46023.458333333336</v>
      </c>
      <c r="H34" s="6">
        <v>46023.46875</v>
      </c>
      <c r="I34" s="6">
        <v>46023.527777777781</v>
      </c>
      <c r="J34" s="6">
        <v>46023.53125</v>
      </c>
      <c r="K34" s="6">
        <v>46023.534722222219</v>
      </c>
      <c r="L34">
        <v>2.25</v>
      </c>
      <c r="M34" s="6">
        <v>46023.541666666664</v>
      </c>
      <c r="N34">
        <f t="shared" si="0"/>
        <v>10</v>
      </c>
      <c r="R34" s="11"/>
    </row>
    <row r="35" spans="2:18" x14ac:dyDescent="0.25">
      <c r="B35">
        <v>16</v>
      </c>
      <c r="C35" t="s">
        <v>33</v>
      </c>
      <c r="D35">
        <v>1</v>
      </c>
      <c r="E35" t="s">
        <v>30</v>
      </c>
      <c r="F35" s="6">
        <v>46023.454861111109</v>
      </c>
      <c r="G35" s="6">
        <v>46023.461805555555</v>
      </c>
      <c r="H35" s="6">
        <v>46023.482638888891</v>
      </c>
      <c r="I35" s="6">
        <v>46023.534722222219</v>
      </c>
      <c r="J35" s="6">
        <v>46023.541666666664</v>
      </c>
      <c r="K35" s="6">
        <v>46023.548611111109</v>
      </c>
      <c r="L35">
        <v>2.25</v>
      </c>
      <c r="M35" s="6">
        <v>46023.555555555555</v>
      </c>
      <c r="N35">
        <f t="shared" si="0"/>
        <v>10</v>
      </c>
      <c r="R35" s="11"/>
    </row>
    <row r="36" spans="2:18" x14ac:dyDescent="0.25">
      <c r="B36">
        <v>17</v>
      </c>
      <c r="C36" t="s">
        <v>29</v>
      </c>
      <c r="D36">
        <v>1</v>
      </c>
      <c r="E36" t="s">
        <v>34</v>
      </c>
      <c r="F36" s="6">
        <v>46023.590277777781</v>
      </c>
      <c r="G36" s="6">
        <v>46023.611111111109</v>
      </c>
      <c r="H36" s="6">
        <v>46023.625</v>
      </c>
      <c r="I36" s="6">
        <v>46023.694444444445</v>
      </c>
      <c r="J36" s="6">
        <v>46023.701388888891</v>
      </c>
      <c r="K36" s="6">
        <v>46023.729166666664</v>
      </c>
      <c r="L36">
        <v>3.33</v>
      </c>
      <c r="M36" s="6">
        <v>46023.736111111109</v>
      </c>
      <c r="N36">
        <f t="shared" si="0"/>
        <v>14</v>
      </c>
      <c r="R36" s="11"/>
    </row>
    <row r="37" spans="2:18" x14ac:dyDescent="0.25">
      <c r="B37">
        <v>18</v>
      </c>
      <c r="C37" t="s">
        <v>29</v>
      </c>
      <c r="D37">
        <v>1</v>
      </c>
      <c r="E37" t="s">
        <v>34</v>
      </c>
      <c r="F37" s="6">
        <v>46024.465277777781</v>
      </c>
      <c r="G37" s="6">
        <v>46024.479166666664</v>
      </c>
      <c r="H37" s="6">
        <v>46024.486111111109</v>
      </c>
      <c r="I37" s="6">
        <v>46024.503472222219</v>
      </c>
      <c r="J37" s="6">
        <v>46024.505555555559</v>
      </c>
      <c r="K37" s="6">
        <v>46024.513888888891</v>
      </c>
      <c r="L37">
        <v>1.17</v>
      </c>
      <c r="M37" s="6">
        <v>46024.51458333333</v>
      </c>
      <c r="N37">
        <f t="shared" si="0"/>
        <v>11</v>
      </c>
      <c r="R37" s="11"/>
    </row>
    <row r="38" spans="2:18" x14ac:dyDescent="0.25">
      <c r="B38">
        <v>19</v>
      </c>
      <c r="C38" t="s">
        <v>33</v>
      </c>
      <c r="D38">
        <v>1</v>
      </c>
      <c r="E38" t="s">
        <v>36</v>
      </c>
      <c r="F38" s="6">
        <v>46024.586805555555</v>
      </c>
      <c r="G38" s="6">
        <v>46024.59375</v>
      </c>
      <c r="H38" s="6">
        <v>46024.607638888891</v>
      </c>
      <c r="I38" s="6">
        <v>46024.65</v>
      </c>
      <c r="J38" s="6">
        <v>46024.656944444447</v>
      </c>
      <c r="K38" s="6">
        <v>46024.666666666664</v>
      </c>
      <c r="L38">
        <v>1.92</v>
      </c>
      <c r="M38" s="6">
        <v>46024.673611111109</v>
      </c>
      <c r="N38">
        <f t="shared" si="0"/>
        <v>14</v>
      </c>
      <c r="R38" s="11"/>
    </row>
    <row r="39" spans="2:18" x14ac:dyDescent="0.25">
      <c r="B39">
        <v>20</v>
      </c>
      <c r="C39" t="s">
        <v>31</v>
      </c>
      <c r="D39">
        <v>1</v>
      </c>
      <c r="E39" t="s">
        <v>34</v>
      </c>
      <c r="F39" s="6">
        <v>46024.295138888891</v>
      </c>
      <c r="G39" s="6">
        <v>46024.361111111109</v>
      </c>
      <c r="H39" s="6">
        <v>46024.444444444445</v>
      </c>
      <c r="I39" s="6">
        <v>46024.552083333336</v>
      </c>
      <c r="J39" s="6">
        <v>46024.559027777781</v>
      </c>
      <c r="K39" s="6">
        <v>46024.576388888891</v>
      </c>
      <c r="L39">
        <v>6.75</v>
      </c>
      <c r="M39" s="6">
        <v>46024.579861111109</v>
      </c>
      <c r="N39">
        <f t="shared" si="0"/>
        <v>7</v>
      </c>
      <c r="R39" s="11"/>
    </row>
    <row r="40" spans="2:18" x14ac:dyDescent="0.25">
      <c r="B40">
        <v>21</v>
      </c>
      <c r="C40" t="s">
        <v>33</v>
      </c>
      <c r="D40">
        <v>1</v>
      </c>
      <c r="E40" t="s">
        <v>35</v>
      </c>
      <c r="F40" s="6">
        <v>46024.336805555555</v>
      </c>
      <c r="G40" s="6">
        <v>46024.347222222219</v>
      </c>
      <c r="H40" s="6">
        <v>46024.349305555559</v>
      </c>
      <c r="I40" s="6">
        <v>46024.355555555558</v>
      </c>
      <c r="J40" s="6">
        <v>46024.361111111109</v>
      </c>
      <c r="K40" s="6">
        <v>46024.377083333333</v>
      </c>
      <c r="L40">
        <v>0.97</v>
      </c>
      <c r="M40" s="6">
        <v>46024.378472222219</v>
      </c>
      <c r="N40">
        <f t="shared" si="0"/>
        <v>8</v>
      </c>
      <c r="R40" s="11"/>
    </row>
    <row r="41" spans="2:18" x14ac:dyDescent="0.25">
      <c r="B41">
        <v>22</v>
      </c>
      <c r="C41" t="s">
        <v>33</v>
      </c>
      <c r="D41">
        <v>1</v>
      </c>
      <c r="E41" t="s">
        <v>32</v>
      </c>
      <c r="F41" s="6">
        <v>46023.6875</v>
      </c>
      <c r="G41" s="6">
        <v>46023.697916666664</v>
      </c>
      <c r="H41" s="6">
        <v>46023.708333333336</v>
      </c>
      <c r="I41" s="6">
        <v>46023.729166666664</v>
      </c>
      <c r="J41" s="6">
        <v>46023.736111111109</v>
      </c>
      <c r="K41" s="6">
        <v>46023.739583333336</v>
      </c>
      <c r="L41">
        <v>1.25</v>
      </c>
      <c r="M41" s="6">
        <v>46023.746527777781</v>
      </c>
      <c r="N41">
        <f t="shared" si="0"/>
        <v>16</v>
      </c>
      <c r="R41" s="11"/>
    </row>
    <row r="42" spans="2:18" x14ac:dyDescent="0.25">
      <c r="B42">
        <v>23</v>
      </c>
      <c r="C42" t="s">
        <v>31</v>
      </c>
      <c r="D42">
        <v>1</v>
      </c>
      <c r="E42" t="s">
        <v>30</v>
      </c>
      <c r="F42" s="6">
        <v>46024.291666666664</v>
      </c>
      <c r="G42" s="6">
        <v>46024.326388888891</v>
      </c>
      <c r="H42" s="6">
        <v>46024.34375</v>
      </c>
      <c r="I42" s="6">
        <v>46024.44027777778</v>
      </c>
      <c r="J42" s="6">
        <v>46024.447222222225</v>
      </c>
      <c r="K42" s="6">
        <v>46024.458333333336</v>
      </c>
      <c r="L42">
        <v>4</v>
      </c>
      <c r="M42" s="6">
        <v>46024.465277777781</v>
      </c>
      <c r="N42">
        <f t="shared" si="0"/>
        <v>7</v>
      </c>
      <c r="R42" s="11"/>
    </row>
    <row r="43" spans="2:18" x14ac:dyDescent="0.25">
      <c r="B43">
        <v>24</v>
      </c>
      <c r="C43" t="s">
        <v>31</v>
      </c>
      <c r="D43">
        <v>1</v>
      </c>
      <c r="E43" t="s">
        <v>34</v>
      </c>
      <c r="F43" s="6">
        <v>46024.322916666664</v>
      </c>
      <c r="G43" s="6">
        <v>46024.354166666664</v>
      </c>
      <c r="H43" s="6">
        <v>46024.375</v>
      </c>
      <c r="I43" s="6">
        <v>46024.452777777777</v>
      </c>
      <c r="J43" s="6">
        <v>46024.458333333336</v>
      </c>
      <c r="K43" s="6">
        <v>46024.489583333336</v>
      </c>
      <c r="L43">
        <v>4</v>
      </c>
      <c r="M43" s="6">
        <v>46024.496527777781</v>
      </c>
      <c r="N43">
        <f t="shared" si="0"/>
        <v>7</v>
      </c>
      <c r="R43" s="11"/>
    </row>
    <row r="44" spans="2:18" x14ac:dyDescent="0.25">
      <c r="B44">
        <v>25</v>
      </c>
      <c r="C44" t="s">
        <v>33</v>
      </c>
      <c r="D44">
        <v>1</v>
      </c>
      <c r="E44" t="s">
        <v>34</v>
      </c>
      <c r="F44" s="6">
        <v>46024.024305555555</v>
      </c>
      <c r="G44" s="6">
        <v>46024.034722222219</v>
      </c>
      <c r="H44" s="6">
        <v>46024.041666666664</v>
      </c>
      <c r="I44" s="6">
        <v>46024.070833333331</v>
      </c>
      <c r="J44" s="6">
        <v>46024.072916666664</v>
      </c>
      <c r="K44" s="6">
        <v>46024.073611111111</v>
      </c>
      <c r="L44">
        <v>1.18</v>
      </c>
      <c r="M44" s="6">
        <v>46024.080555555556</v>
      </c>
      <c r="N44">
        <f t="shared" si="0"/>
        <v>0</v>
      </c>
      <c r="R44" s="11"/>
    </row>
    <row r="45" spans="2:18" x14ac:dyDescent="0.25">
      <c r="B45">
        <v>26</v>
      </c>
      <c r="C45" t="s">
        <v>29</v>
      </c>
      <c r="D45">
        <v>1</v>
      </c>
      <c r="E45" t="s">
        <v>34</v>
      </c>
      <c r="F45" s="6">
        <v>46024.416666666664</v>
      </c>
      <c r="G45" s="6">
        <v>46024.427083333336</v>
      </c>
      <c r="H45" s="6">
        <v>46024.448611111111</v>
      </c>
      <c r="I45" s="6">
        <v>46024.484722222223</v>
      </c>
      <c r="J45" s="6">
        <v>46024.493055555555</v>
      </c>
      <c r="K45" s="6">
        <v>46024.493750000001</v>
      </c>
      <c r="L45">
        <v>1.85</v>
      </c>
      <c r="M45" s="6">
        <v>46024.495138888888</v>
      </c>
      <c r="N45">
        <f t="shared" si="0"/>
        <v>10</v>
      </c>
    </row>
    <row r="46" spans="2:18" x14ac:dyDescent="0.25">
      <c r="B46">
        <v>27</v>
      </c>
      <c r="C46" t="s">
        <v>31</v>
      </c>
      <c r="D46">
        <v>1</v>
      </c>
      <c r="E46" t="s">
        <v>35</v>
      </c>
      <c r="F46" s="6">
        <v>46024.5625</v>
      </c>
      <c r="G46" s="6">
        <v>46024.569444444445</v>
      </c>
      <c r="H46" s="6">
        <v>46024.638888888891</v>
      </c>
      <c r="I46" s="6">
        <v>46024.756944444445</v>
      </c>
      <c r="J46" s="6">
        <v>46024.763888888891</v>
      </c>
      <c r="K46" s="6">
        <v>46024.802777777775</v>
      </c>
      <c r="L46">
        <v>5.77</v>
      </c>
      <c r="M46" s="6">
        <v>46024.805555555555</v>
      </c>
      <c r="N46">
        <f t="shared" si="0"/>
        <v>13</v>
      </c>
    </row>
    <row r="47" spans="2:18" x14ac:dyDescent="0.25">
      <c r="B47">
        <v>28</v>
      </c>
      <c r="C47" t="s">
        <v>33</v>
      </c>
      <c r="D47">
        <v>1</v>
      </c>
      <c r="E47" t="s">
        <v>30</v>
      </c>
      <c r="F47" s="6">
        <v>46024.65625</v>
      </c>
      <c r="G47" s="6">
        <v>46024.666666666664</v>
      </c>
      <c r="H47" s="6">
        <v>46024.694444444445</v>
      </c>
      <c r="I47" s="6">
        <v>46024.732638888891</v>
      </c>
      <c r="J47" s="6">
        <v>46024.736111111109</v>
      </c>
      <c r="K47" s="6">
        <v>46024.753472222219</v>
      </c>
      <c r="L47">
        <v>2.33</v>
      </c>
      <c r="M47" s="6">
        <v>46024.760416666664</v>
      </c>
      <c r="N47">
        <f t="shared" si="0"/>
        <v>15</v>
      </c>
    </row>
    <row r="48" spans="2:18" x14ac:dyDescent="0.25">
      <c r="B48">
        <v>29</v>
      </c>
      <c r="C48" t="s">
        <v>29</v>
      </c>
      <c r="D48">
        <v>1</v>
      </c>
      <c r="E48" t="s">
        <v>32</v>
      </c>
      <c r="F48" s="6">
        <v>46027.555555555555</v>
      </c>
      <c r="G48" s="6">
        <v>46027.572916666664</v>
      </c>
      <c r="H48" s="6">
        <v>46027.597222222219</v>
      </c>
      <c r="I48" s="6">
        <v>46027.694444444445</v>
      </c>
      <c r="J48" s="6">
        <v>46027.701388888891</v>
      </c>
      <c r="K48" s="6">
        <v>46027.708333333336</v>
      </c>
      <c r="L48">
        <v>3.67</v>
      </c>
      <c r="M48" s="6">
        <v>46027.715277777781</v>
      </c>
      <c r="N48">
        <f t="shared" si="0"/>
        <v>13</v>
      </c>
    </row>
    <row r="49" spans="2:14" x14ac:dyDescent="0.25">
      <c r="B49">
        <v>30</v>
      </c>
      <c r="C49" t="s">
        <v>33</v>
      </c>
      <c r="D49">
        <v>1</v>
      </c>
      <c r="E49" t="s">
        <v>34</v>
      </c>
      <c r="F49" s="6">
        <v>46025.760416666664</v>
      </c>
      <c r="G49" s="6">
        <v>46025.763888888891</v>
      </c>
      <c r="H49" s="6">
        <v>46025.76666666667</v>
      </c>
      <c r="I49" s="6">
        <v>46025.802083333336</v>
      </c>
      <c r="J49" s="6">
        <v>46025.809027777781</v>
      </c>
      <c r="K49" s="6">
        <v>46025.815972222219</v>
      </c>
      <c r="L49">
        <v>1.33</v>
      </c>
      <c r="M49" s="6">
        <v>46025.822916666664</v>
      </c>
      <c r="N49">
        <f t="shared" si="0"/>
        <v>18</v>
      </c>
    </row>
    <row r="50" spans="2:14" x14ac:dyDescent="0.25">
      <c r="B50">
        <v>31</v>
      </c>
      <c r="C50" t="s">
        <v>29</v>
      </c>
      <c r="D50">
        <v>1</v>
      </c>
      <c r="E50" t="s">
        <v>32</v>
      </c>
      <c r="F50" s="6">
        <v>46027.256944444445</v>
      </c>
      <c r="G50" s="6">
        <v>46027.263888888891</v>
      </c>
      <c r="H50" s="6">
        <v>46027.28125</v>
      </c>
      <c r="I50" s="6">
        <v>46027.288194444445</v>
      </c>
      <c r="J50" s="6">
        <v>46027.295138888891</v>
      </c>
      <c r="K50" s="6">
        <v>46027.319444444445</v>
      </c>
      <c r="L50">
        <v>1.5</v>
      </c>
      <c r="M50" s="6">
        <v>46027.326388888891</v>
      </c>
      <c r="N50">
        <f t="shared" si="0"/>
        <v>6</v>
      </c>
    </row>
    <row r="51" spans="2:14" x14ac:dyDescent="0.25">
      <c r="B51">
        <v>32</v>
      </c>
      <c r="C51" t="s">
        <v>33</v>
      </c>
      <c r="D51">
        <v>1</v>
      </c>
      <c r="E51" t="s">
        <v>30</v>
      </c>
      <c r="F51" s="6">
        <v>46024.745138888888</v>
      </c>
      <c r="G51" s="6">
        <v>46024.746527777781</v>
      </c>
      <c r="H51" s="6">
        <v>46024.776388888888</v>
      </c>
      <c r="I51" s="6">
        <v>46024.880555555559</v>
      </c>
      <c r="J51" s="6">
        <v>46024.887499999997</v>
      </c>
      <c r="K51" s="6">
        <v>46025.020833333336</v>
      </c>
      <c r="L51">
        <v>6.62</v>
      </c>
      <c r="M51" s="6">
        <v>46025.027777777781</v>
      </c>
      <c r="N51">
        <f t="shared" si="0"/>
        <v>17</v>
      </c>
    </row>
    <row r="52" spans="2:14" x14ac:dyDescent="0.25">
      <c r="B52">
        <v>33</v>
      </c>
      <c r="C52" t="s">
        <v>33</v>
      </c>
      <c r="D52">
        <v>1</v>
      </c>
      <c r="E52" t="s">
        <v>30</v>
      </c>
      <c r="F52" s="6">
        <v>46024.826388888891</v>
      </c>
      <c r="G52" s="6">
        <v>46024.833333333336</v>
      </c>
      <c r="H52" s="6">
        <v>46024.850694444445</v>
      </c>
      <c r="I52" s="6">
        <v>46024.88958333333</v>
      </c>
      <c r="J52" s="6">
        <v>46024.896527777775</v>
      </c>
      <c r="K52" s="6">
        <v>46024.905555555553</v>
      </c>
      <c r="L52">
        <v>1.9</v>
      </c>
      <c r="M52" s="6">
        <v>46024.912499999999</v>
      </c>
      <c r="N52">
        <f t="shared" si="0"/>
        <v>19</v>
      </c>
    </row>
    <row r="53" spans="2:14" x14ac:dyDescent="0.25">
      <c r="B53">
        <v>34</v>
      </c>
      <c r="C53" t="s">
        <v>33</v>
      </c>
      <c r="D53">
        <v>1</v>
      </c>
      <c r="E53" t="s">
        <v>30</v>
      </c>
      <c r="F53" s="6">
        <v>46024.864583333336</v>
      </c>
      <c r="G53" s="6">
        <v>46024.875</v>
      </c>
      <c r="H53" s="6">
        <v>46024.888888888891</v>
      </c>
      <c r="I53" s="6">
        <v>46024.930555555555</v>
      </c>
      <c r="J53" s="6">
        <v>46024.931944444441</v>
      </c>
      <c r="K53" s="6">
        <v>46024.933333333334</v>
      </c>
      <c r="L53">
        <v>1.65</v>
      </c>
      <c r="M53" s="6">
        <v>46024.9375</v>
      </c>
      <c r="N53">
        <f t="shared" si="0"/>
        <v>20</v>
      </c>
    </row>
    <row r="54" spans="2:14" x14ac:dyDescent="0.25">
      <c r="B54">
        <v>35</v>
      </c>
      <c r="C54" t="s">
        <v>33</v>
      </c>
      <c r="D54">
        <v>1</v>
      </c>
      <c r="E54" t="s">
        <v>30</v>
      </c>
      <c r="F54" s="6">
        <v>46025.013888888891</v>
      </c>
      <c r="G54" s="6">
        <v>46025.020833333336</v>
      </c>
      <c r="H54" s="6">
        <v>46025.027777777781</v>
      </c>
      <c r="I54" s="6">
        <v>46025.076388888891</v>
      </c>
      <c r="J54" s="6">
        <v>46025.078472222223</v>
      </c>
      <c r="K54" s="6">
        <v>46025.079861111109</v>
      </c>
      <c r="L54">
        <v>1.58</v>
      </c>
      <c r="M54" s="6">
        <v>46025.086805555555</v>
      </c>
      <c r="N54">
        <f t="shared" si="0"/>
        <v>0</v>
      </c>
    </row>
    <row r="55" spans="2:14" x14ac:dyDescent="0.25">
      <c r="B55">
        <v>36</v>
      </c>
      <c r="C55" t="s">
        <v>31</v>
      </c>
      <c r="D55">
        <v>1</v>
      </c>
      <c r="E55" t="s">
        <v>30</v>
      </c>
      <c r="F55" s="6">
        <v>46025.368055555555</v>
      </c>
      <c r="G55" s="6">
        <v>46025.371527777781</v>
      </c>
      <c r="H55" s="6">
        <v>46025.392361111109</v>
      </c>
      <c r="I55" s="6">
        <v>46025.472222222219</v>
      </c>
      <c r="J55" s="6">
        <v>46025.479166666664</v>
      </c>
      <c r="K55" s="6">
        <v>46025.486111111109</v>
      </c>
      <c r="L55">
        <v>2.83</v>
      </c>
      <c r="M55" s="6">
        <v>46025.493055555555</v>
      </c>
      <c r="N55">
        <f t="shared" si="0"/>
        <v>8</v>
      </c>
    </row>
    <row r="56" spans="2:14" x14ac:dyDescent="0.25">
      <c r="B56">
        <v>37</v>
      </c>
      <c r="C56" t="s">
        <v>33</v>
      </c>
      <c r="D56">
        <v>1</v>
      </c>
      <c r="E56" t="s">
        <v>35</v>
      </c>
      <c r="F56" s="6">
        <v>46025.368750000001</v>
      </c>
      <c r="G56" s="6">
        <v>46025.375694444447</v>
      </c>
      <c r="H56" s="6">
        <v>46025.402777777781</v>
      </c>
      <c r="I56" s="6">
        <v>46025.694444444445</v>
      </c>
      <c r="J56" s="6">
        <v>46025.701388888891</v>
      </c>
      <c r="K56" s="6">
        <v>46025.729166666664</v>
      </c>
      <c r="L56">
        <v>8.65</v>
      </c>
      <c r="M56" s="6">
        <v>46025.736111111109</v>
      </c>
      <c r="N56">
        <f t="shared" si="0"/>
        <v>8</v>
      </c>
    </row>
    <row r="57" spans="2:14" x14ac:dyDescent="0.25">
      <c r="B57">
        <v>38</v>
      </c>
      <c r="C57" t="s">
        <v>33</v>
      </c>
      <c r="D57">
        <v>1</v>
      </c>
      <c r="E57" t="s">
        <v>32</v>
      </c>
      <c r="F57" s="6">
        <v>46027.295138888891</v>
      </c>
      <c r="G57" s="6">
        <v>46027.322916666664</v>
      </c>
      <c r="H57" s="6">
        <v>46027.354166666664</v>
      </c>
      <c r="I57" s="6">
        <v>46027.458333333336</v>
      </c>
      <c r="J57" s="6">
        <v>46027.465277777781</v>
      </c>
      <c r="K57" s="6">
        <v>46027.472222222219</v>
      </c>
      <c r="L57">
        <v>4.25</v>
      </c>
      <c r="M57" s="6">
        <v>46027.479166666664</v>
      </c>
      <c r="N57">
        <f t="shared" si="0"/>
        <v>7</v>
      </c>
    </row>
    <row r="58" spans="2:14" x14ac:dyDescent="0.25">
      <c r="B58">
        <v>39</v>
      </c>
      <c r="C58" t="s">
        <v>29</v>
      </c>
      <c r="D58">
        <v>1</v>
      </c>
      <c r="E58" t="s">
        <v>34</v>
      </c>
      <c r="F58" s="6">
        <v>46025.515972222223</v>
      </c>
      <c r="G58" s="6">
        <v>46025.522916666669</v>
      </c>
      <c r="H58" s="6">
        <v>46025.527083333334</v>
      </c>
      <c r="I58" s="6">
        <v>46025.53402777778</v>
      </c>
      <c r="J58" s="6">
        <v>46025.540972222225</v>
      </c>
      <c r="K58" s="6">
        <v>46025.545138888891</v>
      </c>
      <c r="L58">
        <v>0.68</v>
      </c>
      <c r="M58" s="6">
        <v>46025.552083333336</v>
      </c>
      <c r="N58">
        <f t="shared" si="0"/>
        <v>12</v>
      </c>
    </row>
    <row r="59" spans="2:14" x14ac:dyDescent="0.25">
      <c r="B59">
        <v>40</v>
      </c>
      <c r="C59" t="s">
        <v>29</v>
      </c>
      <c r="D59">
        <v>1</v>
      </c>
      <c r="E59" t="s">
        <v>30</v>
      </c>
      <c r="F59" s="6">
        <v>46025.680555555555</v>
      </c>
      <c r="G59" s="6">
        <v>46025.6875</v>
      </c>
      <c r="H59" s="6">
        <v>46025.694444444445</v>
      </c>
      <c r="I59" s="6">
        <v>46025.705555555556</v>
      </c>
      <c r="J59" s="6">
        <v>46025.708333333336</v>
      </c>
      <c r="K59" s="6">
        <v>46025.715277777781</v>
      </c>
      <c r="L59">
        <v>0.83</v>
      </c>
      <c r="M59" s="6">
        <v>46025.722222222219</v>
      </c>
      <c r="N59">
        <f t="shared" si="0"/>
        <v>16</v>
      </c>
    </row>
    <row r="60" spans="2:14" x14ac:dyDescent="0.25">
      <c r="B60">
        <v>41</v>
      </c>
      <c r="C60" t="s">
        <v>29</v>
      </c>
      <c r="D60">
        <v>1</v>
      </c>
      <c r="E60" t="s">
        <v>34</v>
      </c>
      <c r="F60" s="6">
        <v>46025.652777777781</v>
      </c>
      <c r="G60" s="6">
        <v>46025.659722222219</v>
      </c>
      <c r="H60" s="6">
        <v>46025.673611111109</v>
      </c>
      <c r="I60" s="6">
        <v>46025.708333333336</v>
      </c>
      <c r="J60" s="6">
        <v>46025.715277777781</v>
      </c>
      <c r="K60" s="6">
        <v>46025.729166666664</v>
      </c>
      <c r="L60">
        <v>1.83</v>
      </c>
      <c r="M60" s="6">
        <v>46025.736805555556</v>
      </c>
      <c r="N60">
        <f t="shared" si="0"/>
        <v>15</v>
      </c>
    </row>
    <row r="61" spans="2:14" x14ac:dyDescent="0.25">
      <c r="B61">
        <v>42</v>
      </c>
      <c r="C61" t="s">
        <v>29</v>
      </c>
      <c r="D61">
        <v>1</v>
      </c>
      <c r="E61" t="s">
        <v>36</v>
      </c>
      <c r="F61" s="6">
        <v>46025.711805555555</v>
      </c>
      <c r="G61" s="6">
        <v>46025.722222222219</v>
      </c>
      <c r="H61" s="6">
        <v>46025.756944444445</v>
      </c>
      <c r="I61" s="6">
        <v>46025.841666666667</v>
      </c>
      <c r="J61" s="6">
        <v>46025.848611111112</v>
      </c>
      <c r="K61" s="6">
        <v>46025.849305555559</v>
      </c>
      <c r="L61">
        <v>3.3</v>
      </c>
      <c r="M61" s="6">
        <v>46025.856249999997</v>
      </c>
      <c r="N61">
        <f t="shared" si="0"/>
        <v>17</v>
      </c>
    </row>
    <row r="62" spans="2:14" x14ac:dyDescent="0.25">
      <c r="B62">
        <v>43</v>
      </c>
      <c r="C62" t="s">
        <v>33</v>
      </c>
      <c r="D62">
        <v>1</v>
      </c>
      <c r="E62" t="s">
        <v>30</v>
      </c>
      <c r="F62" s="6">
        <v>46025.774305555555</v>
      </c>
      <c r="G62" s="6">
        <v>46025.78125</v>
      </c>
      <c r="H62" s="6">
        <v>46025.791666666664</v>
      </c>
      <c r="I62" s="6">
        <v>46025.826388888891</v>
      </c>
      <c r="J62" s="6">
        <v>46025.833333333336</v>
      </c>
      <c r="K62" s="6">
        <v>46025.850694444445</v>
      </c>
      <c r="L62">
        <v>1.83</v>
      </c>
      <c r="M62" s="6">
        <v>46025.857638888891</v>
      </c>
      <c r="N62">
        <f t="shared" si="0"/>
        <v>18</v>
      </c>
    </row>
    <row r="63" spans="2:14" x14ac:dyDescent="0.25">
      <c r="B63">
        <v>44</v>
      </c>
      <c r="C63" t="s">
        <v>31</v>
      </c>
      <c r="D63">
        <v>1</v>
      </c>
      <c r="E63" t="s">
        <v>34</v>
      </c>
      <c r="F63" s="6">
        <v>46025.961805555555</v>
      </c>
      <c r="G63" s="6">
        <v>46025.972222222219</v>
      </c>
      <c r="H63" s="6">
        <v>46025.979166666664</v>
      </c>
      <c r="I63" s="6">
        <v>46026.038194444445</v>
      </c>
      <c r="J63" s="6">
        <v>46026.045138888891</v>
      </c>
      <c r="K63" s="6">
        <v>46026.048611111109</v>
      </c>
      <c r="L63">
        <v>2.08</v>
      </c>
      <c r="M63" s="6">
        <v>46026.055555555555</v>
      </c>
      <c r="N63">
        <f t="shared" si="0"/>
        <v>23</v>
      </c>
    </row>
    <row r="64" spans="2:14" x14ac:dyDescent="0.25">
      <c r="B64">
        <v>45</v>
      </c>
      <c r="C64" t="s">
        <v>29</v>
      </c>
      <c r="D64">
        <v>1</v>
      </c>
      <c r="E64" t="s">
        <v>30</v>
      </c>
      <c r="F64" s="6">
        <v>46025.986111111109</v>
      </c>
      <c r="G64" s="6">
        <v>46025.993055555555</v>
      </c>
      <c r="H64" s="6">
        <v>46026.006944444445</v>
      </c>
      <c r="I64" s="6">
        <v>46026.045138888891</v>
      </c>
      <c r="J64" s="6">
        <v>46026.052083333336</v>
      </c>
      <c r="K64" s="6">
        <v>46026.054166666669</v>
      </c>
      <c r="L64">
        <v>1.63</v>
      </c>
      <c r="M64" s="6">
        <v>46026.059027777781</v>
      </c>
      <c r="N64">
        <f t="shared" si="0"/>
        <v>23</v>
      </c>
    </row>
    <row r="65" spans="2:14" x14ac:dyDescent="0.25">
      <c r="B65">
        <v>46</v>
      </c>
      <c r="C65" t="s">
        <v>31</v>
      </c>
      <c r="D65">
        <v>1</v>
      </c>
      <c r="E65" t="s">
        <v>35</v>
      </c>
      <c r="F65" s="6">
        <v>46026.344444444447</v>
      </c>
      <c r="G65" s="6">
        <v>46026.354166666664</v>
      </c>
      <c r="H65" s="6">
        <v>46026.364583333336</v>
      </c>
      <c r="I65" s="6">
        <v>46026.402777777781</v>
      </c>
      <c r="J65" s="6">
        <v>46026.416666666664</v>
      </c>
      <c r="K65" s="6">
        <v>46026.427083333336</v>
      </c>
      <c r="L65">
        <v>1.98</v>
      </c>
      <c r="M65" s="6">
        <v>46026.434027777781</v>
      </c>
      <c r="N65">
        <f t="shared" si="0"/>
        <v>8</v>
      </c>
    </row>
    <row r="66" spans="2:14" x14ac:dyDescent="0.25">
      <c r="B66">
        <v>47</v>
      </c>
      <c r="C66" t="s">
        <v>33</v>
      </c>
      <c r="D66">
        <v>1</v>
      </c>
      <c r="E66" t="s">
        <v>30</v>
      </c>
      <c r="F66" s="6">
        <v>46026.385416666664</v>
      </c>
      <c r="G66" s="6">
        <v>46026.388888888891</v>
      </c>
      <c r="H66" s="6">
        <v>46026.409722222219</v>
      </c>
      <c r="I66" s="6">
        <v>46026.618055555555</v>
      </c>
      <c r="J66" s="6">
        <v>46026.645833333336</v>
      </c>
      <c r="K66" s="6">
        <v>46026.6875</v>
      </c>
      <c r="L66">
        <v>7.25</v>
      </c>
      <c r="M66" s="6">
        <v>46026.694444444445</v>
      </c>
      <c r="N66">
        <f t="shared" si="0"/>
        <v>9</v>
      </c>
    </row>
    <row r="67" spans="2:14" x14ac:dyDescent="0.25">
      <c r="B67">
        <v>48</v>
      </c>
      <c r="C67" t="s">
        <v>33</v>
      </c>
      <c r="D67">
        <v>1</v>
      </c>
      <c r="E67" t="s">
        <v>34</v>
      </c>
      <c r="F67" s="6">
        <v>46026.361111111109</v>
      </c>
      <c r="G67" s="6">
        <v>46026.381944444445</v>
      </c>
      <c r="H67" s="6">
        <v>46026.399305555555</v>
      </c>
      <c r="I67" s="6">
        <v>46026.473611111112</v>
      </c>
      <c r="J67" s="6">
        <v>46026.480555555558</v>
      </c>
      <c r="K67" s="6">
        <v>46026.489583333336</v>
      </c>
      <c r="L67">
        <v>3.08</v>
      </c>
      <c r="M67" s="6">
        <v>46026.496527777781</v>
      </c>
      <c r="N67">
        <f t="shared" si="0"/>
        <v>8</v>
      </c>
    </row>
    <row r="68" spans="2:14" x14ac:dyDescent="0.25">
      <c r="B68">
        <v>49</v>
      </c>
      <c r="C68" t="s">
        <v>33</v>
      </c>
      <c r="D68">
        <v>1</v>
      </c>
      <c r="E68" t="s">
        <v>34</v>
      </c>
      <c r="F68" s="6">
        <v>46026.684027777781</v>
      </c>
      <c r="G68" s="6">
        <v>46026.711805555555</v>
      </c>
      <c r="H68" s="6">
        <v>46026.729166666664</v>
      </c>
      <c r="I68" s="6">
        <v>46026.777777777781</v>
      </c>
      <c r="J68" s="6">
        <v>46026.784722222219</v>
      </c>
      <c r="K68" s="6">
        <v>46026.788194444445</v>
      </c>
      <c r="L68">
        <v>2.5</v>
      </c>
      <c r="M68" s="6">
        <v>46026.791666666664</v>
      </c>
      <c r="N68">
        <f t="shared" si="0"/>
        <v>16</v>
      </c>
    </row>
    <row r="69" spans="2:14" x14ac:dyDescent="0.25">
      <c r="B69">
        <v>50</v>
      </c>
      <c r="C69" t="s">
        <v>29</v>
      </c>
      <c r="D69">
        <v>1</v>
      </c>
      <c r="E69" t="s">
        <v>30</v>
      </c>
      <c r="F69" s="6">
        <v>46026.504861111112</v>
      </c>
      <c r="G69" s="6">
        <v>46026.520833333336</v>
      </c>
      <c r="H69" s="6">
        <v>46026.524305555555</v>
      </c>
      <c r="I69" s="6">
        <v>46026.534722222219</v>
      </c>
      <c r="J69" s="6">
        <v>46026.541666666664</v>
      </c>
      <c r="K69" s="6">
        <v>46026.545138888891</v>
      </c>
      <c r="L69">
        <v>0.97</v>
      </c>
      <c r="M69" s="6">
        <v>46026.548611111109</v>
      </c>
      <c r="N69">
        <f t="shared" si="0"/>
        <v>12</v>
      </c>
    </row>
    <row r="70" spans="2:14" x14ac:dyDescent="0.25">
      <c r="B70">
        <v>51</v>
      </c>
      <c r="C70" t="s">
        <v>31</v>
      </c>
      <c r="D70">
        <v>1</v>
      </c>
      <c r="E70" t="s">
        <v>30</v>
      </c>
      <c r="F70" s="6">
        <v>46026.605555555558</v>
      </c>
      <c r="G70" s="6">
        <v>46026.611111111109</v>
      </c>
      <c r="H70" s="6">
        <v>46026.638888888891</v>
      </c>
      <c r="I70" s="6">
        <v>46026.673611111109</v>
      </c>
      <c r="J70" s="6">
        <v>46026.715277777781</v>
      </c>
      <c r="K70" s="6">
        <v>46026.718055555553</v>
      </c>
      <c r="L70">
        <v>2.7</v>
      </c>
      <c r="M70" s="6">
        <v>46026.71875</v>
      </c>
      <c r="N70">
        <f t="shared" si="0"/>
        <v>14</v>
      </c>
    </row>
    <row r="71" spans="2:14" x14ac:dyDescent="0.25">
      <c r="B71">
        <v>52</v>
      </c>
      <c r="C71" t="s">
        <v>33</v>
      </c>
      <c r="D71">
        <v>1</v>
      </c>
      <c r="E71" t="s">
        <v>32</v>
      </c>
      <c r="F71" s="6">
        <v>46027.291666666664</v>
      </c>
      <c r="G71" s="6">
        <v>46027.326388888891</v>
      </c>
      <c r="H71" s="6">
        <v>46027.354166666664</v>
      </c>
      <c r="I71" s="6">
        <v>46027.38958333333</v>
      </c>
      <c r="J71" s="6">
        <v>46027.395833333336</v>
      </c>
      <c r="K71" s="6">
        <v>46027.402777777781</v>
      </c>
      <c r="L71">
        <v>2.67</v>
      </c>
      <c r="M71" s="6">
        <v>46027.409722222219</v>
      </c>
      <c r="N71">
        <f t="shared" si="0"/>
        <v>7</v>
      </c>
    </row>
    <row r="72" spans="2:14" x14ac:dyDescent="0.25">
      <c r="B72">
        <v>53</v>
      </c>
      <c r="C72" t="s">
        <v>33</v>
      </c>
      <c r="D72">
        <v>1</v>
      </c>
      <c r="E72" t="s">
        <v>34</v>
      </c>
      <c r="F72" s="6">
        <v>46027.361111111109</v>
      </c>
      <c r="G72" s="6">
        <v>46027.368055555555</v>
      </c>
      <c r="H72" s="6">
        <v>46027.375</v>
      </c>
      <c r="I72" s="6">
        <v>46027.427083333336</v>
      </c>
      <c r="J72" s="6">
        <v>46027.434027777781</v>
      </c>
      <c r="K72" s="6">
        <v>46027.4375</v>
      </c>
      <c r="L72">
        <v>1.83</v>
      </c>
      <c r="M72" s="6">
        <v>46027.444444444445</v>
      </c>
      <c r="N72">
        <f t="shared" si="0"/>
        <v>8</v>
      </c>
    </row>
    <row r="73" spans="2:14" x14ac:dyDescent="0.25">
      <c r="B73">
        <v>54</v>
      </c>
      <c r="C73" t="s">
        <v>33</v>
      </c>
      <c r="D73">
        <v>1</v>
      </c>
      <c r="E73" t="s">
        <v>30</v>
      </c>
      <c r="F73" s="6">
        <v>46026.850694444445</v>
      </c>
      <c r="G73" s="6">
        <v>46026.859722222223</v>
      </c>
      <c r="H73" s="6">
        <v>46026.864583333336</v>
      </c>
      <c r="I73" s="6">
        <v>46026.923611111109</v>
      </c>
      <c r="J73" s="6">
        <v>46026.930555555555</v>
      </c>
      <c r="K73" s="6">
        <v>46026.931944444441</v>
      </c>
      <c r="L73">
        <v>1.95</v>
      </c>
      <c r="M73" s="6">
        <v>46026.938888888886</v>
      </c>
      <c r="N73">
        <f t="shared" si="0"/>
        <v>20</v>
      </c>
    </row>
    <row r="74" spans="2:14" x14ac:dyDescent="0.25">
      <c r="B74">
        <v>55</v>
      </c>
      <c r="C74" t="s">
        <v>29</v>
      </c>
      <c r="D74">
        <v>1</v>
      </c>
      <c r="E74" t="s">
        <v>30</v>
      </c>
      <c r="F74" s="6">
        <v>46026.747916666667</v>
      </c>
      <c r="G74" s="6">
        <v>46026.749305555553</v>
      </c>
      <c r="H74" s="6">
        <v>46026.75</v>
      </c>
      <c r="I74" s="6">
        <v>46026.805555555555</v>
      </c>
      <c r="J74" s="6">
        <v>46026.8125</v>
      </c>
      <c r="K74" s="6">
        <v>46026.815972222219</v>
      </c>
      <c r="L74">
        <v>1.63</v>
      </c>
      <c r="M74" s="6">
        <v>46026.822916666664</v>
      </c>
      <c r="N74">
        <f t="shared" si="0"/>
        <v>17</v>
      </c>
    </row>
    <row r="75" spans="2:14" x14ac:dyDescent="0.25">
      <c r="B75">
        <v>56</v>
      </c>
      <c r="C75" t="s">
        <v>33</v>
      </c>
      <c r="D75">
        <v>1</v>
      </c>
      <c r="E75" t="s">
        <v>30</v>
      </c>
      <c r="F75" s="6">
        <v>46026.982638888891</v>
      </c>
      <c r="G75" s="6">
        <v>46026.986111111109</v>
      </c>
      <c r="H75" s="6">
        <v>46026.993055555555</v>
      </c>
      <c r="I75" s="6">
        <v>46027.020833333336</v>
      </c>
      <c r="J75" s="6">
        <v>46027.024305555555</v>
      </c>
      <c r="K75" s="6">
        <v>46027.025000000001</v>
      </c>
      <c r="L75">
        <v>1.02</v>
      </c>
      <c r="M75" s="6">
        <v>46027.027777777781</v>
      </c>
      <c r="N75">
        <f t="shared" si="0"/>
        <v>23</v>
      </c>
    </row>
    <row r="76" spans="2:14" x14ac:dyDescent="0.25">
      <c r="B76">
        <v>57</v>
      </c>
      <c r="C76" t="s">
        <v>31</v>
      </c>
      <c r="D76">
        <v>1</v>
      </c>
      <c r="E76" t="s">
        <v>30</v>
      </c>
      <c r="F76" s="6">
        <v>46027.0625</v>
      </c>
      <c r="G76" s="6">
        <v>46027.069444444445</v>
      </c>
      <c r="H76" s="6">
        <v>46027.079861111109</v>
      </c>
      <c r="I76" s="6">
        <v>46027.145138888889</v>
      </c>
      <c r="J76" s="6">
        <v>46027.1875</v>
      </c>
      <c r="K76" s="6">
        <v>46027.618055555555</v>
      </c>
      <c r="L76">
        <v>13.33</v>
      </c>
      <c r="M76" s="6">
        <v>46027.625</v>
      </c>
      <c r="N76">
        <f t="shared" si="0"/>
        <v>1</v>
      </c>
    </row>
    <row r="77" spans="2:14" x14ac:dyDescent="0.25">
      <c r="B77">
        <v>58</v>
      </c>
      <c r="C77" t="s">
        <v>31</v>
      </c>
      <c r="D77">
        <v>1</v>
      </c>
      <c r="E77" t="s">
        <v>30</v>
      </c>
      <c r="F77" s="6">
        <v>46027.459722222222</v>
      </c>
      <c r="G77" s="6">
        <v>46027.461805555555</v>
      </c>
      <c r="H77" s="6">
        <v>46027.479166666664</v>
      </c>
      <c r="I77" s="6">
        <v>46027.539583333331</v>
      </c>
      <c r="J77" s="6">
        <v>46027.638888888891</v>
      </c>
      <c r="K77" s="6">
        <v>46027.642361111109</v>
      </c>
      <c r="L77">
        <v>4.38</v>
      </c>
      <c r="M77" s="6">
        <v>46027.645833333336</v>
      </c>
      <c r="N77">
        <f t="shared" si="0"/>
        <v>11</v>
      </c>
    </row>
    <row r="78" spans="2:14" x14ac:dyDescent="0.25">
      <c r="B78">
        <v>59</v>
      </c>
      <c r="C78" t="s">
        <v>31</v>
      </c>
      <c r="D78">
        <v>1</v>
      </c>
      <c r="E78" t="s">
        <v>34</v>
      </c>
      <c r="F78" s="6">
        <v>46027.493055555555</v>
      </c>
      <c r="G78" s="6">
        <v>46027.5</v>
      </c>
      <c r="H78" s="6">
        <v>46027.527777777781</v>
      </c>
      <c r="I78" s="6">
        <v>46027.791666666664</v>
      </c>
      <c r="J78" s="6">
        <v>46027.798611111109</v>
      </c>
      <c r="K78" s="6">
        <v>46027.840277777781</v>
      </c>
      <c r="L78">
        <v>8.33</v>
      </c>
      <c r="M78" s="6">
        <v>46027.847222222219</v>
      </c>
      <c r="N78">
        <f t="shared" si="0"/>
        <v>11</v>
      </c>
    </row>
    <row r="79" spans="2:14" x14ac:dyDescent="0.25">
      <c r="B79">
        <v>60</v>
      </c>
      <c r="C79" t="s">
        <v>29</v>
      </c>
      <c r="D79">
        <v>1</v>
      </c>
      <c r="E79" t="s">
        <v>35</v>
      </c>
      <c r="F79" s="6">
        <v>46027.645833333336</v>
      </c>
      <c r="G79" s="6">
        <v>46027.652777777781</v>
      </c>
      <c r="H79" s="6">
        <v>46027.659722222219</v>
      </c>
      <c r="I79" s="6">
        <v>46027.673611111109</v>
      </c>
      <c r="J79" s="6">
        <v>46027.677083333336</v>
      </c>
      <c r="K79" s="6">
        <v>46027.694444444445</v>
      </c>
      <c r="L79">
        <v>1.17</v>
      </c>
      <c r="M79" s="6">
        <v>46027.695833333331</v>
      </c>
      <c r="N79">
        <f t="shared" si="0"/>
        <v>15</v>
      </c>
    </row>
    <row r="80" spans="2:14" x14ac:dyDescent="0.25">
      <c r="B80">
        <v>61</v>
      </c>
      <c r="C80" t="s">
        <v>29</v>
      </c>
      <c r="D80">
        <v>1</v>
      </c>
      <c r="E80" t="s">
        <v>36</v>
      </c>
      <c r="F80" s="6">
        <v>46027.520833333336</v>
      </c>
      <c r="G80" s="6">
        <v>46027.534722222219</v>
      </c>
      <c r="H80" s="6">
        <v>46027.548611111109</v>
      </c>
      <c r="I80" s="6">
        <v>46027.677777777775</v>
      </c>
      <c r="J80" s="6">
        <v>46027.680555555555</v>
      </c>
      <c r="K80" s="6">
        <v>46027.684027777781</v>
      </c>
      <c r="L80">
        <v>3.92</v>
      </c>
      <c r="M80" s="6">
        <v>46027.686111111114</v>
      </c>
      <c r="N80">
        <f t="shared" si="0"/>
        <v>12</v>
      </c>
    </row>
    <row r="81" spans="2:14" x14ac:dyDescent="0.25">
      <c r="B81">
        <v>62</v>
      </c>
      <c r="C81" t="s">
        <v>31</v>
      </c>
      <c r="D81">
        <v>1</v>
      </c>
      <c r="E81" t="s">
        <v>30</v>
      </c>
      <c r="F81" s="6">
        <v>46027.680555555555</v>
      </c>
      <c r="G81" s="6">
        <v>46027.690972222219</v>
      </c>
      <c r="H81" s="6">
        <v>46027.715277777781</v>
      </c>
      <c r="I81" s="6">
        <v>46027.797222222223</v>
      </c>
      <c r="J81" s="6">
        <v>46027.804166666669</v>
      </c>
      <c r="K81" s="6">
        <v>46027.875</v>
      </c>
      <c r="L81">
        <v>4.67</v>
      </c>
      <c r="M81" s="6">
        <v>46027.881944444445</v>
      </c>
      <c r="N81">
        <f t="shared" si="0"/>
        <v>16</v>
      </c>
    </row>
    <row r="82" spans="2:14" x14ac:dyDescent="0.25">
      <c r="B82">
        <v>63</v>
      </c>
      <c r="C82" t="s">
        <v>33</v>
      </c>
      <c r="D82">
        <v>1</v>
      </c>
      <c r="E82" t="s">
        <v>30</v>
      </c>
      <c r="F82" s="6">
        <v>46031.291666666664</v>
      </c>
      <c r="G82" s="6">
        <v>46031.333333333336</v>
      </c>
      <c r="H82" s="6">
        <v>46031.392361111109</v>
      </c>
      <c r="I82" s="6">
        <v>46031.644444444442</v>
      </c>
      <c r="J82" s="6">
        <v>46031.651388888888</v>
      </c>
      <c r="K82" s="6">
        <v>46031.666666666664</v>
      </c>
      <c r="L82">
        <v>9</v>
      </c>
      <c r="M82" s="6">
        <v>46031.673611111109</v>
      </c>
      <c r="N82">
        <f t="shared" si="0"/>
        <v>7</v>
      </c>
    </row>
    <row r="83" spans="2:14" x14ac:dyDescent="0.25">
      <c r="B83">
        <v>64</v>
      </c>
      <c r="C83" t="s">
        <v>33</v>
      </c>
      <c r="D83">
        <v>1</v>
      </c>
      <c r="E83" t="s">
        <v>35</v>
      </c>
      <c r="F83" s="6">
        <v>46029.472222222219</v>
      </c>
      <c r="G83" s="6">
        <v>46029.493055555555</v>
      </c>
      <c r="H83" s="6">
        <v>46029.548611111109</v>
      </c>
      <c r="I83" s="6">
        <v>46029.708333333336</v>
      </c>
      <c r="J83" s="6">
        <v>46029.722222222219</v>
      </c>
      <c r="K83" s="6">
        <v>46029.743055555555</v>
      </c>
      <c r="L83">
        <v>6.5</v>
      </c>
      <c r="M83" s="6">
        <v>46029.75</v>
      </c>
      <c r="N83">
        <f t="shared" si="0"/>
        <v>11</v>
      </c>
    </row>
    <row r="84" spans="2:14" x14ac:dyDescent="0.25">
      <c r="B84">
        <v>65</v>
      </c>
      <c r="C84" t="s">
        <v>31</v>
      </c>
      <c r="D84">
        <v>1</v>
      </c>
      <c r="E84" t="s">
        <v>35</v>
      </c>
      <c r="F84" s="6">
        <v>46028.482638888891</v>
      </c>
      <c r="G84" s="6">
        <v>46028.486111111109</v>
      </c>
      <c r="H84" s="6">
        <v>46028.53125</v>
      </c>
      <c r="I84" s="6">
        <v>46028.659722222219</v>
      </c>
      <c r="J84" s="6">
        <v>46028.666666666664</v>
      </c>
      <c r="K84" s="6">
        <v>46028.670138888891</v>
      </c>
      <c r="L84">
        <v>4.5</v>
      </c>
      <c r="M84" s="6">
        <v>46028.677083333336</v>
      </c>
      <c r="N84">
        <f t="shared" si="0"/>
        <v>11</v>
      </c>
    </row>
    <row r="85" spans="2:14" x14ac:dyDescent="0.25">
      <c r="B85">
        <v>66</v>
      </c>
      <c r="C85" t="s">
        <v>33</v>
      </c>
      <c r="D85">
        <v>1</v>
      </c>
      <c r="E85" t="s">
        <v>37</v>
      </c>
      <c r="F85" s="6">
        <v>46028.708333333336</v>
      </c>
      <c r="G85" s="6">
        <v>46028.71875</v>
      </c>
      <c r="H85" s="6">
        <v>46028.725694444445</v>
      </c>
      <c r="I85" s="6">
        <v>46028.788888888892</v>
      </c>
      <c r="J85" s="6">
        <v>46028.791666666664</v>
      </c>
      <c r="K85" s="6">
        <v>46028.805555555555</v>
      </c>
      <c r="L85">
        <v>2.33</v>
      </c>
      <c r="M85" s="6">
        <v>46028.8125</v>
      </c>
      <c r="N85">
        <f t="shared" ref="N85:N148" si="1">HOUR(F85)</f>
        <v>17</v>
      </c>
    </row>
    <row r="86" spans="2:14" x14ac:dyDescent="0.25">
      <c r="B86">
        <v>67</v>
      </c>
      <c r="C86" t="s">
        <v>33</v>
      </c>
      <c r="D86">
        <v>1</v>
      </c>
      <c r="E86" t="s">
        <v>32</v>
      </c>
      <c r="F86" s="6">
        <v>46028.472222222219</v>
      </c>
      <c r="G86" s="6">
        <v>46028.479166666664</v>
      </c>
      <c r="H86" s="6">
        <v>46028.480555555558</v>
      </c>
      <c r="I86" s="6">
        <v>46028.506944444445</v>
      </c>
      <c r="J86" s="6">
        <v>46028.520833333336</v>
      </c>
      <c r="K86" s="6">
        <v>46028.541666666664</v>
      </c>
      <c r="L86">
        <v>1.67</v>
      </c>
      <c r="M86" s="6">
        <v>46028.548611111109</v>
      </c>
      <c r="N86">
        <f t="shared" si="1"/>
        <v>11</v>
      </c>
    </row>
    <row r="87" spans="2:14" x14ac:dyDescent="0.25">
      <c r="B87">
        <v>68</v>
      </c>
      <c r="C87" t="s">
        <v>31</v>
      </c>
      <c r="D87">
        <v>1</v>
      </c>
      <c r="E87" t="s">
        <v>30</v>
      </c>
      <c r="F87" s="6">
        <v>46028.340277777781</v>
      </c>
      <c r="G87" s="6">
        <v>46028.347222222219</v>
      </c>
      <c r="H87" s="6">
        <v>46028.368055555555</v>
      </c>
      <c r="I87" s="6">
        <v>46028.423611111109</v>
      </c>
      <c r="J87" s="6">
        <v>46028.430555555555</v>
      </c>
      <c r="K87" s="6">
        <v>46028.458333333336</v>
      </c>
      <c r="L87">
        <v>2.83</v>
      </c>
      <c r="M87" s="6">
        <v>46028.465277777781</v>
      </c>
      <c r="N87">
        <f t="shared" si="1"/>
        <v>8</v>
      </c>
    </row>
    <row r="88" spans="2:14" x14ac:dyDescent="0.25">
      <c r="B88">
        <v>69</v>
      </c>
      <c r="C88" t="s">
        <v>31</v>
      </c>
      <c r="D88">
        <v>1</v>
      </c>
      <c r="E88" t="s">
        <v>35</v>
      </c>
      <c r="F88" s="6">
        <v>46027.722222222219</v>
      </c>
      <c r="G88" s="6">
        <v>46027.729166666664</v>
      </c>
      <c r="H88" s="6">
        <v>46027.736111111109</v>
      </c>
      <c r="I88" s="6">
        <v>46027.776388888888</v>
      </c>
      <c r="J88" s="6">
        <v>46027.777777777781</v>
      </c>
      <c r="K88" s="6">
        <v>46027.78125</v>
      </c>
      <c r="L88">
        <v>1.42</v>
      </c>
      <c r="M88" s="6">
        <v>46027.781944444447</v>
      </c>
      <c r="N88">
        <f t="shared" si="1"/>
        <v>17</v>
      </c>
    </row>
    <row r="89" spans="2:14" x14ac:dyDescent="0.25">
      <c r="B89">
        <v>70</v>
      </c>
      <c r="C89" t="s">
        <v>29</v>
      </c>
      <c r="D89">
        <v>1</v>
      </c>
      <c r="E89" t="s">
        <v>34</v>
      </c>
      <c r="F89" s="6">
        <v>46028.319444444445</v>
      </c>
      <c r="G89" s="6">
        <v>46028.340277777781</v>
      </c>
      <c r="H89" s="6">
        <v>46028.361111111109</v>
      </c>
      <c r="I89" s="6">
        <v>46028.371527777781</v>
      </c>
      <c r="J89" s="6">
        <v>46028.385416666664</v>
      </c>
      <c r="K89" s="6">
        <v>46028.425694444442</v>
      </c>
      <c r="L89">
        <v>2.5499999999999998</v>
      </c>
      <c r="M89" s="6">
        <v>46028.426388888889</v>
      </c>
      <c r="N89">
        <f t="shared" si="1"/>
        <v>7</v>
      </c>
    </row>
    <row r="90" spans="2:14" x14ac:dyDescent="0.25">
      <c r="B90">
        <v>71</v>
      </c>
      <c r="C90" t="s">
        <v>29</v>
      </c>
      <c r="D90">
        <v>1</v>
      </c>
      <c r="E90" t="s">
        <v>35</v>
      </c>
      <c r="F90" s="6">
        <v>46027.892361111109</v>
      </c>
      <c r="G90" s="6">
        <v>46027.902777777781</v>
      </c>
      <c r="H90" s="6">
        <v>46027.909722222219</v>
      </c>
      <c r="I90" s="6">
        <v>46027.930555555555</v>
      </c>
      <c r="J90" s="6">
        <v>46027.934027777781</v>
      </c>
      <c r="K90" s="6">
        <v>46027.9375</v>
      </c>
      <c r="L90">
        <v>1.08</v>
      </c>
      <c r="M90" s="6">
        <v>46027.939583333333</v>
      </c>
      <c r="N90">
        <f t="shared" si="1"/>
        <v>21</v>
      </c>
    </row>
    <row r="91" spans="2:14" x14ac:dyDescent="0.25">
      <c r="B91">
        <v>72</v>
      </c>
      <c r="C91" t="s">
        <v>33</v>
      </c>
      <c r="D91">
        <v>1</v>
      </c>
      <c r="E91" t="s">
        <v>34</v>
      </c>
      <c r="F91" s="6">
        <v>46027.958333333336</v>
      </c>
      <c r="G91" s="6">
        <v>46027.965277777781</v>
      </c>
      <c r="H91" s="6">
        <v>46027.972222222219</v>
      </c>
      <c r="I91" s="6">
        <v>46027.982638888891</v>
      </c>
      <c r="J91" s="6">
        <v>46027.989583333336</v>
      </c>
      <c r="K91" s="6">
        <v>46027.990277777775</v>
      </c>
      <c r="L91">
        <v>0.77</v>
      </c>
      <c r="M91" s="6">
        <v>46027.990972222222</v>
      </c>
      <c r="N91">
        <f t="shared" si="1"/>
        <v>23</v>
      </c>
    </row>
    <row r="92" spans="2:14" x14ac:dyDescent="0.25">
      <c r="B92">
        <v>73</v>
      </c>
      <c r="C92" t="s">
        <v>31</v>
      </c>
      <c r="D92">
        <v>1</v>
      </c>
      <c r="E92" t="s">
        <v>34</v>
      </c>
      <c r="F92" s="6">
        <v>46028.011805555558</v>
      </c>
      <c r="G92" s="6">
        <v>46028.017361111109</v>
      </c>
      <c r="H92" s="6">
        <v>46028.020833333336</v>
      </c>
      <c r="I92" s="6">
        <v>46028.104166666664</v>
      </c>
      <c r="J92" s="6">
        <v>46028.166666666664</v>
      </c>
      <c r="K92" s="6">
        <v>46028.5625</v>
      </c>
      <c r="L92">
        <v>13.22</v>
      </c>
      <c r="M92" s="6">
        <v>46028.569444444445</v>
      </c>
      <c r="N92">
        <f t="shared" si="1"/>
        <v>0</v>
      </c>
    </row>
    <row r="93" spans="2:14" x14ac:dyDescent="0.25">
      <c r="B93">
        <v>74</v>
      </c>
      <c r="C93" t="s">
        <v>31</v>
      </c>
      <c r="D93">
        <v>1</v>
      </c>
      <c r="E93" t="s">
        <v>32</v>
      </c>
      <c r="F93" s="6">
        <v>46028.572916666664</v>
      </c>
      <c r="G93" s="6">
        <v>46028.576388888891</v>
      </c>
      <c r="H93" s="6">
        <v>46028.590277777781</v>
      </c>
      <c r="I93" s="6">
        <v>46028.663194444445</v>
      </c>
      <c r="J93" s="6">
        <v>46028.731944444444</v>
      </c>
      <c r="K93" s="6">
        <v>46028.732638888891</v>
      </c>
      <c r="L93">
        <v>3.83</v>
      </c>
      <c r="M93" s="6">
        <v>46028.73333333333</v>
      </c>
      <c r="N93">
        <f t="shared" si="1"/>
        <v>13</v>
      </c>
    </row>
    <row r="94" spans="2:14" x14ac:dyDescent="0.25">
      <c r="B94">
        <v>75</v>
      </c>
      <c r="C94" t="s">
        <v>29</v>
      </c>
      <c r="D94">
        <v>1</v>
      </c>
      <c r="E94" t="s">
        <v>35</v>
      </c>
      <c r="F94" s="6">
        <v>46028.347222222219</v>
      </c>
      <c r="G94" s="6">
        <v>46028.354166666664</v>
      </c>
      <c r="H94" s="6">
        <v>46028.378472222219</v>
      </c>
      <c r="I94" s="6">
        <v>46028.416666666664</v>
      </c>
      <c r="J94" s="6">
        <v>46028.430555555555</v>
      </c>
      <c r="K94" s="6">
        <v>46028.431250000001</v>
      </c>
      <c r="L94">
        <v>2.02</v>
      </c>
      <c r="M94" s="6">
        <v>46028.431944444441</v>
      </c>
      <c r="N94">
        <f t="shared" si="1"/>
        <v>8</v>
      </c>
    </row>
    <row r="95" spans="2:14" x14ac:dyDescent="0.25">
      <c r="B95">
        <v>76</v>
      </c>
      <c r="C95" t="s">
        <v>29</v>
      </c>
      <c r="D95">
        <v>1</v>
      </c>
      <c r="E95" t="s">
        <v>34</v>
      </c>
      <c r="F95" s="6">
        <v>46028.60833333333</v>
      </c>
      <c r="G95" s="6">
        <v>46028.611111111109</v>
      </c>
      <c r="H95" s="6">
        <v>46028.642361111109</v>
      </c>
      <c r="I95" s="6">
        <v>46028.652777777781</v>
      </c>
      <c r="J95" s="6">
        <v>46028.659722222219</v>
      </c>
      <c r="K95" s="6">
        <v>46028.666666666664</v>
      </c>
      <c r="L95">
        <v>1.4</v>
      </c>
      <c r="M95" s="6">
        <v>46028.673611111109</v>
      </c>
      <c r="N95">
        <f t="shared" si="1"/>
        <v>14</v>
      </c>
    </row>
    <row r="96" spans="2:14" x14ac:dyDescent="0.25">
      <c r="B96">
        <v>77</v>
      </c>
      <c r="C96" t="s">
        <v>31</v>
      </c>
      <c r="D96">
        <v>1</v>
      </c>
      <c r="E96" t="s">
        <v>35</v>
      </c>
      <c r="F96" s="6">
        <v>46028.458333333336</v>
      </c>
      <c r="G96" s="6">
        <v>46028.46875</v>
      </c>
      <c r="H96" s="6">
        <v>46028.489583333336</v>
      </c>
      <c r="I96" s="6">
        <v>46028.513888888891</v>
      </c>
      <c r="J96" s="6">
        <v>46028.517361111109</v>
      </c>
      <c r="K96" s="6">
        <v>46028.520833333336</v>
      </c>
      <c r="L96">
        <v>1.5</v>
      </c>
      <c r="M96" s="6">
        <v>46028.521527777775</v>
      </c>
      <c r="N96">
        <f t="shared" si="1"/>
        <v>11</v>
      </c>
    </row>
    <row r="97" spans="2:14" x14ac:dyDescent="0.25">
      <c r="B97">
        <v>78</v>
      </c>
      <c r="C97" t="s">
        <v>29</v>
      </c>
      <c r="D97">
        <v>1</v>
      </c>
      <c r="E97" t="s">
        <v>35</v>
      </c>
      <c r="F97" s="6">
        <v>46028.572916666664</v>
      </c>
      <c r="G97" s="6">
        <v>46028.583333333336</v>
      </c>
      <c r="H97" s="6">
        <v>46028.614583333336</v>
      </c>
      <c r="I97" s="6">
        <v>46028.75</v>
      </c>
      <c r="J97" s="6">
        <v>46028.756944444445</v>
      </c>
      <c r="K97" s="6">
        <v>46028.763888888891</v>
      </c>
      <c r="L97">
        <v>4.58</v>
      </c>
      <c r="M97" s="6">
        <v>46028.770833333336</v>
      </c>
      <c r="N97">
        <f t="shared" si="1"/>
        <v>13</v>
      </c>
    </row>
    <row r="98" spans="2:14" x14ac:dyDescent="0.25">
      <c r="B98">
        <v>79</v>
      </c>
      <c r="C98" t="s">
        <v>29</v>
      </c>
      <c r="D98">
        <v>1</v>
      </c>
      <c r="E98" t="s">
        <v>36</v>
      </c>
      <c r="F98" s="6">
        <v>46028.684027777781</v>
      </c>
      <c r="G98" s="6">
        <v>46028.690972222219</v>
      </c>
      <c r="H98" s="6">
        <v>46028.701388888891</v>
      </c>
      <c r="I98" s="6">
        <v>46028.711805555555</v>
      </c>
      <c r="J98" s="6">
        <v>46028.715277777781</v>
      </c>
      <c r="K98" s="6">
        <v>46028.725694444445</v>
      </c>
      <c r="L98">
        <v>1</v>
      </c>
      <c r="M98" s="6">
        <v>46028.729166666664</v>
      </c>
      <c r="N98">
        <f t="shared" si="1"/>
        <v>16</v>
      </c>
    </row>
    <row r="99" spans="2:14" x14ac:dyDescent="0.25">
      <c r="B99">
        <v>80</v>
      </c>
      <c r="C99" t="s">
        <v>33</v>
      </c>
      <c r="D99">
        <v>1</v>
      </c>
      <c r="E99" t="s">
        <v>34</v>
      </c>
      <c r="F99" s="6">
        <v>46029.291666666664</v>
      </c>
      <c r="G99" s="6">
        <v>46029.326388888891</v>
      </c>
      <c r="H99" s="6">
        <v>46029.354166666664</v>
      </c>
      <c r="I99" s="6">
        <v>46029.451388888891</v>
      </c>
      <c r="J99" s="6">
        <v>46029.458333333336</v>
      </c>
      <c r="K99" s="6">
        <v>46029.461805555555</v>
      </c>
      <c r="L99">
        <v>4.08</v>
      </c>
      <c r="M99" s="6">
        <v>46029.465277777781</v>
      </c>
      <c r="N99">
        <f t="shared" si="1"/>
        <v>7</v>
      </c>
    </row>
    <row r="100" spans="2:14" x14ac:dyDescent="0.25">
      <c r="B100">
        <v>81</v>
      </c>
      <c r="C100" t="s">
        <v>29</v>
      </c>
      <c r="D100">
        <v>1</v>
      </c>
      <c r="E100" t="s">
        <v>35</v>
      </c>
      <c r="F100" s="6">
        <v>46029.291666666664</v>
      </c>
      <c r="G100" s="6">
        <v>46029.322916666664</v>
      </c>
      <c r="H100" s="6">
        <v>46029.347222222219</v>
      </c>
      <c r="I100" s="6">
        <v>46029.414583333331</v>
      </c>
      <c r="J100" s="6">
        <v>46029.421527777777</v>
      </c>
      <c r="K100" s="6">
        <v>46029.423611111109</v>
      </c>
      <c r="L100">
        <v>3.17</v>
      </c>
      <c r="M100" s="6">
        <v>46029.430555555555</v>
      </c>
      <c r="N100">
        <f t="shared" si="1"/>
        <v>7</v>
      </c>
    </row>
    <row r="101" spans="2:14" x14ac:dyDescent="0.25">
      <c r="B101">
        <v>82</v>
      </c>
      <c r="C101" t="s">
        <v>29</v>
      </c>
      <c r="D101">
        <v>1</v>
      </c>
      <c r="E101" t="s">
        <v>34</v>
      </c>
      <c r="F101" s="6">
        <v>46029.684027777781</v>
      </c>
      <c r="G101" s="6">
        <v>46029.694444444445</v>
      </c>
      <c r="H101" s="6">
        <v>46029.722222222219</v>
      </c>
      <c r="I101" s="6">
        <v>46029.788194444445</v>
      </c>
      <c r="J101" s="6">
        <v>46029.805555555555</v>
      </c>
      <c r="K101" s="6">
        <v>46029.819444444445</v>
      </c>
      <c r="L101">
        <v>3.25</v>
      </c>
      <c r="M101" s="6">
        <v>46029.826388888891</v>
      </c>
      <c r="N101">
        <f t="shared" si="1"/>
        <v>16</v>
      </c>
    </row>
    <row r="102" spans="2:14" x14ac:dyDescent="0.25">
      <c r="B102">
        <v>83</v>
      </c>
      <c r="C102" t="s">
        <v>31</v>
      </c>
      <c r="D102">
        <v>1</v>
      </c>
      <c r="E102" t="s">
        <v>36</v>
      </c>
      <c r="F102" s="6">
        <v>46029.291666666664</v>
      </c>
      <c r="G102" s="6">
        <v>46029.329861111109</v>
      </c>
      <c r="H102" s="6">
        <v>46029.354166666664</v>
      </c>
      <c r="I102" s="6">
        <v>46029.402777777781</v>
      </c>
      <c r="J102" s="6">
        <v>46029.409722222219</v>
      </c>
      <c r="K102" s="6">
        <v>46029.416666666664</v>
      </c>
      <c r="L102">
        <v>3</v>
      </c>
      <c r="M102" s="6">
        <v>46029.423611111109</v>
      </c>
      <c r="N102">
        <f t="shared" si="1"/>
        <v>7</v>
      </c>
    </row>
    <row r="103" spans="2:14" x14ac:dyDescent="0.25">
      <c r="B103">
        <v>84</v>
      </c>
      <c r="C103" t="s">
        <v>29</v>
      </c>
      <c r="D103">
        <v>1</v>
      </c>
      <c r="E103" t="s">
        <v>35</v>
      </c>
      <c r="F103" s="6">
        <v>46030.319444444445</v>
      </c>
      <c r="G103" s="6">
        <v>46030.322916666664</v>
      </c>
      <c r="H103" s="6">
        <v>46030.323611111111</v>
      </c>
      <c r="I103" s="6">
        <v>46030.34375</v>
      </c>
      <c r="J103" s="6">
        <v>46030.350694444445</v>
      </c>
      <c r="K103" s="6">
        <v>46030.354166666664</v>
      </c>
      <c r="L103">
        <v>0.83</v>
      </c>
      <c r="M103" s="6">
        <v>46030.355555555558</v>
      </c>
      <c r="N103">
        <f t="shared" si="1"/>
        <v>7</v>
      </c>
    </row>
    <row r="104" spans="2:14" x14ac:dyDescent="0.25">
      <c r="B104">
        <v>85</v>
      </c>
      <c r="C104" t="s">
        <v>29</v>
      </c>
      <c r="D104">
        <v>1</v>
      </c>
      <c r="E104" t="s">
        <v>32</v>
      </c>
      <c r="F104" s="6">
        <v>46035.371527777781</v>
      </c>
      <c r="G104" s="6">
        <v>46035.378472222219</v>
      </c>
      <c r="H104" s="6">
        <v>46035.381944444445</v>
      </c>
      <c r="I104" s="6">
        <v>46035.388888888891</v>
      </c>
      <c r="J104" s="6">
        <v>46035.392361111109</v>
      </c>
      <c r="K104" s="6">
        <v>46035.395833333336</v>
      </c>
      <c r="L104">
        <v>0.57999999999999996</v>
      </c>
      <c r="M104" s="6">
        <v>46035.396527777775</v>
      </c>
      <c r="N104">
        <f t="shared" si="1"/>
        <v>8</v>
      </c>
    </row>
    <row r="105" spans="2:14" x14ac:dyDescent="0.25">
      <c r="B105">
        <v>86</v>
      </c>
      <c r="C105" t="s">
        <v>29</v>
      </c>
      <c r="D105">
        <v>1</v>
      </c>
      <c r="E105" t="s">
        <v>32</v>
      </c>
      <c r="F105" s="6">
        <v>46029.25</v>
      </c>
      <c r="G105" s="6">
        <v>46029.277083333334</v>
      </c>
      <c r="H105" s="6">
        <v>46029.277777777781</v>
      </c>
      <c r="I105" s="6">
        <v>46029.319444444445</v>
      </c>
      <c r="J105" s="6">
        <v>46029.322916666664</v>
      </c>
      <c r="K105" s="6">
        <v>46029.326388888891</v>
      </c>
      <c r="L105">
        <v>1.83</v>
      </c>
      <c r="M105" s="6">
        <v>46029.333333333336</v>
      </c>
      <c r="N105">
        <f t="shared" si="1"/>
        <v>6</v>
      </c>
    </row>
    <row r="106" spans="2:14" x14ac:dyDescent="0.25">
      <c r="B106">
        <v>87</v>
      </c>
      <c r="C106" t="s">
        <v>29</v>
      </c>
      <c r="D106">
        <v>1</v>
      </c>
      <c r="E106" t="s">
        <v>30</v>
      </c>
      <c r="F106" s="6">
        <v>46029.458333333336</v>
      </c>
      <c r="G106" s="6">
        <v>46029.482638888891</v>
      </c>
      <c r="H106" s="6">
        <v>46029.486111111109</v>
      </c>
      <c r="I106" s="6">
        <v>46029.489583333336</v>
      </c>
      <c r="J106" s="6">
        <v>46029.496527777781</v>
      </c>
      <c r="K106" s="6">
        <v>46029.510416666664</v>
      </c>
      <c r="L106">
        <v>1.25</v>
      </c>
      <c r="M106" s="6">
        <v>46029.513888888891</v>
      </c>
      <c r="N106">
        <f t="shared" si="1"/>
        <v>11</v>
      </c>
    </row>
    <row r="107" spans="2:14" x14ac:dyDescent="0.25">
      <c r="B107">
        <v>88</v>
      </c>
      <c r="C107" t="s">
        <v>33</v>
      </c>
      <c r="D107">
        <v>1</v>
      </c>
      <c r="E107" t="s">
        <v>32</v>
      </c>
      <c r="F107" s="6">
        <v>46029.663194444445</v>
      </c>
      <c r="G107" s="6">
        <v>46029.670138888891</v>
      </c>
      <c r="H107" s="6">
        <v>46029.680555555555</v>
      </c>
      <c r="I107" s="6">
        <v>46029.715277777781</v>
      </c>
      <c r="J107" s="6">
        <v>46029.722222222219</v>
      </c>
      <c r="K107" s="6">
        <v>46029.729166666664</v>
      </c>
      <c r="L107">
        <v>1.58</v>
      </c>
      <c r="M107" s="6">
        <v>46029.736111111109</v>
      </c>
      <c r="N107">
        <f t="shared" si="1"/>
        <v>15</v>
      </c>
    </row>
    <row r="108" spans="2:14" x14ac:dyDescent="0.25">
      <c r="B108">
        <v>89</v>
      </c>
      <c r="C108" t="s">
        <v>33</v>
      </c>
      <c r="D108">
        <v>1</v>
      </c>
      <c r="E108" t="s">
        <v>36</v>
      </c>
      <c r="F108" s="6">
        <v>46029.75</v>
      </c>
      <c r="G108" s="6">
        <v>46029.763888888891</v>
      </c>
      <c r="H108" s="6">
        <v>46029.767361111109</v>
      </c>
      <c r="I108" s="6">
        <v>46029.78125</v>
      </c>
      <c r="J108" s="6">
        <v>46029.784722222219</v>
      </c>
      <c r="K108" s="6">
        <v>46029.791666666664</v>
      </c>
      <c r="L108">
        <v>1</v>
      </c>
      <c r="M108" s="6">
        <v>46029.795138888891</v>
      </c>
      <c r="N108">
        <f t="shared" si="1"/>
        <v>18</v>
      </c>
    </row>
    <row r="109" spans="2:14" x14ac:dyDescent="0.25">
      <c r="B109">
        <v>90</v>
      </c>
      <c r="C109" t="s">
        <v>31</v>
      </c>
      <c r="D109">
        <v>1</v>
      </c>
      <c r="E109" t="s">
        <v>34</v>
      </c>
      <c r="F109" s="6">
        <v>46029.284722222219</v>
      </c>
      <c r="G109" s="6">
        <v>46029.315972222219</v>
      </c>
      <c r="H109" s="6">
        <v>46029.336805555555</v>
      </c>
      <c r="I109" s="6">
        <v>46029.430555555555</v>
      </c>
      <c r="J109" s="6">
        <v>46029.4375</v>
      </c>
      <c r="K109" s="6">
        <v>46029.444444444445</v>
      </c>
      <c r="L109">
        <v>3.83</v>
      </c>
      <c r="M109" s="6">
        <v>46029.451388888891</v>
      </c>
      <c r="N109">
        <f t="shared" si="1"/>
        <v>6</v>
      </c>
    </row>
    <row r="110" spans="2:14" x14ac:dyDescent="0.25">
      <c r="B110">
        <v>91</v>
      </c>
      <c r="C110" t="s">
        <v>31</v>
      </c>
      <c r="D110">
        <v>1</v>
      </c>
      <c r="E110" t="s">
        <v>30</v>
      </c>
      <c r="F110" s="6">
        <v>46029.617361111108</v>
      </c>
      <c r="G110" s="6">
        <v>46029.631944444445</v>
      </c>
      <c r="H110" s="6">
        <v>46029.649305555555</v>
      </c>
      <c r="I110" s="6">
        <v>46029.65625</v>
      </c>
      <c r="J110" s="6">
        <v>46029.708333333336</v>
      </c>
      <c r="K110" s="6">
        <v>46029.715277777781</v>
      </c>
      <c r="L110">
        <v>2.35</v>
      </c>
      <c r="M110" s="6">
        <v>46029.722222222219</v>
      </c>
      <c r="N110">
        <f t="shared" si="1"/>
        <v>14</v>
      </c>
    </row>
    <row r="111" spans="2:14" x14ac:dyDescent="0.25">
      <c r="B111">
        <v>92</v>
      </c>
      <c r="C111" t="s">
        <v>29</v>
      </c>
      <c r="D111">
        <v>1</v>
      </c>
      <c r="E111" t="s">
        <v>30</v>
      </c>
      <c r="F111" s="6">
        <v>46029.024305555555</v>
      </c>
      <c r="G111" s="6">
        <v>46029.027777777781</v>
      </c>
      <c r="H111" s="6">
        <v>46029.041666666664</v>
      </c>
      <c r="I111" s="6">
        <v>46029.121527777781</v>
      </c>
      <c r="J111" s="6">
        <v>46029.128472222219</v>
      </c>
      <c r="K111" s="6">
        <v>46029.131944444445</v>
      </c>
      <c r="L111">
        <v>2.58</v>
      </c>
      <c r="M111" s="6">
        <v>46029.138888888891</v>
      </c>
      <c r="N111">
        <f t="shared" si="1"/>
        <v>0</v>
      </c>
    </row>
    <row r="112" spans="2:14" x14ac:dyDescent="0.25">
      <c r="B112">
        <v>93</v>
      </c>
      <c r="C112" t="s">
        <v>33</v>
      </c>
      <c r="D112">
        <v>1</v>
      </c>
      <c r="E112" t="s">
        <v>30</v>
      </c>
      <c r="F112" s="6">
        <v>46029.055555555555</v>
      </c>
      <c r="G112" s="6">
        <v>46029.059027777781</v>
      </c>
      <c r="H112" s="6">
        <v>46029.0625</v>
      </c>
      <c r="I112" s="6">
        <v>46029.086805555555</v>
      </c>
      <c r="J112" s="6">
        <v>46029.088194444441</v>
      </c>
      <c r="K112" s="6">
        <v>46029.088888888888</v>
      </c>
      <c r="L112">
        <v>0.8</v>
      </c>
      <c r="M112" s="6">
        <v>46029.090277777781</v>
      </c>
      <c r="N112">
        <f t="shared" si="1"/>
        <v>1</v>
      </c>
    </row>
    <row r="113" spans="2:14" x14ac:dyDescent="0.25">
      <c r="B113">
        <v>94</v>
      </c>
      <c r="C113" t="s">
        <v>29</v>
      </c>
      <c r="D113">
        <v>1</v>
      </c>
      <c r="E113" t="s">
        <v>30</v>
      </c>
      <c r="F113" s="6">
        <v>46029.069444444445</v>
      </c>
      <c r="G113" s="6">
        <v>46029.079861111109</v>
      </c>
      <c r="H113" s="6">
        <v>46029.097222222219</v>
      </c>
      <c r="I113" s="6">
        <v>46029.132638888892</v>
      </c>
      <c r="J113" s="6">
        <v>46029.134722222225</v>
      </c>
      <c r="K113" s="6">
        <v>46029.136111111111</v>
      </c>
      <c r="L113">
        <v>1.6</v>
      </c>
      <c r="M113" s="6">
        <v>46029.143055555556</v>
      </c>
      <c r="N113">
        <f t="shared" si="1"/>
        <v>1</v>
      </c>
    </row>
    <row r="114" spans="2:14" x14ac:dyDescent="0.25">
      <c r="B114">
        <v>95</v>
      </c>
      <c r="C114" t="s">
        <v>33</v>
      </c>
      <c r="D114">
        <v>1</v>
      </c>
      <c r="E114" t="s">
        <v>30</v>
      </c>
      <c r="F114" s="6">
        <v>46029.434027777781</v>
      </c>
      <c r="G114" s="6">
        <v>46029.444444444445</v>
      </c>
      <c r="H114" s="6">
        <v>46029.458333333336</v>
      </c>
      <c r="I114" s="6">
        <v>46029.511805555558</v>
      </c>
      <c r="J114" s="6">
        <v>46029.611111111109</v>
      </c>
      <c r="K114" s="6">
        <v>46029.613194444442</v>
      </c>
      <c r="L114">
        <v>4.3</v>
      </c>
      <c r="M114" s="6">
        <v>46029.620138888888</v>
      </c>
      <c r="N114">
        <f t="shared" si="1"/>
        <v>10</v>
      </c>
    </row>
    <row r="115" spans="2:14" x14ac:dyDescent="0.25">
      <c r="B115">
        <v>96</v>
      </c>
      <c r="C115" t="s">
        <v>31</v>
      </c>
      <c r="D115">
        <v>1</v>
      </c>
      <c r="E115" t="s">
        <v>30</v>
      </c>
      <c r="F115" s="6">
        <v>46029.477777777778</v>
      </c>
      <c r="G115" s="6">
        <v>46029.489583333336</v>
      </c>
      <c r="H115" s="6">
        <v>46029.5</v>
      </c>
      <c r="I115" s="6">
        <v>46029.548611111109</v>
      </c>
      <c r="J115" s="6">
        <v>46029.555555555555</v>
      </c>
      <c r="K115" s="6">
        <v>46029.569444444445</v>
      </c>
      <c r="L115">
        <v>2.2000000000000002</v>
      </c>
      <c r="M115" s="6">
        <v>46029.576388888891</v>
      </c>
      <c r="N115">
        <f t="shared" si="1"/>
        <v>11</v>
      </c>
    </row>
    <row r="116" spans="2:14" x14ac:dyDescent="0.25">
      <c r="B116">
        <v>97</v>
      </c>
      <c r="C116" t="s">
        <v>29</v>
      </c>
      <c r="D116">
        <v>1</v>
      </c>
      <c r="E116" t="s">
        <v>30</v>
      </c>
      <c r="F116" s="6">
        <v>46029.506944444445</v>
      </c>
      <c r="G116" s="6">
        <v>46029.524305555555</v>
      </c>
      <c r="H116" s="6">
        <v>46029.559027777781</v>
      </c>
      <c r="I116" s="6">
        <v>46029.607638888891</v>
      </c>
      <c r="J116" s="6">
        <v>46029.614583333336</v>
      </c>
      <c r="K116" s="6">
        <v>46029.625</v>
      </c>
      <c r="L116">
        <v>2.83</v>
      </c>
      <c r="M116" s="6">
        <v>46029.631944444445</v>
      </c>
      <c r="N116">
        <f t="shared" si="1"/>
        <v>12</v>
      </c>
    </row>
    <row r="117" spans="2:14" x14ac:dyDescent="0.25">
      <c r="B117">
        <v>98</v>
      </c>
      <c r="C117" t="s">
        <v>29</v>
      </c>
      <c r="D117">
        <v>1</v>
      </c>
      <c r="E117" t="s">
        <v>36</v>
      </c>
      <c r="F117" s="6">
        <v>46029.576388888891</v>
      </c>
      <c r="G117" s="6">
        <v>46029.583333333336</v>
      </c>
      <c r="H117" s="6">
        <v>46029.586805555555</v>
      </c>
      <c r="I117" s="6">
        <v>46029.611111111109</v>
      </c>
      <c r="J117" s="6">
        <v>46029.618055555555</v>
      </c>
      <c r="K117" s="6">
        <v>46029.621527777781</v>
      </c>
      <c r="L117">
        <v>1.08</v>
      </c>
      <c r="M117" s="6">
        <v>46029.625</v>
      </c>
      <c r="N117">
        <f t="shared" si="1"/>
        <v>13</v>
      </c>
    </row>
    <row r="118" spans="2:14" x14ac:dyDescent="0.25">
      <c r="B118">
        <v>99</v>
      </c>
      <c r="C118" t="s">
        <v>31</v>
      </c>
      <c r="D118">
        <v>1</v>
      </c>
      <c r="E118" t="s">
        <v>35</v>
      </c>
      <c r="F118" s="6">
        <v>46030.291666666664</v>
      </c>
      <c r="G118" s="6">
        <v>46030.322916666664</v>
      </c>
      <c r="H118" s="6">
        <v>46030.350694444445</v>
      </c>
      <c r="I118" s="6">
        <v>46030.413194444445</v>
      </c>
      <c r="J118" s="6">
        <v>46030.420138888891</v>
      </c>
      <c r="K118" s="6">
        <v>46030.4375</v>
      </c>
      <c r="L118">
        <v>3.5</v>
      </c>
      <c r="M118" s="6">
        <v>46030.438194444447</v>
      </c>
      <c r="N118">
        <f t="shared" si="1"/>
        <v>7</v>
      </c>
    </row>
    <row r="119" spans="2:14" x14ac:dyDescent="0.25">
      <c r="B119">
        <v>100</v>
      </c>
      <c r="C119" t="s">
        <v>31</v>
      </c>
      <c r="D119">
        <v>1</v>
      </c>
      <c r="E119" t="s">
        <v>37</v>
      </c>
      <c r="F119" s="6">
        <v>46030.472222222219</v>
      </c>
      <c r="G119" s="6">
        <v>46030.479166666664</v>
      </c>
      <c r="H119" s="6">
        <v>46030.5</v>
      </c>
      <c r="I119" s="6">
        <v>46030.541666666664</v>
      </c>
      <c r="J119" s="6">
        <v>46030.548611111109</v>
      </c>
      <c r="K119" s="6">
        <v>46030.555555555555</v>
      </c>
      <c r="L119">
        <v>2</v>
      </c>
      <c r="M119" s="6">
        <v>46030.5625</v>
      </c>
      <c r="N119">
        <f t="shared" si="1"/>
        <v>11</v>
      </c>
    </row>
    <row r="120" spans="2:14" x14ac:dyDescent="0.25">
      <c r="B120">
        <v>101</v>
      </c>
      <c r="C120" t="s">
        <v>31</v>
      </c>
      <c r="D120">
        <v>1</v>
      </c>
      <c r="E120" t="s">
        <v>32</v>
      </c>
      <c r="F120" s="6">
        <v>46030.611111111109</v>
      </c>
      <c r="G120" s="6">
        <v>46030.635416666664</v>
      </c>
      <c r="H120" s="6">
        <v>46030.663194444445</v>
      </c>
      <c r="I120" s="6">
        <v>46030.704861111109</v>
      </c>
      <c r="J120" s="6">
        <v>46030.711805555555</v>
      </c>
      <c r="K120" s="6">
        <v>46030.725694444445</v>
      </c>
      <c r="L120">
        <v>2.75</v>
      </c>
      <c r="M120" s="6">
        <v>46030.732638888891</v>
      </c>
      <c r="N120">
        <f t="shared" si="1"/>
        <v>14</v>
      </c>
    </row>
    <row r="121" spans="2:14" x14ac:dyDescent="0.25">
      <c r="B121">
        <v>102</v>
      </c>
      <c r="C121" t="s">
        <v>33</v>
      </c>
      <c r="D121">
        <v>1</v>
      </c>
      <c r="E121" t="s">
        <v>34</v>
      </c>
      <c r="F121" s="6">
        <v>46030.291666666664</v>
      </c>
      <c r="G121" s="6">
        <v>46030.322916666664</v>
      </c>
      <c r="H121" s="6">
        <v>46030.368055555555</v>
      </c>
      <c r="I121" s="6">
        <v>46030.470138888886</v>
      </c>
      <c r="J121" s="6">
        <v>46030.479166666664</v>
      </c>
      <c r="K121" s="6">
        <v>46030.482638888891</v>
      </c>
      <c r="L121">
        <v>4.58</v>
      </c>
      <c r="M121" s="6">
        <v>46030.489583333336</v>
      </c>
      <c r="N121">
        <f t="shared" si="1"/>
        <v>7</v>
      </c>
    </row>
    <row r="122" spans="2:14" x14ac:dyDescent="0.25">
      <c r="B122">
        <v>103</v>
      </c>
      <c r="C122" t="s">
        <v>29</v>
      </c>
      <c r="D122">
        <v>1</v>
      </c>
      <c r="E122" t="s">
        <v>30</v>
      </c>
      <c r="F122" s="6">
        <v>46030.635416666664</v>
      </c>
      <c r="G122" s="6">
        <v>46030.645833333336</v>
      </c>
      <c r="H122" s="6">
        <v>46030.684027777781</v>
      </c>
      <c r="I122" s="6">
        <v>46030.791666666664</v>
      </c>
      <c r="J122" s="6">
        <v>46030.798611111109</v>
      </c>
      <c r="K122" s="6">
        <v>46030.8</v>
      </c>
      <c r="L122">
        <v>3.95</v>
      </c>
      <c r="M122" s="6">
        <v>46030.806944444441</v>
      </c>
      <c r="N122">
        <f t="shared" si="1"/>
        <v>15</v>
      </c>
    </row>
    <row r="123" spans="2:14" x14ac:dyDescent="0.25">
      <c r="B123">
        <v>104</v>
      </c>
      <c r="C123" t="s">
        <v>31</v>
      </c>
      <c r="D123">
        <v>1</v>
      </c>
      <c r="E123" t="s">
        <v>37</v>
      </c>
      <c r="F123" s="6">
        <v>46030.340277777781</v>
      </c>
      <c r="G123" s="6">
        <v>46030.361111111109</v>
      </c>
      <c r="H123" s="6">
        <v>46030.375</v>
      </c>
      <c r="I123" s="6">
        <v>46030.447916666664</v>
      </c>
      <c r="J123" s="6">
        <v>46030.451388888891</v>
      </c>
      <c r="K123" s="6">
        <v>46030.465277777781</v>
      </c>
      <c r="L123">
        <v>3</v>
      </c>
      <c r="M123" s="6">
        <v>46030.472222222219</v>
      </c>
      <c r="N123">
        <f t="shared" si="1"/>
        <v>8</v>
      </c>
    </row>
    <row r="124" spans="2:14" x14ac:dyDescent="0.25">
      <c r="B124">
        <v>105</v>
      </c>
      <c r="C124" t="s">
        <v>29</v>
      </c>
      <c r="D124">
        <v>1</v>
      </c>
      <c r="E124" t="s">
        <v>36</v>
      </c>
      <c r="F124" s="6">
        <v>46030.416666666664</v>
      </c>
      <c r="G124" s="6">
        <v>46030.430555555555</v>
      </c>
      <c r="H124" s="6">
        <v>46030.4375</v>
      </c>
      <c r="I124" s="6">
        <v>46030.458333333336</v>
      </c>
      <c r="J124" s="6">
        <v>46030.465277777781</v>
      </c>
      <c r="K124" s="6">
        <v>46030.5</v>
      </c>
      <c r="L124">
        <v>2</v>
      </c>
      <c r="M124" s="6">
        <v>46030.501388888886</v>
      </c>
      <c r="N124">
        <f t="shared" si="1"/>
        <v>10</v>
      </c>
    </row>
    <row r="125" spans="2:14" x14ac:dyDescent="0.25">
      <c r="B125">
        <v>106</v>
      </c>
      <c r="C125" t="s">
        <v>33</v>
      </c>
      <c r="D125">
        <v>1</v>
      </c>
      <c r="E125" t="s">
        <v>32</v>
      </c>
      <c r="F125" s="6">
        <v>46030.295138888891</v>
      </c>
      <c r="G125" s="6">
        <v>46030.326388888891</v>
      </c>
      <c r="H125" s="6">
        <v>46030.340277777781</v>
      </c>
      <c r="I125" s="6">
        <v>46030.378472222219</v>
      </c>
      <c r="J125" s="6">
        <v>46030.385416666664</v>
      </c>
      <c r="K125" s="6">
        <v>46030.388888888891</v>
      </c>
      <c r="L125">
        <v>2.25</v>
      </c>
      <c r="M125" s="6">
        <v>46030.395833333336</v>
      </c>
      <c r="N125">
        <f t="shared" si="1"/>
        <v>7</v>
      </c>
    </row>
    <row r="126" spans="2:14" x14ac:dyDescent="0.25">
      <c r="B126">
        <v>107</v>
      </c>
      <c r="C126" t="s">
        <v>29</v>
      </c>
      <c r="D126">
        <v>1</v>
      </c>
      <c r="E126" t="s">
        <v>35</v>
      </c>
      <c r="F126" s="6">
        <v>46030.260416666664</v>
      </c>
      <c r="G126" s="6">
        <v>46030.267361111109</v>
      </c>
      <c r="H126" s="6">
        <v>46030.277777777781</v>
      </c>
      <c r="I126" s="6">
        <v>46030.284722222219</v>
      </c>
      <c r="J126" s="6">
        <v>46030.291666666664</v>
      </c>
      <c r="K126" s="6">
        <v>46030.298611111109</v>
      </c>
      <c r="L126">
        <v>0.92</v>
      </c>
      <c r="M126" s="6">
        <v>46030.305555555555</v>
      </c>
      <c r="N126">
        <f t="shared" si="1"/>
        <v>6</v>
      </c>
    </row>
    <row r="127" spans="2:14" x14ac:dyDescent="0.25">
      <c r="B127">
        <v>108</v>
      </c>
      <c r="C127" t="s">
        <v>33</v>
      </c>
      <c r="D127">
        <v>1</v>
      </c>
      <c r="E127" t="s">
        <v>30</v>
      </c>
      <c r="F127" s="6">
        <v>46029.847222222219</v>
      </c>
      <c r="G127" s="6">
        <v>46029.854166666664</v>
      </c>
      <c r="H127" s="6">
        <v>46029.864583333336</v>
      </c>
      <c r="I127" s="6">
        <v>46029.885416666664</v>
      </c>
      <c r="J127" s="6">
        <v>46029.892361111109</v>
      </c>
      <c r="K127" s="6">
        <v>46029.895833333336</v>
      </c>
      <c r="L127">
        <v>1.17</v>
      </c>
      <c r="M127" s="6">
        <v>46029.899305555555</v>
      </c>
      <c r="N127">
        <f t="shared" si="1"/>
        <v>20</v>
      </c>
    </row>
    <row r="128" spans="2:14" x14ac:dyDescent="0.25">
      <c r="B128">
        <v>109</v>
      </c>
      <c r="C128" t="s">
        <v>33</v>
      </c>
      <c r="D128">
        <v>1</v>
      </c>
      <c r="E128" t="s">
        <v>30</v>
      </c>
      <c r="F128" s="6">
        <v>46030.423611111109</v>
      </c>
      <c r="G128" s="6">
        <v>46030.430555555555</v>
      </c>
      <c r="H128" s="6">
        <v>46030.461805555555</v>
      </c>
      <c r="I128" s="6">
        <v>46030.510416666664</v>
      </c>
      <c r="J128" s="6">
        <v>46030.520833333336</v>
      </c>
      <c r="K128" s="6">
        <v>46030.559027777781</v>
      </c>
      <c r="L128">
        <v>3.25</v>
      </c>
      <c r="M128" s="6">
        <v>46030.5625</v>
      </c>
      <c r="N128">
        <f t="shared" si="1"/>
        <v>10</v>
      </c>
    </row>
    <row r="129" spans="2:14" x14ac:dyDescent="0.25">
      <c r="B129">
        <v>110</v>
      </c>
      <c r="C129" t="s">
        <v>33</v>
      </c>
      <c r="D129">
        <v>1</v>
      </c>
      <c r="E129" t="s">
        <v>30</v>
      </c>
      <c r="F129" s="6">
        <v>46030.520833333336</v>
      </c>
      <c r="G129" s="6">
        <v>46030.53125</v>
      </c>
      <c r="H129" s="6">
        <v>46030.541666666664</v>
      </c>
      <c r="I129" s="6">
        <v>46030.595138888886</v>
      </c>
      <c r="J129" s="6">
        <v>46030.600694444445</v>
      </c>
      <c r="K129" s="6">
        <v>46030.614583333336</v>
      </c>
      <c r="L129">
        <v>2.25</v>
      </c>
      <c r="M129" s="6">
        <v>46030.615972222222</v>
      </c>
      <c r="N129">
        <f t="shared" si="1"/>
        <v>12</v>
      </c>
    </row>
    <row r="130" spans="2:14" x14ac:dyDescent="0.25">
      <c r="B130">
        <v>111</v>
      </c>
      <c r="C130" t="s">
        <v>29</v>
      </c>
      <c r="D130">
        <v>1</v>
      </c>
      <c r="E130" t="s">
        <v>30</v>
      </c>
      <c r="F130" s="6">
        <v>46030.724999999999</v>
      </c>
      <c r="G130" s="6">
        <v>46030.729166666664</v>
      </c>
      <c r="H130" s="6">
        <v>46030.738194444442</v>
      </c>
      <c r="I130" s="6">
        <v>46030.751388888886</v>
      </c>
      <c r="J130" s="6">
        <v>46030.752083333333</v>
      </c>
      <c r="K130" s="6">
        <v>46030.763888888891</v>
      </c>
      <c r="L130">
        <v>0.93</v>
      </c>
      <c r="M130" s="6">
        <v>46030.770833333336</v>
      </c>
      <c r="N130">
        <f t="shared" si="1"/>
        <v>17</v>
      </c>
    </row>
    <row r="131" spans="2:14" x14ac:dyDescent="0.25">
      <c r="B131">
        <v>112</v>
      </c>
      <c r="C131" t="s">
        <v>31</v>
      </c>
      <c r="D131">
        <v>1</v>
      </c>
      <c r="E131" t="s">
        <v>34</v>
      </c>
      <c r="F131" s="6">
        <v>46031.291666666664</v>
      </c>
      <c r="G131" s="6">
        <v>46031.333333333336</v>
      </c>
      <c r="H131" s="6">
        <v>46031.354166666664</v>
      </c>
      <c r="I131" s="6">
        <v>46031.444444444445</v>
      </c>
      <c r="J131" s="6">
        <v>46031.451388888891</v>
      </c>
      <c r="K131" s="6">
        <v>46031.458333333336</v>
      </c>
      <c r="L131">
        <v>4</v>
      </c>
      <c r="M131" s="6">
        <v>46031.465277777781</v>
      </c>
      <c r="N131">
        <f t="shared" si="1"/>
        <v>7</v>
      </c>
    </row>
    <row r="132" spans="2:14" x14ac:dyDescent="0.25">
      <c r="B132">
        <v>113</v>
      </c>
      <c r="C132" t="s">
        <v>31</v>
      </c>
      <c r="D132">
        <v>1</v>
      </c>
      <c r="E132" t="s">
        <v>36</v>
      </c>
      <c r="F132" s="6">
        <v>46031.34375</v>
      </c>
      <c r="G132" s="6">
        <v>46031.357638888891</v>
      </c>
      <c r="H132" s="6">
        <v>46031.399305555555</v>
      </c>
      <c r="I132" s="6">
        <v>46031.461805555555</v>
      </c>
      <c r="J132" s="6">
        <v>46031.479166666664</v>
      </c>
      <c r="K132" s="6">
        <v>46031.486111111109</v>
      </c>
      <c r="L132">
        <v>3.42</v>
      </c>
      <c r="M132" s="6">
        <v>46031.493055555555</v>
      </c>
      <c r="N132">
        <f t="shared" si="1"/>
        <v>8</v>
      </c>
    </row>
    <row r="133" spans="2:14" x14ac:dyDescent="0.25">
      <c r="B133">
        <v>114</v>
      </c>
      <c r="C133" t="s">
        <v>33</v>
      </c>
      <c r="D133">
        <v>1</v>
      </c>
      <c r="E133" t="s">
        <v>32</v>
      </c>
      <c r="F133" s="6">
        <v>46031.347222222219</v>
      </c>
      <c r="G133" s="6">
        <v>46031.368055555555</v>
      </c>
      <c r="H133" s="6">
        <v>46031.402777777781</v>
      </c>
      <c r="I133" s="6">
        <v>46031.495138888888</v>
      </c>
      <c r="J133" s="6">
        <v>46031.502083333333</v>
      </c>
      <c r="K133" s="6">
        <v>46031.513888888891</v>
      </c>
      <c r="L133">
        <v>4</v>
      </c>
      <c r="M133" s="6">
        <v>46031.520833333336</v>
      </c>
      <c r="N133">
        <f t="shared" si="1"/>
        <v>8</v>
      </c>
    </row>
    <row r="134" spans="2:14" x14ac:dyDescent="0.25">
      <c r="B134">
        <v>115</v>
      </c>
      <c r="C134" t="s">
        <v>31</v>
      </c>
      <c r="D134">
        <v>1</v>
      </c>
      <c r="E134" t="s">
        <v>37</v>
      </c>
      <c r="F134" s="6">
        <v>46031.5</v>
      </c>
      <c r="G134" s="6">
        <v>46031.513888888891</v>
      </c>
      <c r="H134" s="6">
        <v>46031.530555555553</v>
      </c>
      <c r="I134" s="6">
        <v>46031.613888888889</v>
      </c>
      <c r="J134" s="6">
        <v>46031.621527777781</v>
      </c>
      <c r="K134" s="6">
        <v>46031.62222222222</v>
      </c>
      <c r="L134">
        <v>2.93</v>
      </c>
      <c r="M134" s="6">
        <v>46031.629166666666</v>
      </c>
      <c r="N134">
        <f t="shared" si="1"/>
        <v>12</v>
      </c>
    </row>
    <row r="135" spans="2:14" x14ac:dyDescent="0.25">
      <c r="B135">
        <v>116</v>
      </c>
      <c r="C135" t="s">
        <v>33</v>
      </c>
      <c r="D135">
        <v>1</v>
      </c>
      <c r="E135" t="s">
        <v>35</v>
      </c>
      <c r="F135" s="6">
        <v>46031.6875</v>
      </c>
      <c r="G135" s="6">
        <v>46031.694444444445</v>
      </c>
      <c r="H135" s="6">
        <v>46031.711805555555</v>
      </c>
      <c r="I135" s="6">
        <v>46031.729166666664</v>
      </c>
      <c r="J135" s="6">
        <v>46031.739583333336</v>
      </c>
      <c r="K135" s="6">
        <v>46031.743055555555</v>
      </c>
      <c r="L135">
        <v>1.33</v>
      </c>
      <c r="M135" s="6">
        <v>46031.746527777781</v>
      </c>
      <c r="N135">
        <f t="shared" si="1"/>
        <v>16</v>
      </c>
    </row>
    <row r="136" spans="2:14" x14ac:dyDescent="0.25">
      <c r="B136">
        <v>117</v>
      </c>
      <c r="C136" t="s">
        <v>33</v>
      </c>
      <c r="D136">
        <v>1</v>
      </c>
      <c r="E136" t="s">
        <v>30</v>
      </c>
      <c r="F136" s="6">
        <v>46030.618055555555</v>
      </c>
      <c r="G136" s="6">
        <v>46030.625</v>
      </c>
      <c r="H136" s="6">
        <v>46030.649305555555</v>
      </c>
      <c r="I136" s="6">
        <v>46030.722222222219</v>
      </c>
      <c r="J136" s="6">
        <v>46030.729166666664</v>
      </c>
      <c r="K136" s="6">
        <v>46030.732638888891</v>
      </c>
      <c r="L136">
        <v>2.75</v>
      </c>
      <c r="M136" s="6">
        <v>46030.739583333336</v>
      </c>
      <c r="N136">
        <f t="shared" si="1"/>
        <v>14</v>
      </c>
    </row>
    <row r="137" spans="2:14" x14ac:dyDescent="0.25">
      <c r="B137">
        <v>118</v>
      </c>
      <c r="C137" t="s">
        <v>33</v>
      </c>
      <c r="D137">
        <v>1</v>
      </c>
      <c r="E137" t="s">
        <v>35</v>
      </c>
      <c r="F137" s="6">
        <v>46031.375</v>
      </c>
      <c r="G137" s="6">
        <v>46031.381944444445</v>
      </c>
      <c r="H137" s="6">
        <v>46031.395138888889</v>
      </c>
      <c r="I137" s="6">
        <v>46031.436805555553</v>
      </c>
      <c r="J137" s="6">
        <v>46031.458333333336</v>
      </c>
      <c r="K137" s="6">
        <v>46031.472222222219</v>
      </c>
      <c r="L137">
        <v>2.33</v>
      </c>
      <c r="M137" s="6">
        <v>46031.479166666664</v>
      </c>
      <c r="N137">
        <f t="shared" si="1"/>
        <v>9</v>
      </c>
    </row>
    <row r="138" spans="2:14" x14ac:dyDescent="0.25">
      <c r="B138">
        <v>119</v>
      </c>
      <c r="C138" t="s">
        <v>33</v>
      </c>
      <c r="D138">
        <v>1</v>
      </c>
      <c r="E138" t="s">
        <v>30</v>
      </c>
      <c r="F138" s="6">
        <v>46030.864583333336</v>
      </c>
      <c r="G138" s="6">
        <v>46030.875</v>
      </c>
      <c r="H138" s="6">
        <v>46030.895833333336</v>
      </c>
      <c r="I138" s="6">
        <v>46030.930555555555</v>
      </c>
      <c r="J138" s="6">
        <v>46030.934027777781</v>
      </c>
      <c r="K138" s="6">
        <v>46030.9375</v>
      </c>
      <c r="L138">
        <v>1.75</v>
      </c>
      <c r="M138" s="6">
        <v>46030.940972222219</v>
      </c>
      <c r="N138">
        <f t="shared" si="1"/>
        <v>20</v>
      </c>
    </row>
    <row r="139" spans="2:14" x14ac:dyDescent="0.25">
      <c r="B139">
        <v>120</v>
      </c>
      <c r="C139" t="s">
        <v>33</v>
      </c>
      <c r="D139">
        <v>1</v>
      </c>
      <c r="E139" t="s">
        <v>32</v>
      </c>
      <c r="F139" s="6">
        <v>46031.638888888891</v>
      </c>
      <c r="G139" s="6">
        <v>46031.645833333336</v>
      </c>
      <c r="H139" s="6">
        <v>46031.690972222219</v>
      </c>
      <c r="I139" s="6">
        <v>46031.84375</v>
      </c>
      <c r="J139" s="6">
        <v>46031.888888888891</v>
      </c>
      <c r="K139" s="6">
        <v>46031.898611111108</v>
      </c>
      <c r="L139">
        <v>6.23</v>
      </c>
      <c r="M139" s="6">
        <v>46031.905555555553</v>
      </c>
      <c r="N139">
        <f t="shared" si="1"/>
        <v>15</v>
      </c>
    </row>
    <row r="140" spans="2:14" x14ac:dyDescent="0.25">
      <c r="B140">
        <v>121</v>
      </c>
      <c r="C140" t="s">
        <v>29</v>
      </c>
      <c r="D140">
        <v>1</v>
      </c>
      <c r="E140" t="s">
        <v>34</v>
      </c>
      <c r="F140" s="6">
        <v>46031.628472222219</v>
      </c>
      <c r="G140" s="6">
        <v>46031.635416666664</v>
      </c>
      <c r="H140" s="6">
        <v>46031.636805555558</v>
      </c>
      <c r="I140" s="6">
        <v>46031.659722222219</v>
      </c>
      <c r="J140" s="6">
        <v>46031.666666666664</v>
      </c>
      <c r="K140" s="6">
        <v>46031.677083333336</v>
      </c>
      <c r="L140">
        <v>1.17</v>
      </c>
      <c r="M140" s="6">
        <v>46031.680555555555</v>
      </c>
      <c r="N140">
        <f t="shared" si="1"/>
        <v>15</v>
      </c>
    </row>
    <row r="141" spans="2:14" x14ac:dyDescent="0.25">
      <c r="B141">
        <v>122</v>
      </c>
      <c r="C141" t="s">
        <v>31</v>
      </c>
      <c r="D141">
        <v>1</v>
      </c>
      <c r="E141" t="s">
        <v>36</v>
      </c>
      <c r="F141" s="6">
        <v>46031.538194444445</v>
      </c>
      <c r="G141" s="6">
        <v>46031.545138888891</v>
      </c>
      <c r="H141" s="6">
        <v>46031.552083333336</v>
      </c>
      <c r="I141" s="6">
        <v>46031.569444444445</v>
      </c>
      <c r="J141" s="6">
        <v>46031.572916666664</v>
      </c>
      <c r="K141" s="6">
        <v>46031.576388888891</v>
      </c>
      <c r="L141">
        <v>0.92</v>
      </c>
      <c r="M141" s="6">
        <v>46031.583333333336</v>
      </c>
      <c r="N141">
        <f t="shared" si="1"/>
        <v>12</v>
      </c>
    </row>
    <row r="142" spans="2:14" x14ac:dyDescent="0.25">
      <c r="B142">
        <v>123</v>
      </c>
      <c r="C142" t="s">
        <v>31</v>
      </c>
      <c r="D142">
        <v>1</v>
      </c>
      <c r="E142" t="s">
        <v>34</v>
      </c>
      <c r="F142" s="6">
        <v>46031.503472222219</v>
      </c>
      <c r="G142" s="6">
        <v>46031.517361111109</v>
      </c>
      <c r="H142" s="6">
        <v>46031.541666666664</v>
      </c>
      <c r="I142" s="6">
        <v>46031.586111111108</v>
      </c>
      <c r="J142" s="6">
        <v>46031.590277777781</v>
      </c>
      <c r="K142" s="6">
        <v>46031.59375</v>
      </c>
      <c r="L142">
        <v>2.17</v>
      </c>
      <c r="M142" s="6">
        <v>46031.600694444445</v>
      </c>
      <c r="N142">
        <f t="shared" si="1"/>
        <v>12</v>
      </c>
    </row>
    <row r="143" spans="2:14" x14ac:dyDescent="0.25">
      <c r="B143">
        <v>124</v>
      </c>
      <c r="C143" t="s">
        <v>31</v>
      </c>
      <c r="D143">
        <v>1</v>
      </c>
      <c r="E143" t="s">
        <v>36</v>
      </c>
      <c r="F143" s="6">
        <v>46031.638888888891</v>
      </c>
      <c r="G143" s="6">
        <v>46031.645833333336</v>
      </c>
      <c r="H143" s="6">
        <v>46031.666666666664</v>
      </c>
      <c r="I143" s="6">
        <v>46031.75</v>
      </c>
      <c r="J143" s="6">
        <v>46031.756944444445</v>
      </c>
      <c r="K143" s="6">
        <v>46031.763888888891</v>
      </c>
      <c r="L143">
        <v>3</v>
      </c>
      <c r="M143" s="6">
        <v>46031.770833333336</v>
      </c>
      <c r="N143">
        <f t="shared" si="1"/>
        <v>15</v>
      </c>
    </row>
    <row r="144" spans="2:14" x14ac:dyDescent="0.25">
      <c r="B144">
        <v>125</v>
      </c>
      <c r="C144" t="s">
        <v>33</v>
      </c>
      <c r="D144">
        <v>1</v>
      </c>
      <c r="E144" t="s">
        <v>35</v>
      </c>
      <c r="F144" s="6">
        <v>46032.576388888891</v>
      </c>
      <c r="G144" s="6">
        <v>46032.583333333336</v>
      </c>
      <c r="H144" s="6">
        <v>46032.590277777781</v>
      </c>
      <c r="I144" s="6">
        <v>46032.600694444445</v>
      </c>
      <c r="J144" s="6">
        <v>46032.607638888891</v>
      </c>
      <c r="K144" s="6">
        <v>46032.621527777781</v>
      </c>
      <c r="L144">
        <v>1.08</v>
      </c>
      <c r="M144" s="6">
        <v>46032.628472222219</v>
      </c>
      <c r="N144">
        <f t="shared" si="1"/>
        <v>13</v>
      </c>
    </row>
    <row r="145" spans="2:14" x14ac:dyDescent="0.25">
      <c r="B145">
        <v>126</v>
      </c>
      <c r="C145" t="s">
        <v>29</v>
      </c>
      <c r="D145">
        <v>1</v>
      </c>
      <c r="E145" t="s">
        <v>35</v>
      </c>
      <c r="F145" s="6">
        <v>46032.697916666664</v>
      </c>
      <c r="G145" s="6">
        <v>46032.711805555555</v>
      </c>
      <c r="H145" s="6">
        <v>46032.722222222219</v>
      </c>
      <c r="I145" s="6">
        <v>46032.75</v>
      </c>
      <c r="J145" s="6">
        <v>46032.756944444445</v>
      </c>
      <c r="K145" s="6">
        <v>46032.763888888891</v>
      </c>
      <c r="L145">
        <v>1.58</v>
      </c>
      <c r="M145" s="6">
        <v>46032.770833333336</v>
      </c>
      <c r="N145">
        <f t="shared" si="1"/>
        <v>16</v>
      </c>
    </row>
    <row r="146" spans="2:14" x14ac:dyDescent="0.25">
      <c r="B146">
        <v>127</v>
      </c>
      <c r="C146" t="s">
        <v>33</v>
      </c>
      <c r="D146">
        <v>1</v>
      </c>
      <c r="E146" t="s">
        <v>34</v>
      </c>
      <c r="F146" s="6">
        <v>46032.454861111109</v>
      </c>
      <c r="G146" s="6">
        <v>46032.465277777781</v>
      </c>
      <c r="H146" s="6">
        <v>46032.479166666664</v>
      </c>
      <c r="I146" s="6">
        <v>46032.5</v>
      </c>
      <c r="J146" s="6">
        <v>46032.510416666664</v>
      </c>
      <c r="K146" s="6">
        <v>46032.517361111109</v>
      </c>
      <c r="L146">
        <v>1.5</v>
      </c>
      <c r="M146" s="6">
        <v>46032.518750000003</v>
      </c>
      <c r="N146">
        <f t="shared" si="1"/>
        <v>10</v>
      </c>
    </row>
    <row r="147" spans="2:14" x14ac:dyDescent="0.25">
      <c r="B147">
        <v>128</v>
      </c>
      <c r="C147" t="s">
        <v>29</v>
      </c>
      <c r="D147">
        <v>1</v>
      </c>
      <c r="E147" t="s">
        <v>35</v>
      </c>
      <c r="F147" s="6">
        <v>46034.482638888891</v>
      </c>
      <c r="G147" s="6">
        <v>46034.493055555555</v>
      </c>
      <c r="H147" s="6">
        <v>46034.527777777781</v>
      </c>
      <c r="I147" s="6">
        <v>46034.631944444445</v>
      </c>
      <c r="J147" s="6">
        <v>46034.638888888891</v>
      </c>
      <c r="K147" s="6">
        <v>46034.649305555555</v>
      </c>
      <c r="L147">
        <v>4</v>
      </c>
      <c r="M147" s="6">
        <v>46034.652083333334</v>
      </c>
      <c r="N147">
        <f t="shared" si="1"/>
        <v>11</v>
      </c>
    </row>
    <row r="148" spans="2:14" x14ac:dyDescent="0.25">
      <c r="B148">
        <v>129</v>
      </c>
      <c r="C148" t="s">
        <v>29</v>
      </c>
      <c r="D148">
        <v>1</v>
      </c>
      <c r="E148" t="s">
        <v>35</v>
      </c>
      <c r="F148" s="6">
        <v>46034.291666666664</v>
      </c>
      <c r="G148" s="6">
        <v>46034.329861111109</v>
      </c>
      <c r="H148" s="6">
        <v>46034.357638888891</v>
      </c>
      <c r="I148" s="6">
        <v>46034.397916666669</v>
      </c>
      <c r="J148" s="6">
        <v>46034.402777777781</v>
      </c>
      <c r="K148" s="6">
        <v>46034.430555555555</v>
      </c>
      <c r="L148">
        <v>3.33</v>
      </c>
      <c r="M148" s="6">
        <v>46034.4375</v>
      </c>
      <c r="N148">
        <f t="shared" si="1"/>
        <v>7</v>
      </c>
    </row>
    <row r="149" spans="2:14" x14ac:dyDescent="0.25">
      <c r="B149">
        <v>130</v>
      </c>
      <c r="C149" t="s">
        <v>33</v>
      </c>
      <c r="D149">
        <v>1</v>
      </c>
      <c r="E149" t="s">
        <v>32</v>
      </c>
      <c r="F149" s="6">
        <v>46035.322916666664</v>
      </c>
      <c r="G149" s="6">
        <v>46035.326388888891</v>
      </c>
      <c r="H149" s="6">
        <v>46035.333333333336</v>
      </c>
      <c r="I149" s="6">
        <v>46035.336805555555</v>
      </c>
      <c r="J149" s="6">
        <v>46035.340277777781</v>
      </c>
      <c r="K149" s="6">
        <v>46035.34375</v>
      </c>
      <c r="L149">
        <v>0.5</v>
      </c>
      <c r="M149" s="6">
        <v>46035.350694444445</v>
      </c>
      <c r="N149">
        <f t="shared" ref="N149:N212" si="2">HOUR(F149)</f>
        <v>7</v>
      </c>
    </row>
    <row r="150" spans="2:14" x14ac:dyDescent="0.25">
      <c r="B150">
        <v>131</v>
      </c>
      <c r="C150" t="s">
        <v>33</v>
      </c>
      <c r="D150">
        <v>1</v>
      </c>
      <c r="E150" t="s">
        <v>34</v>
      </c>
      <c r="F150" s="6">
        <v>46031.743055555555</v>
      </c>
      <c r="G150" s="6">
        <v>46031.75</v>
      </c>
      <c r="H150" s="6">
        <v>46031.763888888891</v>
      </c>
      <c r="I150" s="6">
        <v>46031.800694444442</v>
      </c>
      <c r="J150" s="6">
        <v>46031.807638888888</v>
      </c>
      <c r="K150" s="6">
        <v>46031.822916666664</v>
      </c>
      <c r="L150">
        <v>1.92</v>
      </c>
      <c r="M150" s="6">
        <v>46031.829861111109</v>
      </c>
      <c r="N150">
        <f t="shared" si="2"/>
        <v>17</v>
      </c>
    </row>
    <row r="151" spans="2:14" x14ac:dyDescent="0.25">
      <c r="B151">
        <v>132</v>
      </c>
      <c r="C151" t="s">
        <v>33</v>
      </c>
      <c r="D151">
        <v>1</v>
      </c>
      <c r="E151" t="s">
        <v>30</v>
      </c>
      <c r="F151" s="6">
        <v>46034.591666666667</v>
      </c>
      <c r="G151" s="6">
        <v>46034.625</v>
      </c>
      <c r="H151" s="6">
        <v>46034.677083333336</v>
      </c>
      <c r="I151" s="6">
        <v>46034.770833333336</v>
      </c>
      <c r="J151" s="6">
        <v>46034.777777777781</v>
      </c>
      <c r="K151" s="6">
        <v>46034.833333333336</v>
      </c>
      <c r="L151">
        <v>5.8</v>
      </c>
      <c r="M151" s="6">
        <v>46034.840277777781</v>
      </c>
      <c r="N151">
        <f t="shared" si="2"/>
        <v>14</v>
      </c>
    </row>
    <row r="152" spans="2:14" x14ac:dyDescent="0.25">
      <c r="B152">
        <v>133</v>
      </c>
      <c r="C152" t="s">
        <v>31</v>
      </c>
      <c r="D152">
        <v>1</v>
      </c>
      <c r="E152" t="s">
        <v>30</v>
      </c>
      <c r="F152" s="6">
        <v>46031.767361111109</v>
      </c>
      <c r="G152" s="6">
        <v>46031.774305555555</v>
      </c>
      <c r="H152" s="6">
        <v>46031.777777777781</v>
      </c>
      <c r="I152" s="6">
        <v>46031.8125</v>
      </c>
      <c r="J152" s="6">
        <v>46031.819444444445</v>
      </c>
      <c r="K152" s="6">
        <v>46031.875</v>
      </c>
      <c r="L152">
        <v>2.58</v>
      </c>
      <c r="M152" s="6">
        <v>46031.881944444445</v>
      </c>
      <c r="N152">
        <f t="shared" si="2"/>
        <v>18</v>
      </c>
    </row>
    <row r="153" spans="2:14" x14ac:dyDescent="0.25">
      <c r="B153">
        <v>134</v>
      </c>
      <c r="C153" t="s">
        <v>33</v>
      </c>
      <c r="D153">
        <v>1</v>
      </c>
      <c r="E153" t="s">
        <v>36</v>
      </c>
      <c r="F153" s="6">
        <v>46031.888888888891</v>
      </c>
      <c r="G153" s="6">
        <v>46031.909722222219</v>
      </c>
      <c r="H153" s="6">
        <v>46031.923611111109</v>
      </c>
      <c r="I153" s="6">
        <v>46031.982638888891</v>
      </c>
      <c r="J153" s="6">
        <v>46031.984722222223</v>
      </c>
      <c r="K153" s="6">
        <v>46031.989583333336</v>
      </c>
      <c r="L153">
        <v>2.42</v>
      </c>
      <c r="M153" s="6">
        <v>46031.990972222222</v>
      </c>
      <c r="N153">
        <f t="shared" si="2"/>
        <v>21</v>
      </c>
    </row>
    <row r="154" spans="2:14" x14ac:dyDescent="0.25">
      <c r="B154">
        <v>135</v>
      </c>
      <c r="C154" t="s">
        <v>31</v>
      </c>
      <c r="D154">
        <v>1</v>
      </c>
      <c r="E154" t="s">
        <v>34</v>
      </c>
      <c r="F154" s="6">
        <v>46031.993055555555</v>
      </c>
      <c r="G154" s="6">
        <v>46031.996527777781</v>
      </c>
      <c r="H154" s="6">
        <v>46032.013888888891</v>
      </c>
      <c r="I154" s="6">
        <v>46032.074305555558</v>
      </c>
      <c r="J154" s="6">
        <v>46032.076388888891</v>
      </c>
      <c r="K154" s="6">
        <v>46032.07708333333</v>
      </c>
      <c r="L154">
        <v>2.02</v>
      </c>
      <c r="M154" s="6">
        <v>46032.077777777777</v>
      </c>
      <c r="N154">
        <f t="shared" si="2"/>
        <v>23</v>
      </c>
    </row>
    <row r="155" spans="2:14" x14ac:dyDescent="0.25">
      <c r="B155">
        <v>136</v>
      </c>
      <c r="C155" t="s">
        <v>31</v>
      </c>
      <c r="D155">
        <v>1</v>
      </c>
      <c r="E155" t="s">
        <v>30</v>
      </c>
      <c r="F155" s="6">
        <v>46032.416666666664</v>
      </c>
      <c r="G155" s="6">
        <v>46032.434027777781</v>
      </c>
      <c r="H155" s="6">
        <v>46032.454861111109</v>
      </c>
      <c r="I155" s="6">
        <v>46032.552083333336</v>
      </c>
      <c r="J155" s="6">
        <v>46032.559027777781</v>
      </c>
      <c r="K155" s="6">
        <v>46032.583333333336</v>
      </c>
      <c r="L155">
        <v>4</v>
      </c>
      <c r="M155" s="6">
        <v>46032.590277777781</v>
      </c>
      <c r="N155">
        <f t="shared" si="2"/>
        <v>10</v>
      </c>
    </row>
    <row r="156" spans="2:14" x14ac:dyDescent="0.25">
      <c r="B156">
        <v>137</v>
      </c>
      <c r="C156" t="s">
        <v>31</v>
      </c>
      <c r="D156">
        <v>1</v>
      </c>
      <c r="E156" t="s">
        <v>35</v>
      </c>
      <c r="F156" s="6">
        <v>46032.445138888892</v>
      </c>
      <c r="G156" s="6">
        <v>46032.458333333336</v>
      </c>
      <c r="H156" s="6">
        <v>46032.475694444445</v>
      </c>
      <c r="I156" s="6">
        <v>46032.486111111109</v>
      </c>
      <c r="J156" s="6">
        <v>46032.493055555555</v>
      </c>
      <c r="K156" s="6">
        <v>46032.503472222219</v>
      </c>
      <c r="L156">
        <v>1.4</v>
      </c>
      <c r="M156" s="6">
        <v>46032.510416666664</v>
      </c>
      <c r="N156">
        <f t="shared" si="2"/>
        <v>10</v>
      </c>
    </row>
    <row r="157" spans="2:14" x14ac:dyDescent="0.25">
      <c r="B157">
        <v>138</v>
      </c>
      <c r="C157" t="s">
        <v>33</v>
      </c>
      <c r="D157">
        <v>1</v>
      </c>
      <c r="E157" t="s">
        <v>30</v>
      </c>
      <c r="F157" s="6">
        <v>46032.520833333336</v>
      </c>
      <c r="G157" s="6">
        <v>46032.526388888888</v>
      </c>
      <c r="H157" s="6">
        <v>46032.527083333334</v>
      </c>
      <c r="I157" s="6">
        <v>46032.61041666667</v>
      </c>
      <c r="J157" s="6">
        <v>46032.617361111108</v>
      </c>
      <c r="K157" s="6">
        <v>46032.625</v>
      </c>
      <c r="L157">
        <v>2.5</v>
      </c>
      <c r="M157" s="6">
        <v>46032.631944444445</v>
      </c>
      <c r="N157">
        <f t="shared" si="2"/>
        <v>12</v>
      </c>
    </row>
    <row r="158" spans="2:14" x14ac:dyDescent="0.25">
      <c r="B158">
        <v>139</v>
      </c>
      <c r="C158" t="s">
        <v>29</v>
      </c>
      <c r="D158">
        <v>1</v>
      </c>
      <c r="E158" t="s">
        <v>30</v>
      </c>
      <c r="F158" s="6">
        <v>46032.770833333336</v>
      </c>
      <c r="G158" s="6">
        <v>46032.784722222219</v>
      </c>
      <c r="H158" s="6">
        <v>46032.786805555559</v>
      </c>
      <c r="I158" s="6">
        <v>46032.792361111111</v>
      </c>
      <c r="J158" s="6">
        <v>46032.794444444444</v>
      </c>
      <c r="K158" s="6">
        <v>46032.795138888891</v>
      </c>
      <c r="L158">
        <v>0.57999999999999996</v>
      </c>
      <c r="M158" s="6">
        <v>46032.79583333333</v>
      </c>
      <c r="N158">
        <f t="shared" si="2"/>
        <v>18</v>
      </c>
    </row>
    <row r="159" spans="2:14" x14ac:dyDescent="0.25">
      <c r="B159">
        <v>140</v>
      </c>
      <c r="C159" t="s">
        <v>31</v>
      </c>
      <c r="D159">
        <v>1</v>
      </c>
      <c r="E159" t="s">
        <v>30</v>
      </c>
      <c r="F159" s="6">
        <v>46032.850694444445</v>
      </c>
      <c r="G159" s="6">
        <v>46032.857638888891</v>
      </c>
      <c r="H159" s="6">
        <v>46032.868055555555</v>
      </c>
      <c r="I159" s="6">
        <v>46032.893750000003</v>
      </c>
      <c r="J159" s="6">
        <v>46032.894444444442</v>
      </c>
      <c r="K159" s="6">
        <v>46032.895833333336</v>
      </c>
      <c r="L159">
        <v>1.08</v>
      </c>
      <c r="M159" s="6">
        <v>46032.897916666669</v>
      </c>
      <c r="N159">
        <f t="shared" si="2"/>
        <v>20</v>
      </c>
    </row>
    <row r="160" spans="2:14" x14ac:dyDescent="0.25">
      <c r="B160">
        <v>141</v>
      </c>
      <c r="C160" t="s">
        <v>31</v>
      </c>
      <c r="D160">
        <v>1</v>
      </c>
      <c r="E160" t="s">
        <v>30</v>
      </c>
      <c r="F160" s="6">
        <v>46033.409722222219</v>
      </c>
      <c r="G160" s="6">
        <v>46033.413194444445</v>
      </c>
      <c r="H160" s="6">
        <v>46033.434027777781</v>
      </c>
      <c r="I160" s="6">
        <v>46033.456944444442</v>
      </c>
      <c r="J160" s="6">
        <v>46033.463888888888</v>
      </c>
      <c r="K160" s="6">
        <v>46033.472222222219</v>
      </c>
      <c r="L160">
        <v>1.5</v>
      </c>
      <c r="M160" s="6">
        <v>46033.479166666664</v>
      </c>
      <c r="N160">
        <f t="shared" si="2"/>
        <v>9</v>
      </c>
    </row>
    <row r="161" spans="2:14" x14ac:dyDescent="0.25">
      <c r="B161">
        <v>142</v>
      </c>
      <c r="C161" t="s">
        <v>33</v>
      </c>
      <c r="D161">
        <v>1</v>
      </c>
      <c r="E161" t="s">
        <v>30</v>
      </c>
      <c r="F161" s="6">
        <v>46033.452777777777</v>
      </c>
      <c r="G161" s="6">
        <v>46033.461805555555</v>
      </c>
      <c r="H161" s="6">
        <v>46033.479166666664</v>
      </c>
      <c r="I161" s="6">
        <v>46033.538194444445</v>
      </c>
      <c r="J161" s="6">
        <v>46033.545138888891</v>
      </c>
      <c r="K161" s="6">
        <v>46033.552083333336</v>
      </c>
      <c r="L161">
        <v>2.38</v>
      </c>
      <c r="M161" s="6">
        <v>46033.559027777781</v>
      </c>
      <c r="N161">
        <f t="shared" si="2"/>
        <v>10</v>
      </c>
    </row>
    <row r="162" spans="2:14" x14ac:dyDescent="0.25">
      <c r="B162">
        <v>143</v>
      </c>
      <c r="C162" t="s">
        <v>33</v>
      </c>
      <c r="D162">
        <v>1</v>
      </c>
      <c r="E162" t="s">
        <v>36</v>
      </c>
      <c r="F162" s="6">
        <v>46033.454861111109</v>
      </c>
      <c r="G162" s="6">
        <v>46033.465277777781</v>
      </c>
      <c r="H162" s="6">
        <v>46033.479166666664</v>
      </c>
      <c r="I162" s="6">
        <v>46033.527777777781</v>
      </c>
      <c r="J162" s="6">
        <v>46033.534722222219</v>
      </c>
      <c r="K162" s="6">
        <v>46033.548611111109</v>
      </c>
      <c r="L162">
        <v>2.25</v>
      </c>
      <c r="M162" s="6">
        <v>46033.555555555555</v>
      </c>
      <c r="N162">
        <f t="shared" si="2"/>
        <v>10</v>
      </c>
    </row>
    <row r="163" spans="2:14" x14ac:dyDescent="0.25">
      <c r="B163">
        <v>144</v>
      </c>
      <c r="C163" t="s">
        <v>31</v>
      </c>
      <c r="D163">
        <v>1</v>
      </c>
      <c r="E163" t="s">
        <v>30</v>
      </c>
      <c r="F163" s="6">
        <v>46034.340277777781</v>
      </c>
      <c r="G163" s="6">
        <v>46034.357638888891</v>
      </c>
      <c r="H163" s="6">
        <v>46034.381944444445</v>
      </c>
      <c r="I163" s="6">
        <v>46034.46875</v>
      </c>
      <c r="J163" s="6">
        <v>46034.472222222219</v>
      </c>
      <c r="K163" s="6">
        <v>46034.475694444445</v>
      </c>
      <c r="L163">
        <v>3.25</v>
      </c>
      <c r="M163" s="6">
        <v>46034.482638888891</v>
      </c>
      <c r="N163">
        <f t="shared" si="2"/>
        <v>8</v>
      </c>
    </row>
    <row r="164" spans="2:14" x14ac:dyDescent="0.25">
      <c r="B164">
        <v>145</v>
      </c>
      <c r="C164" t="s">
        <v>29</v>
      </c>
      <c r="D164">
        <v>1</v>
      </c>
      <c r="E164" t="s">
        <v>34</v>
      </c>
      <c r="F164" s="6">
        <v>46034.291666666664</v>
      </c>
      <c r="G164" s="6">
        <v>46034.333333333336</v>
      </c>
      <c r="H164" s="6">
        <v>46034.34375</v>
      </c>
      <c r="I164" s="6">
        <v>46034.368055555555</v>
      </c>
      <c r="J164" s="6">
        <v>46034.375</v>
      </c>
      <c r="K164" s="6">
        <v>46034.378472222219</v>
      </c>
      <c r="L164">
        <v>2.08</v>
      </c>
      <c r="M164" s="6">
        <v>46034.379166666666</v>
      </c>
      <c r="N164">
        <f t="shared" si="2"/>
        <v>7</v>
      </c>
    </row>
    <row r="165" spans="2:14" x14ac:dyDescent="0.25">
      <c r="B165">
        <v>146</v>
      </c>
      <c r="C165" t="s">
        <v>31</v>
      </c>
      <c r="D165">
        <v>1</v>
      </c>
      <c r="E165" t="s">
        <v>34</v>
      </c>
      <c r="F165" s="6">
        <v>46034.409722222219</v>
      </c>
      <c r="G165" s="6">
        <v>46034.416666666664</v>
      </c>
      <c r="H165" s="6">
        <v>46034.434027777781</v>
      </c>
      <c r="I165" s="6">
        <v>46034.479166666664</v>
      </c>
      <c r="J165" s="6">
        <v>46034.486111111109</v>
      </c>
      <c r="K165" s="6">
        <v>46034.493055555555</v>
      </c>
      <c r="L165">
        <v>2</v>
      </c>
      <c r="M165" s="6">
        <v>46034.5</v>
      </c>
      <c r="N165">
        <f t="shared" si="2"/>
        <v>9</v>
      </c>
    </row>
    <row r="166" spans="2:14" x14ac:dyDescent="0.25">
      <c r="B166">
        <v>147</v>
      </c>
      <c r="C166" t="s">
        <v>33</v>
      </c>
      <c r="D166">
        <v>1</v>
      </c>
      <c r="E166" t="s">
        <v>30</v>
      </c>
      <c r="F166" s="6">
        <v>46033.611111111109</v>
      </c>
      <c r="G166" s="6">
        <v>46033.621527777781</v>
      </c>
      <c r="H166" s="6">
        <v>46033.638888888891</v>
      </c>
      <c r="I166" s="6">
        <v>46033.756944444445</v>
      </c>
      <c r="J166" s="6">
        <v>46033.763888888891</v>
      </c>
      <c r="K166" s="6">
        <v>46033.888888888891</v>
      </c>
      <c r="L166">
        <v>6.67</v>
      </c>
      <c r="M166" s="6">
        <v>46033.895833333336</v>
      </c>
      <c r="N166">
        <f t="shared" si="2"/>
        <v>14</v>
      </c>
    </row>
    <row r="167" spans="2:14" x14ac:dyDescent="0.25">
      <c r="B167">
        <v>148</v>
      </c>
      <c r="C167" t="s">
        <v>33</v>
      </c>
      <c r="D167">
        <v>1</v>
      </c>
      <c r="E167" t="s">
        <v>30</v>
      </c>
      <c r="F167" s="6">
        <v>46034.375</v>
      </c>
      <c r="G167" s="6">
        <v>46034.395138888889</v>
      </c>
      <c r="H167" s="6">
        <v>46034.395833333336</v>
      </c>
      <c r="I167" s="6">
        <v>46034.398611111108</v>
      </c>
      <c r="J167" s="6">
        <v>46034.402083333334</v>
      </c>
      <c r="K167" s="6">
        <v>46034.419444444444</v>
      </c>
      <c r="L167">
        <v>1.07</v>
      </c>
      <c r="M167" s="6">
        <v>46034.423611111109</v>
      </c>
      <c r="N167">
        <f t="shared" si="2"/>
        <v>9</v>
      </c>
    </row>
    <row r="168" spans="2:14" x14ac:dyDescent="0.25">
      <c r="B168">
        <v>149</v>
      </c>
      <c r="C168" t="s">
        <v>29</v>
      </c>
      <c r="D168">
        <v>1</v>
      </c>
      <c r="E168" t="s">
        <v>30</v>
      </c>
      <c r="F168" s="6">
        <v>46034.506944444445</v>
      </c>
      <c r="G168" s="6">
        <v>46034.513888888891</v>
      </c>
      <c r="H168" s="6">
        <v>46034.517361111109</v>
      </c>
      <c r="I168" s="6">
        <v>46034.524305555555</v>
      </c>
      <c r="J168" s="6">
        <v>46034.527777777781</v>
      </c>
      <c r="K168" s="6">
        <v>46034.53125</v>
      </c>
      <c r="L168">
        <v>0.57999999999999996</v>
      </c>
      <c r="M168" s="6">
        <v>46034.538194444445</v>
      </c>
      <c r="N168">
        <f t="shared" si="2"/>
        <v>12</v>
      </c>
    </row>
    <row r="169" spans="2:14" x14ac:dyDescent="0.25">
      <c r="B169">
        <v>150</v>
      </c>
      <c r="C169" t="s">
        <v>33</v>
      </c>
      <c r="D169">
        <v>1</v>
      </c>
      <c r="E169" t="s">
        <v>32</v>
      </c>
      <c r="F169" s="6">
        <v>46034.472222222219</v>
      </c>
      <c r="G169" s="6">
        <v>46034.482638888891</v>
      </c>
      <c r="H169" s="6">
        <v>46034.486111111109</v>
      </c>
      <c r="I169" s="6">
        <v>46034.5</v>
      </c>
      <c r="J169" s="6">
        <v>46034.506944444445</v>
      </c>
      <c r="K169" s="6">
        <v>46034.508333333331</v>
      </c>
      <c r="L169">
        <v>0.87</v>
      </c>
      <c r="M169" s="6">
        <v>46034.509027777778</v>
      </c>
      <c r="N169">
        <f t="shared" si="2"/>
        <v>11</v>
      </c>
    </row>
    <row r="170" spans="2:14" x14ac:dyDescent="0.25">
      <c r="B170">
        <v>151</v>
      </c>
      <c r="C170" t="s">
        <v>33</v>
      </c>
      <c r="D170">
        <v>1</v>
      </c>
      <c r="E170" t="s">
        <v>30</v>
      </c>
      <c r="F170" s="6">
        <v>46033.708333333336</v>
      </c>
      <c r="G170" s="6">
        <v>46033.722222222219</v>
      </c>
      <c r="H170" s="6">
        <v>46033.729166666664</v>
      </c>
      <c r="I170" s="6">
        <v>46033.791666666664</v>
      </c>
      <c r="J170" s="6">
        <v>46033.798611111109</v>
      </c>
      <c r="K170" s="6">
        <v>46033.802083333336</v>
      </c>
      <c r="L170">
        <v>2.25</v>
      </c>
      <c r="M170" s="6">
        <v>46033.805555555555</v>
      </c>
      <c r="N170">
        <f t="shared" si="2"/>
        <v>17</v>
      </c>
    </row>
    <row r="171" spans="2:14" x14ac:dyDescent="0.25">
      <c r="B171">
        <v>152</v>
      </c>
      <c r="C171" t="s">
        <v>33</v>
      </c>
      <c r="D171">
        <v>1</v>
      </c>
      <c r="E171" t="s">
        <v>34</v>
      </c>
      <c r="F171" s="6">
        <v>46033.892361111109</v>
      </c>
      <c r="G171" s="6">
        <v>46033.895833333336</v>
      </c>
      <c r="H171" s="6">
        <v>46033.923611111109</v>
      </c>
      <c r="I171" s="6">
        <v>46033.961805555555</v>
      </c>
      <c r="J171" s="6">
        <v>46033.96875</v>
      </c>
      <c r="K171" s="6">
        <v>46033.969444444447</v>
      </c>
      <c r="L171">
        <v>1.85</v>
      </c>
      <c r="M171" s="6">
        <v>46033.976388888892</v>
      </c>
      <c r="N171">
        <f t="shared" si="2"/>
        <v>21</v>
      </c>
    </row>
    <row r="172" spans="2:14" x14ac:dyDescent="0.25">
      <c r="B172">
        <v>153</v>
      </c>
      <c r="C172" t="s">
        <v>29</v>
      </c>
      <c r="D172">
        <v>1</v>
      </c>
      <c r="E172" t="s">
        <v>30</v>
      </c>
      <c r="F172" s="6">
        <v>46033.878472222219</v>
      </c>
      <c r="G172" s="6">
        <v>46033.888888888891</v>
      </c>
      <c r="H172" s="6">
        <v>46033.895833333336</v>
      </c>
      <c r="I172" s="6">
        <v>46033.916666666664</v>
      </c>
      <c r="J172" s="6">
        <v>46033.920138888891</v>
      </c>
      <c r="K172" s="6">
        <v>46033.923611111109</v>
      </c>
      <c r="L172">
        <v>1.08</v>
      </c>
      <c r="M172" s="6">
        <v>46033.927083333336</v>
      </c>
      <c r="N172">
        <f t="shared" si="2"/>
        <v>21</v>
      </c>
    </row>
    <row r="173" spans="2:14" x14ac:dyDescent="0.25">
      <c r="B173">
        <v>154</v>
      </c>
      <c r="C173" t="s">
        <v>29</v>
      </c>
      <c r="D173">
        <v>1</v>
      </c>
      <c r="E173" t="s">
        <v>35</v>
      </c>
      <c r="F173" s="6">
        <v>46033.9375</v>
      </c>
      <c r="G173" s="6">
        <v>46033.944444444445</v>
      </c>
      <c r="H173" s="6">
        <v>46033.951388888891</v>
      </c>
      <c r="I173" s="6">
        <v>46033.979166666664</v>
      </c>
      <c r="J173" s="6">
        <v>46033.982638888891</v>
      </c>
      <c r="K173" s="6">
        <v>46033.986111111109</v>
      </c>
      <c r="L173">
        <v>1.17</v>
      </c>
      <c r="M173" s="6">
        <v>46033.989583333336</v>
      </c>
      <c r="N173">
        <f t="shared" si="2"/>
        <v>22</v>
      </c>
    </row>
    <row r="174" spans="2:14" x14ac:dyDescent="0.25">
      <c r="B174">
        <v>155</v>
      </c>
      <c r="C174" t="s">
        <v>33</v>
      </c>
      <c r="D174">
        <v>1</v>
      </c>
      <c r="E174" t="s">
        <v>32</v>
      </c>
      <c r="F174" s="6">
        <v>46034.357638888891</v>
      </c>
      <c r="G174" s="6">
        <v>46034.364583333336</v>
      </c>
      <c r="H174" s="6">
        <v>46034.388888888891</v>
      </c>
      <c r="I174" s="6">
        <v>46034.423611111109</v>
      </c>
      <c r="J174" s="6">
        <v>46034.4375</v>
      </c>
      <c r="K174" s="6">
        <v>46034.444444444445</v>
      </c>
      <c r="L174">
        <v>2.08</v>
      </c>
      <c r="M174" s="6">
        <v>46034.451388888891</v>
      </c>
      <c r="N174">
        <f t="shared" si="2"/>
        <v>8</v>
      </c>
    </row>
    <row r="175" spans="2:14" x14ac:dyDescent="0.25">
      <c r="B175">
        <v>156</v>
      </c>
      <c r="C175" t="s">
        <v>33</v>
      </c>
      <c r="D175">
        <v>1</v>
      </c>
      <c r="E175" t="s">
        <v>36</v>
      </c>
      <c r="F175" s="6">
        <v>46034.46875</v>
      </c>
      <c r="G175" s="6">
        <v>46034.482638888891</v>
      </c>
      <c r="H175" s="6">
        <v>46034.5</v>
      </c>
      <c r="I175" s="6">
        <v>46034.534722222219</v>
      </c>
      <c r="J175" s="6">
        <v>46034.541666666664</v>
      </c>
      <c r="K175" s="6">
        <v>46034.545138888891</v>
      </c>
      <c r="L175">
        <v>1.83</v>
      </c>
      <c r="M175" s="6">
        <v>46034.552083333336</v>
      </c>
      <c r="N175">
        <f t="shared" si="2"/>
        <v>11</v>
      </c>
    </row>
    <row r="176" spans="2:14" x14ac:dyDescent="0.25">
      <c r="B176">
        <v>157</v>
      </c>
      <c r="C176" t="s">
        <v>29</v>
      </c>
      <c r="D176">
        <v>1</v>
      </c>
      <c r="E176" t="s">
        <v>36</v>
      </c>
      <c r="F176" s="6">
        <v>46033.965277777781</v>
      </c>
      <c r="G176" s="6">
        <v>46033.96875</v>
      </c>
      <c r="H176" s="6">
        <v>46033.972222222219</v>
      </c>
      <c r="I176" s="6">
        <v>46033.979166666664</v>
      </c>
      <c r="J176" s="6">
        <v>46033.986111111109</v>
      </c>
      <c r="K176" s="6">
        <v>46033.993055555555</v>
      </c>
      <c r="L176">
        <v>0.67</v>
      </c>
      <c r="M176" s="6">
        <v>46034</v>
      </c>
      <c r="N176">
        <f t="shared" si="2"/>
        <v>23</v>
      </c>
    </row>
    <row r="177" spans="2:14" x14ac:dyDescent="0.25">
      <c r="B177">
        <v>158</v>
      </c>
      <c r="C177" t="s">
        <v>33</v>
      </c>
      <c r="D177">
        <v>1</v>
      </c>
      <c r="E177" t="s">
        <v>34</v>
      </c>
      <c r="F177" s="6">
        <v>46034.027777777781</v>
      </c>
      <c r="G177" s="6">
        <v>46034.041666666664</v>
      </c>
      <c r="H177" s="6">
        <v>46034.069444444445</v>
      </c>
      <c r="I177" s="6">
        <v>46034.128472222219</v>
      </c>
      <c r="J177" s="6">
        <v>46034.163194444445</v>
      </c>
      <c r="K177" s="6">
        <v>46034.166666666664</v>
      </c>
      <c r="L177">
        <v>3.33</v>
      </c>
      <c r="M177" s="6">
        <v>46034.173611111109</v>
      </c>
      <c r="N177">
        <f t="shared" si="2"/>
        <v>0</v>
      </c>
    </row>
    <row r="178" spans="2:14" x14ac:dyDescent="0.25">
      <c r="B178">
        <v>159</v>
      </c>
      <c r="C178" t="s">
        <v>31</v>
      </c>
      <c r="D178">
        <v>1</v>
      </c>
      <c r="E178" t="s">
        <v>37</v>
      </c>
      <c r="F178" s="6">
        <v>46034.097916666666</v>
      </c>
      <c r="G178" s="6">
        <v>46034.104861111111</v>
      </c>
      <c r="H178" s="6">
        <v>46034.107638888891</v>
      </c>
      <c r="I178" s="6">
        <v>46034.180555555555</v>
      </c>
      <c r="J178" s="6">
        <v>46034.197916666664</v>
      </c>
      <c r="K178" s="6">
        <v>46034.201388888891</v>
      </c>
      <c r="L178">
        <v>2.48</v>
      </c>
      <c r="M178" s="6">
        <v>46034.208333333336</v>
      </c>
      <c r="N178">
        <f t="shared" si="2"/>
        <v>2</v>
      </c>
    </row>
    <row r="179" spans="2:14" x14ac:dyDescent="0.25">
      <c r="B179">
        <v>160</v>
      </c>
      <c r="C179" t="s">
        <v>29</v>
      </c>
      <c r="D179">
        <v>1</v>
      </c>
      <c r="E179" t="s">
        <v>36</v>
      </c>
      <c r="F179" s="6">
        <v>46034.694444444445</v>
      </c>
      <c r="G179" s="6">
        <v>46034.711805555555</v>
      </c>
      <c r="H179" s="6">
        <v>46034.715277777781</v>
      </c>
      <c r="I179" s="6">
        <v>46034.722222222219</v>
      </c>
      <c r="J179" s="6">
        <v>46034.725694444445</v>
      </c>
      <c r="K179" s="6">
        <v>46034.732638888891</v>
      </c>
      <c r="L179">
        <v>0.92</v>
      </c>
      <c r="M179" s="6">
        <v>46034.734027777777</v>
      </c>
      <c r="N179">
        <f t="shared" si="2"/>
        <v>16</v>
      </c>
    </row>
    <row r="180" spans="2:14" x14ac:dyDescent="0.25">
      <c r="B180">
        <v>161</v>
      </c>
      <c r="C180" t="s">
        <v>29</v>
      </c>
      <c r="D180">
        <v>1</v>
      </c>
      <c r="E180" t="s">
        <v>32</v>
      </c>
      <c r="F180" s="6">
        <v>46035.666666666664</v>
      </c>
      <c r="G180" s="6">
        <v>46035.6875</v>
      </c>
      <c r="H180" s="6">
        <v>46035.708333333336</v>
      </c>
      <c r="I180" s="6">
        <v>46035.791666666664</v>
      </c>
      <c r="J180" s="6">
        <v>46035.798611111109</v>
      </c>
      <c r="K180" s="6">
        <v>46035.8125</v>
      </c>
      <c r="L180">
        <v>3.5</v>
      </c>
      <c r="M180" s="6">
        <v>46035.813194444447</v>
      </c>
      <c r="N180">
        <f t="shared" si="2"/>
        <v>16</v>
      </c>
    </row>
    <row r="181" spans="2:14" x14ac:dyDescent="0.25">
      <c r="B181">
        <v>162</v>
      </c>
      <c r="C181" t="s">
        <v>33</v>
      </c>
      <c r="D181">
        <v>1</v>
      </c>
      <c r="E181" t="s">
        <v>32</v>
      </c>
      <c r="F181" s="6">
        <v>46035.572916666664</v>
      </c>
      <c r="G181" s="6">
        <v>46035.576388888891</v>
      </c>
      <c r="H181" s="6">
        <v>46035.604166666664</v>
      </c>
      <c r="I181" s="6">
        <v>46035.754861111112</v>
      </c>
      <c r="J181" s="6">
        <v>46035.802083333336</v>
      </c>
      <c r="K181" s="6">
        <v>46035.875</v>
      </c>
      <c r="L181">
        <v>7.25</v>
      </c>
      <c r="M181" s="6">
        <v>46035.881944444445</v>
      </c>
      <c r="N181">
        <f t="shared" si="2"/>
        <v>13</v>
      </c>
    </row>
    <row r="182" spans="2:14" x14ac:dyDescent="0.25">
      <c r="B182">
        <v>163</v>
      </c>
      <c r="C182" t="s">
        <v>33</v>
      </c>
      <c r="D182">
        <v>1</v>
      </c>
      <c r="E182" t="s">
        <v>36</v>
      </c>
      <c r="F182" s="6">
        <v>46035.317361111112</v>
      </c>
      <c r="G182" s="6">
        <v>46035.324305555558</v>
      </c>
      <c r="H182" s="6">
        <v>46035.333333333336</v>
      </c>
      <c r="I182" s="6">
        <v>46035.354166666664</v>
      </c>
      <c r="J182" s="6">
        <v>46035.357638888891</v>
      </c>
      <c r="K182" s="6">
        <v>46035.35833333333</v>
      </c>
      <c r="L182">
        <v>0.98</v>
      </c>
      <c r="M182" s="6">
        <v>46035.365277777775</v>
      </c>
      <c r="N182">
        <f t="shared" si="2"/>
        <v>7</v>
      </c>
    </row>
    <row r="183" spans="2:14" x14ac:dyDescent="0.25">
      <c r="B183">
        <v>164</v>
      </c>
      <c r="C183" t="s">
        <v>29</v>
      </c>
      <c r="D183">
        <v>1</v>
      </c>
      <c r="E183" t="s">
        <v>35</v>
      </c>
      <c r="F183" s="6">
        <v>46035.427083333336</v>
      </c>
      <c r="G183" s="6">
        <v>46035.440972222219</v>
      </c>
      <c r="H183" s="6">
        <v>46035.444444444445</v>
      </c>
      <c r="I183" s="6">
        <v>46035.454861111109</v>
      </c>
      <c r="J183" s="6">
        <v>46035.458333333336</v>
      </c>
      <c r="K183" s="6">
        <v>46035.465277777781</v>
      </c>
      <c r="L183">
        <v>0.92</v>
      </c>
      <c r="M183" s="6">
        <v>46035.472222222219</v>
      </c>
      <c r="N183">
        <f t="shared" si="2"/>
        <v>10</v>
      </c>
    </row>
    <row r="184" spans="2:14" x14ac:dyDescent="0.25">
      <c r="B184">
        <v>165</v>
      </c>
      <c r="C184" t="s">
        <v>29</v>
      </c>
      <c r="D184">
        <v>1</v>
      </c>
      <c r="E184" t="s">
        <v>30</v>
      </c>
      <c r="F184" s="6">
        <v>46035.288194444445</v>
      </c>
      <c r="G184" s="6">
        <v>46035.354166666664</v>
      </c>
      <c r="H184" s="6">
        <v>46035.357638888891</v>
      </c>
      <c r="I184" s="6">
        <v>46035.375</v>
      </c>
      <c r="J184" s="6">
        <v>46035.381944444445</v>
      </c>
      <c r="K184" s="6">
        <v>46035.385416666664</v>
      </c>
      <c r="L184">
        <v>2.33</v>
      </c>
      <c r="M184" s="6">
        <v>46035.392361111109</v>
      </c>
      <c r="N184">
        <f t="shared" si="2"/>
        <v>6</v>
      </c>
    </row>
    <row r="185" spans="2:14" x14ac:dyDescent="0.25">
      <c r="B185">
        <v>166</v>
      </c>
      <c r="C185" t="s">
        <v>29</v>
      </c>
      <c r="D185">
        <v>1</v>
      </c>
      <c r="E185" t="s">
        <v>35</v>
      </c>
      <c r="F185" s="6">
        <v>46035.527777777781</v>
      </c>
      <c r="G185" s="6">
        <v>46035.534722222219</v>
      </c>
      <c r="H185" s="6">
        <v>46035.538194444445</v>
      </c>
      <c r="I185" s="6">
        <v>46035.541666666664</v>
      </c>
      <c r="J185" s="6">
        <v>46035.548611111109</v>
      </c>
      <c r="K185" s="6">
        <v>46035.625</v>
      </c>
      <c r="L185">
        <v>2.33</v>
      </c>
      <c r="M185" s="6">
        <v>46035.631944444445</v>
      </c>
      <c r="N185">
        <f t="shared" si="2"/>
        <v>12</v>
      </c>
    </row>
    <row r="186" spans="2:14" x14ac:dyDescent="0.25">
      <c r="B186">
        <v>167</v>
      </c>
      <c r="C186" t="s">
        <v>33</v>
      </c>
      <c r="D186">
        <v>1</v>
      </c>
      <c r="E186" t="s">
        <v>36</v>
      </c>
      <c r="F186" s="6">
        <v>46035.402777777781</v>
      </c>
      <c r="G186" s="6">
        <v>46035.423611111109</v>
      </c>
      <c r="H186" s="6">
        <v>46035.430555555555</v>
      </c>
      <c r="I186" s="6">
        <v>46035.475694444445</v>
      </c>
      <c r="J186" s="6">
        <v>46035.482638888891</v>
      </c>
      <c r="K186" s="6">
        <v>46035.493055555555</v>
      </c>
      <c r="L186">
        <v>2.17</v>
      </c>
      <c r="M186" s="6">
        <v>46035.5</v>
      </c>
      <c r="N186">
        <f t="shared" si="2"/>
        <v>9</v>
      </c>
    </row>
    <row r="187" spans="2:14" x14ac:dyDescent="0.25">
      <c r="B187">
        <v>168</v>
      </c>
      <c r="C187" t="s">
        <v>33</v>
      </c>
      <c r="D187">
        <v>1</v>
      </c>
      <c r="E187" t="s">
        <v>36</v>
      </c>
      <c r="F187" s="6">
        <v>46035.270833333336</v>
      </c>
      <c r="G187" s="6">
        <v>46035.305555555555</v>
      </c>
      <c r="H187" s="6">
        <v>46035.319444444445</v>
      </c>
      <c r="I187" s="6">
        <v>46035.34375</v>
      </c>
      <c r="J187" s="6">
        <v>46035.347222222219</v>
      </c>
      <c r="K187" s="6">
        <v>46035.364583333336</v>
      </c>
      <c r="L187">
        <v>2.25</v>
      </c>
      <c r="M187" s="6">
        <v>46035.371527777781</v>
      </c>
      <c r="N187">
        <f t="shared" si="2"/>
        <v>6</v>
      </c>
    </row>
    <row r="188" spans="2:14" x14ac:dyDescent="0.25">
      <c r="B188">
        <v>169</v>
      </c>
      <c r="C188" t="s">
        <v>31</v>
      </c>
      <c r="D188">
        <v>1</v>
      </c>
      <c r="E188" t="s">
        <v>30</v>
      </c>
      <c r="F188" s="6">
        <v>46035.28125</v>
      </c>
      <c r="G188" s="6">
        <v>46035.347222222219</v>
      </c>
      <c r="H188" s="6">
        <v>46035.361111111109</v>
      </c>
      <c r="I188" s="6">
        <v>46035.451388888891</v>
      </c>
      <c r="J188" s="6">
        <v>46035.458333333336</v>
      </c>
      <c r="K188" s="6">
        <v>46035.46875</v>
      </c>
      <c r="L188">
        <v>4.5</v>
      </c>
      <c r="M188" s="6">
        <v>46035.475694444445</v>
      </c>
      <c r="N188">
        <f t="shared" si="2"/>
        <v>6</v>
      </c>
    </row>
    <row r="189" spans="2:14" x14ac:dyDescent="0.25">
      <c r="B189">
        <v>170</v>
      </c>
      <c r="C189" t="s">
        <v>29</v>
      </c>
      <c r="D189">
        <v>1</v>
      </c>
      <c r="E189" t="s">
        <v>34</v>
      </c>
      <c r="F189" s="6">
        <v>46035.25</v>
      </c>
      <c r="G189" s="6">
        <v>46035.267361111109</v>
      </c>
      <c r="H189" s="6">
        <v>46035.270833333336</v>
      </c>
      <c r="I189" s="6">
        <v>46035.277777777781</v>
      </c>
      <c r="J189" s="6">
        <v>46035.284722222219</v>
      </c>
      <c r="K189" s="6">
        <v>46035.288194444445</v>
      </c>
      <c r="L189">
        <v>0.92</v>
      </c>
      <c r="M189" s="6">
        <v>46035.295138888891</v>
      </c>
      <c r="N189">
        <f t="shared" si="2"/>
        <v>6</v>
      </c>
    </row>
    <row r="190" spans="2:14" x14ac:dyDescent="0.25">
      <c r="B190">
        <v>171</v>
      </c>
      <c r="C190" t="s">
        <v>29</v>
      </c>
      <c r="D190">
        <v>1</v>
      </c>
      <c r="E190" t="s">
        <v>32</v>
      </c>
      <c r="F190" s="6">
        <v>46035.444444444445</v>
      </c>
      <c r="G190" s="6">
        <v>46035.451388888891</v>
      </c>
      <c r="H190" s="6">
        <v>46035.458333333336</v>
      </c>
      <c r="I190" s="6">
        <v>46035.465277777781</v>
      </c>
      <c r="J190" s="6">
        <v>46035.472222222219</v>
      </c>
      <c r="K190" s="6">
        <v>46035.486111111109</v>
      </c>
      <c r="L190">
        <v>1</v>
      </c>
      <c r="M190" s="6">
        <v>46035.493055555555</v>
      </c>
      <c r="N190">
        <f t="shared" si="2"/>
        <v>10</v>
      </c>
    </row>
    <row r="191" spans="2:14" x14ac:dyDescent="0.25">
      <c r="B191">
        <v>172</v>
      </c>
      <c r="C191" t="s">
        <v>29</v>
      </c>
      <c r="D191">
        <v>1</v>
      </c>
      <c r="E191" t="s">
        <v>36</v>
      </c>
      <c r="F191" s="6">
        <v>46035.548611111109</v>
      </c>
      <c r="G191" s="6">
        <v>46035.5625</v>
      </c>
      <c r="H191" s="6">
        <v>46035.576388888891</v>
      </c>
      <c r="I191" s="6">
        <v>46035.590277777781</v>
      </c>
      <c r="J191" s="6">
        <v>46035.59097222222</v>
      </c>
      <c r="K191" s="6">
        <v>46035.604166666664</v>
      </c>
      <c r="L191">
        <v>1.33</v>
      </c>
      <c r="M191" s="6">
        <v>46035.605555555558</v>
      </c>
      <c r="N191">
        <f t="shared" si="2"/>
        <v>13</v>
      </c>
    </row>
    <row r="192" spans="2:14" x14ac:dyDescent="0.25">
      <c r="B192">
        <v>173</v>
      </c>
      <c r="C192" t="s">
        <v>29</v>
      </c>
      <c r="D192">
        <v>1</v>
      </c>
      <c r="E192" t="s">
        <v>36</v>
      </c>
      <c r="F192" s="6">
        <v>46035.652777777781</v>
      </c>
      <c r="G192" s="6">
        <v>46035.659722222219</v>
      </c>
      <c r="H192" s="6">
        <v>46035.680555555555</v>
      </c>
      <c r="I192" s="6">
        <v>46035.6875</v>
      </c>
      <c r="J192" s="6">
        <v>46035.694444444445</v>
      </c>
      <c r="K192" s="6">
        <v>46035.695833333331</v>
      </c>
      <c r="L192">
        <v>1.03</v>
      </c>
      <c r="M192" s="6">
        <v>46035.697916666664</v>
      </c>
      <c r="N192">
        <f t="shared" si="2"/>
        <v>15</v>
      </c>
    </row>
    <row r="193" spans="2:14" x14ac:dyDescent="0.25">
      <c r="B193">
        <v>174</v>
      </c>
      <c r="C193" t="s">
        <v>29</v>
      </c>
      <c r="D193">
        <v>1</v>
      </c>
      <c r="E193" t="s">
        <v>37</v>
      </c>
      <c r="F193" s="6">
        <v>46036.25</v>
      </c>
      <c r="G193" s="6">
        <v>46036.263888888891</v>
      </c>
      <c r="H193" s="6">
        <v>46036.277777777781</v>
      </c>
      <c r="I193" s="6">
        <v>46036.318055555559</v>
      </c>
      <c r="J193" s="6">
        <v>46036.324999999997</v>
      </c>
      <c r="K193" s="6">
        <v>46036.344444444447</v>
      </c>
      <c r="L193">
        <v>2.27</v>
      </c>
      <c r="M193" s="6">
        <v>46036.345138888886</v>
      </c>
      <c r="N193">
        <f t="shared" si="2"/>
        <v>6</v>
      </c>
    </row>
    <row r="194" spans="2:14" x14ac:dyDescent="0.25">
      <c r="B194">
        <v>175</v>
      </c>
      <c r="C194" t="s">
        <v>33</v>
      </c>
      <c r="D194">
        <v>1</v>
      </c>
      <c r="E194" t="s">
        <v>30</v>
      </c>
      <c r="F194" s="6">
        <v>46034.930555555555</v>
      </c>
      <c r="G194" s="6">
        <v>46034.9375</v>
      </c>
      <c r="H194" s="6">
        <v>46034.947916666664</v>
      </c>
      <c r="I194" s="6">
        <v>46035.083333333336</v>
      </c>
      <c r="J194" s="6">
        <v>46035.084027777775</v>
      </c>
      <c r="K194" s="6">
        <v>46035.090277777781</v>
      </c>
      <c r="L194">
        <v>3.83</v>
      </c>
      <c r="M194" s="6">
        <v>46035.097222222219</v>
      </c>
      <c r="N194">
        <f t="shared" si="2"/>
        <v>22</v>
      </c>
    </row>
    <row r="195" spans="2:14" x14ac:dyDescent="0.25">
      <c r="B195">
        <v>176</v>
      </c>
      <c r="C195" t="s">
        <v>31</v>
      </c>
      <c r="D195">
        <v>1</v>
      </c>
      <c r="E195" t="s">
        <v>30</v>
      </c>
      <c r="F195" s="6">
        <v>46034.930555555555</v>
      </c>
      <c r="G195" s="6">
        <v>46034.9375</v>
      </c>
      <c r="H195" s="6">
        <v>46034.947916666664</v>
      </c>
      <c r="I195" s="6">
        <v>46035.083333333336</v>
      </c>
      <c r="J195" s="6">
        <v>46035.084027777775</v>
      </c>
      <c r="K195" s="6">
        <v>46035.090277777781</v>
      </c>
      <c r="L195">
        <v>3.83</v>
      </c>
      <c r="M195" s="6">
        <v>46035.097222222219</v>
      </c>
      <c r="N195">
        <f t="shared" si="2"/>
        <v>22</v>
      </c>
    </row>
    <row r="196" spans="2:14" x14ac:dyDescent="0.25">
      <c r="B196">
        <v>177</v>
      </c>
      <c r="C196" t="s">
        <v>29</v>
      </c>
      <c r="D196">
        <v>1</v>
      </c>
      <c r="E196" t="s">
        <v>30</v>
      </c>
      <c r="F196" s="6">
        <v>46034.976388888892</v>
      </c>
      <c r="G196" s="6">
        <v>46034.979166666664</v>
      </c>
      <c r="H196" s="6">
        <v>46034.986111111109</v>
      </c>
      <c r="I196" s="6">
        <v>46035</v>
      </c>
      <c r="J196" s="6">
        <v>46035.006944444445</v>
      </c>
      <c r="K196" s="6">
        <v>46035.010416666664</v>
      </c>
      <c r="L196">
        <v>0.82</v>
      </c>
      <c r="M196" s="6">
        <v>46035.017361111109</v>
      </c>
      <c r="N196">
        <f t="shared" si="2"/>
        <v>23</v>
      </c>
    </row>
    <row r="197" spans="2:14" x14ac:dyDescent="0.25">
      <c r="B197">
        <v>178</v>
      </c>
      <c r="C197" t="s">
        <v>29</v>
      </c>
      <c r="D197">
        <v>1</v>
      </c>
      <c r="E197" t="s">
        <v>30</v>
      </c>
      <c r="F197" s="6">
        <v>46035.6875</v>
      </c>
      <c r="G197" s="6">
        <v>46035.694444444445</v>
      </c>
      <c r="H197" s="6">
        <v>46035.701388888891</v>
      </c>
      <c r="I197" s="6">
        <v>46035.722222222219</v>
      </c>
      <c r="J197" s="6">
        <v>46035.725694444445</v>
      </c>
      <c r="K197" s="6">
        <v>46035.732638888891</v>
      </c>
      <c r="L197">
        <v>1.08</v>
      </c>
      <c r="M197" s="6">
        <v>46035.739583333336</v>
      </c>
      <c r="N197">
        <f t="shared" si="2"/>
        <v>16</v>
      </c>
    </row>
    <row r="198" spans="2:14" x14ac:dyDescent="0.25">
      <c r="B198">
        <v>179</v>
      </c>
      <c r="C198" t="s">
        <v>33</v>
      </c>
      <c r="D198">
        <v>1</v>
      </c>
      <c r="E198" t="s">
        <v>37</v>
      </c>
      <c r="F198" s="6">
        <v>46035.448611111111</v>
      </c>
      <c r="G198" s="6">
        <v>46035.451388888891</v>
      </c>
      <c r="H198" s="6">
        <v>46035.472222222219</v>
      </c>
      <c r="I198" s="6">
        <v>46035.5625</v>
      </c>
      <c r="J198" s="6">
        <v>46035.618055555555</v>
      </c>
      <c r="K198" s="6">
        <v>46035.621527777781</v>
      </c>
      <c r="L198">
        <v>4.1500000000000004</v>
      </c>
      <c r="M198" s="6">
        <v>46035.628472222219</v>
      </c>
      <c r="N198">
        <f t="shared" si="2"/>
        <v>10</v>
      </c>
    </row>
    <row r="199" spans="2:14" x14ac:dyDescent="0.25">
      <c r="B199">
        <v>180</v>
      </c>
      <c r="C199" t="s">
        <v>31</v>
      </c>
      <c r="D199">
        <v>1</v>
      </c>
      <c r="E199" t="s">
        <v>34</v>
      </c>
      <c r="F199" s="6">
        <v>46035.586805555555</v>
      </c>
      <c r="G199" s="6">
        <v>46035.600694444445</v>
      </c>
      <c r="H199" s="6">
        <v>46035.625</v>
      </c>
      <c r="I199" s="6">
        <v>46035.826388888891</v>
      </c>
      <c r="J199" s="6">
        <v>46035.833333333336</v>
      </c>
      <c r="K199" s="6">
        <v>46035.9375</v>
      </c>
      <c r="L199">
        <v>8.42</v>
      </c>
      <c r="M199" s="6">
        <v>46035.944444444445</v>
      </c>
      <c r="N199">
        <f t="shared" si="2"/>
        <v>14</v>
      </c>
    </row>
    <row r="200" spans="2:14" x14ac:dyDescent="0.25">
      <c r="B200">
        <v>181</v>
      </c>
      <c r="C200" t="s">
        <v>29</v>
      </c>
      <c r="D200">
        <v>1</v>
      </c>
      <c r="E200" t="s">
        <v>32</v>
      </c>
      <c r="F200" s="6">
        <v>46037.28125</v>
      </c>
      <c r="G200" s="6">
        <v>46037.326388888891</v>
      </c>
      <c r="H200" s="6">
        <v>46037.336805555555</v>
      </c>
      <c r="I200" s="6">
        <v>46037.356249999997</v>
      </c>
      <c r="J200" s="6">
        <v>46037.363194444442</v>
      </c>
      <c r="K200" s="6">
        <v>46037.364583333336</v>
      </c>
      <c r="L200">
        <v>2</v>
      </c>
      <c r="M200" s="6">
        <v>46037.371527777781</v>
      </c>
      <c r="N200">
        <f t="shared" si="2"/>
        <v>6</v>
      </c>
    </row>
    <row r="201" spans="2:14" x14ac:dyDescent="0.25">
      <c r="B201">
        <v>182</v>
      </c>
      <c r="C201" t="s">
        <v>29</v>
      </c>
      <c r="D201">
        <v>1</v>
      </c>
      <c r="E201" t="s">
        <v>30</v>
      </c>
      <c r="F201" s="6">
        <v>46036.663194444445</v>
      </c>
      <c r="G201" s="6">
        <v>46036.673611111109</v>
      </c>
      <c r="H201" s="6">
        <v>46036.690972222219</v>
      </c>
      <c r="I201" s="6">
        <v>46036.786805555559</v>
      </c>
      <c r="J201" s="6">
        <v>46036.793749999997</v>
      </c>
      <c r="K201" s="6">
        <v>46036.798611111109</v>
      </c>
      <c r="L201">
        <v>3.25</v>
      </c>
      <c r="M201" s="6">
        <v>46036.805555555555</v>
      </c>
      <c r="N201">
        <f t="shared" si="2"/>
        <v>15</v>
      </c>
    </row>
    <row r="202" spans="2:14" x14ac:dyDescent="0.25">
      <c r="B202">
        <v>183</v>
      </c>
      <c r="C202" t="s">
        <v>29</v>
      </c>
      <c r="D202">
        <v>1</v>
      </c>
      <c r="E202" t="s">
        <v>34</v>
      </c>
      <c r="F202" s="6">
        <v>46036.547222222223</v>
      </c>
      <c r="G202" s="6">
        <v>46036.569444444445</v>
      </c>
      <c r="H202" s="6">
        <v>46036.579861111109</v>
      </c>
      <c r="I202" s="6">
        <v>46036.618055555555</v>
      </c>
      <c r="J202" s="6">
        <v>46036.625</v>
      </c>
      <c r="K202" s="6">
        <v>46036.629861111112</v>
      </c>
      <c r="L202">
        <v>1.98</v>
      </c>
      <c r="M202" s="6">
        <v>46036.636805555558</v>
      </c>
      <c r="N202">
        <f t="shared" si="2"/>
        <v>13</v>
      </c>
    </row>
    <row r="203" spans="2:14" x14ac:dyDescent="0.25">
      <c r="B203">
        <v>184</v>
      </c>
      <c r="C203" t="s">
        <v>29</v>
      </c>
      <c r="D203">
        <v>1</v>
      </c>
      <c r="E203" t="s">
        <v>34</v>
      </c>
      <c r="F203" s="6">
        <v>46036.291666666664</v>
      </c>
      <c r="G203" s="6">
        <v>46036.333333333336</v>
      </c>
      <c r="H203" s="6">
        <v>46036.350694444445</v>
      </c>
      <c r="I203" s="6">
        <v>46036.476388888892</v>
      </c>
      <c r="J203" s="6">
        <v>46036.48333333333</v>
      </c>
      <c r="K203" s="6">
        <v>46036.5</v>
      </c>
      <c r="L203">
        <v>5</v>
      </c>
      <c r="M203" s="6">
        <v>46036.506944444445</v>
      </c>
      <c r="N203">
        <f t="shared" si="2"/>
        <v>7</v>
      </c>
    </row>
    <row r="204" spans="2:14" x14ac:dyDescent="0.25">
      <c r="B204">
        <v>185</v>
      </c>
      <c r="C204" t="s">
        <v>31</v>
      </c>
      <c r="D204">
        <v>1</v>
      </c>
      <c r="E204" t="s">
        <v>35</v>
      </c>
      <c r="F204" s="6">
        <v>46036.618055555555</v>
      </c>
      <c r="G204" s="6">
        <v>46036.649305555555</v>
      </c>
      <c r="H204" s="6">
        <v>46036.65625</v>
      </c>
      <c r="I204" s="6">
        <v>46036.716666666667</v>
      </c>
      <c r="J204" s="6">
        <v>46036.722222222219</v>
      </c>
      <c r="K204" s="6">
        <v>46036.763888888891</v>
      </c>
      <c r="L204">
        <v>3.5</v>
      </c>
      <c r="M204" s="6">
        <v>46036.767361111109</v>
      </c>
      <c r="N204">
        <f t="shared" si="2"/>
        <v>14</v>
      </c>
    </row>
    <row r="205" spans="2:14" x14ac:dyDescent="0.25">
      <c r="B205">
        <v>186</v>
      </c>
      <c r="C205" t="s">
        <v>31</v>
      </c>
      <c r="D205">
        <v>1</v>
      </c>
      <c r="E205" t="s">
        <v>36</v>
      </c>
      <c r="F205" s="6">
        <v>46036.295138888891</v>
      </c>
      <c r="G205" s="6">
        <v>46036.302083333336</v>
      </c>
      <c r="H205" s="6">
        <v>46036.340277777781</v>
      </c>
      <c r="I205" s="6">
        <v>46036.4</v>
      </c>
      <c r="J205" s="6">
        <v>46036.402777777781</v>
      </c>
      <c r="K205" s="6">
        <v>46036.409722222219</v>
      </c>
      <c r="L205">
        <v>2.75</v>
      </c>
      <c r="M205" s="6">
        <v>46036.416666666664</v>
      </c>
      <c r="N205">
        <f t="shared" si="2"/>
        <v>7</v>
      </c>
    </row>
    <row r="206" spans="2:14" x14ac:dyDescent="0.25">
      <c r="B206">
        <v>187</v>
      </c>
      <c r="C206" t="s">
        <v>31</v>
      </c>
      <c r="D206">
        <v>1</v>
      </c>
      <c r="E206" t="s">
        <v>32</v>
      </c>
      <c r="F206" s="6">
        <v>46036.5</v>
      </c>
      <c r="G206" s="6">
        <v>46036.506944444445</v>
      </c>
      <c r="H206" s="6">
        <v>46036.513888888891</v>
      </c>
      <c r="I206" s="6">
        <v>46036.618055555555</v>
      </c>
      <c r="J206" s="6">
        <v>46036.638888888891</v>
      </c>
      <c r="K206" s="6">
        <v>46036.645833333336</v>
      </c>
      <c r="L206">
        <v>3.5</v>
      </c>
      <c r="M206" s="6">
        <v>46036.649305555555</v>
      </c>
      <c r="N206">
        <f t="shared" si="2"/>
        <v>12</v>
      </c>
    </row>
    <row r="207" spans="2:14" x14ac:dyDescent="0.25">
      <c r="B207">
        <v>188</v>
      </c>
      <c r="C207" t="s">
        <v>29</v>
      </c>
      <c r="D207">
        <v>1</v>
      </c>
      <c r="E207" t="s">
        <v>30</v>
      </c>
      <c r="F207" s="6">
        <v>46036.743055555555</v>
      </c>
      <c r="G207" s="6">
        <v>46036.746527777781</v>
      </c>
      <c r="H207" s="6">
        <v>46036.75</v>
      </c>
      <c r="I207" s="6">
        <v>46036.775694444441</v>
      </c>
      <c r="J207" s="6">
        <v>46036.777777777781</v>
      </c>
      <c r="K207" s="6">
        <v>46036.779166666667</v>
      </c>
      <c r="L207">
        <v>0.87</v>
      </c>
      <c r="M207" s="6">
        <v>46036.780555555553</v>
      </c>
      <c r="N207">
        <f t="shared" si="2"/>
        <v>17</v>
      </c>
    </row>
    <row r="208" spans="2:14" x14ac:dyDescent="0.25">
      <c r="B208">
        <v>189</v>
      </c>
      <c r="C208" t="s">
        <v>29</v>
      </c>
      <c r="D208">
        <v>1</v>
      </c>
      <c r="E208" t="s">
        <v>30</v>
      </c>
      <c r="F208" s="6">
        <v>46035.654861111114</v>
      </c>
      <c r="G208" s="6">
        <v>46035.666666666664</v>
      </c>
      <c r="H208" s="6">
        <v>46035.680555555555</v>
      </c>
      <c r="I208" s="6">
        <v>46035.6875</v>
      </c>
      <c r="J208" s="6">
        <v>46035.694444444445</v>
      </c>
      <c r="K208" s="6">
        <v>46035.708333333336</v>
      </c>
      <c r="L208">
        <v>1.28</v>
      </c>
      <c r="M208" s="6">
        <v>46035.715277777781</v>
      </c>
      <c r="N208">
        <f t="shared" si="2"/>
        <v>15</v>
      </c>
    </row>
    <row r="209" spans="2:14" x14ac:dyDescent="0.25">
      <c r="B209">
        <v>190</v>
      </c>
      <c r="C209" t="s">
        <v>29</v>
      </c>
      <c r="D209">
        <v>1</v>
      </c>
      <c r="E209" t="s">
        <v>35</v>
      </c>
      <c r="F209" s="6">
        <v>46036.467361111114</v>
      </c>
      <c r="G209" s="6">
        <v>46036.477777777778</v>
      </c>
      <c r="H209" s="6">
        <v>46036.479166666664</v>
      </c>
      <c r="I209" s="6">
        <v>46036.487500000003</v>
      </c>
      <c r="J209" s="6">
        <v>46036.489583333336</v>
      </c>
      <c r="K209" s="6">
        <v>46036.5</v>
      </c>
      <c r="L209">
        <v>0.78</v>
      </c>
      <c r="M209" s="6">
        <v>46036.501388888886</v>
      </c>
      <c r="N209">
        <f t="shared" si="2"/>
        <v>11</v>
      </c>
    </row>
    <row r="210" spans="2:14" x14ac:dyDescent="0.25">
      <c r="B210">
        <v>191</v>
      </c>
      <c r="C210" t="s">
        <v>29</v>
      </c>
      <c r="D210">
        <v>1</v>
      </c>
      <c r="E210" t="s">
        <v>35</v>
      </c>
      <c r="F210" s="6">
        <v>46036.291666666664</v>
      </c>
      <c r="G210" s="6">
        <v>46036.326388888891</v>
      </c>
      <c r="H210" s="6">
        <v>46036.361111111109</v>
      </c>
      <c r="I210" s="6">
        <v>46036.420138888891</v>
      </c>
      <c r="J210" s="6">
        <v>46036.423611111109</v>
      </c>
      <c r="K210" s="6">
        <v>46036.4375</v>
      </c>
      <c r="L210">
        <v>3.5</v>
      </c>
      <c r="M210" s="6">
        <v>46036.440972222219</v>
      </c>
      <c r="N210">
        <f t="shared" si="2"/>
        <v>7</v>
      </c>
    </row>
    <row r="211" spans="2:14" x14ac:dyDescent="0.25">
      <c r="B211">
        <v>192</v>
      </c>
      <c r="C211" t="s">
        <v>31</v>
      </c>
      <c r="D211">
        <v>1</v>
      </c>
      <c r="E211" t="s">
        <v>30</v>
      </c>
      <c r="F211" s="6">
        <v>46036.291666666664</v>
      </c>
      <c r="G211" s="6">
        <v>46036.326388888891</v>
      </c>
      <c r="H211" s="6">
        <v>46036.347222222219</v>
      </c>
      <c r="I211" s="6">
        <v>46036.444444444445</v>
      </c>
      <c r="J211" s="6">
        <v>46036.451388888891</v>
      </c>
      <c r="K211" s="6">
        <v>46036.458333333336</v>
      </c>
      <c r="L211">
        <v>4</v>
      </c>
      <c r="M211" s="6">
        <v>46036.465277777781</v>
      </c>
      <c r="N211">
        <f t="shared" si="2"/>
        <v>7</v>
      </c>
    </row>
    <row r="212" spans="2:14" x14ac:dyDescent="0.25">
      <c r="B212">
        <v>193</v>
      </c>
      <c r="C212" t="s">
        <v>29</v>
      </c>
      <c r="D212">
        <v>1</v>
      </c>
      <c r="E212" t="s">
        <v>35</v>
      </c>
      <c r="F212" s="6">
        <v>46036.541666666664</v>
      </c>
      <c r="G212" s="6">
        <v>46036.545138888891</v>
      </c>
      <c r="H212" s="6">
        <v>46036.548611111109</v>
      </c>
      <c r="I212" s="6">
        <v>46036.576388888891</v>
      </c>
      <c r="J212" s="6">
        <v>46036.583333333336</v>
      </c>
      <c r="K212" s="6">
        <v>46036.590277777781</v>
      </c>
      <c r="L212">
        <v>1.17</v>
      </c>
      <c r="M212" s="6">
        <v>46036.597222222219</v>
      </c>
      <c r="N212">
        <f t="shared" si="2"/>
        <v>13</v>
      </c>
    </row>
    <row r="213" spans="2:14" x14ac:dyDescent="0.25">
      <c r="B213">
        <v>194</v>
      </c>
      <c r="C213" t="s">
        <v>33</v>
      </c>
      <c r="D213">
        <v>1</v>
      </c>
      <c r="E213" t="s">
        <v>30</v>
      </c>
      <c r="F213" s="6">
        <v>46035.958333333336</v>
      </c>
      <c r="G213" s="6">
        <v>46035.965277777781</v>
      </c>
      <c r="H213" s="6">
        <v>46035.979166666664</v>
      </c>
      <c r="I213" s="6">
        <v>46036.020833333336</v>
      </c>
      <c r="J213" s="6">
        <v>46036.027777777781</v>
      </c>
      <c r="K213" s="6">
        <v>46036.03125</v>
      </c>
      <c r="L213">
        <v>1.75</v>
      </c>
      <c r="M213" s="6">
        <v>46036.031944444447</v>
      </c>
      <c r="N213">
        <f t="shared" ref="N213:N276" si="3">HOUR(F213)</f>
        <v>23</v>
      </c>
    </row>
    <row r="214" spans="2:14" x14ac:dyDescent="0.25">
      <c r="B214">
        <v>195</v>
      </c>
      <c r="C214" t="s">
        <v>33</v>
      </c>
      <c r="D214">
        <v>1</v>
      </c>
      <c r="E214" t="s">
        <v>30</v>
      </c>
      <c r="F214" s="6">
        <v>46035.836805555555</v>
      </c>
      <c r="G214" s="6">
        <v>46035.847222222219</v>
      </c>
      <c r="H214" s="6">
        <v>46035.864583333336</v>
      </c>
      <c r="I214" s="6">
        <v>46035.916666666664</v>
      </c>
      <c r="J214" s="6">
        <v>46035.923611111109</v>
      </c>
      <c r="K214" s="6">
        <v>46035.940972222219</v>
      </c>
      <c r="L214">
        <v>2.5</v>
      </c>
      <c r="M214" s="6">
        <v>46035.944444444445</v>
      </c>
      <c r="N214">
        <f t="shared" si="3"/>
        <v>20</v>
      </c>
    </row>
    <row r="215" spans="2:14" x14ac:dyDescent="0.25">
      <c r="B215">
        <v>196</v>
      </c>
      <c r="C215" t="s">
        <v>29</v>
      </c>
      <c r="D215">
        <v>1</v>
      </c>
      <c r="E215" t="s">
        <v>30</v>
      </c>
      <c r="F215" s="6">
        <v>46035.960416666669</v>
      </c>
      <c r="G215" s="6">
        <v>46035.972222222219</v>
      </c>
      <c r="H215" s="6">
        <v>46035.989583333336</v>
      </c>
      <c r="I215" s="6">
        <v>46036.125</v>
      </c>
      <c r="J215" s="6">
        <v>46036.128472222219</v>
      </c>
      <c r="K215" s="6">
        <v>46036.131944444445</v>
      </c>
      <c r="L215">
        <v>4.12</v>
      </c>
      <c r="M215" s="6">
        <v>46036.138888888891</v>
      </c>
      <c r="N215">
        <f t="shared" si="3"/>
        <v>23</v>
      </c>
    </row>
    <row r="216" spans="2:14" x14ac:dyDescent="0.25">
      <c r="B216">
        <v>197</v>
      </c>
      <c r="C216" t="s">
        <v>31</v>
      </c>
      <c r="D216">
        <v>1</v>
      </c>
      <c r="E216" t="s">
        <v>35</v>
      </c>
      <c r="F216" s="6">
        <v>46036.048611111109</v>
      </c>
      <c r="G216" s="6">
        <v>46036.055555555555</v>
      </c>
      <c r="H216" s="6">
        <v>46036.072916666664</v>
      </c>
      <c r="I216" s="6">
        <v>46036.100694444445</v>
      </c>
      <c r="J216" s="6">
        <v>46036.101388888892</v>
      </c>
      <c r="K216" s="6">
        <v>46036.102083333331</v>
      </c>
      <c r="L216">
        <v>1.28</v>
      </c>
      <c r="M216" s="6">
        <v>46036.102777777778</v>
      </c>
      <c r="N216">
        <f t="shared" si="3"/>
        <v>1</v>
      </c>
    </row>
    <row r="217" spans="2:14" x14ac:dyDescent="0.25">
      <c r="B217">
        <v>198</v>
      </c>
      <c r="C217" t="s">
        <v>33</v>
      </c>
      <c r="D217">
        <v>1</v>
      </c>
      <c r="E217" t="s">
        <v>30</v>
      </c>
      <c r="F217" s="6">
        <v>46036.439583333333</v>
      </c>
      <c r="G217" s="6">
        <v>46036.458333333336</v>
      </c>
      <c r="H217" s="6">
        <v>46036.465277777781</v>
      </c>
      <c r="I217" s="6">
        <v>46036.472222222219</v>
      </c>
      <c r="J217" s="6">
        <v>46036.479166666664</v>
      </c>
      <c r="K217" s="6">
        <v>46036.5</v>
      </c>
      <c r="L217">
        <v>1.45</v>
      </c>
      <c r="M217" s="6">
        <v>46036.506944444445</v>
      </c>
      <c r="N217">
        <f t="shared" si="3"/>
        <v>10</v>
      </c>
    </row>
    <row r="218" spans="2:14" x14ac:dyDescent="0.25">
      <c r="B218">
        <v>199</v>
      </c>
      <c r="C218" t="s">
        <v>33</v>
      </c>
      <c r="D218">
        <v>1</v>
      </c>
      <c r="E218" t="s">
        <v>30</v>
      </c>
      <c r="F218" s="6">
        <v>46036.402777777781</v>
      </c>
      <c r="G218" s="6">
        <v>46036.40625</v>
      </c>
      <c r="H218" s="6">
        <v>46036.427083333336</v>
      </c>
      <c r="I218" s="6">
        <v>46036.522222222222</v>
      </c>
      <c r="J218" s="6">
        <v>46036.576388888891</v>
      </c>
      <c r="K218" s="6">
        <v>46036.588194444441</v>
      </c>
      <c r="L218">
        <v>4.45</v>
      </c>
      <c r="M218" s="6">
        <v>46036.588888888888</v>
      </c>
      <c r="N218">
        <f t="shared" si="3"/>
        <v>9</v>
      </c>
    </row>
    <row r="219" spans="2:14" x14ac:dyDescent="0.25">
      <c r="B219">
        <v>200</v>
      </c>
      <c r="C219" t="s">
        <v>33</v>
      </c>
      <c r="D219">
        <v>1</v>
      </c>
      <c r="E219" t="s">
        <v>30</v>
      </c>
      <c r="F219" s="6">
        <v>46036.6875</v>
      </c>
      <c r="G219" s="6">
        <v>46036.708333333336</v>
      </c>
      <c r="H219" s="6">
        <v>46036.71875</v>
      </c>
      <c r="I219" s="6">
        <v>46036.75</v>
      </c>
      <c r="J219" s="6">
        <v>46036.756944444445</v>
      </c>
      <c r="K219" s="6">
        <v>46036.763888888891</v>
      </c>
      <c r="L219">
        <v>1.83</v>
      </c>
      <c r="M219" s="6">
        <v>46036.770833333336</v>
      </c>
      <c r="N219">
        <f t="shared" si="3"/>
        <v>16</v>
      </c>
    </row>
    <row r="220" spans="2:14" x14ac:dyDescent="0.25">
      <c r="B220">
        <v>201</v>
      </c>
      <c r="C220" t="s">
        <v>33</v>
      </c>
      <c r="D220">
        <v>1</v>
      </c>
      <c r="E220" t="s">
        <v>35</v>
      </c>
      <c r="F220" s="6">
        <v>46037.548611111109</v>
      </c>
      <c r="G220" s="6">
        <v>46037.555555555555</v>
      </c>
      <c r="H220" s="6">
        <v>46037.583333333336</v>
      </c>
      <c r="I220" s="6">
        <v>46037.604166666664</v>
      </c>
      <c r="J220" s="6">
        <v>46037.611111111109</v>
      </c>
      <c r="K220" s="6">
        <v>46037.666666666664</v>
      </c>
      <c r="L220">
        <v>2.83</v>
      </c>
      <c r="M220" s="6">
        <v>46037.673611111109</v>
      </c>
      <c r="N220">
        <f t="shared" si="3"/>
        <v>13</v>
      </c>
    </row>
    <row r="221" spans="2:14" x14ac:dyDescent="0.25">
      <c r="B221">
        <v>202</v>
      </c>
      <c r="C221" t="s">
        <v>33</v>
      </c>
      <c r="D221">
        <v>1</v>
      </c>
      <c r="E221" t="s">
        <v>35</v>
      </c>
      <c r="F221" s="6">
        <v>46037.4375</v>
      </c>
      <c r="G221" s="6">
        <v>46037.444444444445</v>
      </c>
      <c r="H221" s="6">
        <v>46037.447916666664</v>
      </c>
      <c r="I221" s="6">
        <v>46037.493055555555</v>
      </c>
      <c r="J221" s="6">
        <v>46037.496527777781</v>
      </c>
      <c r="K221" s="6">
        <v>46037.5</v>
      </c>
      <c r="L221">
        <v>1.5</v>
      </c>
      <c r="M221" s="6">
        <v>46037.506944444445</v>
      </c>
      <c r="N221">
        <f t="shared" si="3"/>
        <v>10</v>
      </c>
    </row>
    <row r="222" spans="2:14" x14ac:dyDescent="0.25">
      <c r="B222">
        <v>203</v>
      </c>
      <c r="C222" t="s">
        <v>33</v>
      </c>
      <c r="D222">
        <v>1</v>
      </c>
      <c r="E222" t="s">
        <v>35</v>
      </c>
      <c r="F222" s="6">
        <v>46037.291666666664</v>
      </c>
      <c r="G222" s="6">
        <v>46037.3125</v>
      </c>
      <c r="H222" s="6">
        <v>46037.333333333336</v>
      </c>
      <c r="I222" s="6">
        <v>46037.384027777778</v>
      </c>
      <c r="J222" s="6">
        <v>46037.384722222225</v>
      </c>
      <c r="K222" s="6">
        <v>46037.387499999997</v>
      </c>
      <c r="L222">
        <v>2.2999999999999998</v>
      </c>
      <c r="M222" s="6">
        <v>46037.394444444442</v>
      </c>
      <c r="N222">
        <f t="shared" si="3"/>
        <v>7</v>
      </c>
    </row>
    <row r="223" spans="2:14" x14ac:dyDescent="0.25">
      <c r="B223">
        <v>204</v>
      </c>
      <c r="C223" t="s">
        <v>29</v>
      </c>
      <c r="D223">
        <v>1</v>
      </c>
      <c r="E223" t="s">
        <v>32</v>
      </c>
      <c r="F223" s="6">
        <v>46037.633333333331</v>
      </c>
      <c r="G223" s="6">
        <v>46037.640277777777</v>
      </c>
      <c r="H223" s="6">
        <v>46037.649305555555</v>
      </c>
      <c r="I223" s="6">
        <v>46037.701388888891</v>
      </c>
      <c r="J223" s="6">
        <v>46037.708333333336</v>
      </c>
      <c r="K223" s="6">
        <v>46037.715277777781</v>
      </c>
      <c r="L223">
        <v>1.97</v>
      </c>
      <c r="M223" s="6">
        <v>46037.722222222219</v>
      </c>
      <c r="N223">
        <f t="shared" si="3"/>
        <v>15</v>
      </c>
    </row>
    <row r="224" spans="2:14" x14ac:dyDescent="0.25">
      <c r="B224">
        <v>205</v>
      </c>
      <c r="C224" t="s">
        <v>31</v>
      </c>
      <c r="D224">
        <v>1</v>
      </c>
      <c r="E224" t="s">
        <v>30</v>
      </c>
      <c r="F224" s="6">
        <v>46037.291666666664</v>
      </c>
      <c r="G224" s="6">
        <v>46037.340277777781</v>
      </c>
      <c r="H224" s="6">
        <v>46037.375</v>
      </c>
      <c r="I224" s="6">
        <v>46037.549305555556</v>
      </c>
      <c r="J224" s="6">
        <v>46037.556250000001</v>
      </c>
      <c r="K224" s="6">
        <v>46037.556944444441</v>
      </c>
      <c r="L224">
        <v>6.37</v>
      </c>
      <c r="M224" s="6">
        <v>46037.557638888888</v>
      </c>
      <c r="N224">
        <f t="shared" si="3"/>
        <v>7</v>
      </c>
    </row>
    <row r="225" spans="2:14" x14ac:dyDescent="0.25">
      <c r="B225">
        <v>206</v>
      </c>
      <c r="C225" t="s">
        <v>29</v>
      </c>
      <c r="D225">
        <v>1</v>
      </c>
      <c r="E225" t="s">
        <v>30</v>
      </c>
      <c r="F225" s="6">
        <v>46037.590277777781</v>
      </c>
      <c r="G225" s="6">
        <v>46037.597222222219</v>
      </c>
      <c r="H225" s="6">
        <v>46037.628472222219</v>
      </c>
      <c r="I225" s="6">
        <v>46037.701388888891</v>
      </c>
      <c r="J225" s="6">
        <v>46037.708333333336</v>
      </c>
      <c r="K225" s="6">
        <v>46037.710416666669</v>
      </c>
      <c r="L225">
        <v>2.88</v>
      </c>
      <c r="M225" s="6">
        <v>46037.717361111114</v>
      </c>
      <c r="N225">
        <f t="shared" si="3"/>
        <v>14</v>
      </c>
    </row>
    <row r="226" spans="2:14" x14ac:dyDescent="0.25">
      <c r="B226">
        <v>207</v>
      </c>
      <c r="C226" t="s">
        <v>29</v>
      </c>
      <c r="D226">
        <v>1</v>
      </c>
      <c r="E226" t="s">
        <v>34</v>
      </c>
      <c r="F226" s="6">
        <v>46037.7</v>
      </c>
      <c r="G226" s="6">
        <v>46037.708333333336</v>
      </c>
      <c r="H226" s="6">
        <v>46037.722222222219</v>
      </c>
      <c r="I226" s="6">
        <v>46037.810416666667</v>
      </c>
      <c r="J226" s="6">
        <v>46037.817361111112</v>
      </c>
      <c r="K226" s="6">
        <v>46037.834027777775</v>
      </c>
      <c r="L226">
        <v>3.22</v>
      </c>
      <c r="M226" s="6">
        <v>46037.84097222222</v>
      </c>
      <c r="N226">
        <f t="shared" si="3"/>
        <v>16</v>
      </c>
    </row>
    <row r="227" spans="2:14" x14ac:dyDescent="0.25">
      <c r="B227">
        <v>208</v>
      </c>
      <c r="C227" t="s">
        <v>31</v>
      </c>
      <c r="D227">
        <v>1</v>
      </c>
      <c r="E227" t="s">
        <v>36</v>
      </c>
      <c r="F227" s="6">
        <v>46037.291666666664</v>
      </c>
      <c r="G227" s="6">
        <v>46037.354166666664</v>
      </c>
      <c r="H227" s="6">
        <v>46037.375</v>
      </c>
      <c r="I227" s="6">
        <v>46037.46875</v>
      </c>
      <c r="J227" s="6">
        <v>46037.472222222219</v>
      </c>
      <c r="K227" s="6">
        <v>46037.482638888891</v>
      </c>
      <c r="L227">
        <v>4.58</v>
      </c>
      <c r="M227" s="6">
        <v>46037.489583333336</v>
      </c>
      <c r="N227">
        <f t="shared" si="3"/>
        <v>7</v>
      </c>
    </row>
    <row r="228" spans="2:14" x14ac:dyDescent="0.25">
      <c r="B228">
        <v>209</v>
      </c>
      <c r="C228" t="s">
        <v>33</v>
      </c>
      <c r="D228">
        <v>1</v>
      </c>
      <c r="E228" t="s">
        <v>36</v>
      </c>
      <c r="F228" s="6">
        <v>46037.552083333336</v>
      </c>
      <c r="G228" s="6">
        <v>46037.555555555555</v>
      </c>
      <c r="H228" s="6">
        <v>46037.597222222219</v>
      </c>
      <c r="I228" s="6">
        <v>46037.736111111109</v>
      </c>
      <c r="J228" s="6">
        <v>46037.739583333336</v>
      </c>
      <c r="K228" s="6">
        <v>46037.756944444445</v>
      </c>
      <c r="L228">
        <v>4.92</v>
      </c>
      <c r="M228" s="6">
        <v>46037.763888888891</v>
      </c>
      <c r="N228">
        <f t="shared" si="3"/>
        <v>13</v>
      </c>
    </row>
    <row r="229" spans="2:14" x14ac:dyDescent="0.25">
      <c r="B229">
        <v>210</v>
      </c>
      <c r="C229" t="s">
        <v>33</v>
      </c>
      <c r="D229">
        <v>1</v>
      </c>
      <c r="E229" t="s">
        <v>34</v>
      </c>
      <c r="F229" s="6">
        <v>46037.291666666664</v>
      </c>
      <c r="G229" s="6">
        <v>46037.326388888891</v>
      </c>
      <c r="H229" s="6">
        <v>46037.354166666664</v>
      </c>
      <c r="I229" s="6">
        <v>46037.4375</v>
      </c>
      <c r="J229" s="6">
        <v>46037.458333333336</v>
      </c>
      <c r="K229" s="6">
        <v>46037.461805555555</v>
      </c>
      <c r="L229">
        <v>4.08</v>
      </c>
      <c r="M229" s="6">
        <v>46037.465277777781</v>
      </c>
      <c r="N229">
        <f t="shared" si="3"/>
        <v>7</v>
      </c>
    </row>
    <row r="230" spans="2:14" x14ac:dyDescent="0.25">
      <c r="B230">
        <v>211</v>
      </c>
      <c r="C230" t="s">
        <v>33</v>
      </c>
      <c r="D230">
        <v>1</v>
      </c>
      <c r="E230" t="s">
        <v>32</v>
      </c>
      <c r="F230" s="6">
        <v>46036.71875</v>
      </c>
      <c r="G230" s="6">
        <v>46036.767361111109</v>
      </c>
      <c r="H230" s="6">
        <v>46036.774305555555</v>
      </c>
      <c r="I230" s="6">
        <v>46036.805555555555</v>
      </c>
      <c r="J230" s="6">
        <v>46036.8125</v>
      </c>
      <c r="K230" s="6">
        <v>46036.819444444445</v>
      </c>
      <c r="L230">
        <v>2.42</v>
      </c>
      <c r="M230" s="6">
        <v>46036.826388888891</v>
      </c>
      <c r="N230">
        <f t="shared" si="3"/>
        <v>17</v>
      </c>
    </row>
    <row r="231" spans="2:14" x14ac:dyDescent="0.25">
      <c r="B231">
        <v>212</v>
      </c>
      <c r="C231" t="s">
        <v>31</v>
      </c>
      <c r="D231">
        <v>1</v>
      </c>
      <c r="E231" t="s">
        <v>32</v>
      </c>
      <c r="F231" s="6">
        <v>46037.434027777781</v>
      </c>
      <c r="G231" s="6">
        <v>46037.444444444445</v>
      </c>
      <c r="H231" s="6">
        <v>46037.451388888891</v>
      </c>
      <c r="I231" s="6">
        <v>46037.5</v>
      </c>
      <c r="J231" s="6">
        <v>46037.506944444445</v>
      </c>
      <c r="K231" s="6">
        <v>46037.520833333336</v>
      </c>
      <c r="L231">
        <v>2.08</v>
      </c>
      <c r="M231" s="6">
        <v>46037.527777777781</v>
      </c>
      <c r="N231">
        <f t="shared" si="3"/>
        <v>10</v>
      </c>
    </row>
    <row r="232" spans="2:14" x14ac:dyDescent="0.25">
      <c r="B232">
        <v>213</v>
      </c>
      <c r="C232" t="s">
        <v>33</v>
      </c>
      <c r="D232">
        <v>1</v>
      </c>
      <c r="E232" t="s">
        <v>34</v>
      </c>
      <c r="F232" s="6">
        <v>46037.496527777781</v>
      </c>
      <c r="G232" s="6">
        <v>46037.513888888891</v>
      </c>
      <c r="H232" s="6">
        <v>46037.534722222219</v>
      </c>
      <c r="I232" s="6">
        <v>46037.642361111109</v>
      </c>
      <c r="J232" s="6">
        <v>46037.649305555555</v>
      </c>
      <c r="K232" s="6">
        <v>46037.652777777781</v>
      </c>
      <c r="L232">
        <v>3.75</v>
      </c>
      <c r="M232" s="6">
        <v>46037.65625</v>
      </c>
      <c r="N232">
        <f t="shared" si="3"/>
        <v>11</v>
      </c>
    </row>
    <row r="233" spans="2:14" x14ac:dyDescent="0.25">
      <c r="B233">
        <v>214</v>
      </c>
      <c r="C233" t="s">
        <v>31</v>
      </c>
      <c r="D233">
        <v>1</v>
      </c>
      <c r="E233" t="s">
        <v>32</v>
      </c>
      <c r="F233" s="6">
        <v>46037.520833333336</v>
      </c>
      <c r="G233" s="6">
        <v>46037.527777777781</v>
      </c>
      <c r="H233" s="6">
        <v>46037.583333333336</v>
      </c>
      <c r="I233" s="6">
        <v>46037.613888888889</v>
      </c>
      <c r="J233" s="6">
        <v>46037.620833333334</v>
      </c>
      <c r="K233" s="6">
        <v>46037.638888888891</v>
      </c>
      <c r="L233">
        <v>2.82</v>
      </c>
      <c r="M233" s="6">
        <v>46037.645833333336</v>
      </c>
      <c r="N233">
        <f t="shared" si="3"/>
        <v>12</v>
      </c>
    </row>
    <row r="234" spans="2:14" x14ac:dyDescent="0.25">
      <c r="B234">
        <v>215</v>
      </c>
      <c r="C234" t="s">
        <v>29</v>
      </c>
      <c r="D234">
        <v>1</v>
      </c>
      <c r="E234" t="s">
        <v>32</v>
      </c>
      <c r="F234" s="6">
        <v>46037.673611111109</v>
      </c>
      <c r="G234" s="6">
        <v>46037.680555555555</v>
      </c>
      <c r="H234" s="6">
        <v>46037.684027777781</v>
      </c>
      <c r="I234" s="6">
        <v>46037.716666666667</v>
      </c>
      <c r="J234" s="6">
        <v>46037.723611111112</v>
      </c>
      <c r="K234" s="6">
        <v>46037.725694444445</v>
      </c>
      <c r="L234">
        <v>1.25</v>
      </c>
      <c r="M234" s="6">
        <v>46037.732638888891</v>
      </c>
      <c r="N234">
        <f t="shared" si="3"/>
        <v>16</v>
      </c>
    </row>
    <row r="235" spans="2:14" x14ac:dyDescent="0.25">
      <c r="B235">
        <v>216</v>
      </c>
      <c r="C235" t="s">
        <v>33</v>
      </c>
      <c r="D235">
        <v>1</v>
      </c>
      <c r="E235" t="s">
        <v>37</v>
      </c>
      <c r="F235" s="6">
        <v>46042.284722222219</v>
      </c>
      <c r="G235" s="6">
        <v>46042.322916666664</v>
      </c>
      <c r="H235" s="6">
        <v>46042.340277777781</v>
      </c>
      <c r="I235" s="6">
        <v>46042.381944444445</v>
      </c>
      <c r="J235" s="6">
        <v>46042.388888888891</v>
      </c>
      <c r="K235" s="6">
        <v>46042.392361111109</v>
      </c>
      <c r="L235">
        <v>2.58</v>
      </c>
      <c r="M235" s="6">
        <v>46042.395833333336</v>
      </c>
      <c r="N235">
        <f t="shared" si="3"/>
        <v>6</v>
      </c>
    </row>
    <row r="236" spans="2:14" x14ac:dyDescent="0.25">
      <c r="B236">
        <v>217</v>
      </c>
      <c r="C236" t="s">
        <v>33</v>
      </c>
      <c r="D236">
        <v>1</v>
      </c>
      <c r="E236" t="s">
        <v>34</v>
      </c>
      <c r="F236" s="6">
        <v>46044.291666666664</v>
      </c>
      <c r="G236" s="6">
        <v>46044.315972222219</v>
      </c>
      <c r="H236" s="6">
        <v>46044.327777777777</v>
      </c>
      <c r="I236" s="6">
        <v>46044.385416666664</v>
      </c>
      <c r="J236" s="6">
        <v>46044.388888888891</v>
      </c>
      <c r="K236" s="6">
        <v>46044.392361111109</v>
      </c>
      <c r="L236">
        <v>2.42</v>
      </c>
      <c r="M236" s="6">
        <v>46044.397222222222</v>
      </c>
      <c r="N236">
        <f t="shared" si="3"/>
        <v>7</v>
      </c>
    </row>
    <row r="237" spans="2:14" x14ac:dyDescent="0.25">
      <c r="B237">
        <v>218</v>
      </c>
      <c r="C237" t="s">
        <v>31</v>
      </c>
      <c r="D237">
        <v>1</v>
      </c>
      <c r="E237" t="s">
        <v>34</v>
      </c>
      <c r="F237" s="6">
        <v>46038.291666666664</v>
      </c>
      <c r="G237" s="6">
        <v>46038.350694444445</v>
      </c>
      <c r="H237" s="6">
        <v>46038.368055555555</v>
      </c>
      <c r="I237" s="6">
        <v>46038.451388888891</v>
      </c>
      <c r="J237" s="6">
        <v>46038.479166666664</v>
      </c>
      <c r="K237" s="6">
        <v>46038.486111111109</v>
      </c>
      <c r="L237">
        <v>4.67</v>
      </c>
      <c r="M237" s="6">
        <v>46038.493055555555</v>
      </c>
      <c r="N237">
        <f t="shared" si="3"/>
        <v>7</v>
      </c>
    </row>
    <row r="238" spans="2:14" x14ac:dyDescent="0.25">
      <c r="B238">
        <v>219</v>
      </c>
      <c r="C238" t="s">
        <v>31</v>
      </c>
      <c r="D238">
        <v>1</v>
      </c>
      <c r="E238" t="s">
        <v>36</v>
      </c>
      <c r="F238" s="6">
        <v>46038.333333333336</v>
      </c>
      <c r="G238" s="6">
        <v>46038.340277777781</v>
      </c>
      <c r="H238" s="6">
        <v>46038.416666666664</v>
      </c>
      <c r="I238" s="6">
        <v>46038.459027777775</v>
      </c>
      <c r="J238" s="6">
        <v>46038.5</v>
      </c>
      <c r="K238" s="6">
        <v>46038.534722222219</v>
      </c>
      <c r="L238">
        <v>4.83</v>
      </c>
      <c r="M238" s="6">
        <v>46038.541666666664</v>
      </c>
      <c r="N238">
        <f t="shared" si="3"/>
        <v>8</v>
      </c>
    </row>
    <row r="239" spans="2:14" x14ac:dyDescent="0.25">
      <c r="B239">
        <v>220</v>
      </c>
      <c r="C239" t="s">
        <v>31</v>
      </c>
      <c r="D239">
        <v>1</v>
      </c>
      <c r="E239" t="s">
        <v>32</v>
      </c>
      <c r="F239" s="6">
        <v>46038.357638888891</v>
      </c>
      <c r="G239" s="6">
        <v>46038.381944444445</v>
      </c>
      <c r="H239" s="6">
        <v>46038.399305555555</v>
      </c>
      <c r="I239" s="6">
        <v>46038.46875</v>
      </c>
      <c r="J239" s="6">
        <v>46038.469444444447</v>
      </c>
      <c r="K239" s="6">
        <v>46038.472222222219</v>
      </c>
      <c r="L239">
        <v>2.75</v>
      </c>
      <c r="M239" s="6">
        <v>46038.479166666664</v>
      </c>
      <c r="N239">
        <f t="shared" si="3"/>
        <v>8</v>
      </c>
    </row>
    <row r="240" spans="2:14" x14ac:dyDescent="0.25">
      <c r="B240">
        <v>221</v>
      </c>
      <c r="C240" t="s">
        <v>33</v>
      </c>
      <c r="D240">
        <v>1</v>
      </c>
      <c r="E240" t="s">
        <v>30</v>
      </c>
      <c r="F240" s="6">
        <v>46038.534722222219</v>
      </c>
      <c r="G240" s="6">
        <v>46038.545138888891</v>
      </c>
      <c r="H240" s="6">
        <v>46038.586805555555</v>
      </c>
      <c r="I240" s="6">
        <v>46038.6875</v>
      </c>
      <c r="J240" s="6">
        <v>46038.722222222219</v>
      </c>
      <c r="K240" s="6">
        <v>46038.729166666664</v>
      </c>
      <c r="L240">
        <v>4.67</v>
      </c>
      <c r="M240" s="6">
        <v>46038.736111111109</v>
      </c>
      <c r="N240">
        <f t="shared" si="3"/>
        <v>12</v>
      </c>
    </row>
    <row r="241" spans="2:14" x14ac:dyDescent="0.25">
      <c r="B241">
        <v>222</v>
      </c>
      <c r="C241" t="s">
        <v>33</v>
      </c>
      <c r="D241">
        <v>1</v>
      </c>
      <c r="E241" t="s">
        <v>35</v>
      </c>
      <c r="F241" s="6">
        <v>46038.572916666664</v>
      </c>
      <c r="G241" s="6">
        <v>46038.586805555555</v>
      </c>
      <c r="H241" s="6">
        <v>46038.65</v>
      </c>
      <c r="I241" s="6">
        <v>46038.833333333336</v>
      </c>
      <c r="J241" s="6">
        <v>46038.854166666664</v>
      </c>
      <c r="K241" s="6">
        <v>46038.857638888891</v>
      </c>
      <c r="L241">
        <v>6.83</v>
      </c>
      <c r="M241" s="6">
        <v>46038.861111111109</v>
      </c>
      <c r="N241">
        <f t="shared" si="3"/>
        <v>13</v>
      </c>
    </row>
    <row r="242" spans="2:14" x14ac:dyDescent="0.25">
      <c r="B242">
        <v>223</v>
      </c>
      <c r="C242" t="s">
        <v>33</v>
      </c>
      <c r="D242">
        <v>1</v>
      </c>
      <c r="E242" t="s">
        <v>30</v>
      </c>
      <c r="F242" s="6">
        <v>46038.545138888891</v>
      </c>
      <c r="G242" s="6">
        <v>46038.5625</v>
      </c>
      <c r="H242" s="6">
        <v>46038.625</v>
      </c>
      <c r="I242" s="6">
        <v>46038.706250000003</v>
      </c>
      <c r="J242" s="6">
        <v>46038.708333333336</v>
      </c>
      <c r="K242" s="6">
        <v>46038.715277777781</v>
      </c>
      <c r="L242">
        <v>4.08</v>
      </c>
      <c r="M242" s="6">
        <v>46038.722222222219</v>
      </c>
      <c r="N242">
        <f t="shared" si="3"/>
        <v>13</v>
      </c>
    </row>
    <row r="243" spans="2:14" x14ac:dyDescent="0.25">
      <c r="B243">
        <v>224</v>
      </c>
      <c r="C243" t="s">
        <v>29</v>
      </c>
      <c r="D243">
        <v>1</v>
      </c>
      <c r="E243" t="s">
        <v>35</v>
      </c>
      <c r="F243" s="6">
        <v>46038.291666666664</v>
      </c>
      <c r="G243" s="6">
        <v>46038.322916666664</v>
      </c>
      <c r="H243" s="6">
        <v>46038.385416666664</v>
      </c>
      <c r="I243" s="6">
        <v>46038.489583333336</v>
      </c>
      <c r="J243" s="6">
        <v>46038.496527777781</v>
      </c>
      <c r="K243" s="6">
        <v>46038.506944444445</v>
      </c>
      <c r="L243">
        <v>5.17</v>
      </c>
      <c r="M243" s="6">
        <v>46038.510416666664</v>
      </c>
      <c r="N243">
        <f t="shared" si="3"/>
        <v>7</v>
      </c>
    </row>
    <row r="244" spans="2:14" x14ac:dyDescent="0.25">
      <c r="B244">
        <v>225</v>
      </c>
      <c r="C244" t="s">
        <v>29</v>
      </c>
      <c r="D244">
        <v>1</v>
      </c>
      <c r="E244" t="s">
        <v>35</v>
      </c>
      <c r="F244" s="6">
        <v>46037.729166666664</v>
      </c>
      <c r="G244" s="6">
        <v>46037.736111111109</v>
      </c>
      <c r="H244" s="6">
        <v>46037.743055555555</v>
      </c>
      <c r="I244" s="6">
        <v>46037.770833333336</v>
      </c>
      <c r="J244" s="6">
        <v>46037.777777777781</v>
      </c>
      <c r="K244" s="6">
        <v>46037.783333333333</v>
      </c>
      <c r="L244">
        <v>1.3</v>
      </c>
      <c r="M244" s="6">
        <v>46037.790277777778</v>
      </c>
      <c r="N244">
        <f t="shared" si="3"/>
        <v>17</v>
      </c>
    </row>
    <row r="245" spans="2:14" x14ac:dyDescent="0.25">
      <c r="B245">
        <v>226</v>
      </c>
      <c r="C245" t="s">
        <v>29</v>
      </c>
      <c r="D245">
        <v>1</v>
      </c>
      <c r="E245" t="s">
        <v>34</v>
      </c>
      <c r="F245" s="6">
        <v>46038.329861111109</v>
      </c>
      <c r="G245" s="6">
        <v>46038.347222222219</v>
      </c>
      <c r="H245" s="6">
        <v>46038.378472222219</v>
      </c>
      <c r="I245" s="6">
        <v>46038.484027777777</v>
      </c>
      <c r="J245" s="6">
        <v>46038.510416666664</v>
      </c>
      <c r="K245" s="6">
        <v>46038.520833333336</v>
      </c>
      <c r="L245">
        <v>4.58</v>
      </c>
      <c r="M245" s="6">
        <v>46038.527777777781</v>
      </c>
      <c r="N245">
        <f t="shared" si="3"/>
        <v>7</v>
      </c>
    </row>
    <row r="246" spans="2:14" x14ac:dyDescent="0.25">
      <c r="B246">
        <v>227</v>
      </c>
      <c r="C246" t="s">
        <v>29</v>
      </c>
      <c r="D246">
        <v>1</v>
      </c>
      <c r="E246" t="s">
        <v>34</v>
      </c>
      <c r="F246" s="6">
        <v>46038.329861111109</v>
      </c>
      <c r="G246" s="6">
        <v>46038.347222222219</v>
      </c>
      <c r="H246" s="6">
        <v>46038.378472222219</v>
      </c>
      <c r="I246" s="6">
        <v>46038.484027777777</v>
      </c>
      <c r="J246" s="6">
        <v>46038.510416666664</v>
      </c>
      <c r="K246" s="6">
        <v>46038.520833333336</v>
      </c>
      <c r="L246">
        <v>4.58</v>
      </c>
      <c r="M246" s="6">
        <v>46038.527777777781</v>
      </c>
      <c r="N246">
        <f t="shared" si="3"/>
        <v>7</v>
      </c>
    </row>
    <row r="247" spans="2:14" x14ac:dyDescent="0.25">
      <c r="B247">
        <v>228</v>
      </c>
      <c r="C247" t="s">
        <v>29</v>
      </c>
      <c r="D247">
        <v>1</v>
      </c>
      <c r="E247" t="s">
        <v>30</v>
      </c>
      <c r="F247" s="6">
        <v>46037.743055555555</v>
      </c>
      <c r="G247" s="6">
        <v>46037.75</v>
      </c>
      <c r="H247" s="6">
        <v>46037.760416666664</v>
      </c>
      <c r="I247" s="6">
        <v>46037.767361111109</v>
      </c>
      <c r="J247" s="6">
        <v>46037.774305555555</v>
      </c>
      <c r="K247" s="6">
        <v>46037.777777777781</v>
      </c>
      <c r="L247">
        <v>0.83</v>
      </c>
      <c r="M247" s="6">
        <v>46037.779861111114</v>
      </c>
      <c r="N247">
        <f t="shared" si="3"/>
        <v>17</v>
      </c>
    </row>
    <row r="248" spans="2:14" x14ac:dyDescent="0.25">
      <c r="B248">
        <v>229</v>
      </c>
      <c r="C248" t="s">
        <v>31</v>
      </c>
      <c r="D248">
        <v>1</v>
      </c>
      <c r="E248" t="s">
        <v>30</v>
      </c>
      <c r="F248" s="6">
        <v>46037.8125</v>
      </c>
      <c r="G248" s="6">
        <v>46037.819444444445</v>
      </c>
      <c r="H248" s="6">
        <v>46037.826388888891</v>
      </c>
      <c r="I248" s="6">
        <v>46037.834027777775</v>
      </c>
      <c r="J248" s="6">
        <v>46037.84097222222</v>
      </c>
      <c r="K248" s="6">
        <v>46037.895833333336</v>
      </c>
      <c r="L248">
        <v>2</v>
      </c>
      <c r="M248" s="6">
        <v>46037.902777777781</v>
      </c>
      <c r="N248">
        <f t="shared" si="3"/>
        <v>19</v>
      </c>
    </row>
    <row r="249" spans="2:14" x14ac:dyDescent="0.25">
      <c r="B249">
        <v>230</v>
      </c>
      <c r="C249" t="s">
        <v>33</v>
      </c>
      <c r="D249">
        <v>1</v>
      </c>
      <c r="E249" t="s">
        <v>30</v>
      </c>
      <c r="F249" s="6">
        <v>46037.927083333336</v>
      </c>
      <c r="G249" s="6">
        <v>46037.934027777781</v>
      </c>
      <c r="H249" s="6">
        <v>46037.938194444447</v>
      </c>
      <c r="I249" s="6">
        <v>46037.96597222222</v>
      </c>
      <c r="J249" s="6">
        <v>46037.972916666666</v>
      </c>
      <c r="K249" s="6">
        <v>46037.979166666664</v>
      </c>
      <c r="L249">
        <v>1.25</v>
      </c>
      <c r="M249" s="6">
        <v>46037.986111111109</v>
      </c>
      <c r="N249">
        <f t="shared" si="3"/>
        <v>22</v>
      </c>
    </row>
    <row r="250" spans="2:14" x14ac:dyDescent="0.25">
      <c r="B250">
        <v>231</v>
      </c>
      <c r="C250" t="s">
        <v>29</v>
      </c>
      <c r="D250">
        <v>1</v>
      </c>
      <c r="E250" t="s">
        <v>34</v>
      </c>
      <c r="F250" s="6">
        <v>46038.0625</v>
      </c>
      <c r="G250" s="6">
        <v>46038.072916666664</v>
      </c>
      <c r="H250" s="6">
        <v>46038.076388888891</v>
      </c>
      <c r="I250" s="6">
        <v>46038.086805555555</v>
      </c>
      <c r="J250" s="6">
        <v>46038.090277777781</v>
      </c>
      <c r="K250" s="6">
        <v>46038.09375</v>
      </c>
      <c r="L250">
        <v>0.75</v>
      </c>
      <c r="M250" s="6">
        <v>46038.100694444445</v>
      </c>
      <c r="N250">
        <f t="shared" si="3"/>
        <v>1</v>
      </c>
    </row>
    <row r="251" spans="2:14" x14ac:dyDescent="0.25">
      <c r="B251">
        <v>232</v>
      </c>
      <c r="C251" t="s">
        <v>33</v>
      </c>
      <c r="D251">
        <v>1</v>
      </c>
      <c r="E251" t="s">
        <v>30</v>
      </c>
      <c r="F251" s="6">
        <v>46038.736111111109</v>
      </c>
      <c r="G251" s="6">
        <v>46038.743055555555</v>
      </c>
      <c r="H251" s="6">
        <v>46038.75</v>
      </c>
      <c r="I251" s="6">
        <v>46038.8</v>
      </c>
      <c r="J251" s="6">
        <v>46038.806944444441</v>
      </c>
      <c r="K251" s="6">
        <v>46038.8125</v>
      </c>
      <c r="L251">
        <v>1.83</v>
      </c>
      <c r="M251" s="6">
        <v>46038.819444444445</v>
      </c>
      <c r="N251">
        <f t="shared" si="3"/>
        <v>17</v>
      </c>
    </row>
    <row r="252" spans="2:14" x14ac:dyDescent="0.25">
      <c r="B252">
        <v>233</v>
      </c>
      <c r="C252" t="s">
        <v>29</v>
      </c>
      <c r="D252">
        <v>1</v>
      </c>
      <c r="E252" t="s">
        <v>34</v>
      </c>
      <c r="F252" s="6">
        <v>46038.579861111109</v>
      </c>
      <c r="G252" s="6">
        <v>46038.583333333336</v>
      </c>
      <c r="H252" s="6">
        <v>46038.590277777781</v>
      </c>
      <c r="I252" s="6">
        <v>46038.756944444445</v>
      </c>
      <c r="J252" s="6">
        <v>46038.763888888891</v>
      </c>
      <c r="K252" s="6">
        <v>46038.788194444445</v>
      </c>
      <c r="L252">
        <v>5</v>
      </c>
      <c r="M252" s="6">
        <v>46038.795138888891</v>
      </c>
      <c r="N252">
        <f t="shared" si="3"/>
        <v>13</v>
      </c>
    </row>
    <row r="253" spans="2:14" x14ac:dyDescent="0.25">
      <c r="B253">
        <v>234</v>
      </c>
      <c r="C253" t="s">
        <v>33</v>
      </c>
      <c r="D253">
        <v>1</v>
      </c>
      <c r="E253" t="s">
        <v>34</v>
      </c>
      <c r="F253" s="6">
        <v>46039.645833333336</v>
      </c>
      <c r="G253" s="6">
        <v>46039.652777777781</v>
      </c>
      <c r="H253" s="6">
        <v>46039.659722222219</v>
      </c>
      <c r="I253" s="6">
        <v>46039.722222222219</v>
      </c>
      <c r="J253" s="6">
        <v>46039.729166666664</v>
      </c>
      <c r="K253" s="6">
        <v>46039.732638888891</v>
      </c>
      <c r="L253">
        <v>2.08</v>
      </c>
      <c r="M253" s="6">
        <v>46039.739583333336</v>
      </c>
      <c r="N253">
        <f t="shared" si="3"/>
        <v>15</v>
      </c>
    </row>
    <row r="254" spans="2:14" x14ac:dyDescent="0.25">
      <c r="B254">
        <v>235</v>
      </c>
      <c r="C254" t="s">
        <v>29</v>
      </c>
      <c r="D254">
        <v>1</v>
      </c>
      <c r="E254" t="s">
        <v>30</v>
      </c>
      <c r="F254" s="6">
        <v>46038.629861111112</v>
      </c>
      <c r="G254" s="6">
        <v>46038.631944444445</v>
      </c>
      <c r="H254" s="6">
        <v>46038.635416666664</v>
      </c>
      <c r="I254" s="6">
        <v>46038.659722222219</v>
      </c>
      <c r="J254" s="6">
        <v>46038.666666666664</v>
      </c>
      <c r="K254" s="6">
        <v>46038.668055555558</v>
      </c>
      <c r="L254">
        <v>0.92</v>
      </c>
      <c r="M254" s="6">
        <v>46038.675000000003</v>
      </c>
      <c r="N254">
        <f t="shared" si="3"/>
        <v>15</v>
      </c>
    </row>
    <row r="255" spans="2:14" x14ac:dyDescent="0.25">
      <c r="B255">
        <v>236</v>
      </c>
      <c r="C255" t="s">
        <v>33</v>
      </c>
      <c r="D255">
        <v>1</v>
      </c>
      <c r="E255" t="s">
        <v>36</v>
      </c>
      <c r="F255" s="6">
        <v>46041.291666666664</v>
      </c>
      <c r="G255" s="6">
        <v>46041.354166666664</v>
      </c>
      <c r="H255" s="6">
        <v>46041.381944444445</v>
      </c>
      <c r="I255" s="6">
        <v>46041.5</v>
      </c>
      <c r="J255" s="6">
        <v>46041.506944444445</v>
      </c>
      <c r="K255" s="6">
        <v>46041.520833333336</v>
      </c>
      <c r="L255">
        <v>5.5</v>
      </c>
      <c r="M255" s="6">
        <v>46041.527777777781</v>
      </c>
      <c r="N255">
        <f t="shared" si="3"/>
        <v>7</v>
      </c>
    </row>
    <row r="256" spans="2:14" x14ac:dyDescent="0.25">
      <c r="B256">
        <v>237</v>
      </c>
      <c r="C256" t="s">
        <v>33</v>
      </c>
      <c r="D256">
        <v>1</v>
      </c>
      <c r="E256" t="s">
        <v>35</v>
      </c>
      <c r="F256" s="6">
        <v>46041.291666666664</v>
      </c>
      <c r="G256" s="6">
        <v>46041.333333333336</v>
      </c>
      <c r="H256" s="6">
        <v>46041.354166666664</v>
      </c>
      <c r="I256" s="6">
        <v>46041.534722222219</v>
      </c>
      <c r="J256" s="6">
        <v>46041.541666666664</v>
      </c>
      <c r="K256" s="6">
        <v>46041.555555555555</v>
      </c>
      <c r="L256">
        <v>6.33</v>
      </c>
      <c r="M256" s="6">
        <v>46041.559027777781</v>
      </c>
      <c r="N256">
        <f t="shared" si="3"/>
        <v>7</v>
      </c>
    </row>
    <row r="257" spans="2:14" x14ac:dyDescent="0.25">
      <c r="B257">
        <v>238</v>
      </c>
      <c r="C257" t="s">
        <v>33</v>
      </c>
      <c r="D257">
        <v>1</v>
      </c>
      <c r="E257" t="s">
        <v>30</v>
      </c>
      <c r="F257" s="6">
        <v>46038.854166666664</v>
      </c>
      <c r="G257" s="6">
        <v>46038.864583333336</v>
      </c>
      <c r="H257" s="6">
        <v>46038.875</v>
      </c>
      <c r="I257" s="6">
        <v>46038.979166666664</v>
      </c>
      <c r="J257" s="6">
        <v>46038.982638888891</v>
      </c>
      <c r="K257" s="6">
        <v>46038.98333333333</v>
      </c>
      <c r="L257">
        <v>3.1</v>
      </c>
      <c r="M257" s="6">
        <v>46038.984027777777</v>
      </c>
      <c r="N257">
        <f t="shared" si="3"/>
        <v>20</v>
      </c>
    </row>
    <row r="258" spans="2:14" x14ac:dyDescent="0.25">
      <c r="B258">
        <v>239</v>
      </c>
      <c r="C258" t="s">
        <v>29</v>
      </c>
      <c r="D258">
        <v>1</v>
      </c>
      <c r="E258" t="s">
        <v>30</v>
      </c>
      <c r="F258" s="6">
        <v>46038.923611111109</v>
      </c>
      <c r="G258" s="6">
        <v>46038.951388888891</v>
      </c>
      <c r="H258" s="6">
        <v>46038.961805555555</v>
      </c>
      <c r="I258" s="6">
        <v>46039.010416666664</v>
      </c>
      <c r="J258" s="6">
        <v>46039.013194444444</v>
      </c>
      <c r="K258" s="6">
        <v>46039.013888888891</v>
      </c>
      <c r="L258">
        <v>2.17</v>
      </c>
      <c r="M258" s="6">
        <v>46039.015277777777</v>
      </c>
      <c r="N258">
        <f t="shared" si="3"/>
        <v>22</v>
      </c>
    </row>
    <row r="259" spans="2:14" x14ac:dyDescent="0.25">
      <c r="B259">
        <v>240</v>
      </c>
      <c r="C259" t="s">
        <v>29</v>
      </c>
      <c r="D259">
        <v>1</v>
      </c>
      <c r="E259" t="s">
        <v>30</v>
      </c>
      <c r="F259" s="6">
        <v>46038.847222222219</v>
      </c>
      <c r="G259" s="6">
        <v>46038.850694444445</v>
      </c>
      <c r="H259" s="6">
        <v>46038.857638888891</v>
      </c>
      <c r="I259" s="6">
        <v>46038.892361111109</v>
      </c>
      <c r="J259" s="6">
        <v>46038.899305555555</v>
      </c>
      <c r="K259" s="6">
        <v>46038.902777777781</v>
      </c>
      <c r="L259">
        <v>1.33</v>
      </c>
      <c r="M259" s="6">
        <v>46038.90347222222</v>
      </c>
      <c r="N259">
        <f t="shared" si="3"/>
        <v>20</v>
      </c>
    </row>
    <row r="260" spans="2:14" x14ac:dyDescent="0.25">
      <c r="B260">
        <v>241</v>
      </c>
      <c r="C260" t="s">
        <v>29</v>
      </c>
      <c r="D260">
        <v>1</v>
      </c>
      <c r="E260" t="s">
        <v>35</v>
      </c>
      <c r="F260" s="6">
        <v>46039.347222222219</v>
      </c>
      <c r="G260" s="6">
        <v>46039.349305555559</v>
      </c>
      <c r="H260" s="6">
        <v>46039.357638888891</v>
      </c>
      <c r="I260" s="6">
        <v>46039.375</v>
      </c>
      <c r="J260" s="6">
        <v>46039.381944444445</v>
      </c>
      <c r="K260" s="6">
        <v>46039.388888888891</v>
      </c>
      <c r="L260">
        <v>1</v>
      </c>
      <c r="M260" s="6">
        <v>46039.395833333336</v>
      </c>
      <c r="N260">
        <f t="shared" si="3"/>
        <v>8</v>
      </c>
    </row>
    <row r="261" spans="2:14" x14ac:dyDescent="0.25">
      <c r="B261">
        <v>242</v>
      </c>
      <c r="C261" t="s">
        <v>33</v>
      </c>
      <c r="D261">
        <v>1</v>
      </c>
      <c r="E261" t="s">
        <v>30</v>
      </c>
      <c r="F261" s="6">
        <v>46039.368055555555</v>
      </c>
      <c r="G261" s="6">
        <v>46039.382638888892</v>
      </c>
      <c r="H261" s="6">
        <v>46039.395833333336</v>
      </c>
      <c r="I261" s="6">
        <v>46039.604166666664</v>
      </c>
      <c r="J261" s="6">
        <v>46039.625</v>
      </c>
      <c r="K261" s="6">
        <v>46039.652777777781</v>
      </c>
      <c r="L261">
        <v>6.83</v>
      </c>
      <c r="M261" s="6">
        <v>46039.659722222219</v>
      </c>
      <c r="N261">
        <f t="shared" si="3"/>
        <v>8</v>
      </c>
    </row>
    <row r="262" spans="2:14" x14ac:dyDescent="0.25">
      <c r="B262">
        <v>243</v>
      </c>
      <c r="C262" t="s">
        <v>31</v>
      </c>
      <c r="D262">
        <v>1</v>
      </c>
      <c r="E262" t="s">
        <v>34</v>
      </c>
      <c r="F262" s="6">
        <v>46039.489583333336</v>
      </c>
      <c r="G262" s="6">
        <v>46039.493055555555</v>
      </c>
      <c r="H262" s="6">
        <v>46039.503472222219</v>
      </c>
      <c r="I262" s="6">
        <v>46039.517361111109</v>
      </c>
      <c r="J262" s="6">
        <v>46039.520833333336</v>
      </c>
      <c r="K262" s="6">
        <v>46039.524305555555</v>
      </c>
      <c r="L262">
        <v>0.83</v>
      </c>
      <c r="M262" s="6">
        <v>46039.527777777781</v>
      </c>
      <c r="N262">
        <f t="shared" si="3"/>
        <v>11</v>
      </c>
    </row>
    <row r="263" spans="2:14" x14ac:dyDescent="0.25">
      <c r="B263">
        <v>244</v>
      </c>
      <c r="C263" t="s">
        <v>33</v>
      </c>
      <c r="D263">
        <v>1</v>
      </c>
      <c r="E263" t="s">
        <v>36</v>
      </c>
      <c r="F263" s="6">
        <v>46041.5</v>
      </c>
      <c r="G263" s="6">
        <v>46041.506944444445</v>
      </c>
      <c r="H263" s="6">
        <v>46041.520833333336</v>
      </c>
      <c r="I263" s="6">
        <v>46041.558333333334</v>
      </c>
      <c r="J263" s="6">
        <v>46041.56527777778</v>
      </c>
      <c r="K263" s="6">
        <v>46041.569444444445</v>
      </c>
      <c r="L263">
        <v>1.67</v>
      </c>
      <c r="M263" s="6">
        <v>46041.576388888891</v>
      </c>
      <c r="N263">
        <f t="shared" si="3"/>
        <v>12</v>
      </c>
    </row>
    <row r="264" spans="2:14" x14ac:dyDescent="0.25">
      <c r="B264">
        <v>245</v>
      </c>
      <c r="C264" t="s">
        <v>31</v>
      </c>
      <c r="D264">
        <v>1</v>
      </c>
      <c r="E264" t="s">
        <v>34</v>
      </c>
      <c r="F264" s="6">
        <v>46041.486111111109</v>
      </c>
      <c r="G264" s="6">
        <v>46041.5</v>
      </c>
      <c r="H264" s="6">
        <v>46041.520833333336</v>
      </c>
      <c r="I264" s="6">
        <v>46041.544444444444</v>
      </c>
      <c r="J264" s="6">
        <v>46041.555555555555</v>
      </c>
      <c r="K264" s="6">
        <v>46041.6875</v>
      </c>
      <c r="L264">
        <v>4.83</v>
      </c>
      <c r="M264" s="6">
        <v>46041.694444444445</v>
      </c>
      <c r="N264">
        <f t="shared" si="3"/>
        <v>11</v>
      </c>
    </row>
    <row r="265" spans="2:14" x14ac:dyDescent="0.25">
      <c r="B265">
        <v>246</v>
      </c>
      <c r="C265" t="s">
        <v>31</v>
      </c>
      <c r="D265">
        <v>1</v>
      </c>
      <c r="E265" t="s">
        <v>30</v>
      </c>
      <c r="F265" s="6">
        <v>46040.670138888891</v>
      </c>
      <c r="G265" s="6">
        <v>46040.682638888888</v>
      </c>
      <c r="H265" s="6">
        <v>46040.689583333333</v>
      </c>
      <c r="I265" s="6">
        <v>46040.746527777781</v>
      </c>
      <c r="J265" s="6">
        <v>46040.75</v>
      </c>
      <c r="K265" s="6">
        <v>46040.750694444447</v>
      </c>
      <c r="L265">
        <v>1.93</v>
      </c>
      <c r="M265" s="6">
        <v>46040.751388888886</v>
      </c>
      <c r="N265">
        <f t="shared" si="3"/>
        <v>16</v>
      </c>
    </row>
    <row r="266" spans="2:14" x14ac:dyDescent="0.25">
      <c r="B266">
        <v>247</v>
      </c>
      <c r="C266" t="s">
        <v>31</v>
      </c>
      <c r="D266">
        <v>1</v>
      </c>
      <c r="E266" t="s">
        <v>35</v>
      </c>
      <c r="F266" s="6">
        <v>46040.569444444445</v>
      </c>
      <c r="G266" s="6">
        <v>46040.590277777781</v>
      </c>
      <c r="H266" s="6">
        <v>46040.614583333336</v>
      </c>
      <c r="I266" s="6">
        <v>46040.663194444445</v>
      </c>
      <c r="J266" s="6">
        <v>46040.670138888891</v>
      </c>
      <c r="K266" s="6">
        <v>46040.677083333336</v>
      </c>
      <c r="L266">
        <v>2.58</v>
      </c>
      <c r="M266" s="6">
        <v>46040.684027777781</v>
      </c>
      <c r="N266">
        <f t="shared" si="3"/>
        <v>13</v>
      </c>
    </row>
    <row r="267" spans="2:14" x14ac:dyDescent="0.25">
      <c r="B267">
        <v>248</v>
      </c>
      <c r="C267" t="s">
        <v>29</v>
      </c>
      <c r="D267">
        <v>1</v>
      </c>
      <c r="E267" t="s">
        <v>34</v>
      </c>
      <c r="F267" s="6">
        <v>46039.868055555555</v>
      </c>
      <c r="G267" s="6">
        <v>46039.871527777781</v>
      </c>
      <c r="H267" s="6">
        <v>46039.875</v>
      </c>
      <c r="I267" s="6">
        <v>46039.911111111112</v>
      </c>
      <c r="J267" s="6">
        <v>46039.916666666664</v>
      </c>
      <c r="K267" s="6">
        <v>46039.917361111111</v>
      </c>
      <c r="L267">
        <v>1.18</v>
      </c>
      <c r="M267" s="6">
        <v>46039.924305555556</v>
      </c>
      <c r="N267">
        <f t="shared" si="3"/>
        <v>20</v>
      </c>
    </row>
    <row r="268" spans="2:14" x14ac:dyDescent="0.25">
      <c r="B268">
        <v>249</v>
      </c>
      <c r="C268" t="s">
        <v>29</v>
      </c>
      <c r="D268">
        <v>1</v>
      </c>
      <c r="E268" t="s">
        <v>30</v>
      </c>
      <c r="F268" s="6">
        <v>46040.375</v>
      </c>
      <c r="G268" s="6">
        <v>46040.378472222219</v>
      </c>
      <c r="H268" s="6">
        <v>46040.402777777781</v>
      </c>
      <c r="I268" s="6">
        <v>46040.430555555555</v>
      </c>
      <c r="J268" s="6">
        <v>46040.434027777781</v>
      </c>
      <c r="K268" s="6">
        <v>46040.440972222219</v>
      </c>
      <c r="L268">
        <v>1.58</v>
      </c>
      <c r="M268" s="6">
        <v>46040.454861111109</v>
      </c>
      <c r="N268">
        <f t="shared" si="3"/>
        <v>9</v>
      </c>
    </row>
    <row r="269" spans="2:14" x14ac:dyDescent="0.25">
      <c r="B269">
        <v>250</v>
      </c>
      <c r="C269" t="s">
        <v>29</v>
      </c>
      <c r="D269">
        <v>1</v>
      </c>
      <c r="E269" t="s">
        <v>35</v>
      </c>
      <c r="F269" s="6">
        <v>46040.440972222219</v>
      </c>
      <c r="G269" s="6">
        <v>46040.446527777778</v>
      </c>
      <c r="H269" s="6">
        <v>46040.459722222222</v>
      </c>
      <c r="I269" s="6">
        <v>46040.479166666664</v>
      </c>
      <c r="J269" s="6">
        <v>46040.482638888891</v>
      </c>
      <c r="K269" s="6">
        <v>46040.496527777781</v>
      </c>
      <c r="L269">
        <v>1.33</v>
      </c>
      <c r="M269" s="6">
        <v>46040.503472222219</v>
      </c>
      <c r="N269">
        <f t="shared" si="3"/>
        <v>10</v>
      </c>
    </row>
    <row r="270" spans="2:14" x14ac:dyDescent="0.25">
      <c r="B270">
        <v>251</v>
      </c>
      <c r="C270" t="s">
        <v>29</v>
      </c>
      <c r="D270">
        <v>1</v>
      </c>
      <c r="E270" t="s">
        <v>30</v>
      </c>
      <c r="F270" s="6">
        <v>46040.496527777781</v>
      </c>
      <c r="G270" s="6">
        <v>46040.506944444445</v>
      </c>
      <c r="H270" s="6">
        <v>46040.520833333336</v>
      </c>
      <c r="I270" s="6">
        <v>46040.569444444445</v>
      </c>
      <c r="J270" s="6">
        <v>46040.576388888891</v>
      </c>
      <c r="K270" s="6">
        <v>46040.583333333336</v>
      </c>
      <c r="L270">
        <v>2.08</v>
      </c>
      <c r="M270" s="6">
        <v>46040.590277777781</v>
      </c>
      <c r="N270">
        <f t="shared" si="3"/>
        <v>11</v>
      </c>
    </row>
    <row r="271" spans="2:14" x14ac:dyDescent="0.25">
      <c r="B271">
        <v>252</v>
      </c>
      <c r="C271" t="s">
        <v>31</v>
      </c>
      <c r="D271">
        <v>1</v>
      </c>
      <c r="E271" t="s">
        <v>32</v>
      </c>
      <c r="F271" s="6">
        <v>46041.28125</v>
      </c>
      <c r="G271" s="6">
        <v>46041.322916666664</v>
      </c>
      <c r="H271" s="6">
        <v>46041.347222222219</v>
      </c>
      <c r="I271" s="6">
        <v>46041.420138888891</v>
      </c>
      <c r="J271" s="6">
        <v>46041.427083333336</v>
      </c>
      <c r="K271" s="6">
        <v>46041.444444444445</v>
      </c>
      <c r="L271">
        <v>3.92</v>
      </c>
      <c r="M271" s="6">
        <v>46041.451388888891</v>
      </c>
      <c r="N271">
        <f t="shared" si="3"/>
        <v>6</v>
      </c>
    </row>
    <row r="272" spans="2:14" x14ac:dyDescent="0.25">
      <c r="B272">
        <v>253</v>
      </c>
      <c r="C272" t="s">
        <v>29</v>
      </c>
      <c r="D272">
        <v>1</v>
      </c>
      <c r="E272" t="s">
        <v>30</v>
      </c>
      <c r="F272" s="6">
        <v>46041.425694444442</v>
      </c>
      <c r="G272" s="6">
        <v>46041.427083333336</v>
      </c>
      <c r="H272" s="6">
        <v>46041.430555555555</v>
      </c>
      <c r="I272" s="6">
        <v>46041.452777777777</v>
      </c>
      <c r="J272" s="6">
        <v>46041.459722222222</v>
      </c>
      <c r="K272" s="6">
        <v>46041.461805555555</v>
      </c>
      <c r="L272">
        <v>0.87</v>
      </c>
      <c r="M272" s="6">
        <v>46041.46875</v>
      </c>
      <c r="N272">
        <f t="shared" si="3"/>
        <v>10</v>
      </c>
    </row>
    <row r="273" spans="2:14" x14ac:dyDescent="0.25">
      <c r="B273">
        <v>254</v>
      </c>
      <c r="C273" t="s">
        <v>33</v>
      </c>
      <c r="D273">
        <v>1</v>
      </c>
      <c r="E273" t="s">
        <v>30</v>
      </c>
      <c r="F273" s="6">
        <v>46041.291666666664</v>
      </c>
      <c r="G273" s="6">
        <v>46041.333333333336</v>
      </c>
      <c r="H273" s="6">
        <v>46041.347222222219</v>
      </c>
      <c r="I273" s="6">
        <v>46041.384722222225</v>
      </c>
      <c r="J273" s="6">
        <v>46041.39166666667</v>
      </c>
      <c r="K273" s="6">
        <v>46041.395833333336</v>
      </c>
      <c r="L273">
        <v>2.5</v>
      </c>
      <c r="M273" s="6">
        <v>46041.399305555555</v>
      </c>
      <c r="N273">
        <f t="shared" si="3"/>
        <v>7</v>
      </c>
    </row>
    <row r="274" spans="2:14" x14ac:dyDescent="0.25">
      <c r="B274">
        <v>255</v>
      </c>
      <c r="C274" t="s">
        <v>33</v>
      </c>
      <c r="D274">
        <v>1</v>
      </c>
      <c r="E274" t="s">
        <v>32</v>
      </c>
      <c r="F274" s="6">
        <v>46041.486111111109</v>
      </c>
      <c r="G274" s="6">
        <v>46041.493055555555</v>
      </c>
      <c r="H274" s="6">
        <v>46041.503472222219</v>
      </c>
      <c r="I274" s="6">
        <v>46041.541666666664</v>
      </c>
      <c r="J274" s="6">
        <v>46041.548611111109</v>
      </c>
      <c r="K274" s="6">
        <v>46041.5625</v>
      </c>
      <c r="L274">
        <v>1.83</v>
      </c>
      <c r="M274" s="6">
        <v>46041.569444444445</v>
      </c>
      <c r="N274">
        <f t="shared" si="3"/>
        <v>11</v>
      </c>
    </row>
    <row r="275" spans="2:14" x14ac:dyDescent="0.25">
      <c r="B275">
        <v>256</v>
      </c>
      <c r="C275" t="s">
        <v>33</v>
      </c>
      <c r="D275">
        <v>1</v>
      </c>
      <c r="E275" t="s">
        <v>34</v>
      </c>
      <c r="F275" s="6">
        <v>46041.375</v>
      </c>
      <c r="G275" s="6">
        <v>46041.388888888891</v>
      </c>
      <c r="H275" s="6">
        <v>46041.395833333336</v>
      </c>
      <c r="I275" s="6">
        <v>46041.416666666664</v>
      </c>
      <c r="J275" s="6">
        <v>46041.420138888891</v>
      </c>
      <c r="K275" s="6">
        <v>46041.423611111109</v>
      </c>
      <c r="L275">
        <v>1.17</v>
      </c>
      <c r="M275" s="6">
        <v>46041.430555555555</v>
      </c>
      <c r="N275">
        <f t="shared" si="3"/>
        <v>9</v>
      </c>
    </row>
    <row r="276" spans="2:14" x14ac:dyDescent="0.25">
      <c r="B276">
        <v>257</v>
      </c>
      <c r="C276" t="s">
        <v>33</v>
      </c>
      <c r="D276">
        <v>1</v>
      </c>
      <c r="E276" t="s">
        <v>30</v>
      </c>
      <c r="F276" s="6">
        <v>46040.746527777781</v>
      </c>
      <c r="G276" s="6">
        <v>46040.753472222219</v>
      </c>
      <c r="H276" s="6">
        <v>46040.763888888891</v>
      </c>
      <c r="I276" s="6">
        <v>46040.78125</v>
      </c>
      <c r="J276" s="6">
        <v>46040.784722222219</v>
      </c>
      <c r="K276" s="6">
        <v>46040.788194444445</v>
      </c>
      <c r="L276">
        <v>1</v>
      </c>
      <c r="M276" s="6">
        <v>46040.788888888892</v>
      </c>
      <c r="N276">
        <f t="shared" si="3"/>
        <v>17</v>
      </c>
    </row>
    <row r="277" spans="2:14" x14ac:dyDescent="0.25">
      <c r="B277">
        <v>258</v>
      </c>
      <c r="C277" t="s">
        <v>29</v>
      </c>
      <c r="D277">
        <v>1</v>
      </c>
      <c r="E277" t="s">
        <v>30</v>
      </c>
      <c r="F277" s="6">
        <v>46040.822916666664</v>
      </c>
      <c r="G277" s="6">
        <v>46040.835416666669</v>
      </c>
      <c r="H277" s="6">
        <v>46040.854166666664</v>
      </c>
      <c r="I277" s="6">
        <v>46040.919444444444</v>
      </c>
      <c r="J277" s="6">
        <v>46040.930555555555</v>
      </c>
      <c r="K277" s="6">
        <v>46040.972222222219</v>
      </c>
      <c r="L277">
        <v>3.58</v>
      </c>
      <c r="M277" s="6">
        <v>46040.975694444445</v>
      </c>
      <c r="N277">
        <f t="shared" ref="N277:N340" si="4">HOUR(F277)</f>
        <v>19</v>
      </c>
    </row>
    <row r="278" spans="2:14" x14ac:dyDescent="0.25">
      <c r="B278">
        <v>259</v>
      </c>
      <c r="C278" t="s">
        <v>33</v>
      </c>
      <c r="D278">
        <v>1</v>
      </c>
      <c r="E278" t="s">
        <v>30</v>
      </c>
      <c r="F278" s="6">
        <v>46040.993055555555</v>
      </c>
      <c r="G278" s="6">
        <v>46041</v>
      </c>
      <c r="H278" s="6">
        <v>46041.010416666664</v>
      </c>
      <c r="I278" s="6">
        <v>46041.034722222219</v>
      </c>
      <c r="J278" s="6">
        <v>46041.041666666664</v>
      </c>
      <c r="K278" s="6">
        <v>46041.042361111111</v>
      </c>
      <c r="L278">
        <v>1.18</v>
      </c>
      <c r="M278" s="6">
        <v>46041.049305555556</v>
      </c>
      <c r="N278">
        <f t="shared" si="4"/>
        <v>23</v>
      </c>
    </row>
    <row r="279" spans="2:14" x14ac:dyDescent="0.25">
      <c r="B279">
        <v>260</v>
      </c>
      <c r="C279" t="s">
        <v>33</v>
      </c>
      <c r="D279">
        <v>1</v>
      </c>
      <c r="E279" t="s">
        <v>30</v>
      </c>
      <c r="F279" s="6">
        <v>46041.041666666664</v>
      </c>
      <c r="G279" s="6">
        <v>46041.048611111109</v>
      </c>
      <c r="H279" s="6">
        <v>46041.052083333336</v>
      </c>
      <c r="I279" s="6">
        <v>46041.069444444445</v>
      </c>
      <c r="J279" s="6">
        <v>46041.072916666664</v>
      </c>
      <c r="K279" s="6">
        <v>46041.073611111111</v>
      </c>
      <c r="L279">
        <v>0.77</v>
      </c>
      <c r="M279" s="6">
        <v>46041.074305555558</v>
      </c>
      <c r="N279">
        <f t="shared" si="4"/>
        <v>1</v>
      </c>
    </row>
    <row r="280" spans="2:14" x14ac:dyDescent="0.25">
      <c r="B280">
        <v>261</v>
      </c>
      <c r="C280" t="s">
        <v>33</v>
      </c>
      <c r="D280">
        <v>1</v>
      </c>
      <c r="E280" t="s">
        <v>30</v>
      </c>
      <c r="F280" s="6">
        <v>46041.715277777781</v>
      </c>
      <c r="G280" s="6">
        <v>46041.729166666664</v>
      </c>
      <c r="H280" s="6">
        <v>46041.743055555555</v>
      </c>
      <c r="I280" s="6">
        <v>46041.795138888891</v>
      </c>
      <c r="J280" s="6">
        <v>46041.805555555555</v>
      </c>
      <c r="K280" s="6">
        <v>46041.819444444445</v>
      </c>
      <c r="L280">
        <v>2.5</v>
      </c>
      <c r="M280" s="6">
        <v>46041.826388888891</v>
      </c>
      <c r="N280">
        <f t="shared" si="4"/>
        <v>17</v>
      </c>
    </row>
    <row r="281" spans="2:14" x14ac:dyDescent="0.25">
      <c r="B281">
        <v>262</v>
      </c>
      <c r="C281" t="s">
        <v>33</v>
      </c>
      <c r="D281">
        <v>1</v>
      </c>
      <c r="E281" t="s">
        <v>30</v>
      </c>
      <c r="F281" s="6">
        <v>46041.628472222219</v>
      </c>
      <c r="G281" s="6">
        <v>46041.631944444445</v>
      </c>
      <c r="H281" s="6">
        <v>46041.659722222219</v>
      </c>
      <c r="I281" s="6">
        <v>46041.685416666667</v>
      </c>
      <c r="J281" s="6">
        <v>46041.692361111112</v>
      </c>
      <c r="K281" s="6">
        <v>46041.694444444445</v>
      </c>
      <c r="L281">
        <v>1.58</v>
      </c>
      <c r="M281" s="6">
        <v>46041.701388888891</v>
      </c>
      <c r="N281">
        <f t="shared" si="4"/>
        <v>15</v>
      </c>
    </row>
    <row r="282" spans="2:14" x14ac:dyDescent="0.25">
      <c r="B282">
        <v>263</v>
      </c>
      <c r="C282" t="s">
        <v>29</v>
      </c>
      <c r="D282">
        <v>1</v>
      </c>
      <c r="E282" t="s">
        <v>30</v>
      </c>
      <c r="F282" s="6">
        <v>46041.590277777781</v>
      </c>
      <c r="G282" s="6">
        <v>46041.604166666664</v>
      </c>
      <c r="H282" s="6">
        <v>46041.625</v>
      </c>
      <c r="I282" s="6">
        <v>46041.649305555555</v>
      </c>
      <c r="J282" s="6">
        <v>46041.65625</v>
      </c>
      <c r="K282" s="6">
        <v>46041.659722222219</v>
      </c>
      <c r="L282">
        <v>1.67</v>
      </c>
      <c r="M282" s="6">
        <v>46041.666666666664</v>
      </c>
      <c r="N282">
        <f t="shared" si="4"/>
        <v>14</v>
      </c>
    </row>
    <row r="283" spans="2:14" x14ac:dyDescent="0.25">
      <c r="B283">
        <v>264</v>
      </c>
      <c r="C283" t="s">
        <v>33</v>
      </c>
      <c r="D283">
        <v>1</v>
      </c>
      <c r="E283" t="s">
        <v>36</v>
      </c>
      <c r="F283" s="6">
        <v>46041.579861111109</v>
      </c>
      <c r="G283" s="6">
        <v>46041.586805555555</v>
      </c>
      <c r="H283" s="6">
        <v>46041.6875</v>
      </c>
      <c r="I283" s="6">
        <v>46041.847222222219</v>
      </c>
      <c r="J283" s="6">
        <v>46041.854166666664</v>
      </c>
      <c r="K283" s="6">
        <v>46041.859027777777</v>
      </c>
      <c r="L283">
        <v>6.7</v>
      </c>
      <c r="M283" s="6">
        <v>46041.865972222222</v>
      </c>
      <c r="N283">
        <f t="shared" si="4"/>
        <v>13</v>
      </c>
    </row>
    <row r="284" spans="2:14" x14ac:dyDescent="0.25">
      <c r="B284">
        <v>265</v>
      </c>
      <c r="C284" t="s">
        <v>31</v>
      </c>
      <c r="D284">
        <v>1</v>
      </c>
      <c r="E284" t="s">
        <v>36</v>
      </c>
      <c r="F284" s="6">
        <v>46041.579861111109</v>
      </c>
      <c r="G284" s="6">
        <v>46041.586805555555</v>
      </c>
      <c r="H284" s="6">
        <v>46041.6875</v>
      </c>
      <c r="I284" s="6">
        <v>46041.847222222219</v>
      </c>
      <c r="J284" s="6">
        <v>46041.854166666664</v>
      </c>
      <c r="K284" s="6">
        <v>46041.859027777777</v>
      </c>
      <c r="L284">
        <v>6.7</v>
      </c>
      <c r="M284" s="6">
        <v>46041.865972222222</v>
      </c>
      <c r="N284">
        <f t="shared" si="4"/>
        <v>13</v>
      </c>
    </row>
    <row r="285" spans="2:14" x14ac:dyDescent="0.25">
      <c r="B285">
        <v>266</v>
      </c>
      <c r="C285" t="s">
        <v>33</v>
      </c>
      <c r="D285">
        <v>2</v>
      </c>
      <c r="E285" t="s">
        <v>32</v>
      </c>
      <c r="F285" s="6">
        <v>46041.618055555555</v>
      </c>
      <c r="G285" s="6">
        <v>46041.638888888891</v>
      </c>
      <c r="H285" s="6">
        <v>46041.65625</v>
      </c>
      <c r="I285" s="6">
        <v>46041.82708333333</v>
      </c>
      <c r="J285" s="6">
        <v>46041.834027777775</v>
      </c>
      <c r="K285" s="6">
        <v>46041.892361111109</v>
      </c>
      <c r="L285">
        <v>6.58</v>
      </c>
      <c r="M285" s="6">
        <v>46041.899305555555</v>
      </c>
      <c r="N285">
        <f t="shared" si="4"/>
        <v>14</v>
      </c>
    </row>
    <row r="286" spans="2:14" x14ac:dyDescent="0.25">
      <c r="B286">
        <v>267</v>
      </c>
      <c r="C286" t="s">
        <v>31</v>
      </c>
      <c r="D286">
        <v>1</v>
      </c>
      <c r="E286" t="s">
        <v>34</v>
      </c>
      <c r="F286" s="6">
        <v>46042.569444444445</v>
      </c>
      <c r="G286" s="6">
        <v>46042.590277777781</v>
      </c>
      <c r="H286" s="6">
        <v>46042.618055555555</v>
      </c>
      <c r="I286" s="6">
        <v>46042.722222222219</v>
      </c>
      <c r="J286" s="6">
        <v>46042.743055555555</v>
      </c>
      <c r="K286" s="6">
        <v>46042.75</v>
      </c>
      <c r="L286">
        <v>4.33</v>
      </c>
      <c r="M286" s="6">
        <v>46042.753472222219</v>
      </c>
      <c r="N286">
        <f t="shared" si="4"/>
        <v>13</v>
      </c>
    </row>
    <row r="287" spans="2:14" x14ac:dyDescent="0.25">
      <c r="B287">
        <v>268</v>
      </c>
      <c r="C287" t="s">
        <v>29</v>
      </c>
      <c r="D287">
        <v>1</v>
      </c>
      <c r="E287" t="s">
        <v>30</v>
      </c>
      <c r="F287" s="6">
        <v>46042.284722222219</v>
      </c>
      <c r="G287" s="6">
        <v>46042.319444444445</v>
      </c>
      <c r="H287" s="6">
        <v>46042.326388888891</v>
      </c>
      <c r="I287" s="6">
        <v>46042.34375</v>
      </c>
      <c r="J287" s="6">
        <v>46042.350694444445</v>
      </c>
      <c r="K287" s="6">
        <v>46042.402777777781</v>
      </c>
      <c r="L287">
        <v>2.83</v>
      </c>
      <c r="M287" s="6">
        <v>46042.409722222219</v>
      </c>
      <c r="N287">
        <f t="shared" si="4"/>
        <v>6</v>
      </c>
    </row>
    <row r="288" spans="2:14" x14ac:dyDescent="0.25">
      <c r="B288">
        <v>269</v>
      </c>
      <c r="C288" t="s">
        <v>31</v>
      </c>
      <c r="D288">
        <v>1</v>
      </c>
      <c r="E288" t="s">
        <v>36</v>
      </c>
      <c r="F288" s="6">
        <v>46042.694444444445</v>
      </c>
      <c r="G288" s="6">
        <v>46042.706250000003</v>
      </c>
      <c r="H288" s="6">
        <v>46042.765277777777</v>
      </c>
      <c r="I288" s="6">
        <v>46042.856249999997</v>
      </c>
      <c r="J288" s="6">
        <v>46042.864583333336</v>
      </c>
      <c r="K288" s="6">
        <v>46042.875</v>
      </c>
      <c r="L288">
        <v>4.33</v>
      </c>
      <c r="M288" s="6">
        <v>46042.881944444445</v>
      </c>
      <c r="N288">
        <f t="shared" si="4"/>
        <v>16</v>
      </c>
    </row>
    <row r="289" spans="2:14" x14ac:dyDescent="0.25">
      <c r="B289">
        <v>270</v>
      </c>
      <c r="C289" t="s">
        <v>29</v>
      </c>
      <c r="D289">
        <v>1</v>
      </c>
      <c r="E289" t="s">
        <v>35</v>
      </c>
      <c r="F289" s="6">
        <v>46042.482638888891</v>
      </c>
      <c r="G289" s="6">
        <v>46042.5</v>
      </c>
      <c r="H289" s="6">
        <v>46042.541666666664</v>
      </c>
      <c r="I289" s="6">
        <v>46042.611111111109</v>
      </c>
      <c r="J289" s="6">
        <v>46042.625</v>
      </c>
      <c r="K289" s="6">
        <v>46042.635416666664</v>
      </c>
      <c r="L289">
        <v>3.67</v>
      </c>
      <c r="M289" s="6">
        <v>46042.642361111109</v>
      </c>
      <c r="N289">
        <f t="shared" si="4"/>
        <v>11</v>
      </c>
    </row>
    <row r="290" spans="2:14" x14ac:dyDescent="0.25">
      <c r="B290">
        <v>271</v>
      </c>
      <c r="C290" t="s">
        <v>29</v>
      </c>
      <c r="D290">
        <v>1</v>
      </c>
      <c r="E290" t="s">
        <v>37</v>
      </c>
      <c r="F290" s="6">
        <v>46042.25</v>
      </c>
      <c r="G290" s="6">
        <v>46042.256944444445</v>
      </c>
      <c r="H290" s="6">
        <v>46042.260416666664</v>
      </c>
      <c r="I290" s="6">
        <v>46042.267361111109</v>
      </c>
      <c r="J290" s="6">
        <v>46042.274305555555</v>
      </c>
      <c r="K290" s="6">
        <v>46042.291666666664</v>
      </c>
      <c r="L290">
        <v>1</v>
      </c>
      <c r="M290" s="6">
        <v>46042.298611111109</v>
      </c>
      <c r="N290">
        <f t="shared" si="4"/>
        <v>6</v>
      </c>
    </row>
    <row r="291" spans="2:14" x14ac:dyDescent="0.25">
      <c r="B291">
        <v>272</v>
      </c>
      <c r="C291" t="s">
        <v>29</v>
      </c>
      <c r="D291">
        <v>1</v>
      </c>
      <c r="E291" t="s">
        <v>30</v>
      </c>
      <c r="F291" s="6">
        <v>46042.65625</v>
      </c>
      <c r="G291" s="6">
        <v>46042.673611111109</v>
      </c>
      <c r="H291" s="6">
        <v>46042.694444444445</v>
      </c>
      <c r="I291" s="6">
        <v>46042.861111111109</v>
      </c>
      <c r="J291" s="6">
        <v>46042.875</v>
      </c>
      <c r="K291" s="6">
        <v>46042.875694444447</v>
      </c>
      <c r="L291">
        <v>5.27</v>
      </c>
      <c r="M291" s="6">
        <v>46042.876388888886</v>
      </c>
      <c r="N291">
        <f t="shared" si="4"/>
        <v>15</v>
      </c>
    </row>
    <row r="292" spans="2:14" x14ac:dyDescent="0.25">
      <c r="B292">
        <v>273</v>
      </c>
      <c r="C292" t="s">
        <v>29</v>
      </c>
      <c r="D292">
        <v>1</v>
      </c>
      <c r="E292" t="s">
        <v>35</v>
      </c>
      <c r="F292" s="6">
        <v>46042.315972222219</v>
      </c>
      <c r="G292" s="6">
        <v>46042.340277777781</v>
      </c>
      <c r="H292" s="6">
        <v>46042.369444444441</v>
      </c>
      <c r="I292" s="6">
        <v>46042.449305555558</v>
      </c>
      <c r="J292" s="6">
        <v>46042.456944444442</v>
      </c>
      <c r="K292" s="6">
        <v>46042.458333333336</v>
      </c>
      <c r="L292">
        <v>3.42</v>
      </c>
      <c r="M292" s="6">
        <v>46042.461805555555</v>
      </c>
      <c r="N292">
        <f t="shared" si="4"/>
        <v>7</v>
      </c>
    </row>
    <row r="293" spans="2:14" x14ac:dyDescent="0.25">
      <c r="B293">
        <v>274</v>
      </c>
      <c r="C293" t="s">
        <v>29</v>
      </c>
      <c r="D293">
        <v>1</v>
      </c>
      <c r="E293" t="s">
        <v>30</v>
      </c>
      <c r="F293" s="6">
        <v>46042.46875</v>
      </c>
      <c r="G293" s="6">
        <v>46042.479166666664</v>
      </c>
      <c r="H293" s="6">
        <v>46042.5</v>
      </c>
      <c r="I293" s="6">
        <v>46042.595833333333</v>
      </c>
      <c r="J293" s="6">
        <v>46042.602777777778</v>
      </c>
      <c r="K293" s="6">
        <v>46042.611111111109</v>
      </c>
      <c r="L293">
        <v>3.42</v>
      </c>
      <c r="M293" s="6">
        <v>46042.618055555555</v>
      </c>
      <c r="N293">
        <f t="shared" si="4"/>
        <v>11</v>
      </c>
    </row>
    <row r="294" spans="2:14" x14ac:dyDescent="0.25">
      <c r="B294">
        <v>275</v>
      </c>
      <c r="C294" t="s">
        <v>31</v>
      </c>
      <c r="D294">
        <v>1</v>
      </c>
      <c r="E294" t="s">
        <v>34</v>
      </c>
      <c r="F294" s="6">
        <v>46042.468055555553</v>
      </c>
      <c r="G294" s="6">
        <v>46042.475694444445</v>
      </c>
      <c r="H294" s="6">
        <v>46042.486111111109</v>
      </c>
      <c r="I294" s="6">
        <v>46042.5</v>
      </c>
      <c r="J294" s="6">
        <v>46042.506944444445</v>
      </c>
      <c r="K294" s="6">
        <v>46042.517361111109</v>
      </c>
      <c r="L294">
        <v>1.18</v>
      </c>
      <c r="M294" s="6">
        <v>46042.524305555555</v>
      </c>
      <c r="N294">
        <f t="shared" si="4"/>
        <v>11</v>
      </c>
    </row>
    <row r="295" spans="2:14" x14ac:dyDescent="0.25">
      <c r="B295">
        <v>276</v>
      </c>
      <c r="C295" t="s">
        <v>33</v>
      </c>
      <c r="D295">
        <v>1</v>
      </c>
      <c r="E295" t="s">
        <v>32</v>
      </c>
      <c r="F295" s="6">
        <v>46042.4375</v>
      </c>
      <c r="G295" s="6">
        <v>46042.444444444445</v>
      </c>
      <c r="H295" s="6">
        <v>46042.451388888891</v>
      </c>
      <c r="I295" s="6">
        <v>46042.46875</v>
      </c>
      <c r="J295" s="6">
        <v>46042.475694444445</v>
      </c>
      <c r="K295" s="6">
        <v>46042.492361111108</v>
      </c>
      <c r="L295">
        <v>1.32</v>
      </c>
      <c r="M295" s="6">
        <v>46042.493055555555</v>
      </c>
      <c r="N295">
        <f t="shared" si="4"/>
        <v>10</v>
      </c>
    </row>
    <row r="296" spans="2:14" x14ac:dyDescent="0.25">
      <c r="B296">
        <v>277</v>
      </c>
      <c r="C296" t="s">
        <v>33</v>
      </c>
      <c r="D296">
        <v>1</v>
      </c>
      <c r="E296" t="s">
        <v>32</v>
      </c>
      <c r="F296" s="6">
        <v>46042.686111111114</v>
      </c>
      <c r="G296" s="6">
        <v>46042.690972222219</v>
      </c>
      <c r="H296" s="6">
        <v>46042.708333333336</v>
      </c>
      <c r="I296" s="6">
        <v>46042.729166666664</v>
      </c>
      <c r="J296" s="6">
        <v>46042.736111111109</v>
      </c>
      <c r="K296" s="6">
        <v>46042.743055555555</v>
      </c>
      <c r="L296">
        <v>1.37</v>
      </c>
      <c r="M296" s="6">
        <v>46042.745833333334</v>
      </c>
      <c r="N296">
        <f t="shared" si="4"/>
        <v>16</v>
      </c>
    </row>
    <row r="297" spans="2:14" x14ac:dyDescent="0.25">
      <c r="B297">
        <v>278</v>
      </c>
      <c r="C297" t="s">
        <v>33</v>
      </c>
      <c r="D297">
        <v>1</v>
      </c>
      <c r="E297" t="s">
        <v>35</v>
      </c>
      <c r="F297" s="6">
        <v>46042.288194444445</v>
      </c>
      <c r="G297" s="6">
        <v>46042.3125</v>
      </c>
      <c r="H297" s="6">
        <v>46042.347222222219</v>
      </c>
      <c r="I297" s="6">
        <v>46042.430555555555</v>
      </c>
      <c r="J297" s="6">
        <v>46042.434027777781</v>
      </c>
      <c r="K297" s="6">
        <v>46042.444444444445</v>
      </c>
      <c r="L297">
        <v>3.75</v>
      </c>
      <c r="M297" s="6">
        <v>46042.447916666664</v>
      </c>
      <c r="N297">
        <f t="shared" si="4"/>
        <v>6</v>
      </c>
    </row>
    <row r="298" spans="2:14" x14ac:dyDescent="0.25">
      <c r="B298">
        <v>279</v>
      </c>
      <c r="C298" t="s">
        <v>31</v>
      </c>
      <c r="D298">
        <v>1</v>
      </c>
      <c r="E298" t="s">
        <v>30</v>
      </c>
      <c r="F298" s="6">
        <v>46042.378472222219</v>
      </c>
      <c r="G298" s="6">
        <v>46042.388888888891</v>
      </c>
      <c r="H298" s="6">
        <v>46042.409722222219</v>
      </c>
      <c r="I298" s="6">
        <v>46042.43472222222</v>
      </c>
      <c r="J298" s="6">
        <v>46042.4375</v>
      </c>
      <c r="K298" s="6">
        <v>46042.659722222219</v>
      </c>
      <c r="L298">
        <v>6.75</v>
      </c>
      <c r="M298" s="6">
        <v>46042.666666666664</v>
      </c>
      <c r="N298">
        <f t="shared" si="4"/>
        <v>9</v>
      </c>
    </row>
    <row r="299" spans="2:14" x14ac:dyDescent="0.25">
      <c r="B299">
        <v>280</v>
      </c>
      <c r="C299" t="s">
        <v>31</v>
      </c>
      <c r="D299">
        <v>1</v>
      </c>
      <c r="E299" t="s">
        <v>35</v>
      </c>
      <c r="F299" s="6">
        <v>46042.670138888891</v>
      </c>
      <c r="G299" s="6">
        <v>46042.6875</v>
      </c>
      <c r="H299" s="6">
        <v>46042.701388888891</v>
      </c>
      <c r="I299" s="6">
        <v>46042.805555555555</v>
      </c>
      <c r="J299" s="6">
        <v>46042.809027777781</v>
      </c>
      <c r="K299" s="6">
        <v>46042.8125</v>
      </c>
      <c r="L299">
        <v>3.42</v>
      </c>
      <c r="M299" s="6">
        <v>46042.815972222219</v>
      </c>
      <c r="N299">
        <f t="shared" si="4"/>
        <v>16</v>
      </c>
    </row>
    <row r="300" spans="2:14" x14ac:dyDescent="0.25">
      <c r="B300">
        <v>281</v>
      </c>
      <c r="C300" t="s">
        <v>31</v>
      </c>
      <c r="D300">
        <v>1</v>
      </c>
      <c r="E300" t="s">
        <v>32</v>
      </c>
      <c r="F300" s="6">
        <v>46042.534722222219</v>
      </c>
      <c r="G300" s="6">
        <v>46042.548611111109</v>
      </c>
      <c r="H300" s="6">
        <v>46042.559027777781</v>
      </c>
      <c r="I300" s="6">
        <v>46042.611111111109</v>
      </c>
      <c r="J300" s="6">
        <v>46042.625</v>
      </c>
      <c r="K300" s="6">
        <v>46042.642361111109</v>
      </c>
      <c r="L300">
        <v>2.58</v>
      </c>
      <c r="M300" s="6">
        <v>46042.644444444442</v>
      </c>
      <c r="N300">
        <f t="shared" si="4"/>
        <v>12</v>
      </c>
    </row>
    <row r="301" spans="2:14" x14ac:dyDescent="0.25">
      <c r="B301">
        <v>282</v>
      </c>
      <c r="C301" t="s">
        <v>29</v>
      </c>
      <c r="D301">
        <v>1</v>
      </c>
      <c r="E301" t="s">
        <v>37</v>
      </c>
      <c r="F301" s="6">
        <v>46044.291666666664</v>
      </c>
      <c r="G301" s="6">
        <v>46044.319444444445</v>
      </c>
      <c r="H301" s="6">
        <v>46044.340277777781</v>
      </c>
      <c r="I301" s="6">
        <v>46044.422222222223</v>
      </c>
      <c r="J301" s="6">
        <v>46044.429166666669</v>
      </c>
      <c r="K301" s="6">
        <v>46044.430555555555</v>
      </c>
      <c r="L301">
        <v>3.33</v>
      </c>
      <c r="M301" s="6">
        <v>46044.4375</v>
      </c>
      <c r="N301">
        <f t="shared" si="4"/>
        <v>7</v>
      </c>
    </row>
    <row r="302" spans="2:14" x14ac:dyDescent="0.25">
      <c r="B302">
        <v>283</v>
      </c>
      <c r="C302" t="s">
        <v>29</v>
      </c>
      <c r="D302">
        <v>1</v>
      </c>
      <c r="E302" t="s">
        <v>34</v>
      </c>
      <c r="F302" s="6">
        <v>46056.334722222222</v>
      </c>
      <c r="G302" s="6">
        <v>46056.34375</v>
      </c>
      <c r="H302" s="6">
        <v>46056.371527777781</v>
      </c>
      <c r="I302" s="6">
        <v>46056.409722222219</v>
      </c>
      <c r="J302" s="6">
        <v>46056.416666666664</v>
      </c>
      <c r="K302" s="6">
        <v>46056.423611111109</v>
      </c>
      <c r="L302">
        <v>2.13</v>
      </c>
      <c r="M302" s="6">
        <v>46056.430555555555</v>
      </c>
      <c r="N302">
        <f t="shared" si="4"/>
        <v>8</v>
      </c>
    </row>
    <row r="303" spans="2:14" x14ac:dyDescent="0.25">
      <c r="B303">
        <v>284</v>
      </c>
      <c r="C303" t="s">
        <v>29</v>
      </c>
      <c r="D303">
        <v>1</v>
      </c>
      <c r="E303" t="s">
        <v>36</v>
      </c>
      <c r="F303" s="6">
        <v>46043.600694444445</v>
      </c>
      <c r="G303" s="6">
        <v>46043.604166666664</v>
      </c>
      <c r="H303" s="6">
        <v>46043.638888888891</v>
      </c>
      <c r="I303" s="6">
        <v>46043.71875</v>
      </c>
      <c r="J303" s="6">
        <v>46043.725694444445</v>
      </c>
      <c r="K303" s="6">
        <v>46043.729166666664</v>
      </c>
      <c r="L303">
        <v>3.08</v>
      </c>
      <c r="M303" s="6">
        <v>46043.736111111109</v>
      </c>
      <c r="N303">
        <f t="shared" si="4"/>
        <v>14</v>
      </c>
    </row>
    <row r="304" spans="2:14" x14ac:dyDescent="0.25">
      <c r="B304">
        <v>285</v>
      </c>
      <c r="C304" t="s">
        <v>31</v>
      </c>
      <c r="D304">
        <v>1</v>
      </c>
      <c r="E304" t="s">
        <v>32</v>
      </c>
      <c r="F304" s="6">
        <v>46043.319444444445</v>
      </c>
      <c r="G304" s="6">
        <v>46043.333333333336</v>
      </c>
      <c r="H304" s="6">
        <v>46043.354166666664</v>
      </c>
      <c r="I304" s="6">
        <v>46043.395833333336</v>
      </c>
      <c r="J304" s="6">
        <v>46043.402777777781</v>
      </c>
      <c r="K304" s="6">
        <v>46043.423611111109</v>
      </c>
      <c r="L304">
        <v>2.5</v>
      </c>
      <c r="M304" s="6">
        <v>46043.430555555555</v>
      </c>
      <c r="N304">
        <f t="shared" si="4"/>
        <v>7</v>
      </c>
    </row>
    <row r="305" spans="2:14" x14ac:dyDescent="0.25">
      <c r="B305">
        <v>286</v>
      </c>
      <c r="C305" t="s">
        <v>29</v>
      </c>
      <c r="D305">
        <v>1</v>
      </c>
      <c r="E305" t="s">
        <v>32</v>
      </c>
      <c r="F305" s="6">
        <v>46056.333333333336</v>
      </c>
      <c r="G305" s="6">
        <v>46056.336805555555</v>
      </c>
      <c r="H305" s="6">
        <v>46056.34375</v>
      </c>
      <c r="I305" s="6">
        <v>46056.373611111114</v>
      </c>
      <c r="J305" s="6">
        <v>46056.375</v>
      </c>
      <c r="K305" s="6">
        <v>46056.377083333333</v>
      </c>
      <c r="L305">
        <v>1.05</v>
      </c>
      <c r="M305" s="6">
        <v>46056.37777777778</v>
      </c>
      <c r="N305">
        <f t="shared" si="4"/>
        <v>8</v>
      </c>
    </row>
    <row r="306" spans="2:14" x14ac:dyDescent="0.25">
      <c r="B306">
        <v>287</v>
      </c>
      <c r="C306" t="s">
        <v>31</v>
      </c>
      <c r="D306">
        <v>1</v>
      </c>
      <c r="E306" t="s">
        <v>35</v>
      </c>
      <c r="F306" s="6">
        <v>46043.583333333336</v>
      </c>
      <c r="G306" s="6">
        <v>46043.590277777781</v>
      </c>
      <c r="H306" s="6">
        <v>46043.597222222219</v>
      </c>
      <c r="I306" s="6">
        <v>46043.625</v>
      </c>
      <c r="J306" s="6">
        <v>46043.631944444445</v>
      </c>
      <c r="K306" s="6">
        <v>46043.638888888891</v>
      </c>
      <c r="L306">
        <v>1.33</v>
      </c>
      <c r="M306" s="6">
        <v>46043.645833333336</v>
      </c>
      <c r="N306">
        <f t="shared" si="4"/>
        <v>14</v>
      </c>
    </row>
    <row r="307" spans="2:14" x14ac:dyDescent="0.25">
      <c r="B307">
        <v>288</v>
      </c>
      <c r="C307" t="s">
        <v>31</v>
      </c>
      <c r="D307">
        <v>1</v>
      </c>
      <c r="E307" t="s">
        <v>35</v>
      </c>
      <c r="F307" s="6">
        <v>46043.290277777778</v>
      </c>
      <c r="G307" s="6">
        <v>46043.340277777781</v>
      </c>
      <c r="H307" s="6">
        <v>46043.357638888891</v>
      </c>
      <c r="I307" s="6">
        <v>46043.378472222219</v>
      </c>
      <c r="J307" s="6">
        <v>46043.385416666664</v>
      </c>
      <c r="K307" s="6">
        <v>46043.388888888891</v>
      </c>
      <c r="L307">
        <v>2.37</v>
      </c>
      <c r="M307" s="6">
        <v>46043.395833333336</v>
      </c>
      <c r="N307">
        <f t="shared" si="4"/>
        <v>6</v>
      </c>
    </row>
    <row r="308" spans="2:14" x14ac:dyDescent="0.25">
      <c r="B308">
        <v>289</v>
      </c>
      <c r="C308" t="s">
        <v>31</v>
      </c>
      <c r="D308">
        <v>1</v>
      </c>
      <c r="E308" t="s">
        <v>30</v>
      </c>
      <c r="F308" s="6">
        <v>46043.298611111109</v>
      </c>
      <c r="G308" s="6">
        <v>46043.315972222219</v>
      </c>
      <c r="H308" s="6">
        <v>46043.354166666664</v>
      </c>
      <c r="I308" s="6">
        <v>46043.442361111112</v>
      </c>
      <c r="J308" s="6">
        <v>46043.458333333336</v>
      </c>
      <c r="K308" s="6">
        <v>46043.461805555555</v>
      </c>
      <c r="L308">
        <v>3.92</v>
      </c>
      <c r="M308" s="6">
        <v>46043.465277777781</v>
      </c>
      <c r="N308">
        <f t="shared" si="4"/>
        <v>7</v>
      </c>
    </row>
    <row r="309" spans="2:14" x14ac:dyDescent="0.25">
      <c r="B309">
        <v>290</v>
      </c>
      <c r="C309" t="s">
        <v>31</v>
      </c>
      <c r="D309">
        <v>1</v>
      </c>
      <c r="E309" t="s">
        <v>35</v>
      </c>
      <c r="F309" s="6">
        <v>46045.291666666664</v>
      </c>
      <c r="G309" s="6">
        <v>46045.333333333336</v>
      </c>
      <c r="H309" s="6">
        <v>46045.375</v>
      </c>
      <c r="I309" s="6">
        <v>46045.63958333333</v>
      </c>
      <c r="J309" s="6">
        <v>46045.694444444445</v>
      </c>
      <c r="K309" s="6">
        <v>46045.701388888891</v>
      </c>
      <c r="L309">
        <v>9.83</v>
      </c>
      <c r="M309" s="6">
        <v>46045.708333333336</v>
      </c>
      <c r="N309">
        <f t="shared" si="4"/>
        <v>7</v>
      </c>
    </row>
    <row r="310" spans="2:14" x14ac:dyDescent="0.25">
      <c r="B310">
        <v>291</v>
      </c>
      <c r="C310" t="s">
        <v>33</v>
      </c>
      <c r="D310">
        <v>1</v>
      </c>
      <c r="E310" t="s">
        <v>30</v>
      </c>
      <c r="F310" s="6">
        <v>46042.888888888891</v>
      </c>
      <c r="G310" s="6">
        <v>46042.895833333336</v>
      </c>
      <c r="H310" s="6">
        <v>46042.902777777781</v>
      </c>
      <c r="I310" s="6">
        <v>46042.931250000001</v>
      </c>
      <c r="J310" s="6">
        <v>46042.938194444447</v>
      </c>
      <c r="K310" s="6">
        <v>46042.940972222219</v>
      </c>
      <c r="L310">
        <v>1.25</v>
      </c>
      <c r="M310" s="6">
        <v>46042.947916666664</v>
      </c>
      <c r="N310">
        <f t="shared" si="4"/>
        <v>21</v>
      </c>
    </row>
    <row r="311" spans="2:14" x14ac:dyDescent="0.25">
      <c r="B311">
        <v>292</v>
      </c>
      <c r="C311" t="s">
        <v>31</v>
      </c>
      <c r="D311">
        <v>1</v>
      </c>
      <c r="E311" t="s">
        <v>34</v>
      </c>
      <c r="F311" s="6">
        <v>46042.913194444445</v>
      </c>
      <c r="G311" s="6">
        <v>46042.916666666664</v>
      </c>
      <c r="H311" s="6">
        <v>46042.923611111109</v>
      </c>
      <c r="I311" s="6">
        <v>46042.972222222219</v>
      </c>
      <c r="J311" s="6">
        <v>46042.993055555555</v>
      </c>
      <c r="K311" s="6">
        <v>46043.715277777781</v>
      </c>
      <c r="L311">
        <v>19.25</v>
      </c>
      <c r="M311" s="6">
        <v>46043.722222222219</v>
      </c>
      <c r="N311">
        <f t="shared" si="4"/>
        <v>21</v>
      </c>
    </row>
    <row r="312" spans="2:14" x14ac:dyDescent="0.25">
      <c r="B312">
        <v>293</v>
      </c>
      <c r="C312" t="s">
        <v>31</v>
      </c>
      <c r="D312">
        <v>1</v>
      </c>
      <c r="E312" t="s">
        <v>36</v>
      </c>
      <c r="F312" s="6">
        <v>46042.972222222219</v>
      </c>
      <c r="G312" s="6">
        <v>46042.979166666664</v>
      </c>
      <c r="H312" s="6">
        <v>46042.989583333336</v>
      </c>
      <c r="I312" s="6">
        <v>46043.0625</v>
      </c>
      <c r="J312" s="6">
        <v>46043.090277777781</v>
      </c>
      <c r="K312" s="6">
        <v>46043.416666666664</v>
      </c>
      <c r="L312">
        <v>10.67</v>
      </c>
      <c r="M312" s="6">
        <v>46043.423611111109</v>
      </c>
      <c r="N312">
        <f t="shared" si="4"/>
        <v>23</v>
      </c>
    </row>
    <row r="313" spans="2:14" x14ac:dyDescent="0.25">
      <c r="B313">
        <v>294</v>
      </c>
      <c r="C313" t="s">
        <v>33</v>
      </c>
      <c r="D313">
        <v>1</v>
      </c>
      <c r="E313" t="s">
        <v>30</v>
      </c>
      <c r="F313" s="6">
        <v>46042.940972222219</v>
      </c>
      <c r="G313" s="6">
        <v>46042.944444444445</v>
      </c>
      <c r="H313" s="6">
        <v>46042.958333333336</v>
      </c>
      <c r="I313" s="6">
        <v>46043.020833333336</v>
      </c>
      <c r="J313" s="6">
        <v>46043.041666666664</v>
      </c>
      <c r="K313" s="6">
        <v>46043.069444444445</v>
      </c>
      <c r="L313">
        <v>3.08</v>
      </c>
      <c r="M313" s="6">
        <v>46043.076388888891</v>
      </c>
      <c r="N313">
        <f t="shared" si="4"/>
        <v>22</v>
      </c>
    </row>
    <row r="314" spans="2:14" x14ac:dyDescent="0.25">
      <c r="B314">
        <v>295</v>
      </c>
      <c r="C314" t="s">
        <v>33</v>
      </c>
      <c r="D314">
        <v>1</v>
      </c>
      <c r="E314" t="s">
        <v>35</v>
      </c>
      <c r="F314" s="6">
        <v>46043.434027777781</v>
      </c>
      <c r="G314" s="6">
        <v>46043.4375</v>
      </c>
      <c r="H314" s="6">
        <v>46043.472222222219</v>
      </c>
      <c r="I314" s="6">
        <v>46043.506944444445</v>
      </c>
      <c r="J314" s="6">
        <v>46043.513888888891</v>
      </c>
      <c r="K314" s="6">
        <v>46043.520833333336</v>
      </c>
      <c r="L314">
        <v>2.08</v>
      </c>
      <c r="M314" s="6">
        <v>46043.527777777781</v>
      </c>
      <c r="N314">
        <f t="shared" si="4"/>
        <v>10</v>
      </c>
    </row>
    <row r="315" spans="2:14" x14ac:dyDescent="0.25">
      <c r="B315">
        <v>296</v>
      </c>
      <c r="C315" t="s">
        <v>31</v>
      </c>
      <c r="D315">
        <v>1</v>
      </c>
      <c r="E315" t="s">
        <v>36</v>
      </c>
      <c r="F315" s="6">
        <v>46043.447916666664</v>
      </c>
      <c r="G315" s="6">
        <v>46043.454861111109</v>
      </c>
      <c r="H315" s="6">
        <v>46043.46875</v>
      </c>
      <c r="I315" s="6">
        <v>46043.534722222219</v>
      </c>
      <c r="J315" s="6">
        <v>46043.538194444445</v>
      </c>
      <c r="K315" s="6">
        <v>46043.545138888891</v>
      </c>
      <c r="L315">
        <v>2.33</v>
      </c>
      <c r="M315" s="6">
        <v>46043.552083333336</v>
      </c>
      <c r="N315">
        <f t="shared" si="4"/>
        <v>10</v>
      </c>
    </row>
    <row r="316" spans="2:14" x14ac:dyDescent="0.25">
      <c r="B316">
        <v>297</v>
      </c>
      <c r="C316" t="s">
        <v>33</v>
      </c>
      <c r="D316">
        <v>1</v>
      </c>
      <c r="E316" t="s">
        <v>30</v>
      </c>
      <c r="F316" s="6">
        <v>46043.75</v>
      </c>
      <c r="G316" s="6">
        <v>46043.756944444445</v>
      </c>
      <c r="H316" s="6">
        <v>46043.760416666664</v>
      </c>
      <c r="I316" s="6">
        <v>46043.767361111109</v>
      </c>
      <c r="J316" s="6">
        <v>46043.774305555555</v>
      </c>
      <c r="K316" s="6">
        <v>46043.802083333336</v>
      </c>
      <c r="L316">
        <v>1.25</v>
      </c>
      <c r="M316" s="6">
        <v>46043.803472222222</v>
      </c>
      <c r="N316">
        <f t="shared" si="4"/>
        <v>18</v>
      </c>
    </row>
    <row r="317" spans="2:14" x14ac:dyDescent="0.25">
      <c r="B317">
        <v>298</v>
      </c>
      <c r="C317" t="s">
        <v>29</v>
      </c>
      <c r="D317">
        <v>1</v>
      </c>
      <c r="E317" t="s">
        <v>32</v>
      </c>
      <c r="F317" s="6">
        <v>46043.482638888891</v>
      </c>
      <c r="G317" s="6">
        <v>46043.5</v>
      </c>
      <c r="H317" s="6">
        <v>46043.520833333336</v>
      </c>
      <c r="I317" s="6">
        <v>46043.541666666664</v>
      </c>
      <c r="J317" s="6">
        <v>46043.548611111109</v>
      </c>
      <c r="K317" s="6">
        <v>46043.5625</v>
      </c>
      <c r="L317">
        <v>1.92</v>
      </c>
      <c r="M317" s="6">
        <v>46043.569444444445</v>
      </c>
      <c r="N317">
        <f t="shared" si="4"/>
        <v>11</v>
      </c>
    </row>
    <row r="318" spans="2:14" x14ac:dyDescent="0.25">
      <c r="B318">
        <v>299</v>
      </c>
      <c r="C318" t="s">
        <v>29</v>
      </c>
      <c r="D318">
        <v>1</v>
      </c>
      <c r="E318" t="s">
        <v>30</v>
      </c>
      <c r="F318" s="6">
        <v>46043.506944444445</v>
      </c>
      <c r="G318" s="6">
        <v>46043.513888888891</v>
      </c>
      <c r="H318" s="6">
        <v>46043.541666666664</v>
      </c>
      <c r="I318" s="6">
        <v>46043.684027777781</v>
      </c>
      <c r="J318" s="6">
        <v>46043.690972222219</v>
      </c>
      <c r="K318" s="6">
        <v>46043.694444444445</v>
      </c>
      <c r="L318">
        <v>4.5</v>
      </c>
      <c r="M318" s="6">
        <v>46043.701388888891</v>
      </c>
      <c r="N318">
        <f t="shared" si="4"/>
        <v>12</v>
      </c>
    </row>
    <row r="319" spans="2:14" x14ac:dyDescent="0.25">
      <c r="B319">
        <v>300</v>
      </c>
      <c r="C319" t="s">
        <v>31</v>
      </c>
      <c r="D319">
        <v>1</v>
      </c>
      <c r="E319" t="s">
        <v>32</v>
      </c>
      <c r="F319" s="6">
        <v>46044.402777777781</v>
      </c>
      <c r="G319" s="6">
        <v>46044.4375</v>
      </c>
      <c r="H319" s="6">
        <v>46044.458333333336</v>
      </c>
      <c r="I319" s="6">
        <v>46044.513888888891</v>
      </c>
      <c r="J319" s="6">
        <v>46044.517361111109</v>
      </c>
      <c r="K319" s="6">
        <v>46044.520833333336</v>
      </c>
      <c r="L319">
        <v>2.83</v>
      </c>
      <c r="M319" s="6">
        <v>46044.521527777775</v>
      </c>
      <c r="N319">
        <f t="shared" si="4"/>
        <v>9</v>
      </c>
    </row>
    <row r="320" spans="2:14" x14ac:dyDescent="0.25">
      <c r="B320">
        <v>301</v>
      </c>
      <c r="C320" t="s">
        <v>33</v>
      </c>
      <c r="D320">
        <v>1</v>
      </c>
      <c r="E320" t="s">
        <v>30</v>
      </c>
      <c r="F320" s="6">
        <v>46044.611111111109</v>
      </c>
      <c r="G320" s="6">
        <v>46044.652777777781</v>
      </c>
      <c r="H320" s="6">
        <v>46044.666666666664</v>
      </c>
      <c r="I320" s="6">
        <v>46044.6875</v>
      </c>
      <c r="J320" s="6">
        <v>46044.694444444445</v>
      </c>
      <c r="K320" s="6">
        <v>46044.701388888891</v>
      </c>
      <c r="L320">
        <v>2.17</v>
      </c>
      <c r="M320" s="6">
        <v>46044.708333333336</v>
      </c>
      <c r="N320">
        <f t="shared" si="4"/>
        <v>14</v>
      </c>
    </row>
    <row r="321" spans="2:14" x14ac:dyDescent="0.25">
      <c r="B321">
        <v>302</v>
      </c>
      <c r="C321" t="s">
        <v>29</v>
      </c>
      <c r="D321">
        <v>1</v>
      </c>
      <c r="E321" t="s">
        <v>35</v>
      </c>
      <c r="F321" s="6">
        <v>46044.333333333336</v>
      </c>
      <c r="G321" s="6">
        <v>46044.336805555555</v>
      </c>
      <c r="H321" s="6">
        <v>46044.340277777781</v>
      </c>
      <c r="I321" s="6">
        <v>46044.347222222219</v>
      </c>
      <c r="J321" s="6">
        <v>46044.350694444445</v>
      </c>
      <c r="K321" s="6">
        <v>46044.361111111109</v>
      </c>
      <c r="L321">
        <v>0.67</v>
      </c>
      <c r="M321" s="6">
        <v>46044.368055555555</v>
      </c>
      <c r="N321">
        <f t="shared" si="4"/>
        <v>8</v>
      </c>
    </row>
    <row r="322" spans="2:14" x14ac:dyDescent="0.25">
      <c r="B322">
        <v>303</v>
      </c>
      <c r="C322" t="s">
        <v>33</v>
      </c>
      <c r="D322">
        <v>1</v>
      </c>
      <c r="E322" t="s">
        <v>34</v>
      </c>
      <c r="F322" s="6">
        <v>46044.380555555559</v>
      </c>
      <c r="G322" s="6">
        <v>46044.392361111109</v>
      </c>
      <c r="H322" s="6">
        <v>46044.427083333336</v>
      </c>
      <c r="I322" s="6">
        <v>46044.568749999999</v>
      </c>
      <c r="J322" s="6">
        <v>46044.575694444444</v>
      </c>
      <c r="K322" s="6">
        <v>46044.579861111109</v>
      </c>
      <c r="L322">
        <v>4.78</v>
      </c>
      <c r="M322" s="6">
        <v>46044.586805555555</v>
      </c>
      <c r="N322">
        <f t="shared" si="4"/>
        <v>9</v>
      </c>
    </row>
    <row r="323" spans="2:14" x14ac:dyDescent="0.25">
      <c r="B323">
        <v>304</v>
      </c>
      <c r="C323" t="s">
        <v>31</v>
      </c>
      <c r="D323">
        <v>1</v>
      </c>
      <c r="E323" t="s">
        <v>37</v>
      </c>
      <c r="F323" s="6">
        <v>46044.5625</v>
      </c>
      <c r="G323" s="6">
        <v>46044.569444444445</v>
      </c>
      <c r="H323" s="6">
        <v>46044.631944444445</v>
      </c>
      <c r="I323" s="6">
        <v>46044.71875</v>
      </c>
      <c r="J323" s="6">
        <v>46044.75</v>
      </c>
      <c r="K323" s="6">
        <v>46044.763888888891</v>
      </c>
      <c r="L323">
        <v>4.83</v>
      </c>
      <c r="M323" s="6">
        <v>46044.770833333336</v>
      </c>
      <c r="N323">
        <f t="shared" si="4"/>
        <v>13</v>
      </c>
    </row>
    <row r="324" spans="2:14" x14ac:dyDescent="0.25">
      <c r="B324">
        <v>305</v>
      </c>
      <c r="C324" t="s">
        <v>31</v>
      </c>
      <c r="D324">
        <v>1</v>
      </c>
      <c r="E324" t="s">
        <v>30</v>
      </c>
      <c r="F324" s="6">
        <v>46044.3125</v>
      </c>
      <c r="G324" s="6">
        <v>46044.333333333336</v>
      </c>
      <c r="H324" s="6">
        <v>46044.357638888891</v>
      </c>
      <c r="I324" s="6">
        <v>46044.472222222219</v>
      </c>
      <c r="J324" s="6">
        <v>46044.479166666664</v>
      </c>
      <c r="K324" s="6">
        <v>46044.493055555555</v>
      </c>
      <c r="L324">
        <v>4.33</v>
      </c>
      <c r="M324" s="6">
        <v>46044.5</v>
      </c>
      <c r="N324">
        <f t="shared" si="4"/>
        <v>7</v>
      </c>
    </row>
    <row r="325" spans="2:14" x14ac:dyDescent="0.25">
      <c r="B325">
        <v>306</v>
      </c>
      <c r="C325" t="s">
        <v>29</v>
      </c>
      <c r="D325">
        <v>1</v>
      </c>
      <c r="E325" t="s">
        <v>30</v>
      </c>
      <c r="F325" s="6">
        <v>46043.6875</v>
      </c>
      <c r="G325" s="6">
        <v>46043.694444444445</v>
      </c>
      <c r="H325" s="6">
        <v>46043.701388888891</v>
      </c>
      <c r="I325" s="6">
        <v>46043.71875</v>
      </c>
      <c r="J325" s="6">
        <v>46043.725694444445</v>
      </c>
      <c r="K325" s="6">
        <v>46043.732638888891</v>
      </c>
      <c r="L325">
        <v>1.08</v>
      </c>
      <c r="M325" s="6">
        <v>46043.739583333336</v>
      </c>
      <c r="N325">
        <f t="shared" si="4"/>
        <v>16</v>
      </c>
    </row>
    <row r="326" spans="2:14" x14ac:dyDescent="0.25">
      <c r="B326">
        <v>307</v>
      </c>
      <c r="C326" t="s">
        <v>33</v>
      </c>
      <c r="D326">
        <v>1</v>
      </c>
      <c r="E326" t="s">
        <v>35</v>
      </c>
      <c r="F326" s="6">
        <v>46044.638888888891</v>
      </c>
      <c r="G326" s="6">
        <v>46044.659722222219</v>
      </c>
      <c r="H326" s="6">
        <v>46044.684027777781</v>
      </c>
      <c r="I326" s="6">
        <v>46044.78402777778</v>
      </c>
      <c r="J326" s="6">
        <v>46044.798611111109</v>
      </c>
      <c r="K326" s="6">
        <v>46044.802083333336</v>
      </c>
      <c r="L326">
        <v>3.92</v>
      </c>
      <c r="M326" s="6">
        <v>46044.809027777781</v>
      </c>
      <c r="N326">
        <f t="shared" si="4"/>
        <v>15</v>
      </c>
    </row>
    <row r="327" spans="2:14" x14ac:dyDescent="0.25">
      <c r="B327">
        <v>308</v>
      </c>
      <c r="C327" t="s">
        <v>31</v>
      </c>
      <c r="D327">
        <v>1</v>
      </c>
      <c r="E327" t="s">
        <v>34</v>
      </c>
      <c r="F327" s="6">
        <v>46044.357638888891</v>
      </c>
      <c r="G327" s="6">
        <v>46044.364583333336</v>
      </c>
      <c r="H327" s="6">
        <v>46044.378472222219</v>
      </c>
      <c r="I327" s="6">
        <v>46044.486111111109</v>
      </c>
      <c r="J327" s="6">
        <v>46044.493055555555</v>
      </c>
      <c r="K327" s="6">
        <v>46044.506944444445</v>
      </c>
      <c r="L327">
        <v>3.58</v>
      </c>
      <c r="M327" s="6">
        <v>46044.513888888891</v>
      </c>
      <c r="N327">
        <f t="shared" si="4"/>
        <v>8</v>
      </c>
    </row>
    <row r="328" spans="2:14" x14ac:dyDescent="0.25">
      <c r="B328">
        <v>309</v>
      </c>
      <c r="C328" t="s">
        <v>29</v>
      </c>
      <c r="D328">
        <v>1</v>
      </c>
      <c r="E328" t="s">
        <v>30</v>
      </c>
      <c r="F328" s="6">
        <v>46044.552083333336</v>
      </c>
      <c r="G328" s="6">
        <v>46044.555555555555</v>
      </c>
      <c r="H328" s="6">
        <v>46044.576388888891</v>
      </c>
      <c r="I328" s="6">
        <v>46044.604166666664</v>
      </c>
      <c r="J328" s="6">
        <v>46044.611111111109</v>
      </c>
      <c r="K328" s="6">
        <v>46044.631944444445</v>
      </c>
      <c r="L328">
        <v>1.92</v>
      </c>
      <c r="M328" s="6">
        <v>46044.638888888891</v>
      </c>
      <c r="N328">
        <f t="shared" si="4"/>
        <v>13</v>
      </c>
    </row>
    <row r="329" spans="2:14" x14ac:dyDescent="0.25">
      <c r="B329">
        <v>310</v>
      </c>
      <c r="C329" t="s">
        <v>29</v>
      </c>
      <c r="D329">
        <v>1</v>
      </c>
      <c r="E329" t="s">
        <v>37</v>
      </c>
      <c r="F329" s="6">
        <v>46045.559027777781</v>
      </c>
      <c r="G329" s="6">
        <v>46045.590277777781</v>
      </c>
      <c r="H329" s="6">
        <v>46045.649305555555</v>
      </c>
      <c r="I329" s="6">
        <v>46045.781944444447</v>
      </c>
      <c r="J329" s="6">
        <v>46045.791666666664</v>
      </c>
      <c r="K329" s="6">
        <v>46045.893055555556</v>
      </c>
      <c r="L329">
        <v>8.02</v>
      </c>
      <c r="M329" s="6">
        <v>46045.9</v>
      </c>
      <c r="N329">
        <f t="shared" si="4"/>
        <v>13</v>
      </c>
    </row>
    <row r="330" spans="2:14" x14ac:dyDescent="0.25">
      <c r="B330">
        <v>311</v>
      </c>
      <c r="C330" t="s">
        <v>33</v>
      </c>
      <c r="D330">
        <v>1</v>
      </c>
      <c r="E330" t="s">
        <v>34</v>
      </c>
      <c r="F330" s="6">
        <v>46045.510416666664</v>
      </c>
      <c r="G330" s="6">
        <v>46045.517361111109</v>
      </c>
      <c r="H330" s="6">
        <v>46045.541666666664</v>
      </c>
      <c r="I330" s="6">
        <v>46045.652777777781</v>
      </c>
      <c r="J330" s="6">
        <v>46045.663194444445</v>
      </c>
      <c r="K330" s="6">
        <v>46045.673611111109</v>
      </c>
      <c r="L330">
        <v>3.92</v>
      </c>
      <c r="M330" s="6">
        <v>46045.680555555555</v>
      </c>
      <c r="N330">
        <f t="shared" si="4"/>
        <v>12</v>
      </c>
    </row>
    <row r="331" spans="2:14" x14ac:dyDescent="0.25">
      <c r="B331">
        <v>312</v>
      </c>
      <c r="C331" t="s">
        <v>31</v>
      </c>
      <c r="D331">
        <v>1</v>
      </c>
      <c r="E331" t="s">
        <v>36</v>
      </c>
      <c r="F331" s="6">
        <v>46045.291666666664</v>
      </c>
      <c r="G331" s="6">
        <v>46045.326388888891</v>
      </c>
      <c r="H331" s="6">
        <v>46045.356944444444</v>
      </c>
      <c r="I331" s="6">
        <v>46045.440972222219</v>
      </c>
      <c r="J331" s="6">
        <v>46045.447916666664</v>
      </c>
      <c r="K331" s="6">
        <v>46045.451388888891</v>
      </c>
      <c r="L331">
        <v>3.83</v>
      </c>
      <c r="M331" s="6">
        <v>46045.458333333336</v>
      </c>
      <c r="N331">
        <f t="shared" si="4"/>
        <v>7</v>
      </c>
    </row>
    <row r="332" spans="2:14" x14ac:dyDescent="0.25">
      <c r="B332">
        <v>313</v>
      </c>
      <c r="C332" t="s">
        <v>31</v>
      </c>
      <c r="D332">
        <v>1</v>
      </c>
      <c r="E332" t="s">
        <v>36</v>
      </c>
      <c r="F332" s="6">
        <v>46044.618055555555</v>
      </c>
      <c r="G332" s="6">
        <v>46044.621527777781</v>
      </c>
      <c r="H332" s="6">
        <v>46044.652777777781</v>
      </c>
      <c r="I332" s="6">
        <v>46044.708333333336</v>
      </c>
      <c r="J332" s="6">
        <v>46044.71875</v>
      </c>
      <c r="K332" s="6">
        <v>46044.756944444445</v>
      </c>
      <c r="L332">
        <v>3.33</v>
      </c>
      <c r="M332" s="6">
        <v>46044.760416666664</v>
      </c>
      <c r="N332">
        <f t="shared" si="4"/>
        <v>14</v>
      </c>
    </row>
    <row r="333" spans="2:14" x14ac:dyDescent="0.25">
      <c r="B333">
        <v>314</v>
      </c>
      <c r="C333" t="s">
        <v>33</v>
      </c>
      <c r="D333">
        <v>1</v>
      </c>
      <c r="E333" t="s">
        <v>32</v>
      </c>
      <c r="F333" s="6">
        <v>46045.288194444445</v>
      </c>
      <c r="G333" s="6">
        <v>46045.347222222219</v>
      </c>
      <c r="H333" s="6">
        <v>46045.356249999997</v>
      </c>
      <c r="I333" s="6">
        <v>46045.385416666664</v>
      </c>
      <c r="J333" s="6">
        <v>46045.388888888891</v>
      </c>
      <c r="K333" s="6">
        <v>46045.392361111109</v>
      </c>
      <c r="L333">
        <v>2.5</v>
      </c>
      <c r="M333" s="6">
        <v>46045.399305555555</v>
      </c>
      <c r="N333">
        <f t="shared" si="4"/>
        <v>6</v>
      </c>
    </row>
    <row r="334" spans="2:14" x14ac:dyDescent="0.25">
      <c r="B334">
        <v>315</v>
      </c>
      <c r="C334" t="s">
        <v>31</v>
      </c>
      <c r="D334">
        <v>1</v>
      </c>
      <c r="E334" t="s">
        <v>36</v>
      </c>
      <c r="F334" s="6">
        <v>46045.375</v>
      </c>
      <c r="G334" s="6">
        <v>46045.381944444445</v>
      </c>
      <c r="H334" s="6">
        <v>46045.385416666664</v>
      </c>
      <c r="I334" s="6">
        <v>46045.520833333336</v>
      </c>
      <c r="J334" s="6">
        <v>46045.527777777781</v>
      </c>
      <c r="K334" s="6">
        <v>46045.541666666664</v>
      </c>
      <c r="L334">
        <v>4</v>
      </c>
      <c r="M334" s="6">
        <v>46045.548611111109</v>
      </c>
      <c r="N334">
        <f t="shared" si="4"/>
        <v>9</v>
      </c>
    </row>
    <row r="335" spans="2:14" x14ac:dyDescent="0.25">
      <c r="B335">
        <v>316</v>
      </c>
      <c r="C335" t="s">
        <v>33</v>
      </c>
      <c r="D335">
        <v>1</v>
      </c>
      <c r="E335" t="s">
        <v>32</v>
      </c>
      <c r="F335" s="6">
        <v>46045.725694444445</v>
      </c>
      <c r="G335" s="6">
        <v>46045.756944444445</v>
      </c>
      <c r="H335" s="6">
        <v>46045.791666666664</v>
      </c>
      <c r="I335" s="6">
        <v>46045.952777777777</v>
      </c>
      <c r="J335" s="6">
        <v>46045.959722222222</v>
      </c>
      <c r="K335" s="6">
        <v>46046.038194444445</v>
      </c>
      <c r="L335">
        <v>7.5</v>
      </c>
      <c r="M335" s="6">
        <v>46046.045138888891</v>
      </c>
      <c r="N335">
        <f t="shared" si="4"/>
        <v>17</v>
      </c>
    </row>
    <row r="336" spans="2:14" x14ac:dyDescent="0.25">
      <c r="B336">
        <v>317</v>
      </c>
      <c r="C336" t="s">
        <v>29</v>
      </c>
      <c r="D336">
        <v>1</v>
      </c>
      <c r="E336" t="s">
        <v>34</v>
      </c>
      <c r="F336" s="6">
        <v>46045.333333333336</v>
      </c>
      <c r="G336" s="6">
        <v>46045.361111111109</v>
      </c>
      <c r="H336" s="6">
        <v>46045.371527777781</v>
      </c>
      <c r="I336" s="6">
        <v>46045.440972222219</v>
      </c>
      <c r="J336" s="6">
        <v>46045.447916666664</v>
      </c>
      <c r="K336" s="6">
        <v>46045.451388888891</v>
      </c>
      <c r="L336">
        <v>2.83</v>
      </c>
      <c r="M336" s="6">
        <v>46045.458333333336</v>
      </c>
      <c r="N336">
        <f t="shared" si="4"/>
        <v>8</v>
      </c>
    </row>
    <row r="337" spans="2:14" x14ac:dyDescent="0.25">
      <c r="B337">
        <v>318</v>
      </c>
      <c r="C337" t="s">
        <v>31</v>
      </c>
      <c r="D337">
        <v>1</v>
      </c>
      <c r="E337" t="s">
        <v>30</v>
      </c>
      <c r="F337" s="6">
        <v>46044.847222222219</v>
      </c>
      <c r="G337" s="6">
        <v>46044.854166666664</v>
      </c>
      <c r="H337" s="6">
        <v>46044.864583333336</v>
      </c>
      <c r="I337" s="6">
        <v>46044.923611111109</v>
      </c>
      <c r="J337" s="6">
        <v>46044.930555555555</v>
      </c>
      <c r="K337" s="6">
        <v>46044.94027777778</v>
      </c>
      <c r="L337">
        <v>2.23</v>
      </c>
      <c r="M337" s="6">
        <v>46044.947222222225</v>
      </c>
      <c r="N337">
        <f t="shared" si="4"/>
        <v>20</v>
      </c>
    </row>
    <row r="338" spans="2:14" x14ac:dyDescent="0.25">
      <c r="B338">
        <v>319</v>
      </c>
      <c r="C338" t="s">
        <v>33</v>
      </c>
      <c r="D338">
        <v>1</v>
      </c>
      <c r="E338" t="s">
        <v>30</v>
      </c>
      <c r="F338" s="6">
        <v>46044.927083333336</v>
      </c>
      <c r="G338" s="6">
        <v>46044.930555555555</v>
      </c>
      <c r="H338" s="6">
        <v>46044.934027777781</v>
      </c>
      <c r="I338" s="6">
        <v>46044.939583333333</v>
      </c>
      <c r="J338" s="6">
        <v>46044.946527777778</v>
      </c>
      <c r="K338" s="6">
        <v>46044.979166666664</v>
      </c>
      <c r="L338">
        <v>1.25</v>
      </c>
      <c r="M338" s="6">
        <v>46044.986111111109</v>
      </c>
      <c r="N338">
        <f t="shared" si="4"/>
        <v>22</v>
      </c>
    </row>
    <row r="339" spans="2:14" x14ac:dyDescent="0.25">
      <c r="B339">
        <v>320</v>
      </c>
      <c r="C339" t="s">
        <v>33</v>
      </c>
      <c r="D339">
        <v>1</v>
      </c>
      <c r="E339" t="s">
        <v>30</v>
      </c>
      <c r="F339" s="6">
        <v>46044.923611111109</v>
      </c>
      <c r="G339" s="6">
        <v>46044.930555555555</v>
      </c>
      <c r="H339" s="6">
        <v>46044.944444444445</v>
      </c>
      <c r="I339" s="6">
        <v>46044.982638888891</v>
      </c>
      <c r="J339" s="6">
        <v>46044.989583333336</v>
      </c>
      <c r="K339" s="6">
        <v>46044.990277777775</v>
      </c>
      <c r="L339">
        <v>1.6</v>
      </c>
      <c r="M339" s="6">
        <v>46044.990972222222</v>
      </c>
      <c r="N339">
        <f t="shared" si="4"/>
        <v>22</v>
      </c>
    </row>
    <row r="340" spans="2:14" x14ac:dyDescent="0.25">
      <c r="B340">
        <v>321</v>
      </c>
      <c r="C340" t="s">
        <v>31</v>
      </c>
      <c r="D340">
        <v>1</v>
      </c>
      <c r="E340" t="s">
        <v>36</v>
      </c>
      <c r="F340" s="6">
        <v>46045.493055555555</v>
      </c>
      <c r="G340" s="6">
        <v>46045.524305555555</v>
      </c>
      <c r="H340" s="6">
        <v>46045.548611111109</v>
      </c>
      <c r="I340" s="6">
        <v>46045.621527777781</v>
      </c>
      <c r="J340" s="6">
        <v>46045.628472222219</v>
      </c>
      <c r="K340" s="6">
        <v>46045.645833333336</v>
      </c>
      <c r="L340">
        <v>3.67</v>
      </c>
      <c r="M340" s="6">
        <v>46045.652777777781</v>
      </c>
      <c r="N340">
        <f t="shared" si="4"/>
        <v>11</v>
      </c>
    </row>
    <row r="341" spans="2:14" x14ac:dyDescent="0.25">
      <c r="B341">
        <v>322</v>
      </c>
      <c r="C341" t="s">
        <v>31</v>
      </c>
      <c r="D341">
        <v>1</v>
      </c>
      <c r="E341" t="s">
        <v>32</v>
      </c>
      <c r="F341" s="6">
        <v>46045.496527777781</v>
      </c>
      <c r="G341" s="6">
        <v>46045.503472222219</v>
      </c>
      <c r="H341" s="6">
        <v>46045.510416666664</v>
      </c>
      <c r="I341" s="6">
        <v>46045.59375</v>
      </c>
      <c r="J341" s="6">
        <v>46045.600694444445</v>
      </c>
      <c r="K341" s="6">
        <v>46045.673611111109</v>
      </c>
      <c r="L341">
        <v>4.25</v>
      </c>
      <c r="M341" s="6">
        <v>46045.680555555555</v>
      </c>
      <c r="N341">
        <f t="shared" ref="N341:N404" si="5">HOUR(F341)</f>
        <v>11</v>
      </c>
    </row>
    <row r="342" spans="2:14" x14ac:dyDescent="0.25">
      <c r="B342">
        <v>323</v>
      </c>
      <c r="C342" t="s">
        <v>31</v>
      </c>
      <c r="D342">
        <v>1</v>
      </c>
      <c r="E342" t="s">
        <v>36</v>
      </c>
      <c r="F342" s="6">
        <v>46045.739583333336</v>
      </c>
      <c r="G342" s="6">
        <v>46045.770833333336</v>
      </c>
      <c r="H342" s="6">
        <v>46045.777777777781</v>
      </c>
      <c r="I342" s="6">
        <v>46045.805555555555</v>
      </c>
      <c r="J342" s="6">
        <v>46045.8125</v>
      </c>
      <c r="K342" s="6">
        <v>46045.833333333336</v>
      </c>
      <c r="L342">
        <v>2.25</v>
      </c>
      <c r="M342" s="6">
        <v>46045.840277777781</v>
      </c>
      <c r="N342">
        <f t="shared" si="5"/>
        <v>17</v>
      </c>
    </row>
    <row r="343" spans="2:14" x14ac:dyDescent="0.25">
      <c r="B343">
        <v>324</v>
      </c>
      <c r="C343" t="s">
        <v>31</v>
      </c>
      <c r="D343">
        <v>1</v>
      </c>
      <c r="E343" t="s">
        <v>32</v>
      </c>
      <c r="F343" s="6">
        <v>46064.309027777781</v>
      </c>
      <c r="G343" s="6">
        <v>46064.326388888891</v>
      </c>
      <c r="H343" s="6">
        <v>46064.340277777781</v>
      </c>
      <c r="I343" s="6">
        <v>46064.395833333336</v>
      </c>
      <c r="J343" s="6">
        <v>46064.402777777781</v>
      </c>
      <c r="K343" s="6">
        <v>46064.40625</v>
      </c>
      <c r="L343">
        <v>2.33</v>
      </c>
      <c r="M343" s="6">
        <v>46064.413194444445</v>
      </c>
      <c r="N343">
        <f t="shared" si="5"/>
        <v>7</v>
      </c>
    </row>
    <row r="344" spans="2:14" x14ac:dyDescent="0.25">
      <c r="B344">
        <v>325</v>
      </c>
      <c r="C344" t="s">
        <v>33</v>
      </c>
      <c r="D344">
        <v>1</v>
      </c>
      <c r="E344" t="s">
        <v>30</v>
      </c>
      <c r="F344" s="6">
        <v>46048.559027777781</v>
      </c>
      <c r="G344" s="6">
        <v>46048.576388888891</v>
      </c>
      <c r="H344" s="6">
        <v>46048.659722222219</v>
      </c>
      <c r="I344" s="6">
        <v>46048.78125</v>
      </c>
      <c r="J344" s="6">
        <v>46048.854166666664</v>
      </c>
      <c r="K344" s="6">
        <v>46048.857638888891</v>
      </c>
      <c r="L344">
        <v>7.17</v>
      </c>
      <c r="M344" s="6">
        <v>46048.859722222223</v>
      </c>
      <c r="N344">
        <f t="shared" si="5"/>
        <v>13</v>
      </c>
    </row>
    <row r="345" spans="2:14" x14ac:dyDescent="0.25">
      <c r="B345">
        <v>326</v>
      </c>
      <c r="C345" t="s">
        <v>29</v>
      </c>
      <c r="D345">
        <v>1</v>
      </c>
      <c r="E345" t="s">
        <v>34</v>
      </c>
      <c r="F345" s="6">
        <v>46048.284722222219</v>
      </c>
      <c r="G345" s="6">
        <v>46048.319444444445</v>
      </c>
      <c r="H345" s="6">
        <v>46048.368055555555</v>
      </c>
      <c r="I345" s="6">
        <v>46048.604166666664</v>
      </c>
      <c r="J345" s="6">
        <v>46048.611111111109</v>
      </c>
      <c r="K345" s="6">
        <v>46048.618055555555</v>
      </c>
      <c r="L345">
        <v>8</v>
      </c>
      <c r="M345" s="6">
        <v>46048.625</v>
      </c>
      <c r="N345">
        <f t="shared" si="5"/>
        <v>6</v>
      </c>
    </row>
    <row r="346" spans="2:14" x14ac:dyDescent="0.25">
      <c r="B346">
        <v>327</v>
      </c>
      <c r="C346" t="s">
        <v>29</v>
      </c>
      <c r="D346">
        <v>1</v>
      </c>
      <c r="E346" t="s">
        <v>35</v>
      </c>
      <c r="F346" s="6">
        <v>46048.371527777781</v>
      </c>
      <c r="G346" s="6">
        <v>46048.378472222219</v>
      </c>
      <c r="H346" s="6">
        <v>46048.413194444445</v>
      </c>
      <c r="I346" s="6">
        <v>46048.506944444445</v>
      </c>
      <c r="J346" s="6">
        <v>46048.510416666664</v>
      </c>
      <c r="K346" s="6">
        <v>46048.527777777781</v>
      </c>
      <c r="L346">
        <v>3.75</v>
      </c>
      <c r="M346" s="6">
        <v>46048.53125</v>
      </c>
      <c r="N346">
        <f t="shared" si="5"/>
        <v>8</v>
      </c>
    </row>
    <row r="347" spans="2:14" x14ac:dyDescent="0.25">
      <c r="B347">
        <v>328</v>
      </c>
      <c r="C347" t="s">
        <v>33</v>
      </c>
      <c r="D347">
        <v>1</v>
      </c>
      <c r="E347" t="s">
        <v>34</v>
      </c>
      <c r="F347" s="6">
        <v>46045.930555555555</v>
      </c>
      <c r="G347" s="6">
        <v>46045.934027777781</v>
      </c>
      <c r="H347" s="6">
        <v>46045.940972222219</v>
      </c>
      <c r="I347" s="6">
        <v>46045.951388888891</v>
      </c>
      <c r="J347" s="6">
        <v>46045.954861111109</v>
      </c>
      <c r="K347" s="6">
        <v>46045.958333333336</v>
      </c>
      <c r="L347">
        <v>0.67</v>
      </c>
      <c r="M347" s="6">
        <v>46045.965277777781</v>
      </c>
      <c r="N347">
        <f t="shared" si="5"/>
        <v>22</v>
      </c>
    </row>
    <row r="348" spans="2:14" x14ac:dyDescent="0.25">
      <c r="B348">
        <v>329</v>
      </c>
      <c r="C348" t="s">
        <v>31</v>
      </c>
      <c r="D348">
        <v>1</v>
      </c>
      <c r="E348" t="s">
        <v>30</v>
      </c>
      <c r="F348" s="6">
        <v>46045.947916666664</v>
      </c>
      <c r="G348" s="6">
        <v>46045.958333333336</v>
      </c>
      <c r="H348" s="6">
        <v>46045.982638888891</v>
      </c>
      <c r="I348" s="6">
        <v>46046.118055555555</v>
      </c>
      <c r="J348" s="6">
        <v>46046.125</v>
      </c>
      <c r="K348" s="6">
        <v>46046.128472222219</v>
      </c>
      <c r="L348">
        <v>4.33</v>
      </c>
      <c r="M348" s="6">
        <v>46046.135416666664</v>
      </c>
      <c r="N348">
        <f t="shared" si="5"/>
        <v>22</v>
      </c>
    </row>
    <row r="349" spans="2:14" x14ac:dyDescent="0.25">
      <c r="B349">
        <v>330</v>
      </c>
      <c r="C349" t="s">
        <v>33</v>
      </c>
      <c r="D349">
        <v>1</v>
      </c>
      <c r="E349" t="s">
        <v>35</v>
      </c>
      <c r="F349" s="6">
        <v>46045.982638888891</v>
      </c>
      <c r="G349" s="6">
        <v>46045.98333333333</v>
      </c>
      <c r="H349" s="6">
        <v>46045.986111111109</v>
      </c>
      <c r="I349" s="6">
        <v>46046.065972222219</v>
      </c>
      <c r="J349" s="6">
        <v>46046.732638888891</v>
      </c>
      <c r="K349" s="6">
        <v>46046.736111111109</v>
      </c>
      <c r="L349">
        <v>18.079999999999998</v>
      </c>
      <c r="M349" s="6">
        <v>46046.743055555555</v>
      </c>
      <c r="N349">
        <f t="shared" si="5"/>
        <v>23</v>
      </c>
    </row>
    <row r="350" spans="2:14" x14ac:dyDescent="0.25">
      <c r="B350">
        <v>331</v>
      </c>
      <c r="C350" t="s">
        <v>33</v>
      </c>
      <c r="D350">
        <v>1</v>
      </c>
      <c r="E350" t="s">
        <v>34</v>
      </c>
      <c r="F350" s="6">
        <v>46046.0625</v>
      </c>
      <c r="G350" s="6">
        <v>46046.069444444445</v>
      </c>
      <c r="H350" s="6">
        <v>46046.079861111109</v>
      </c>
      <c r="I350" s="6">
        <v>46046.097222222219</v>
      </c>
      <c r="J350" s="6">
        <v>46046.104166666664</v>
      </c>
      <c r="K350" s="6">
        <v>46046.114583333336</v>
      </c>
      <c r="L350">
        <v>1.25</v>
      </c>
      <c r="M350" s="6">
        <v>46046.121527777781</v>
      </c>
      <c r="N350">
        <f t="shared" si="5"/>
        <v>1</v>
      </c>
    </row>
    <row r="351" spans="2:14" x14ac:dyDescent="0.25">
      <c r="B351">
        <v>332</v>
      </c>
      <c r="C351" t="s">
        <v>33</v>
      </c>
      <c r="D351">
        <v>1</v>
      </c>
      <c r="E351" t="s">
        <v>34</v>
      </c>
      <c r="F351" s="6">
        <v>46046.392361111109</v>
      </c>
      <c r="G351" s="6">
        <v>46046.402777777781</v>
      </c>
      <c r="H351" s="6">
        <v>46046.423611111109</v>
      </c>
      <c r="I351" s="6">
        <v>46046.472222222219</v>
      </c>
      <c r="J351" s="6">
        <v>46046.479166666664</v>
      </c>
      <c r="K351" s="6">
        <v>46046.493055555555</v>
      </c>
      <c r="L351">
        <v>2.42</v>
      </c>
      <c r="M351" s="6">
        <v>46046.495138888888</v>
      </c>
      <c r="N351">
        <f t="shared" si="5"/>
        <v>9</v>
      </c>
    </row>
    <row r="352" spans="2:14" x14ac:dyDescent="0.25">
      <c r="B352">
        <v>333</v>
      </c>
      <c r="C352" t="s">
        <v>33</v>
      </c>
      <c r="D352">
        <v>1</v>
      </c>
      <c r="E352" t="s">
        <v>30</v>
      </c>
      <c r="F352" s="6">
        <v>46046.453472222223</v>
      </c>
      <c r="G352" s="6">
        <v>46046.461805555555</v>
      </c>
      <c r="H352" s="6">
        <v>46046.482638888891</v>
      </c>
      <c r="I352" s="6">
        <v>46046.513888888891</v>
      </c>
      <c r="J352" s="6">
        <v>46046.534722222219</v>
      </c>
      <c r="K352" s="6">
        <v>46046.538194444445</v>
      </c>
      <c r="L352">
        <v>2.0299999999999998</v>
      </c>
      <c r="M352" s="6">
        <v>46046.545138888891</v>
      </c>
      <c r="N352">
        <f t="shared" si="5"/>
        <v>10</v>
      </c>
    </row>
    <row r="353" spans="2:14" x14ac:dyDescent="0.25">
      <c r="B353">
        <v>334</v>
      </c>
      <c r="C353" t="s">
        <v>33</v>
      </c>
      <c r="D353">
        <v>1</v>
      </c>
      <c r="E353" t="s">
        <v>30</v>
      </c>
      <c r="F353" s="6">
        <v>46046.604166666664</v>
      </c>
      <c r="G353" s="6">
        <v>46046.607638888891</v>
      </c>
      <c r="H353" s="6">
        <v>46046.638888888891</v>
      </c>
      <c r="I353" s="6">
        <v>46046.729166666664</v>
      </c>
      <c r="J353" s="6">
        <v>46046.770833333336</v>
      </c>
      <c r="K353" s="6">
        <v>46046.885416666664</v>
      </c>
      <c r="L353">
        <v>6.75</v>
      </c>
      <c r="M353" s="6">
        <v>46046.888888888891</v>
      </c>
      <c r="N353">
        <f t="shared" si="5"/>
        <v>14</v>
      </c>
    </row>
    <row r="354" spans="2:14" x14ac:dyDescent="0.25">
      <c r="B354">
        <v>335</v>
      </c>
      <c r="C354" t="s">
        <v>33</v>
      </c>
      <c r="D354">
        <v>1</v>
      </c>
      <c r="E354" t="s">
        <v>30</v>
      </c>
      <c r="F354" s="6">
        <v>46047.368055555555</v>
      </c>
      <c r="G354" s="6">
        <v>46047.375</v>
      </c>
      <c r="H354" s="6">
        <v>46047.381944444445</v>
      </c>
      <c r="I354" s="6">
        <v>46047.386111111111</v>
      </c>
      <c r="J354" s="6">
        <v>46047.393055555556</v>
      </c>
      <c r="K354" s="6">
        <v>46047.402777777781</v>
      </c>
      <c r="L354">
        <v>0.83</v>
      </c>
      <c r="M354" s="6">
        <v>46047.409722222219</v>
      </c>
      <c r="N354">
        <f t="shared" si="5"/>
        <v>8</v>
      </c>
    </row>
    <row r="355" spans="2:14" x14ac:dyDescent="0.25">
      <c r="B355">
        <v>336</v>
      </c>
      <c r="C355" t="s">
        <v>33</v>
      </c>
      <c r="D355">
        <v>1</v>
      </c>
      <c r="E355" t="s">
        <v>36</v>
      </c>
      <c r="F355" s="6">
        <v>46046.704861111109</v>
      </c>
      <c r="G355" s="6">
        <v>46046.711805555555</v>
      </c>
      <c r="H355" s="6">
        <v>46046.715277777781</v>
      </c>
      <c r="I355" s="6">
        <v>46046.719444444447</v>
      </c>
      <c r="J355" s="6">
        <v>46046.722222222219</v>
      </c>
      <c r="K355" s="6">
        <v>46046.725694444445</v>
      </c>
      <c r="L355">
        <v>0.5</v>
      </c>
      <c r="M355" s="6">
        <v>46046.727777777778</v>
      </c>
      <c r="N355">
        <f t="shared" si="5"/>
        <v>16</v>
      </c>
    </row>
    <row r="356" spans="2:14" x14ac:dyDescent="0.25">
      <c r="B356">
        <v>337</v>
      </c>
      <c r="C356" t="s">
        <v>33</v>
      </c>
      <c r="D356">
        <v>1</v>
      </c>
      <c r="E356" t="s">
        <v>35</v>
      </c>
      <c r="F356" s="6">
        <v>46046.920138888891</v>
      </c>
      <c r="G356" s="6">
        <v>46046.923611111109</v>
      </c>
      <c r="H356" s="6">
        <v>46046.930555555555</v>
      </c>
      <c r="I356" s="6">
        <v>46046.972222222219</v>
      </c>
      <c r="J356" s="6">
        <v>46046.975694444445</v>
      </c>
      <c r="K356" s="6">
        <v>46046.979166666664</v>
      </c>
      <c r="L356">
        <v>1.42</v>
      </c>
      <c r="M356" s="6">
        <v>46046.982638888891</v>
      </c>
      <c r="N356">
        <f t="shared" si="5"/>
        <v>22</v>
      </c>
    </row>
    <row r="357" spans="2:14" x14ac:dyDescent="0.25">
      <c r="B357">
        <v>338</v>
      </c>
      <c r="C357" t="s">
        <v>31</v>
      </c>
      <c r="D357">
        <v>1</v>
      </c>
      <c r="E357" t="s">
        <v>30</v>
      </c>
      <c r="F357" s="6">
        <v>46047.368055555555</v>
      </c>
      <c r="G357" s="6">
        <v>46047.375</v>
      </c>
      <c r="H357" s="6">
        <v>46047.392361111109</v>
      </c>
      <c r="I357" s="6">
        <v>46047.423611111109</v>
      </c>
      <c r="J357" s="6">
        <v>46047.430555555555</v>
      </c>
      <c r="K357" s="6">
        <v>46047.458333333336</v>
      </c>
      <c r="L357">
        <v>2.17</v>
      </c>
      <c r="M357" s="6">
        <v>46047.461805555555</v>
      </c>
      <c r="N357">
        <f t="shared" si="5"/>
        <v>8</v>
      </c>
    </row>
    <row r="358" spans="2:14" x14ac:dyDescent="0.25">
      <c r="B358">
        <v>339</v>
      </c>
      <c r="C358" t="s">
        <v>33</v>
      </c>
      <c r="D358">
        <v>1</v>
      </c>
      <c r="E358" t="s">
        <v>34</v>
      </c>
      <c r="F358" s="6">
        <v>46047.354166666664</v>
      </c>
      <c r="G358" s="6">
        <v>46047.364583333336</v>
      </c>
      <c r="H358" s="6">
        <v>46047.375</v>
      </c>
      <c r="I358" s="6">
        <v>46047.479166666664</v>
      </c>
      <c r="J358" s="6">
        <v>46047.486111111109</v>
      </c>
      <c r="K358" s="6">
        <v>46047.5</v>
      </c>
      <c r="L358">
        <v>3.5</v>
      </c>
      <c r="M358" s="6">
        <v>46047.506944444445</v>
      </c>
      <c r="N358">
        <f t="shared" si="5"/>
        <v>8</v>
      </c>
    </row>
    <row r="359" spans="2:14" x14ac:dyDescent="0.25">
      <c r="B359">
        <v>340</v>
      </c>
      <c r="C359" t="s">
        <v>33</v>
      </c>
      <c r="D359">
        <v>1</v>
      </c>
      <c r="E359" t="s">
        <v>34</v>
      </c>
      <c r="F359" s="6">
        <v>46048.298611111109</v>
      </c>
      <c r="G359" s="6">
        <v>46048.333333333336</v>
      </c>
      <c r="H359" s="6">
        <v>46048.354166666664</v>
      </c>
      <c r="I359" s="6">
        <v>46048.375</v>
      </c>
      <c r="J359" s="6">
        <v>46048.375694444447</v>
      </c>
      <c r="K359" s="6">
        <v>46048.395833333336</v>
      </c>
      <c r="L359">
        <v>2.33</v>
      </c>
      <c r="M359" s="6">
        <v>46048.396527777775</v>
      </c>
      <c r="N359">
        <f t="shared" si="5"/>
        <v>7</v>
      </c>
    </row>
    <row r="360" spans="2:14" x14ac:dyDescent="0.25">
      <c r="B360">
        <v>341</v>
      </c>
      <c r="C360" t="s">
        <v>31</v>
      </c>
      <c r="D360">
        <v>1</v>
      </c>
      <c r="E360" t="s">
        <v>35</v>
      </c>
      <c r="F360" s="6">
        <v>46048.416666666664</v>
      </c>
      <c r="G360" s="6">
        <v>46048.430555555555</v>
      </c>
      <c r="H360" s="6">
        <v>46048.451388888891</v>
      </c>
      <c r="I360" s="6">
        <v>46048.510416666664</v>
      </c>
      <c r="J360" s="6">
        <v>46048.513888888891</v>
      </c>
      <c r="K360" s="6">
        <v>46048.517361111109</v>
      </c>
      <c r="L360">
        <v>2.42</v>
      </c>
      <c r="M360" s="6">
        <v>46048.518750000003</v>
      </c>
      <c r="N360">
        <f t="shared" si="5"/>
        <v>10</v>
      </c>
    </row>
    <row r="361" spans="2:14" x14ac:dyDescent="0.25">
      <c r="B361">
        <v>342</v>
      </c>
      <c r="C361" t="s">
        <v>31</v>
      </c>
      <c r="D361">
        <v>1</v>
      </c>
      <c r="E361" t="s">
        <v>35</v>
      </c>
      <c r="F361" s="6">
        <v>46047.645833333336</v>
      </c>
      <c r="G361" s="6">
        <v>46047.652777777781</v>
      </c>
      <c r="H361" s="6">
        <v>46047.666666666664</v>
      </c>
      <c r="I361" s="6">
        <v>46047.708333333336</v>
      </c>
      <c r="J361" s="6">
        <v>46047.715277777781</v>
      </c>
      <c r="K361" s="6">
        <v>46047.729166666664</v>
      </c>
      <c r="L361">
        <v>2</v>
      </c>
      <c r="M361" s="6">
        <v>46047.736111111109</v>
      </c>
      <c r="N361">
        <f t="shared" si="5"/>
        <v>15</v>
      </c>
    </row>
    <row r="362" spans="2:14" x14ac:dyDescent="0.25">
      <c r="B362">
        <v>343</v>
      </c>
      <c r="C362" t="s">
        <v>31</v>
      </c>
      <c r="D362">
        <v>1</v>
      </c>
      <c r="E362" t="s">
        <v>35</v>
      </c>
      <c r="F362" s="6">
        <v>46047.572916666664</v>
      </c>
      <c r="G362" s="6">
        <v>46047.576388888891</v>
      </c>
      <c r="H362" s="6">
        <v>46047.590277777781</v>
      </c>
      <c r="I362" s="6">
        <v>46047.633333333331</v>
      </c>
      <c r="J362" s="6">
        <v>46047.640277777777</v>
      </c>
      <c r="K362" s="6">
        <v>46047.645833333336</v>
      </c>
      <c r="L362">
        <v>1.75</v>
      </c>
      <c r="M362" s="6">
        <v>46047.652777777781</v>
      </c>
      <c r="N362">
        <f t="shared" si="5"/>
        <v>13</v>
      </c>
    </row>
    <row r="363" spans="2:14" x14ac:dyDescent="0.25">
      <c r="B363">
        <v>344</v>
      </c>
      <c r="C363" t="s">
        <v>33</v>
      </c>
      <c r="D363">
        <v>1</v>
      </c>
      <c r="E363" t="s">
        <v>36</v>
      </c>
      <c r="F363" s="6">
        <v>46048.298611111109</v>
      </c>
      <c r="G363" s="6">
        <v>46048.340277777781</v>
      </c>
      <c r="H363" s="6">
        <v>46048.368055555555</v>
      </c>
      <c r="I363" s="6">
        <v>46048.375</v>
      </c>
      <c r="J363" s="6">
        <v>46048.381944444445</v>
      </c>
      <c r="K363" s="6">
        <v>46048.409722222219</v>
      </c>
      <c r="L363">
        <v>2.67</v>
      </c>
      <c r="M363" s="6">
        <v>46048.416666666664</v>
      </c>
      <c r="N363">
        <f t="shared" si="5"/>
        <v>7</v>
      </c>
    </row>
    <row r="364" spans="2:14" x14ac:dyDescent="0.25">
      <c r="B364">
        <v>345</v>
      </c>
      <c r="C364" t="s">
        <v>31</v>
      </c>
      <c r="D364">
        <v>1</v>
      </c>
      <c r="E364" t="s">
        <v>32</v>
      </c>
      <c r="F364" s="6">
        <v>46048.486111111109</v>
      </c>
      <c r="G364" s="6">
        <v>46048.493055555555</v>
      </c>
      <c r="H364" s="6">
        <v>46048.513888888891</v>
      </c>
      <c r="I364" s="6">
        <v>46048.571527777778</v>
      </c>
      <c r="J364" s="6">
        <v>46048.578472222223</v>
      </c>
      <c r="K364" s="6">
        <v>46048.583333333336</v>
      </c>
      <c r="L364">
        <v>2.33</v>
      </c>
      <c r="M364" s="6">
        <v>46048.590277777781</v>
      </c>
      <c r="N364">
        <f t="shared" si="5"/>
        <v>11</v>
      </c>
    </row>
    <row r="365" spans="2:14" x14ac:dyDescent="0.25">
      <c r="B365">
        <v>346</v>
      </c>
      <c r="C365" t="s">
        <v>33</v>
      </c>
      <c r="D365">
        <v>1</v>
      </c>
      <c r="E365" t="s">
        <v>30</v>
      </c>
      <c r="F365" s="6">
        <v>46048.486111111109</v>
      </c>
      <c r="G365" s="6">
        <v>46048.520833333336</v>
      </c>
      <c r="H365" s="6">
        <v>46048.541666666664</v>
      </c>
      <c r="I365" s="6">
        <v>46048.625</v>
      </c>
      <c r="J365" s="6">
        <v>46048.680555555555</v>
      </c>
      <c r="K365" s="6">
        <v>46048.684027777781</v>
      </c>
      <c r="L365">
        <v>4.75</v>
      </c>
      <c r="M365" s="6">
        <v>46048.6875</v>
      </c>
      <c r="N365">
        <f t="shared" si="5"/>
        <v>11</v>
      </c>
    </row>
    <row r="366" spans="2:14" x14ac:dyDescent="0.25">
      <c r="B366">
        <v>347</v>
      </c>
      <c r="C366" t="s">
        <v>31</v>
      </c>
      <c r="D366">
        <v>1</v>
      </c>
      <c r="E366" t="s">
        <v>30</v>
      </c>
      <c r="F366" s="6">
        <v>46048.284722222219</v>
      </c>
      <c r="G366" s="6">
        <v>46048.315972222219</v>
      </c>
      <c r="H366" s="6">
        <v>46048.340277777781</v>
      </c>
      <c r="I366" s="6">
        <v>46048.416666666664</v>
      </c>
      <c r="J366" s="6">
        <v>46048.423611111109</v>
      </c>
      <c r="K366" s="6">
        <v>46048.430555555555</v>
      </c>
      <c r="L366">
        <v>3.5</v>
      </c>
      <c r="M366" s="6">
        <v>46048.4375</v>
      </c>
      <c r="N366">
        <f t="shared" si="5"/>
        <v>6</v>
      </c>
    </row>
    <row r="367" spans="2:14" x14ac:dyDescent="0.25">
      <c r="B367">
        <v>348</v>
      </c>
      <c r="C367" t="s">
        <v>31</v>
      </c>
      <c r="D367">
        <v>1</v>
      </c>
      <c r="E367" t="s">
        <v>30</v>
      </c>
      <c r="F367" s="6">
        <v>46047.779861111114</v>
      </c>
      <c r="G367" s="6">
        <v>46047.784722222219</v>
      </c>
      <c r="H367" s="6">
        <v>46047.791666666664</v>
      </c>
      <c r="I367" s="6">
        <v>46047.9375</v>
      </c>
      <c r="J367" s="6">
        <v>46047.944444444445</v>
      </c>
      <c r="K367" s="6">
        <v>46047.951388888891</v>
      </c>
      <c r="L367">
        <v>4.12</v>
      </c>
      <c r="M367" s="6">
        <v>46047.958333333336</v>
      </c>
      <c r="N367">
        <f t="shared" si="5"/>
        <v>18</v>
      </c>
    </row>
    <row r="368" spans="2:14" x14ac:dyDescent="0.25">
      <c r="B368">
        <v>349</v>
      </c>
      <c r="C368" t="s">
        <v>33</v>
      </c>
      <c r="D368">
        <v>1</v>
      </c>
      <c r="E368" t="s">
        <v>34</v>
      </c>
      <c r="F368" s="6">
        <v>46047.982638888891</v>
      </c>
      <c r="G368" s="6">
        <v>46047.986111111109</v>
      </c>
      <c r="H368" s="6">
        <v>46048</v>
      </c>
      <c r="I368" s="6">
        <v>46048.03125</v>
      </c>
      <c r="J368" s="6">
        <v>46048.038194444445</v>
      </c>
      <c r="K368" s="6">
        <v>46048.041666666664</v>
      </c>
      <c r="L368">
        <v>1.42</v>
      </c>
      <c r="M368" s="6">
        <v>46048.048611111109</v>
      </c>
      <c r="N368">
        <f t="shared" si="5"/>
        <v>23</v>
      </c>
    </row>
    <row r="369" spans="2:14" x14ac:dyDescent="0.25">
      <c r="B369">
        <v>350</v>
      </c>
      <c r="C369" t="s">
        <v>33</v>
      </c>
      <c r="D369">
        <v>1</v>
      </c>
      <c r="E369" t="s">
        <v>30</v>
      </c>
      <c r="F369" s="6">
        <v>46048.697916666664</v>
      </c>
      <c r="G369" s="6">
        <v>46048.701388888891</v>
      </c>
      <c r="H369" s="6">
        <v>46048.715277777781</v>
      </c>
      <c r="I369" s="6">
        <v>46048.75</v>
      </c>
      <c r="J369" s="6">
        <v>46048.756944444445</v>
      </c>
      <c r="K369" s="6">
        <v>46048.763888888891</v>
      </c>
      <c r="L369">
        <v>1.58</v>
      </c>
      <c r="M369" s="6">
        <v>46048.770833333336</v>
      </c>
      <c r="N369">
        <f t="shared" si="5"/>
        <v>16</v>
      </c>
    </row>
    <row r="370" spans="2:14" x14ac:dyDescent="0.25">
      <c r="B370">
        <v>351</v>
      </c>
      <c r="C370" t="s">
        <v>29</v>
      </c>
      <c r="D370">
        <v>1</v>
      </c>
      <c r="E370" t="s">
        <v>30</v>
      </c>
      <c r="F370" s="6">
        <v>46048.649305555555</v>
      </c>
      <c r="G370" s="6">
        <v>46048.673611111109</v>
      </c>
      <c r="H370" s="6">
        <v>46048.6875</v>
      </c>
      <c r="I370" s="6">
        <v>46048.805555555555</v>
      </c>
      <c r="J370" s="6">
        <v>46048.8125</v>
      </c>
      <c r="K370" s="6">
        <v>46048.815972222219</v>
      </c>
      <c r="L370">
        <v>4</v>
      </c>
      <c r="M370" s="6">
        <v>46048.822916666664</v>
      </c>
      <c r="N370">
        <f t="shared" si="5"/>
        <v>15</v>
      </c>
    </row>
    <row r="371" spans="2:14" x14ac:dyDescent="0.25">
      <c r="B371">
        <v>352</v>
      </c>
      <c r="C371" t="s">
        <v>29</v>
      </c>
      <c r="D371">
        <v>1</v>
      </c>
      <c r="E371" t="s">
        <v>30</v>
      </c>
      <c r="F371" s="6">
        <v>46048.736111111109</v>
      </c>
      <c r="G371" s="6">
        <v>46048.746527777781</v>
      </c>
      <c r="H371" s="6">
        <v>46048.75</v>
      </c>
      <c r="I371" s="6">
        <v>46048.767361111109</v>
      </c>
      <c r="J371" s="6">
        <v>46048.770833333336</v>
      </c>
      <c r="K371" s="6">
        <v>46048.772916666669</v>
      </c>
      <c r="L371">
        <v>0.88</v>
      </c>
      <c r="M371" s="6">
        <v>46048.774305555555</v>
      </c>
      <c r="N371">
        <f t="shared" si="5"/>
        <v>17</v>
      </c>
    </row>
    <row r="372" spans="2:14" x14ac:dyDescent="0.25">
      <c r="B372">
        <v>353</v>
      </c>
      <c r="C372" t="s">
        <v>29</v>
      </c>
      <c r="D372">
        <v>1</v>
      </c>
      <c r="E372" t="s">
        <v>32</v>
      </c>
      <c r="F372" s="6">
        <v>46048.604166666664</v>
      </c>
      <c r="G372" s="6">
        <v>46048.611111111109</v>
      </c>
      <c r="H372" s="6">
        <v>46048.621527777781</v>
      </c>
      <c r="I372" s="6">
        <v>46048.631944444445</v>
      </c>
      <c r="J372" s="6">
        <v>46048.638888888891</v>
      </c>
      <c r="K372" s="6">
        <v>46048.677083333336</v>
      </c>
      <c r="L372">
        <v>1.75</v>
      </c>
      <c r="M372" s="6">
        <v>46048.679166666669</v>
      </c>
      <c r="N372">
        <f t="shared" si="5"/>
        <v>14</v>
      </c>
    </row>
    <row r="373" spans="2:14" x14ac:dyDescent="0.25">
      <c r="B373">
        <v>354</v>
      </c>
      <c r="C373" t="s">
        <v>29</v>
      </c>
      <c r="D373">
        <v>1</v>
      </c>
      <c r="E373" t="s">
        <v>32</v>
      </c>
      <c r="F373" s="6">
        <v>46049.477083333331</v>
      </c>
      <c r="G373" s="6">
        <v>46049.484027777777</v>
      </c>
      <c r="H373" s="6">
        <v>46049.489583333336</v>
      </c>
      <c r="I373" s="6">
        <v>46049.520833333336</v>
      </c>
      <c r="J373" s="6">
        <v>46049.527777777781</v>
      </c>
      <c r="K373" s="6">
        <v>46049.534722222219</v>
      </c>
      <c r="L373">
        <v>1.38</v>
      </c>
      <c r="M373" s="6">
        <v>46049.541666666664</v>
      </c>
      <c r="N373">
        <f t="shared" si="5"/>
        <v>11</v>
      </c>
    </row>
    <row r="374" spans="2:14" x14ac:dyDescent="0.25">
      <c r="B374">
        <v>355</v>
      </c>
      <c r="C374" t="s">
        <v>29</v>
      </c>
      <c r="D374">
        <v>1</v>
      </c>
      <c r="E374" t="s">
        <v>34</v>
      </c>
      <c r="F374" s="6">
        <v>46049.291666666664</v>
      </c>
      <c r="G374" s="6">
        <v>46049.333333333336</v>
      </c>
      <c r="H374" s="6">
        <v>46049.416666666664</v>
      </c>
      <c r="I374" s="6">
        <v>46049.53125</v>
      </c>
      <c r="J374" s="6">
        <v>46049.538194444445</v>
      </c>
      <c r="K374" s="6">
        <v>46049.541666666664</v>
      </c>
      <c r="L374">
        <v>6</v>
      </c>
      <c r="M374" s="6">
        <v>46049.548611111109</v>
      </c>
      <c r="N374">
        <f t="shared" si="5"/>
        <v>7</v>
      </c>
    </row>
    <row r="375" spans="2:14" x14ac:dyDescent="0.25">
      <c r="B375">
        <v>356</v>
      </c>
      <c r="C375" t="s">
        <v>33</v>
      </c>
      <c r="D375">
        <v>1</v>
      </c>
      <c r="E375" t="s">
        <v>32</v>
      </c>
      <c r="F375" s="6">
        <v>46056.291666666664</v>
      </c>
      <c r="G375" s="6">
        <v>46056.298611111109</v>
      </c>
      <c r="H375" s="6">
        <v>46056.302083333336</v>
      </c>
      <c r="I375" s="6">
        <v>46056.309027777781</v>
      </c>
      <c r="J375" s="6">
        <v>46056.315972222219</v>
      </c>
      <c r="K375" s="6">
        <v>46056.316666666666</v>
      </c>
      <c r="L375">
        <v>0.6</v>
      </c>
      <c r="M375" s="6">
        <v>46056.323611111111</v>
      </c>
      <c r="N375">
        <f t="shared" si="5"/>
        <v>7</v>
      </c>
    </row>
    <row r="376" spans="2:14" x14ac:dyDescent="0.25">
      <c r="B376">
        <v>357</v>
      </c>
      <c r="C376" t="s">
        <v>33</v>
      </c>
      <c r="D376">
        <v>1</v>
      </c>
      <c r="E376" t="s">
        <v>32</v>
      </c>
      <c r="F376" s="6">
        <v>46056.395833333336</v>
      </c>
      <c r="G376" s="6">
        <v>46056.402777777781</v>
      </c>
      <c r="H376" s="6">
        <v>46056.416666666664</v>
      </c>
      <c r="I376" s="6">
        <v>46056.451388888891</v>
      </c>
      <c r="J376" s="6">
        <v>46056.458333333336</v>
      </c>
      <c r="K376" s="6">
        <v>46056.461805555555</v>
      </c>
      <c r="L376">
        <v>1.58</v>
      </c>
      <c r="M376" s="6">
        <v>46056.46875</v>
      </c>
      <c r="N376">
        <f t="shared" si="5"/>
        <v>9</v>
      </c>
    </row>
    <row r="377" spans="2:14" x14ac:dyDescent="0.25">
      <c r="B377">
        <v>358</v>
      </c>
      <c r="C377" t="s">
        <v>31</v>
      </c>
      <c r="D377">
        <v>1</v>
      </c>
      <c r="E377" t="s">
        <v>36</v>
      </c>
      <c r="F377" s="6">
        <v>46049.291666666664</v>
      </c>
      <c r="G377" s="6">
        <v>46049.319444444445</v>
      </c>
      <c r="H377" s="6">
        <v>46049.34375</v>
      </c>
      <c r="I377" s="6">
        <v>46049.46875</v>
      </c>
      <c r="J377" s="6">
        <v>46049.475694444445</v>
      </c>
      <c r="K377" s="6">
        <v>46049.486111111109</v>
      </c>
      <c r="L377">
        <v>4.67</v>
      </c>
      <c r="M377" s="6">
        <v>46049.493055555555</v>
      </c>
      <c r="N377">
        <f t="shared" si="5"/>
        <v>7</v>
      </c>
    </row>
    <row r="378" spans="2:14" x14ac:dyDescent="0.25">
      <c r="B378">
        <v>359</v>
      </c>
      <c r="C378" t="s">
        <v>33</v>
      </c>
      <c r="D378">
        <v>1</v>
      </c>
      <c r="E378" t="s">
        <v>32</v>
      </c>
      <c r="F378" s="6">
        <v>46058.29583333333</v>
      </c>
      <c r="G378" s="6">
        <v>46058.302777777775</v>
      </c>
      <c r="H378" s="6">
        <v>46058.305555555555</v>
      </c>
      <c r="I378" s="6">
        <v>46058.309027777781</v>
      </c>
      <c r="J378" s="6">
        <v>46058.315972222219</v>
      </c>
      <c r="K378" s="6">
        <v>46058.326388888891</v>
      </c>
      <c r="L378">
        <v>0.73</v>
      </c>
      <c r="M378" s="6">
        <v>46058.333333333336</v>
      </c>
      <c r="N378">
        <f t="shared" si="5"/>
        <v>7</v>
      </c>
    </row>
    <row r="379" spans="2:14" x14ac:dyDescent="0.25">
      <c r="B379">
        <v>360</v>
      </c>
      <c r="C379" t="s">
        <v>33</v>
      </c>
      <c r="D379">
        <v>1</v>
      </c>
      <c r="E379" t="s">
        <v>34</v>
      </c>
      <c r="F379" s="6">
        <v>46049.475694444445</v>
      </c>
      <c r="G379" s="6">
        <v>46049.482638888891</v>
      </c>
      <c r="H379" s="6">
        <v>46049.511805555558</v>
      </c>
      <c r="I379" s="6">
        <v>46049.650694444441</v>
      </c>
      <c r="J379" s="6">
        <v>46049.708333333336</v>
      </c>
      <c r="K379" s="6">
        <v>46050.395833333336</v>
      </c>
      <c r="L379">
        <v>22.08</v>
      </c>
      <c r="M379" s="6">
        <v>46050.402777777781</v>
      </c>
      <c r="N379">
        <f t="shared" si="5"/>
        <v>11</v>
      </c>
    </row>
    <row r="380" spans="2:14" x14ac:dyDescent="0.25">
      <c r="B380">
        <v>361</v>
      </c>
      <c r="C380" t="s">
        <v>33</v>
      </c>
      <c r="D380">
        <v>1</v>
      </c>
      <c r="E380" t="s">
        <v>35</v>
      </c>
      <c r="F380" s="6">
        <v>46049.288194444445</v>
      </c>
      <c r="G380" s="6">
        <v>46049.347222222219</v>
      </c>
      <c r="H380" s="6">
        <v>46049.354166666664</v>
      </c>
      <c r="I380" s="6">
        <v>46049.378472222219</v>
      </c>
      <c r="J380" s="6">
        <v>46049.385416666664</v>
      </c>
      <c r="K380" s="6">
        <v>46049.43472222222</v>
      </c>
      <c r="L380">
        <v>3.52</v>
      </c>
      <c r="M380" s="6">
        <v>46049.440972222219</v>
      </c>
      <c r="N380">
        <f t="shared" si="5"/>
        <v>6</v>
      </c>
    </row>
    <row r="381" spans="2:14" x14ac:dyDescent="0.25">
      <c r="B381">
        <v>362</v>
      </c>
      <c r="C381" t="s">
        <v>31</v>
      </c>
      <c r="D381">
        <v>1</v>
      </c>
      <c r="E381" t="s">
        <v>34</v>
      </c>
      <c r="F381" s="6">
        <v>46051.291666666664</v>
      </c>
      <c r="G381" s="6">
        <v>46051.298611111109</v>
      </c>
      <c r="H381" s="6">
        <v>46051.388888888891</v>
      </c>
      <c r="I381" s="6">
        <v>46051.479166666664</v>
      </c>
      <c r="J381" s="6">
        <v>46051.486111111109</v>
      </c>
      <c r="K381" s="6">
        <v>46051.520833333336</v>
      </c>
      <c r="L381">
        <v>5.5</v>
      </c>
      <c r="M381" s="6">
        <v>46051.527777777781</v>
      </c>
      <c r="N381">
        <f t="shared" si="5"/>
        <v>7</v>
      </c>
    </row>
    <row r="382" spans="2:14" x14ac:dyDescent="0.25">
      <c r="B382">
        <v>363</v>
      </c>
      <c r="C382" t="s">
        <v>29</v>
      </c>
      <c r="D382">
        <v>1</v>
      </c>
      <c r="E382" t="s">
        <v>34</v>
      </c>
      <c r="F382" s="6">
        <v>46051.604166666664</v>
      </c>
      <c r="G382" s="6">
        <v>46051.618055555555</v>
      </c>
      <c r="H382" s="6">
        <v>46051.631944444445</v>
      </c>
      <c r="I382" s="6">
        <v>46051.708333333336</v>
      </c>
      <c r="J382" s="6">
        <v>46051.715277777781</v>
      </c>
      <c r="K382" s="6">
        <v>46051.805555555555</v>
      </c>
      <c r="L382">
        <v>4.83</v>
      </c>
      <c r="M382" s="6">
        <v>46051.8125</v>
      </c>
      <c r="N382">
        <f t="shared" si="5"/>
        <v>14</v>
      </c>
    </row>
    <row r="383" spans="2:14" x14ac:dyDescent="0.25">
      <c r="B383">
        <v>364</v>
      </c>
      <c r="C383" t="s">
        <v>31</v>
      </c>
      <c r="D383">
        <v>1</v>
      </c>
      <c r="E383" t="s">
        <v>30</v>
      </c>
      <c r="F383" s="6">
        <v>46048.947916666664</v>
      </c>
      <c r="G383" s="6">
        <v>46048.951388888891</v>
      </c>
      <c r="H383" s="6">
        <v>46048.961805555555</v>
      </c>
      <c r="I383" s="6">
        <v>46049.034722222219</v>
      </c>
      <c r="J383" s="6">
        <v>46049.038194444445</v>
      </c>
      <c r="K383" s="6">
        <v>46049.041666666664</v>
      </c>
      <c r="L383">
        <v>2.25</v>
      </c>
      <c r="M383" s="6">
        <v>46049.045138888891</v>
      </c>
      <c r="N383">
        <f t="shared" si="5"/>
        <v>22</v>
      </c>
    </row>
    <row r="384" spans="2:14" x14ac:dyDescent="0.25">
      <c r="B384">
        <v>365</v>
      </c>
      <c r="C384" t="s">
        <v>33</v>
      </c>
      <c r="D384">
        <v>1</v>
      </c>
      <c r="E384" t="s">
        <v>30</v>
      </c>
      <c r="F384" s="6">
        <v>46048.881944444445</v>
      </c>
      <c r="G384" s="6">
        <v>46048.885416666664</v>
      </c>
      <c r="H384" s="6">
        <v>46048.902777777781</v>
      </c>
      <c r="I384" s="6">
        <v>46048.916666666664</v>
      </c>
      <c r="J384" s="6">
        <v>46048.918055555558</v>
      </c>
      <c r="K384" s="6">
        <v>46048.918749999997</v>
      </c>
      <c r="L384">
        <v>0.88</v>
      </c>
      <c r="M384" s="6">
        <v>46048.925694444442</v>
      </c>
      <c r="N384">
        <f t="shared" si="5"/>
        <v>21</v>
      </c>
    </row>
    <row r="385" spans="2:14" x14ac:dyDescent="0.25">
      <c r="B385">
        <v>366</v>
      </c>
      <c r="C385" t="s">
        <v>31</v>
      </c>
      <c r="D385">
        <v>1</v>
      </c>
      <c r="E385" t="s">
        <v>30</v>
      </c>
      <c r="F385" s="6">
        <v>46048.715277777781</v>
      </c>
      <c r="G385" s="6">
        <v>46048.71875</v>
      </c>
      <c r="H385" s="6">
        <v>46048.746527777781</v>
      </c>
      <c r="I385" s="6">
        <v>46048.819444444445</v>
      </c>
      <c r="J385" s="6">
        <v>46048.833333333336</v>
      </c>
      <c r="K385" s="6">
        <v>46049.673611111109</v>
      </c>
      <c r="L385">
        <v>23</v>
      </c>
      <c r="M385" s="6">
        <v>46049.680555555555</v>
      </c>
      <c r="N385">
        <f t="shared" si="5"/>
        <v>17</v>
      </c>
    </row>
    <row r="386" spans="2:14" x14ac:dyDescent="0.25">
      <c r="B386">
        <v>367</v>
      </c>
      <c r="C386" t="s">
        <v>29</v>
      </c>
      <c r="D386">
        <v>1</v>
      </c>
      <c r="E386" t="s">
        <v>30</v>
      </c>
      <c r="F386" s="6">
        <v>46048.979166666664</v>
      </c>
      <c r="G386" s="6">
        <v>46048.986111111109</v>
      </c>
      <c r="H386" s="6">
        <v>46049</v>
      </c>
      <c r="I386" s="6">
        <v>46049.017361111109</v>
      </c>
      <c r="J386" s="6">
        <v>46049.018055555556</v>
      </c>
      <c r="K386" s="6">
        <v>46049.018750000003</v>
      </c>
      <c r="L386">
        <v>0.95</v>
      </c>
      <c r="M386" s="6">
        <v>46049.025694444441</v>
      </c>
      <c r="N386">
        <f t="shared" si="5"/>
        <v>23</v>
      </c>
    </row>
    <row r="387" spans="2:14" x14ac:dyDescent="0.25">
      <c r="B387">
        <v>368</v>
      </c>
      <c r="C387" t="s">
        <v>29</v>
      </c>
      <c r="D387">
        <v>1</v>
      </c>
      <c r="E387" t="s">
        <v>32</v>
      </c>
      <c r="F387" s="6">
        <v>46049.59375</v>
      </c>
      <c r="G387" s="6">
        <v>46049.600694444445</v>
      </c>
      <c r="H387" s="6">
        <v>46049.625</v>
      </c>
      <c r="I387" s="6">
        <v>46049.659722222219</v>
      </c>
      <c r="J387" s="6">
        <v>46049.666666666664</v>
      </c>
      <c r="K387" s="6">
        <v>46049.680555555555</v>
      </c>
      <c r="L387">
        <v>2.08</v>
      </c>
      <c r="M387" s="6">
        <v>46049.6875</v>
      </c>
      <c r="N387">
        <f t="shared" si="5"/>
        <v>14</v>
      </c>
    </row>
    <row r="388" spans="2:14" x14ac:dyDescent="0.25">
      <c r="B388">
        <v>369</v>
      </c>
      <c r="C388" t="s">
        <v>31</v>
      </c>
      <c r="D388">
        <v>1</v>
      </c>
      <c r="E388" t="s">
        <v>37</v>
      </c>
      <c r="F388" s="6">
        <v>46049.496527777781</v>
      </c>
      <c r="G388" s="6">
        <v>46049.503472222219</v>
      </c>
      <c r="H388" s="6">
        <v>46049.506944444445</v>
      </c>
      <c r="I388" s="6">
        <v>46049.548611111109</v>
      </c>
      <c r="J388" s="6">
        <v>46049.555555555555</v>
      </c>
      <c r="K388" s="6">
        <v>46049.885416666664</v>
      </c>
      <c r="L388">
        <v>9.33</v>
      </c>
      <c r="M388" s="6">
        <v>46049.892361111109</v>
      </c>
      <c r="N388">
        <f t="shared" si="5"/>
        <v>11</v>
      </c>
    </row>
    <row r="389" spans="2:14" x14ac:dyDescent="0.25">
      <c r="B389">
        <v>370</v>
      </c>
      <c r="C389" t="s">
        <v>33</v>
      </c>
      <c r="D389">
        <v>1</v>
      </c>
      <c r="E389" t="s">
        <v>36</v>
      </c>
      <c r="F389" s="6">
        <v>46049.659722222219</v>
      </c>
      <c r="G389" s="6">
        <v>46049.670138888891</v>
      </c>
      <c r="H389" s="6">
        <v>46049.680555555555</v>
      </c>
      <c r="I389" s="6">
        <v>46049.740277777775</v>
      </c>
      <c r="J389" s="6">
        <v>46049.74722222222</v>
      </c>
      <c r="K389" s="6">
        <v>46049.774305555555</v>
      </c>
      <c r="L389">
        <v>2.75</v>
      </c>
      <c r="M389" s="6">
        <v>46049.777777777781</v>
      </c>
      <c r="N389">
        <f t="shared" si="5"/>
        <v>15</v>
      </c>
    </row>
    <row r="390" spans="2:14" x14ac:dyDescent="0.25">
      <c r="B390">
        <v>371</v>
      </c>
      <c r="C390" t="s">
        <v>29</v>
      </c>
      <c r="D390">
        <v>1</v>
      </c>
      <c r="E390" t="s">
        <v>30</v>
      </c>
      <c r="F390" s="6">
        <v>46049.552083333336</v>
      </c>
      <c r="G390" s="6">
        <v>46049.559027777781</v>
      </c>
      <c r="H390" s="6">
        <v>46049.576388888891</v>
      </c>
      <c r="I390" s="6">
        <v>46049.597222222219</v>
      </c>
      <c r="J390" s="6">
        <v>46049.604166666664</v>
      </c>
      <c r="K390" s="6">
        <v>46049.611111111109</v>
      </c>
      <c r="L390">
        <v>1.42</v>
      </c>
      <c r="M390" s="6">
        <v>46049.618055555555</v>
      </c>
      <c r="N390">
        <f t="shared" si="5"/>
        <v>13</v>
      </c>
    </row>
    <row r="391" spans="2:14" x14ac:dyDescent="0.25">
      <c r="B391">
        <v>372</v>
      </c>
      <c r="C391" t="s">
        <v>29</v>
      </c>
      <c r="D391">
        <v>1</v>
      </c>
      <c r="E391" t="s">
        <v>30</v>
      </c>
      <c r="F391" s="6">
        <v>46049.71875</v>
      </c>
      <c r="G391" s="6">
        <v>46049.722222222219</v>
      </c>
      <c r="H391" s="6">
        <v>46049.732638888891</v>
      </c>
      <c r="I391" s="6">
        <v>46049.763888888891</v>
      </c>
      <c r="J391" s="6">
        <v>46049.767361111109</v>
      </c>
      <c r="K391" s="6">
        <v>46049.78125</v>
      </c>
      <c r="L391">
        <v>1.5</v>
      </c>
      <c r="M391" s="6">
        <v>46049.784722222219</v>
      </c>
      <c r="N391">
        <f t="shared" si="5"/>
        <v>17</v>
      </c>
    </row>
    <row r="392" spans="2:14" x14ac:dyDescent="0.25">
      <c r="B392">
        <v>373</v>
      </c>
      <c r="C392" t="s">
        <v>33</v>
      </c>
      <c r="D392">
        <v>1</v>
      </c>
      <c r="E392" t="s">
        <v>36</v>
      </c>
      <c r="F392" s="6">
        <v>46050.722222222219</v>
      </c>
      <c r="G392" s="6">
        <v>46050.732638888891</v>
      </c>
      <c r="H392" s="6">
        <v>46050.75</v>
      </c>
      <c r="I392" s="6">
        <v>46050.770833333336</v>
      </c>
      <c r="J392" s="6">
        <v>46050.774305555555</v>
      </c>
      <c r="K392" s="6">
        <v>46050.78125</v>
      </c>
      <c r="L392">
        <v>1.42</v>
      </c>
      <c r="M392" s="6">
        <v>46050.781944444447</v>
      </c>
      <c r="N392">
        <f t="shared" si="5"/>
        <v>17</v>
      </c>
    </row>
    <row r="393" spans="2:14" x14ac:dyDescent="0.25">
      <c r="B393">
        <v>374</v>
      </c>
      <c r="C393" t="s">
        <v>29</v>
      </c>
      <c r="D393">
        <v>1</v>
      </c>
      <c r="E393" t="s">
        <v>36</v>
      </c>
      <c r="F393" s="6">
        <v>46050.677083333336</v>
      </c>
      <c r="G393" s="6">
        <v>46050.694444444445</v>
      </c>
      <c r="H393" s="6">
        <v>46050.708333333336</v>
      </c>
      <c r="I393" s="6">
        <v>46050.772222222222</v>
      </c>
      <c r="J393" s="6">
        <v>46050.779166666667</v>
      </c>
      <c r="K393" s="6">
        <v>46050.784722222219</v>
      </c>
      <c r="L393">
        <v>2.58</v>
      </c>
      <c r="M393" s="6">
        <v>46050.788194444445</v>
      </c>
      <c r="N393">
        <f t="shared" si="5"/>
        <v>16</v>
      </c>
    </row>
    <row r="394" spans="2:14" x14ac:dyDescent="0.25">
      <c r="B394">
        <v>375</v>
      </c>
      <c r="C394" t="s">
        <v>29</v>
      </c>
      <c r="D394">
        <v>1</v>
      </c>
      <c r="E394" t="s">
        <v>32</v>
      </c>
      <c r="F394" s="6">
        <v>46049.729166666664</v>
      </c>
      <c r="G394" s="6">
        <v>46049.736111111109</v>
      </c>
      <c r="H394" s="6">
        <v>46049.743055555555</v>
      </c>
      <c r="I394" s="6">
        <v>46049.784722222219</v>
      </c>
      <c r="J394" s="6">
        <v>46049.791666666664</v>
      </c>
      <c r="K394" s="6">
        <v>46049.805555555555</v>
      </c>
      <c r="L394">
        <v>1.83</v>
      </c>
      <c r="M394" s="6">
        <v>46049.809027777781</v>
      </c>
      <c r="N394">
        <f t="shared" si="5"/>
        <v>17</v>
      </c>
    </row>
    <row r="395" spans="2:14" x14ac:dyDescent="0.25">
      <c r="B395">
        <v>376</v>
      </c>
      <c r="C395" t="s">
        <v>31</v>
      </c>
      <c r="D395">
        <v>1</v>
      </c>
      <c r="E395" t="s">
        <v>30</v>
      </c>
      <c r="F395" s="6">
        <v>46049.944444444445</v>
      </c>
      <c r="G395" s="6">
        <v>46049.954861111109</v>
      </c>
      <c r="H395" s="6">
        <v>46049.965277777781</v>
      </c>
      <c r="I395" s="6">
        <v>46050.069444444445</v>
      </c>
      <c r="J395" s="6">
        <v>46050.076388888891</v>
      </c>
      <c r="K395" s="6">
        <v>46050.895833333336</v>
      </c>
      <c r="L395">
        <v>22.83</v>
      </c>
      <c r="M395" s="6">
        <v>46050.902777777781</v>
      </c>
      <c r="N395">
        <f t="shared" si="5"/>
        <v>22</v>
      </c>
    </row>
    <row r="396" spans="2:14" x14ac:dyDescent="0.25">
      <c r="B396">
        <v>377</v>
      </c>
      <c r="C396" t="s">
        <v>31</v>
      </c>
      <c r="D396">
        <v>1</v>
      </c>
      <c r="E396" t="s">
        <v>30</v>
      </c>
      <c r="F396" s="6">
        <v>46049.888888888891</v>
      </c>
      <c r="G396" s="6">
        <v>46049.895833333336</v>
      </c>
      <c r="H396" s="6">
        <v>46049.899305555555</v>
      </c>
      <c r="I396" s="6">
        <v>46049.958333333336</v>
      </c>
      <c r="J396" s="6">
        <v>46049.965277777781</v>
      </c>
      <c r="K396" s="6">
        <v>46049.975694444445</v>
      </c>
      <c r="L396">
        <v>2.08</v>
      </c>
      <c r="M396" s="6">
        <v>46049.982638888891</v>
      </c>
      <c r="N396">
        <f t="shared" si="5"/>
        <v>21</v>
      </c>
    </row>
    <row r="397" spans="2:14" x14ac:dyDescent="0.25">
      <c r="B397">
        <v>378</v>
      </c>
      <c r="C397" t="s">
        <v>29</v>
      </c>
      <c r="D397">
        <v>1</v>
      </c>
      <c r="E397" t="s">
        <v>30</v>
      </c>
      <c r="F397" s="6">
        <v>46049.833333333336</v>
      </c>
      <c r="G397" s="6">
        <v>46049.84375</v>
      </c>
      <c r="H397" s="6">
        <v>46049.854166666664</v>
      </c>
      <c r="I397" s="6">
        <v>46049.864583333336</v>
      </c>
      <c r="J397" s="6">
        <v>46049.871527777781</v>
      </c>
      <c r="K397" s="6">
        <v>46049.878472222219</v>
      </c>
      <c r="L397">
        <v>1.08</v>
      </c>
      <c r="M397" s="6">
        <v>46049.879166666666</v>
      </c>
      <c r="N397">
        <f t="shared" si="5"/>
        <v>20</v>
      </c>
    </row>
    <row r="398" spans="2:14" x14ac:dyDescent="0.25">
      <c r="B398">
        <v>379</v>
      </c>
      <c r="C398" t="s">
        <v>31</v>
      </c>
      <c r="D398">
        <v>1</v>
      </c>
      <c r="E398" t="s">
        <v>30</v>
      </c>
      <c r="F398" s="6">
        <v>46050.048611111109</v>
      </c>
      <c r="G398" s="6">
        <v>46050.055555555555</v>
      </c>
      <c r="H398" s="6">
        <v>46050.0625</v>
      </c>
      <c r="I398" s="6">
        <v>46050.083333333336</v>
      </c>
      <c r="J398" s="6">
        <v>46050.090277777781</v>
      </c>
      <c r="K398" s="6">
        <v>46050.09375</v>
      </c>
      <c r="L398">
        <v>1.08</v>
      </c>
      <c r="M398" s="6">
        <v>46050.100694444445</v>
      </c>
      <c r="N398">
        <f t="shared" si="5"/>
        <v>1</v>
      </c>
    </row>
    <row r="399" spans="2:14" x14ac:dyDescent="0.25">
      <c r="B399">
        <v>380</v>
      </c>
      <c r="C399" t="s">
        <v>29</v>
      </c>
      <c r="D399">
        <v>1</v>
      </c>
      <c r="E399" t="s">
        <v>30</v>
      </c>
      <c r="F399" s="6">
        <v>46050.034722222219</v>
      </c>
      <c r="G399" s="6">
        <v>46050.038194444445</v>
      </c>
      <c r="H399" s="6">
        <v>46050.069444444445</v>
      </c>
      <c r="I399" s="6">
        <v>46050.104166666664</v>
      </c>
      <c r="J399" s="6">
        <v>46050.111111111109</v>
      </c>
      <c r="K399" s="6">
        <v>46050.114583333336</v>
      </c>
      <c r="L399">
        <v>1.92</v>
      </c>
      <c r="M399" s="6">
        <v>46050.121527777781</v>
      </c>
      <c r="N399">
        <f t="shared" si="5"/>
        <v>0</v>
      </c>
    </row>
    <row r="400" spans="2:14" x14ac:dyDescent="0.25">
      <c r="B400">
        <v>381</v>
      </c>
      <c r="C400" t="s">
        <v>29</v>
      </c>
      <c r="D400">
        <v>1</v>
      </c>
      <c r="E400" t="s">
        <v>35</v>
      </c>
      <c r="F400" s="6">
        <v>46050.444444444445</v>
      </c>
      <c r="G400" s="6">
        <v>46050.451388888891</v>
      </c>
      <c r="H400" s="6">
        <v>46050.475694444445</v>
      </c>
      <c r="I400" s="6">
        <v>46050.510416666664</v>
      </c>
      <c r="J400" s="6">
        <v>46050.513888888891</v>
      </c>
      <c r="K400" s="6">
        <v>46050.520833333336</v>
      </c>
      <c r="L400">
        <v>1.83</v>
      </c>
      <c r="M400" s="6">
        <v>46050.527777777781</v>
      </c>
      <c r="N400">
        <f t="shared" si="5"/>
        <v>10</v>
      </c>
    </row>
    <row r="401" spans="2:14" x14ac:dyDescent="0.25">
      <c r="B401">
        <v>382</v>
      </c>
      <c r="C401" t="s">
        <v>31</v>
      </c>
      <c r="D401">
        <v>1</v>
      </c>
      <c r="E401" t="s">
        <v>37</v>
      </c>
      <c r="F401" s="6">
        <v>46050.166666666664</v>
      </c>
      <c r="G401" s="6">
        <v>46050.177083333336</v>
      </c>
      <c r="H401" s="6">
        <v>46050.1875</v>
      </c>
      <c r="I401" s="6">
        <v>46050.21875</v>
      </c>
      <c r="J401" s="6">
        <v>46050.225694444445</v>
      </c>
      <c r="K401" s="6">
        <v>46050.690972222219</v>
      </c>
      <c r="L401">
        <v>12.58</v>
      </c>
      <c r="M401" s="6">
        <v>46050.692361111112</v>
      </c>
      <c r="N401">
        <f t="shared" si="5"/>
        <v>4</v>
      </c>
    </row>
    <row r="402" spans="2:14" x14ac:dyDescent="0.25">
      <c r="B402">
        <v>383</v>
      </c>
      <c r="C402" t="s">
        <v>31</v>
      </c>
      <c r="D402">
        <v>1</v>
      </c>
      <c r="E402" t="s">
        <v>30</v>
      </c>
      <c r="F402" s="6">
        <v>46050.225694444445</v>
      </c>
      <c r="G402" s="6">
        <v>46050.236111111109</v>
      </c>
      <c r="H402" s="6">
        <v>46050.5</v>
      </c>
      <c r="I402" s="6">
        <v>46050.538888888892</v>
      </c>
      <c r="J402" s="6">
        <v>46050.614583333336</v>
      </c>
      <c r="K402" s="6">
        <v>46050.618055555555</v>
      </c>
      <c r="L402">
        <v>9.42</v>
      </c>
      <c r="M402" s="6">
        <v>46050.625</v>
      </c>
      <c r="N402">
        <f t="shared" si="5"/>
        <v>5</v>
      </c>
    </row>
    <row r="403" spans="2:14" x14ac:dyDescent="0.25">
      <c r="B403">
        <v>384</v>
      </c>
      <c r="C403" t="s">
        <v>33</v>
      </c>
      <c r="D403">
        <v>1</v>
      </c>
      <c r="E403" t="s">
        <v>30</v>
      </c>
      <c r="F403" s="6">
        <v>46050.611111111109</v>
      </c>
      <c r="G403" s="6">
        <v>46050.625</v>
      </c>
      <c r="H403" s="6">
        <v>46050.642361111109</v>
      </c>
      <c r="I403" s="6">
        <v>46050.798611111109</v>
      </c>
      <c r="J403" s="6">
        <v>46050.805555555555</v>
      </c>
      <c r="K403" s="6">
        <v>46050.819444444445</v>
      </c>
      <c r="L403">
        <v>5</v>
      </c>
      <c r="M403" s="6">
        <v>46050.826388888891</v>
      </c>
      <c r="N403">
        <f t="shared" si="5"/>
        <v>14</v>
      </c>
    </row>
    <row r="404" spans="2:14" x14ac:dyDescent="0.25">
      <c r="B404">
        <v>385</v>
      </c>
      <c r="C404" t="s">
        <v>33</v>
      </c>
      <c r="D404">
        <v>1</v>
      </c>
      <c r="E404" t="s">
        <v>35</v>
      </c>
      <c r="F404" s="6">
        <v>46050.576388888891</v>
      </c>
      <c r="G404" s="6">
        <v>46050.583333333336</v>
      </c>
      <c r="H404" s="6">
        <v>46050.59375</v>
      </c>
      <c r="I404" s="6">
        <v>46050.625</v>
      </c>
      <c r="J404" s="6">
        <v>46050.631944444445</v>
      </c>
      <c r="K404" s="6">
        <v>46050.635416666664</v>
      </c>
      <c r="L404">
        <v>1.42</v>
      </c>
      <c r="M404" s="6">
        <v>46050.642361111109</v>
      </c>
      <c r="N404">
        <f t="shared" si="5"/>
        <v>13</v>
      </c>
    </row>
    <row r="405" spans="2:14" x14ac:dyDescent="0.25">
      <c r="B405">
        <v>386</v>
      </c>
      <c r="C405" t="s">
        <v>31</v>
      </c>
      <c r="D405">
        <v>1</v>
      </c>
      <c r="E405" t="s">
        <v>35</v>
      </c>
      <c r="F405" s="6">
        <v>46050.684027777781</v>
      </c>
      <c r="G405" s="6">
        <v>46050.694444444445</v>
      </c>
      <c r="H405" s="6">
        <v>46050.701388888891</v>
      </c>
      <c r="I405" s="6">
        <v>46050.895833333336</v>
      </c>
      <c r="J405" s="6">
        <v>46050.902777777781</v>
      </c>
      <c r="K405" s="6">
        <v>46050.916666666664</v>
      </c>
      <c r="L405">
        <v>5.58</v>
      </c>
      <c r="M405" s="6">
        <v>46050.923611111109</v>
      </c>
      <c r="N405">
        <f t="shared" ref="N405:N468" si="6">HOUR(F405)</f>
        <v>16</v>
      </c>
    </row>
    <row r="406" spans="2:14" x14ac:dyDescent="0.25">
      <c r="B406">
        <v>387</v>
      </c>
      <c r="C406" t="s">
        <v>29</v>
      </c>
      <c r="D406">
        <v>1</v>
      </c>
      <c r="E406" t="s">
        <v>36</v>
      </c>
      <c r="F406" s="6">
        <v>46051.291666666664</v>
      </c>
      <c r="G406" s="6">
        <v>46051.34375</v>
      </c>
      <c r="H406" s="6">
        <v>46051.368055555555</v>
      </c>
      <c r="I406" s="6">
        <v>46051.472222222219</v>
      </c>
      <c r="J406" s="6">
        <v>46051.479166666664</v>
      </c>
      <c r="K406" s="6">
        <v>46051.486111111109</v>
      </c>
      <c r="L406">
        <v>4.67</v>
      </c>
      <c r="M406" s="6">
        <v>46051.493055555555</v>
      </c>
      <c r="N406">
        <f t="shared" si="6"/>
        <v>7</v>
      </c>
    </row>
    <row r="407" spans="2:14" x14ac:dyDescent="0.25">
      <c r="B407">
        <v>388</v>
      </c>
      <c r="C407" t="s">
        <v>33</v>
      </c>
      <c r="D407">
        <v>1</v>
      </c>
      <c r="E407" t="s">
        <v>36</v>
      </c>
      <c r="F407" s="6">
        <v>46051.53125</v>
      </c>
      <c r="G407" s="6">
        <v>46051.572916666664</v>
      </c>
      <c r="H407" s="6">
        <v>46051.597222222219</v>
      </c>
      <c r="I407" s="6">
        <v>46051.708333333336</v>
      </c>
      <c r="J407" s="6">
        <v>46051.715277777781</v>
      </c>
      <c r="K407" s="6">
        <v>46051.722222222219</v>
      </c>
      <c r="L407">
        <v>4.58</v>
      </c>
      <c r="M407" s="6">
        <v>46051.729166666664</v>
      </c>
      <c r="N407">
        <f t="shared" si="6"/>
        <v>12</v>
      </c>
    </row>
    <row r="408" spans="2:14" x14ac:dyDescent="0.25">
      <c r="B408">
        <v>389</v>
      </c>
      <c r="C408" t="s">
        <v>33</v>
      </c>
      <c r="D408">
        <v>1</v>
      </c>
      <c r="E408" t="s">
        <v>30</v>
      </c>
      <c r="F408" s="6">
        <v>46059.572916666664</v>
      </c>
      <c r="G408" s="6">
        <v>46059.579861111109</v>
      </c>
      <c r="H408" s="6">
        <v>46059.638888888891</v>
      </c>
      <c r="I408" s="6">
        <v>46059.697222222225</v>
      </c>
      <c r="J408" s="6">
        <v>46059.70416666667</v>
      </c>
      <c r="K408" s="6">
        <v>46059.71875</v>
      </c>
      <c r="L408">
        <v>3.5</v>
      </c>
      <c r="M408" s="6">
        <v>46059.725694444445</v>
      </c>
      <c r="N408">
        <f t="shared" si="6"/>
        <v>13</v>
      </c>
    </row>
    <row r="409" spans="2:14" x14ac:dyDescent="0.25">
      <c r="B409">
        <v>390</v>
      </c>
      <c r="C409" t="s">
        <v>31</v>
      </c>
      <c r="D409">
        <v>1</v>
      </c>
      <c r="E409" t="s">
        <v>30</v>
      </c>
      <c r="F409" s="6">
        <v>46059.572916666664</v>
      </c>
      <c r="G409" s="6">
        <v>46059.579861111109</v>
      </c>
      <c r="H409" s="6">
        <v>46059.638888888891</v>
      </c>
      <c r="I409" s="6">
        <v>46059.697222222225</v>
      </c>
      <c r="J409" s="6">
        <v>46059.70416666667</v>
      </c>
      <c r="K409" s="6">
        <v>46059.71875</v>
      </c>
      <c r="L409">
        <v>3.5</v>
      </c>
      <c r="M409" s="6">
        <v>46059.725694444445</v>
      </c>
      <c r="N409">
        <f t="shared" si="6"/>
        <v>13</v>
      </c>
    </row>
    <row r="410" spans="2:14" x14ac:dyDescent="0.25">
      <c r="B410">
        <v>391</v>
      </c>
      <c r="C410" t="s">
        <v>33</v>
      </c>
      <c r="D410">
        <v>1</v>
      </c>
      <c r="E410" t="s">
        <v>30</v>
      </c>
      <c r="F410" s="6">
        <v>46052.594444444447</v>
      </c>
      <c r="G410" s="6">
        <v>46052.611111111109</v>
      </c>
      <c r="H410" s="6">
        <v>46052.694444444445</v>
      </c>
      <c r="I410" s="6">
        <v>46052.774305555555</v>
      </c>
      <c r="J410" s="6">
        <v>46052.791666666664</v>
      </c>
      <c r="K410" s="6">
        <v>46052.857638888891</v>
      </c>
      <c r="L410">
        <v>6.32</v>
      </c>
      <c r="M410" s="6">
        <v>46052.864583333336</v>
      </c>
      <c r="N410">
        <f t="shared" si="6"/>
        <v>14</v>
      </c>
    </row>
    <row r="411" spans="2:14" x14ac:dyDescent="0.25">
      <c r="B411">
        <v>392</v>
      </c>
      <c r="C411" t="s">
        <v>29</v>
      </c>
      <c r="D411">
        <v>1</v>
      </c>
      <c r="E411" t="s">
        <v>37</v>
      </c>
      <c r="F411" s="6">
        <v>46051.243055555555</v>
      </c>
      <c r="G411" s="6">
        <v>46051.246527777781</v>
      </c>
      <c r="H411" s="6">
        <v>46051.25</v>
      </c>
      <c r="I411" s="6">
        <v>46051.277777777781</v>
      </c>
      <c r="J411" s="6">
        <v>46051.27847222222</v>
      </c>
      <c r="K411" s="6">
        <v>46051.28125</v>
      </c>
      <c r="L411">
        <v>0.92</v>
      </c>
      <c r="M411" s="6">
        <v>46051.282638888886</v>
      </c>
      <c r="N411">
        <f t="shared" si="6"/>
        <v>5</v>
      </c>
    </row>
    <row r="412" spans="2:14" x14ac:dyDescent="0.25">
      <c r="B412">
        <v>393</v>
      </c>
      <c r="C412" t="s">
        <v>31</v>
      </c>
      <c r="D412">
        <v>1</v>
      </c>
      <c r="E412" t="s">
        <v>30</v>
      </c>
      <c r="F412" s="6">
        <v>46051.291666666664</v>
      </c>
      <c r="G412" s="6">
        <v>46051.322916666664</v>
      </c>
      <c r="H412" s="6">
        <v>46051.340277777781</v>
      </c>
      <c r="I412" s="6">
        <v>46051.418055555558</v>
      </c>
      <c r="J412" s="6">
        <v>46051.420138888891</v>
      </c>
      <c r="K412" s="6">
        <v>46051.430555555555</v>
      </c>
      <c r="L412">
        <v>3.33</v>
      </c>
      <c r="M412" s="6">
        <v>46051.434027777781</v>
      </c>
      <c r="N412">
        <f t="shared" si="6"/>
        <v>7</v>
      </c>
    </row>
    <row r="413" spans="2:14" x14ac:dyDescent="0.25">
      <c r="B413">
        <v>394</v>
      </c>
      <c r="C413" t="s">
        <v>31</v>
      </c>
      <c r="D413">
        <v>1</v>
      </c>
      <c r="E413" t="s">
        <v>35</v>
      </c>
      <c r="F413" s="6">
        <v>46051.46875</v>
      </c>
      <c r="G413" s="6">
        <v>46051.503472222219</v>
      </c>
      <c r="H413" s="6">
        <v>46051.517361111109</v>
      </c>
      <c r="I413" s="6">
        <v>46051.615277777775</v>
      </c>
      <c r="J413" s="6">
        <v>46051.62222222222</v>
      </c>
      <c r="K413" s="6">
        <v>46051.631944444445</v>
      </c>
      <c r="L413">
        <v>3.92</v>
      </c>
      <c r="M413" s="6">
        <v>46051.635416666664</v>
      </c>
      <c r="N413">
        <f t="shared" si="6"/>
        <v>11</v>
      </c>
    </row>
    <row r="414" spans="2:14" x14ac:dyDescent="0.25">
      <c r="B414">
        <v>395</v>
      </c>
      <c r="C414" t="s">
        <v>31</v>
      </c>
      <c r="D414">
        <v>1</v>
      </c>
      <c r="E414" t="s">
        <v>35</v>
      </c>
      <c r="F414" s="6">
        <v>46051.548611111109</v>
      </c>
      <c r="G414" s="6">
        <v>46051.555555555555</v>
      </c>
      <c r="H414" s="6">
        <v>46051.5625</v>
      </c>
      <c r="I414" s="6">
        <v>46051.59375</v>
      </c>
      <c r="J414" s="6">
        <v>46051.600694444445</v>
      </c>
      <c r="K414" s="6">
        <v>46051.604166666664</v>
      </c>
      <c r="L414">
        <v>1.33</v>
      </c>
      <c r="M414" s="6">
        <v>46051.611111111109</v>
      </c>
      <c r="N414">
        <f t="shared" si="6"/>
        <v>13</v>
      </c>
    </row>
    <row r="415" spans="2:14" x14ac:dyDescent="0.25">
      <c r="B415">
        <v>396</v>
      </c>
      <c r="C415" t="s">
        <v>33</v>
      </c>
      <c r="D415">
        <v>1</v>
      </c>
      <c r="E415" t="s">
        <v>35</v>
      </c>
      <c r="F415" s="6">
        <v>46051.29583333333</v>
      </c>
      <c r="G415" s="6">
        <v>46051.340277777781</v>
      </c>
      <c r="H415" s="6">
        <v>46051.350694444445</v>
      </c>
      <c r="I415" s="6">
        <v>46051.393750000003</v>
      </c>
      <c r="J415" s="6">
        <v>46051.400694444441</v>
      </c>
      <c r="K415" s="6">
        <v>46051.402777777781</v>
      </c>
      <c r="L415">
        <v>2.57</v>
      </c>
      <c r="M415" s="6">
        <v>46051.404166666667</v>
      </c>
      <c r="N415">
        <f t="shared" si="6"/>
        <v>7</v>
      </c>
    </row>
    <row r="416" spans="2:14" x14ac:dyDescent="0.25">
      <c r="B416">
        <v>397</v>
      </c>
      <c r="C416" t="s">
        <v>33</v>
      </c>
      <c r="D416">
        <v>1</v>
      </c>
      <c r="E416" t="s">
        <v>32</v>
      </c>
      <c r="F416" s="6">
        <v>46051.409722222219</v>
      </c>
      <c r="G416" s="6">
        <v>46051.413194444445</v>
      </c>
      <c r="H416" s="6">
        <v>46051.416666666664</v>
      </c>
      <c r="I416" s="6">
        <v>46051.479166666664</v>
      </c>
      <c r="J416" s="6">
        <v>46051.486111111109</v>
      </c>
      <c r="K416" s="6">
        <v>46051.489583333336</v>
      </c>
      <c r="L416">
        <v>1.92</v>
      </c>
      <c r="M416" s="6">
        <v>46051.496527777781</v>
      </c>
      <c r="N416">
        <f t="shared" si="6"/>
        <v>9</v>
      </c>
    </row>
    <row r="417" spans="2:14" x14ac:dyDescent="0.25">
      <c r="B417">
        <v>398</v>
      </c>
      <c r="C417" t="s">
        <v>29</v>
      </c>
      <c r="D417">
        <v>1</v>
      </c>
      <c r="E417" t="s">
        <v>32</v>
      </c>
      <c r="F417" s="6">
        <v>46051.6875</v>
      </c>
      <c r="G417" s="6">
        <v>46051.694444444445</v>
      </c>
      <c r="H417" s="6">
        <v>46051.701388888891</v>
      </c>
      <c r="I417" s="6">
        <v>46051.729861111111</v>
      </c>
      <c r="J417" s="6">
        <v>46051.736805555556</v>
      </c>
      <c r="K417" s="6">
        <v>46051.737500000003</v>
      </c>
      <c r="L417">
        <v>1.2</v>
      </c>
      <c r="M417" s="6">
        <v>46051.744444444441</v>
      </c>
      <c r="N417">
        <f t="shared" si="6"/>
        <v>16</v>
      </c>
    </row>
    <row r="418" spans="2:14" x14ac:dyDescent="0.25">
      <c r="B418">
        <v>399</v>
      </c>
      <c r="C418" t="s">
        <v>29</v>
      </c>
      <c r="D418">
        <v>1</v>
      </c>
      <c r="E418" t="s">
        <v>30</v>
      </c>
      <c r="F418" s="6">
        <v>46050.845833333333</v>
      </c>
      <c r="G418" s="6">
        <v>46050.854166666664</v>
      </c>
      <c r="H418" s="6">
        <v>46050.865277777775</v>
      </c>
      <c r="I418" s="6">
        <v>46050.865972222222</v>
      </c>
      <c r="J418" s="6">
        <v>46050.872916666667</v>
      </c>
      <c r="K418" s="6">
        <v>46050.874305555553</v>
      </c>
      <c r="L418">
        <v>0.68</v>
      </c>
      <c r="M418" s="6">
        <v>46050.875</v>
      </c>
      <c r="N418">
        <f t="shared" si="6"/>
        <v>20</v>
      </c>
    </row>
    <row r="419" spans="2:14" x14ac:dyDescent="0.25">
      <c r="B419">
        <v>400</v>
      </c>
      <c r="C419" t="s">
        <v>33</v>
      </c>
      <c r="D419">
        <v>1</v>
      </c>
      <c r="E419" t="s">
        <v>30</v>
      </c>
      <c r="F419" s="6">
        <v>46050.902777777781</v>
      </c>
      <c r="G419" s="6">
        <v>46050.90625</v>
      </c>
      <c r="H419" s="6">
        <v>46050.916666666664</v>
      </c>
      <c r="I419" s="6">
        <v>46050.944444444445</v>
      </c>
      <c r="J419" s="6">
        <v>46050.951388888891</v>
      </c>
      <c r="K419" s="6">
        <v>46050.958333333336</v>
      </c>
      <c r="L419">
        <v>1.33</v>
      </c>
      <c r="M419" s="6">
        <v>46050.965277777781</v>
      </c>
      <c r="N419">
        <f t="shared" si="6"/>
        <v>21</v>
      </c>
    </row>
    <row r="420" spans="2:14" x14ac:dyDescent="0.25">
      <c r="B420">
        <v>401</v>
      </c>
      <c r="C420" t="s">
        <v>29</v>
      </c>
      <c r="D420">
        <v>1</v>
      </c>
      <c r="E420" t="s">
        <v>30</v>
      </c>
      <c r="F420" s="6">
        <v>46050.92083333333</v>
      </c>
      <c r="G420" s="6">
        <v>46050.927777777775</v>
      </c>
      <c r="H420" s="6">
        <v>46050.934027777781</v>
      </c>
      <c r="I420" s="6">
        <v>46050.965277777781</v>
      </c>
      <c r="J420" s="6">
        <v>46050.96875</v>
      </c>
      <c r="K420" s="6">
        <v>46050.972222222219</v>
      </c>
      <c r="L420">
        <v>1.23</v>
      </c>
      <c r="M420" s="6">
        <v>46050.979166666664</v>
      </c>
      <c r="N420">
        <f t="shared" si="6"/>
        <v>22</v>
      </c>
    </row>
    <row r="421" spans="2:14" x14ac:dyDescent="0.25">
      <c r="B421">
        <v>402</v>
      </c>
      <c r="C421" t="s">
        <v>31</v>
      </c>
      <c r="D421">
        <v>1</v>
      </c>
      <c r="E421" t="s">
        <v>30</v>
      </c>
      <c r="F421" s="6">
        <v>46050.96875</v>
      </c>
      <c r="G421" s="6">
        <v>46050.979166666664</v>
      </c>
      <c r="H421" s="6">
        <v>46051</v>
      </c>
      <c r="I421" s="6">
        <v>46051.084722222222</v>
      </c>
      <c r="J421" s="6">
        <v>46051.091666666667</v>
      </c>
      <c r="K421" s="6">
        <v>46051.09375</v>
      </c>
      <c r="L421">
        <v>3</v>
      </c>
      <c r="M421" s="6">
        <v>46051.100694444445</v>
      </c>
      <c r="N421">
        <f t="shared" si="6"/>
        <v>23</v>
      </c>
    </row>
    <row r="422" spans="2:14" x14ac:dyDescent="0.25">
      <c r="B422">
        <v>403</v>
      </c>
      <c r="C422" t="s">
        <v>33</v>
      </c>
      <c r="D422">
        <v>1</v>
      </c>
      <c r="E422" t="s">
        <v>30</v>
      </c>
      <c r="F422" s="6">
        <v>46051.027777777781</v>
      </c>
      <c r="G422" s="6">
        <v>46051.038194444445</v>
      </c>
      <c r="H422" s="6">
        <v>46051.055555555555</v>
      </c>
      <c r="I422" s="6">
        <v>46051.079861111109</v>
      </c>
      <c r="J422" s="6">
        <v>46051.083333333336</v>
      </c>
      <c r="K422" s="6">
        <v>46051.09375</v>
      </c>
      <c r="L422">
        <v>1.58</v>
      </c>
      <c r="M422" s="6">
        <v>46051.100694444445</v>
      </c>
      <c r="N422">
        <f t="shared" si="6"/>
        <v>0</v>
      </c>
    </row>
    <row r="423" spans="2:14" x14ac:dyDescent="0.25">
      <c r="B423">
        <v>404</v>
      </c>
      <c r="C423" t="s">
        <v>29</v>
      </c>
      <c r="D423">
        <v>1</v>
      </c>
      <c r="E423" t="s">
        <v>32</v>
      </c>
      <c r="F423" s="6">
        <v>46051.371527777781</v>
      </c>
      <c r="G423" s="6">
        <v>46051.385416666664</v>
      </c>
      <c r="H423" s="6">
        <v>46051.388888888891</v>
      </c>
      <c r="I423" s="6">
        <v>46051.402777777781</v>
      </c>
      <c r="J423" s="6">
        <v>46051.40625</v>
      </c>
      <c r="K423" s="6">
        <v>46051.416666666664</v>
      </c>
      <c r="L423">
        <v>1.08</v>
      </c>
      <c r="M423" s="6">
        <v>46051.423611111109</v>
      </c>
      <c r="N423">
        <f t="shared" si="6"/>
        <v>8</v>
      </c>
    </row>
    <row r="424" spans="2:14" x14ac:dyDescent="0.25">
      <c r="B424">
        <v>405</v>
      </c>
      <c r="C424" t="s">
        <v>33</v>
      </c>
      <c r="D424">
        <v>1</v>
      </c>
      <c r="E424" t="s">
        <v>34</v>
      </c>
      <c r="F424" s="6">
        <v>46052.344444444447</v>
      </c>
      <c r="G424" s="6">
        <v>46052.347222222219</v>
      </c>
      <c r="H424" s="6">
        <v>46052.368055555555</v>
      </c>
      <c r="I424" s="6">
        <v>46052.5</v>
      </c>
      <c r="J424" s="6">
        <v>46052.506944444445</v>
      </c>
      <c r="K424" s="6">
        <v>46052.510416666664</v>
      </c>
      <c r="L424">
        <v>3.98</v>
      </c>
      <c r="M424" s="6">
        <v>46052.517361111109</v>
      </c>
      <c r="N424">
        <f t="shared" si="6"/>
        <v>8</v>
      </c>
    </row>
    <row r="425" spans="2:14" x14ac:dyDescent="0.25">
      <c r="B425">
        <v>406</v>
      </c>
      <c r="C425" t="s">
        <v>29</v>
      </c>
      <c r="D425">
        <v>1</v>
      </c>
      <c r="E425" t="s">
        <v>30</v>
      </c>
      <c r="F425" s="6">
        <v>46051.552083333336</v>
      </c>
      <c r="G425" s="6">
        <v>46051.559027777781</v>
      </c>
      <c r="H425" s="6">
        <v>46051.5625</v>
      </c>
      <c r="I425" s="6">
        <v>46051.576388888891</v>
      </c>
      <c r="J425" s="6">
        <v>46051.583333333336</v>
      </c>
      <c r="K425" s="6">
        <v>46051.586805555555</v>
      </c>
      <c r="L425">
        <v>0.83</v>
      </c>
      <c r="M425" s="6">
        <v>46051.590277777781</v>
      </c>
      <c r="N425">
        <f t="shared" si="6"/>
        <v>13</v>
      </c>
    </row>
    <row r="426" spans="2:14" x14ac:dyDescent="0.25">
      <c r="B426">
        <v>407</v>
      </c>
      <c r="C426" t="s">
        <v>29</v>
      </c>
      <c r="D426">
        <v>1</v>
      </c>
      <c r="E426" t="s">
        <v>34</v>
      </c>
      <c r="F426" s="6">
        <v>46052.291666666664</v>
      </c>
      <c r="G426" s="6">
        <v>46052.315972222219</v>
      </c>
      <c r="H426" s="6">
        <v>46052.350694444445</v>
      </c>
      <c r="I426" s="6">
        <v>46052.381944444445</v>
      </c>
      <c r="J426" s="6">
        <v>46052.385416666664</v>
      </c>
      <c r="K426" s="6">
        <v>46052.409722222219</v>
      </c>
      <c r="L426">
        <v>2.83</v>
      </c>
      <c r="M426" s="6">
        <v>46052.410416666666</v>
      </c>
      <c r="N426">
        <f t="shared" si="6"/>
        <v>7</v>
      </c>
    </row>
    <row r="427" spans="2:14" x14ac:dyDescent="0.25">
      <c r="B427">
        <v>408</v>
      </c>
      <c r="C427" t="s">
        <v>31</v>
      </c>
      <c r="D427">
        <v>1</v>
      </c>
      <c r="E427" t="s">
        <v>34</v>
      </c>
      <c r="F427" s="6">
        <v>46052.607638888891</v>
      </c>
      <c r="G427" s="6">
        <v>46052.625</v>
      </c>
      <c r="H427" s="6">
        <v>46052.645833333336</v>
      </c>
      <c r="I427" s="6">
        <v>46052.6875</v>
      </c>
      <c r="J427" s="6">
        <v>46052.694444444445</v>
      </c>
      <c r="K427" s="6">
        <v>46052.746527777781</v>
      </c>
      <c r="L427">
        <v>3.33</v>
      </c>
      <c r="M427" s="6">
        <v>46052.74722222222</v>
      </c>
      <c r="N427">
        <f t="shared" si="6"/>
        <v>14</v>
      </c>
    </row>
    <row r="428" spans="2:14" x14ac:dyDescent="0.25">
      <c r="B428">
        <v>409</v>
      </c>
      <c r="C428" t="s">
        <v>33</v>
      </c>
      <c r="D428">
        <v>1</v>
      </c>
      <c r="E428" t="s">
        <v>36</v>
      </c>
      <c r="F428" s="6">
        <v>46058.380555555559</v>
      </c>
      <c r="G428" s="6">
        <v>46058.385416666664</v>
      </c>
      <c r="H428" s="6">
        <v>46058.388888888891</v>
      </c>
      <c r="I428" s="6">
        <v>46058.395833333336</v>
      </c>
      <c r="J428" s="6">
        <v>46058.402777777781</v>
      </c>
      <c r="K428" s="6">
        <v>46058.404166666667</v>
      </c>
      <c r="L428">
        <v>0.56999999999999995</v>
      </c>
      <c r="M428" s="6">
        <v>46058.411111111112</v>
      </c>
      <c r="N428">
        <f t="shared" si="6"/>
        <v>9</v>
      </c>
    </row>
    <row r="429" spans="2:14" x14ac:dyDescent="0.25">
      <c r="B429">
        <v>410</v>
      </c>
      <c r="C429" t="s">
        <v>31</v>
      </c>
      <c r="D429">
        <v>1</v>
      </c>
      <c r="E429" t="s">
        <v>34</v>
      </c>
      <c r="F429" s="6">
        <v>46052.454861111109</v>
      </c>
      <c r="G429" s="6">
        <v>46052.461805555555</v>
      </c>
      <c r="H429" s="6">
        <v>46052.479166666664</v>
      </c>
      <c r="I429" s="6">
        <v>46052.541666666664</v>
      </c>
      <c r="J429" s="6">
        <v>46052.555555555555</v>
      </c>
      <c r="K429" s="6">
        <v>46052.5625</v>
      </c>
      <c r="L429">
        <v>2.58</v>
      </c>
      <c r="M429" s="6">
        <v>46052.565972222219</v>
      </c>
      <c r="N429">
        <f t="shared" si="6"/>
        <v>10</v>
      </c>
    </row>
    <row r="430" spans="2:14" x14ac:dyDescent="0.25">
      <c r="B430">
        <v>411</v>
      </c>
      <c r="C430" t="s">
        <v>31</v>
      </c>
      <c r="D430">
        <v>1</v>
      </c>
      <c r="E430" t="s">
        <v>30</v>
      </c>
      <c r="F430" s="6">
        <v>46052.291666666664</v>
      </c>
      <c r="G430" s="6">
        <v>46052.350694444445</v>
      </c>
      <c r="H430" s="6">
        <v>46052.385416666664</v>
      </c>
      <c r="I430" s="6">
        <v>46052.482638888891</v>
      </c>
      <c r="J430" s="6">
        <v>46052.506944444445</v>
      </c>
      <c r="K430" s="6">
        <v>46052.520833333336</v>
      </c>
      <c r="L430">
        <v>5.5</v>
      </c>
      <c r="M430" s="6">
        <v>46052.527777777781</v>
      </c>
      <c r="N430">
        <f t="shared" si="6"/>
        <v>7</v>
      </c>
    </row>
    <row r="431" spans="2:14" x14ac:dyDescent="0.25">
      <c r="B431">
        <v>412</v>
      </c>
      <c r="C431" t="s">
        <v>29</v>
      </c>
      <c r="D431">
        <v>1</v>
      </c>
      <c r="E431" t="s">
        <v>34</v>
      </c>
      <c r="F431" s="6">
        <v>46051.659722222219</v>
      </c>
      <c r="G431" s="6">
        <v>46051.666666666664</v>
      </c>
      <c r="H431" s="6">
        <v>46051.680555555555</v>
      </c>
      <c r="I431" s="6">
        <v>46051.715277777781</v>
      </c>
      <c r="J431" s="6">
        <v>46051.722222222219</v>
      </c>
      <c r="K431" s="6">
        <v>46051.729166666664</v>
      </c>
      <c r="L431">
        <v>1.67</v>
      </c>
      <c r="M431" s="6">
        <v>46051.736111111109</v>
      </c>
      <c r="N431">
        <f t="shared" si="6"/>
        <v>15</v>
      </c>
    </row>
    <row r="432" spans="2:14" x14ac:dyDescent="0.25">
      <c r="B432">
        <v>413</v>
      </c>
      <c r="C432" t="s">
        <v>29</v>
      </c>
      <c r="D432">
        <v>1</v>
      </c>
      <c r="E432" t="s">
        <v>30</v>
      </c>
      <c r="F432" s="6">
        <v>46051.78125</v>
      </c>
      <c r="G432" s="6">
        <v>46051.784722222219</v>
      </c>
      <c r="H432" s="6">
        <v>46051.791666666664</v>
      </c>
      <c r="I432" s="6">
        <v>46051.795138888891</v>
      </c>
      <c r="J432" s="6">
        <v>46051.805555555555</v>
      </c>
      <c r="K432" s="6">
        <v>46051.8125</v>
      </c>
      <c r="L432">
        <v>0.75</v>
      </c>
      <c r="M432" s="6">
        <v>46051.819444444445</v>
      </c>
      <c r="N432">
        <f t="shared" si="6"/>
        <v>18</v>
      </c>
    </row>
    <row r="433" spans="2:14" x14ac:dyDescent="0.25">
      <c r="B433">
        <v>414</v>
      </c>
      <c r="C433" t="s">
        <v>33</v>
      </c>
      <c r="D433">
        <v>1</v>
      </c>
      <c r="E433" t="s">
        <v>30</v>
      </c>
      <c r="F433" s="6">
        <v>46051.6875</v>
      </c>
      <c r="G433" s="6">
        <v>46051.694444444445</v>
      </c>
      <c r="H433" s="6">
        <v>46051.704861111109</v>
      </c>
      <c r="I433" s="6">
        <v>46051.708333333336</v>
      </c>
      <c r="J433" s="6">
        <v>46051.715277777781</v>
      </c>
      <c r="K433" s="6">
        <v>46051.854166666664</v>
      </c>
      <c r="L433">
        <v>4</v>
      </c>
      <c r="M433" s="6">
        <v>46051.857638888891</v>
      </c>
      <c r="N433">
        <f t="shared" si="6"/>
        <v>16</v>
      </c>
    </row>
    <row r="434" spans="2:14" x14ac:dyDescent="0.25">
      <c r="B434">
        <v>415</v>
      </c>
      <c r="C434" t="s">
        <v>31</v>
      </c>
      <c r="D434">
        <v>1</v>
      </c>
      <c r="E434" t="s">
        <v>34</v>
      </c>
      <c r="F434" s="6">
        <v>46051.982638888891</v>
      </c>
      <c r="G434" s="6">
        <v>46051.986111111109</v>
      </c>
      <c r="H434" s="6">
        <v>46051.989583333336</v>
      </c>
      <c r="I434" s="6">
        <v>46052.090277777781</v>
      </c>
      <c r="J434" s="6">
        <v>46052.097222222219</v>
      </c>
      <c r="K434" s="6">
        <v>46052.125</v>
      </c>
      <c r="L434">
        <v>3.42</v>
      </c>
      <c r="M434" s="6">
        <v>46052.125694444447</v>
      </c>
      <c r="N434">
        <f t="shared" si="6"/>
        <v>23</v>
      </c>
    </row>
    <row r="435" spans="2:14" x14ac:dyDescent="0.25">
      <c r="B435">
        <v>416</v>
      </c>
      <c r="C435" t="s">
        <v>31</v>
      </c>
      <c r="D435">
        <v>1</v>
      </c>
      <c r="E435" t="s">
        <v>35</v>
      </c>
      <c r="F435" s="6">
        <v>46052.041666666664</v>
      </c>
      <c r="G435" s="6">
        <v>46052.048611111109</v>
      </c>
      <c r="H435" s="6">
        <v>46052.0625</v>
      </c>
      <c r="I435" s="6">
        <v>46052.097222222219</v>
      </c>
      <c r="J435" s="6">
        <v>46052.098611111112</v>
      </c>
      <c r="K435" s="6">
        <v>46052.1</v>
      </c>
      <c r="L435">
        <v>1.4</v>
      </c>
      <c r="M435" s="6">
        <v>46052.100694444445</v>
      </c>
      <c r="N435">
        <f t="shared" si="6"/>
        <v>1</v>
      </c>
    </row>
    <row r="436" spans="2:14" x14ac:dyDescent="0.25">
      <c r="B436">
        <v>417</v>
      </c>
      <c r="C436" t="s">
        <v>33</v>
      </c>
      <c r="D436">
        <v>1</v>
      </c>
      <c r="E436" t="s">
        <v>37</v>
      </c>
      <c r="F436" s="6">
        <v>46052.333333333336</v>
      </c>
      <c r="G436" s="6">
        <v>46052.348611111112</v>
      </c>
      <c r="H436" s="6">
        <v>46052.388888888891</v>
      </c>
      <c r="I436" s="6">
        <v>46052.515277777777</v>
      </c>
      <c r="J436" s="6">
        <v>46052.522222222222</v>
      </c>
      <c r="K436" s="6">
        <v>46052.527777777781</v>
      </c>
      <c r="L436">
        <v>4.67</v>
      </c>
      <c r="M436" s="6">
        <v>46052.534722222219</v>
      </c>
      <c r="N436">
        <f t="shared" si="6"/>
        <v>8</v>
      </c>
    </row>
    <row r="437" spans="2:14" x14ac:dyDescent="0.25">
      <c r="B437">
        <v>418</v>
      </c>
      <c r="C437" t="s">
        <v>29</v>
      </c>
      <c r="D437">
        <v>1</v>
      </c>
      <c r="E437" t="s">
        <v>30</v>
      </c>
      <c r="F437" s="6">
        <v>46052.129166666666</v>
      </c>
      <c r="G437" s="6">
        <v>46052.142361111109</v>
      </c>
      <c r="H437" s="6">
        <v>46052.15625</v>
      </c>
      <c r="I437" s="6">
        <v>46052.207638888889</v>
      </c>
      <c r="J437" s="6">
        <v>46052.208333333336</v>
      </c>
      <c r="K437" s="6">
        <v>46052.215277777781</v>
      </c>
      <c r="L437">
        <v>2.0699999999999998</v>
      </c>
      <c r="M437" s="6">
        <v>46052.21875</v>
      </c>
      <c r="N437">
        <f t="shared" si="6"/>
        <v>3</v>
      </c>
    </row>
    <row r="438" spans="2:14" x14ac:dyDescent="0.25">
      <c r="B438">
        <v>419</v>
      </c>
      <c r="C438" t="s">
        <v>33</v>
      </c>
      <c r="D438">
        <v>1</v>
      </c>
      <c r="E438" t="s">
        <v>37</v>
      </c>
      <c r="F438" s="6">
        <v>46052.166666666664</v>
      </c>
      <c r="G438" s="6">
        <v>46052.173611111109</v>
      </c>
      <c r="H438" s="6">
        <v>46052.180555555555</v>
      </c>
      <c r="I438" s="6">
        <v>46052.194444444445</v>
      </c>
      <c r="J438" s="6">
        <v>46052.201388888891</v>
      </c>
      <c r="K438" s="6">
        <v>46052.208333333336</v>
      </c>
      <c r="L438">
        <v>1</v>
      </c>
      <c r="M438" s="6">
        <v>46052.215277777781</v>
      </c>
      <c r="N438">
        <f t="shared" si="6"/>
        <v>4</v>
      </c>
    </row>
    <row r="439" spans="2:14" x14ac:dyDescent="0.25">
      <c r="B439">
        <v>420</v>
      </c>
      <c r="C439" t="s">
        <v>29</v>
      </c>
      <c r="D439">
        <v>1</v>
      </c>
      <c r="E439" t="s">
        <v>36</v>
      </c>
      <c r="F439" s="6">
        <v>46052.291666666664</v>
      </c>
      <c r="G439" s="6">
        <v>46052.298611111109</v>
      </c>
      <c r="H439" s="6">
        <v>46052.319444444445</v>
      </c>
      <c r="I439" s="6">
        <v>46052.320833333331</v>
      </c>
      <c r="J439" s="6">
        <v>46052.321527777778</v>
      </c>
      <c r="K439" s="6">
        <v>46052.354166666664</v>
      </c>
      <c r="L439">
        <v>1.5</v>
      </c>
      <c r="M439" s="6">
        <v>46052.357638888891</v>
      </c>
      <c r="N439">
        <f t="shared" si="6"/>
        <v>7</v>
      </c>
    </row>
    <row r="440" spans="2:14" x14ac:dyDescent="0.25">
      <c r="B440">
        <v>421</v>
      </c>
      <c r="C440" t="s">
        <v>33</v>
      </c>
      <c r="D440">
        <v>1</v>
      </c>
      <c r="E440" t="s">
        <v>30</v>
      </c>
      <c r="F440" s="6">
        <v>46052.59097222222</v>
      </c>
      <c r="G440" s="6">
        <v>46052.591666666667</v>
      </c>
      <c r="H440" s="6">
        <v>46052.614583333336</v>
      </c>
      <c r="I440" s="6">
        <v>46052.649305555555</v>
      </c>
      <c r="J440" s="6">
        <v>46052.666666666664</v>
      </c>
      <c r="K440" s="6">
        <v>46052.670138888891</v>
      </c>
      <c r="L440">
        <v>1.9</v>
      </c>
      <c r="M440" s="6">
        <v>46052.67083333333</v>
      </c>
      <c r="N440">
        <f t="shared" si="6"/>
        <v>14</v>
      </c>
    </row>
    <row r="441" spans="2:14" x14ac:dyDescent="0.25">
      <c r="B441">
        <v>422</v>
      </c>
      <c r="C441" t="s">
        <v>33</v>
      </c>
      <c r="D441">
        <v>1</v>
      </c>
      <c r="E441" t="s">
        <v>30</v>
      </c>
      <c r="F441" s="6">
        <v>46052.414583333331</v>
      </c>
      <c r="G441" s="6">
        <v>46052.415277777778</v>
      </c>
      <c r="H441" s="6">
        <v>46052.454861111109</v>
      </c>
      <c r="I441" s="6">
        <v>46052.541666666664</v>
      </c>
      <c r="J441" s="6">
        <v>46052.670138888891</v>
      </c>
      <c r="K441" s="6">
        <v>46052.673611111109</v>
      </c>
      <c r="L441">
        <v>6.22</v>
      </c>
      <c r="M441" s="6">
        <v>46052.680555555555</v>
      </c>
      <c r="N441">
        <f t="shared" si="6"/>
        <v>9</v>
      </c>
    </row>
    <row r="442" spans="2:14" x14ac:dyDescent="0.25">
      <c r="B442">
        <v>423</v>
      </c>
      <c r="C442" t="s">
        <v>33</v>
      </c>
      <c r="D442">
        <v>1</v>
      </c>
      <c r="E442" t="s">
        <v>35</v>
      </c>
      <c r="F442" s="6">
        <v>46053.409722222219</v>
      </c>
      <c r="G442" s="6">
        <v>46053.416666666664</v>
      </c>
      <c r="H442" s="6">
        <v>46053.434027777781</v>
      </c>
      <c r="I442" s="6">
        <v>46053.470138888886</v>
      </c>
      <c r="J442" s="6">
        <v>46053.477083333331</v>
      </c>
      <c r="K442" s="6">
        <v>46053.527777777781</v>
      </c>
      <c r="L442">
        <v>2.83</v>
      </c>
      <c r="M442" s="6">
        <v>46053.534722222219</v>
      </c>
      <c r="N442">
        <f t="shared" si="6"/>
        <v>9</v>
      </c>
    </row>
    <row r="443" spans="2:14" x14ac:dyDescent="0.25">
      <c r="B443">
        <v>424</v>
      </c>
      <c r="C443" t="s">
        <v>29</v>
      </c>
      <c r="D443">
        <v>1</v>
      </c>
      <c r="E443" t="s">
        <v>34</v>
      </c>
      <c r="F443" s="6">
        <v>46053.368055555555</v>
      </c>
      <c r="G443" s="6">
        <v>46053.375</v>
      </c>
      <c r="H443" s="6">
        <v>46053.378472222219</v>
      </c>
      <c r="I443" s="6">
        <v>46053.38958333333</v>
      </c>
      <c r="J443" s="6">
        <v>46053.396527777775</v>
      </c>
      <c r="K443" s="6">
        <v>46053.402777777781</v>
      </c>
      <c r="L443">
        <v>0.83</v>
      </c>
      <c r="M443" s="6">
        <v>46053.409722222219</v>
      </c>
      <c r="N443">
        <f t="shared" si="6"/>
        <v>8</v>
      </c>
    </row>
    <row r="444" spans="2:14" x14ac:dyDescent="0.25">
      <c r="B444">
        <v>425</v>
      </c>
      <c r="C444" t="s">
        <v>29</v>
      </c>
      <c r="D444">
        <v>1</v>
      </c>
      <c r="E444" t="s">
        <v>36</v>
      </c>
      <c r="F444" s="6">
        <v>46053.385416666664</v>
      </c>
      <c r="G444" s="6">
        <v>46053.395833333336</v>
      </c>
      <c r="H444" s="6">
        <v>46053.402777777781</v>
      </c>
      <c r="I444" s="6">
        <v>46053.416666666664</v>
      </c>
      <c r="J444" s="6">
        <v>46053.423611111109</v>
      </c>
      <c r="K444" s="6">
        <v>46053.430555555555</v>
      </c>
      <c r="L444">
        <v>1.08</v>
      </c>
      <c r="M444" s="6">
        <v>46053.4375</v>
      </c>
      <c r="N444">
        <f t="shared" si="6"/>
        <v>9</v>
      </c>
    </row>
    <row r="445" spans="2:14" x14ac:dyDescent="0.25">
      <c r="B445">
        <v>426</v>
      </c>
      <c r="C445" t="s">
        <v>29</v>
      </c>
      <c r="D445">
        <v>1</v>
      </c>
      <c r="E445" t="s">
        <v>35</v>
      </c>
      <c r="F445" s="6">
        <v>46055.3125</v>
      </c>
      <c r="G445" s="6">
        <v>46055.319444444445</v>
      </c>
      <c r="H445" s="6">
        <v>46055.375</v>
      </c>
      <c r="I445" s="6">
        <v>46055.458333333336</v>
      </c>
      <c r="J445" s="6">
        <v>46055.465277777781</v>
      </c>
      <c r="K445" s="6">
        <v>46055.527777777781</v>
      </c>
      <c r="L445">
        <v>5.17</v>
      </c>
      <c r="M445" s="6">
        <v>46055.534722222219</v>
      </c>
      <c r="N445">
        <f t="shared" si="6"/>
        <v>7</v>
      </c>
    </row>
    <row r="446" spans="2:14" x14ac:dyDescent="0.25">
      <c r="B446">
        <v>427</v>
      </c>
      <c r="C446" t="s">
        <v>29</v>
      </c>
      <c r="D446">
        <v>1</v>
      </c>
      <c r="E446" t="s">
        <v>36</v>
      </c>
      <c r="F446" s="6">
        <v>46055.482638888891</v>
      </c>
      <c r="G446" s="6">
        <v>46055.489583333336</v>
      </c>
      <c r="H446" s="6">
        <v>46055.506944444445</v>
      </c>
      <c r="I446" s="6">
        <v>46055.606944444444</v>
      </c>
      <c r="J446" s="6">
        <v>46055.613888888889</v>
      </c>
      <c r="K446" s="6">
        <v>46055.618750000001</v>
      </c>
      <c r="L446">
        <v>3.27</v>
      </c>
      <c r="M446" s="6">
        <v>46055.625694444447</v>
      </c>
      <c r="N446">
        <f t="shared" si="6"/>
        <v>11</v>
      </c>
    </row>
    <row r="447" spans="2:14" x14ac:dyDescent="0.25">
      <c r="B447">
        <v>428</v>
      </c>
      <c r="C447" t="s">
        <v>29</v>
      </c>
      <c r="D447">
        <v>1</v>
      </c>
      <c r="E447" t="s">
        <v>30</v>
      </c>
      <c r="F447" s="6">
        <v>46052.604166666664</v>
      </c>
      <c r="G447" s="6">
        <v>46052.631944444445</v>
      </c>
      <c r="H447" s="6">
        <v>46052.666666666664</v>
      </c>
      <c r="I447" s="6">
        <v>46052.68472222222</v>
      </c>
      <c r="J447" s="6">
        <v>46052.691666666666</v>
      </c>
      <c r="K447" s="6">
        <v>46052.708333333336</v>
      </c>
      <c r="L447">
        <v>2.5</v>
      </c>
      <c r="M447" s="6">
        <v>46052.715277777781</v>
      </c>
      <c r="N447">
        <f t="shared" si="6"/>
        <v>14</v>
      </c>
    </row>
    <row r="448" spans="2:14" x14ac:dyDescent="0.25">
      <c r="B448">
        <v>429</v>
      </c>
      <c r="C448" t="s">
        <v>33</v>
      </c>
      <c r="D448">
        <v>1</v>
      </c>
      <c r="E448" t="s">
        <v>30</v>
      </c>
      <c r="F448" s="6">
        <v>46053.440972222219</v>
      </c>
      <c r="G448" s="6">
        <v>46053.447916666664</v>
      </c>
      <c r="H448" s="6">
        <v>46053.489583333336</v>
      </c>
      <c r="I448" s="6">
        <v>46053.534722222219</v>
      </c>
      <c r="J448" s="6">
        <v>46053.541666666664</v>
      </c>
      <c r="K448" s="6">
        <v>46053.5625</v>
      </c>
      <c r="L448">
        <v>2.92</v>
      </c>
      <c r="M448" s="6">
        <v>46053.569444444445</v>
      </c>
      <c r="N448">
        <f t="shared" si="6"/>
        <v>10</v>
      </c>
    </row>
    <row r="449" spans="2:14" x14ac:dyDescent="0.25">
      <c r="B449">
        <v>430</v>
      </c>
      <c r="C449" t="s">
        <v>31</v>
      </c>
      <c r="D449">
        <v>1</v>
      </c>
      <c r="E449" t="s">
        <v>36</v>
      </c>
      <c r="F449" s="6">
        <v>46053.576388888891</v>
      </c>
      <c r="G449" s="6">
        <v>46053.586805555555</v>
      </c>
      <c r="H449" s="6">
        <v>46053.597222222219</v>
      </c>
      <c r="I449" s="6">
        <v>46053.78125</v>
      </c>
      <c r="J449" s="6">
        <v>46053.788194444445</v>
      </c>
      <c r="K449" s="6">
        <v>46053.833333333336</v>
      </c>
      <c r="L449">
        <v>6.17</v>
      </c>
      <c r="M449" s="6">
        <v>46053.840277777781</v>
      </c>
      <c r="N449">
        <f t="shared" si="6"/>
        <v>13</v>
      </c>
    </row>
    <row r="450" spans="2:14" x14ac:dyDescent="0.25">
      <c r="B450">
        <v>431</v>
      </c>
      <c r="C450" t="s">
        <v>33</v>
      </c>
      <c r="D450">
        <v>1</v>
      </c>
      <c r="E450" t="s">
        <v>30</v>
      </c>
      <c r="F450" s="6">
        <v>46052.727777777778</v>
      </c>
      <c r="G450" s="6">
        <v>46052.729166666664</v>
      </c>
      <c r="H450" s="6">
        <v>46052.75</v>
      </c>
      <c r="I450" s="6">
        <v>46052.815972222219</v>
      </c>
      <c r="J450" s="6">
        <v>46052.816666666666</v>
      </c>
      <c r="K450" s="6">
        <v>46052.822916666664</v>
      </c>
      <c r="L450">
        <v>2.2799999999999998</v>
      </c>
      <c r="M450" s="6">
        <v>46052.829861111109</v>
      </c>
      <c r="N450">
        <f t="shared" si="6"/>
        <v>17</v>
      </c>
    </row>
    <row r="451" spans="2:14" x14ac:dyDescent="0.25">
      <c r="B451">
        <v>432</v>
      </c>
      <c r="C451" t="s">
        <v>33</v>
      </c>
      <c r="D451">
        <v>1</v>
      </c>
      <c r="E451" t="s">
        <v>30</v>
      </c>
      <c r="F451" s="6">
        <v>46052.840277777781</v>
      </c>
      <c r="G451" s="6">
        <v>46052.847222222219</v>
      </c>
      <c r="H451" s="6">
        <v>46052.868055555555</v>
      </c>
      <c r="I451" s="6">
        <v>46052.923611111109</v>
      </c>
      <c r="J451" s="6">
        <v>46052.930555555555</v>
      </c>
      <c r="K451" s="6">
        <v>46052.9375</v>
      </c>
      <c r="L451">
        <v>2.33</v>
      </c>
      <c r="M451" s="6">
        <v>46052.944444444445</v>
      </c>
      <c r="N451">
        <f t="shared" si="6"/>
        <v>20</v>
      </c>
    </row>
    <row r="452" spans="2:14" x14ac:dyDescent="0.25">
      <c r="B452">
        <v>433</v>
      </c>
      <c r="C452" t="s">
        <v>31</v>
      </c>
      <c r="D452">
        <v>1</v>
      </c>
      <c r="E452" t="s">
        <v>30</v>
      </c>
      <c r="F452" s="6">
        <v>46052.965277777781</v>
      </c>
      <c r="G452" s="6">
        <v>46052.972222222219</v>
      </c>
      <c r="H452" s="6">
        <v>46052.979166666664</v>
      </c>
      <c r="I452" s="6">
        <v>46053.006944444445</v>
      </c>
      <c r="J452" s="6">
        <v>46053.020833333336</v>
      </c>
      <c r="K452" s="6">
        <v>46053.024305555555</v>
      </c>
      <c r="L452">
        <v>1.42</v>
      </c>
      <c r="M452" s="6">
        <v>46053.027777777781</v>
      </c>
      <c r="N452">
        <f t="shared" si="6"/>
        <v>23</v>
      </c>
    </row>
    <row r="453" spans="2:14" x14ac:dyDescent="0.25">
      <c r="B453">
        <v>434</v>
      </c>
      <c r="C453" t="s">
        <v>29</v>
      </c>
      <c r="D453">
        <v>1</v>
      </c>
      <c r="E453" t="s">
        <v>34</v>
      </c>
      <c r="F453" s="6">
        <v>46053.503472222219</v>
      </c>
      <c r="G453" s="6">
        <v>46053.517361111109</v>
      </c>
      <c r="H453" s="6">
        <v>46053.541666666664</v>
      </c>
      <c r="I453" s="6">
        <v>46053.572916666664</v>
      </c>
      <c r="J453" s="6">
        <v>46053.576388888891</v>
      </c>
      <c r="K453" s="6">
        <v>46053.59375</v>
      </c>
      <c r="L453">
        <v>2.17</v>
      </c>
      <c r="M453" s="6">
        <v>46053.597222222219</v>
      </c>
      <c r="N453">
        <f t="shared" si="6"/>
        <v>12</v>
      </c>
    </row>
    <row r="454" spans="2:14" x14ac:dyDescent="0.25">
      <c r="B454">
        <v>435</v>
      </c>
      <c r="C454" t="s">
        <v>31</v>
      </c>
      <c r="D454">
        <v>1</v>
      </c>
      <c r="E454" t="s">
        <v>30</v>
      </c>
      <c r="F454" s="6">
        <v>46054.559027777781</v>
      </c>
      <c r="G454" s="6">
        <v>46054.5625</v>
      </c>
      <c r="H454" s="6">
        <v>46054.569444444445</v>
      </c>
      <c r="I454" s="6">
        <v>46054.642361111109</v>
      </c>
      <c r="J454" s="6">
        <v>46054.645833333336</v>
      </c>
      <c r="K454" s="6">
        <v>46054.652777777781</v>
      </c>
      <c r="L454">
        <v>2.25</v>
      </c>
      <c r="M454" s="6">
        <v>46054.659722222219</v>
      </c>
      <c r="N454">
        <f t="shared" si="6"/>
        <v>13</v>
      </c>
    </row>
    <row r="455" spans="2:14" x14ac:dyDescent="0.25">
      <c r="B455">
        <v>436</v>
      </c>
      <c r="C455" t="s">
        <v>29</v>
      </c>
      <c r="D455">
        <v>1</v>
      </c>
      <c r="E455" t="s">
        <v>32</v>
      </c>
      <c r="F455" s="6">
        <v>46072.534722222219</v>
      </c>
      <c r="G455" s="6">
        <v>46072.541666666664</v>
      </c>
      <c r="H455" s="6">
        <v>46072.555555555555</v>
      </c>
      <c r="I455" s="6">
        <v>46072.583333333336</v>
      </c>
      <c r="J455" s="6">
        <v>46072.590277777781</v>
      </c>
      <c r="K455" s="6">
        <v>46072.59375</v>
      </c>
      <c r="L455">
        <v>1.42</v>
      </c>
      <c r="M455" s="6">
        <v>46072.600694444445</v>
      </c>
      <c r="N455">
        <f t="shared" si="6"/>
        <v>12</v>
      </c>
    </row>
    <row r="456" spans="2:14" x14ac:dyDescent="0.25">
      <c r="B456">
        <v>437</v>
      </c>
      <c r="C456" t="s">
        <v>33</v>
      </c>
      <c r="D456">
        <v>1</v>
      </c>
      <c r="E456" t="s">
        <v>34</v>
      </c>
      <c r="F456" s="6">
        <v>46054.420138888891</v>
      </c>
      <c r="G456" s="6">
        <v>46054.434027777781</v>
      </c>
      <c r="H456" s="6">
        <v>46054.451388888891</v>
      </c>
      <c r="I456" s="6">
        <v>46054.465277777781</v>
      </c>
      <c r="J456" s="6">
        <v>46054.472222222219</v>
      </c>
      <c r="K456" s="6">
        <v>46054.475694444445</v>
      </c>
      <c r="L456">
        <v>1.33</v>
      </c>
      <c r="M456" s="6">
        <v>46054.479166666664</v>
      </c>
      <c r="N456">
        <f t="shared" si="6"/>
        <v>10</v>
      </c>
    </row>
    <row r="457" spans="2:14" x14ac:dyDescent="0.25">
      <c r="B457">
        <v>438</v>
      </c>
      <c r="C457" t="s">
        <v>31</v>
      </c>
      <c r="D457">
        <v>1</v>
      </c>
      <c r="E457" t="s">
        <v>30</v>
      </c>
      <c r="F457" s="6">
        <v>46053.736111111109</v>
      </c>
      <c r="G457" s="6">
        <v>46053.75</v>
      </c>
      <c r="H457" s="6">
        <v>46053.770833333336</v>
      </c>
      <c r="I457" s="6">
        <v>46053.798611111109</v>
      </c>
      <c r="J457" s="6">
        <v>46053.819444444445</v>
      </c>
      <c r="K457" s="6">
        <v>46053.856249999997</v>
      </c>
      <c r="L457">
        <v>2.87</v>
      </c>
      <c r="M457" s="6">
        <v>46053.863194444442</v>
      </c>
      <c r="N457">
        <f t="shared" si="6"/>
        <v>17</v>
      </c>
    </row>
    <row r="458" spans="2:14" x14ac:dyDescent="0.25">
      <c r="B458">
        <v>439</v>
      </c>
      <c r="C458" t="s">
        <v>31</v>
      </c>
      <c r="D458">
        <v>1</v>
      </c>
      <c r="E458" t="s">
        <v>34</v>
      </c>
      <c r="F458" s="6">
        <v>46054.003472222219</v>
      </c>
      <c r="G458" s="6">
        <v>46054.010416666664</v>
      </c>
      <c r="H458" s="6">
        <v>46054.020833333336</v>
      </c>
      <c r="I458" s="6">
        <v>46054.029166666667</v>
      </c>
      <c r="J458" s="6">
        <v>46054.036111111112</v>
      </c>
      <c r="K458" s="6">
        <v>46054.041666666664</v>
      </c>
      <c r="L458">
        <v>0.92</v>
      </c>
      <c r="M458" s="6">
        <v>46054.048611111109</v>
      </c>
      <c r="N458">
        <f t="shared" si="6"/>
        <v>0</v>
      </c>
    </row>
    <row r="459" spans="2:14" x14ac:dyDescent="0.25">
      <c r="B459">
        <v>440</v>
      </c>
      <c r="C459" t="s">
        <v>31</v>
      </c>
      <c r="D459">
        <v>1</v>
      </c>
      <c r="E459" t="s">
        <v>34</v>
      </c>
      <c r="F459" s="6">
        <v>46054.017361111109</v>
      </c>
      <c r="G459" s="6">
        <v>46054.020833333336</v>
      </c>
      <c r="H459" s="6">
        <v>46054.027777777781</v>
      </c>
      <c r="I459" s="6">
        <v>46054.048611111109</v>
      </c>
      <c r="J459" s="6">
        <v>46054.052083333336</v>
      </c>
      <c r="K459" s="6">
        <v>46054.054166666669</v>
      </c>
      <c r="L459">
        <v>0.88</v>
      </c>
      <c r="M459" s="6">
        <v>46054.055555555555</v>
      </c>
      <c r="N459">
        <f t="shared" si="6"/>
        <v>0</v>
      </c>
    </row>
    <row r="460" spans="2:14" x14ac:dyDescent="0.25">
      <c r="B460">
        <v>441</v>
      </c>
      <c r="C460" t="s">
        <v>33</v>
      </c>
      <c r="D460">
        <v>1</v>
      </c>
      <c r="E460" t="s">
        <v>34</v>
      </c>
      <c r="F460" s="6">
        <v>46054.258333333331</v>
      </c>
      <c r="G460" s="6">
        <v>46054.260416666664</v>
      </c>
      <c r="H460" s="6">
        <v>46054.267361111109</v>
      </c>
      <c r="I460" s="6">
        <v>46054.326388888891</v>
      </c>
      <c r="J460" s="6">
        <v>46054.354166666664</v>
      </c>
      <c r="K460" s="6">
        <v>46054.458333333336</v>
      </c>
      <c r="L460">
        <v>4.8</v>
      </c>
      <c r="M460" s="6">
        <v>46054.465277777781</v>
      </c>
      <c r="N460">
        <f t="shared" si="6"/>
        <v>6</v>
      </c>
    </row>
    <row r="461" spans="2:14" x14ac:dyDescent="0.25">
      <c r="B461">
        <v>442</v>
      </c>
      <c r="C461" t="s">
        <v>31</v>
      </c>
      <c r="D461">
        <v>1</v>
      </c>
      <c r="E461" t="s">
        <v>30</v>
      </c>
      <c r="F461" s="6">
        <v>46054.354166666664</v>
      </c>
      <c r="G461" s="6">
        <v>46054.357638888891</v>
      </c>
      <c r="H461" s="6">
        <v>46054.375</v>
      </c>
      <c r="I461" s="6">
        <v>46054.402777777781</v>
      </c>
      <c r="J461" s="6">
        <v>46054.40625</v>
      </c>
      <c r="K461" s="6">
        <v>46054.413194444445</v>
      </c>
      <c r="L461">
        <v>1.42</v>
      </c>
      <c r="M461" s="6">
        <v>46054.420138888891</v>
      </c>
      <c r="N461">
        <f t="shared" si="6"/>
        <v>8</v>
      </c>
    </row>
    <row r="462" spans="2:14" x14ac:dyDescent="0.25">
      <c r="B462">
        <v>443</v>
      </c>
      <c r="C462" t="s">
        <v>29</v>
      </c>
      <c r="D462">
        <v>1</v>
      </c>
      <c r="E462" t="s">
        <v>30</v>
      </c>
      <c r="F462" s="6">
        <v>46054.458333333336</v>
      </c>
      <c r="G462" s="6">
        <v>46054.472222222219</v>
      </c>
      <c r="H462" s="6">
        <v>46054.506944444445</v>
      </c>
      <c r="I462" s="6">
        <v>46054.541666666664</v>
      </c>
      <c r="J462" s="6">
        <v>46054.548611111109</v>
      </c>
      <c r="K462" s="6">
        <v>46054.701388888891</v>
      </c>
      <c r="L462">
        <v>5.83</v>
      </c>
      <c r="M462" s="6">
        <v>46054.708333333336</v>
      </c>
      <c r="N462">
        <f t="shared" si="6"/>
        <v>11</v>
      </c>
    </row>
    <row r="463" spans="2:14" x14ac:dyDescent="0.25">
      <c r="B463">
        <v>444</v>
      </c>
      <c r="C463" t="s">
        <v>33</v>
      </c>
      <c r="D463">
        <v>1</v>
      </c>
      <c r="E463" t="s">
        <v>32</v>
      </c>
      <c r="F463" s="6">
        <v>46055.326388888891</v>
      </c>
      <c r="G463" s="6">
        <v>46055.333333333336</v>
      </c>
      <c r="H463" s="6">
        <v>46055.340277777781</v>
      </c>
      <c r="I463" s="6">
        <v>46055.381944444445</v>
      </c>
      <c r="J463" s="6">
        <v>46055.388888888891</v>
      </c>
      <c r="K463" s="6">
        <v>46055.392361111109</v>
      </c>
      <c r="L463">
        <v>1.58</v>
      </c>
      <c r="M463" s="6">
        <v>46055.399305555555</v>
      </c>
      <c r="N463">
        <f t="shared" si="6"/>
        <v>7</v>
      </c>
    </row>
    <row r="464" spans="2:14" x14ac:dyDescent="0.25">
      <c r="B464">
        <v>445</v>
      </c>
      <c r="C464" t="s">
        <v>31</v>
      </c>
      <c r="D464">
        <v>1</v>
      </c>
      <c r="E464" t="s">
        <v>32</v>
      </c>
      <c r="F464" s="6">
        <v>46055.347222222219</v>
      </c>
      <c r="G464" s="6">
        <v>46055.357638888891</v>
      </c>
      <c r="H464" s="6">
        <v>46055.368055555555</v>
      </c>
      <c r="I464" s="6">
        <v>46055.434027777781</v>
      </c>
      <c r="J464" s="6">
        <v>46055.440972222219</v>
      </c>
      <c r="K464" s="6">
        <v>46055.444444444445</v>
      </c>
      <c r="L464">
        <v>2.33</v>
      </c>
      <c r="M464" s="6">
        <v>46055.451388888891</v>
      </c>
      <c r="N464">
        <f t="shared" si="6"/>
        <v>8</v>
      </c>
    </row>
    <row r="465" spans="2:14" x14ac:dyDescent="0.25">
      <c r="B465">
        <v>446</v>
      </c>
      <c r="C465" t="s">
        <v>29</v>
      </c>
      <c r="D465">
        <v>1</v>
      </c>
      <c r="E465" t="s">
        <v>30</v>
      </c>
      <c r="F465" s="6">
        <v>46055.291666666664</v>
      </c>
      <c r="G465" s="6">
        <v>46055.336805555555</v>
      </c>
      <c r="H465" s="6">
        <v>46055.357638888891</v>
      </c>
      <c r="I465" s="6">
        <v>46055.416666666664</v>
      </c>
      <c r="J465" s="6">
        <v>46055.423611111109</v>
      </c>
      <c r="K465" s="6">
        <v>46055.430555555555</v>
      </c>
      <c r="L465">
        <v>3.33</v>
      </c>
      <c r="M465" s="6">
        <v>46055.4375</v>
      </c>
      <c r="N465">
        <f t="shared" si="6"/>
        <v>7</v>
      </c>
    </row>
    <row r="466" spans="2:14" x14ac:dyDescent="0.25">
      <c r="B466">
        <v>447</v>
      </c>
      <c r="C466" t="s">
        <v>29</v>
      </c>
      <c r="D466">
        <v>1</v>
      </c>
      <c r="E466" t="s">
        <v>34</v>
      </c>
      <c r="F466" s="6">
        <v>46055.604861111111</v>
      </c>
      <c r="G466" s="6">
        <v>46055.611805555556</v>
      </c>
      <c r="H466" s="6">
        <v>46055.631944444445</v>
      </c>
      <c r="I466" s="6">
        <v>46055.652777777781</v>
      </c>
      <c r="J466" s="6">
        <v>46055.659722222219</v>
      </c>
      <c r="K466" s="6">
        <v>46055.680555555555</v>
      </c>
      <c r="L466">
        <v>1.82</v>
      </c>
      <c r="M466" s="6">
        <v>46055.6875</v>
      </c>
      <c r="N466">
        <f t="shared" si="6"/>
        <v>14</v>
      </c>
    </row>
    <row r="467" spans="2:14" x14ac:dyDescent="0.25">
      <c r="B467">
        <v>448</v>
      </c>
      <c r="C467" t="s">
        <v>33</v>
      </c>
      <c r="D467">
        <v>1</v>
      </c>
      <c r="E467" t="s">
        <v>37</v>
      </c>
      <c r="F467" s="6">
        <v>46055.458333333336</v>
      </c>
      <c r="G467" s="6">
        <v>46055.472222222219</v>
      </c>
      <c r="H467" s="6">
        <v>46055.479166666664</v>
      </c>
      <c r="I467" s="6">
        <v>46055.517361111109</v>
      </c>
      <c r="J467" s="6">
        <v>46055.520833333336</v>
      </c>
      <c r="K467" s="6">
        <v>46055.521527777775</v>
      </c>
      <c r="L467">
        <v>1.52</v>
      </c>
      <c r="M467" s="6">
        <v>46055.522222222222</v>
      </c>
      <c r="N467">
        <f t="shared" si="6"/>
        <v>11</v>
      </c>
    </row>
    <row r="468" spans="2:14" x14ac:dyDescent="0.25">
      <c r="B468">
        <v>449</v>
      </c>
      <c r="C468" t="s">
        <v>33</v>
      </c>
      <c r="D468">
        <v>1</v>
      </c>
      <c r="E468" t="s">
        <v>30</v>
      </c>
      <c r="F468" s="6">
        <v>46054.657638888886</v>
      </c>
      <c r="G468" s="6">
        <v>46054.663194444445</v>
      </c>
      <c r="H468" s="6">
        <v>46054.684027777781</v>
      </c>
      <c r="I468" s="6">
        <v>46054.739583333336</v>
      </c>
      <c r="J468" s="6">
        <v>46054.75</v>
      </c>
      <c r="K468" s="6">
        <v>46054.756944444445</v>
      </c>
      <c r="L468">
        <v>2.38</v>
      </c>
      <c r="M468" s="6">
        <v>46054.760416666664</v>
      </c>
      <c r="N468">
        <f t="shared" si="6"/>
        <v>15</v>
      </c>
    </row>
    <row r="469" spans="2:14" x14ac:dyDescent="0.25">
      <c r="B469">
        <v>450</v>
      </c>
      <c r="C469" t="s">
        <v>33</v>
      </c>
      <c r="D469">
        <v>1</v>
      </c>
      <c r="E469" t="s">
        <v>36</v>
      </c>
      <c r="F469" s="6">
        <v>46055.611111111109</v>
      </c>
      <c r="G469" s="6">
        <v>46055.635416666664</v>
      </c>
      <c r="H469" s="6">
        <v>46055.65625</v>
      </c>
      <c r="I469" s="6">
        <v>46055.681250000001</v>
      </c>
      <c r="J469" s="6">
        <v>46055.688194444447</v>
      </c>
      <c r="K469" s="6">
        <v>46055.688888888886</v>
      </c>
      <c r="L469">
        <v>1.87</v>
      </c>
      <c r="M469" s="6">
        <v>46055.695833333331</v>
      </c>
      <c r="N469">
        <f t="shared" ref="N469:N532" si="7">HOUR(F469)</f>
        <v>14</v>
      </c>
    </row>
    <row r="470" spans="2:14" x14ac:dyDescent="0.25">
      <c r="B470">
        <v>451</v>
      </c>
      <c r="C470" t="s">
        <v>33</v>
      </c>
      <c r="D470">
        <v>1</v>
      </c>
      <c r="E470" t="s">
        <v>34</v>
      </c>
      <c r="F470" s="6">
        <v>46054.736111111109</v>
      </c>
      <c r="G470" s="6">
        <v>46054.743055555555</v>
      </c>
      <c r="H470" s="6">
        <v>46054.75</v>
      </c>
      <c r="I470" s="6">
        <v>46054.802083333336</v>
      </c>
      <c r="J470" s="6">
        <v>46054.809027777781</v>
      </c>
      <c r="K470" s="6">
        <v>46054.8125</v>
      </c>
      <c r="L470">
        <v>1.83</v>
      </c>
      <c r="M470" s="6">
        <v>46054.819444444445</v>
      </c>
      <c r="N470">
        <f t="shared" si="7"/>
        <v>17</v>
      </c>
    </row>
    <row r="471" spans="2:14" x14ac:dyDescent="0.25">
      <c r="B471">
        <v>452</v>
      </c>
      <c r="C471" t="s">
        <v>33</v>
      </c>
      <c r="D471">
        <v>1</v>
      </c>
      <c r="E471" t="s">
        <v>30</v>
      </c>
      <c r="F471" s="6">
        <v>46055.027777777781</v>
      </c>
      <c r="G471" s="6">
        <v>46055.034722222219</v>
      </c>
      <c r="H471" s="6">
        <v>46055.052083333336</v>
      </c>
      <c r="I471" s="6">
        <v>46055.111111111109</v>
      </c>
      <c r="J471" s="6">
        <v>46055.131944444445</v>
      </c>
      <c r="K471" s="6">
        <v>46055.138888888891</v>
      </c>
      <c r="L471">
        <v>2.67</v>
      </c>
      <c r="M471" s="6">
        <v>46055.142361111109</v>
      </c>
      <c r="N471">
        <f t="shared" si="7"/>
        <v>0</v>
      </c>
    </row>
    <row r="472" spans="2:14" x14ac:dyDescent="0.25">
      <c r="B472">
        <v>453</v>
      </c>
      <c r="C472" t="s">
        <v>31</v>
      </c>
      <c r="D472">
        <v>1</v>
      </c>
      <c r="E472" t="s">
        <v>35</v>
      </c>
      <c r="F472" s="6">
        <v>46054.881944444445</v>
      </c>
      <c r="G472" s="6">
        <v>46054.885416666664</v>
      </c>
      <c r="H472" s="6">
        <v>46054.902777777781</v>
      </c>
      <c r="I472" s="6">
        <v>46054.981249999997</v>
      </c>
      <c r="J472" s="6">
        <v>46055.024305555555</v>
      </c>
      <c r="K472" s="6">
        <v>46055.027777777781</v>
      </c>
      <c r="L472">
        <v>3.5</v>
      </c>
      <c r="M472" s="6">
        <v>46055.034722222219</v>
      </c>
      <c r="N472">
        <f t="shared" si="7"/>
        <v>21</v>
      </c>
    </row>
    <row r="473" spans="2:14" x14ac:dyDescent="0.25">
      <c r="B473">
        <v>454</v>
      </c>
      <c r="C473" t="s">
        <v>31</v>
      </c>
      <c r="D473">
        <v>1</v>
      </c>
      <c r="E473" t="s">
        <v>30</v>
      </c>
      <c r="F473" s="6">
        <v>46054.957638888889</v>
      </c>
      <c r="G473" s="6">
        <v>46054.958333333336</v>
      </c>
      <c r="H473" s="6">
        <v>46054.959027777775</v>
      </c>
      <c r="I473" s="6">
        <v>46054.965277777781</v>
      </c>
      <c r="J473" s="6">
        <v>46054.972222222219</v>
      </c>
      <c r="K473" s="6">
        <v>46054.973611111112</v>
      </c>
      <c r="L473">
        <v>0.38</v>
      </c>
      <c r="M473" s="6">
        <v>46054.980555555558</v>
      </c>
      <c r="N473">
        <f t="shared" si="7"/>
        <v>22</v>
      </c>
    </row>
    <row r="474" spans="2:14" x14ac:dyDescent="0.25">
      <c r="B474">
        <v>455</v>
      </c>
      <c r="C474" t="s">
        <v>33</v>
      </c>
      <c r="D474">
        <v>1</v>
      </c>
      <c r="E474" t="s">
        <v>36</v>
      </c>
      <c r="F474" s="6">
        <v>46055.288194444445</v>
      </c>
      <c r="G474" s="6">
        <v>46055.350694444445</v>
      </c>
      <c r="H474" s="6">
        <v>46055.357638888891</v>
      </c>
      <c r="I474" s="6">
        <v>46055.441666666666</v>
      </c>
      <c r="J474" s="6">
        <v>46055.444444444445</v>
      </c>
      <c r="K474" s="6">
        <v>46055.451388888891</v>
      </c>
      <c r="L474">
        <v>3.92</v>
      </c>
      <c r="M474" s="6">
        <v>46055.454861111109</v>
      </c>
      <c r="N474">
        <f t="shared" si="7"/>
        <v>6</v>
      </c>
    </row>
    <row r="475" spans="2:14" x14ac:dyDescent="0.25">
      <c r="B475">
        <v>456</v>
      </c>
      <c r="C475" t="s">
        <v>33</v>
      </c>
      <c r="D475">
        <v>1</v>
      </c>
      <c r="E475" t="s">
        <v>30</v>
      </c>
      <c r="F475" s="6">
        <v>46055.555555555555</v>
      </c>
      <c r="G475" s="6">
        <v>46055.569444444445</v>
      </c>
      <c r="H475" s="6">
        <v>46055.576388888891</v>
      </c>
      <c r="I475" s="6">
        <v>46055.715277777781</v>
      </c>
      <c r="J475" s="6">
        <v>46055.722222222219</v>
      </c>
      <c r="K475" s="6">
        <v>46055.739583333336</v>
      </c>
      <c r="L475">
        <v>4.42</v>
      </c>
      <c r="M475" s="6">
        <v>46055.740277777775</v>
      </c>
      <c r="N475">
        <f t="shared" si="7"/>
        <v>13</v>
      </c>
    </row>
    <row r="476" spans="2:14" x14ac:dyDescent="0.25">
      <c r="B476">
        <v>457</v>
      </c>
      <c r="C476" t="s">
        <v>33</v>
      </c>
      <c r="D476">
        <v>1</v>
      </c>
      <c r="E476" t="s">
        <v>32</v>
      </c>
      <c r="F476" s="6">
        <v>46055.510416666664</v>
      </c>
      <c r="G476" s="6">
        <v>46055.541666666664</v>
      </c>
      <c r="H476" s="6">
        <v>46055.5625</v>
      </c>
      <c r="I476" s="6">
        <v>46055.634027777778</v>
      </c>
      <c r="J476" s="6">
        <v>46055.640972222223</v>
      </c>
      <c r="K476" s="6">
        <v>46055.75</v>
      </c>
      <c r="L476">
        <v>5.75</v>
      </c>
      <c r="M476" s="6">
        <v>46055.756944444445</v>
      </c>
      <c r="N476">
        <f t="shared" si="7"/>
        <v>12</v>
      </c>
    </row>
    <row r="477" spans="2:14" x14ac:dyDescent="0.25">
      <c r="B477">
        <v>458</v>
      </c>
      <c r="C477" t="s">
        <v>33</v>
      </c>
      <c r="D477">
        <v>1</v>
      </c>
      <c r="E477" t="s">
        <v>30</v>
      </c>
      <c r="F477" s="6">
        <v>46055.736111111109</v>
      </c>
      <c r="G477" s="6">
        <v>46055.746527777781</v>
      </c>
      <c r="H477" s="6">
        <v>46055.756944444445</v>
      </c>
      <c r="I477" s="6">
        <v>46055.805555555555</v>
      </c>
      <c r="J477" s="6">
        <v>46055.8125</v>
      </c>
      <c r="K477" s="6">
        <v>46055.829861111109</v>
      </c>
      <c r="L477">
        <v>2.25</v>
      </c>
      <c r="M477" s="6">
        <v>46055.836805555555</v>
      </c>
      <c r="N477">
        <f t="shared" si="7"/>
        <v>17</v>
      </c>
    </row>
    <row r="478" spans="2:14" x14ac:dyDescent="0.25">
      <c r="B478">
        <v>459</v>
      </c>
      <c r="C478" t="s">
        <v>29</v>
      </c>
      <c r="D478">
        <v>1</v>
      </c>
      <c r="E478" t="s">
        <v>30</v>
      </c>
      <c r="F478" s="6">
        <v>46055.479166666664</v>
      </c>
      <c r="G478" s="6">
        <v>46055.493055555555</v>
      </c>
      <c r="H478" s="6">
        <v>46055.5</v>
      </c>
      <c r="I478" s="6">
        <v>46055.510416666664</v>
      </c>
      <c r="J478" s="6">
        <v>46055.513888888891</v>
      </c>
      <c r="K478" s="6">
        <v>46055.517361111109</v>
      </c>
      <c r="L478">
        <v>0.92</v>
      </c>
      <c r="M478" s="6">
        <v>46055.520833333336</v>
      </c>
      <c r="N478">
        <f t="shared" si="7"/>
        <v>11</v>
      </c>
    </row>
    <row r="479" spans="2:14" x14ac:dyDescent="0.25">
      <c r="B479">
        <v>460</v>
      </c>
      <c r="C479" t="s">
        <v>29</v>
      </c>
      <c r="D479">
        <v>1</v>
      </c>
      <c r="E479" t="s">
        <v>30</v>
      </c>
      <c r="F479" s="6">
        <v>46055.677083333336</v>
      </c>
      <c r="G479" s="6">
        <v>46055.680555555555</v>
      </c>
      <c r="H479" s="6">
        <v>46055.701388888891</v>
      </c>
      <c r="I479" s="6">
        <v>46055.791666666664</v>
      </c>
      <c r="J479" s="6">
        <v>46055.798611111109</v>
      </c>
      <c r="K479" s="6">
        <v>46055.805555555555</v>
      </c>
      <c r="L479">
        <v>3.08</v>
      </c>
      <c r="M479" s="6">
        <v>46055.806944444441</v>
      </c>
      <c r="N479">
        <f t="shared" si="7"/>
        <v>16</v>
      </c>
    </row>
    <row r="480" spans="2:14" x14ac:dyDescent="0.25">
      <c r="B480">
        <v>461</v>
      </c>
      <c r="C480" t="s">
        <v>33</v>
      </c>
      <c r="D480">
        <v>1</v>
      </c>
      <c r="E480" t="s">
        <v>35</v>
      </c>
      <c r="F480" s="6">
        <v>46056.506944444445</v>
      </c>
      <c r="G480" s="6">
        <v>46056.517361111109</v>
      </c>
      <c r="H480" s="6">
        <v>46056.5625</v>
      </c>
      <c r="I480" s="6">
        <v>46056.677083333336</v>
      </c>
      <c r="J480" s="6">
        <v>46056.684027777781</v>
      </c>
      <c r="K480" s="6">
        <v>46056.704861111109</v>
      </c>
      <c r="L480">
        <v>4.75</v>
      </c>
      <c r="M480" s="6">
        <v>46056.705555555556</v>
      </c>
      <c r="N480">
        <f t="shared" si="7"/>
        <v>12</v>
      </c>
    </row>
    <row r="481" spans="2:14" x14ac:dyDescent="0.25">
      <c r="B481">
        <v>462</v>
      </c>
      <c r="C481" t="s">
        <v>29</v>
      </c>
      <c r="D481">
        <v>1</v>
      </c>
      <c r="E481" t="s">
        <v>35</v>
      </c>
      <c r="F481" s="6">
        <v>46056.333333333336</v>
      </c>
      <c r="G481" s="6">
        <v>46056.340277777781</v>
      </c>
      <c r="H481" s="6">
        <v>46056.34375</v>
      </c>
      <c r="I481" s="6">
        <v>46056.371527777781</v>
      </c>
      <c r="J481" s="6">
        <v>46056.375</v>
      </c>
      <c r="K481" s="6">
        <v>46056.376388888886</v>
      </c>
      <c r="L481">
        <v>1.03</v>
      </c>
      <c r="M481" s="6">
        <v>46056.383333333331</v>
      </c>
      <c r="N481">
        <f t="shared" si="7"/>
        <v>8</v>
      </c>
    </row>
    <row r="482" spans="2:14" x14ac:dyDescent="0.25">
      <c r="B482">
        <v>463</v>
      </c>
      <c r="C482" t="s">
        <v>33</v>
      </c>
      <c r="D482">
        <v>1</v>
      </c>
      <c r="E482" t="s">
        <v>36</v>
      </c>
      <c r="F482" s="6">
        <v>46056.458333333336</v>
      </c>
      <c r="G482" s="6">
        <v>46056.486111111109</v>
      </c>
      <c r="H482" s="6">
        <v>46056.524305555555</v>
      </c>
      <c r="I482" s="6">
        <v>46056.6875</v>
      </c>
      <c r="J482" s="6">
        <v>46056.729166666664</v>
      </c>
      <c r="K482" s="6">
        <v>46056.75</v>
      </c>
      <c r="L482">
        <v>7</v>
      </c>
      <c r="M482" s="6">
        <v>46056.753472222219</v>
      </c>
      <c r="N482">
        <f t="shared" si="7"/>
        <v>11</v>
      </c>
    </row>
    <row r="483" spans="2:14" x14ac:dyDescent="0.25">
      <c r="B483">
        <v>464</v>
      </c>
      <c r="C483" t="s">
        <v>33</v>
      </c>
      <c r="D483">
        <v>1</v>
      </c>
      <c r="E483" t="s">
        <v>36</v>
      </c>
      <c r="F483" s="6">
        <v>46056.295138888891</v>
      </c>
      <c r="G483" s="6">
        <v>46056.315972222219</v>
      </c>
      <c r="H483" s="6">
        <v>46056.333333333336</v>
      </c>
      <c r="I483" s="6">
        <v>46056.375</v>
      </c>
      <c r="J483" s="6">
        <v>46056.381944444445</v>
      </c>
      <c r="K483" s="6">
        <v>46056.430555555555</v>
      </c>
      <c r="L483">
        <v>3.25</v>
      </c>
      <c r="M483" s="6">
        <v>46056.4375</v>
      </c>
      <c r="N483">
        <f t="shared" si="7"/>
        <v>7</v>
      </c>
    </row>
    <row r="484" spans="2:14" x14ac:dyDescent="0.25">
      <c r="B484">
        <v>465</v>
      </c>
      <c r="C484" t="s">
        <v>33</v>
      </c>
      <c r="D484">
        <v>1</v>
      </c>
      <c r="E484" t="s">
        <v>32</v>
      </c>
      <c r="F484" s="6">
        <v>46056.75</v>
      </c>
      <c r="G484" s="6">
        <v>46056.756944444445</v>
      </c>
      <c r="H484" s="6">
        <v>46056.78125</v>
      </c>
      <c r="I484" s="6">
        <v>46056.80972222222</v>
      </c>
      <c r="J484" s="6">
        <v>46056.815972222219</v>
      </c>
      <c r="K484" s="6">
        <v>46056.819444444445</v>
      </c>
      <c r="L484">
        <v>1.67</v>
      </c>
      <c r="M484" s="6">
        <v>46056.822916666664</v>
      </c>
      <c r="N484">
        <f t="shared" si="7"/>
        <v>18</v>
      </c>
    </row>
    <row r="485" spans="2:14" x14ac:dyDescent="0.25">
      <c r="B485">
        <v>466</v>
      </c>
      <c r="C485" t="s">
        <v>29</v>
      </c>
      <c r="D485">
        <v>1</v>
      </c>
      <c r="E485" t="s">
        <v>30</v>
      </c>
      <c r="F485" s="6">
        <v>46056.71875</v>
      </c>
      <c r="G485" s="6">
        <v>46056.729166666664</v>
      </c>
      <c r="H485" s="6">
        <v>46056.770833333336</v>
      </c>
      <c r="I485" s="6">
        <v>46056.791666666664</v>
      </c>
      <c r="J485" s="6">
        <v>46056.795138888891</v>
      </c>
      <c r="K485" s="6">
        <v>46056.805555555555</v>
      </c>
      <c r="L485">
        <v>2.08</v>
      </c>
      <c r="M485" s="6">
        <v>46056.8125</v>
      </c>
      <c r="N485">
        <f t="shared" si="7"/>
        <v>17</v>
      </c>
    </row>
    <row r="486" spans="2:14" x14ac:dyDescent="0.25">
      <c r="B486">
        <v>467</v>
      </c>
      <c r="C486" t="s">
        <v>31</v>
      </c>
      <c r="D486">
        <v>1</v>
      </c>
      <c r="E486" t="s">
        <v>30</v>
      </c>
      <c r="F486" s="6">
        <v>46055.716666666667</v>
      </c>
      <c r="G486" s="6">
        <v>46055.723611111112</v>
      </c>
      <c r="H486" s="6">
        <v>46055.743055555555</v>
      </c>
      <c r="I486" s="6">
        <v>46055.759722222225</v>
      </c>
      <c r="J486" s="6">
        <v>46055.76666666667</v>
      </c>
      <c r="K486" s="6">
        <v>46055.769444444442</v>
      </c>
      <c r="L486">
        <v>1.27</v>
      </c>
      <c r="M486" s="6">
        <v>46055.776388888888</v>
      </c>
      <c r="N486">
        <f t="shared" si="7"/>
        <v>17</v>
      </c>
    </row>
    <row r="487" spans="2:14" x14ac:dyDescent="0.25">
      <c r="B487">
        <v>468</v>
      </c>
      <c r="C487" t="s">
        <v>31</v>
      </c>
      <c r="D487">
        <v>1</v>
      </c>
      <c r="E487" t="s">
        <v>30</v>
      </c>
      <c r="F487" s="6">
        <v>46056.284722222219</v>
      </c>
      <c r="G487" s="6">
        <v>46056.329861111109</v>
      </c>
      <c r="H487" s="6">
        <v>46056.361111111109</v>
      </c>
      <c r="I487" s="6">
        <v>46056.444444444445</v>
      </c>
      <c r="J487" s="6">
        <v>46056.472222222219</v>
      </c>
      <c r="K487" s="6">
        <v>46056.475694444445</v>
      </c>
      <c r="L487">
        <v>4.58</v>
      </c>
      <c r="M487" s="6">
        <v>46056.482638888891</v>
      </c>
      <c r="N487">
        <f t="shared" si="7"/>
        <v>6</v>
      </c>
    </row>
    <row r="488" spans="2:14" x14ac:dyDescent="0.25">
      <c r="B488">
        <v>469</v>
      </c>
      <c r="C488" t="s">
        <v>31</v>
      </c>
      <c r="D488">
        <v>1</v>
      </c>
      <c r="E488" t="s">
        <v>30</v>
      </c>
      <c r="F488" s="6">
        <v>46055.895833333336</v>
      </c>
      <c r="G488" s="6">
        <v>46055.897222222222</v>
      </c>
      <c r="H488" s="6">
        <v>46055.909722222219</v>
      </c>
      <c r="I488" s="6">
        <v>46055.930555555555</v>
      </c>
      <c r="J488" s="6">
        <v>46055.9375</v>
      </c>
      <c r="K488" s="6">
        <v>46055.940972222219</v>
      </c>
      <c r="L488">
        <v>1.08</v>
      </c>
      <c r="M488" s="6">
        <v>46055.947916666664</v>
      </c>
      <c r="N488">
        <f t="shared" si="7"/>
        <v>21</v>
      </c>
    </row>
    <row r="489" spans="2:14" x14ac:dyDescent="0.25">
      <c r="B489">
        <v>470</v>
      </c>
      <c r="C489" t="s">
        <v>29</v>
      </c>
      <c r="D489">
        <v>1</v>
      </c>
      <c r="E489" t="s">
        <v>35</v>
      </c>
      <c r="F489" s="6">
        <v>46055.901388888888</v>
      </c>
      <c r="G489" s="6">
        <v>46055.908333333333</v>
      </c>
      <c r="H489" s="6">
        <v>46055.916666666664</v>
      </c>
      <c r="I489" s="6">
        <v>46055.979166666664</v>
      </c>
      <c r="J489" s="6">
        <v>46055.986111111109</v>
      </c>
      <c r="K489" s="6">
        <v>46055.987500000003</v>
      </c>
      <c r="L489">
        <v>2.0699999999999998</v>
      </c>
      <c r="M489" s="6">
        <v>46055.989583333336</v>
      </c>
      <c r="N489">
        <f t="shared" si="7"/>
        <v>21</v>
      </c>
    </row>
    <row r="490" spans="2:14" x14ac:dyDescent="0.25">
      <c r="B490">
        <v>471</v>
      </c>
      <c r="C490" t="s">
        <v>31</v>
      </c>
      <c r="D490">
        <v>1</v>
      </c>
      <c r="E490" t="s">
        <v>34</v>
      </c>
      <c r="F490" s="6">
        <v>46056.555555555555</v>
      </c>
      <c r="G490" s="6">
        <v>46056.572916666664</v>
      </c>
      <c r="H490" s="6">
        <v>46056.590277777781</v>
      </c>
      <c r="I490" s="6">
        <v>46056.767361111109</v>
      </c>
      <c r="J490" s="6">
        <v>46056.774305555555</v>
      </c>
      <c r="K490" s="6">
        <v>46057.375</v>
      </c>
      <c r="L490">
        <v>19.670000000000002</v>
      </c>
      <c r="M490" s="6">
        <v>46057.381944444445</v>
      </c>
      <c r="N490">
        <f t="shared" si="7"/>
        <v>13</v>
      </c>
    </row>
    <row r="491" spans="2:14" x14ac:dyDescent="0.25">
      <c r="B491">
        <v>472</v>
      </c>
      <c r="C491" t="s">
        <v>33</v>
      </c>
      <c r="D491">
        <v>1</v>
      </c>
      <c r="E491" t="s">
        <v>37</v>
      </c>
      <c r="F491" s="6">
        <v>46055.954861111109</v>
      </c>
      <c r="G491" s="6">
        <v>46055.961805555555</v>
      </c>
      <c r="H491" s="6">
        <v>46055.972222222219</v>
      </c>
      <c r="I491" s="6">
        <v>46056.030555555553</v>
      </c>
      <c r="J491" s="6">
        <v>46056.037499999999</v>
      </c>
      <c r="K491" s="6">
        <v>46056.041666666664</v>
      </c>
      <c r="L491">
        <v>2.08</v>
      </c>
      <c r="M491" s="6">
        <v>46056.048611111109</v>
      </c>
      <c r="N491">
        <f t="shared" si="7"/>
        <v>22</v>
      </c>
    </row>
    <row r="492" spans="2:14" x14ac:dyDescent="0.25">
      <c r="B492">
        <v>473</v>
      </c>
      <c r="C492" t="s">
        <v>31</v>
      </c>
      <c r="D492">
        <v>1</v>
      </c>
      <c r="E492" t="s">
        <v>30</v>
      </c>
      <c r="F492" s="6">
        <v>46056.534722222219</v>
      </c>
      <c r="G492" s="6">
        <v>46056.545138888891</v>
      </c>
      <c r="H492" s="6">
        <v>46056.614583333336</v>
      </c>
      <c r="I492" s="6">
        <v>46056.666666666664</v>
      </c>
      <c r="J492" s="6">
        <v>46056.729166666664</v>
      </c>
      <c r="K492" s="6">
        <v>46056.732638888891</v>
      </c>
      <c r="L492">
        <v>4.75</v>
      </c>
      <c r="M492" s="6">
        <v>46056.736111111109</v>
      </c>
      <c r="N492">
        <f t="shared" si="7"/>
        <v>12</v>
      </c>
    </row>
    <row r="493" spans="2:14" x14ac:dyDescent="0.25">
      <c r="B493">
        <v>474</v>
      </c>
      <c r="C493" t="s">
        <v>29</v>
      </c>
      <c r="D493">
        <v>1</v>
      </c>
      <c r="E493" t="s">
        <v>35</v>
      </c>
      <c r="F493" s="6">
        <v>46056.416666666664</v>
      </c>
      <c r="G493" s="6">
        <v>46056.420138888891</v>
      </c>
      <c r="H493" s="6">
        <v>46056.434027777781</v>
      </c>
      <c r="I493" s="6">
        <v>46056.476388888892</v>
      </c>
      <c r="J493" s="6">
        <v>46056.48333333333</v>
      </c>
      <c r="K493" s="6">
        <v>46056.484027777777</v>
      </c>
      <c r="L493">
        <v>1.62</v>
      </c>
      <c r="M493" s="6">
        <v>46056.490972222222</v>
      </c>
      <c r="N493">
        <f t="shared" si="7"/>
        <v>10</v>
      </c>
    </row>
    <row r="494" spans="2:14" x14ac:dyDescent="0.25">
      <c r="B494">
        <v>475</v>
      </c>
      <c r="C494" t="s">
        <v>31</v>
      </c>
      <c r="D494">
        <v>1</v>
      </c>
      <c r="E494" t="s">
        <v>34</v>
      </c>
      <c r="F494" s="6">
        <v>46056.454861111109</v>
      </c>
      <c r="G494" s="6">
        <v>46056.461805555555</v>
      </c>
      <c r="H494" s="6">
        <v>46056.472222222219</v>
      </c>
      <c r="I494" s="6">
        <v>46056.493055555555</v>
      </c>
      <c r="J494" s="6">
        <v>46056.5</v>
      </c>
      <c r="K494" s="6">
        <v>46056.506944444445</v>
      </c>
      <c r="L494">
        <v>1.25</v>
      </c>
      <c r="M494" s="6">
        <v>46056.513888888891</v>
      </c>
      <c r="N494">
        <f t="shared" si="7"/>
        <v>10</v>
      </c>
    </row>
    <row r="495" spans="2:14" x14ac:dyDescent="0.25">
      <c r="B495">
        <v>476</v>
      </c>
      <c r="C495" t="s">
        <v>29</v>
      </c>
      <c r="D495">
        <v>1</v>
      </c>
      <c r="E495" t="s">
        <v>30</v>
      </c>
      <c r="F495" s="6">
        <v>46056.895833333336</v>
      </c>
      <c r="G495" s="6">
        <v>46056.899305555555</v>
      </c>
      <c r="H495" s="6">
        <v>46056.909722222219</v>
      </c>
      <c r="I495" s="6">
        <v>46056.920138888891</v>
      </c>
      <c r="J495" s="6">
        <v>46056.923611111109</v>
      </c>
      <c r="K495" s="6">
        <v>46056.925694444442</v>
      </c>
      <c r="L495">
        <v>0.72</v>
      </c>
      <c r="M495" s="6">
        <v>46056.932638888888</v>
      </c>
      <c r="N495">
        <f t="shared" si="7"/>
        <v>21</v>
      </c>
    </row>
    <row r="496" spans="2:14" x14ac:dyDescent="0.25">
      <c r="B496">
        <v>477</v>
      </c>
      <c r="C496" t="s">
        <v>33</v>
      </c>
      <c r="D496">
        <v>1</v>
      </c>
      <c r="E496" t="s">
        <v>30</v>
      </c>
      <c r="F496" s="6">
        <v>46056.489583333336</v>
      </c>
      <c r="G496" s="6">
        <v>46056.524305555555</v>
      </c>
      <c r="H496" s="6">
        <v>46056.527777777781</v>
      </c>
      <c r="I496" s="6">
        <v>46056.534722222219</v>
      </c>
      <c r="J496" s="6">
        <v>46056.538194444445</v>
      </c>
      <c r="K496" s="6">
        <v>46056.541666666664</v>
      </c>
      <c r="L496">
        <v>1.25</v>
      </c>
      <c r="M496" s="6">
        <v>46056.548611111109</v>
      </c>
      <c r="N496">
        <f t="shared" si="7"/>
        <v>11</v>
      </c>
    </row>
    <row r="497" spans="2:14" x14ac:dyDescent="0.25">
      <c r="B497">
        <v>478</v>
      </c>
      <c r="C497" t="s">
        <v>29</v>
      </c>
      <c r="D497">
        <v>1</v>
      </c>
      <c r="E497" t="s">
        <v>30</v>
      </c>
      <c r="F497" s="6">
        <v>46056.583333333336</v>
      </c>
      <c r="G497" s="6">
        <v>46056.59375</v>
      </c>
      <c r="H497" s="6">
        <v>46056.604166666664</v>
      </c>
      <c r="I497" s="6">
        <v>46056.645833333336</v>
      </c>
      <c r="J497" s="6">
        <v>46056.652777777781</v>
      </c>
      <c r="K497" s="6">
        <v>46056.666666666664</v>
      </c>
      <c r="L497">
        <v>2</v>
      </c>
      <c r="M497" s="6">
        <v>46056.673611111109</v>
      </c>
      <c r="N497">
        <f t="shared" si="7"/>
        <v>14</v>
      </c>
    </row>
    <row r="498" spans="2:14" x14ac:dyDescent="0.25">
      <c r="B498">
        <v>479</v>
      </c>
      <c r="C498" t="s">
        <v>29</v>
      </c>
      <c r="D498">
        <v>1</v>
      </c>
      <c r="E498" t="s">
        <v>35</v>
      </c>
      <c r="F498" s="6">
        <v>46057.5625</v>
      </c>
      <c r="G498" s="6">
        <v>46057.572916666664</v>
      </c>
      <c r="H498" s="6">
        <v>46057.59375</v>
      </c>
      <c r="I498" s="6">
        <v>46057.724305555559</v>
      </c>
      <c r="J498" s="6">
        <v>46057.743055555555</v>
      </c>
      <c r="K498" s="6">
        <v>46057.746527777781</v>
      </c>
      <c r="L498">
        <v>4.42</v>
      </c>
      <c r="M498" s="6">
        <v>46057.753472222219</v>
      </c>
      <c r="N498">
        <f t="shared" si="7"/>
        <v>13</v>
      </c>
    </row>
    <row r="499" spans="2:14" x14ac:dyDescent="0.25">
      <c r="B499">
        <v>480</v>
      </c>
      <c r="C499" t="s">
        <v>33</v>
      </c>
      <c r="D499">
        <v>1</v>
      </c>
      <c r="E499" t="s">
        <v>36</v>
      </c>
      <c r="F499" s="6">
        <v>46057.572916666664</v>
      </c>
      <c r="G499" s="6">
        <v>46057.701388888891</v>
      </c>
      <c r="H499" s="6">
        <v>46057.708333333336</v>
      </c>
      <c r="I499" s="6">
        <v>46057.756944444445</v>
      </c>
      <c r="J499" s="6">
        <v>46057.777777777781</v>
      </c>
      <c r="K499" s="6">
        <v>46057.784722222219</v>
      </c>
      <c r="L499">
        <v>5.08</v>
      </c>
      <c r="M499" s="6">
        <v>46057.791666666664</v>
      </c>
      <c r="N499">
        <f t="shared" si="7"/>
        <v>13</v>
      </c>
    </row>
    <row r="500" spans="2:14" x14ac:dyDescent="0.25">
      <c r="B500">
        <v>481</v>
      </c>
      <c r="C500" t="s">
        <v>33</v>
      </c>
      <c r="D500">
        <v>1</v>
      </c>
      <c r="E500" t="s">
        <v>32</v>
      </c>
      <c r="F500" s="6">
        <v>46057.326388888891</v>
      </c>
      <c r="G500" s="6">
        <v>46057.333333333336</v>
      </c>
      <c r="H500" s="6">
        <v>46057.354166666664</v>
      </c>
      <c r="I500" s="6">
        <v>46057.515277777777</v>
      </c>
      <c r="J500" s="6">
        <v>46057.522222222222</v>
      </c>
      <c r="K500" s="6">
        <v>46057.534722222219</v>
      </c>
      <c r="L500">
        <v>5</v>
      </c>
      <c r="M500" s="6">
        <v>46057.541666666664</v>
      </c>
      <c r="N500">
        <f t="shared" si="7"/>
        <v>7</v>
      </c>
    </row>
    <row r="501" spans="2:14" x14ac:dyDescent="0.25">
      <c r="B501">
        <v>482</v>
      </c>
      <c r="C501" t="s">
        <v>33</v>
      </c>
      <c r="D501">
        <v>1</v>
      </c>
      <c r="E501" t="s">
        <v>35</v>
      </c>
      <c r="F501" s="6">
        <v>46057.451388888891</v>
      </c>
      <c r="G501" s="6">
        <v>46057.458333333336</v>
      </c>
      <c r="H501" s="6">
        <v>46057.465277777781</v>
      </c>
      <c r="I501" s="6">
        <v>46057.49722222222</v>
      </c>
      <c r="J501" s="6">
        <v>46057.504166666666</v>
      </c>
      <c r="K501" s="6">
        <v>46057.506944444445</v>
      </c>
      <c r="L501">
        <v>1.33</v>
      </c>
      <c r="M501" s="6">
        <v>46057.513888888891</v>
      </c>
      <c r="N501">
        <f t="shared" si="7"/>
        <v>10</v>
      </c>
    </row>
    <row r="502" spans="2:14" x14ac:dyDescent="0.25">
      <c r="B502">
        <v>483</v>
      </c>
      <c r="C502" t="s">
        <v>33</v>
      </c>
      <c r="D502">
        <v>1</v>
      </c>
      <c r="E502" t="s">
        <v>32</v>
      </c>
      <c r="F502" s="6">
        <v>46057.482638888891</v>
      </c>
      <c r="G502" s="6">
        <v>46057.506944444445</v>
      </c>
      <c r="H502" s="6">
        <v>46057.524305555555</v>
      </c>
      <c r="I502" s="6">
        <v>46057.548611111109</v>
      </c>
      <c r="J502" s="6">
        <v>46057.552083333336</v>
      </c>
      <c r="K502" s="6">
        <v>46057.555555555555</v>
      </c>
      <c r="L502">
        <v>1.75</v>
      </c>
      <c r="M502" s="6">
        <v>46057.556250000001</v>
      </c>
      <c r="N502">
        <f t="shared" si="7"/>
        <v>11</v>
      </c>
    </row>
    <row r="503" spans="2:14" x14ac:dyDescent="0.25">
      <c r="B503">
        <v>484</v>
      </c>
      <c r="C503" t="s">
        <v>31</v>
      </c>
      <c r="D503">
        <v>1</v>
      </c>
      <c r="E503" t="s">
        <v>30</v>
      </c>
      <c r="F503" s="6">
        <v>46057.291666666664</v>
      </c>
      <c r="G503" s="6">
        <v>46057.340277777781</v>
      </c>
      <c r="H503" s="6">
        <v>46057.361111111109</v>
      </c>
      <c r="I503" s="6">
        <v>46057.402777777781</v>
      </c>
      <c r="J503" s="6">
        <v>46057.409722222219</v>
      </c>
      <c r="K503" s="6">
        <v>46057.413194444445</v>
      </c>
      <c r="L503">
        <v>2.92</v>
      </c>
      <c r="M503" s="6">
        <v>46057.420138888891</v>
      </c>
      <c r="N503">
        <f t="shared" si="7"/>
        <v>7</v>
      </c>
    </row>
    <row r="504" spans="2:14" x14ac:dyDescent="0.25">
      <c r="B504">
        <v>485</v>
      </c>
      <c r="C504" t="s">
        <v>33</v>
      </c>
      <c r="D504">
        <v>1</v>
      </c>
      <c r="E504" t="s">
        <v>30</v>
      </c>
      <c r="F504" s="6">
        <v>46057.604166666664</v>
      </c>
      <c r="G504" s="6">
        <v>46057.614583333336</v>
      </c>
      <c r="H504" s="6">
        <v>46057.625</v>
      </c>
      <c r="I504" s="6">
        <v>46057.642361111109</v>
      </c>
      <c r="J504" s="6">
        <v>46057.649305555555</v>
      </c>
      <c r="K504" s="6">
        <v>46057.650694444441</v>
      </c>
      <c r="L504">
        <v>1.1200000000000001</v>
      </c>
      <c r="M504" s="6">
        <v>46057.652083333334</v>
      </c>
      <c r="N504">
        <f t="shared" si="7"/>
        <v>14</v>
      </c>
    </row>
    <row r="505" spans="2:14" x14ac:dyDescent="0.25">
      <c r="B505">
        <v>486</v>
      </c>
      <c r="C505" t="s">
        <v>29</v>
      </c>
      <c r="D505">
        <v>1</v>
      </c>
      <c r="E505" t="s">
        <v>36</v>
      </c>
      <c r="F505" s="6">
        <v>46058.319444444445</v>
      </c>
      <c r="G505" s="6">
        <v>46058.322916666664</v>
      </c>
      <c r="H505" s="6">
        <v>46058.326388888891</v>
      </c>
      <c r="I505" s="6">
        <v>46058.357638888891</v>
      </c>
      <c r="J505" s="6">
        <v>46058.364583333336</v>
      </c>
      <c r="K505" s="6">
        <v>46058.368055555555</v>
      </c>
      <c r="L505">
        <v>1.17</v>
      </c>
      <c r="M505" s="6">
        <v>46058.371527777781</v>
      </c>
      <c r="N505">
        <f t="shared" si="7"/>
        <v>7</v>
      </c>
    </row>
    <row r="506" spans="2:14" x14ac:dyDescent="0.25">
      <c r="B506">
        <v>487</v>
      </c>
      <c r="C506" t="s">
        <v>31</v>
      </c>
      <c r="D506">
        <v>1</v>
      </c>
      <c r="E506" t="s">
        <v>30</v>
      </c>
      <c r="F506" s="6">
        <v>46057.291666666664</v>
      </c>
      <c r="G506" s="6">
        <v>46057.322916666664</v>
      </c>
      <c r="H506" s="6">
        <v>46057.347222222219</v>
      </c>
      <c r="I506" s="6">
        <v>46057.427083333336</v>
      </c>
      <c r="J506" s="6">
        <v>46057.434027777781</v>
      </c>
      <c r="K506" s="6">
        <v>46057.4375</v>
      </c>
      <c r="L506">
        <v>3.5</v>
      </c>
      <c r="M506" s="6">
        <v>46057.444444444445</v>
      </c>
      <c r="N506">
        <f t="shared" si="7"/>
        <v>7</v>
      </c>
    </row>
    <row r="507" spans="2:14" x14ac:dyDescent="0.25">
      <c r="B507">
        <v>488</v>
      </c>
      <c r="C507" t="s">
        <v>33</v>
      </c>
      <c r="D507">
        <v>1</v>
      </c>
      <c r="E507" t="s">
        <v>36</v>
      </c>
      <c r="F507" s="6">
        <v>46057.29583333333</v>
      </c>
      <c r="G507" s="6">
        <v>46057.333333333336</v>
      </c>
      <c r="H507" s="6">
        <v>46057.361111111109</v>
      </c>
      <c r="I507" s="6">
        <v>46057.438194444447</v>
      </c>
      <c r="J507" s="6">
        <v>46057.440972222219</v>
      </c>
      <c r="K507" s="6">
        <v>46057.444444444445</v>
      </c>
      <c r="L507">
        <v>3.57</v>
      </c>
      <c r="M507" s="6">
        <v>46057.451388888891</v>
      </c>
      <c r="N507">
        <f t="shared" si="7"/>
        <v>7</v>
      </c>
    </row>
    <row r="508" spans="2:14" x14ac:dyDescent="0.25">
      <c r="B508">
        <v>489</v>
      </c>
      <c r="C508" t="s">
        <v>33</v>
      </c>
      <c r="D508">
        <v>1</v>
      </c>
      <c r="E508" t="s">
        <v>30</v>
      </c>
      <c r="F508" s="6">
        <v>46065.590277777781</v>
      </c>
      <c r="G508" s="6">
        <v>46065.597222222219</v>
      </c>
      <c r="H508" s="6">
        <v>46065.631944444445</v>
      </c>
      <c r="I508" s="6">
        <v>46065.819444444445</v>
      </c>
      <c r="J508" s="6">
        <v>46065.826388888891</v>
      </c>
      <c r="K508" s="6">
        <v>46065.829861111109</v>
      </c>
      <c r="L508">
        <v>5.75</v>
      </c>
      <c r="M508" s="6">
        <v>46065.836805555555</v>
      </c>
      <c r="N508">
        <f t="shared" si="7"/>
        <v>14</v>
      </c>
    </row>
    <row r="509" spans="2:14" x14ac:dyDescent="0.25">
      <c r="B509">
        <v>490</v>
      </c>
      <c r="C509" t="s">
        <v>29</v>
      </c>
      <c r="D509">
        <v>1</v>
      </c>
      <c r="E509" t="s">
        <v>35</v>
      </c>
      <c r="F509" s="6">
        <v>46057.465277777781</v>
      </c>
      <c r="G509" s="6">
        <v>46057.472222222219</v>
      </c>
      <c r="H509" s="6">
        <v>46057.479166666664</v>
      </c>
      <c r="I509" s="6">
        <v>46057.486111111109</v>
      </c>
      <c r="J509" s="6">
        <v>46057.486805555556</v>
      </c>
      <c r="K509" s="6">
        <v>46057.487500000003</v>
      </c>
      <c r="L509">
        <v>0.53</v>
      </c>
      <c r="M509" s="6">
        <v>46057.494444444441</v>
      </c>
      <c r="N509">
        <f t="shared" si="7"/>
        <v>11</v>
      </c>
    </row>
    <row r="510" spans="2:14" x14ac:dyDescent="0.25">
      <c r="B510">
        <v>491</v>
      </c>
      <c r="C510" t="s">
        <v>29</v>
      </c>
      <c r="D510">
        <v>1</v>
      </c>
      <c r="E510" t="s">
        <v>30</v>
      </c>
      <c r="F510" s="6">
        <v>46056.909722222219</v>
      </c>
      <c r="G510" s="6">
        <v>46056.916666666664</v>
      </c>
      <c r="H510" s="6">
        <v>46056.927083333336</v>
      </c>
      <c r="I510" s="6">
        <v>46056.9375</v>
      </c>
      <c r="J510" s="6">
        <v>46057.045138888891</v>
      </c>
      <c r="K510" s="6">
        <v>46057.048611111109</v>
      </c>
      <c r="L510">
        <v>3.33</v>
      </c>
      <c r="M510" s="6">
        <v>46057.055555555555</v>
      </c>
      <c r="N510">
        <f t="shared" si="7"/>
        <v>21</v>
      </c>
    </row>
    <row r="511" spans="2:14" x14ac:dyDescent="0.25">
      <c r="B511">
        <v>492</v>
      </c>
      <c r="C511" t="s">
        <v>33</v>
      </c>
      <c r="D511">
        <v>1</v>
      </c>
      <c r="E511" t="s">
        <v>30</v>
      </c>
      <c r="F511" s="6">
        <v>46056.909722222219</v>
      </c>
      <c r="G511" s="6">
        <v>46056.916666666664</v>
      </c>
      <c r="H511" s="6">
        <v>46056.927083333336</v>
      </c>
      <c r="I511" s="6">
        <v>46056.9375</v>
      </c>
      <c r="J511" s="6">
        <v>46057.045138888891</v>
      </c>
      <c r="K511" s="6">
        <v>46057.048611111109</v>
      </c>
      <c r="L511">
        <v>3.33</v>
      </c>
      <c r="M511" s="6">
        <v>46057.055555555555</v>
      </c>
      <c r="N511">
        <f t="shared" si="7"/>
        <v>21</v>
      </c>
    </row>
    <row r="512" spans="2:14" x14ac:dyDescent="0.25">
      <c r="B512">
        <v>493</v>
      </c>
      <c r="C512" t="s">
        <v>29</v>
      </c>
      <c r="D512">
        <v>1</v>
      </c>
      <c r="E512" t="s">
        <v>30</v>
      </c>
      <c r="F512" s="6">
        <v>46056.956944444442</v>
      </c>
      <c r="G512" s="6">
        <v>46056.958333333336</v>
      </c>
      <c r="H512" s="6">
        <v>46056.961805555555</v>
      </c>
      <c r="I512" s="6">
        <v>46056.975694444445</v>
      </c>
      <c r="J512" s="6">
        <v>46056.979166666664</v>
      </c>
      <c r="K512" s="6">
        <v>46056.980555555558</v>
      </c>
      <c r="L512">
        <v>0.56999999999999995</v>
      </c>
      <c r="M512" s="6">
        <v>46056.982638888891</v>
      </c>
      <c r="N512">
        <f t="shared" si="7"/>
        <v>22</v>
      </c>
    </row>
    <row r="513" spans="2:14" x14ac:dyDescent="0.25">
      <c r="B513">
        <v>494</v>
      </c>
      <c r="C513" t="s">
        <v>31</v>
      </c>
      <c r="D513">
        <v>1</v>
      </c>
      <c r="E513" t="s">
        <v>30</v>
      </c>
      <c r="F513" s="6">
        <v>46057.45</v>
      </c>
      <c r="G513" s="6">
        <v>46057.451388888891</v>
      </c>
      <c r="H513" s="6">
        <v>46057.458333333336</v>
      </c>
      <c r="I513" s="6">
        <v>46057.50277777778</v>
      </c>
      <c r="J513" s="6">
        <v>46057.569444444445</v>
      </c>
      <c r="K513" s="6">
        <v>46057.572916666664</v>
      </c>
      <c r="L513">
        <v>2.95</v>
      </c>
      <c r="M513" s="6">
        <v>46057.576388888891</v>
      </c>
      <c r="N513">
        <f t="shared" si="7"/>
        <v>10</v>
      </c>
    </row>
    <row r="514" spans="2:14" x14ac:dyDescent="0.25">
      <c r="B514">
        <v>495</v>
      </c>
      <c r="C514" t="s">
        <v>29</v>
      </c>
      <c r="D514">
        <v>1</v>
      </c>
      <c r="E514" t="s">
        <v>30</v>
      </c>
      <c r="F514" s="6">
        <v>46057.611111111109</v>
      </c>
      <c r="G514" s="6">
        <v>46057.625</v>
      </c>
      <c r="H514" s="6">
        <v>46057.638888888891</v>
      </c>
      <c r="I514" s="6">
        <v>46057.659722222219</v>
      </c>
      <c r="J514" s="6">
        <v>46057.660416666666</v>
      </c>
      <c r="K514" s="6">
        <v>46057.661111111112</v>
      </c>
      <c r="L514">
        <v>1.2</v>
      </c>
      <c r="M514" s="6">
        <v>46057.668055555558</v>
      </c>
      <c r="N514">
        <f t="shared" si="7"/>
        <v>14</v>
      </c>
    </row>
    <row r="515" spans="2:14" x14ac:dyDescent="0.25">
      <c r="B515">
        <v>496</v>
      </c>
      <c r="C515" t="s">
        <v>29</v>
      </c>
      <c r="D515">
        <v>1</v>
      </c>
      <c r="E515" t="s">
        <v>36</v>
      </c>
      <c r="F515" s="6">
        <v>46066.368055555555</v>
      </c>
      <c r="G515" s="6">
        <v>46066.385416666664</v>
      </c>
      <c r="H515" s="6">
        <v>46066.392361111109</v>
      </c>
      <c r="I515" s="6">
        <v>46066.402777777781</v>
      </c>
      <c r="J515" s="6">
        <v>46066.409722222219</v>
      </c>
      <c r="K515" s="6">
        <v>46066.416666666664</v>
      </c>
      <c r="L515">
        <v>1.17</v>
      </c>
      <c r="M515" s="6">
        <v>46066.423611111109</v>
      </c>
      <c r="N515">
        <f t="shared" si="7"/>
        <v>8</v>
      </c>
    </row>
    <row r="516" spans="2:14" x14ac:dyDescent="0.25">
      <c r="B516">
        <v>497</v>
      </c>
      <c r="C516" t="s">
        <v>33</v>
      </c>
      <c r="D516">
        <v>1</v>
      </c>
      <c r="E516" t="s">
        <v>32</v>
      </c>
      <c r="F516" s="6">
        <v>46071.333333333336</v>
      </c>
      <c r="G516" s="6">
        <v>46071.34375</v>
      </c>
      <c r="H516" s="6">
        <v>46071.354166666664</v>
      </c>
      <c r="I516" s="6">
        <v>46071.416666666664</v>
      </c>
      <c r="J516" s="6">
        <v>46071.430555555555</v>
      </c>
      <c r="K516" s="6">
        <v>46071.434027777781</v>
      </c>
      <c r="L516">
        <v>2.42</v>
      </c>
      <c r="M516" s="6">
        <v>46071.435416666667</v>
      </c>
      <c r="N516">
        <f t="shared" si="7"/>
        <v>8</v>
      </c>
    </row>
    <row r="517" spans="2:14" x14ac:dyDescent="0.25">
      <c r="B517">
        <v>498</v>
      </c>
      <c r="C517" t="s">
        <v>31</v>
      </c>
      <c r="D517">
        <v>1</v>
      </c>
      <c r="E517" t="s">
        <v>35</v>
      </c>
      <c r="F517" s="6">
        <v>46058.291666666664</v>
      </c>
      <c r="G517" s="6">
        <v>46058.326388888891</v>
      </c>
      <c r="H517" s="6">
        <v>46058.347222222219</v>
      </c>
      <c r="I517" s="6">
        <v>46058.444444444445</v>
      </c>
      <c r="J517" s="6">
        <v>46058.458333333336</v>
      </c>
      <c r="K517" s="6">
        <v>46058.465277777781</v>
      </c>
      <c r="L517">
        <v>4.17</v>
      </c>
      <c r="M517" s="6">
        <v>46058.466666666667</v>
      </c>
      <c r="N517">
        <f t="shared" si="7"/>
        <v>7</v>
      </c>
    </row>
    <row r="518" spans="2:14" x14ac:dyDescent="0.25">
      <c r="B518">
        <v>499</v>
      </c>
      <c r="C518" t="s">
        <v>33</v>
      </c>
      <c r="D518">
        <v>1</v>
      </c>
      <c r="E518" t="s">
        <v>34</v>
      </c>
      <c r="F518" s="6">
        <v>46058.298611111109</v>
      </c>
      <c r="G518" s="6">
        <v>46058.322916666664</v>
      </c>
      <c r="H518" s="6">
        <v>46058.326388888891</v>
      </c>
      <c r="I518" s="6">
        <v>46058.40625</v>
      </c>
      <c r="J518" s="6">
        <v>46058.413194444445</v>
      </c>
      <c r="K518" s="6">
        <v>46058.430555555555</v>
      </c>
      <c r="L518">
        <v>3.17</v>
      </c>
      <c r="M518" s="6">
        <v>46058.434027777781</v>
      </c>
      <c r="N518">
        <f t="shared" si="7"/>
        <v>7</v>
      </c>
    </row>
    <row r="519" spans="2:14" x14ac:dyDescent="0.25">
      <c r="B519">
        <v>500</v>
      </c>
      <c r="C519" t="s">
        <v>29</v>
      </c>
      <c r="D519">
        <v>1</v>
      </c>
      <c r="E519" t="s">
        <v>35</v>
      </c>
      <c r="F519" s="6">
        <v>46058.486111111109</v>
      </c>
      <c r="G519" s="6">
        <v>46058.503472222219</v>
      </c>
      <c r="H519" s="6">
        <v>46058.53125</v>
      </c>
      <c r="I519" s="6">
        <v>46058.597222222219</v>
      </c>
      <c r="J519" s="6">
        <v>46058.614583333336</v>
      </c>
      <c r="K519" s="6">
        <v>46058.618055555555</v>
      </c>
      <c r="L519">
        <v>3.17</v>
      </c>
      <c r="M519" s="6">
        <v>46058.625</v>
      </c>
      <c r="N519">
        <f t="shared" si="7"/>
        <v>11</v>
      </c>
    </row>
    <row r="520" spans="2:14" x14ac:dyDescent="0.25">
      <c r="B520">
        <v>501</v>
      </c>
      <c r="C520" t="s">
        <v>31</v>
      </c>
      <c r="D520">
        <v>1</v>
      </c>
      <c r="E520" t="s">
        <v>36</v>
      </c>
      <c r="F520" s="6">
        <v>46058.3125</v>
      </c>
      <c r="G520" s="6">
        <v>46058.322916666664</v>
      </c>
      <c r="H520" s="6">
        <v>46058.340277777781</v>
      </c>
      <c r="I520" s="6">
        <v>46058.423611111109</v>
      </c>
      <c r="J520" s="6">
        <v>46058.430555555555</v>
      </c>
      <c r="K520" s="6">
        <v>46058.434027777781</v>
      </c>
      <c r="L520">
        <v>2.92</v>
      </c>
      <c r="M520" s="6">
        <v>46058.440972222219</v>
      </c>
      <c r="N520">
        <f t="shared" si="7"/>
        <v>7</v>
      </c>
    </row>
    <row r="521" spans="2:14" x14ac:dyDescent="0.25">
      <c r="B521">
        <v>502</v>
      </c>
      <c r="C521" t="s">
        <v>29</v>
      </c>
      <c r="D521">
        <v>1</v>
      </c>
      <c r="E521" t="s">
        <v>30</v>
      </c>
      <c r="F521" s="6">
        <v>46078.75</v>
      </c>
      <c r="G521" s="6">
        <v>46078.770833333336</v>
      </c>
      <c r="H521" s="6">
        <v>46078.774305555555</v>
      </c>
      <c r="I521" s="6">
        <v>46078.791666666664</v>
      </c>
      <c r="J521" s="6">
        <v>46078.792361111111</v>
      </c>
      <c r="K521" s="6">
        <v>46078.805555555555</v>
      </c>
      <c r="L521">
        <v>1.33</v>
      </c>
      <c r="M521" s="6">
        <v>46078.8125</v>
      </c>
      <c r="N521">
        <f t="shared" si="7"/>
        <v>18</v>
      </c>
    </row>
    <row r="522" spans="2:14" x14ac:dyDescent="0.25">
      <c r="B522">
        <v>503</v>
      </c>
      <c r="C522" t="s">
        <v>33</v>
      </c>
      <c r="D522">
        <v>1</v>
      </c>
      <c r="E522" t="s">
        <v>35</v>
      </c>
      <c r="F522" s="6">
        <v>46058.635416666664</v>
      </c>
      <c r="G522" s="6">
        <v>46058.645833333336</v>
      </c>
      <c r="H522" s="6">
        <v>46058.6875</v>
      </c>
      <c r="I522" s="6">
        <v>46058.791666666664</v>
      </c>
      <c r="J522" s="6">
        <v>46058.809027777781</v>
      </c>
      <c r="K522" s="6">
        <v>46058.815972222219</v>
      </c>
      <c r="L522">
        <v>4.33</v>
      </c>
      <c r="M522" s="6">
        <v>46058.822916666664</v>
      </c>
      <c r="N522">
        <f t="shared" si="7"/>
        <v>15</v>
      </c>
    </row>
    <row r="523" spans="2:14" x14ac:dyDescent="0.25">
      <c r="B523">
        <v>504</v>
      </c>
      <c r="C523" t="s">
        <v>33</v>
      </c>
      <c r="D523">
        <v>1</v>
      </c>
      <c r="E523" t="s">
        <v>34</v>
      </c>
      <c r="F523" s="6">
        <v>46057.861805555556</v>
      </c>
      <c r="G523" s="6">
        <v>46057.868055555555</v>
      </c>
      <c r="H523" s="6">
        <v>46057.885416666664</v>
      </c>
      <c r="I523" s="6">
        <v>46057.895833333336</v>
      </c>
      <c r="J523" s="6">
        <v>46057.902777777781</v>
      </c>
      <c r="K523" s="6">
        <v>46057.90902777778</v>
      </c>
      <c r="L523">
        <v>1.1299999999999999</v>
      </c>
      <c r="M523" s="6">
        <v>46057.909722222219</v>
      </c>
      <c r="N523">
        <f t="shared" si="7"/>
        <v>20</v>
      </c>
    </row>
    <row r="524" spans="2:14" x14ac:dyDescent="0.25">
      <c r="B524">
        <v>505</v>
      </c>
      <c r="C524" t="s">
        <v>31</v>
      </c>
      <c r="D524">
        <v>1</v>
      </c>
      <c r="E524" t="s">
        <v>34</v>
      </c>
      <c r="F524" s="6">
        <v>46057.977083333331</v>
      </c>
      <c r="G524" s="6">
        <v>46057.979166666664</v>
      </c>
      <c r="H524" s="6">
        <v>46057.980555555558</v>
      </c>
      <c r="I524" s="6">
        <v>46057.998611111114</v>
      </c>
      <c r="J524" s="6">
        <v>46058.005555555559</v>
      </c>
      <c r="K524" s="6">
        <v>46058.006944444445</v>
      </c>
      <c r="L524">
        <v>0.72</v>
      </c>
      <c r="M524" s="6">
        <v>46058.013888888891</v>
      </c>
      <c r="N524">
        <f t="shared" si="7"/>
        <v>23</v>
      </c>
    </row>
    <row r="525" spans="2:14" x14ac:dyDescent="0.25">
      <c r="B525">
        <v>506</v>
      </c>
      <c r="C525" t="s">
        <v>31</v>
      </c>
      <c r="D525">
        <v>1</v>
      </c>
      <c r="E525" t="s">
        <v>35</v>
      </c>
      <c r="F525" s="6">
        <v>46058.652777777781</v>
      </c>
      <c r="G525" s="6">
        <v>46058.680555555555</v>
      </c>
      <c r="H525" s="6">
        <v>46058.694444444445</v>
      </c>
      <c r="I525" s="6">
        <v>46058.760416666664</v>
      </c>
      <c r="J525" s="6">
        <v>46058.763888888891</v>
      </c>
      <c r="K525" s="6">
        <v>46058.767361111109</v>
      </c>
      <c r="L525">
        <v>2.75</v>
      </c>
      <c r="M525" s="6">
        <v>46058.770833333336</v>
      </c>
      <c r="N525">
        <f t="shared" si="7"/>
        <v>15</v>
      </c>
    </row>
    <row r="526" spans="2:14" x14ac:dyDescent="0.25">
      <c r="B526">
        <v>507</v>
      </c>
      <c r="C526" t="s">
        <v>31</v>
      </c>
      <c r="D526">
        <v>1</v>
      </c>
      <c r="E526" t="s">
        <v>34</v>
      </c>
      <c r="F526" s="6">
        <v>46058.472222222219</v>
      </c>
      <c r="G526" s="6">
        <v>46058.482638888891</v>
      </c>
      <c r="H526" s="6">
        <v>46058.506944444445</v>
      </c>
      <c r="I526" s="6">
        <v>46058.579861111109</v>
      </c>
      <c r="J526" s="6">
        <v>46058.586805555555</v>
      </c>
      <c r="K526" s="6">
        <v>46058.600694444445</v>
      </c>
      <c r="L526">
        <v>3.08</v>
      </c>
      <c r="M526" s="6">
        <v>46058.604166666664</v>
      </c>
      <c r="N526">
        <f t="shared" si="7"/>
        <v>11</v>
      </c>
    </row>
    <row r="527" spans="2:14" x14ac:dyDescent="0.25">
      <c r="B527">
        <v>508</v>
      </c>
      <c r="C527" t="s">
        <v>31</v>
      </c>
      <c r="D527">
        <v>1</v>
      </c>
      <c r="E527" t="s">
        <v>32</v>
      </c>
      <c r="F527" s="6">
        <v>46058.392361111109</v>
      </c>
      <c r="G527" s="6">
        <v>46058.395833333336</v>
      </c>
      <c r="H527" s="6">
        <v>46058.409722222219</v>
      </c>
      <c r="I527" s="6">
        <v>46058.486111111109</v>
      </c>
      <c r="J527" s="6">
        <v>46058.493055555555</v>
      </c>
      <c r="K527" s="6">
        <v>46058.513888888891</v>
      </c>
      <c r="L527">
        <v>2.92</v>
      </c>
      <c r="M527" s="6">
        <v>46058.520833333336</v>
      </c>
      <c r="N527">
        <f t="shared" si="7"/>
        <v>9</v>
      </c>
    </row>
    <row r="528" spans="2:14" x14ac:dyDescent="0.25">
      <c r="B528">
        <v>509</v>
      </c>
      <c r="C528" t="s">
        <v>33</v>
      </c>
      <c r="D528">
        <v>1</v>
      </c>
      <c r="E528" t="s">
        <v>36</v>
      </c>
      <c r="F528" s="6">
        <v>46058.458333333336</v>
      </c>
      <c r="G528" s="6">
        <v>46058.465277777781</v>
      </c>
      <c r="H528" s="6">
        <v>46058.472222222219</v>
      </c>
      <c r="I528" s="6">
        <v>46058.486111111109</v>
      </c>
      <c r="J528" s="6">
        <v>46058.493055555555</v>
      </c>
      <c r="K528" s="6">
        <v>46058.5</v>
      </c>
      <c r="L528">
        <v>1</v>
      </c>
      <c r="M528" s="6">
        <v>46058.506944444445</v>
      </c>
      <c r="N528">
        <f t="shared" si="7"/>
        <v>11</v>
      </c>
    </row>
    <row r="529" spans="2:14" x14ac:dyDescent="0.25">
      <c r="B529">
        <v>510</v>
      </c>
      <c r="C529" t="s">
        <v>29</v>
      </c>
      <c r="D529">
        <v>1</v>
      </c>
      <c r="E529" t="s">
        <v>30</v>
      </c>
      <c r="F529" s="6">
        <v>46058.555555555555</v>
      </c>
      <c r="G529" s="6">
        <v>46058.5625</v>
      </c>
      <c r="H529" s="6">
        <v>46058.565972222219</v>
      </c>
      <c r="I529" s="6">
        <v>46058.583333333336</v>
      </c>
      <c r="J529" s="6">
        <v>46058.586805555555</v>
      </c>
      <c r="K529" s="6">
        <v>46058.588888888888</v>
      </c>
      <c r="L529">
        <v>0.8</v>
      </c>
      <c r="M529" s="6">
        <v>46058.595833333333</v>
      </c>
      <c r="N529">
        <f t="shared" si="7"/>
        <v>13</v>
      </c>
    </row>
    <row r="530" spans="2:14" x14ac:dyDescent="0.25">
      <c r="B530">
        <v>511</v>
      </c>
      <c r="C530" t="s">
        <v>31</v>
      </c>
      <c r="D530">
        <v>1</v>
      </c>
      <c r="E530" t="s">
        <v>30</v>
      </c>
      <c r="F530" s="6">
        <v>46058.457638888889</v>
      </c>
      <c r="G530" s="6">
        <v>46058.489583333336</v>
      </c>
      <c r="H530" s="6">
        <v>46058.503472222219</v>
      </c>
      <c r="I530" s="6">
        <v>46058.583333333336</v>
      </c>
      <c r="J530" s="6">
        <v>46058.590277777781</v>
      </c>
      <c r="K530" s="6">
        <v>46058.763888888891</v>
      </c>
      <c r="L530">
        <v>7.35</v>
      </c>
      <c r="M530" s="6">
        <v>46058.770833333336</v>
      </c>
      <c r="N530">
        <f t="shared" si="7"/>
        <v>10</v>
      </c>
    </row>
    <row r="531" spans="2:14" x14ac:dyDescent="0.25">
      <c r="B531">
        <v>512</v>
      </c>
      <c r="C531" t="s">
        <v>33</v>
      </c>
      <c r="D531">
        <v>1</v>
      </c>
      <c r="E531" t="s">
        <v>32</v>
      </c>
      <c r="F531" s="6">
        <v>46058.5625</v>
      </c>
      <c r="G531" s="6">
        <v>46058.572916666664</v>
      </c>
      <c r="H531" s="6">
        <v>46058.614583333336</v>
      </c>
      <c r="I531" s="6">
        <v>46058.75</v>
      </c>
      <c r="J531" s="6">
        <v>46058.784722222219</v>
      </c>
      <c r="K531" s="6">
        <v>46058.90625</v>
      </c>
      <c r="L531">
        <v>8.25</v>
      </c>
      <c r="M531" s="6">
        <v>46058.909722222219</v>
      </c>
      <c r="N531">
        <f t="shared" si="7"/>
        <v>13</v>
      </c>
    </row>
    <row r="532" spans="2:14" x14ac:dyDescent="0.25">
      <c r="B532">
        <v>513</v>
      </c>
      <c r="C532" t="s">
        <v>29</v>
      </c>
      <c r="D532">
        <v>1</v>
      </c>
      <c r="E532" t="s">
        <v>30</v>
      </c>
      <c r="F532" s="6">
        <v>46058.670138888891</v>
      </c>
      <c r="G532" s="6">
        <v>46058.677083333336</v>
      </c>
      <c r="H532" s="6">
        <v>46058.715277777781</v>
      </c>
      <c r="I532" s="6">
        <v>46058.861111111109</v>
      </c>
      <c r="J532" s="6">
        <v>46058.868055555555</v>
      </c>
      <c r="K532" s="6">
        <v>46058.875</v>
      </c>
      <c r="L532">
        <v>4.92</v>
      </c>
      <c r="M532" s="6">
        <v>46058.881944444445</v>
      </c>
      <c r="N532">
        <f t="shared" si="7"/>
        <v>16</v>
      </c>
    </row>
    <row r="533" spans="2:14" x14ac:dyDescent="0.25">
      <c r="B533">
        <v>514</v>
      </c>
      <c r="C533" t="s">
        <v>33</v>
      </c>
      <c r="D533">
        <v>1</v>
      </c>
      <c r="E533" t="s">
        <v>36</v>
      </c>
      <c r="F533" s="6">
        <v>46058.621527777781</v>
      </c>
      <c r="G533" s="6">
        <v>46058.625</v>
      </c>
      <c r="H533" s="6">
        <v>46058.628472222219</v>
      </c>
      <c r="I533" s="6">
        <v>46058.635416666664</v>
      </c>
      <c r="J533" s="6">
        <v>46058.638888888891</v>
      </c>
      <c r="K533" s="6">
        <v>46058.645833333336</v>
      </c>
      <c r="L533">
        <v>0.57999999999999996</v>
      </c>
      <c r="M533" s="6">
        <v>46058.652777777781</v>
      </c>
      <c r="N533">
        <f t="shared" ref="N533:N596" si="8">HOUR(F533)</f>
        <v>14</v>
      </c>
    </row>
    <row r="534" spans="2:14" x14ac:dyDescent="0.25">
      <c r="B534">
        <v>515</v>
      </c>
      <c r="C534" t="s">
        <v>33</v>
      </c>
      <c r="D534">
        <v>1</v>
      </c>
      <c r="E534" t="s">
        <v>32</v>
      </c>
      <c r="F534" s="6">
        <v>46063.288194444445</v>
      </c>
      <c r="G534" s="6">
        <v>46063.290277777778</v>
      </c>
      <c r="H534" s="6">
        <v>46063.291666666664</v>
      </c>
      <c r="I534" s="6">
        <v>46063.303472222222</v>
      </c>
      <c r="J534" s="6">
        <v>46063.308333333334</v>
      </c>
      <c r="K534" s="6">
        <v>46063.3125</v>
      </c>
      <c r="L534">
        <v>0.57999999999999996</v>
      </c>
      <c r="M534" s="6">
        <v>46063.319444444445</v>
      </c>
      <c r="N534">
        <f t="shared" si="8"/>
        <v>6</v>
      </c>
    </row>
    <row r="535" spans="2:14" x14ac:dyDescent="0.25">
      <c r="B535">
        <v>516</v>
      </c>
      <c r="C535" t="s">
        <v>33</v>
      </c>
      <c r="D535">
        <v>1</v>
      </c>
      <c r="E535" t="s">
        <v>34</v>
      </c>
      <c r="F535" s="6">
        <v>46059.333333333336</v>
      </c>
      <c r="G535" s="6">
        <v>46059.340277777781</v>
      </c>
      <c r="H535" s="6">
        <v>46059.361111111109</v>
      </c>
      <c r="I535" s="6">
        <v>46059.388888888891</v>
      </c>
      <c r="J535" s="6">
        <v>46059.395833333336</v>
      </c>
      <c r="K535" s="6">
        <v>46059.416666666664</v>
      </c>
      <c r="L535">
        <v>2</v>
      </c>
      <c r="M535" s="6">
        <v>46059.423611111109</v>
      </c>
      <c r="N535">
        <f t="shared" si="8"/>
        <v>8</v>
      </c>
    </row>
    <row r="536" spans="2:14" x14ac:dyDescent="0.25">
      <c r="B536">
        <v>517</v>
      </c>
      <c r="C536" t="s">
        <v>31</v>
      </c>
      <c r="D536">
        <v>1</v>
      </c>
      <c r="E536" t="s">
        <v>36</v>
      </c>
      <c r="F536" s="6">
        <v>46059.295138888891</v>
      </c>
      <c r="G536" s="6">
        <v>46059.319444444445</v>
      </c>
      <c r="H536" s="6">
        <v>46059.333333333336</v>
      </c>
      <c r="I536" s="6">
        <v>46059.456944444442</v>
      </c>
      <c r="J536" s="6">
        <v>46059.470138888886</v>
      </c>
      <c r="K536" s="6">
        <v>46059.475694444445</v>
      </c>
      <c r="L536">
        <v>4.33</v>
      </c>
      <c r="M536" s="6">
        <v>46059.482638888891</v>
      </c>
      <c r="N536">
        <f t="shared" si="8"/>
        <v>7</v>
      </c>
    </row>
    <row r="537" spans="2:14" x14ac:dyDescent="0.25">
      <c r="B537">
        <v>518</v>
      </c>
      <c r="C537" t="s">
        <v>29</v>
      </c>
      <c r="D537">
        <v>1</v>
      </c>
      <c r="E537" t="s">
        <v>35</v>
      </c>
      <c r="F537" s="6">
        <v>46059.482638888891</v>
      </c>
      <c r="G537" s="6">
        <v>46059.493055555555</v>
      </c>
      <c r="H537" s="6">
        <v>46059.604166666664</v>
      </c>
      <c r="I537" s="6">
        <v>46059.673611111109</v>
      </c>
      <c r="J537" s="6">
        <v>46059.680555555555</v>
      </c>
      <c r="K537" s="6">
        <v>46059.708333333336</v>
      </c>
      <c r="L537">
        <v>5.42</v>
      </c>
      <c r="M537" s="6">
        <v>46059.715277777781</v>
      </c>
      <c r="N537">
        <f t="shared" si="8"/>
        <v>11</v>
      </c>
    </row>
    <row r="538" spans="2:14" x14ac:dyDescent="0.25">
      <c r="B538">
        <v>519</v>
      </c>
      <c r="C538" t="s">
        <v>33</v>
      </c>
      <c r="D538">
        <v>1</v>
      </c>
      <c r="E538" t="s">
        <v>35</v>
      </c>
      <c r="F538" s="6">
        <v>46059.777777777781</v>
      </c>
      <c r="G538" s="6">
        <v>46059.791666666664</v>
      </c>
      <c r="H538" s="6">
        <v>46059.798611111109</v>
      </c>
      <c r="I538" s="6">
        <v>46059.893055555556</v>
      </c>
      <c r="J538" s="6">
        <v>46059.9</v>
      </c>
      <c r="K538" s="6">
        <v>46059.913194444445</v>
      </c>
      <c r="L538">
        <v>3.25</v>
      </c>
      <c r="M538" s="6">
        <v>46059.916666666664</v>
      </c>
      <c r="N538">
        <f t="shared" si="8"/>
        <v>18</v>
      </c>
    </row>
    <row r="539" spans="2:14" x14ac:dyDescent="0.25">
      <c r="B539">
        <v>520</v>
      </c>
      <c r="C539" t="s">
        <v>29</v>
      </c>
      <c r="D539">
        <v>1</v>
      </c>
      <c r="E539" t="s">
        <v>30</v>
      </c>
      <c r="F539" s="6">
        <v>46059.333333333336</v>
      </c>
      <c r="G539" s="6">
        <v>46059.340277777781</v>
      </c>
      <c r="H539" s="6">
        <v>46059.354166666664</v>
      </c>
      <c r="I539" s="6">
        <v>46059.496527777781</v>
      </c>
      <c r="J539" s="6">
        <v>46059.527777777781</v>
      </c>
      <c r="K539" s="6">
        <v>46059.53125</v>
      </c>
      <c r="L539">
        <v>4.75</v>
      </c>
      <c r="M539" s="6">
        <v>46059.531944444447</v>
      </c>
      <c r="N539">
        <f t="shared" si="8"/>
        <v>8</v>
      </c>
    </row>
    <row r="540" spans="2:14" x14ac:dyDescent="0.25">
      <c r="B540">
        <v>521</v>
      </c>
      <c r="C540" t="s">
        <v>33</v>
      </c>
      <c r="D540">
        <v>1</v>
      </c>
      <c r="E540" t="s">
        <v>35</v>
      </c>
      <c r="F540" s="6">
        <v>46058.909722222219</v>
      </c>
      <c r="G540" s="6">
        <v>46058.920138888891</v>
      </c>
      <c r="H540" s="6">
        <v>46058.936111111114</v>
      </c>
      <c r="I540" s="6">
        <v>46058.96875</v>
      </c>
      <c r="J540" s="6">
        <v>46058.975694444445</v>
      </c>
      <c r="K540" s="6">
        <v>46058.977777777778</v>
      </c>
      <c r="L540">
        <v>1.63</v>
      </c>
      <c r="M540" s="6">
        <v>46058.984722222223</v>
      </c>
      <c r="N540">
        <f t="shared" si="8"/>
        <v>21</v>
      </c>
    </row>
    <row r="541" spans="2:14" x14ac:dyDescent="0.25">
      <c r="B541">
        <v>522</v>
      </c>
      <c r="C541" t="s">
        <v>29</v>
      </c>
      <c r="D541">
        <v>1</v>
      </c>
      <c r="E541" t="s">
        <v>30</v>
      </c>
      <c r="F541" s="6">
        <v>46058.958333333336</v>
      </c>
      <c r="G541" s="6">
        <v>46058.965277777781</v>
      </c>
      <c r="H541" s="6">
        <v>46058.975694444445</v>
      </c>
      <c r="I541" s="6">
        <v>46058.989583333336</v>
      </c>
      <c r="J541" s="6">
        <v>46058.993055555555</v>
      </c>
      <c r="K541" s="6">
        <v>46058.996527777781</v>
      </c>
      <c r="L541">
        <v>0.92</v>
      </c>
      <c r="M541" s="6">
        <v>46059</v>
      </c>
      <c r="N541">
        <f t="shared" si="8"/>
        <v>23</v>
      </c>
    </row>
    <row r="542" spans="2:14" x14ac:dyDescent="0.25">
      <c r="B542">
        <v>523</v>
      </c>
      <c r="C542" t="s">
        <v>33</v>
      </c>
      <c r="D542">
        <v>1</v>
      </c>
      <c r="E542" t="s">
        <v>30</v>
      </c>
      <c r="F542" s="6">
        <v>46059.013888888891</v>
      </c>
      <c r="G542" s="6">
        <v>46059.020833333336</v>
      </c>
      <c r="H542" s="6">
        <v>46059.03125</v>
      </c>
      <c r="I542" s="6">
        <v>46059.09375</v>
      </c>
      <c r="J542" s="6">
        <v>46059.100694444445</v>
      </c>
      <c r="K542" s="6">
        <v>46059.708333333336</v>
      </c>
      <c r="L542">
        <v>16.670000000000002</v>
      </c>
      <c r="M542" s="6">
        <v>46059.715277777781</v>
      </c>
      <c r="N542">
        <f t="shared" si="8"/>
        <v>0</v>
      </c>
    </row>
    <row r="543" spans="2:14" x14ac:dyDescent="0.25">
      <c r="B543">
        <v>524</v>
      </c>
      <c r="C543" t="s">
        <v>33</v>
      </c>
      <c r="D543">
        <v>1</v>
      </c>
      <c r="E543" t="s">
        <v>35</v>
      </c>
      <c r="F543" s="6">
        <v>46059.131944444445</v>
      </c>
      <c r="G543" s="6">
        <v>46059.135416666664</v>
      </c>
      <c r="H543" s="6">
        <v>46059.145833333336</v>
      </c>
      <c r="I543" s="6">
        <v>46059.194444444445</v>
      </c>
      <c r="J543" s="6">
        <v>46059.211805555555</v>
      </c>
      <c r="K543" s="6">
        <v>46059.215277777781</v>
      </c>
      <c r="L543">
        <v>2</v>
      </c>
      <c r="M543" s="6">
        <v>46059.222222222219</v>
      </c>
      <c r="N543">
        <f t="shared" si="8"/>
        <v>3</v>
      </c>
    </row>
    <row r="544" spans="2:14" x14ac:dyDescent="0.25">
      <c r="B544">
        <v>525</v>
      </c>
      <c r="C544" t="s">
        <v>29</v>
      </c>
      <c r="D544">
        <v>1</v>
      </c>
      <c r="E544" t="s">
        <v>32</v>
      </c>
      <c r="F544" s="6">
        <v>46059.444444444445</v>
      </c>
      <c r="G544" s="6">
        <v>46059.451388888891</v>
      </c>
      <c r="H544" s="6">
        <v>46059.458333333336</v>
      </c>
      <c r="I544" s="6">
        <v>46059.481249999997</v>
      </c>
      <c r="J544" s="6">
        <v>46059.488194444442</v>
      </c>
      <c r="K544" s="6">
        <v>46059.489583333336</v>
      </c>
      <c r="L544">
        <v>1.08</v>
      </c>
      <c r="M544" s="6">
        <v>46059.496527777781</v>
      </c>
      <c r="N544">
        <f t="shared" si="8"/>
        <v>10</v>
      </c>
    </row>
    <row r="545" spans="2:14" x14ac:dyDescent="0.25">
      <c r="B545">
        <v>526</v>
      </c>
      <c r="C545" t="s">
        <v>33</v>
      </c>
      <c r="D545">
        <v>1</v>
      </c>
      <c r="E545" t="s">
        <v>30</v>
      </c>
      <c r="F545" s="6">
        <v>46059.390277777777</v>
      </c>
      <c r="G545" s="6">
        <v>46059.390972222223</v>
      </c>
      <c r="H545" s="6">
        <v>46059.409722222219</v>
      </c>
      <c r="I545" s="6">
        <v>46059.423611111109</v>
      </c>
      <c r="J545" s="6">
        <v>46059.652777777781</v>
      </c>
      <c r="K545" s="6">
        <v>46059.65625</v>
      </c>
      <c r="L545">
        <v>6.38</v>
      </c>
      <c r="M545" s="6">
        <v>46059.659722222219</v>
      </c>
      <c r="N545">
        <f t="shared" si="8"/>
        <v>9</v>
      </c>
    </row>
    <row r="546" spans="2:14" x14ac:dyDescent="0.25">
      <c r="B546">
        <v>527</v>
      </c>
      <c r="C546" t="s">
        <v>31</v>
      </c>
      <c r="D546">
        <v>1</v>
      </c>
      <c r="E546" t="s">
        <v>30</v>
      </c>
      <c r="F546" s="6">
        <v>46059.871527777781</v>
      </c>
      <c r="G546" s="6">
        <v>46059.881944444445</v>
      </c>
      <c r="H546" s="6">
        <v>46059.899305555555</v>
      </c>
      <c r="I546" s="6">
        <v>46059.979166666664</v>
      </c>
      <c r="J546" s="6">
        <v>46059.982638888891</v>
      </c>
      <c r="K546" s="6">
        <v>46059.989583333336</v>
      </c>
      <c r="L546">
        <v>2.83</v>
      </c>
      <c r="M546" s="6">
        <v>46059.996527777781</v>
      </c>
      <c r="N546">
        <f t="shared" si="8"/>
        <v>20</v>
      </c>
    </row>
    <row r="547" spans="2:14" x14ac:dyDescent="0.25">
      <c r="B547">
        <v>528</v>
      </c>
      <c r="C547" t="s">
        <v>33</v>
      </c>
      <c r="D547">
        <v>1</v>
      </c>
      <c r="E547" t="s">
        <v>32</v>
      </c>
      <c r="F547" s="6">
        <v>46059.659722222219</v>
      </c>
      <c r="G547" s="6">
        <v>46059.666666666664</v>
      </c>
      <c r="H547" s="6">
        <v>46059.670138888891</v>
      </c>
      <c r="I547" s="6">
        <v>46059.680555555555</v>
      </c>
      <c r="J547" s="6">
        <v>46059.6875</v>
      </c>
      <c r="K547" s="6">
        <v>46059.690972222219</v>
      </c>
      <c r="L547">
        <v>0.75</v>
      </c>
      <c r="M547" s="6">
        <v>46059.693055555559</v>
      </c>
      <c r="N547">
        <f t="shared" si="8"/>
        <v>15</v>
      </c>
    </row>
    <row r="548" spans="2:14" x14ac:dyDescent="0.25">
      <c r="B548">
        <v>529</v>
      </c>
      <c r="C548" t="s">
        <v>33</v>
      </c>
      <c r="D548">
        <v>1</v>
      </c>
      <c r="E548" t="s">
        <v>36</v>
      </c>
      <c r="F548" s="6">
        <v>46059.685416666667</v>
      </c>
      <c r="G548" s="6">
        <v>46059.6875</v>
      </c>
      <c r="H548" s="6">
        <v>46059.697916666664</v>
      </c>
      <c r="I548" s="6">
        <v>46059.798611111109</v>
      </c>
      <c r="J548" s="6">
        <v>46059.805555555555</v>
      </c>
      <c r="K548" s="6">
        <v>46059.822916666664</v>
      </c>
      <c r="L548">
        <v>3.3</v>
      </c>
      <c r="M548" s="6">
        <v>46059.823611111111</v>
      </c>
      <c r="N548">
        <f t="shared" si="8"/>
        <v>16</v>
      </c>
    </row>
    <row r="549" spans="2:14" x14ac:dyDescent="0.25">
      <c r="B549">
        <v>530</v>
      </c>
      <c r="C549" t="s">
        <v>33</v>
      </c>
      <c r="D549">
        <v>1</v>
      </c>
      <c r="E549" t="s">
        <v>30</v>
      </c>
      <c r="F549" s="6">
        <v>46059.729166666664</v>
      </c>
      <c r="G549" s="6">
        <v>46059.736111111109</v>
      </c>
      <c r="H549" s="6">
        <v>46059.770833333336</v>
      </c>
      <c r="I549" s="6">
        <v>46059.87222222222</v>
      </c>
      <c r="J549" s="6">
        <v>46059.879166666666</v>
      </c>
      <c r="K549" s="6">
        <v>46059.881944444445</v>
      </c>
      <c r="L549">
        <v>3.67</v>
      </c>
      <c r="M549" s="6">
        <v>46059.888888888891</v>
      </c>
      <c r="N549">
        <f t="shared" si="8"/>
        <v>17</v>
      </c>
    </row>
    <row r="550" spans="2:14" x14ac:dyDescent="0.25">
      <c r="B550">
        <v>531</v>
      </c>
      <c r="C550" t="s">
        <v>31</v>
      </c>
      <c r="D550">
        <v>1</v>
      </c>
      <c r="E550" t="s">
        <v>35</v>
      </c>
      <c r="F550" s="6">
        <v>46060.329861111109</v>
      </c>
      <c r="G550" s="6">
        <v>46060.333333333336</v>
      </c>
      <c r="H550" s="6">
        <v>46060.364583333336</v>
      </c>
      <c r="I550" s="6">
        <v>46060.527777777781</v>
      </c>
      <c r="J550" s="6">
        <v>46060.541666666664</v>
      </c>
      <c r="K550" s="6">
        <v>46060.545138888891</v>
      </c>
      <c r="L550">
        <v>5.17</v>
      </c>
      <c r="M550" s="6">
        <v>46060.548611111109</v>
      </c>
      <c r="N550">
        <f t="shared" si="8"/>
        <v>7</v>
      </c>
    </row>
    <row r="551" spans="2:14" x14ac:dyDescent="0.25">
      <c r="B551">
        <v>532</v>
      </c>
      <c r="C551" t="s">
        <v>29</v>
      </c>
      <c r="D551">
        <v>1</v>
      </c>
      <c r="E551" t="s">
        <v>35</v>
      </c>
      <c r="F551" s="6">
        <v>46059.961805555555</v>
      </c>
      <c r="G551" s="6">
        <v>46059.962500000001</v>
      </c>
      <c r="H551" s="6">
        <v>46059.96875</v>
      </c>
      <c r="I551" s="6">
        <v>46060.104166666664</v>
      </c>
      <c r="J551" s="6">
        <v>46060.111111111109</v>
      </c>
      <c r="K551" s="6">
        <v>46060.166666666664</v>
      </c>
      <c r="L551">
        <v>4.92</v>
      </c>
      <c r="M551" s="6">
        <v>46060.173611111109</v>
      </c>
      <c r="N551">
        <f t="shared" si="8"/>
        <v>23</v>
      </c>
    </row>
    <row r="552" spans="2:14" x14ac:dyDescent="0.25">
      <c r="B552">
        <v>533</v>
      </c>
      <c r="C552" t="s">
        <v>33</v>
      </c>
      <c r="D552">
        <v>1</v>
      </c>
      <c r="E552" t="s">
        <v>34</v>
      </c>
      <c r="F552" s="6">
        <v>46060.125</v>
      </c>
      <c r="G552" s="6">
        <v>46060.131944444445</v>
      </c>
      <c r="H552" s="6">
        <v>46060.138888888891</v>
      </c>
      <c r="I552" s="6">
        <v>46060.211111111108</v>
      </c>
      <c r="J552" s="6">
        <v>46060.909722222219</v>
      </c>
      <c r="K552" s="6">
        <v>46060.913194444445</v>
      </c>
      <c r="L552">
        <v>18.920000000000002</v>
      </c>
      <c r="M552" s="6">
        <v>46060.920138888891</v>
      </c>
      <c r="N552">
        <f t="shared" si="8"/>
        <v>3</v>
      </c>
    </row>
    <row r="553" spans="2:14" x14ac:dyDescent="0.25">
      <c r="B553">
        <v>534</v>
      </c>
      <c r="C553" t="s">
        <v>31</v>
      </c>
      <c r="D553">
        <v>1</v>
      </c>
      <c r="E553" t="s">
        <v>35</v>
      </c>
      <c r="F553" s="6">
        <v>46060.388888888891</v>
      </c>
      <c r="G553" s="6">
        <v>46060.392361111109</v>
      </c>
      <c r="H553" s="6">
        <v>46060.399305555555</v>
      </c>
      <c r="I553" s="6">
        <v>46060.5</v>
      </c>
      <c r="J553" s="6">
        <v>46060.506944444445</v>
      </c>
      <c r="K553" s="6">
        <v>46060.527777777781</v>
      </c>
      <c r="L553">
        <v>3.33</v>
      </c>
      <c r="M553" s="6">
        <v>46060.534722222219</v>
      </c>
      <c r="N553">
        <f t="shared" si="8"/>
        <v>9</v>
      </c>
    </row>
    <row r="554" spans="2:14" x14ac:dyDescent="0.25">
      <c r="B554">
        <v>535</v>
      </c>
      <c r="C554" t="s">
        <v>29</v>
      </c>
      <c r="D554">
        <v>1</v>
      </c>
      <c r="E554" t="s">
        <v>35</v>
      </c>
      <c r="F554" s="6">
        <v>46060.388888888891</v>
      </c>
      <c r="G554" s="6">
        <v>46060.392361111109</v>
      </c>
      <c r="H554" s="6">
        <v>46060.399305555555</v>
      </c>
      <c r="I554" s="6">
        <v>46060.5</v>
      </c>
      <c r="J554" s="6">
        <v>46060.506944444445</v>
      </c>
      <c r="K554" s="6">
        <v>46060.527777777781</v>
      </c>
      <c r="L554">
        <v>3.33</v>
      </c>
      <c r="M554" s="6">
        <v>46060.534722222219</v>
      </c>
      <c r="N554">
        <f t="shared" si="8"/>
        <v>9</v>
      </c>
    </row>
    <row r="555" spans="2:14" x14ac:dyDescent="0.25">
      <c r="B555">
        <v>536</v>
      </c>
      <c r="C555" t="s">
        <v>29</v>
      </c>
      <c r="D555">
        <v>1</v>
      </c>
      <c r="E555" t="s">
        <v>30</v>
      </c>
      <c r="F555" s="6">
        <v>46060.434027777781</v>
      </c>
      <c r="G555" s="6">
        <v>46060.4375</v>
      </c>
      <c r="H555" s="6">
        <v>46060.465277777781</v>
      </c>
      <c r="I555" s="6">
        <v>46060.486111111109</v>
      </c>
      <c r="J555" s="6">
        <v>46060.493055555555</v>
      </c>
      <c r="K555" s="6">
        <v>46060.5</v>
      </c>
      <c r="L555">
        <v>1.58</v>
      </c>
      <c r="M555" s="6">
        <v>46060.503472222219</v>
      </c>
      <c r="N555">
        <f t="shared" si="8"/>
        <v>10</v>
      </c>
    </row>
    <row r="556" spans="2:14" x14ac:dyDescent="0.25">
      <c r="B556">
        <v>537</v>
      </c>
      <c r="C556" t="s">
        <v>29</v>
      </c>
      <c r="D556">
        <v>1</v>
      </c>
      <c r="E556" t="s">
        <v>36</v>
      </c>
      <c r="F556" s="6">
        <v>46060.395833333336</v>
      </c>
      <c r="G556" s="6">
        <v>46060.399305555555</v>
      </c>
      <c r="H556" s="6">
        <v>46060.402777777781</v>
      </c>
      <c r="I556" s="6">
        <v>46060.413194444445</v>
      </c>
      <c r="J556" s="6">
        <v>46060.416666666664</v>
      </c>
      <c r="K556" s="6">
        <v>46060.430555555555</v>
      </c>
      <c r="L556">
        <v>0.83</v>
      </c>
      <c r="M556" s="6">
        <v>46060.4375</v>
      </c>
      <c r="N556">
        <f t="shared" si="8"/>
        <v>9</v>
      </c>
    </row>
    <row r="557" spans="2:14" x14ac:dyDescent="0.25">
      <c r="B557">
        <v>538</v>
      </c>
      <c r="C557" t="s">
        <v>31</v>
      </c>
      <c r="D557">
        <v>1</v>
      </c>
      <c r="E557" t="s">
        <v>30</v>
      </c>
      <c r="F557" s="6">
        <v>46060.643750000003</v>
      </c>
      <c r="G557" s="6">
        <v>46060.645833333336</v>
      </c>
      <c r="H557" s="6">
        <v>46060.664583333331</v>
      </c>
      <c r="I557" s="6">
        <v>46060.725694444445</v>
      </c>
      <c r="J557" s="6">
        <v>46060.756944444445</v>
      </c>
      <c r="K557" s="6">
        <v>46060.760416666664</v>
      </c>
      <c r="L557">
        <v>2.8</v>
      </c>
      <c r="M557" s="6">
        <v>46060.767361111109</v>
      </c>
      <c r="N557">
        <f t="shared" si="8"/>
        <v>15</v>
      </c>
    </row>
    <row r="558" spans="2:14" x14ac:dyDescent="0.25">
      <c r="B558">
        <v>539</v>
      </c>
      <c r="C558" t="s">
        <v>33</v>
      </c>
      <c r="D558">
        <v>1</v>
      </c>
      <c r="E558" t="s">
        <v>30</v>
      </c>
      <c r="F558" s="6">
        <v>46060.916666666664</v>
      </c>
      <c r="G558" s="6">
        <v>46060.930555555555</v>
      </c>
      <c r="H558" s="6">
        <v>46060.940972222219</v>
      </c>
      <c r="I558" s="6">
        <v>46060.963888888888</v>
      </c>
      <c r="J558" s="6">
        <v>46060.970833333333</v>
      </c>
      <c r="K558" s="6">
        <v>46060.986111111109</v>
      </c>
      <c r="L558">
        <v>1.67</v>
      </c>
      <c r="M558" s="6">
        <v>46060.993055555555</v>
      </c>
      <c r="N558">
        <f t="shared" si="8"/>
        <v>22</v>
      </c>
    </row>
    <row r="559" spans="2:14" x14ac:dyDescent="0.25">
      <c r="B559">
        <v>540</v>
      </c>
      <c r="C559" t="s">
        <v>33</v>
      </c>
      <c r="D559">
        <v>1</v>
      </c>
      <c r="E559" t="s">
        <v>35</v>
      </c>
      <c r="F559" s="6">
        <v>46060.597222222219</v>
      </c>
      <c r="G559" s="6">
        <v>46060.600694444445</v>
      </c>
      <c r="H559" s="6">
        <v>46060.611111111109</v>
      </c>
      <c r="I559" s="6">
        <v>46060.722222222219</v>
      </c>
      <c r="J559" s="6">
        <v>46060.729166666664</v>
      </c>
      <c r="K559" s="6">
        <v>46060.743055555555</v>
      </c>
      <c r="L559">
        <v>3.5</v>
      </c>
      <c r="M559" s="6">
        <v>46060.75</v>
      </c>
      <c r="N559">
        <f t="shared" si="8"/>
        <v>14</v>
      </c>
    </row>
    <row r="560" spans="2:14" x14ac:dyDescent="0.25">
      <c r="B560">
        <v>541</v>
      </c>
      <c r="C560" t="s">
        <v>33</v>
      </c>
      <c r="D560">
        <v>1</v>
      </c>
      <c r="E560" t="s">
        <v>36</v>
      </c>
      <c r="F560" s="6">
        <v>46060.506944444445</v>
      </c>
      <c r="G560" s="6">
        <v>46060.513888888891</v>
      </c>
      <c r="H560" s="6">
        <v>46060.545138888891</v>
      </c>
      <c r="I560" s="6">
        <v>46060.659722222219</v>
      </c>
      <c r="J560" s="6">
        <v>46060.666666666664</v>
      </c>
      <c r="K560" s="6">
        <v>46060.847222222219</v>
      </c>
      <c r="L560">
        <v>8.17</v>
      </c>
      <c r="M560" s="6">
        <v>46060.854166666664</v>
      </c>
      <c r="N560">
        <f t="shared" si="8"/>
        <v>12</v>
      </c>
    </row>
    <row r="561" spans="2:14" x14ac:dyDescent="0.25">
      <c r="B561">
        <v>542</v>
      </c>
      <c r="C561" t="s">
        <v>31</v>
      </c>
      <c r="D561">
        <v>1</v>
      </c>
      <c r="E561" t="s">
        <v>30</v>
      </c>
      <c r="F561" s="6">
        <v>46061.34375</v>
      </c>
      <c r="G561" s="6">
        <v>46061.357638888891</v>
      </c>
      <c r="H561" s="6">
        <v>46061.364583333336</v>
      </c>
      <c r="I561" s="6">
        <v>46061.388888888891</v>
      </c>
      <c r="J561" s="6">
        <v>46061.392361111109</v>
      </c>
      <c r="K561" s="6">
        <v>46061.395833333336</v>
      </c>
      <c r="L561">
        <v>1.25</v>
      </c>
      <c r="M561" s="6">
        <v>46061.402777777781</v>
      </c>
      <c r="N561">
        <f t="shared" si="8"/>
        <v>8</v>
      </c>
    </row>
    <row r="562" spans="2:14" x14ac:dyDescent="0.25">
      <c r="B562">
        <v>543</v>
      </c>
      <c r="C562" t="s">
        <v>33</v>
      </c>
      <c r="D562">
        <v>1</v>
      </c>
      <c r="E562" t="s">
        <v>30</v>
      </c>
      <c r="F562" s="6">
        <v>46061.466666666667</v>
      </c>
      <c r="G562" s="6">
        <v>46061.470138888886</v>
      </c>
      <c r="H562" s="6">
        <v>46061.479166666664</v>
      </c>
      <c r="I562" s="6">
        <v>46061.506944444445</v>
      </c>
      <c r="J562" s="6">
        <v>46061.513888888891</v>
      </c>
      <c r="K562" s="6">
        <v>46061.520833333336</v>
      </c>
      <c r="L562">
        <v>1.3</v>
      </c>
      <c r="M562" s="6">
        <v>46061.527777777781</v>
      </c>
      <c r="N562">
        <f t="shared" si="8"/>
        <v>11</v>
      </c>
    </row>
    <row r="563" spans="2:14" x14ac:dyDescent="0.25">
      <c r="B563">
        <v>544</v>
      </c>
      <c r="C563" t="s">
        <v>29</v>
      </c>
      <c r="D563">
        <v>1</v>
      </c>
      <c r="E563" t="s">
        <v>30</v>
      </c>
      <c r="F563" s="6">
        <v>46060.652777777781</v>
      </c>
      <c r="G563" s="6">
        <v>46060.659722222219</v>
      </c>
      <c r="H563" s="6">
        <v>46060.692361111112</v>
      </c>
      <c r="I563" s="6">
        <v>46060.729166666664</v>
      </c>
      <c r="J563" s="6">
        <v>46060.736111111109</v>
      </c>
      <c r="K563" s="6">
        <v>46060.763888888891</v>
      </c>
      <c r="L563">
        <v>2.67</v>
      </c>
      <c r="M563" s="6">
        <v>46060.770833333336</v>
      </c>
      <c r="N563">
        <f t="shared" si="8"/>
        <v>15</v>
      </c>
    </row>
    <row r="564" spans="2:14" x14ac:dyDescent="0.25">
      <c r="B564">
        <v>545</v>
      </c>
      <c r="C564" t="s">
        <v>29</v>
      </c>
      <c r="D564">
        <v>1</v>
      </c>
      <c r="E564" t="s">
        <v>32</v>
      </c>
      <c r="F564" s="6">
        <v>46060.861111111109</v>
      </c>
      <c r="G564" s="6">
        <v>46060.864583333336</v>
      </c>
      <c r="H564" s="6">
        <v>46060.875</v>
      </c>
      <c r="I564" s="6">
        <v>46060.9375</v>
      </c>
      <c r="J564" s="6">
        <v>46060.944444444445</v>
      </c>
      <c r="K564" s="6">
        <v>46060.947916666664</v>
      </c>
      <c r="L564">
        <v>2.08</v>
      </c>
      <c r="M564" s="6">
        <v>46060.954861111109</v>
      </c>
      <c r="N564">
        <f t="shared" si="8"/>
        <v>20</v>
      </c>
    </row>
    <row r="565" spans="2:14" x14ac:dyDescent="0.25">
      <c r="B565">
        <v>546</v>
      </c>
      <c r="C565" t="s">
        <v>31</v>
      </c>
      <c r="D565">
        <v>1</v>
      </c>
      <c r="E565" t="s">
        <v>30</v>
      </c>
      <c r="F565" s="6">
        <v>46060.815972222219</v>
      </c>
      <c r="G565" s="6">
        <v>46060.819444444445</v>
      </c>
      <c r="H565" s="6">
        <v>46060.822916666664</v>
      </c>
      <c r="I565" s="6">
        <v>46060.89166666667</v>
      </c>
      <c r="J565" s="6">
        <v>46060.898611111108</v>
      </c>
      <c r="K565" s="6">
        <v>46060.902777777781</v>
      </c>
      <c r="L565">
        <v>2.08</v>
      </c>
      <c r="M565" s="6">
        <v>46060.909722222219</v>
      </c>
      <c r="N565">
        <f t="shared" si="8"/>
        <v>19</v>
      </c>
    </row>
    <row r="566" spans="2:14" x14ac:dyDescent="0.25">
      <c r="B566">
        <v>547</v>
      </c>
      <c r="C566" t="s">
        <v>29</v>
      </c>
      <c r="D566">
        <v>1</v>
      </c>
      <c r="E566" t="s">
        <v>30</v>
      </c>
      <c r="F566" s="6">
        <v>46061.052083333336</v>
      </c>
      <c r="G566" s="6">
        <v>46061.069444444445</v>
      </c>
      <c r="H566" s="6">
        <v>46061.083333333336</v>
      </c>
      <c r="I566" s="6">
        <v>46061.097222222219</v>
      </c>
      <c r="J566" s="6">
        <v>46061.100694444445</v>
      </c>
      <c r="K566" s="6">
        <v>46061.102083333331</v>
      </c>
      <c r="L566">
        <v>1.2</v>
      </c>
      <c r="M566" s="6">
        <v>46061.104166666664</v>
      </c>
      <c r="N566">
        <f t="shared" si="8"/>
        <v>1</v>
      </c>
    </row>
    <row r="567" spans="2:14" x14ac:dyDescent="0.25">
      <c r="B567">
        <v>548</v>
      </c>
      <c r="C567" t="s">
        <v>29</v>
      </c>
      <c r="D567">
        <v>1</v>
      </c>
      <c r="E567" t="s">
        <v>36</v>
      </c>
      <c r="F567" s="6">
        <v>46061.409722222219</v>
      </c>
      <c r="G567" s="6">
        <v>46061.416666666664</v>
      </c>
      <c r="H567" s="6">
        <v>46061.434027777781</v>
      </c>
      <c r="I567" s="6">
        <v>46061.458333333336</v>
      </c>
      <c r="J567" s="6">
        <v>46061.465277777781</v>
      </c>
      <c r="K567" s="6">
        <v>46061.470138888886</v>
      </c>
      <c r="L567">
        <v>1.45</v>
      </c>
      <c r="M567" s="6">
        <v>46061.477083333331</v>
      </c>
      <c r="N567">
        <f t="shared" si="8"/>
        <v>9</v>
      </c>
    </row>
    <row r="568" spans="2:14" x14ac:dyDescent="0.25">
      <c r="B568">
        <v>549</v>
      </c>
      <c r="C568" t="s">
        <v>29</v>
      </c>
      <c r="D568">
        <v>1</v>
      </c>
      <c r="E568" t="s">
        <v>30</v>
      </c>
      <c r="F568" s="6">
        <v>46061.631944444445</v>
      </c>
      <c r="G568" s="6">
        <v>46061.645833333336</v>
      </c>
      <c r="H568" s="6">
        <v>46061.65625</v>
      </c>
      <c r="I568" s="6">
        <v>46061.666666666664</v>
      </c>
      <c r="J568" s="6">
        <v>46061.673611111109</v>
      </c>
      <c r="K568" s="6">
        <v>46061.680555555555</v>
      </c>
      <c r="L568">
        <v>1.17</v>
      </c>
      <c r="M568" s="6">
        <v>46061.6875</v>
      </c>
      <c r="N568">
        <f t="shared" si="8"/>
        <v>15</v>
      </c>
    </row>
    <row r="569" spans="2:14" x14ac:dyDescent="0.25">
      <c r="B569">
        <v>550</v>
      </c>
      <c r="C569" t="s">
        <v>31</v>
      </c>
      <c r="D569">
        <v>1</v>
      </c>
      <c r="E569" t="s">
        <v>30</v>
      </c>
      <c r="F569" s="6">
        <v>46061.84375</v>
      </c>
      <c r="G569" s="6">
        <v>46061.847222222219</v>
      </c>
      <c r="H569" s="6">
        <v>46061.854166666664</v>
      </c>
      <c r="I569" s="6">
        <v>46061.872916666667</v>
      </c>
      <c r="J569" s="6">
        <v>46061.879861111112</v>
      </c>
      <c r="K569" s="6">
        <v>46061.888888888891</v>
      </c>
      <c r="L569">
        <v>1.08</v>
      </c>
      <c r="M569" s="6">
        <v>46061.895833333336</v>
      </c>
      <c r="N569">
        <f t="shared" si="8"/>
        <v>20</v>
      </c>
    </row>
    <row r="570" spans="2:14" x14ac:dyDescent="0.25">
      <c r="B570">
        <v>551</v>
      </c>
      <c r="C570" t="s">
        <v>31</v>
      </c>
      <c r="D570">
        <v>1</v>
      </c>
      <c r="E570" t="s">
        <v>32</v>
      </c>
      <c r="F570" s="6">
        <v>46062.510416666664</v>
      </c>
      <c r="G570" s="6">
        <v>46062.520833333336</v>
      </c>
      <c r="H570" s="6">
        <v>46062.534722222219</v>
      </c>
      <c r="I570" s="6">
        <v>46062.5625</v>
      </c>
      <c r="J570" s="6">
        <v>46062.569444444445</v>
      </c>
      <c r="K570" s="6">
        <v>46062.829861111109</v>
      </c>
      <c r="L570">
        <v>7.67</v>
      </c>
      <c r="M570" s="6">
        <v>46062.836805555555</v>
      </c>
      <c r="N570">
        <f t="shared" si="8"/>
        <v>12</v>
      </c>
    </row>
    <row r="571" spans="2:14" x14ac:dyDescent="0.25">
      <c r="B571">
        <v>552</v>
      </c>
      <c r="C571" t="s">
        <v>29</v>
      </c>
      <c r="D571">
        <v>1</v>
      </c>
      <c r="E571" t="s">
        <v>30</v>
      </c>
      <c r="F571" s="6">
        <v>46061.915972222225</v>
      </c>
      <c r="G571" s="6">
        <v>46061.927083333336</v>
      </c>
      <c r="H571" s="6">
        <v>46061.9375</v>
      </c>
      <c r="I571" s="6">
        <v>46061.949305555558</v>
      </c>
      <c r="J571" s="6">
        <v>46061.952777777777</v>
      </c>
      <c r="K571" s="6">
        <v>46061.958333333336</v>
      </c>
      <c r="L571">
        <v>1.02</v>
      </c>
      <c r="M571" s="6">
        <v>46061.965277777781</v>
      </c>
      <c r="N571">
        <f t="shared" si="8"/>
        <v>21</v>
      </c>
    </row>
    <row r="572" spans="2:14" x14ac:dyDescent="0.25">
      <c r="B572">
        <v>553</v>
      </c>
      <c r="C572" t="s">
        <v>31</v>
      </c>
      <c r="D572">
        <v>1</v>
      </c>
      <c r="E572" t="s">
        <v>32</v>
      </c>
      <c r="F572" s="6">
        <v>46062.291666666664</v>
      </c>
      <c r="G572" s="6">
        <v>46062.361111111109</v>
      </c>
      <c r="H572" s="6">
        <v>46062.378472222219</v>
      </c>
      <c r="I572" s="6">
        <v>46062.416666666664</v>
      </c>
      <c r="J572" s="6">
        <v>46062.444444444445</v>
      </c>
      <c r="K572" s="6">
        <v>46062.451388888891</v>
      </c>
      <c r="L572">
        <v>3.83</v>
      </c>
      <c r="M572" s="6">
        <v>46062.461805555555</v>
      </c>
      <c r="N572">
        <f t="shared" si="8"/>
        <v>7</v>
      </c>
    </row>
    <row r="573" spans="2:14" x14ac:dyDescent="0.25">
      <c r="B573">
        <v>554</v>
      </c>
      <c r="C573" t="s">
        <v>29</v>
      </c>
      <c r="D573">
        <v>1</v>
      </c>
      <c r="E573" t="s">
        <v>34</v>
      </c>
      <c r="F573" s="6">
        <v>46061.559027777781</v>
      </c>
      <c r="G573" s="6">
        <v>46061.565972222219</v>
      </c>
      <c r="H573" s="6">
        <v>46061.579861111109</v>
      </c>
      <c r="I573" s="6">
        <v>46061.624305555553</v>
      </c>
      <c r="J573" s="6">
        <v>46061.631249999999</v>
      </c>
      <c r="K573" s="6">
        <v>46061.631944444445</v>
      </c>
      <c r="L573">
        <v>1.75</v>
      </c>
      <c r="M573" s="6">
        <v>46061.638888888891</v>
      </c>
      <c r="N573">
        <f t="shared" si="8"/>
        <v>13</v>
      </c>
    </row>
    <row r="574" spans="2:14" x14ac:dyDescent="0.25">
      <c r="B574">
        <v>555</v>
      </c>
      <c r="C574" t="s">
        <v>29</v>
      </c>
      <c r="D574">
        <v>1</v>
      </c>
      <c r="E574" t="s">
        <v>36</v>
      </c>
      <c r="F574" s="6">
        <v>46061.663194444445</v>
      </c>
      <c r="G574" s="6">
        <v>46061.664583333331</v>
      </c>
      <c r="H574" s="6">
        <v>46061.666666666664</v>
      </c>
      <c r="I574" s="6">
        <v>46061.670138888891</v>
      </c>
      <c r="J574" s="6">
        <v>46061.677083333336</v>
      </c>
      <c r="K574" s="6">
        <v>46061.680555555555</v>
      </c>
      <c r="L574">
        <v>0.42</v>
      </c>
      <c r="M574" s="6">
        <v>46061.6875</v>
      </c>
      <c r="N574">
        <f t="shared" si="8"/>
        <v>15</v>
      </c>
    </row>
    <row r="575" spans="2:14" x14ac:dyDescent="0.25">
      <c r="B575">
        <v>556</v>
      </c>
      <c r="C575" t="s">
        <v>33</v>
      </c>
      <c r="D575">
        <v>1</v>
      </c>
      <c r="E575" t="s">
        <v>30</v>
      </c>
      <c r="F575" s="6">
        <v>46062.284722222219</v>
      </c>
      <c r="G575" s="6">
        <v>46062.326388888891</v>
      </c>
      <c r="H575" s="6">
        <v>46062.357638888891</v>
      </c>
      <c r="I575" s="6">
        <v>46062.427083333336</v>
      </c>
      <c r="J575" s="6">
        <v>46062.493055555555</v>
      </c>
      <c r="K575" s="6">
        <v>46062.503472222219</v>
      </c>
      <c r="L575">
        <v>5.25</v>
      </c>
      <c r="M575" s="6">
        <v>46062.510416666664</v>
      </c>
      <c r="N575">
        <f t="shared" si="8"/>
        <v>6</v>
      </c>
    </row>
    <row r="576" spans="2:14" x14ac:dyDescent="0.25">
      <c r="B576">
        <v>557</v>
      </c>
      <c r="C576" t="s">
        <v>31</v>
      </c>
      <c r="D576">
        <v>1</v>
      </c>
      <c r="E576" t="s">
        <v>30</v>
      </c>
      <c r="F576" s="6">
        <v>46062.027777777781</v>
      </c>
      <c r="G576" s="6">
        <v>46062.034722222219</v>
      </c>
      <c r="H576" s="6">
        <v>46062.041666666664</v>
      </c>
      <c r="I576" s="6">
        <v>46062.048611111109</v>
      </c>
      <c r="J576" s="6">
        <v>46062.055555555555</v>
      </c>
      <c r="K576" s="6">
        <v>46062.059027777781</v>
      </c>
      <c r="L576">
        <v>0.75</v>
      </c>
      <c r="M576" s="6">
        <v>46062.061111111114</v>
      </c>
      <c r="N576">
        <f t="shared" si="8"/>
        <v>0</v>
      </c>
    </row>
    <row r="577" spans="2:14" x14ac:dyDescent="0.25">
      <c r="B577">
        <v>558</v>
      </c>
      <c r="C577" t="s">
        <v>31</v>
      </c>
      <c r="D577">
        <v>1</v>
      </c>
      <c r="E577" t="s">
        <v>36</v>
      </c>
      <c r="F577" s="6">
        <v>46062.104166666664</v>
      </c>
      <c r="G577" s="6">
        <v>46062.111111111109</v>
      </c>
      <c r="H577" s="6">
        <v>46062.145833333336</v>
      </c>
      <c r="I577" s="6">
        <v>46062.197916666664</v>
      </c>
      <c r="J577" s="6">
        <v>46062.208333333336</v>
      </c>
      <c r="K577" s="6">
        <v>46062.673611111109</v>
      </c>
      <c r="L577">
        <v>13.67</v>
      </c>
      <c r="M577" s="6">
        <v>46062.680555555555</v>
      </c>
      <c r="N577">
        <f t="shared" si="8"/>
        <v>2</v>
      </c>
    </row>
    <row r="578" spans="2:14" x14ac:dyDescent="0.25">
      <c r="B578">
        <v>559</v>
      </c>
      <c r="C578" t="s">
        <v>33</v>
      </c>
      <c r="D578">
        <v>1</v>
      </c>
      <c r="E578" t="s">
        <v>30</v>
      </c>
      <c r="F578" s="6">
        <v>46062.9</v>
      </c>
      <c r="G578" s="6">
        <v>46062.906944444447</v>
      </c>
      <c r="H578" s="6">
        <v>46062.909722222219</v>
      </c>
      <c r="I578" s="6">
        <v>46062.958333333336</v>
      </c>
      <c r="J578" s="6">
        <v>46062.965277777781</v>
      </c>
      <c r="K578" s="6">
        <v>46062.979166666664</v>
      </c>
      <c r="L578">
        <v>1.9</v>
      </c>
      <c r="M578" s="6">
        <v>46062.986111111109</v>
      </c>
      <c r="N578">
        <f t="shared" si="8"/>
        <v>21</v>
      </c>
    </row>
    <row r="579" spans="2:14" x14ac:dyDescent="0.25">
      <c r="B579">
        <v>560</v>
      </c>
      <c r="C579" t="s">
        <v>33</v>
      </c>
      <c r="D579">
        <v>1</v>
      </c>
      <c r="E579" t="s">
        <v>30</v>
      </c>
      <c r="F579" s="6">
        <v>46062.524305555555</v>
      </c>
      <c r="G579" s="6">
        <v>46062.545138888891</v>
      </c>
      <c r="H579" s="6">
        <v>46062.618055555555</v>
      </c>
      <c r="I579" s="6">
        <v>46062.763888888891</v>
      </c>
      <c r="J579" s="6">
        <v>46062.791666666664</v>
      </c>
      <c r="K579" s="6">
        <v>46062.798611111109</v>
      </c>
      <c r="L579">
        <v>6.58</v>
      </c>
      <c r="M579" s="6">
        <v>46062.805555555555</v>
      </c>
      <c r="N579">
        <f t="shared" si="8"/>
        <v>12</v>
      </c>
    </row>
    <row r="580" spans="2:14" x14ac:dyDescent="0.25">
      <c r="B580">
        <v>561</v>
      </c>
      <c r="C580" t="s">
        <v>33</v>
      </c>
      <c r="D580">
        <v>1</v>
      </c>
      <c r="E580" t="s">
        <v>36</v>
      </c>
      <c r="F580" s="6">
        <v>46062.722222222219</v>
      </c>
      <c r="G580" s="6">
        <v>46062.725694444445</v>
      </c>
      <c r="H580" s="6">
        <v>46062.741666666669</v>
      </c>
      <c r="I580" s="6">
        <v>46062.777777777781</v>
      </c>
      <c r="J580" s="6">
        <v>46062.791666666664</v>
      </c>
      <c r="K580" s="6">
        <v>46062.833333333336</v>
      </c>
      <c r="L580">
        <v>2.67</v>
      </c>
      <c r="M580" s="6">
        <v>46062.84375</v>
      </c>
      <c r="N580">
        <f t="shared" si="8"/>
        <v>17</v>
      </c>
    </row>
    <row r="581" spans="2:14" x14ac:dyDescent="0.25">
      <c r="B581">
        <v>562</v>
      </c>
      <c r="C581" t="s">
        <v>33</v>
      </c>
      <c r="D581">
        <v>1</v>
      </c>
      <c r="E581" t="s">
        <v>30</v>
      </c>
      <c r="F581" s="6">
        <v>46063.423611111109</v>
      </c>
      <c r="G581" s="6">
        <v>46063.440972222219</v>
      </c>
      <c r="H581" s="6">
        <v>46063.447916666664</v>
      </c>
      <c r="I581" s="6">
        <v>46063.469444444447</v>
      </c>
      <c r="J581" s="6">
        <v>46063.476388888892</v>
      </c>
      <c r="K581" s="6">
        <v>46063.5</v>
      </c>
      <c r="L581">
        <v>1.83</v>
      </c>
      <c r="M581" s="6">
        <v>46063.506944444445</v>
      </c>
      <c r="N581">
        <f t="shared" si="8"/>
        <v>10</v>
      </c>
    </row>
    <row r="582" spans="2:14" x14ac:dyDescent="0.25">
      <c r="B582">
        <v>563</v>
      </c>
      <c r="C582" t="s">
        <v>31</v>
      </c>
      <c r="D582">
        <v>1</v>
      </c>
      <c r="E582" t="s">
        <v>37</v>
      </c>
      <c r="F582" s="6">
        <v>46063.291666666664</v>
      </c>
      <c r="G582" s="6">
        <v>46063.326388888891</v>
      </c>
      <c r="H582" s="6">
        <v>46063.333333333336</v>
      </c>
      <c r="I582" s="6">
        <v>46063.4375</v>
      </c>
      <c r="J582" s="6">
        <v>46063.444444444445</v>
      </c>
      <c r="K582" s="6">
        <v>46063.458333333336</v>
      </c>
      <c r="L582">
        <v>4</v>
      </c>
      <c r="M582" s="6">
        <v>46063.465277777781</v>
      </c>
      <c r="N582">
        <f t="shared" si="8"/>
        <v>7</v>
      </c>
    </row>
    <row r="583" spans="2:14" x14ac:dyDescent="0.25">
      <c r="B583">
        <v>564</v>
      </c>
      <c r="C583" t="s">
        <v>31</v>
      </c>
      <c r="D583">
        <v>1</v>
      </c>
      <c r="E583" t="s">
        <v>32</v>
      </c>
      <c r="F583" s="6">
        <v>46063.331944444442</v>
      </c>
      <c r="G583" s="6">
        <v>46063.333333333336</v>
      </c>
      <c r="H583" s="6">
        <v>46063.357638888891</v>
      </c>
      <c r="I583" s="6">
        <v>46063.472222222219</v>
      </c>
      <c r="J583" s="6">
        <v>46063.493055555555</v>
      </c>
      <c r="K583" s="6">
        <v>46063.5</v>
      </c>
      <c r="L583">
        <v>4.03</v>
      </c>
      <c r="M583" s="6">
        <v>46063.500694444447</v>
      </c>
      <c r="N583">
        <f t="shared" si="8"/>
        <v>7</v>
      </c>
    </row>
    <row r="584" spans="2:14" x14ac:dyDescent="0.25">
      <c r="B584">
        <v>565</v>
      </c>
      <c r="C584" t="s">
        <v>33</v>
      </c>
      <c r="D584">
        <v>1</v>
      </c>
      <c r="E584" t="s">
        <v>35</v>
      </c>
      <c r="F584" s="6">
        <v>46063.534722222219</v>
      </c>
      <c r="G584" s="6">
        <v>46063.552083333336</v>
      </c>
      <c r="H584" s="6">
        <v>46063.565972222219</v>
      </c>
      <c r="I584" s="6">
        <v>46063.621527777781</v>
      </c>
      <c r="J584" s="6">
        <v>46063.625</v>
      </c>
      <c r="K584" s="6">
        <v>46063.625694444447</v>
      </c>
      <c r="L584">
        <v>2.1800000000000002</v>
      </c>
      <c r="M584" s="6">
        <v>46063.626388888886</v>
      </c>
      <c r="N584">
        <f t="shared" si="8"/>
        <v>12</v>
      </c>
    </row>
    <row r="585" spans="2:14" x14ac:dyDescent="0.25">
      <c r="B585">
        <v>566</v>
      </c>
      <c r="C585" t="s">
        <v>31</v>
      </c>
      <c r="D585">
        <v>1</v>
      </c>
      <c r="E585" t="s">
        <v>30</v>
      </c>
      <c r="F585" s="6">
        <v>46063.46875</v>
      </c>
      <c r="G585" s="6">
        <v>46063.479166666664</v>
      </c>
      <c r="H585" s="6">
        <v>46063.5</v>
      </c>
      <c r="I585" s="6">
        <v>46063.627083333333</v>
      </c>
      <c r="J585" s="6">
        <v>46063.645833333336</v>
      </c>
      <c r="K585" s="6">
        <v>46063.652777777781</v>
      </c>
      <c r="L585">
        <v>4.42</v>
      </c>
      <c r="M585" s="6">
        <v>46063.659722222219</v>
      </c>
      <c r="N585">
        <f t="shared" si="8"/>
        <v>11</v>
      </c>
    </row>
    <row r="586" spans="2:14" x14ac:dyDescent="0.25">
      <c r="B586">
        <v>567</v>
      </c>
      <c r="C586" t="s">
        <v>29</v>
      </c>
      <c r="D586">
        <v>1</v>
      </c>
      <c r="E586" t="s">
        <v>35</v>
      </c>
      <c r="F586" s="6">
        <v>46066.295138888891</v>
      </c>
      <c r="G586" s="6">
        <v>46066.315972222219</v>
      </c>
      <c r="H586" s="6">
        <v>46066.361111111109</v>
      </c>
      <c r="I586" s="6">
        <v>46066.371527777781</v>
      </c>
      <c r="J586" s="6">
        <v>46066.378472222219</v>
      </c>
      <c r="K586" s="6">
        <v>46066.392361111109</v>
      </c>
      <c r="L586">
        <v>2.33</v>
      </c>
      <c r="M586" s="6">
        <v>46066.399305555555</v>
      </c>
      <c r="N586">
        <f t="shared" si="8"/>
        <v>7</v>
      </c>
    </row>
    <row r="587" spans="2:14" x14ac:dyDescent="0.25">
      <c r="B587">
        <v>568</v>
      </c>
      <c r="C587" t="s">
        <v>33</v>
      </c>
      <c r="D587">
        <v>1</v>
      </c>
      <c r="E587" t="s">
        <v>35</v>
      </c>
      <c r="F587" s="6">
        <v>46080.322916666664</v>
      </c>
      <c r="G587" s="6">
        <v>46080.333333333336</v>
      </c>
      <c r="H587" s="6">
        <v>46080.375</v>
      </c>
      <c r="I587" s="6">
        <v>46080.597222222219</v>
      </c>
      <c r="J587" s="6">
        <v>46080.694444444445</v>
      </c>
      <c r="K587" s="6">
        <v>46080.701388888891</v>
      </c>
      <c r="L587">
        <v>9.08</v>
      </c>
      <c r="M587" s="6">
        <v>46080.708333333336</v>
      </c>
      <c r="N587">
        <f t="shared" si="8"/>
        <v>7</v>
      </c>
    </row>
    <row r="588" spans="2:14" x14ac:dyDescent="0.25">
      <c r="B588">
        <v>569</v>
      </c>
      <c r="C588" t="s">
        <v>33</v>
      </c>
      <c r="D588">
        <v>1</v>
      </c>
      <c r="E588" t="s">
        <v>32</v>
      </c>
      <c r="F588" s="6">
        <v>46063.333333333336</v>
      </c>
      <c r="G588" s="6">
        <v>46063.347222222219</v>
      </c>
      <c r="H588" s="6">
        <v>46063.354166666664</v>
      </c>
      <c r="I588" s="6">
        <v>46063.371527777781</v>
      </c>
      <c r="J588" s="6">
        <v>46063.378472222219</v>
      </c>
      <c r="K588" s="6">
        <v>46063.381944444445</v>
      </c>
      <c r="L588">
        <v>1.17</v>
      </c>
      <c r="M588" s="6">
        <v>46063.388888888891</v>
      </c>
      <c r="N588">
        <f t="shared" si="8"/>
        <v>8</v>
      </c>
    </row>
    <row r="589" spans="2:14" x14ac:dyDescent="0.25">
      <c r="B589">
        <v>570</v>
      </c>
      <c r="C589" t="s">
        <v>33</v>
      </c>
      <c r="D589">
        <v>1</v>
      </c>
      <c r="E589" t="s">
        <v>30</v>
      </c>
      <c r="F589" s="6">
        <v>46063.548611111109</v>
      </c>
      <c r="G589" s="6">
        <v>46063.576388888891</v>
      </c>
      <c r="H589" s="6">
        <v>46063.579861111109</v>
      </c>
      <c r="I589" s="6">
        <v>46063.652777777781</v>
      </c>
      <c r="J589" s="6">
        <v>46063.659722222219</v>
      </c>
      <c r="K589" s="6">
        <v>46063.666666666664</v>
      </c>
      <c r="L589">
        <v>2.83</v>
      </c>
      <c r="M589" s="6">
        <v>46063.673611111109</v>
      </c>
      <c r="N589">
        <f t="shared" si="8"/>
        <v>13</v>
      </c>
    </row>
    <row r="590" spans="2:14" x14ac:dyDescent="0.25">
      <c r="B590">
        <v>571</v>
      </c>
      <c r="C590" t="s">
        <v>31</v>
      </c>
      <c r="D590">
        <v>1</v>
      </c>
      <c r="E590" t="s">
        <v>30</v>
      </c>
      <c r="F590" s="6">
        <v>46062.708333333336</v>
      </c>
      <c r="G590" s="6">
        <v>46062.71875</v>
      </c>
      <c r="H590" s="6">
        <v>46062.729166666664</v>
      </c>
      <c r="I590" s="6">
        <v>46062.736111111109</v>
      </c>
      <c r="J590" s="6">
        <v>46062.857638888891</v>
      </c>
      <c r="K590" s="6">
        <v>46062.861111111109</v>
      </c>
      <c r="L590">
        <v>3.67</v>
      </c>
      <c r="M590" s="6">
        <v>46062.864583333336</v>
      </c>
      <c r="N590">
        <f t="shared" si="8"/>
        <v>17</v>
      </c>
    </row>
    <row r="591" spans="2:14" x14ac:dyDescent="0.25">
      <c r="B591">
        <v>572</v>
      </c>
      <c r="C591" t="s">
        <v>33</v>
      </c>
      <c r="D591">
        <v>1</v>
      </c>
      <c r="E591" t="s">
        <v>34</v>
      </c>
      <c r="F591" s="6">
        <v>46085.336805555555</v>
      </c>
      <c r="G591" s="6">
        <v>46085.340277777781</v>
      </c>
      <c r="H591" s="6">
        <v>46085.347222222219</v>
      </c>
      <c r="I591" s="6">
        <v>46085.385416666664</v>
      </c>
      <c r="J591" s="6">
        <v>46085.392361111109</v>
      </c>
      <c r="K591" s="6">
        <v>46085.395833333336</v>
      </c>
      <c r="L591">
        <v>1.42</v>
      </c>
      <c r="M591" s="6">
        <v>46085.399305555555</v>
      </c>
      <c r="N591">
        <f t="shared" si="8"/>
        <v>8</v>
      </c>
    </row>
    <row r="592" spans="2:14" x14ac:dyDescent="0.25">
      <c r="B592">
        <v>573</v>
      </c>
      <c r="C592" t="s">
        <v>29</v>
      </c>
      <c r="D592">
        <v>1</v>
      </c>
      <c r="E592" t="s">
        <v>30</v>
      </c>
      <c r="F592" s="6">
        <v>46063.291666666664</v>
      </c>
      <c r="G592" s="6">
        <v>46063.326388888891</v>
      </c>
      <c r="H592" s="6">
        <v>46063.333333333336</v>
      </c>
      <c r="I592" s="6">
        <v>46063.361805555556</v>
      </c>
      <c r="J592" s="6">
        <v>46063.368750000001</v>
      </c>
      <c r="K592" s="6">
        <v>46063.409722222219</v>
      </c>
      <c r="L592">
        <v>2.83</v>
      </c>
      <c r="M592" s="6">
        <v>46063.416666666664</v>
      </c>
      <c r="N592">
        <f t="shared" si="8"/>
        <v>7</v>
      </c>
    </row>
    <row r="593" spans="2:14" x14ac:dyDescent="0.25">
      <c r="B593">
        <v>574</v>
      </c>
      <c r="C593" t="s">
        <v>29</v>
      </c>
      <c r="D593">
        <v>1</v>
      </c>
      <c r="E593" t="s">
        <v>32</v>
      </c>
      <c r="F593" s="6">
        <v>46063.336805555555</v>
      </c>
      <c r="G593" s="6">
        <v>46063.34375</v>
      </c>
      <c r="H593" s="6">
        <v>46063.361111111109</v>
      </c>
      <c r="I593" s="6">
        <v>46063.416666666664</v>
      </c>
      <c r="J593" s="6">
        <v>46063.423611111109</v>
      </c>
      <c r="K593" s="6">
        <v>46063.427083333336</v>
      </c>
      <c r="L593">
        <v>2.17</v>
      </c>
      <c r="M593" s="6">
        <v>46063.430555555555</v>
      </c>
      <c r="N593">
        <f t="shared" si="8"/>
        <v>8</v>
      </c>
    </row>
    <row r="594" spans="2:14" x14ac:dyDescent="0.25">
      <c r="B594">
        <v>575</v>
      </c>
      <c r="C594" t="s">
        <v>33</v>
      </c>
      <c r="D594">
        <v>1</v>
      </c>
      <c r="E594" t="s">
        <v>30</v>
      </c>
      <c r="F594" s="6">
        <v>46063.486111111109</v>
      </c>
      <c r="G594" s="6">
        <v>46063.486805555556</v>
      </c>
      <c r="H594" s="6">
        <v>46063.487500000003</v>
      </c>
      <c r="I594" s="6">
        <v>46063.488194444442</v>
      </c>
      <c r="J594" s="6">
        <v>46063.488888888889</v>
      </c>
      <c r="K594" s="6">
        <v>46063.489583333336</v>
      </c>
      <c r="L594">
        <v>0.08</v>
      </c>
      <c r="M594" s="6">
        <v>46063.496527777781</v>
      </c>
      <c r="N594">
        <f t="shared" si="8"/>
        <v>11</v>
      </c>
    </row>
    <row r="595" spans="2:14" x14ac:dyDescent="0.25">
      <c r="B595">
        <v>576</v>
      </c>
      <c r="C595" t="s">
        <v>31</v>
      </c>
      <c r="D595">
        <v>1</v>
      </c>
      <c r="E595" t="s">
        <v>34</v>
      </c>
      <c r="F595" s="6">
        <v>46064.340277777781</v>
      </c>
      <c r="G595" s="6">
        <v>46064.347222222219</v>
      </c>
      <c r="H595" s="6">
        <v>46064.361111111109</v>
      </c>
      <c r="I595" s="6">
        <v>46064.384722222225</v>
      </c>
      <c r="J595" s="6">
        <v>46064.4375</v>
      </c>
      <c r="K595" s="6">
        <v>46064.444444444445</v>
      </c>
      <c r="L595">
        <v>2.5</v>
      </c>
      <c r="M595" s="6">
        <v>46064.445138888892</v>
      </c>
      <c r="N595">
        <f t="shared" si="8"/>
        <v>8</v>
      </c>
    </row>
    <row r="596" spans="2:14" x14ac:dyDescent="0.25">
      <c r="B596">
        <v>577</v>
      </c>
      <c r="C596" t="s">
        <v>31</v>
      </c>
      <c r="D596">
        <v>1</v>
      </c>
      <c r="E596" t="s">
        <v>30</v>
      </c>
      <c r="F596" s="6">
        <v>46063.586805555555</v>
      </c>
      <c r="G596" s="6">
        <v>46063.59375</v>
      </c>
      <c r="H596" s="6">
        <v>46063.629861111112</v>
      </c>
      <c r="I596" s="6">
        <v>46063.754861111112</v>
      </c>
      <c r="J596" s="6">
        <v>46063.761805555558</v>
      </c>
      <c r="K596" s="6">
        <v>46063.767361111109</v>
      </c>
      <c r="L596">
        <v>4.33</v>
      </c>
      <c r="M596" s="6">
        <v>46063.774305555555</v>
      </c>
      <c r="N596">
        <f t="shared" si="8"/>
        <v>14</v>
      </c>
    </row>
    <row r="597" spans="2:14" x14ac:dyDescent="0.25">
      <c r="B597">
        <v>578</v>
      </c>
      <c r="C597" t="s">
        <v>31</v>
      </c>
      <c r="D597">
        <v>1</v>
      </c>
      <c r="E597" t="s">
        <v>32</v>
      </c>
      <c r="F597" s="6">
        <v>46063.576388888891</v>
      </c>
      <c r="G597" s="6">
        <v>46063.583333333336</v>
      </c>
      <c r="H597" s="6">
        <v>46063.604166666664</v>
      </c>
      <c r="I597" s="6">
        <v>46063.6875</v>
      </c>
      <c r="J597" s="6">
        <v>46063.694444444445</v>
      </c>
      <c r="K597" s="6">
        <v>46063.708333333336</v>
      </c>
      <c r="L597">
        <v>3.17</v>
      </c>
      <c r="M597" s="6">
        <v>46063.715277777781</v>
      </c>
      <c r="N597">
        <f t="shared" ref="N597:N660" si="9">HOUR(F597)</f>
        <v>13</v>
      </c>
    </row>
    <row r="598" spans="2:14" x14ac:dyDescent="0.25">
      <c r="B598">
        <v>579</v>
      </c>
      <c r="C598" t="s">
        <v>29</v>
      </c>
      <c r="D598">
        <v>1</v>
      </c>
      <c r="E598" t="s">
        <v>30</v>
      </c>
      <c r="F598" s="6">
        <v>46063.690972222219</v>
      </c>
      <c r="G598" s="6">
        <v>46063.694444444445</v>
      </c>
      <c r="H598" s="6">
        <v>46063.708333333336</v>
      </c>
      <c r="I598" s="6">
        <v>46063.75</v>
      </c>
      <c r="J598" s="6">
        <v>46063.750694444447</v>
      </c>
      <c r="K598" s="6">
        <v>46063.751388888886</v>
      </c>
      <c r="L598">
        <v>1.45</v>
      </c>
      <c r="M598" s="6">
        <v>46063.758333333331</v>
      </c>
      <c r="N598">
        <f t="shared" si="9"/>
        <v>16</v>
      </c>
    </row>
    <row r="599" spans="2:14" x14ac:dyDescent="0.25">
      <c r="B599">
        <v>580</v>
      </c>
      <c r="C599" t="s">
        <v>29</v>
      </c>
      <c r="D599">
        <v>1</v>
      </c>
      <c r="E599" t="s">
        <v>36</v>
      </c>
      <c r="F599" s="6">
        <v>46064.520833333336</v>
      </c>
      <c r="G599" s="6">
        <v>46064.534722222219</v>
      </c>
      <c r="H599" s="6">
        <v>46064.541666666664</v>
      </c>
      <c r="I599" s="6">
        <v>46064.569444444445</v>
      </c>
      <c r="J599" s="6">
        <v>46064.576388888891</v>
      </c>
      <c r="K599" s="6">
        <v>46064.583333333336</v>
      </c>
      <c r="L599">
        <v>1.5</v>
      </c>
      <c r="M599" s="6">
        <v>46064.590277777781</v>
      </c>
      <c r="N599">
        <f t="shared" si="9"/>
        <v>12</v>
      </c>
    </row>
    <row r="600" spans="2:14" x14ac:dyDescent="0.25">
      <c r="B600">
        <v>581</v>
      </c>
      <c r="C600" t="s">
        <v>29</v>
      </c>
      <c r="D600">
        <v>1</v>
      </c>
      <c r="E600" t="s">
        <v>37</v>
      </c>
      <c r="F600" s="6">
        <v>46066.4375</v>
      </c>
      <c r="G600" s="6">
        <v>46066.444444444445</v>
      </c>
      <c r="H600" s="6">
        <v>46066.472222222219</v>
      </c>
      <c r="I600" s="6">
        <v>46066.527777777781</v>
      </c>
      <c r="J600" s="6">
        <v>46066.614583333336</v>
      </c>
      <c r="K600" s="6">
        <v>46066.618055555555</v>
      </c>
      <c r="L600">
        <v>4.33</v>
      </c>
      <c r="M600" s="6">
        <v>46066.621527777781</v>
      </c>
      <c r="N600">
        <f t="shared" si="9"/>
        <v>10</v>
      </c>
    </row>
    <row r="601" spans="2:14" x14ac:dyDescent="0.25">
      <c r="B601">
        <v>582</v>
      </c>
      <c r="C601" t="s">
        <v>29</v>
      </c>
      <c r="D601">
        <v>1</v>
      </c>
      <c r="E601" t="s">
        <v>32</v>
      </c>
      <c r="F601" s="6">
        <v>46084.309027777781</v>
      </c>
      <c r="G601" s="6">
        <v>46084.352083333331</v>
      </c>
      <c r="H601" s="6">
        <v>46084.361111111109</v>
      </c>
      <c r="I601" s="6">
        <v>46084.399305555555</v>
      </c>
      <c r="J601" s="6">
        <v>46084.402777777781</v>
      </c>
      <c r="K601" s="6">
        <v>46084.418749999997</v>
      </c>
      <c r="L601">
        <v>2.63</v>
      </c>
      <c r="M601" s="6">
        <v>46084.419444444444</v>
      </c>
      <c r="N601">
        <f t="shared" si="9"/>
        <v>7</v>
      </c>
    </row>
    <row r="602" spans="2:14" x14ac:dyDescent="0.25">
      <c r="B602">
        <v>583</v>
      </c>
      <c r="C602" t="s">
        <v>29</v>
      </c>
      <c r="D602">
        <v>1</v>
      </c>
      <c r="E602" t="s">
        <v>36</v>
      </c>
      <c r="F602" s="6">
        <v>46065.361111111109</v>
      </c>
      <c r="G602" s="6">
        <v>46065.368055555555</v>
      </c>
      <c r="H602" s="6">
        <v>46065.371527777781</v>
      </c>
      <c r="I602" s="6">
        <v>46065.402777777781</v>
      </c>
      <c r="J602" s="6">
        <v>46065.40625</v>
      </c>
      <c r="K602" s="6">
        <v>46065.409722222219</v>
      </c>
      <c r="L602">
        <v>1.17</v>
      </c>
      <c r="M602" s="6">
        <v>46065.413194444445</v>
      </c>
      <c r="N602">
        <f t="shared" si="9"/>
        <v>8</v>
      </c>
    </row>
    <row r="603" spans="2:14" x14ac:dyDescent="0.25">
      <c r="B603">
        <v>584</v>
      </c>
      <c r="C603" t="s">
        <v>33</v>
      </c>
      <c r="D603">
        <v>1</v>
      </c>
      <c r="E603" t="s">
        <v>36</v>
      </c>
      <c r="F603" s="6">
        <v>46065.309027777781</v>
      </c>
      <c r="G603" s="6">
        <v>46065.315972222219</v>
      </c>
      <c r="H603" s="6">
        <v>46065.319444444445</v>
      </c>
      <c r="I603" s="6">
        <v>46065.333333333336</v>
      </c>
      <c r="J603" s="6">
        <v>46065.340277777781</v>
      </c>
      <c r="K603" s="6">
        <v>46065.341666666667</v>
      </c>
      <c r="L603">
        <v>0.78</v>
      </c>
      <c r="M603" s="6">
        <v>46065.348611111112</v>
      </c>
      <c r="N603">
        <f t="shared" si="9"/>
        <v>7</v>
      </c>
    </row>
    <row r="604" spans="2:14" x14ac:dyDescent="0.25">
      <c r="B604">
        <v>585</v>
      </c>
      <c r="C604" t="s">
        <v>33</v>
      </c>
      <c r="D604">
        <v>1</v>
      </c>
      <c r="E604" t="s">
        <v>35</v>
      </c>
      <c r="F604" s="6">
        <v>46064.329861111109</v>
      </c>
      <c r="G604" s="6">
        <v>46064.34375</v>
      </c>
      <c r="H604" s="6">
        <v>46064.354166666664</v>
      </c>
      <c r="I604" s="6">
        <v>46064.385416666664</v>
      </c>
      <c r="J604" s="6">
        <v>46064.392361111109</v>
      </c>
      <c r="K604" s="6">
        <v>46064.402777777781</v>
      </c>
      <c r="L604">
        <v>1.75</v>
      </c>
      <c r="M604" s="6">
        <v>46064.409722222219</v>
      </c>
      <c r="N604">
        <f t="shared" si="9"/>
        <v>7</v>
      </c>
    </row>
    <row r="605" spans="2:14" x14ac:dyDescent="0.25">
      <c r="B605">
        <v>586</v>
      </c>
      <c r="C605" t="s">
        <v>29</v>
      </c>
      <c r="D605">
        <v>1</v>
      </c>
      <c r="E605" t="s">
        <v>34</v>
      </c>
      <c r="F605" s="6">
        <v>46064.291666666664</v>
      </c>
      <c r="G605" s="6">
        <v>46064.322916666664</v>
      </c>
      <c r="H605" s="6">
        <v>46064.340277777781</v>
      </c>
      <c r="I605" s="6">
        <v>46064.40625</v>
      </c>
      <c r="J605" s="6">
        <v>46064.420138888891</v>
      </c>
      <c r="K605" s="6">
        <v>46064.427083333336</v>
      </c>
      <c r="L605">
        <v>3.25</v>
      </c>
      <c r="M605" s="6">
        <v>46064.430555555555</v>
      </c>
      <c r="N605">
        <f t="shared" si="9"/>
        <v>7</v>
      </c>
    </row>
    <row r="606" spans="2:14" x14ac:dyDescent="0.25">
      <c r="B606">
        <v>587</v>
      </c>
      <c r="C606" t="s">
        <v>29</v>
      </c>
      <c r="D606">
        <v>1</v>
      </c>
      <c r="E606" t="s">
        <v>34</v>
      </c>
      <c r="F606" s="6">
        <v>46063.708333333336</v>
      </c>
      <c r="G606" s="6">
        <v>46063.725694444445</v>
      </c>
      <c r="H606" s="6">
        <v>46063.739583333336</v>
      </c>
      <c r="I606" s="6">
        <v>46063.822916666664</v>
      </c>
      <c r="J606" s="6">
        <v>46063.826388888891</v>
      </c>
      <c r="K606" s="6">
        <v>46063.82916666667</v>
      </c>
      <c r="L606">
        <v>2.9</v>
      </c>
      <c r="M606" s="6">
        <v>46063.836111111108</v>
      </c>
      <c r="N606">
        <f t="shared" si="9"/>
        <v>17</v>
      </c>
    </row>
    <row r="607" spans="2:14" x14ac:dyDescent="0.25">
      <c r="B607">
        <v>588</v>
      </c>
      <c r="C607" t="s">
        <v>29</v>
      </c>
      <c r="D607">
        <v>1</v>
      </c>
      <c r="E607" t="s">
        <v>32</v>
      </c>
      <c r="F607" s="6">
        <v>46063.743055555555</v>
      </c>
      <c r="G607" s="6">
        <v>46063.75</v>
      </c>
      <c r="H607" s="6">
        <v>46063.753472222219</v>
      </c>
      <c r="I607" s="6">
        <v>46063.770833333336</v>
      </c>
      <c r="J607" s="6">
        <v>46063.775694444441</v>
      </c>
      <c r="K607" s="6">
        <v>46063.776388888888</v>
      </c>
      <c r="L607">
        <v>0.8</v>
      </c>
      <c r="M607" s="6">
        <v>46063.777777777781</v>
      </c>
      <c r="N607">
        <f t="shared" si="9"/>
        <v>17</v>
      </c>
    </row>
    <row r="608" spans="2:14" x14ac:dyDescent="0.25">
      <c r="B608">
        <v>589</v>
      </c>
      <c r="C608" t="s">
        <v>33</v>
      </c>
      <c r="D608">
        <v>1</v>
      </c>
      <c r="E608" t="s">
        <v>35</v>
      </c>
      <c r="F608" s="6">
        <v>46063.666666666664</v>
      </c>
      <c r="G608" s="6">
        <v>46063.673611111109</v>
      </c>
      <c r="H608" s="6">
        <v>46063.6875</v>
      </c>
      <c r="I608" s="6">
        <v>46063.777777777781</v>
      </c>
      <c r="J608" s="6">
        <v>46063.784722222219</v>
      </c>
      <c r="K608" s="6">
        <v>46063.815972222219</v>
      </c>
      <c r="L608">
        <v>3.58</v>
      </c>
      <c r="M608" s="6">
        <v>46063.822916666664</v>
      </c>
      <c r="N608">
        <f t="shared" si="9"/>
        <v>16</v>
      </c>
    </row>
    <row r="609" spans="2:14" x14ac:dyDescent="0.25">
      <c r="B609">
        <v>590</v>
      </c>
      <c r="C609" t="s">
        <v>31</v>
      </c>
      <c r="D609">
        <v>1</v>
      </c>
      <c r="E609" t="s">
        <v>35</v>
      </c>
      <c r="F609" s="6">
        <v>46064.295138888891</v>
      </c>
      <c r="G609" s="6">
        <v>46064.319444444445</v>
      </c>
      <c r="H609" s="6">
        <v>46064.34375</v>
      </c>
      <c r="I609" s="6">
        <v>46064.440972222219</v>
      </c>
      <c r="J609" s="6">
        <v>46064.447916666664</v>
      </c>
      <c r="K609" s="6">
        <v>46064.451388888891</v>
      </c>
      <c r="L609">
        <v>3.75</v>
      </c>
      <c r="M609" s="6">
        <v>46064.458333333336</v>
      </c>
      <c r="N609">
        <f t="shared" si="9"/>
        <v>7</v>
      </c>
    </row>
    <row r="610" spans="2:14" x14ac:dyDescent="0.25">
      <c r="B610">
        <v>591</v>
      </c>
      <c r="C610" t="s">
        <v>33</v>
      </c>
      <c r="D610">
        <v>1</v>
      </c>
      <c r="E610" t="s">
        <v>30</v>
      </c>
      <c r="F610" s="6">
        <v>46063.84375</v>
      </c>
      <c r="G610" s="6">
        <v>46063.854166666664</v>
      </c>
      <c r="H610" s="6">
        <v>46063.864583333336</v>
      </c>
      <c r="I610" s="6">
        <v>46063.954861111109</v>
      </c>
      <c r="J610" s="6">
        <v>46063.965277777781</v>
      </c>
      <c r="K610" s="6">
        <v>46063.975694444445</v>
      </c>
      <c r="L610">
        <v>3.17</v>
      </c>
      <c r="M610" s="6">
        <v>46063.982638888891</v>
      </c>
      <c r="N610">
        <f t="shared" si="9"/>
        <v>20</v>
      </c>
    </row>
    <row r="611" spans="2:14" x14ac:dyDescent="0.25">
      <c r="B611">
        <v>592</v>
      </c>
      <c r="C611" t="s">
        <v>29</v>
      </c>
      <c r="D611">
        <v>1</v>
      </c>
      <c r="E611" t="s">
        <v>35</v>
      </c>
      <c r="F611" s="6">
        <v>46063.873611111114</v>
      </c>
      <c r="G611" s="6">
        <v>46063.881944444445</v>
      </c>
      <c r="H611" s="6">
        <v>46063.895833333336</v>
      </c>
      <c r="I611" s="6">
        <v>46063.916666666664</v>
      </c>
      <c r="J611" s="6">
        <v>46063.923611111109</v>
      </c>
      <c r="K611" s="6">
        <v>46063.930555555555</v>
      </c>
      <c r="L611">
        <v>1.37</v>
      </c>
      <c r="M611" s="6">
        <v>46063.9375</v>
      </c>
      <c r="N611">
        <f t="shared" si="9"/>
        <v>20</v>
      </c>
    </row>
    <row r="612" spans="2:14" x14ac:dyDescent="0.25">
      <c r="B612">
        <v>593</v>
      </c>
      <c r="C612" t="s">
        <v>31</v>
      </c>
      <c r="D612">
        <v>1</v>
      </c>
      <c r="E612" t="s">
        <v>34</v>
      </c>
      <c r="F612" s="6">
        <v>46064.454861111109</v>
      </c>
      <c r="G612" s="6">
        <v>46064.479166666664</v>
      </c>
      <c r="H612" s="6">
        <v>46064.53125</v>
      </c>
      <c r="I612" s="6">
        <v>46064.751388888886</v>
      </c>
      <c r="J612" s="6">
        <v>46064.763888888891</v>
      </c>
      <c r="K612" s="6">
        <v>46064.767361111109</v>
      </c>
      <c r="L612">
        <v>7.5</v>
      </c>
      <c r="M612" s="6">
        <v>46064.774305555555</v>
      </c>
      <c r="N612">
        <f t="shared" si="9"/>
        <v>10</v>
      </c>
    </row>
    <row r="613" spans="2:14" x14ac:dyDescent="0.25">
      <c r="B613">
        <v>594</v>
      </c>
      <c r="C613" t="s">
        <v>31</v>
      </c>
      <c r="D613">
        <v>1</v>
      </c>
      <c r="E613" t="s">
        <v>34</v>
      </c>
      <c r="F613" s="6">
        <v>46063.970138888886</v>
      </c>
      <c r="G613" s="6">
        <v>46063.975694444445</v>
      </c>
      <c r="H613" s="6">
        <v>46063.982638888891</v>
      </c>
      <c r="I613" s="6">
        <v>46064.072916666664</v>
      </c>
      <c r="J613" s="6">
        <v>46064.076388888891</v>
      </c>
      <c r="K613" s="6">
        <v>46064.083333333336</v>
      </c>
      <c r="L613">
        <v>2.72</v>
      </c>
      <c r="M613" s="6">
        <v>46064.090277777781</v>
      </c>
      <c r="N613">
        <f t="shared" si="9"/>
        <v>23</v>
      </c>
    </row>
    <row r="614" spans="2:14" x14ac:dyDescent="0.25">
      <c r="B614">
        <v>595</v>
      </c>
      <c r="C614" t="s">
        <v>31</v>
      </c>
      <c r="D614">
        <v>1</v>
      </c>
      <c r="E614" t="s">
        <v>35</v>
      </c>
      <c r="F614" s="6">
        <v>46064.003472222219</v>
      </c>
      <c r="G614" s="6">
        <v>46064.010416666664</v>
      </c>
      <c r="H614" s="6">
        <v>46064.020833333336</v>
      </c>
      <c r="I614" s="6">
        <v>46064.030555555553</v>
      </c>
      <c r="J614" s="6">
        <v>46064.038194444445</v>
      </c>
      <c r="K614" s="6">
        <v>46064.041666666664</v>
      </c>
      <c r="L614">
        <v>0.92</v>
      </c>
      <c r="M614" s="6">
        <v>46064.048611111109</v>
      </c>
      <c r="N614">
        <f t="shared" si="9"/>
        <v>0</v>
      </c>
    </row>
    <row r="615" spans="2:14" x14ac:dyDescent="0.25">
      <c r="B615">
        <v>596</v>
      </c>
      <c r="C615" t="s">
        <v>33</v>
      </c>
      <c r="D615">
        <v>1</v>
      </c>
      <c r="E615" t="s">
        <v>32</v>
      </c>
      <c r="F615" s="6">
        <v>46064.454861111109</v>
      </c>
      <c r="G615" s="6">
        <v>46064.486111111109</v>
      </c>
      <c r="H615" s="6">
        <v>46064.5</v>
      </c>
      <c r="I615" s="6">
        <v>46064.513888888891</v>
      </c>
      <c r="J615" s="6">
        <v>46064.520833333336</v>
      </c>
      <c r="K615" s="6">
        <v>46064.527777777781</v>
      </c>
      <c r="L615">
        <v>1.75</v>
      </c>
      <c r="M615" s="6">
        <v>46064.534722222219</v>
      </c>
      <c r="N615">
        <f t="shared" si="9"/>
        <v>10</v>
      </c>
    </row>
    <row r="616" spans="2:14" x14ac:dyDescent="0.25">
      <c r="B616">
        <v>597</v>
      </c>
      <c r="C616" t="s">
        <v>31</v>
      </c>
      <c r="D616">
        <v>1</v>
      </c>
      <c r="E616" t="s">
        <v>30</v>
      </c>
      <c r="F616" s="6">
        <v>46064.701388888891</v>
      </c>
      <c r="G616" s="6">
        <v>46064.708333333336</v>
      </c>
      <c r="H616" s="6">
        <v>46064.71875</v>
      </c>
      <c r="I616" s="6">
        <v>46064.781944444447</v>
      </c>
      <c r="J616" s="6">
        <v>46064.833333333336</v>
      </c>
      <c r="K616" s="6">
        <v>46064.840277777781</v>
      </c>
      <c r="L616">
        <v>3.33</v>
      </c>
      <c r="M616" s="6">
        <v>46064.84375</v>
      </c>
      <c r="N616">
        <f t="shared" si="9"/>
        <v>16</v>
      </c>
    </row>
    <row r="617" spans="2:14" x14ac:dyDescent="0.25">
      <c r="B617">
        <v>598</v>
      </c>
      <c r="C617" t="s">
        <v>31</v>
      </c>
      <c r="D617">
        <v>1</v>
      </c>
      <c r="E617" t="s">
        <v>35</v>
      </c>
      <c r="F617" s="6">
        <v>46064.45</v>
      </c>
      <c r="G617" s="6">
        <v>46064.465277777781</v>
      </c>
      <c r="H617" s="6">
        <v>46064.486111111109</v>
      </c>
      <c r="I617" s="6">
        <v>46064.506944444445</v>
      </c>
      <c r="J617" s="6">
        <v>46064.513888888891</v>
      </c>
      <c r="K617" s="6">
        <v>46064.652777777781</v>
      </c>
      <c r="L617">
        <v>4.87</v>
      </c>
      <c r="M617" s="6">
        <v>46064.659722222219</v>
      </c>
      <c r="N617">
        <f t="shared" si="9"/>
        <v>10</v>
      </c>
    </row>
    <row r="618" spans="2:14" x14ac:dyDescent="0.25">
      <c r="B618">
        <v>599</v>
      </c>
      <c r="C618" t="s">
        <v>31</v>
      </c>
      <c r="D618">
        <v>1</v>
      </c>
      <c r="E618" t="s">
        <v>32</v>
      </c>
      <c r="F618" s="6">
        <v>46064.569444444445</v>
      </c>
      <c r="G618" s="6">
        <v>46064.583333333336</v>
      </c>
      <c r="H618" s="6">
        <v>46064.597222222219</v>
      </c>
      <c r="I618" s="6">
        <v>46064.756944444445</v>
      </c>
      <c r="J618" s="6">
        <v>46064.763888888891</v>
      </c>
      <c r="K618" s="6">
        <v>46064.765277777777</v>
      </c>
      <c r="L618">
        <v>4.7</v>
      </c>
      <c r="M618" s="6">
        <v>46064.772222222222</v>
      </c>
      <c r="N618">
        <f t="shared" si="9"/>
        <v>13</v>
      </c>
    </row>
    <row r="619" spans="2:14" x14ac:dyDescent="0.25">
      <c r="B619">
        <v>600</v>
      </c>
      <c r="C619" t="s">
        <v>31</v>
      </c>
      <c r="D619">
        <v>1</v>
      </c>
      <c r="E619" t="s">
        <v>30</v>
      </c>
      <c r="F619" s="6">
        <v>46064.513888888891</v>
      </c>
      <c r="G619" s="6">
        <v>46064.520833333336</v>
      </c>
      <c r="H619" s="6">
        <v>46064.548611111109</v>
      </c>
      <c r="I619" s="6">
        <v>46064.635416666664</v>
      </c>
      <c r="J619" s="6">
        <v>46064.642361111109</v>
      </c>
      <c r="K619" s="6">
        <v>46064.652777777781</v>
      </c>
      <c r="L619">
        <v>3.33</v>
      </c>
      <c r="M619" s="6">
        <v>46064.659722222219</v>
      </c>
      <c r="N619">
        <f t="shared" si="9"/>
        <v>12</v>
      </c>
    </row>
    <row r="620" spans="2:14" x14ac:dyDescent="0.25">
      <c r="B620">
        <v>601</v>
      </c>
      <c r="C620" t="s">
        <v>29</v>
      </c>
      <c r="D620">
        <v>1</v>
      </c>
      <c r="E620" t="s">
        <v>32</v>
      </c>
      <c r="F620" s="6">
        <v>46065.322916666664</v>
      </c>
      <c r="G620" s="6">
        <v>46065.333333333336</v>
      </c>
      <c r="H620" s="6">
        <v>46065.34375</v>
      </c>
      <c r="I620" s="6">
        <v>46065.361111111109</v>
      </c>
      <c r="J620" s="6">
        <v>46065.368055555555</v>
      </c>
      <c r="K620" s="6">
        <v>46065.371527777781</v>
      </c>
      <c r="L620">
        <v>1.17</v>
      </c>
      <c r="M620" s="6">
        <v>46065.378472222219</v>
      </c>
      <c r="N620">
        <f t="shared" si="9"/>
        <v>7</v>
      </c>
    </row>
    <row r="621" spans="2:14" x14ac:dyDescent="0.25">
      <c r="B621">
        <v>602</v>
      </c>
      <c r="C621" t="s">
        <v>33</v>
      </c>
      <c r="D621">
        <v>1</v>
      </c>
      <c r="E621" t="s">
        <v>32</v>
      </c>
      <c r="F621" s="6">
        <v>46065.409722222219</v>
      </c>
      <c r="G621" s="6">
        <v>46065.416666666664</v>
      </c>
      <c r="H621" s="6">
        <v>46065.440972222219</v>
      </c>
      <c r="I621" s="6">
        <v>46065.482638888891</v>
      </c>
      <c r="J621" s="6">
        <v>46065.489583333336</v>
      </c>
      <c r="K621" s="6">
        <v>46065.5</v>
      </c>
      <c r="L621">
        <v>2.17</v>
      </c>
      <c r="M621" s="6">
        <v>46065.506944444445</v>
      </c>
      <c r="N621">
        <f t="shared" si="9"/>
        <v>9</v>
      </c>
    </row>
    <row r="622" spans="2:14" x14ac:dyDescent="0.25">
      <c r="B622">
        <v>603</v>
      </c>
      <c r="C622" t="s">
        <v>33</v>
      </c>
      <c r="D622">
        <v>1</v>
      </c>
      <c r="E622" t="s">
        <v>30</v>
      </c>
      <c r="F622" s="6">
        <v>46066.645833333336</v>
      </c>
      <c r="G622" s="6">
        <v>46066.65625</v>
      </c>
      <c r="H622" s="6">
        <v>46066.680555555555</v>
      </c>
      <c r="I622" s="6">
        <v>46066.902777777781</v>
      </c>
      <c r="J622" s="6">
        <v>46066.90625</v>
      </c>
      <c r="K622" s="6">
        <v>46066.909722222219</v>
      </c>
      <c r="L622">
        <v>6.33</v>
      </c>
      <c r="M622" s="6">
        <v>46066.913194444445</v>
      </c>
      <c r="N622">
        <f t="shared" si="9"/>
        <v>15</v>
      </c>
    </row>
    <row r="623" spans="2:14" x14ac:dyDescent="0.25">
      <c r="B623">
        <v>604</v>
      </c>
      <c r="C623" t="s">
        <v>31</v>
      </c>
      <c r="D623">
        <v>1</v>
      </c>
      <c r="E623" t="s">
        <v>35</v>
      </c>
      <c r="F623" s="6">
        <v>46065.295138888891</v>
      </c>
      <c r="G623" s="6">
        <v>46065.319444444445</v>
      </c>
      <c r="H623" s="6">
        <v>46065.34375</v>
      </c>
      <c r="I623" s="6">
        <v>46065.428472222222</v>
      </c>
      <c r="J623" s="6">
        <v>46065.435416666667</v>
      </c>
      <c r="K623" s="6">
        <v>46065.436111111114</v>
      </c>
      <c r="L623">
        <v>3.38</v>
      </c>
      <c r="M623" s="6">
        <v>46065.443055555559</v>
      </c>
      <c r="N623">
        <f t="shared" si="9"/>
        <v>7</v>
      </c>
    </row>
    <row r="624" spans="2:14" x14ac:dyDescent="0.25">
      <c r="B624">
        <v>605</v>
      </c>
      <c r="C624" t="s">
        <v>31</v>
      </c>
      <c r="D624">
        <v>1</v>
      </c>
      <c r="E624" t="s">
        <v>30</v>
      </c>
      <c r="F624" s="6">
        <v>46064.847222222219</v>
      </c>
      <c r="G624" s="6">
        <v>46064.854166666664</v>
      </c>
      <c r="H624" s="6">
        <v>46064.864583333336</v>
      </c>
      <c r="I624" s="6">
        <v>46064.923611111109</v>
      </c>
      <c r="J624" s="6">
        <v>46064.930555555555</v>
      </c>
      <c r="K624" s="6">
        <v>46064.931944444441</v>
      </c>
      <c r="L624">
        <v>2.0299999999999998</v>
      </c>
      <c r="M624" s="6">
        <v>46064.934027777781</v>
      </c>
      <c r="N624">
        <f t="shared" si="9"/>
        <v>20</v>
      </c>
    </row>
    <row r="625" spans="2:14" x14ac:dyDescent="0.25">
      <c r="B625">
        <v>606</v>
      </c>
      <c r="C625" t="s">
        <v>33</v>
      </c>
      <c r="D625">
        <v>1</v>
      </c>
      <c r="E625" t="s">
        <v>36</v>
      </c>
      <c r="F625" s="6">
        <v>46064.614583333336</v>
      </c>
      <c r="G625" s="6">
        <v>46064.628472222219</v>
      </c>
      <c r="H625" s="6">
        <v>46064.635416666664</v>
      </c>
      <c r="I625" s="6">
        <v>46064.659722222219</v>
      </c>
      <c r="J625" s="6">
        <v>46064.663194444445</v>
      </c>
      <c r="K625" s="6">
        <v>46064.666666666664</v>
      </c>
      <c r="L625">
        <v>1.25</v>
      </c>
      <c r="M625" s="6">
        <v>46064.673611111109</v>
      </c>
      <c r="N625">
        <f t="shared" si="9"/>
        <v>14</v>
      </c>
    </row>
    <row r="626" spans="2:14" x14ac:dyDescent="0.25">
      <c r="B626">
        <v>607</v>
      </c>
      <c r="C626" t="s">
        <v>31</v>
      </c>
      <c r="D626">
        <v>1</v>
      </c>
      <c r="E626" t="s">
        <v>30</v>
      </c>
      <c r="F626" s="6">
        <v>46065.291666666664</v>
      </c>
      <c r="G626" s="6">
        <v>46065.333333333336</v>
      </c>
      <c r="H626" s="6">
        <v>46065.347222222219</v>
      </c>
      <c r="I626" s="6">
        <v>46065.418749999997</v>
      </c>
      <c r="J626" s="6">
        <v>46065.423611111109</v>
      </c>
      <c r="K626" s="6">
        <v>46065.430555555555</v>
      </c>
      <c r="L626">
        <v>3.33</v>
      </c>
      <c r="M626" s="6">
        <v>46065.4375</v>
      </c>
      <c r="N626">
        <f t="shared" si="9"/>
        <v>7</v>
      </c>
    </row>
    <row r="627" spans="2:14" x14ac:dyDescent="0.25">
      <c r="B627">
        <v>608</v>
      </c>
      <c r="C627" t="s">
        <v>31</v>
      </c>
      <c r="D627">
        <v>1</v>
      </c>
      <c r="E627" t="s">
        <v>36</v>
      </c>
      <c r="F627" s="6">
        <v>46065.291666666664</v>
      </c>
      <c r="G627" s="6">
        <v>46065.333333333336</v>
      </c>
      <c r="H627" s="6">
        <v>46065.354166666664</v>
      </c>
      <c r="I627" s="6">
        <v>46065.4375</v>
      </c>
      <c r="J627" s="6">
        <v>46065.444444444445</v>
      </c>
      <c r="K627" s="6">
        <v>46065.451388888891</v>
      </c>
      <c r="L627">
        <v>3.83</v>
      </c>
      <c r="M627" s="6">
        <v>46065.458333333336</v>
      </c>
      <c r="N627">
        <f t="shared" si="9"/>
        <v>7</v>
      </c>
    </row>
    <row r="628" spans="2:14" x14ac:dyDescent="0.25">
      <c r="B628">
        <v>609</v>
      </c>
      <c r="C628" t="s">
        <v>33</v>
      </c>
      <c r="D628">
        <v>1</v>
      </c>
      <c r="E628" t="s">
        <v>36</v>
      </c>
      <c r="F628" s="6">
        <v>46065.475694444445</v>
      </c>
      <c r="G628" s="6">
        <v>46065.5</v>
      </c>
      <c r="H628" s="6">
        <v>46065.506249999999</v>
      </c>
      <c r="I628" s="6">
        <v>46065.540972222225</v>
      </c>
      <c r="J628" s="6">
        <v>46065.541666666664</v>
      </c>
      <c r="K628" s="6">
        <v>46065.545138888891</v>
      </c>
      <c r="L628">
        <v>1.67</v>
      </c>
      <c r="M628" s="6">
        <v>46065.54583333333</v>
      </c>
      <c r="N628">
        <f t="shared" si="9"/>
        <v>11</v>
      </c>
    </row>
    <row r="629" spans="2:14" x14ac:dyDescent="0.25">
      <c r="B629">
        <v>610</v>
      </c>
      <c r="C629" t="s">
        <v>33</v>
      </c>
      <c r="D629">
        <v>1</v>
      </c>
      <c r="E629" t="s">
        <v>35</v>
      </c>
      <c r="F629" s="6">
        <v>46065.493055555555</v>
      </c>
      <c r="G629" s="6">
        <v>46065.5</v>
      </c>
      <c r="H629" s="6">
        <v>46065.505555555559</v>
      </c>
      <c r="I629" s="6">
        <v>46065.561111111114</v>
      </c>
      <c r="J629" s="6">
        <v>46065.568055555559</v>
      </c>
      <c r="K629" s="6">
        <v>46065.595138888886</v>
      </c>
      <c r="L629">
        <v>2.4500000000000002</v>
      </c>
      <c r="M629" s="6">
        <v>46065.600694444445</v>
      </c>
      <c r="N629">
        <f t="shared" si="9"/>
        <v>11</v>
      </c>
    </row>
    <row r="630" spans="2:14" x14ac:dyDescent="0.25">
      <c r="B630">
        <v>611</v>
      </c>
      <c r="C630" t="s">
        <v>33</v>
      </c>
      <c r="D630">
        <v>1</v>
      </c>
      <c r="E630" t="s">
        <v>30</v>
      </c>
      <c r="F630" s="6">
        <v>46064.685416666667</v>
      </c>
      <c r="G630" s="6">
        <v>46064.701388888891</v>
      </c>
      <c r="H630" s="6">
        <v>46064.725694444445</v>
      </c>
      <c r="I630" s="6">
        <v>46064.753472222219</v>
      </c>
      <c r="J630" s="6">
        <v>46064.760416666664</v>
      </c>
      <c r="K630" s="6">
        <v>46064.767361111109</v>
      </c>
      <c r="L630">
        <v>1.97</v>
      </c>
      <c r="M630" s="6">
        <v>46064.774305555555</v>
      </c>
      <c r="N630">
        <f t="shared" si="9"/>
        <v>16</v>
      </c>
    </row>
    <row r="631" spans="2:14" x14ac:dyDescent="0.25">
      <c r="B631">
        <v>612</v>
      </c>
      <c r="C631" t="s">
        <v>29</v>
      </c>
      <c r="D631">
        <v>1</v>
      </c>
      <c r="E631" t="s">
        <v>36</v>
      </c>
      <c r="F631" s="6">
        <v>46064.732638888891</v>
      </c>
      <c r="G631" s="6">
        <v>46064.739583333336</v>
      </c>
      <c r="H631" s="6">
        <v>46064.75</v>
      </c>
      <c r="I631" s="6">
        <v>46064.79791666667</v>
      </c>
      <c r="J631" s="6">
        <v>46064.804861111108</v>
      </c>
      <c r="K631" s="6">
        <v>46064.809027777781</v>
      </c>
      <c r="L631">
        <v>1.83</v>
      </c>
      <c r="M631" s="6">
        <v>46064.815972222219</v>
      </c>
      <c r="N631">
        <f t="shared" si="9"/>
        <v>17</v>
      </c>
    </row>
    <row r="632" spans="2:14" x14ac:dyDescent="0.25">
      <c r="B632">
        <v>613</v>
      </c>
      <c r="C632" t="s">
        <v>29</v>
      </c>
      <c r="D632">
        <v>1</v>
      </c>
      <c r="E632" t="s">
        <v>34</v>
      </c>
      <c r="F632" s="6">
        <v>46065.263888888891</v>
      </c>
      <c r="G632" s="6">
        <v>46065.277777777781</v>
      </c>
      <c r="H632" s="6">
        <v>46065.28125</v>
      </c>
      <c r="I632" s="6">
        <v>46065.298611111109</v>
      </c>
      <c r="J632" s="6">
        <v>46065.305555555555</v>
      </c>
      <c r="K632" s="6">
        <v>46065.3125</v>
      </c>
      <c r="L632">
        <v>1.17</v>
      </c>
      <c r="M632" s="6">
        <v>46065.319444444445</v>
      </c>
      <c r="N632">
        <f t="shared" si="9"/>
        <v>6</v>
      </c>
    </row>
    <row r="633" spans="2:14" x14ac:dyDescent="0.25">
      <c r="B633">
        <v>614</v>
      </c>
      <c r="C633" t="s">
        <v>29</v>
      </c>
      <c r="D633">
        <v>1</v>
      </c>
      <c r="E633" t="s">
        <v>32</v>
      </c>
      <c r="F633" s="6">
        <v>46066.267361111109</v>
      </c>
      <c r="G633" s="6">
        <v>46066.284722222219</v>
      </c>
      <c r="H633" s="6">
        <v>46066.288194444445</v>
      </c>
      <c r="I633" s="6">
        <v>46066.295138888891</v>
      </c>
      <c r="J633" s="6">
        <v>46066.302083333336</v>
      </c>
      <c r="K633" s="6">
        <v>46066.315972222219</v>
      </c>
      <c r="L633">
        <v>1.17</v>
      </c>
      <c r="M633" s="6">
        <v>46066.322916666664</v>
      </c>
      <c r="N633">
        <f t="shared" si="9"/>
        <v>6</v>
      </c>
    </row>
    <row r="634" spans="2:14" x14ac:dyDescent="0.25">
      <c r="B634">
        <v>615</v>
      </c>
      <c r="C634" t="s">
        <v>31</v>
      </c>
      <c r="D634">
        <v>1</v>
      </c>
      <c r="E634" t="s">
        <v>30</v>
      </c>
      <c r="F634" s="6">
        <v>46064.953472222223</v>
      </c>
      <c r="G634" s="6">
        <v>46064.958333333336</v>
      </c>
      <c r="H634" s="6">
        <v>46064.965277777781</v>
      </c>
      <c r="I634" s="6">
        <v>46064.975694444445</v>
      </c>
      <c r="J634" s="6">
        <v>46065.027777777781</v>
      </c>
      <c r="K634" s="6">
        <v>46065.034722222219</v>
      </c>
      <c r="L634">
        <v>1.95</v>
      </c>
      <c r="M634" s="6">
        <v>46065.041666666664</v>
      </c>
      <c r="N634">
        <f t="shared" si="9"/>
        <v>22</v>
      </c>
    </row>
    <row r="635" spans="2:14" x14ac:dyDescent="0.25">
      <c r="B635">
        <v>616</v>
      </c>
      <c r="C635" t="s">
        <v>33</v>
      </c>
      <c r="D635">
        <v>1</v>
      </c>
      <c r="E635" t="s">
        <v>30</v>
      </c>
      <c r="F635" s="6">
        <v>46065.42083333333</v>
      </c>
      <c r="G635" s="6">
        <v>46065.422222222223</v>
      </c>
      <c r="H635" s="6">
        <v>46065.427083333336</v>
      </c>
      <c r="I635" s="6">
        <v>46065.436111111114</v>
      </c>
      <c r="J635" s="6">
        <v>46065.4375</v>
      </c>
      <c r="K635" s="6">
        <v>46065.438888888886</v>
      </c>
      <c r="L635">
        <v>0.43</v>
      </c>
      <c r="M635" s="6">
        <v>46065.440972222219</v>
      </c>
      <c r="N635">
        <f t="shared" si="9"/>
        <v>10</v>
      </c>
    </row>
    <row r="636" spans="2:14" x14ac:dyDescent="0.25">
      <c r="B636">
        <v>617</v>
      </c>
      <c r="C636" t="s">
        <v>31</v>
      </c>
      <c r="D636">
        <v>1</v>
      </c>
      <c r="E636" t="s">
        <v>30</v>
      </c>
      <c r="F636" s="6">
        <v>46065.489583333336</v>
      </c>
      <c r="G636" s="6">
        <v>46065.493055555555</v>
      </c>
      <c r="H636" s="6">
        <v>46065.49722222222</v>
      </c>
      <c r="I636" s="6">
        <v>46065.580555555556</v>
      </c>
      <c r="J636" s="6">
        <v>46065.587500000001</v>
      </c>
      <c r="K636" s="6">
        <v>46065.822916666664</v>
      </c>
      <c r="L636">
        <v>8</v>
      </c>
      <c r="M636" s="6">
        <v>46065.829861111109</v>
      </c>
      <c r="N636">
        <f t="shared" si="9"/>
        <v>11</v>
      </c>
    </row>
    <row r="637" spans="2:14" x14ac:dyDescent="0.25">
      <c r="B637">
        <v>618</v>
      </c>
      <c r="C637" t="s">
        <v>29</v>
      </c>
      <c r="D637">
        <v>1</v>
      </c>
      <c r="E637" t="s">
        <v>32</v>
      </c>
      <c r="F637" s="6">
        <v>46072.305555555555</v>
      </c>
      <c r="G637" s="6">
        <v>46072.315972222219</v>
      </c>
      <c r="H637" s="6">
        <v>46072.322916666664</v>
      </c>
      <c r="I637" s="6">
        <v>46072.395833333336</v>
      </c>
      <c r="J637" s="6">
        <v>46072.402777777781</v>
      </c>
      <c r="K637" s="6">
        <v>46072.415277777778</v>
      </c>
      <c r="L637">
        <v>2.63</v>
      </c>
      <c r="M637" s="6">
        <v>46072.422222222223</v>
      </c>
      <c r="N637">
        <f t="shared" si="9"/>
        <v>7</v>
      </c>
    </row>
    <row r="638" spans="2:14" x14ac:dyDescent="0.25">
      <c r="B638">
        <v>619</v>
      </c>
      <c r="C638" t="s">
        <v>31</v>
      </c>
      <c r="D638">
        <v>1</v>
      </c>
      <c r="E638" t="s">
        <v>32</v>
      </c>
      <c r="F638" s="6">
        <v>46072.434027777781</v>
      </c>
      <c r="G638" s="6">
        <v>46072.440972222219</v>
      </c>
      <c r="H638" s="6">
        <v>46072.447916666664</v>
      </c>
      <c r="I638" s="6">
        <v>46072.479166666664</v>
      </c>
      <c r="J638" s="6">
        <v>46072.486111111109</v>
      </c>
      <c r="K638" s="6">
        <v>46072.5</v>
      </c>
      <c r="L638">
        <v>1.58</v>
      </c>
      <c r="M638" s="6">
        <v>46072.506944444445</v>
      </c>
      <c r="N638">
        <f t="shared" si="9"/>
        <v>10</v>
      </c>
    </row>
    <row r="639" spans="2:14" x14ac:dyDescent="0.25">
      <c r="B639">
        <v>620</v>
      </c>
      <c r="C639" t="s">
        <v>29</v>
      </c>
      <c r="D639">
        <v>1</v>
      </c>
      <c r="E639" t="s">
        <v>32</v>
      </c>
      <c r="F639" s="6">
        <v>46077.427083333336</v>
      </c>
      <c r="G639" s="6">
        <v>46077.430555555555</v>
      </c>
      <c r="H639" s="6">
        <v>46077.434027777781</v>
      </c>
      <c r="I639" s="6">
        <v>46077.486111111109</v>
      </c>
      <c r="J639" s="6">
        <v>46077.493055555555</v>
      </c>
      <c r="K639" s="6">
        <v>46077.506944444445</v>
      </c>
      <c r="L639">
        <v>1.92</v>
      </c>
      <c r="M639" s="6">
        <v>46077.513888888891</v>
      </c>
      <c r="N639">
        <f t="shared" si="9"/>
        <v>10</v>
      </c>
    </row>
    <row r="640" spans="2:14" x14ac:dyDescent="0.25">
      <c r="B640">
        <v>621</v>
      </c>
      <c r="C640" t="s">
        <v>33</v>
      </c>
      <c r="D640">
        <v>1</v>
      </c>
      <c r="E640" t="s">
        <v>30</v>
      </c>
      <c r="F640" s="6">
        <v>46065.493055555555</v>
      </c>
      <c r="G640" s="6">
        <v>46065.5</v>
      </c>
      <c r="H640" s="6">
        <v>46065.506944444445</v>
      </c>
      <c r="I640" s="6">
        <v>46065.520833333336</v>
      </c>
      <c r="J640" s="6">
        <v>46065.527777777781</v>
      </c>
      <c r="K640" s="6">
        <v>46065.53125</v>
      </c>
      <c r="L640">
        <v>0.92</v>
      </c>
      <c r="M640" s="6">
        <v>46065.538194444445</v>
      </c>
      <c r="N640">
        <f t="shared" si="9"/>
        <v>11</v>
      </c>
    </row>
    <row r="641" spans="2:14" x14ac:dyDescent="0.25">
      <c r="B641">
        <v>622</v>
      </c>
      <c r="C641" t="s">
        <v>33</v>
      </c>
      <c r="D641">
        <v>1</v>
      </c>
      <c r="E641" t="s">
        <v>32</v>
      </c>
      <c r="F641" s="6">
        <v>46066.350694444445</v>
      </c>
      <c r="G641" s="6">
        <v>46066.354166666664</v>
      </c>
      <c r="H641" s="6">
        <v>46066.375</v>
      </c>
      <c r="I641" s="6">
        <v>46066.524305555555</v>
      </c>
      <c r="J641" s="6">
        <v>46066.527777777781</v>
      </c>
      <c r="K641" s="6">
        <v>46066.541666666664</v>
      </c>
      <c r="L641">
        <v>4.58</v>
      </c>
      <c r="M641" s="6">
        <v>46066.548611111109</v>
      </c>
      <c r="N641">
        <f t="shared" si="9"/>
        <v>8</v>
      </c>
    </row>
    <row r="642" spans="2:14" x14ac:dyDescent="0.25">
      <c r="B642">
        <v>623</v>
      </c>
      <c r="C642" t="s">
        <v>33</v>
      </c>
      <c r="D642">
        <v>1</v>
      </c>
      <c r="E642" t="s">
        <v>35</v>
      </c>
      <c r="F642" s="6">
        <v>46066.638888888891</v>
      </c>
      <c r="G642" s="6">
        <v>46066.645833333336</v>
      </c>
      <c r="H642" s="6">
        <v>46066.652777777781</v>
      </c>
      <c r="I642" s="6">
        <v>46066.71875</v>
      </c>
      <c r="J642" s="6">
        <v>46066.729166666664</v>
      </c>
      <c r="K642" s="6">
        <v>46066.739583333336</v>
      </c>
      <c r="L642">
        <v>2.42</v>
      </c>
      <c r="M642" s="6">
        <v>46066.746527777781</v>
      </c>
      <c r="N642">
        <f t="shared" si="9"/>
        <v>15</v>
      </c>
    </row>
    <row r="643" spans="2:14" x14ac:dyDescent="0.25">
      <c r="B643">
        <v>624</v>
      </c>
      <c r="C643" t="s">
        <v>29</v>
      </c>
      <c r="D643">
        <v>1</v>
      </c>
      <c r="E643" t="s">
        <v>32</v>
      </c>
      <c r="F643" s="6">
        <v>46065.753472222219</v>
      </c>
      <c r="G643" s="6">
        <v>46065.754861111112</v>
      </c>
      <c r="H643" s="6">
        <v>46065.756944444445</v>
      </c>
      <c r="I643" s="6">
        <v>46065.774305555555</v>
      </c>
      <c r="J643" s="6">
        <v>46065.775694444441</v>
      </c>
      <c r="K643" s="6">
        <v>46065.777777777781</v>
      </c>
      <c r="L643">
        <v>0.57999999999999996</v>
      </c>
      <c r="M643" s="6">
        <v>46065.779166666667</v>
      </c>
      <c r="N643">
        <f t="shared" si="9"/>
        <v>18</v>
      </c>
    </row>
    <row r="644" spans="2:14" x14ac:dyDescent="0.25">
      <c r="B644">
        <v>625</v>
      </c>
      <c r="C644" t="s">
        <v>29</v>
      </c>
      <c r="D644">
        <v>1</v>
      </c>
      <c r="E644" t="s">
        <v>30</v>
      </c>
      <c r="F644" s="6">
        <v>46066.423611111109</v>
      </c>
      <c r="G644" s="6">
        <v>46066.4375</v>
      </c>
      <c r="H644" s="6">
        <v>46066.46875</v>
      </c>
      <c r="I644" s="6">
        <v>46066.583333333336</v>
      </c>
      <c r="J644" s="6">
        <v>46066.590277777781</v>
      </c>
      <c r="K644" s="6">
        <v>46066.604166666664</v>
      </c>
      <c r="L644">
        <v>4.33</v>
      </c>
      <c r="M644" s="6">
        <v>46066.611111111109</v>
      </c>
      <c r="N644">
        <f t="shared" si="9"/>
        <v>10</v>
      </c>
    </row>
    <row r="645" spans="2:14" x14ac:dyDescent="0.25">
      <c r="B645">
        <v>626</v>
      </c>
      <c r="C645" t="s">
        <v>29</v>
      </c>
      <c r="D645">
        <v>1</v>
      </c>
      <c r="E645" t="s">
        <v>35</v>
      </c>
      <c r="F645" s="6">
        <v>46066.291666666664</v>
      </c>
      <c r="G645" s="6">
        <v>46066.333333333336</v>
      </c>
      <c r="H645" s="6">
        <v>46066.34375</v>
      </c>
      <c r="I645" s="6">
        <v>46066.364583333336</v>
      </c>
      <c r="J645" s="6">
        <v>46066.375</v>
      </c>
      <c r="K645" s="6">
        <v>46066.416666666664</v>
      </c>
      <c r="L645">
        <v>3</v>
      </c>
      <c r="M645" s="6">
        <v>46066.423611111109</v>
      </c>
      <c r="N645">
        <f t="shared" si="9"/>
        <v>7</v>
      </c>
    </row>
    <row r="646" spans="2:14" x14ac:dyDescent="0.25">
      <c r="B646">
        <v>627</v>
      </c>
      <c r="C646" t="s">
        <v>31</v>
      </c>
      <c r="D646">
        <v>1</v>
      </c>
      <c r="E646" t="s">
        <v>30</v>
      </c>
      <c r="F646" s="6">
        <v>46065.576388888891</v>
      </c>
      <c r="G646" s="6">
        <v>46065.583333333336</v>
      </c>
      <c r="H646" s="6">
        <v>46065.599999999999</v>
      </c>
      <c r="I646" s="6">
        <v>46065.683333333334</v>
      </c>
      <c r="J646" s="6">
        <v>46065.690972222219</v>
      </c>
      <c r="K646" s="6">
        <v>46065.697916666664</v>
      </c>
      <c r="L646">
        <v>2.92</v>
      </c>
      <c r="M646" s="6">
        <v>46065.704861111109</v>
      </c>
      <c r="N646">
        <f t="shared" si="9"/>
        <v>13</v>
      </c>
    </row>
    <row r="647" spans="2:14" x14ac:dyDescent="0.25">
      <c r="B647">
        <v>628</v>
      </c>
      <c r="C647" t="s">
        <v>33</v>
      </c>
      <c r="D647">
        <v>1</v>
      </c>
      <c r="E647" t="s">
        <v>35</v>
      </c>
      <c r="F647" s="6">
        <v>46066.479166666664</v>
      </c>
      <c r="G647" s="6">
        <v>46066.489583333336</v>
      </c>
      <c r="H647" s="6">
        <v>46066.524305555555</v>
      </c>
      <c r="I647" s="6">
        <v>46066.583333333336</v>
      </c>
      <c r="J647" s="6">
        <v>46066.59375</v>
      </c>
      <c r="K647" s="6">
        <v>46066.604166666664</v>
      </c>
      <c r="L647">
        <v>3</v>
      </c>
      <c r="M647" s="6">
        <v>46066.611111111109</v>
      </c>
      <c r="N647">
        <f t="shared" si="9"/>
        <v>11</v>
      </c>
    </row>
    <row r="648" spans="2:14" x14ac:dyDescent="0.25">
      <c r="B648">
        <v>629</v>
      </c>
      <c r="C648" t="s">
        <v>31</v>
      </c>
      <c r="D648">
        <v>1</v>
      </c>
      <c r="E648" t="s">
        <v>37</v>
      </c>
      <c r="F648" s="6">
        <v>46065.621527777781</v>
      </c>
      <c r="G648" s="6">
        <v>46065.62222222222</v>
      </c>
      <c r="H648" s="6">
        <v>46065.625</v>
      </c>
      <c r="I648" s="6">
        <v>46065.729166666664</v>
      </c>
      <c r="J648" s="6">
        <v>46065.770833333336</v>
      </c>
      <c r="K648" s="6">
        <v>46065.777777777781</v>
      </c>
      <c r="L648">
        <v>3.75</v>
      </c>
      <c r="M648" s="6">
        <v>46065.77847222222</v>
      </c>
      <c r="N648">
        <f t="shared" si="9"/>
        <v>14</v>
      </c>
    </row>
    <row r="649" spans="2:14" x14ac:dyDescent="0.25">
      <c r="B649">
        <v>630</v>
      </c>
      <c r="C649" t="s">
        <v>29</v>
      </c>
      <c r="D649">
        <v>1</v>
      </c>
      <c r="E649" t="s">
        <v>30</v>
      </c>
      <c r="F649" s="6">
        <v>46065.881944444445</v>
      </c>
      <c r="G649" s="6">
        <v>46065.888888888891</v>
      </c>
      <c r="H649" s="6">
        <v>46065.895833333336</v>
      </c>
      <c r="I649" s="6">
        <v>46065.90625</v>
      </c>
      <c r="J649" s="6">
        <v>46065.923611111109</v>
      </c>
      <c r="K649" s="6">
        <v>46065.928472222222</v>
      </c>
      <c r="L649">
        <v>1.1200000000000001</v>
      </c>
      <c r="M649" s="6">
        <v>46065.929166666669</v>
      </c>
      <c r="N649">
        <f t="shared" si="9"/>
        <v>21</v>
      </c>
    </row>
    <row r="650" spans="2:14" x14ac:dyDescent="0.25">
      <c r="B650">
        <v>631</v>
      </c>
      <c r="C650" t="s">
        <v>31</v>
      </c>
      <c r="D650">
        <v>1</v>
      </c>
      <c r="E650" t="s">
        <v>35</v>
      </c>
      <c r="F650" s="6">
        <v>46066.652777777781</v>
      </c>
      <c r="G650" s="6">
        <v>46066.673611111109</v>
      </c>
      <c r="H650" s="6">
        <v>46066.690972222219</v>
      </c>
      <c r="I650" s="6">
        <v>46066.815972222219</v>
      </c>
      <c r="J650" s="6">
        <v>46066.822916666664</v>
      </c>
      <c r="K650" s="6">
        <v>46066.826388888891</v>
      </c>
      <c r="L650">
        <v>4.17</v>
      </c>
      <c r="M650" s="6">
        <v>46066.833333333336</v>
      </c>
      <c r="N650">
        <f t="shared" si="9"/>
        <v>15</v>
      </c>
    </row>
    <row r="651" spans="2:14" x14ac:dyDescent="0.25">
      <c r="B651">
        <v>632</v>
      </c>
      <c r="C651" t="s">
        <v>29</v>
      </c>
      <c r="D651">
        <v>1</v>
      </c>
      <c r="E651" t="s">
        <v>34</v>
      </c>
      <c r="F651" s="6">
        <v>46065.913194444445</v>
      </c>
      <c r="G651" s="6">
        <v>46065.927083333336</v>
      </c>
      <c r="H651" s="6">
        <v>46065.930555555555</v>
      </c>
      <c r="I651" s="6">
        <v>46065.989583333336</v>
      </c>
      <c r="J651" s="6">
        <v>46065.993055555555</v>
      </c>
      <c r="K651" s="6">
        <v>46065.996527777781</v>
      </c>
      <c r="L651">
        <v>2</v>
      </c>
      <c r="M651" s="6">
        <v>46066.003472222219</v>
      </c>
      <c r="N651">
        <f t="shared" si="9"/>
        <v>21</v>
      </c>
    </row>
    <row r="652" spans="2:14" x14ac:dyDescent="0.25">
      <c r="B652">
        <v>633</v>
      </c>
      <c r="C652" t="s">
        <v>31</v>
      </c>
      <c r="D652">
        <v>1</v>
      </c>
      <c r="E652" t="s">
        <v>35</v>
      </c>
      <c r="F652" s="6">
        <v>46066.013888888891</v>
      </c>
      <c r="G652" s="6">
        <v>46066.020833333336</v>
      </c>
      <c r="H652" s="6">
        <v>46066.027777777781</v>
      </c>
      <c r="I652" s="6">
        <v>46066.0625</v>
      </c>
      <c r="J652" s="6">
        <v>46066.065972222219</v>
      </c>
      <c r="K652" s="6">
        <v>46066.068055555559</v>
      </c>
      <c r="L652">
        <v>1.3</v>
      </c>
      <c r="M652" s="6">
        <v>46066.069444444445</v>
      </c>
      <c r="N652">
        <f t="shared" si="9"/>
        <v>0</v>
      </c>
    </row>
    <row r="653" spans="2:14" x14ac:dyDescent="0.25">
      <c r="B653">
        <v>634</v>
      </c>
      <c r="C653" t="s">
        <v>31</v>
      </c>
      <c r="D653">
        <v>1</v>
      </c>
      <c r="E653" t="s">
        <v>30</v>
      </c>
      <c r="F653" s="6">
        <v>46066.673611111109</v>
      </c>
      <c r="G653" s="6">
        <v>46066.677083333336</v>
      </c>
      <c r="H653" s="6">
        <v>46066.694444444445</v>
      </c>
      <c r="I653" s="6">
        <v>46066.818055555559</v>
      </c>
      <c r="J653" s="6">
        <v>46066.824999999997</v>
      </c>
      <c r="K653" s="6">
        <v>46066.836805555555</v>
      </c>
      <c r="L653">
        <v>3.92</v>
      </c>
      <c r="M653" s="6">
        <v>46066.84375</v>
      </c>
      <c r="N653">
        <f t="shared" si="9"/>
        <v>16</v>
      </c>
    </row>
    <row r="654" spans="2:14" x14ac:dyDescent="0.25">
      <c r="B654">
        <v>635</v>
      </c>
      <c r="C654" t="s">
        <v>33</v>
      </c>
      <c r="D654">
        <v>1</v>
      </c>
      <c r="E654" t="s">
        <v>32</v>
      </c>
      <c r="F654" s="6">
        <v>46078.333333333336</v>
      </c>
      <c r="G654" s="6">
        <v>46078.34375</v>
      </c>
      <c r="H654" s="6">
        <v>46078.354166666664</v>
      </c>
      <c r="I654" s="6">
        <v>46078.472222222219</v>
      </c>
      <c r="J654" s="6">
        <v>46078.479166666664</v>
      </c>
      <c r="K654" s="6">
        <v>46078.489583333336</v>
      </c>
      <c r="L654">
        <v>3.75</v>
      </c>
      <c r="M654" s="6">
        <v>46078.496527777781</v>
      </c>
      <c r="N654">
        <f t="shared" si="9"/>
        <v>8</v>
      </c>
    </row>
    <row r="655" spans="2:14" x14ac:dyDescent="0.25">
      <c r="B655">
        <v>636</v>
      </c>
      <c r="C655" t="s">
        <v>29</v>
      </c>
      <c r="D655">
        <v>1</v>
      </c>
      <c r="E655" t="s">
        <v>30</v>
      </c>
      <c r="F655" s="6">
        <v>46067.708333333336</v>
      </c>
      <c r="G655" s="6">
        <v>46067.725694444445</v>
      </c>
      <c r="H655" s="6">
        <v>46067.730555555558</v>
      </c>
      <c r="I655" s="6">
        <v>46067.744444444441</v>
      </c>
      <c r="J655" s="6">
        <v>46067.751388888886</v>
      </c>
      <c r="K655" s="6">
        <v>46067.763888888891</v>
      </c>
      <c r="L655">
        <v>1.33</v>
      </c>
      <c r="M655" s="6">
        <v>46067.772222222222</v>
      </c>
      <c r="N655">
        <f t="shared" si="9"/>
        <v>17</v>
      </c>
    </row>
    <row r="656" spans="2:14" x14ac:dyDescent="0.25">
      <c r="B656">
        <v>637</v>
      </c>
      <c r="C656" t="s">
        <v>33</v>
      </c>
      <c r="D656">
        <v>1</v>
      </c>
      <c r="E656" t="s">
        <v>34</v>
      </c>
      <c r="F656" s="6">
        <v>46067.363888888889</v>
      </c>
      <c r="G656" s="6">
        <v>46067.370138888888</v>
      </c>
      <c r="H656" s="6">
        <v>46067.381944444445</v>
      </c>
      <c r="I656" s="6">
        <v>46067.414583333331</v>
      </c>
      <c r="J656" s="6">
        <v>46067.421527777777</v>
      </c>
      <c r="K656" s="6">
        <v>46067.423611111109</v>
      </c>
      <c r="L656">
        <v>1.43</v>
      </c>
      <c r="M656" s="6">
        <v>46067.430555555555</v>
      </c>
      <c r="N656">
        <f t="shared" si="9"/>
        <v>8</v>
      </c>
    </row>
    <row r="657" spans="2:14" x14ac:dyDescent="0.25">
      <c r="B657">
        <v>638</v>
      </c>
      <c r="C657" t="s">
        <v>33</v>
      </c>
      <c r="D657">
        <v>1</v>
      </c>
      <c r="E657" t="s">
        <v>37</v>
      </c>
      <c r="F657" s="6">
        <v>46067.472222222219</v>
      </c>
      <c r="G657" s="6">
        <v>46067.475694444445</v>
      </c>
      <c r="H657" s="6">
        <v>46067.479166666664</v>
      </c>
      <c r="I657" s="6">
        <v>46067.541666666664</v>
      </c>
      <c r="J657" s="6">
        <v>46067.545138888891</v>
      </c>
      <c r="K657" s="6">
        <v>46067.548611111109</v>
      </c>
      <c r="L657">
        <v>1.83</v>
      </c>
      <c r="M657" s="6">
        <v>46067.552083333336</v>
      </c>
      <c r="N657">
        <f t="shared" si="9"/>
        <v>11</v>
      </c>
    </row>
    <row r="658" spans="2:14" x14ac:dyDescent="0.25">
      <c r="B658">
        <v>639</v>
      </c>
      <c r="C658" t="s">
        <v>31</v>
      </c>
      <c r="D658">
        <v>1</v>
      </c>
      <c r="E658" t="s">
        <v>36</v>
      </c>
      <c r="F658" s="6">
        <v>46067.354166666664</v>
      </c>
      <c r="G658" s="6">
        <v>46067.361111111109</v>
      </c>
      <c r="H658" s="6">
        <v>46067.375</v>
      </c>
      <c r="I658" s="6">
        <v>46067.409722222219</v>
      </c>
      <c r="J658" s="6">
        <v>46067.416666666664</v>
      </c>
      <c r="K658" s="6">
        <v>46067.427083333336</v>
      </c>
      <c r="L658">
        <v>1.75</v>
      </c>
      <c r="M658" s="6">
        <v>46067.434027777781</v>
      </c>
      <c r="N658">
        <f t="shared" si="9"/>
        <v>8</v>
      </c>
    </row>
    <row r="659" spans="2:14" x14ac:dyDescent="0.25">
      <c r="B659">
        <v>640</v>
      </c>
      <c r="C659" t="s">
        <v>29</v>
      </c>
      <c r="D659">
        <v>1</v>
      </c>
      <c r="E659" t="s">
        <v>36</v>
      </c>
      <c r="F659" s="6">
        <v>46069.288194444445</v>
      </c>
      <c r="G659" s="6">
        <v>46069.319444444445</v>
      </c>
      <c r="H659" s="6">
        <v>46069.340277777781</v>
      </c>
      <c r="I659" s="6">
        <v>46069.451388888891</v>
      </c>
      <c r="J659" s="6">
        <v>46069.458333333336</v>
      </c>
      <c r="K659" s="6">
        <v>46069.465277777781</v>
      </c>
      <c r="L659">
        <v>4.25</v>
      </c>
      <c r="M659" s="6">
        <v>46069.472222222219</v>
      </c>
      <c r="N659">
        <f t="shared" si="9"/>
        <v>6</v>
      </c>
    </row>
    <row r="660" spans="2:14" x14ac:dyDescent="0.25">
      <c r="B660">
        <v>641</v>
      </c>
      <c r="C660" t="s">
        <v>29</v>
      </c>
      <c r="D660">
        <v>1</v>
      </c>
      <c r="E660" t="s">
        <v>32</v>
      </c>
      <c r="F660" s="6">
        <v>46069.510416666664</v>
      </c>
      <c r="G660" s="6">
        <v>46069.520833333336</v>
      </c>
      <c r="H660" s="6">
        <v>46069.5625</v>
      </c>
      <c r="I660" s="6">
        <v>46069.625</v>
      </c>
      <c r="J660" s="6">
        <v>46069.635416666664</v>
      </c>
      <c r="K660" s="6">
        <v>46069.666666666664</v>
      </c>
      <c r="L660">
        <v>3.75</v>
      </c>
      <c r="M660" s="6">
        <v>46069.673611111109</v>
      </c>
      <c r="N660">
        <f t="shared" si="9"/>
        <v>12</v>
      </c>
    </row>
    <row r="661" spans="2:14" x14ac:dyDescent="0.25">
      <c r="B661">
        <v>642</v>
      </c>
      <c r="C661" t="s">
        <v>29</v>
      </c>
      <c r="D661">
        <v>1</v>
      </c>
      <c r="E661" t="s">
        <v>32</v>
      </c>
      <c r="F661" s="6">
        <v>46069.291666666664</v>
      </c>
      <c r="G661" s="6">
        <v>46069.322916666664</v>
      </c>
      <c r="H661" s="6">
        <v>46069.34375</v>
      </c>
      <c r="I661" s="6">
        <v>46069.4375</v>
      </c>
      <c r="J661" s="6">
        <v>46069.444444444445</v>
      </c>
      <c r="K661" s="6">
        <v>46069.451388888891</v>
      </c>
      <c r="L661">
        <v>3.83</v>
      </c>
      <c r="M661" s="6">
        <v>46069.458333333336</v>
      </c>
      <c r="N661">
        <f t="shared" ref="N661:N724" si="10">HOUR(F661)</f>
        <v>7</v>
      </c>
    </row>
    <row r="662" spans="2:14" x14ac:dyDescent="0.25">
      <c r="B662">
        <v>643</v>
      </c>
      <c r="C662" t="s">
        <v>29</v>
      </c>
      <c r="D662">
        <v>1</v>
      </c>
      <c r="E662" t="s">
        <v>30</v>
      </c>
      <c r="F662" s="6">
        <v>46067.520833333336</v>
      </c>
      <c r="G662" s="6">
        <v>46067.53125</v>
      </c>
      <c r="H662" s="6">
        <v>46067.534722222219</v>
      </c>
      <c r="I662" s="6">
        <v>46067.545138888891</v>
      </c>
      <c r="J662" s="6">
        <v>46067.552083333336</v>
      </c>
      <c r="K662" s="6">
        <v>46067.555555555555</v>
      </c>
      <c r="L662">
        <v>0.83</v>
      </c>
      <c r="M662" s="6">
        <v>46067.5625</v>
      </c>
      <c r="N662">
        <f t="shared" si="10"/>
        <v>12</v>
      </c>
    </row>
    <row r="663" spans="2:14" x14ac:dyDescent="0.25">
      <c r="B663">
        <v>644</v>
      </c>
      <c r="C663" t="s">
        <v>31</v>
      </c>
      <c r="D663">
        <v>1</v>
      </c>
      <c r="E663" t="s">
        <v>30</v>
      </c>
      <c r="F663" s="6">
        <v>46066.902777777781</v>
      </c>
      <c r="G663" s="6">
        <v>46066.909722222219</v>
      </c>
      <c r="H663" s="6">
        <v>46066.916666666664</v>
      </c>
      <c r="I663" s="6">
        <v>46066.965277777781</v>
      </c>
      <c r="J663" s="6">
        <v>46066.966666666667</v>
      </c>
      <c r="K663" s="6">
        <v>46066.96875</v>
      </c>
      <c r="L663">
        <v>1.58</v>
      </c>
      <c r="M663" s="6">
        <v>46066.975694444445</v>
      </c>
      <c r="N663">
        <f t="shared" si="10"/>
        <v>21</v>
      </c>
    </row>
    <row r="664" spans="2:14" x14ac:dyDescent="0.25">
      <c r="B664">
        <v>645</v>
      </c>
      <c r="C664" t="s">
        <v>31</v>
      </c>
      <c r="D664">
        <v>1</v>
      </c>
      <c r="E664" t="s">
        <v>35</v>
      </c>
      <c r="F664" s="6">
        <v>46067.229166666664</v>
      </c>
      <c r="G664" s="6">
        <v>46067.236111111109</v>
      </c>
      <c r="H664" s="6">
        <v>46067.243055555555</v>
      </c>
      <c r="I664" s="6">
        <v>46067.489583333336</v>
      </c>
      <c r="J664" s="6">
        <v>46067.729166666664</v>
      </c>
      <c r="K664" s="6">
        <v>46067.736111111109</v>
      </c>
      <c r="L664">
        <v>12.17</v>
      </c>
      <c r="M664" s="6">
        <v>46067.743055555555</v>
      </c>
      <c r="N664">
        <f t="shared" si="10"/>
        <v>5</v>
      </c>
    </row>
    <row r="665" spans="2:14" x14ac:dyDescent="0.25">
      <c r="B665">
        <v>646</v>
      </c>
      <c r="C665" t="s">
        <v>31</v>
      </c>
      <c r="D665">
        <v>1</v>
      </c>
      <c r="E665" t="s">
        <v>35</v>
      </c>
      <c r="F665" s="6">
        <v>46067.229166666664</v>
      </c>
      <c r="G665" s="6">
        <v>46067.236111111109</v>
      </c>
      <c r="H665" s="6">
        <v>46067.243055555555</v>
      </c>
      <c r="I665" s="6">
        <v>46067.489583333336</v>
      </c>
      <c r="J665" s="6">
        <v>46067.729166666664</v>
      </c>
      <c r="K665" s="6">
        <v>46067.736111111109</v>
      </c>
      <c r="L665">
        <v>12.17</v>
      </c>
      <c r="M665" s="6">
        <v>46067.743055555555</v>
      </c>
      <c r="N665">
        <f t="shared" si="10"/>
        <v>5</v>
      </c>
    </row>
    <row r="666" spans="2:14" x14ac:dyDescent="0.25">
      <c r="B666">
        <v>647</v>
      </c>
      <c r="C666" t="s">
        <v>33</v>
      </c>
      <c r="D666">
        <v>1</v>
      </c>
      <c r="E666" t="s">
        <v>30</v>
      </c>
      <c r="F666" s="6">
        <v>46067.458333333336</v>
      </c>
      <c r="G666" s="6">
        <v>46067.465277777781</v>
      </c>
      <c r="H666" s="6">
        <v>46067.479166666664</v>
      </c>
      <c r="I666" s="6">
        <v>46067.510416666664</v>
      </c>
      <c r="J666" s="6">
        <v>46067.517361111109</v>
      </c>
      <c r="K666" s="6">
        <v>46067.527777777781</v>
      </c>
      <c r="L666">
        <v>1.67</v>
      </c>
      <c r="M666" s="6">
        <v>46067.534722222219</v>
      </c>
      <c r="N666">
        <f t="shared" si="10"/>
        <v>11</v>
      </c>
    </row>
    <row r="667" spans="2:14" x14ac:dyDescent="0.25">
      <c r="B667">
        <v>648</v>
      </c>
      <c r="C667" t="s">
        <v>31</v>
      </c>
      <c r="D667">
        <v>1</v>
      </c>
      <c r="E667" t="s">
        <v>30</v>
      </c>
      <c r="F667" s="6">
        <v>46067.690972222219</v>
      </c>
      <c r="G667" s="6">
        <v>46067.708333333336</v>
      </c>
      <c r="H667" s="6">
        <v>46067.722916666666</v>
      </c>
      <c r="I667" s="6">
        <v>46067.791666666664</v>
      </c>
      <c r="J667" s="6">
        <v>46067.798611111109</v>
      </c>
      <c r="K667" s="6">
        <v>46067.8125</v>
      </c>
      <c r="L667">
        <v>2.92</v>
      </c>
      <c r="M667" s="6">
        <v>46067.819444444445</v>
      </c>
      <c r="N667">
        <f t="shared" si="10"/>
        <v>16</v>
      </c>
    </row>
    <row r="668" spans="2:14" x14ac:dyDescent="0.25">
      <c r="B668">
        <v>649</v>
      </c>
      <c r="C668" t="s">
        <v>31</v>
      </c>
      <c r="D668">
        <v>1</v>
      </c>
      <c r="E668" t="s">
        <v>30</v>
      </c>
      <c r="F668" s="6">
        <v>46067.611111111109</v>
      </c>
      <c r="G668" s="6">
        <v>46067.618055555555</v>
      </c>
      <c r="H668" s="6">
        <v>46067.628472222219</v>
      </c>
      <c r="I668" s="6">
        <v>46067.722222222219</v>
      </c>
      <c r="J668" s="6">
        <v>46067.729166666664</v>
      </c>
      <c r="K668" s="6">
        <v>46067.770833333336</v>
      </c>
      <c r="L668">
        <v>3.83</v>
      </c>
      <c r="M668" s="6">
        <v>46067.774305555555</v>
      </c>
      <c r="N668">
        <f t="shared" si="10"/>
        <v>14</v>
      </c>
    </row>
    <row r="669" spans="2:14" x14ac:dyDescent="0.25">
      <c r="B669">
        <v>650</v>
      </c>
      <c r="C669" t="s">
        <v>33</v>
      </c>
      <c r="D669">
        <v>1</v>
      </c>
      <c r="E669" t="s">
        <v>37</v>
      </c>
      <c r="F669" s="6">
        <v>46072.511805555558</v>
      </c>
      <c r="G669" s="6">
        <v>46072.517361111109</v>
      </c>
      <c r="H669" s="6">
        <v>46072.618055555555</v>
      </c>
      <c r="I669" s="6">
        <v>46072.708333333336</v>
      </c>
      <c r="J669" s="6">
        <v>46072.753472222219</v>
      </c>
      <c r="K669" s="6">
        <v>46072.760416666664</v>
      </c>
      <c r="L669">
        <v>5.97</v>
      </c>
      <c r="M669" s="6">
        <v>46072.767361111109</v>
      </c>
      <c r="N669">
        <f t="shared" si="10"/>
        <v>12</v>
      </c>
    </row>
    <row r="670" spans="2:14" x14ac:dyDescent="0.25">
      <c r="B670">
        <v>651</v>
      </c>
      <c r="C670" t="s">
        <v>33</v>
      </c>
      <c r="D670">
        <v>1</v>
      </c>
      <c r="E670" t="s">
        <v>35</v>
      </c>
      <c r="F670" s="6">
        <v>46068.364583333336</v>
      </c>
      <c r="G670" s="6">
        <v>46068.375</v>
      </c>
      <c r="H670" s="6">
        <v>46068.388888888891</v>
      </c>
      <c r="I670" s="6">
        <v>46068.409722222219</v>
      </c>
      <c r="J670" s="6">
        <v>46068.416666666664</v>
      </c>
      <c r="K670" s="6">
        <v>46068.418055555558</v>
      </c>
      <c r="L670">
        <v>1.28</v>
      </c>
      <c r="M670" s="6">
        <v>46068.425000000003</v>
      </c>
      <c r="N670">
        <f t="shared" si="10"/>
        <v>8</v>
      </c>
    </row>
    <row r="671" spans="2:14" x14ac:dyDescent="0.25">
      <c r="B671">
        <v>652</v>
      </c>
      <c r="C671" t="s">
        <v>33</v>
      </c>
      <c r="D671">
        <v>1</v>
      </c>
      <c r="E671" t="s">
        <v>30</v>
      </c>
      <c r="F671" s="6">
        <v>46067.809027777781</v>
      </c>
      <c r="G671" s="6">
        <v>46067.819444444445</v>
      </c>
      <c r="H671" s="6">
        <v>46067.826388888891</v>
      </c>
      <c r="I671" s="6">
        <v>46067.868055555555</v>
      </c>
      <c r="J671" s="6">
        <v>46067.871527777781</v>
      </c>
      <c r="K671" s="6">
        <v>46067.874305555553</v>
      </c>
      <c r="L671">
        <v>1.57</v>
      </c>
      <c r="M671" s="6">
        <v>46067.881249999999</v>
      </c>
      <c r="N671">
        <f t="shared" si="10"/>
        <v>19</v>
      </c>
    </row>
    <row r="672" spans="2:14" x14ac:dyDescent="0.25">
      <c r="B672">
        <v>653</v>
      </c>
      <c r="C672" t="s">
        <v>29</v>
      </c>
      <c r="D672">
        <v>1</v>
      </c>
      <c r="E672" t="s">
        <v>30</v>
      </c>
      <c r="F672" s="6">
        <v>46067.888888888891</v>
      </c>
      <c r="G672" s="6">
        <v>46067.895833333336</v>
      </c>
      <c r="H672" s="6">
        <v>46067.90625</v>
      </c>
      <c r="I672" s="6">
        <v>46067.942361111112</v>
      </c>
      <c r="J672" s="6">
        <v>46067.949305555558</v>
      </c>
      <c r="K672" s="6">
        <v>46067.951388888891</v>
      </c>
      <c r="L672">
        <v>1.5</v>
      </c>
      <c r="M672" s="6">
        <v>46067.954861111109</v>
      </c>
      <c r="N672">
        <f t="shared" si="10"/>
        <v>21</v>
      </c>
    </row>
    <row r="673" spans="2:14" x14ac:dyDescent="0.25">
      <c r="B673">
        <v>654</v>
      </c>
      <c r="C673" t="s">
        <v>33</v>
      </c>
      <c r="D673">
        <v>1</v>
      </c>
      <c r="E673" t="s">
        <v>30</v>
      </c>
      <c r="F673" s="6">
        <v>46068.416666666664</v>
      </c>
      <c r="G673" s="6">
        <v>46068.423611111109</v>
      </c>
      <c r="H673" s="6">
        <v>46068.46875</v>
      </c>
      <c r="I673" s="6">
        <v>46068.555555555555</v>
      </c>
      <c r="J673" s="6">
        <v>46068.569444444445</v>
      </c>
      <c r="K673" s="6">
        <v>46068.756944444445</v>
      </c>
      <c r="L673">
        <v>8.17</v>
      </c>
      <c r="M673" s="6">
        <v>46068.760416666664</v>
      </c>
      <c r="N673">
        <f t="shared" si="10"/>
        <v>10</v>
      </c>
    </row>
    <row r="674" spans="2:14" x14ac:dyDescent="0.25">
      <c r="B674">
        <v>655</v>
      </c>
      <c r="C674" t="s">
        <v>29</v>
      </c>
      <c r="D674">
        <v>1</v>
      </c>
      <c r="E674" t="s">
        <v>30</v>
      </c>
      <c r="F674" s="6">
        <v>46068.03125</v>
      </c>
      <c r="G674" s="6">
        <v>46068.038194444445</v>
      </c>
      <c r="H674" s="6">
        <v>46068.048611111109</v>
      </c>
      <c r="I674" s="6">
        <v>46068.083333333336</v>
      </c>
      <c r="J674" s="6">
        <v>46068.090277777781</v>
      </c>
      <c r="K674" s="6">
        <v>46068.09375</v>
      </c>
      <c r="L674">
        <v>1.5</v>
      </c>
      <c r="M674" s="6">
        <v>46068.094444444447</v>
      </c>
      <c r="N674">
        <f t="shared" si="10"/>
        <v>0</v>
      </c>
    </row>
    <row r="675" spans="2:14" x14ac:dyDescent="0.25">
      <c r="B675">
        <v>656</v>
      </c>
      <c r="C675" t="s">
        <v>29</v>
      </c>
      <c r="D675">
        <v>1</v>
      </c>
      <c r="E675" t="s">
        <v>34</v>
      </c>
      <c r="F675" s="6">
        <v>46068.072916666664</v>
      </c>
      <c r="G675" s="6">
        <v>46068.076388888891</v>
      </c>
      <c r="H675" s="6">
        <v>46068.090277777781</v>
      </c>
      <c r="I675" s="6">
        <v>46068.138888888891</v>
      </c>
      <c r="J675" s="6">
        <v>46068.145833333336</v>
      </c>
      <c r="K675" s="6">
        <v>46068.149305555555</v>
      </c>
      <c r="L675">
        <v>1.83</v>
      </c>
      <c r="M675" s="6">
        <v>46068.15625</v>
      </c>
      <c r="N675">
        <f t="shared" si="10"/>
        <v>1</v>
      </c>
    </row>
    <row r="676" spans="2:14" x14ac:dyDescent="0.25">
      <c r="B676">
        <v>657</v>
      </c>
      <c r="C676" t="s">
        <v>29</v>
      </c>
      <c r="D676">
        <v>1</v>
      </c>
      <c r="E676" t="s">
        <v>30</v>
      </c>
      <c r="F676" s="6">
        <v>46068.475694444445</v>
      </c>
      <c r="G676" s="6">
        <v>46068.482638888891</v>
      </c>
      <c r="H676" s="6">
        <v>46068.489583333336</v>
      </c>
      <c r="I676" s="6">
        <v>46068.520833333336</v>
      </c>
      <c r="J676" s="6">
        <v>46068.524305555555</v>
      </c>
      <c r="K676" s="6">
        <v>46068.527777777781</v>
      </c>
      <c r="L676">
        <v>1.25</v>
      </c>
      <c r="M676" s="6">
        <v>46068.53125</v>
      </c>
      <c r="N676">
        <f t="shared" si="10"/>
        <v>11</v>
      </c>
    </row>
    <row r="677" spans="2:14" x14ac:dyDescent="0.25">
      <c r="B677">
        <v>658</v>
      </c>
      <c r="C677" t="s">
        <v>29</v>
      </c>
      <c r="D677">
        <v>1</v>
      </c>
      <c r="E677" t="s">
        <v>34</v>
      </c>
      <c r="F677" s="6">
        <v>46068.423611111109</v>
      </c>
      <c r="G677" s="6">
        <v>46068.434027777781</v>
      </c>
      <c r="H677" s="6">
        <v>46068.454861111109</v>
      </c>
      <c r="I677" s="6">
        <v>46068.482638888891</v>
      </c>
      <c r="J677" s="6">
        <v>46068.489583333336</v>
      </c>
      <c r="K677" s="6">
        <v>46068.493055555555</v>
      </c>
      <c r="L677">
        <v>1.67</v>
      </c>
      <c r="M677" s="6">
        <v>46068.5</v>
      </c>
      <c r="N677">
        <f t="shared" si="10"/>
        <v>10</v>
      </c>
    </row>
    <row r="678" spans="2:14" x14ac:dyDescent="0.25">
      <c r="B678">
        <v>659</v>
      </c>
      <c r="C678" t="s">
        <v>31</v>
      </c>
      <c r="D678">
        <v>1</v>
      </c>
      <c r="E678" t="s">
        <v>37</v>
      </c>
      <c r="F678" s="6">
        <v>46069.527777777781</v>
      </c>
      <c r="G678" s="6">
        <v>46069.552083333336</v>
      </c>
      <c r="H678" s="6">
        <v>46069.572916666664</v>
      </c>
      <c r="I678" s="6">
        <v>46069.684027777781</v>
      </c>
      <c r="J678" s="6">
        <v>46069.690972222219</v>
      </c>
      <c r="K678" s="6">
        <v>46069.697916666664</v>
      </c>
      <c r="L678">
        <v>4.08</v>
      </c>
      <c r="M678" s="6">
        <v>46069.704861111109</v>
      </c>
      <c r="N678">
        <f t="shared" si="10"/>
        <v>12</v>
      </c>
    </row>
    <row r="679" spans="2:14" x14ac:dyDescent="0.25">
      <c r="B679">
        <v>660</v>
      </c>
      <c r="C679" t="s">
        <v>33</v>
      </c>
      <c r="D679">
        <v>1</v>
      </c>
      <c r="E679" t="s">
        <v>36</v>
      </c>
      <c r="F679" s="6">
        <v>46069.291666666664</v>
      </c>
      <c r="G679" s="6">
        <v>46069.326388888891</v>
      </c>
      <c r="H679" s="6">
        <v>46069.333333333336</v>
      </c>
      <c r="I679" s="6">
        <v>46069.361111111109</v>
      </c>
      <c r="J679" s="6">
        <v>46069.368055555555</v>
      </c>
      <c r="K679" s="6">
        <v>46069.370833333334</v>
      </c>
      <c r="L679">
        <v>1.9</v>
      </c>
      <c r="M679" s="6">
        <v>46069.37777777778</v>
      </c>
      <c r="N679">
        <f t="shared" si="10"/>
        <v>7</v>
      </c>
    </row>
    <row r="680" spans="2:14" x14ac:dyDescent="0.25">
      <c r="B680">
        <v>661</v>
      </c>
      <c r="C680" t="s">
        <v>33</v>
      </c>
      <c r="D680">
        <v>1</v>
      </c>
      <c r="E680" t="s">
        <v>36</v>
      </c>
      <c r="F680" s="6">
        <v>46069.597222222219</v>
      </c>
      <c r="G680" s="6">
        <v>46069.625</v>
      </c>
      <c r="H680" s="6">
        <v>46069.666666666664</v>
      </c>
      <c r="I680" s="6">
        <v>46069.746527777781</v>
      </c>
      <c r="J680" s="6">
        <v>46069.770833333336</v>
      </c>
      <c r="K680" s="6">
        <v>46069.777777777781</v>
      </c>
      <c r="L680">
        <v>4.33</v>
      </c>
      <c r="M680" s="6">
        <v>46069.78125</v>
      </c>
      <c r="N680">
        <f t="shared" si="10"/>
        <v>14</v>
      </c>
    </row>
    <row r="681" spans="2:14" x14ac:dyDescent="0.25">
      <c r="B681">
        <v>662</v>
      </c>
      <c r="C681" t="s">
        <v>31</v>
      </c>
      <c r="D681">
        <v>1</v>
      </c>
      <c r="E681" t="s">
        <v>30</v>
      </c>
      <c r="F681" s="6">
        <v>46069.333333333336</v>
      </c>
      <c r="G681" s="6">
        <v>46069.340277777781</v>
      </c>
      <c r="H681" s="6">
        <v>46069.361111111109</v>
      </c>
      <c r="I681" s="6">
        <v>46069.440972222219</v>
      </c>
      <c r="J681" s="6">
        <v>46069.447916666664</v>
      </c>
      <c r="K681" s="6">
        <v>46069.465277777781</v>
      </c>
      <c r="L681">
        <v>3.17</v>
      </c>
      <c r="M681" s="6">
        <v>46069.472222222219</v>
      </c>
      <c r="N681">
        <f t="shared" si="10"/>
        <v>8</v>
      </c>
    </row>
    <row r="682" spans="2:14" x14ac:dyDescent="0.25">
      <c r="B682">
        <v>663</v>
      </c>
      <c r="C682" t="s">
        <v>29</v>
      </c>
      <c r="D682">
        <v>1</v>
      </c>
      <c r="E682" t="s">
        <v>35</v>
      </c>
      <c r="F682" s="6">
        <v>46068.71875</v>
      </c>
      <c r="G682" s="6">
        <v>46068.722222222219</v>
      </c>
      <c r="H682" s="6">
        <v>46068.746527777781</v>
      </c>
      <c r="I682" s="6">
        <v>46068.763888888891</v>
      </c>
      <c r="J682" s="6">
        <v>46068.767361111109</v>
      </c>
      <c r="K682" s="6">
        <v>46068.770833333336</v>
      </c>
      <c r="L682">
        <v>1.25</v>
      </c>
      <c r="M682" s="6">
        <v>46068.777777777781</v>
      </c>
      <c r="N682">
        <f t="shared" si="10"/>
        <v>17</v>
      </c>
    </row>
    <row r="683" spans="2:14" x14ac:dyDescent="0.25">
      <c r="B683">
        <v>664</v>
      </c>
      <c r="C683" t="s">
        <v>29</v>
      </c>
      <c r="D683">
        <v>1</v>
      </c>
      <c r="E683" t="s">
        <v>30</v>
      </c>
      <c r="F683" s="6">
        <v>46068.836805555555</v>
      </c>
      <c r="G683" s="6">
        <v>46068.840277777781</v>
      </c>
      <c r="H683" s="6">
        <v>46068.854166666664</v>
      </c>
      <c r="I683" s="6">
        <v>46068.875</v>
      </c>
      <c r="J683" s="6">
        <v>46068.895833333336</v>
      </c>
      <c r="K683" s="6">
        <v>46068.896527777775</v>
      </c>
      <c r="L683">
        <v>1.43</v>
      </c>
      <c r="M683" s="6">
        <v>46068.90347222222</v>
      </c>
      <c r="N683">
        <f t="shared" si="10"/>
        <v>20</v>
      </c>
    </row>
    <row r="684" spans="2:14" x14ac:dyDescent="0.25">
      <c r="B684">
        <v>665</v>
      </c>
      <c r="C684" t="s">
        <v>31</v>
      </c>
      <c r="D684">
        <v>1</v>
      </c>
      <c r="E684" t="s">
        <v>30</v>
      </c>
      <c r="F684" s="6">
        <v>46068.868055555555</v>
      </c>
      <c r="G684" s="6">
        <v>46068.871527777781</v>
      </c>
      <c r="H684" s="6">
        <v>46068.875</v>
      </c>
      <c r="I684" s="6">
        <v>46068.909722222219</v>
      </c>
      <c r="J684" s="6">
        <v>46068.916666666664</v>
      </c>
      <c r="K684" s="6">
        <v>46069.1875</v>
      </c>
      <c r="L684">
        <v>7.67</v>
      </c>
      <c r="M684" s="6">
        <v>46069.188888888886</v>
      </c>
      <c r="N684">
        <f t="shared" si="10"/>
        <v>20</v>
      </c>
    </row>
    <row r="685" spans="2:14" x14ac:dyDescent="0.25">
      <c r="B685">
        <v>666</v>
      </c>
      <c r="C685" t="s">
        <v>33</v>
      </c>
      <c r="D685">
        <v>1</v>
      </c>
      <c r="E685" t="s">
        <v>30</v>
      </c>
      <c r="F685" s="6">
        <v>46069.024305555555</v>
      </c>
      <c r="G685" s="6">
        <v>46069.027777777781</v>
      </c>
      <c r="H685" s="6">
        <v>46069.03125</v>
      </c>
      <c r="I685" s="6">
        <v>46069.069444444445</v>
      </c>
      <c r="J685" s="6">
        <v>46069.072916666664</v>
      </c>
      <c r="K685" s="6">
        <v>46069.076388888891</v>
      </c>
      <c r="L685">
        <v>1.25</v>
      </c>
      <c r="M685" s="6">
        <v>46069.079861111109</v>
      </c>
      <c r="N685">
        <f t="shared" si="10"/>
        <v>0</v>
      </c>
    </row>
    <row r="686" spans="2:14" x14ac:dyDescent="0.25">
      <c r="B686">
        <v>667</v>
      </c>
      <c r="C686" t="s">
        <v>33</v>
      </c>
      <c r="D686">
        <v>1</v>
      </c>
      <c r="E686" t="s">
        <v>30</v>
      </c>
      <c r="F686" s="6">
        <v>46069.091666666667</v>
      </c>
      <c r="G686" s="6">
        <v>46069.097222222219</v>
      </c>
      <c r="H686" s="6">
        <v>46069.125</v>
      </c>
      <c r="I686" s="6">
        <v>46069.140277777777</v>
      </c>
      <c r="J686" s="6">
        <v>46069.159722222219</v>
      </c>
      <c r="K686" s="6">
        <v>46069.166666666664</v>
      </c>
      <c r="L686">
        <v>1.8</v>
      </c>
      <c r="M686" s="6">
        <v>46069.170138888891</v>
      </c>
      <c r="N686">
        <f t="shared" si="10"/>
        <v>2</v>
      </c>
    </row>
    <row r="687" spans="2:14" x14ac:dyDescent="0.25">
      <c r="B687">
        <v>668</v>
      </c>
      <c r="C687" t="s">
        <v>31</v>
      </c>
      <c r="D687">
        <v>1</v>
      </c>
      <c r="E687" t="s">
        <v>30</v>
      </c>
      <c r="F687" s="6">
        <v>46068.975694444445</v>
      </c>
      <c r="G687" s="6">
        <v>46068.979166666664</v>
      </c>
      <c r="H687" s="6">
        <v>46068.986111111109</v>
      </c>
      <c r="I687" s="6">
        <v>46069.013888888891</v>
      </c>
      <c r="J687" s="6">
        <v>46069.020833333336</v>
      </c>
      <c r="K687" s="6">
        <v>46069.024305555555</v>
      </c>
      <c r="L687">
        <v>1.17</v>
      </c>
      <c r="M687" s="6">
        <v>46069.027777777781</v>
      </c>
      <c r="N687">
        <f t="shared" si="10"/>
        <v>23</v>
      </c>
    </row>
    <row r="688" spans="2:14" x14ac:dyDescent="0.25">
      <c r="B688">
        <v>669</v>
      </c>
      <c r="C688" t="s">
        <v>31</v>
      </c>
      <c r="D688">
        <v>1</v>
      </c>
      <c r="E688" t="s">
        <v>34</v>
      </c>
      <c r="F688" s="6">
        <v>46069.201388888891</v>
      </c>
      <c r="G688" s="6">
        <v>46069.204861111109</v>
      </c>
      <c r="H688" s="6">
        <v>46069.211805555555</v>
      </c>
      <c r="I688" s="6">
        <v>46069.288194444445</v>
      </c>
      <c r="J688" s="6">
        <v>46069.295138888891</v>
      </c>
      <c r="K688" s="6">
        <v>46069.29583333333</v>
      </c>
      <c r="L688">
        <v>2.27</v>
      </c>
      <c r="M688" s="6">
        <v>46069.302777777775</v>
      </c>
      <c r="N688">
        <f t="shared" si="10"/>
        <v>4</v>
      </c>
    </row>
    <row r="689" spans="2:14" x14ac:dyDescent="0.25">
      <c r="B689">
        <v>670</v>
      </c>
      <c r="C689" t="s">
        <v>33</v>
      </c>
      <c r="D689">
        <v>1</v>
      </c>
      <c r="E689" t="s">
        <v>35</v>
      </c>
      <c r="F689" s="6">
        <v>46069.618055555555</v>
      </c>
      <c r="G689" s="6">
        <v>46069.631944444445</v>
      </c>
      <c r="H689" s="6">
        <v>46069.645833333336</v>
      </c>
      <c r="I689" s="6">
        <v>46069.729166666664</v>
      </c>
      <c r="J689" s="6">
        <v>46069.732638888891</v>
      </c>
      <c r="K689" s="6">
        <v>46069.736111111109</v>
      </c>
      <c r="L689">
        <v>2.83</v>
      </c>
      <c r="M689" s="6">
        <v>46069.739583333336</v>
      </c>
      <c r="N689">
        <f t="shared" si="10"/>
        <v>14</v>
      </c>
    </row>
    <row r="690" spans="2:14" x14ac:dyDescent="0.25">
      <c r="B690">
        <v>671</v>
      </c>
      <c r="C690" t="s">
        <v>33</v>
      </c>
      <c r="D690">
        <v>1</v>
      </c>
      <c r="E690" t="s">
        <v>30</v>
      </c>
      <c r="F690" s="6">
        <v>46069.413194444445</v>
      </c>
      <c r="G690" s="6">
        <v>46069.4375</v>
      </c>
      <c r="H690" s="6">
        <v>46069.447916666664</v>
      </c>
      <c r="I690" s="6">
        <v>46069.520833333336</v>
      </c>
      <c r="J690" s="6">
        <v>46069.521527777775</v>
      </c>
      <c r="K690" s="6">
        <v>46069.522222222222</v>
      </c>
      <c r="L690">
        <v>2.62</v>
      </c>
      <c r="M690" s="6">
        <v>46069.522916666669</v>
      </c>
      <c r="N690">
        <f t="shared" si="10"/>
        <v>9</v>
      </c>
    </row>
    <row r="691" spans="2:14" x14ac:dyDescent="0.25">
      <c r="B691">
        <v>672</v>
      </c>
      <c r="C691" t="s">
        <v>29</v>
      </c>
      <c r="D691">
        <v>1</v>
      </c>
      <c r="E691" t="s">
        <v>30</v>
      </c>
      <c r="F691" s="6">
        <v>46069.385416666664</v>
      </c>
      <c r="G691" s="6">
        <v>46069.395833333336</v>
      </c>
      <c r="H691" s="6">
        <v>46069.40625</v>
      </c>
      <c r="I691" s="6">
        <v>46069.427083333336</v>
      </c>
      <c r="J691" s="6">
        <v>46069.429861111108</v>
      </c>
      <c r="K691" s="6">
        <v>46069.431250000001</v>
      </c>
      <c r="L691">
        <v>1.1000000000000001</v>
      </c>
      <c r="M691" s="6">
        <v>46069.438194444447</v>
      </c>
      <c r="N691">
        <f t="shared" si="10"/>
        <v>9</v>
      </c>
    </row>
    <row r="692" spans="2:14" x14ac:dyDescent="0.25">
      <c r="B692">
        <v>673</v>
      </c>
      <c r="C692" t="s">
        <v>31</v>
      </c>
      <c r="D692">
        <v>1</v>
      </c>
      <c r="E692" t="s">
        <v>30</v>
      </c>
      <c r="F692" s="6">
        <v>46069.486111111109</v>
      </c>
      <c r="G692" s="6">
        <v>46069.5</v>
      </c>
      <c r="H692" s="6">
        <v>46069.513888888891</v>
      </c>
      <c r="I692" s="6">
        <v>46069.599305555559</v>
      </c>
      <c r="J692" s="6">
        <v>46069.666666666664</v>
      </c>
      <c r="K692" s="6">
        <v>46069.6875</v>
      </c>
      <c r="L692">
        <v>4.83</v>
      </c>
      <c r="M692" s="6">
        <v>46069.694444444445</v>
      </c>
      <c r="N692">
        <f t="shared" si="10"/>
        <v>11</v>
      </c>
    </row>
    <row r="693" spans="2:14" x14ac:dyDescent="0.25">
      <c r="B693">
        <v>674</v>
      </c>
      <c r="C693" t="s">
        <v>31</v>
      </c>
      <c r="D693">
        <v>1</v>
      </c>
      <c r="E693" t="s">
        <v>30</v>
      </c>
      <c r="F693" s="6">
        <v>46069.732638888891</v>
      </c>
      <c r="G693" s="6">
        <v>46069.743055555555</v>
      </c>
      <c r="H693" s="6">
        <v>46069.75</v>
      </c>
      <c r="I693" s="6">
        <v>46069.79791666667</v>
      </c>
      <c r="J693" s="6">
        <v>46069.804861111108</v>
      </c>
      <c r="K693" s="6">
        <v>46069.840277777781</v>
      </c>
      <c r="L693">
        <v>2.58</v>
      </c>
      <c r="M693" s="6">
        <v>46069.847222222219</v>
      </c>
      <c r="N693">
        <f t="shared" si="10"/>
        <v>17</v>
      </c>
    </row>
    <row r="694" spans="2:14" x14ac:dyDescent="0.25">
      <c r="B694">
        <v>675</v>
      </c>
      <c r="C694" t="s">
        <v>31</v>
      </c>
      <c r="D694">
        <v>1</v>
      </c>
      <c r="E694" t="s">
        <v>30</v>
      </c>
      <c r="F694" s="6">
        <v>46070.291666666664</v>
      </c>
      <c r="G694" s="6">
        <v>46070.333333333336</v>
      </c>
      <c r="H694" s="6">
        <v>46070.375</v>
      </c>
      <c r="I694" s="6">
        <v>46070.458333333336</v>
      </c>
      <c r="J694" s="6">
        <v>46070.472222222219</v>
      </c>
      <c r="K694" s="6">
        <v>46070.479166666664</v>
      </c>
      <c r="L694">
        <v>4.5</v>
      </c>
      <c r="M694" s="6">
        <v>46070.486111111109</v>
      </c>
      <c r="N694">
        <f t="shared" si="10"/>
        <v>7</v>
      </c>
    </row>
    <row r="695" spans="2:14" x14ac:dyDescent="0.25">
      <c r="B695">
        <v>676</v>
      </c>
      <c r="C695" t="s">
        <v>29</v>
      </c>
      <c r="D695">
        <v>1</v>
      </c>
      <c r="E695" t="s">
        <v>36</v>
      </c>
      <c r="F695" s="6">
        <v>46070.322916666664</v>
      </c>
      <c r="G695" s="6">
        <v>46070.329861111109</v>
      </c>
      <c r="H695" s="6">
        <v>46070.364583333336</v>
      </c>
      <c r="I695" s="6">
        <v>46070.444444444445</v>
      </c>
      <c r="J695" s="6">
        <v>46070.451388888891</v>
      </c>
      <c r="K695" s="6">
        <v>46070.454861111109</v>
      </c>
      <c r="L695">
        <v>3.17</v>
      </c>
      <c r="M695" s="6">
        <v>46070.455555555556</v>
      </c>
      <c r="N695">
        <f t="shared" si="10"/>
        <v>7</v>
      </c>
    </row>
    <row r="696" spans="2:14" x14ac:dyDescent="0.25">
      <c r="B696">
        <v>677</v>
      </c>
      <c r="C696" t="s">
        <v>33</v>
      </c>
      <c r="D696">
        <v>1</v>
      </c>
      <c r="E696" t="s">
        <v>32</v>
      </c>
      <c r="F696" s="6">
        <v>46070.458333333336</v>
      </c>
      <c r="G696" s="6">
        <v>46070.472222222219</v>
      </c>
      <c r="H696" s="6">
        <v>46070.486111111109</v>
      </c>
      <c r="I696" s="6">
        <v>46070.527777777781</v>
      </c>
      <c r="J696" s="6">
        <v>46070.534722222219</v>
      </c>
      <c r="K696" s="6">
        <v>46070.541666666664</v>
      </c>
      <c r="L696">
        <v>2</v>
      </c>
      <c r="M696" s="6">
        <v>46070.548611111109</v>
      </c>
      <c r="N696">
        <f t="shared" si="10"/>
        <v>11</v>
      </c>
    </row>
    <row r="697" spans="2:14" x14ac:dyDescent="0.25">
      <c r="B697">
        <v>678</v>
      </c>
      <c r="C697" t="s">
        <v>31</v>
      </c>
      <c r="D697">
        <v>1</v>
      </c>
      <c r="E697" t="s">
        <v>34</v>
      </c>
      <c r="F697" s="6">
        <v>46070.694444444445</v>
      </c>
      <c r="G697" s="6">
        <v>46070.697916666664</v>
      </c>
      <c r="H697" s="6">
        <v>46070.722222222219</v>
      </c>
      <c r="I697" s="6">
        <v>46070.840277777781</v>
      </c>
      <c r="J697" s="6">
        <v>46070.854166666664</v>
      </c>
      <c r="K697" s="6">
        <v>46070.857638888891</v>
      </c>
      <c r="L697">
        <v>3.92</v>
      </c>
      <c r="M697" s="6">
        <v>46070.864583333336</v>
      </c>
      <c r="N697">
        <f t="shared" si="10"/>
        <v>16</v>
      </c>
    </row>
    <row r="698" spans="2:14" x14ac:dyDescent="0.25">
      <c r="B698">
        <v>679</v>
      </c>
      <c r="C698" t="s">
        <v>31</v>
      </c>
      <c r="D698">
        <v>1</v>
      </c>
      <c r="E698" t="s">
        <v>35</v>
      </c>
      <c r="F698" s="6">
        <v>46070.565972222219</v>
      </c>
      <c r="G698" s="6">
        <v>46070.583333333336</v>
      </c>
      <c r="H698" s="6">
        <v>46070.618055555555</v>
      </c>
      <c r="I698" s="6">
        <v>46070.729166666664</v>
      </c>
      <c r="J698" s="6">
        <v>46070.743055555555</v>
      </c>
      <c r="K698" s="6">
        <v>46070.753472222219</v>
      </c>
      <c r="L698">
        <v>4.5</v>
      </c>
      <c r="M698" s="6">
        <v>46070.756944444445</v>
      </c>
      <c r="N698">
        <f t="shared" si="10"/>
        <v>13</v>
      </c>
    </row>
    <row r="699" spans="2:14" x14ac:dyDescent="0.25">
      <c r="B699">
        <v>680</v>
      </c>
      <c r="C699" t="s">
        <v>29</v>
      </c>
      <c r="D699">
        <v>1</v>
      </c>
      <c r="E699" t="s">
        <v>36</v>
      </c>
      <c r="F699" s="6">
        <v>46070.420138888891</v>
      </c>
      <c r="G699" s="6">
        <v>46070.430555555555</v>
      </c>
      <c r="H699" s="6">
        <v>46070.451388888891</v>
      </c>
      <c r="I699" s="6">
        <v>46070.520833333336</v>
      </c>
      <c r="J699" s="6">
        <v>46070.527777777781</v>
      </c>
      <c r="K699" s="6">
        <v>46070.541666666664</v>
      </c>
      <c r="L699">
        <v>2.92</v>
      </c>
      <c r="M699" s="6">
        <v>46070.548611111109</v>
      </c>
      <c r="N699">
        <f t="shared" si="10"/>
        <v>10</v>
      </c>
    </row>
    <row r="700" spans="2:14" x14ac:dyDescent="0.25">
      <c r="B700">
        <v>681</v>
      </c>
      <c r="C700" t="s">
        <v>33</v>
      </c>
      <c r="D700">
        <v>1</v>
      </c>
      <c r="E700" t="s">
        <v>34</v>
      </c>
      <c r="F700" s="6">
        <v>46070.345833333333</v>
      </c>
      <c r="G700" s="6">
        <v>46070.353472222225</v>
      </c>
      <c r="H700" s="6">
        <v>46070.371527777781</v>
      </c>
      <c r="I700" s="6">
        <v>46070.4375</v>
      </c>
      <c r="J700" s="6">
        <v>46070.447916666664</v>
      </c>
      <c r="K700" s="6">
        <v>46070.458333333336</v>
      </c>
      <c r="L700">
        <v>2.7</v>
      </c>
      <c r="M700" s="6">
        <v>46070.461805555555</v>
      </c>
      <c r="N700">
        <f t="shared" si="10"/>
        <v>8</v>
      </c>
    </row>
    <row r="701" spans="2:14" x14ac:dyDescent="0.25">
      <c r="B701">
        <v>682</v>
      </c>
      <c r="C701" t="s">
        <v>33</v>
      </c>
      <c r="D701">
        <v>1</v>
      </c>
      <c r="E701" t="s">
        <v>30</v>
      </c>
      <c r="F701" s="6">
        <v>46070.621527777781</v>
      </c>
      <c r="G701" s="6">
        <v>46070.635416666664</v>
      </c>
      <c r="H701" s="6">
        <v>46070.659722222219</v>
      </c>
      <c r="I701" s="6">
        <v>46070.694444444445</v>
      </c>
      <c r="J701" s="6">
        <v>46070.701388888891</v>
      </c>
      <c r="K701" s="6">
        <v>46070.708333333336</v>
      </c>
      <c r="L701">
        <v>2.08</v>
      </c>
      <c r="M701" s="6">
        <v>46070.715277777781</v>
      </c>
      <c r="N701">
        <f t="shared" si="10"/>
        <v>14</v>
      </c>
    </row>
    <row r="702" spans="2:14" x14ac:dyDescent="0.25">
      <c r="B702">
        <v>683</v>
      </c>
      <c r="C702" t="s">
        <v>31</v>
      </c>
      <c r="D702">
        <v>1</v>
      </c>
      <c r="E702" t="s">
        <v>32</v>
      </c>
      <c r="F702" s="6">
        <v>46070.291666666664</v>
      </c>
      <c r="G702" s="6">
        <v>46070.333333333336</v>
      </c>
      <c r="H702" s="6">
        <v>46070.340277777781</v>
      </c>
      <c r="I702" s="6">
        <v>46070.385416666664</v>
      </c>
      <c r="J702" s="6">
        <v>46070.392361111109</v>
      </c>
      <c r="K702" s="6">
        <v>46070.413194444445</v>
      </c>
      <c r="L702">
        <v>2.92</v>
      </c>
      <c r="M702" s="6">
        <v>46070.420138888891</v>
      </c>
      <c r="N702">
        <f t="shared" si="10"/>
        <v>7</v>
      </c>
    </row>
    <row r="703" spans="2:14" x14ac:dyDescent="0.25">
      <c r="B703">
        <v>684</v>
      </c>
      <c r="C703" t="s">
        <v>33</v>
      </c>
      <c r="D703">
        <v>1</v>
      </c>
      <c r="E703" t="s">
        <v>30</v>
      </c>
      <c r="F703" s="6">
        <v>46099.319444444445</v>
      </c>
      <c r="G703" s="6">
        <v>46099.326388888891</v>
      </c>
      <c r="H703" s="6">
        <v>46099.329861111109</v>
      </c>
      <c r="I703" s="6">
        <v>46099.388888888891</v>
      </c>
      <c r="J703" s="6">
        <v>46099.395833333336</v>
      </c>
      <c r="K703" s="6">
        <v>46099.402777777781</v>
      </c>
      <c r="L703">
        <v>2</v>
      </c>
      <c r="M703" s="6">
        <v>46099.409722222219</v>
      </c>
      <c r="N703">
        <f t="shared" si="10"/>
        <v>7</v>
      </c>
    </row>
    <row r="704" spans="2:14" x14ac:dyDescent="0.25">
      <c r="B704">
        <v>685</v>
      </c>
      <c r="C704" t="s">
        <v>31</v>
      </c>
      <c r="D704">
        <v>1</v>
      </c>
      <c r="E704" t="s">
        <v>36</v>
      </c>
      <c r="F704" s="6">
        <v>46070.59375</v>
      </c>
      <c r="G704" s="6">
        <v>46070.600694444445</v>
      </c>
      <c r="H704" s="6">
        <v>46070.618055555555</v>
      </c>
      <c r="I704" s="6">
        <v>46070.6875</v>
      </c>
      <c r="J704" s="6">
        <v>46070.694444444445</v>
      </c>
      <c r="K704" s="6">
        <v>46070.708333333336</v>
      </c>
      <c r="L704">
        <v>2.75</v>
      </c>
      <c r="M704" s="6">
        <v>46070.709722222222</v>
      </c>
      <c r="N704">
        <f t="shared" si="10"/>
        <v>14</v>
      </c>
    </row>
    <row r="705" spans="2:14" x14ac:dyDescent="0.25">
      <c r="B705">
        <v>686</v>
      </c>
      <c r="C705" t="s">
        <v>31</v>
      </c>
      <c r="D705">
        <v>1</v>
      </c>
      <c r="E705" t="s">
        <v>30</v>
      </c>
      <c r="F705" s="6">
        <v>46069.904861111114</v>
      </c>
      <c r="G705" s="6">
        <v>46069.90625</v>
      </c>
      <c r="H705" s="6">
        <v>46069.909722222219</v>
      </c>
      <c r="I705" s="6">
        <v>46069.968055555553</v>
      </c>
      <c r="J705" s="6">
        <v>46069.979166666664</v>
      </c>
      <c r="K705" s="6">
        <v>46070.003472222219</v>
      </c>
      <c r="L705">
        <v>2.37</v>
      </c>
      <c r="M705" s="6">
        <v>46070.010416666664</v>
      </c>
      <c r="N705">
        <f t="shared" si="10"/>
        <v>21</v>
      </c>
    </row>
    <row r="706" spans="2:14" x14ac:dyDescent="0.25">
      <c r="B706">
        <v>687</v>
      </c>
      <c r="C706" t="s">
        <v>33</v>
      </c>
      <c r="D706">
        <v>1</v>
      </c>
      <c r="E706" t="s">
        <v>30</v>
      </c>
      <c r="F706" s="6">
        <v>46069.899305555555</v>
      </c>
      <c r="G706" s="6">
        <v>46069.90625</v>
      </c>
      <c r="H706" s="6">
        <v>46069.927083333336</v>
      </c>
      <c r="I706" s="6">
        <v>46069.961805555555</v>
      </c>
      <c r="J706" s="6">
        <v>46069.96875</v>
      </c>
      <c r="K706" s="6">
        <v>46069.979166666664</v>
      </c>
      <c r="L706">
        <v>1.92</v>
      </c>
      <c r="M706" s="6">
        <v>46069.979861111111</v>
      </c>
      <c r="N706">
        <f t="shared" si="10"/>
        <v>21</v>
      </c>
    </row>
    <row r="707" spans="2:14" x14ac:dyDescent="0.25">
      <c r="B707">
        <v>688</v>
      </c>
      <c r="C707" t="s">
        <v>29</v>
      </c>
      <c r="D707">
        <v>1</v>
      </c>
      <c r="E707" t="s">
        <v>36</v>
      </c>
      <c r="F707" s="6">
        <v>46070.336805555555</v>
      </c>
      <c r="G707" s="6">
        <v>46070.350694444445</v>
      </c>
      <c r="H707" s="6">
        <v>46070.354166666664</v>
      </c>
      <c r="I707" s="6">
        <v>46070.364583333336</v>
      </c>
      <c r="J707" s="6">
        <v>46070.371527777781</v>
      </c>
      <c r="K707" s="6">
        <v>46070.381944444445</v>
      </c>
      <c r="L707">
        <v>1.08</v>
      </c>
      <c r="M707" s="6">
        <v>46070.388888888891</v>
      </c>
      <c r="N707">
        <f t="shared" si="10"/>
        <v>8</v>
      </c>
    </row>
    <row r="708" spans="2:14" x14ac:dyDescent="0.25">
      <c r="B708">
        <v>689</v>
      </c>
      <c r="C708" t="s">
        <v>29</v>
      </c>
      <c r="D708">
        <v>1</v>
      </c>
      <c r="E708" t="s">
        <v>30</v>
      </c>
      <c r="F708" s="6">
        <v>46070.496527777781</v>
      </c>
      <c r="G708" s="6">
        <v>46070.503472222219</v>
      </c>
      <c r="H708" s="6">
        <v>46070.513888888891</v>
      </c>
      <c r="I708" s="6">
        <v>46070.555555555555</v>
      </c>
      <c r="J708" s="6">
        <v>46070.5625</v>
      </c>
      <c r="K708" s="6">
        <v>46070.586805555555</v>
      </c>
      <c r="L708">
        <v>2.17</v>
      </c>
      <c r="M708" s="6">
        <v>46070.59375</v>
      </c>
      <c r="N708">
        <f t="shared" si="10"/>
        <v>11</v>
      </c>
    </row>
    <row r="709" spans="2:14" x14ac:dyDescent="0.25">
      <c r="B709">
        <v>690</v>
      </c>
      <c r="C709" t="s">
        <v>29</v>
      </c>
      <c r="D709">
        <v>1</v>
      </c>
      <c r="E709" t="s">
        <v>30</v>
      </c>
      <c r="F709" s="6">
        <v>46070.506944444445</v>
      </c>
      <c r="G709" s="6">
        <v>46070.513888888891</v>
      </c>
      <c r="H709" s="6">
        <v>46070.541666666664</v>
      </c>
      <c r="I709" s="6">
        <v>46070.597222222219</v>
      </c>
      <c r="J709" s="6">
        <v>46070.604166666664</v>
      </c>
      <c r="K709" s="6">
        <v>46070.607638888891</v>
      </c>
      <c r="L709">
        <v>2.42</v>
      </c>
      <c r="M709" s="6">
        <v>46070.60833333333</v>
      </c>
      <c r="N709">
        <f t="shared" si="10"/>
        <v>12</v>
      </c>
    </row>
    <row r="710" spans="2:14" x14ac:dyDescent="0.25">
      <c r="B710">
        <v>691</v>
      </c>
      <c r="C710" t="s">
        <v>31</v>
      </c>
      <c r="D710">
        <v>1</v>
      </c>
      <c r="E710" t="s">
        <v>32</v>
      </c>
      <c r="F710" s="6">
        <v>46070.628472222219</v>
      </c>
      <c r="G710" s="6">
        <v>46070.642361111109</v>
      </c>
      <c r="H710" s="6">
        <v>46070.659722222219</v>
      </c>
      <c r="I710" s="6">
        <v>46070.756944444445</v>
      </c>
      <c r="J710" s="6">
        <v>46070.767361111109</v>
      </c>
      <c r="K710" s="6">
        <v>46070.774305555555</v>
      </c>
      <c r="L710">
        <v>3.5</v>
      </c>
      <c r="M710" s="6">
        <v>46070.777777777781</v>
      </c>
      <c r="N710">
        <f t="shared" si="10"/>
        <v>15</v>
      </c>
    </row>
    <row r="711" spans="2:14" x14ac:dyDescent="0.25">
      <c r="B711">
        <v>692</v>
      </c>
      <c r="C711" t="s">
        <v>29</v>
      </c>
      <c r="D711">
        <v>1</v>
      </c>
      <c r="E711" t="s">
        <v>35</v>
      </c>
      <c r="F711" s="6">
        <v>46071.395833333336</v>
      </c>
      <c r="G711" s="6">
        <v>46071.416666666664</v>
      </c>
      <c r="H711" s="6">
        <v>46071.423611111109</v>
      </c>
      <c r="I711" s="6">
        <v>46071.429861111108</v>
      </c>
      <c r="J711" s="6">
        <v>46071.431944444441</v>
      </c>
      <c r="K711" s="6">
        <v>46071.4375</v>
      </c>
      <c r="L711">
        <v>1</v>
      </c>
      <c r="M711" s="6">
        <v>46071.444444444445</v>
      </c>
      <c r="N711">
        <f t="shared" si="10"/>
        <v>9</v>
      </c>
    </row>
    <row r="712" spans="2:14" x14ac:dyDescent="0.25">
      <c r="B712">
        <v>693</v>
      </c>
      <c r="C712" t="s">
        <v>29</v>
      </c>
      <c r="D712">
        <v>1</v>
      </c>
      <c r="E712" t="s">
        <v>34</v>
      </c>
      <c r="F712" s="6">
        <v>46071.291666666664</v>
      </c>
      <c r="G712" s="6">
        <v>46071.322916666664</v>
      </c>
      <c r="H712" s="6">
        <v>46071.347222222219</v>
      </c>
      <c r="I712" s="6">
        <v>46071.368055555555</v>
      </c>
      <c r="J712" s="6">
        <v>46071.375</v>
      </c>
      <c r="K712" s="6">
        <v>46071.378472222219</v>
      </c>
      <c r="L712">
        <v>2.08</v>
      </c>
      <c r="M712" s="6">
        <v>46071.381944444445</v>
      </c>
      <c r="N712">
        <f t="shared" si="10"/>
        <v>7</v>
      </c>
    </row>
    <row r="713" spans="2:14" x14ac:dyDescent="0.25">
      <c r="B713">
        <v>694</v>
      </c>
      <c r="C713" t="s">
        <v>33</v>
      </c>
      <c r="D713">
        <v>1</v>
      </c>
      <c r="E713" t="s">
        <v>32</v>
      </c>
      <c r="F713" s="6">
        <v>46071.541666666664</v>
      </c>
      <c r="G713" s="6">
        <v>46071.5625</v>
      </c>
      <c r="H713" s="6">
        <v>46071.583333333336</v>
      </c>
      <c r="I713" s="6">
        <v>46071.597222222219</v>
      </c>
      <c r="J713" s="6">
        <v>46071.609722222223</v>
      </c>
      <c r="K713" s="6">
        <v>46071.616666666669</v>
      </c>
      <c r="L713">
        <v>1.8</v>
      </c>
      <c r="M713" s="6">
        <v>46071.623611111114</v>
      </c>
      <c r="N713">
        <f t="shared" si="10"/>
        <v>13</v>
      </c>
    </row>
    <row r="714" spans="2:14" x14ac:dyDescent="0.25">
      <c r="B714">
        <v>695</v>
      </c>
      <c r="C714" t="s">
        <v>29</v>
      </c>
      <c r="D714">
        <v>1</v>
      </c>
      <c r="E714" t="s">
        <v>30</v>
      </c>
      <c r="F714" s="6">
        <v>46071.479166666664</v>
      </c>
      <c r="G714" s="6">
        <v>46071.489583333336</v>
      </c>
      <c r="H714" s="6">
        <v>46071.53402777778</v>
      </c>
      <c r="I714" s="6">
        <v>46071.65902777778</v>
      </c>
      <c r="J714" s="6">
        <v>46071.665972222225</v>
      </c>
      <c r="K714" s="6">
        <v>46071.673611111109</v>
      </c>
      <c r="L714">
        <v>4.67</v>
      </c>
      <c r="M714" s="6">
        <v>46071.680555555555</v>
      </c>
      <c r="N714">
        <f t="shared" si="10"/>
        <v>11</v>
      </c>
    </row>
    <row r="715" spans="2:14" x14ac:dyDescent="0.25">
      <c r="B715">
        <v>696</v>
      </c>
      <c r="C715" t="s">
        <v>31</v>
      </c>
      <c r="D715">
        <v>1</v>
      </c>
      <c r="E715" t="s">
        <v>34</v>
      </c>
      <c r="F715" s="6">
        <v>46071.298611111109</v>
      </c>
      <c r="G715" s="6">
        <v>46071.326388888891</v>
      </c>
      <c r="H715" s="6">
        <v>46071.347222222219</v>
      </c>
      <c r="I715" s="6">
        <v>46071.479166666664</v>
      </c>
      <c r="J715" s="6">
        <v>46071.486111111109</v>
      </c>
      <c r="K715" s="6">
        <v>46071.493055555555</v>
      </c>
      <c r="L715">
        <v>4.67</v>
      </c>
      <c r="M715" s="6">
        <v>46071.5</v>
      </c>
      <c r="N715">
        <f t="shared" si="10"/>
        <v>7</v>
      </c>
    </row>
    <row r="716" spans="2:14" x14ac:dyDescent="0.25">
      <c r="B716">
        <v>697</v>
      </c>
      <c r="C716" t="s">
        <v>31</v>
      </c>
      <c r="D716">
        <v>1</v>
      </c>
      <c r="E716" t="s">
        <v>37</v>
      </c>
      <c r="F716" s="6">
        <v>46071.621527777781</v>
      </c>
      <c r="G716" s="6">
        <v>46071.635416666664</v>
      </c>
      <c r="H716" s="6">
        <v>46071.645833333336</v>
      </c>
      <c r="I716" s="6">
        <v>46071.708333333336</v>
      </c>
      <c r="J716" s="6">
        <v>46071.715277777781</v>
      </c>
      <c r="K716" s="6">
        <v>46071.722222222219</v>
      </c>
      <c r="L716">
        <v>2.42</v>
      </c>
      <c r="M716" s="6">
        <v>46071.729166666664</v>
      </c>
      <c r="N716">
        <f t="shared" si="10"/>
        <v>14</v>
      </c>
    </row>
    <row r="717" spans="2:14" x14ac:dyDescent="0.25">
      <c r="B717">
        <v>698</v>
      </c>
      <c r="C717" t="s">
        <v>31</v>
      </c>
      <c r="D717">
        <v>1</v>
      </c>
      <c r="E717" t="s">
        <v>36</v>
      </c>
      <c r="F717" s="6">
        <v>46071.315972222219</v>
      </c>
      <c r="G717" s="6">
        <v>46071.326388888891</v>
      </c>
      <c r="H717" s="6">
        <v>46071.350694444445</v>
      </c>
      <c r="I717" s="6">
        <v>46071.357638888891</v>
      </c>
      <c r="J717" s="6">
        <v>46071.423611111109</v>
      </c>
      <c r="K717" s="6">
        <v>46071.4375</v>
      </c>
      <c r="L717">
        <v>2.92</v>
      </c>
      <c r="M717" s="6">
        <v>46071.444444444445</v>
      </c>
      <c r="N717">
        <f t="shared" si="10"/>
        <v>7</v>
      </c>
    </row>
    <row r="718" spans="2:14" x14ac:dyDescent="0.25">
      <c r="B718">
        <v>699</v>
      </c>
      <c r="C718" t="s">
        <v>29</v>
      </c>
      <c r="D718">
        <v>1</v>
      </c>
      <c r="E718" t="s">
        <v>32</v>
      </c>
      <c r="F718" s="6">
        <v>46071.729166666664</v>
      </c>
      <c r="G718" s="6">
        <v>46071.732638888891</v>
      </c>
      <c r="H718" s="6">
        <v>46071.736111111109</v>
      </c>
      <c r="I718" s="6">
        <v>46071.760416666664</v>
      </c>
      <c r="J718" s="6">
        <v>46071.767361111109</v>
      </c>
      <c r="K718" s="6">
        <v>46071.777777777781</v>
      </c>
      <c r="L718">
        <v>1.17</v>
      </c>
      <c r="M718" s="6">
        <v>46071.78125</v>
      </c>
      <c r="N718">
        <f t="shared" si="10"/>
        <v>17</v>
      </c>
    </row>
    <row r="719" spans="2:14" x14ac:dyDescent="0.25">
      <c r="B719">
        <v>700</v>
      </c>
      <c r="C719" t="s">
        <v>31</v>
      </c>
      <c r="D719">
        <v>1</v>
      </c>
      <c r="E719" t="s">
        <v>30</v>
      </c>
      <c r="F719" s="6">
        <v>46070.923611111109</v>
      </c>
      <c r="G719" s="6">
        <v>46070.927083333336</v>
      </c>
      <c r="H719" s="6">
        <v>46070.940972222219</v>
      </c>
      <c r="I719" s="6">
        <v>46070.990972222222</v>
      </c>
      <c r="J719" s="6">
        <v>46070.997916666667</v>
      </c>
      <c r="K719" s="6">
        <v>46071.006944444445</v>
      </c>
      <c r="L719">
        <v>2</v>
      </c>
      <c r="M719" s="6">
        <v>46071.013888888891</v>
      </c>
      <c r="N719">
        <f t="shared" si="10"/>
        <v>22</v>
      </c>
    </row>
    <row r="720" spans="2:14" x14ac:dyDescent="0.25">
      <c r="B720">
        <v>701</v>
      </c>
      <c r="C720" t="s">
        <v>29</v>
      </c>
      <c r="D720">
        <v>1</v>
      </c>
      <c r="E720" t="s">
        <v>30</v>
      </c>
      <c r="F720" s="6">
        <v>46070.923611111109</v>
      </c>
      <c r="G720" s="6">
        <v>46070.951388888891</v>
      </c>
      <c r="H720" s="6">
        <v>46070.979166666664</v>
      </c>
      <c r="I720" s="6">
        <v>46071.027777777781</v>
      </c>
      <c r="J720" s="6">
        <v>46071.034722222219</v>
      </c>
      <c r="K720" s="6">
        <v>46071.048611111109</v>
      </c>
      <c r="L720">
        <v>3</v>
      </c>
      <c r="M720" s="6">
        <v>46071.052083333336</v>
      </c>
      <c r="N720">
        <f t="shared" si="10"/>
        <v>22</v>
      </c>
    </row>
    <row r="721" spans="2:14" x14ac:dyDescent="0.25">
      <c r="B721">
        <v>702</v>
      </c>
      <c r="C721" t="s">
        <v>33</v>
      </c>
      <c r="D721">
        <v>1</v>
      </c>
      <c r="E721" t="s">
        <v>30</v>
      </c>
      <c r="F721" s="6">
        <v>46071.327777777777</v>
      </c>
      <c r="G721" s="6">
        <v>46071.334722222222</v>
      </c>
      <c r="H721" s="6">
        <v>46071.354166666664</v>
      </c>
      <c r="I721" s="6">
        <v>46071.361111111109</v>
      </c>
      <c r="J721" s="6">
        <v>46071.375</v>
      </c>
      <c r="K721" s="6">
        <v>46071.597222222219</v>
      </c>
      <c r="L721">
        <v>6.47</v>
      </c>
      <c r="M721" s="6">
        <v>46071.604166666664</v>
      </c>
      <c r="N721">
        <f t="shared" si="10"/>
        <v>7</v>
      </c>
    </row>
    <row r="722" spans="2:14" x14ac:dyDescent="0.25">
      <c r="B722">
        <v>703</v>
      </c>
      <c r="C722" t="s">
        <v>31</v>
      </c>
      <c r="D722">
        <v>1</v>
      </c>
      <c r="E722" t="s">
        <v>36</v>
      </c>
      <c r="F722" s="6">
        <v>46071.479166666664</v>
      </c>
      <c r="G722" s="6">
        <v>46071.5</v>
      </c>
      <c r="H722" s="6">
        <v>46071.520833333336</v>
      </c>
      <c r="I722" s="6">
        <v>46071.68472222222</v>
      </c>
      <c r="J722" s="6">
        <v>46071.691666666666</v>
      </c>
      <c r="K722" s="6">
        <v>46071.734027777777</v>
      </c>
      <c r="L722">
        <v>6.12</v>
      </c>
      <c r="M722" s="6">
        <v>46071.736111111109</v>
      </c>
      <c r="N722">
        <f t="shared" si="10"/>
        <v>11</v>
      </c>
    </row>
    <row r="723" spans="2:14" x14ac:dyDescent="0.25">
      <c r="B723">
        <v>704</v>
      </c>
      <c r="C723" t="s">
        <v>29</v>
      </c>
      <c r="D723">
        <v>1</v>
      </c>
      <c r="E723" t="s">
        <v>32</v>
      </c>
      <c r="F723" s="6">
        <v>46072.576388888891</v>
      </c>
      <c r="G723" s="6">
        <v>46072.59375</v>
      </c>
      <c r="H723" s="6">
        <v>46072.600694444445</v>
      </c>
      <c r="I723" s="6">
        <v>46072.635416666664</v>
      </c>
      <c r="J723" s="6">
        <v>46072.642361111109</v>
      </c>
      <c r="K723" s="6">
        <v>46072.659722222219</v>
      </c>
      <c r="L723">
        <v>2</v>
      </c>
      <c r="M723" s="6">
        <v>46072.666666666664</v>
      </c>
      <c r="N723">
        <f t="shared" si="10"/>
        <v>13</v>
      </c>
    </row>
    <row r="724" spans="2:14" x14ac:dyDescent="0.25">
      <c r="B724">
        <v>705</v>
      </c>
      <c r="C724" t="s">
        <v>29</v>
      </c>
      <c r="D724">
        <v>1</v>
      </c>
      <c r="E724" t="s">
        <v>30</v>
      </c>
      <c r="F724" s="6">
        <v>46072.440972222219</v>
      </c>
      <c r="G724" s="6">
        <v>46072.472222222219</v>
      </c>
      <c r="H724" s="6">
        <v>46072.475694444445</v>
      </c>
      <c r="I724" s="6">
        <v>46072.486111111109</v>
      </c>
      <c r="J724" s="6">
        <v>46072.489583333336</v>
      </c>
      <c r="K724" s="6">
        <v>46072.534722222219</v>
      </c>
      <c r="L724">
        <v>2.25</v>
      </c>
      <c r="M724" s="6">
        <v>46072.541666666664</v>
      </c>
      <c r="N724">
        <f t="shared" si="10"/>
        <v>10</v>
      </c>
    </row>
    <row r="725" spans="2:14" x14ac:dyDescent="0.25">
      <c r="B725">
        <v>706</v>
      </c>
      <c r="C725" t="s">
        <v>33</v>
      </c>
      <c r="D725">
        <v>1</v>
      </c>
      <c r="E725" t="s">
        <v>35</v>
      </c>
      <c r="F725" s="6">
        <v>46072.680555555555</v>
      </c>
      <c r="G725" s="6">
        <v>46072.690972222219</v>
      </c>
      <c r="H725" s="6">
        <v>46072.701388888891</v>
      </c>
      <c r="I725" s="6">
        <v>46072.767361111109</v>
      </c>
      <c r="J725" s="6">
        <v>46072.770833333336</v>
      </c>
      <c r="K725" s="6">
        <v>46072.774305555555</v>
      </c>
      <c r="L725">
        <v>2.25</v>
      </c>
      <c r="M725" s="6">
        <v>46072.776388888888</v>
      </c>
      <c r="N725">
        <f t="shared" ref="N725:N788" si="11">HOUR(F725)</f>
        <v>16</v>
      </c>
    </row>
    <row r="726" spans="2:14" x14ac:dyDescent="0.25">
      <c r="B726">
        <v>707</v>
      </c>
      <c r="C726" t="s">
        <v>33</v>
      </c>
      <c r="D726">
        <v>1</v>
      </c>
      <c r="E726" t="s">
        <v>34</v>
      </c>
      <c r="F726" s="6">
        <v>46072.284722222219</v>
      </c>
      <c r="G726" s="6">
        <v>46072.315972222219</v>
      </c>
      <c r="H726" s="6">
        <v>46072.340277777781</v>
      </c>
      <c r="I726" s="6">
        <v>46072.354166666664</v>
      </c>
      <c r="J726" s="6">
        <v>46072.361111111109</v>
      </c>
      <c r="K726" s="6">
        <v>46072.371527777781</v>
      </c>
      <c r="L726">
        <v>2.08</v>
      </c>
      <c r="M726" s="6">
        <v>46072.378472222219</v>
      </c>
      <c r="N726">
        <f t="shared" si="11"/>
        <v>6</v>
      </c>
    </row>
    <row r="727" spans="2:14" x14ac:dyDescent="0.25">
      <c r="B727">
        <v>708</v>
      </c>
      <c r="C727" t="s">
        <v>33</v>
      </c>
      <c r="D727">
        <v>1</v>
      </c>
      <c r="E727" t="s">
        <v>36</v>
      </c>
      <c r="F727" s="6">
        <v>46072.288194444445</v>
      </c>
      <c r="G727" s="6">
        <v>46072.3125</v>
      </c>
      <c r="H727" s="6">
        <v>46072.347222222219</v>
      </c>
      <c r="I727" s="6">
        <v>46072.395833333336</v>
      </c>
      <c r="J727" s="6">
        <v>46072.399305555555</v>
      </c>
      <c r="K727" s="6">
        <v>46072.40625</v>
      </c>
      <c r="L727">
        <v>2.83</v>
      </c>
      <c r="M727" s="6">
        <v>46072.413194444445</v>
      </c>
      <c r="N727">
        <f t="shared" si="11"/>
        <v>6</v>
      </c>
    </row>
    <row r="728" spans="2:14" x14ac:dyDescent="0.25">
      <c r="B728">
        <v>709</v>
      </c>
      <c r="C728" t="s">
        <v>29</v>
      </c>
      <c r="D728">
        <v>1</v>
      </c>
      <c r="E728" t="s">
        <v>34</v>
      </c>
      <c r="F728" s="6">
        <v>46072.538194444445</v>
      </c>
      <c r="G728" s="6">
        <v>46072.552083333336</v>
      </c>
      <c r="H728" s="6">
        <v>46072.586805555555</v>
      </c>
      <c r="I728" s="6">
        <v>46072.666666666664</v>
      </c>
      <c r="J728" s="6">
        <v>46072.677083333336</v>
      </c>
      <c r="K728" s="6">
        <v>46072.690972222219</v>
      </c>
      <c r="L728">
        <v>3.67</v>
      </c>
      <c r="M728" s="6">
        <v>46072.697916666664</v>
      </c>
      <c r="N728">
        <f t="shared" si="11"/>
        <v>12</v>
      </c>
    </row>
    <row r="729" spans="2:14" x14ac:dyDescent="0.25">
      <c r="B729">
        <v>710</v>
      </c>
      <c r="C729" t="s">
        <v>31</v>
      </c>
      <c r="D729">
        <v>1</v>
      </c>
      <c r="E729" t="s">
        <v>35</v>
      </c>
      <c r="F729" s="6">
        <v>46072.513888888891</v>
      </c>
      <c r="G729" s="6">
        <v>46072.520833333336</v>
      </c>
      <c r="H729" s="6">
        <v>46072.541666666664</v>
      </c>
      <c r="I729" s="6">
        <v>46072.604166666664</v>
      </c>
      <c r="J729" s="6">
        <v>46072.611111111109</v>
      </c>
      <c r="K729" s="6">
        <v>46072.621527777781</v>
      </c>
      <c r="L729">
        <v>2.58</v>
      </c>
      <c r="M729" s="6">
        <v>46072.62222222222</v>
      </c>
      <c r="N729">
        <f t="shared" si="11"/>
        <v>12</v>
      </c>
    </row>
    <row r="730" spans="2:14" x14ac:dyDescent="0.25">
      <c r="B730">
        <v>711</v>
      </c>
      <c r="C730" t="s">
        <v>33</v>
      </c>
      <c r="D730">
        <v>1</v>
      </c>
      <c r="E730" t="s">
        <v>34</v>
      </c>
      <c r="F730" s="6">
        <v>46072.291666666664</v>
      </c>
      <c r="G730" s="6">
        <v>46072.319444444445</v>
      </c>
      <c r="H730" s="6">
        <v>46072.371527777781</v>
      </c>
      <c r="I730" s="6">
        <v>46072.461805555555</v>
      </c>
      <c r="J730" s="6">
        <v>46072.46875</v>
      </c>
      <c r="K730" s="6">
        <v>46072.486111111109</v>
      </c>
      <c r="L730">
        <v>4.67</v>
      </c>
      <c r="M730" s="6">
        <v>46072.489583333336</v>
      </c>
      <c r="N730">
        <f t="shared" si="11"/>
        <v>7</v>
      </c>
    </row>
    <row r="731" spans="2:14" x14ac:dyDescent="0.25">
      <c r="B731">
        <v>712</v>
      </c>
      <c r="C731" t="s">
        <v>31</v>
      </c>
      <c r="D731">
        <v>1</v>
      </c>
      <c r="E731" t="s">
        <v>32</v>
      </c>
      <c r="F731" s="6">
        <v>46072.625</v>
      </c>
      <c r="G731" s="6">
        <v>46072.635416666664</v>
      </c>
      <c r="H731" s="6">
        <v>46072.645833333336</v>
      </c>
      <c r="I731" s="6">
        <v>46072.673611111109</v>
      </c>
      <c r="J731" s="6">
        <v>46072.680555555555</v>
      </c>
      <c r="K731" s="6">
        <v>46072.6875</v>
      </c>
      <c r="L731">
        <v>1.5</v>
      </c>
      <c r="M731" s="6">
        <v>46072.694444444445</v>
      </c>
      <c r="N731">
        <f t="shared" si="11"/>
        <v>15</v>
      </c>
    </row>
    <row r="732" spans="2:14" x14ac:dyDescent="0.25">
      <c r="B732">
        <v>713</v>
      </c>
      <c r="C732" t="s">
        <v>31</v>
      </c>
      <c r="D732">
        <v>1</v>
      </c>
      <c r="E732" t="s">
        <v>35</v>
      </c>
      <c r="F732" s="6">
        <v>46072.347222222219</v>
      </c>
      <c r="G732" s="6">
        <v>46072.354166666664</v>
      </c>
      <c r="H732" s="6">
        <v>46072.368055555555</v>
      </c>
      <c r="I732" s="6">
        <v>46072.4375</v>
      </c>
      <c r="J732" s="6">
        <v>46072.444444444445</v>
      </c>
      <c r="K732" s="6">
        <v>46072.451388888891</v>
      </c>
      <c r="L732">
        <v>2.5</v>
      </c>
      <c r="M732" s="6">
        <v>46072.458333333336</v>
      </c>
      <c r="N732">
        <f t="shared" si="11"/>
        <v>8</v>
      </c>
    </row>
    <row r="733" spans="2:14" x14ac:dyDescent="0.25">
      <c r="B733">
        <v>714</v>
      </c>
      <c r="C733" t="s">
        <v>29</v>
      </c>
      <c r="D733">
        <v>1</v>
      </c>
      <c r="E733" t="s">
        <v>30</v>
      </c>
      <c r="F733" s="6">
        <v>46071.670138888891</v>
      </c>
      <c r="G733" s="6">
        <v>46071.673611111109</v>
      </c>
      <c r="H733" s="6">
        <v>46071.677083333336</v>
      </c>
      <c r="I733" s="6">
        <v>46071.677777777775</v>
      </c>
      <c r="J733" s="6">
        <v>46071.678472222222</v>
      </c>
      <c r="K733" s="6">
        <v>46071.679166666669</v>
      </c>
      <c r="L733">
        <v>0.22</v>
      </c>
      <c r="M733" s="6">
        <v>46071.679861111108</v>
      </c>
      <c r="N733">
        <f t="shared" si="11"/>
        <v>16</v>
      </c>
    </row>
    <row r="734" spans="2:14" x14ac:dyDescent="0.25">
      <c r="B734">
        <v>715</v>
      </c>
      <c r="C734" t="s">
        <v>29</v>
      </c>
      <c r="D734">
        <v>1</v>
      </c>
      <c r="E734" t="s">
        <v>30</v>
      </c>
      <c r="F734" s="6">
        <v>46073.628472222219</v>
      </c>
      <c r="G734" s="6">
        <v>46073.631944444445</v>
      </c>
      <c r="H734" s="6">
        <v>46073.635416666664</v>
      </c>
      <c r="I734" s="6">
        <v>46073.642361111109</v>
      </c>
      <c r="J734" s="6">
        <v>46073.643055555556</v>
      </c>
      <c r="K734" s="6">
        <v>46073.643750000003</v>
      </c>
      <c r="L734">
        <v>0.37</v>
      </c>
      <c r="M734" s="6">
        <v>46073.644444444442</v>
      </c>
      <c r="N734">
        <f t="shared" si="11"/>
        <v>15</v>
      </c>
    </row>
    <row r="735" spans="2:14" x14ac:dyDescent="0.25">
      <c r="B735">
        <v>716</v>
      </c>
      <c r="C735" t="s">
        <v>29</v>
      </c>
      <c r="D735">
        <v>1</v>
      </c>
      <c r="E735" t="s">
        <v>30</v>
      </c>
      <c r="F735" s="6">
        <v>46072.392361111109</v>
      </c>
      <c r="G735" s="6">
        <v>46072.402777777781</v>
      </c>
      <c r="H735" s="6">
        <v>46072.427083333336</v>
      </c>
      <c r="I735" s="6">
        <v>46072.451388888891</v>
      </c>
      <c r="J735" s="6">
        <v>46072.458333333336</v>
      </c>
      <c r="K735" s="6">
        <v>46072.461805555555</v>
      </c>
      <c r="L735">
        <v>1.67</v>
      </c>
      <c r="M735" s="6">
        <v>46072.465277777781</v>
      </c>
      <c r="N735">
        <f t="shared" si="11"/>
        <v>9</v>
      </c>
    </row>
    <row r="736" spans="2:14" x14ac:dyDescent="0.25">
      <c r="B736">
        <v>717</v>
      </c>
      <c r="C736" t="s">
        <v>33</v>
      </c>
      <c r="D736">
        <v>1</v>
      </c>
      <c r="E736" t="s">
        <v>32</v>
      </c>
      <c r="F736" s="6">
        <v>46077.291666666664</v>
      </c>
      <c r="G736" s="6">
        <v>46077.340277777781</v>
      </c>
      <c r="H736" s="6">
        <v>46077.354166666664</v>
      </c>
      <c r="I736" s="6">
        <v>46077.395833333336</v>
      </c>
      <c r="J736" s="6">
        <v>46077.402777777781</v>
      </c>
      <c r="K736" s="6">
        <v>46077.40625</v>
      </c>
      <c r="L736">
        <v>2.75</v>
      </c>
      <c r="M736" s="6">
        <v>46077.413194444445</v>
      </c>
      <c r="N736">
        <f t="shared" si="11"/>
        <v>7</v>
      </c>
    </row>
    <row r="737" spans="2:14" x14ac:dyDescent="0.25">
      <c r="B737">
        <v>718</v>
      </c>
      <c r="C737" t="s">
        <v>31</v>
      </c>
      <c r="D737">
        <v>1</v>
      </c>
      <c r="E737" t="s">
        <v>32</v>
      </c>
      <c r="F737" s="6">
        <v>46073.607638888891</v>
      </c>
      <c r="G737" s="6">
        <v>46073.611111111109</v>
      </c>
      <c r="H737" s="6">
        <v>46073.618055555555</v>
      </c>
      <c r="I737" s="6">
        <v>46073.638888888891</v>
      </c>
      <c r="J737" s="6">
        <v>46073.645833333336</v>
      </c>
      <c r="K737" s="6">
        <v>46073.649305555555</v>
      </c>
      <c r="L737">
        <v>1</v>
      </c>
      <c r="M737" s="6">
        <v>46073.652777777781</v>
      </c>
      <c r="N737">
        <f t="shared" si="11"/>
        <v>14</v>
      </c>
    </row>
    <row r="738" spans="2:14" x14ac:dyDescent="0.25">
      <c r="B738">
        <v>719</v>
      </c>
      <c r="C738" t="s">
        <v>31</v>
      </c>
      <c r="D738">
        <v>1</v>
      </c>
      <c r="E738" t="s">
        <v>35</v>
      </c>
      <c r="F738" s="6">
        <v>46073.708333333336</v>
      </c>
      <c r="G738" s="6">
        <v>46073.722222222219</v>
      </c>
      <c r="H738" s="6">
        <v>46073.736111111109</v>
      </c>
      <c r="I738" s="6">
        <v>46073.798611111109</v>
      </c>
      <c r="J738" s="6">
        <v>46073.8125</v>
      </c>
      <c r="K738" s="6">
        <v>46073.819444444445</v>
      </c>
      <c r="L738">
        <v>2.67</v>
      </c>
      <c r="M738" s="6">
        <v>46073.822916666664</v>
      </c>
      <c r="N738">
        <f t="shared" si="11"/>
        <v>17</v>
      </c>
    </row>
    <row r="739" spans="2:14" x14ac:dyDescent="0.25">
      <c r="B739">
        <v>720</v>
      </c>
      <c r="C739" t="s">
        <v>29</v>
      </c>
      <c r="D739">
        <v>1</v>
      </c>
      <c r="E739" t="s">
        <v>37</v>
      </c>
      <c r="F739" s="6">
        <v>46073.423611111109</v>
      </c>
      <c r="G739" s="6">
        <v>46073.4375</v>
      </c>
      <c r="H739" s="6">
        <v>46073.444444444445</v>
      </c>
      <c r="I739" s="6">
        <v>46073.46597222222</v>
      </c>
      <c r="J739" s="6">
        <v>46073.472222222219</v>
      </c>
      <c r="K739" s="6">
        <v>46073.473611111112</v>
      </c>
      <c r="L739">
        <v>1.2</v>
      </c>
      <c r="M739" s="6">
        <v>46073.476388888892</v>
      </c>
      <c r="N739">
        <f t="shared" si="11"/>
        <v>10</v>
      </c>
    </row>
    <row r="740" spans="2:14" x14ac:dyDescent="0.25">
      <c r="B740">
        <v>721</v>
      </c>
      <c r="C740" t="s">
        <v>33</v>
      </c>
      <c r="D740">
        <v>1</v>
      </c>
      <c r="E740" t="s">
        <v>36</v>
      </c>
      <c r="F740" s="6">
        <v>46073.288194444445</v>
      </c>
      <c r="G740" s="6">
        <v>46073.318055555559</v>
      </c>
      <c r="H740" s="6">
        <v>46073.395833333336</v>
      </c>
      <c r="I740" s="6">
        <v>46073.534722222219</v>
      </c>
      <c r="J740" s="6">
        <v>46073.541666666664</v>
      </c>
      <c r="K740" s="6">
        <v>46073.555555555555</v>
      </c>
      <c r="L740">
        <v>6.42</v>
      </c>
      <c r="M740" s="6">
        <v>46073.5625</v>
      </c>
      <c r="N740">
        <f t="shared" si="11"/>
        <v>6</v>
      </c>
    </row>
    <row r="741" spans="2:14" x14ac:dyDescent="0.25">
      <c r="B741">
        <v>722</v>
      </c>
      <c r="C741" t="s">
        <v>33</v>
      </c>
      <c r="D741">
        <v>1</v>
      </c>
      <c r="E741" t="s">
        <v>32</v>
      </c>
      <c r="F741" s="6">
        <v>46073.697916666664</v>
      </c>
      <c r="G741" s="6">
        <v>46073.708333333336</v>
      </c>
      <c r="H741" s="6">
        <v>46073.722222222219</v>
      </c>
      <c r="I741" s="6">
        <v>46073.770833333336</v>
      </c>
      <c r="J741" s="6">
        <v>46073.777777777781</v>
      </c>
      <c r="K741" s="6">
        <v>46073.77847222222</v>
      </c>
      <c r="L741">
        <v>1.93</v>
      </c>
      <c r="M741" s="6">
        <v>46073.785416666666</v>
      </c>
      <c r="N741">
        <f t="shared" si="11"/>
        <v>16</v>
      </c>
    </row>
    <row r="742" spans="2:14" x14ac:dyDescent="0.25">
      <c r="B742">
        <v>723</v>
      </c>
      <c r="C742" t="s">
        <v>29</v>
      </c>
      <c r="D742">
        <v>1</v>
      </c>
      <c r="E742" t="s">
        <v>35</v>
      </c>
      <c r="F742" s="6">
        <v>46073.291666666664</v>
      </c>
      <c r="G742" s="6">
        <v>46073.333333333336</v>
      </c>
      <c r="H742" s="6">
        <v>46073.340277777781</v>
      </c>
      <c r="I742" s="6">
        <v>46073.364583333336</v>
      </c>
      <c r="J742" s="6">
        <v>46073.371527777781</v>
      </c>
      <c r="K742" s="6">
        <v>46073.375</v>
      </c>
      <c r="L742">
        <v>2</v>
      </c>
      <c r="M742" s="6">
        <v>46073.381944444445</v>
      </c>
      <c r="N742">
        <f t="shared" si="11"/>
        <v>7</v>
      </c>
    </row>
    <row r="743" spans="2:14" x14ac:dyDescent="0.25">
      <c r="B743">
        <v>724</v>
      </c>
      <c r="C743" t="s">
        <v>29</v>
      </c>
      <c r="D743">
        <v>1</v>
      </c>
      <c r="E743" t="s">
        <v>32</v>
      </c>
      <c r="F743" s="6">
        <v>46073.520833333336</v>
      </c>
      <c r="G743" s="6">
        <v>46073.524305555555</v>
      </c>
      <c r="H743" s="6">
        <v>46073.525694444441</v>
      </c>
      <c r="I743" s="6">
        <v>46073.53125</v>
      </c>
      <c r="J743" s="6">
        <v>46073.538194444445</v>
      </c>
      <c r="K743" s="6">
        <v>46073.541666666664</v>
      </c>
      <c r="L743">
        <v>0.5</v>
      </c>
      <c r="M743" s="6">
        <v>46073.548611111109</v>
      </c>
      <c r="N743">
        <f t="shared" si="11"/>
        <v>12</v>
      </c>
    </row>
    <row r="744" spans="2:14" x14ac:dyDescent="0.25">
      <c r="B744">
        <v>725</v>
      </c>
      <c r="C744" t="s">
        <v>33</v>
      </c>
      <c r="D744">
        <v>1</v>
      </c>
      <c r="E744" t="s">
        <v>30</v>
      </c>
      <c r="F744" s="6">
        <v>46073.555555555555</v>
      </c>
      <c r="G744" s="6">
        <v>46073.569444444445</v>
      </c>
      <c r="H744" s="6">
        <v>46073.604166666664</v>
      </c>
      <c r="I744" s="6">
        <v>46073.833333333336</v>
      </c>
      <c r="J744" s="6">
        <v>46073.840277777781</v>
      </c>
      <c r="K744" s="6">
        <v>46073.868055555555</v>
      </c>
      <c r="L744">
        <v>7.5</v>
      </c>
      <c r="M744" s="6">
        <v>46073.875</v>
      </c>
      <c r="N744">
        <f t="shared" si="11"/>
        <v>13</v>
      </c>
    </row>
    <row r="745" spans="2:14" x14ac:dyDescent="0.25">
      <c r="B745">
        <v>726</v>
      </c>
      <c r="C745" t="s">
        <v>33</v>
      </c>
      <c r="D745">
        <v>1</v>
      </c>
      <c r="E745" t="s">
        <v>32</v>
      </c>
      <c r="F745" s="6">
        <v>46073.625</v>
      </c>
      <c r="G745" s="6">
        <v>46073.631944444445</v>
      </c>
      <c r="H745" s="6">
        <v>46073.645833333336</v>
      </c>
      <c r="I745" s="6">
        <v>46073.694444444445</v>
      </c>
      <c r="J745" s="6">
        <v>46073.701388888891</v>
      </c>
      <c r="K745" s="6">
        <v>46073.708333333336</v>
      </c>
      <c r="L745">
        <v>2</v>
      </c>
      <c r="M745" s="6">
        <v>46073.715277777781</v>
      </c>
      <c r="N745">
        <f t="shared" si="11"/>
        <v>15</v>
      </c>
    </row>
    <row r="746" spans="2:14" x14ac:dyDescent="0.25">
      <c r="B746">
        <v>727</v>
      </c>
      <c r="C746" t="s">
        <v>33</v>
      </c>
      <c r="D746">
        <v>1</v>
      </c>
      <c r="E746" t="s">
        <v>30</v>
      </c>
      <c r="F746" s="6">
        <v>46073.326388888891</v>
      </c>
      <c r="G746" s="6">
        <v>46073.336805555555</v>
      </c>
      <c r="H746" s="6">
        <v>46073.388888888891</v>
      </c>
      <c r="I746" s="6">
        <v>46073.458333333336</v>
      </c>
      <c r="J746" s="6">
        <v>46073.465277777781</v>
      </c>
      <c r="K746" s="6">
        <v>46073.479166666664</v>
      </c>
      <c r="L746">
        <v>3.67</v>
      </c>
      <c r="M746" s="6">
        <v>46073.486111111109</v>
      </c>
      <c r="N746">
        <f t="shared" si="11"/>
        <v>7</v>
      </c>
    </row>
    <row r="747" spans="2:14" x14ac:dyDescent="0.25">
      <c r="B747">
        <v>728</v>
      </c>
      <c r="C747" t="s">
        <v>33</v>
      </c>
      <c r="D747">
        <v>1</v>
      </c>
      <c r="E747" t="s">
        <v>36</v>
      </c>
      <c r="F747" s="6">
        <v>46073.298611111109</v>
      </c>
      <c r="G747" s="6">
        <v>46073.319444444445</v>
      </c>
      <c r="H747" s="6">
        <v>46073.333333333336</v>
      </c>
      <c r="I747" s="6">
        <v>46073.513888888891</v>
      </c>
      <c r="J747" s="6">
        <v>46073.520833333336</v>
      </c>
      <c r="K747" s="6">
        <v>46073.521527777775</v>
      </c>
      <c r="L747">
        <v>5.35</v>
      </c>
      <c r="M747" s="6">
        <v>46073.522222222222</v>
      </c>
      <c r="N747">
        <f t="shared" si="11"/>
        <v>7</v>
      </c>
    </row>
    <row r="748" spans="2:14" x14ac:dyDescent="0.25">
      <c r="B748">
        <v>729</v>
      </c>
      <c r="C748" t="s">
        <v>31</v>
      </c>
      <c r="D748">
        <v>1</v>
      </c>
      <c r="E748" t="s">
        <v>32</v>
      </c>
      <c r="F748" s="6">
        <v>46073.291666666664</v>
      </c>
      <c r="G748" s="6">
        <v>46073.333333333336</v>
      </c>
      <c r="H748" s="6">
        <v>46073.347222222219</v>
      </c>
      <c r="I748" s="6">
        <v>46073.4375</v>
      </c>
      <c r="J748" s="6">
        <v>46073.444444444445</v>
      </c>
      <c r="K748" s="6">
        <v>46073.447916666664</v>
      </c>
      <c r="L748">
        <v>3.75</v>
      </c>
      <c r="M748" s="6">
        <v>46073.454861111109</v>
      </c>
      <c r="N748">
        <f t="shared" si="11"/>
        <v>7</v>
      </c>
    </row>
    <row r="749" spans="2:14" x14ac:dyDescent="0.25">
      <c r="B749">
        <v>730</v>
      </c>
      <c r="C749" t="s">
        <v>31</v>
      </c>
      <c r="D749">
        <v>1</v>
      </c>
      <c r="E749" t="s">
        <v>30</v>
      </c>
      <c r="F749" s="6">
        <v>46073.513888888891</v>
      </c>
      <c r="G749" s="6">
        <v>46073.548611111109</v>
      </c>
      <c r="H749" s="6">
        <v>46073.572916666664</v>
      </c>
      <c r="I749" s="6">
        <v>46073.637499999997</v>
      </c>
      <c r="J749" s="6">
        <v>46073.644444444442</v>
      </c>
      <c r="K749" s="6">
        <v>46073.659722222219</v>
      </c>
      <c r="L749">
        <v>3.5</v>
      </c>
      <c r="M749" s="6">
        <v>46073.666666666664</v>
      </c>
      <c r="N749">
        <f t="shared" si="11"/>
        <v>12</v>
      </c>
    </row>
    <row r="750" spans="2:14" x14ac:dyDescent="0.25">
      <c r="B750">
        <v>731</v>
      </c>
      <c r="C750" t="s">
        <v>29</v>
      </c>
      <c r="D750">
        <v>1</v>
      </c>
      <c r="E750" t="s">
        <v>32</v>
      </c>
      <c r="F750" s="6">
        <v>46074.444444444445</v>
      </c>
      <c r="G750" s="6">
        <v>46074.472222222219</v>
      </c>
      <c r="H750" s="6">
        <v>46074.489583333336</v>
      </c>
      <c r="I750" s="6">
        <v>46074.506944444445</v>
      </c>
      <c r="J750" s="6">
        <v>46074.510416666664</v>
      </c>
      <c r="K750" s="6">
        <v>46074.512499999997</v>
      </c>
      <c r="L750">
        <v>1.63</v>
      </c>
      <c r="M750" s="6">
        <v>46074.519444444442</v>
      </c>
      <c r="N750">
        <f t="shared" si="11"/>
        <v>10</v>
      </c>
    </row>
    <row r="751" spans="2:14" x14ac:dyDescent="0.25">
      <c r="B751">
        <v>732</v>
      </c>
      <c r="C751" t="s">
        <v>31</v>
      </c>
      <c r="D751">
        <v>1</v>
      </c>
      <c r="E751" t="s">
        <v>34</v>
      </c>
      <c r="F751" s="6">
        <v>46074.381944444445</v>
      </c>
      <c r="G751" s="6">
        <v>46074.399305555555</v>
      </c>
      <c r="H751" s="6">
        <v>46074.423611111109</v>
      </c>
      <c r="I751" s="6">
        <v>46074.440972222219</v>
      </c>
      <c r="J751" s="6">
        <v>46074.444444444445</v>
      </c>
      <c r="K751" s="6">
        <v>46074.447916666664</v>
      </c>
      <c r="L751">
        <v>1.58</v>
      </c>
      <c r="M751" s="6">
        <v>46074.451388888891</v>
      </c>
      <c r="N751">
        <f t="shared" si="11"/>
        <v>9</v>
      </c>
    </row>
    <row r="752" spans="2:14" x14ac:dyDescent="0.25">
      <c r="B752">
        <v>733</v>
      </c>
      <c r="C752" t="s">
        <v>33</v>
      </c>
      <c r="D752">
        <v>1</v>
      </c>
      <c r="E752" t="s">
        <v>34</v>
      </c>
      <c r="F752" s="6">
        <v>46074.580555555556</v>
      </c>
      <c r="G752" s="6">
        <v>46074.59375</v>
      </c>
      <c r="H752" s="6">
        <v>46074.611111111109</v>
      </c>
      <c r="I752" s="6">
        <v>46074.775694444441</v>
      </c>
      <c r="J752" s="6">
        <v>46074.782638888886</v>
      </c>
      <c r="K752" s="6">
        <v>46074.819444444445</v>
      </c>
      <c r="L752">
        <v>5.73</v>
      </c>
      <c r="M752" s="6">
        <v>46074.826388888891</v>
      </c>
      <c r="N752">
        <f t="shared" si="11"/>
        <v>13</v>
      </c>
    </row>
    <row r="753" spans="2:14" x14ac:dyDescent="0.25">
      <c r="B753">
        <v>734</v>
      </c>
      <c r="C753" t="s">
        <v>31</v>
      </c>
      <c r="D753">
        <v>1</v>
      </c>
      <c r="E753" t="s">
        <v>37</v>
      </c>
      <c r="F753" s="6">
        <v>46074.368055555555</v>
      </c>
      <c r="G753" s="6">
        <v>46074.385416666664</v>
      </c>
      <c r="H753" s="6">
        <v>46074.395833333336</v>
      </c>
      <c r="I753" s="6">
        <v>46074.427083333336</v>
      </c>
      <c r="J753" s="6">
        <v>46074.434027777781</v>
      </c>
      <c r="K753" s="6">
        <v>46074.4375</v>
      </c>
      <c r="L753">
        <v>1.67</v>
      </c>
      <c r="M753" s="6">
        <v>46074.444444444445</v>
      </c>
      <c r="N753">
        <f t="shared" si="11"/>
        <v>8</v>
      </c>
    </row>
    <row r="754" spans="2:14" x14ac:dyDescent="0.25">
      <c r="B754">
        <v>735</v>
      </c>
      <c r="C754" t="s">
        <v>33</v>
      </c>
      <c r="D754">
        <v>1</v>
      </c>
      <c r="E754" t="s">
        <v>30</v>
      </c>
      <c r="F754" s="6">
        <v>46073.885416666664</v>
      </c>
      <c r="G754" s="6">
        <v>46073.892361111109</v>
      </c>
      <c r="H754" s="6">
        <v>46073.916666666664</v>
      </c>
      <c r="I754" s="6">
        <v>46074.006944444445</v>
      </c>
      <c r="J754" s="6">
        <v>46074.013888888891</v>
      </c>
      <c r="K754" s="6">
        <v>46074.017361111109</v>
      </c>
      <c r="L754">
        <v>3.17</v>
      </c>
      <c r="M754" s="6">
        <v>46074.024305555555</v>
      </c>
      <c r="N754">
        <f t="shared" si="11"/>
        <v>21</v>
      </c>
    </row>
    <row r="755" spans="2:14" x14ac:dyDescent="0.25">
      <c r="B755">
        <v>736</v>
      </c>
      <c r="C755" t="s">
        <v>31</v>
      </c>
      <c r="D755">
        <v>1</v>
      </c>
      <c r="E755" t="s">
        <v>32</v>
      </c>
      <c r="F755" s="6">
        <v>46076.333333333336</v>
      </c>
      <c r="G755" s="6">
        <v>46076.361111111109</v>
      </c>
      <c r="H755" s="6">
        <v>46076.40625</v>
      </c>
      <c r="I755" s="6">
        <v>46076.534722222219</v>
      </c>
      <c r="J755" s="6">
        <v>46076.541666666664</v>
      </c>
      <c r="K755" s="6">
        <v>46076.548611111109</v>
      </c>
      <c r="L755">
        <v>5.17</v>
      </c>
      <c r="M755" s="6">
        <v>46076.555555555555</v>
      </c>
      <c r="N755">
        <f t="shared" si="11"/>
        <v>8</v>
      </c>
    </row>
    <row r="756" spans="2:14" x14ac:dyDescent="0.25">
      <c r="B756">
        <v>737</v>
      </c>
      <c r="C756" t="s">
        <v>29</v>
      </c>
      <c r="D756">
        <v>1</v>
      </c>
      <c r="E756" t="s">
        <v>36</v>
      </c>
      <c r="F756" s="6">
        <v>46076.479166666664</v>
      </c>
      <c r="G756" s="6">
        <v>46076.489583333336</v>
      </c>
      <c r="H756" s="6">
        <v>46076.520833333336</v>
      </c>
      <c r="I756" s="6">
        <v>46076.604166666664</v>
      </c>
      <c r="J756" s="6">
        <v>46076.611111111109</v>
      </c>
      <c r="K756" s="6">
        <v>46076.628472222219</v>
      </c>
      <c r="L756">
        <v>3.58</v>
      </c>
      <c r="M756" s="6">
        <v>46076.635416666664</v>
      </c>
      <c r="N756">
        <f t="shared" si="11"/>
        <v>11</v>
      </c>
    </row>
    <row r="757" spans="2:14" x14ac:dyDescent="0.25">
      <c r="B757">
        <v>738</v>
      </c>
      <c r="C757" t="s">
        <v>31</v>
      </c>
      <c r="D757">
        <v>1</v>
      </c>
      <c r="E757" t="s">
        <v>30</v>
      </c>
      <c r="F757" s="6">
        <v>46073.7</v>
      </c>
      <c r="G757" s="6">
        <v>46073.706944444442</v>
      </c>
      <c r="H757" s="6">
        <v>46073.739583333336</v>
      </c>
      <c r="I757" s="6">
        <v>46073.800694444442</v>
      </c>
      <c r="J757" s="6">
        <v>46073.807638888888</v>
      </c>
      <c r="K757" s="6">
        <v>46073.815972222219</v>
      </c>
      <c r="L757">
        <v>2.78</v>
      </c>
      <c r="M757" s="6">
        <v>46073.822916666664</v>
      </c>
      <c r="N757">
        <f t="shared" si="11"/>
        <v>16</v>
      </c>
    </row>
    <row r="758" spans="2:14" x14ac:dyDescent="0.25">
      <c r="B758">
        <v>739</v>
      </c>
      <c r="C758" t="s">
        <v>29</v>
      </c>
      <c r="D758">
        <v>1</v>
      </c>
      <c r="E758" t="s">
        <v>30</v>
      </c>
      <c r="F758" s="6">
        <v>46075.423611111109</v>
      </c>
      <c r="G758" s="6">
        <v>46075.427083333336</v>
      </c>
      <c r="H758" s="6">
        <v>46075.430555555555</v>
      </c>
      <c r="I758" s="6">
        <v>46075.4375</v>
      </c>
      <c r="J758" s="6">
        <v>46075.444444444445</v>
      </c>
      <c r="K758" s="6">
        <v>46075.445138888892</v>
      </c>
      <c r="L758">
        <v>0.52</v>
      </c>
      <c r="M758" s="6">
        <v>46075.445833333331</v>
      </c>
      <c r="N758">
        <f t="shared" si="11"/>
        <v>10</v>
      </c>
    </row>
    <row r="759" spans="2:14" x14ac:dyDescent="0.25">
      <c r="B759">
        <v>740</v>
      </c>
      <c r="C759" t="s">
        <v>31</v>
      </c>
      <c r="D759">
        <v>1</v>
      </c>
      <c r="E759" t="s">
        <v>30</v>
      </c>
      <c r="F759" s="6">
        <v>46073.834722222222</v>
      </c>
      <c r="G759" s="6">
        <v>46073.847222222219</v>
      </c>
      <c r="H759" s="6">
        <v>46073.861111111109</v>
      </c>
      <c r="I759" s="6">
        <v>46073.944444444445</v>
      </c>
      <c r="J759" s="6">
        <v>46073.947916666664</v>
      </c>
      <c r="K759" s="6">
        <v>46073.948611111111</v>
      </c>
      <c r="L759">
        <v>2.73</v>
      </c>
      <c r="M759" s="6">
        <v>46073.955555555556</v>
      </c>
      <c r="N759">
        <f t="shared" si="11"/>
        <v>20</v>
      </c>
    </row>
    <row r="760" spans="2:14" x14ac:dyDescent="0.25">
      <c r="B760">
        <v>741</v>
      </c>
      <c r="C760" t="s">
        <v>33</v>
      </c>
      <c r="D760">
        <v>1</v>
      </c>
      <c r="E760" t="s">
        <v>30</v>
      </c>
      <c r="F760" s="6">
        <v>46073.984027777777</v>
      </c>
      <c r="G760" s="6">
        <v>46073.986111111109</v>
      </c>
      <c r="H760" s="6">
        <v>46073.996527777781</v>
      </c>
      <c r="I760" s="6">
        <v>46074.013888888891</v>
      </c>
      <c r="J760" s="6">
        <v>46074.017361111109</v>
      </c>
      <c r="K760" s="6">
        <v>46074.020833333336</v>
      </c>
      <c r="L760">
        <v>0.88</v>
      </c>
      <c r="M760" s="6">
        <v>46074.027777777781</v>
      </c>
      <c r="N760">
        <f t="shared" si="11"/>
        <v>23</v>
      </c>
    </row>
    <row r="761" spans="2:14" x14ac:dyDescent="0.25">
      <c r="B761">
        <v>742</v>
      </c>
      <c r="C761" t="s">
        <v>31</v>
      </c>
      <c r="D761">
        <v>1</v>
      </c>
      <c r="E761" t="s">
        <v>35</v>
      </c>
      <c r="F761" s="6">
        <v>46074.378472222219</v>
      </c>
      <c r="G761" s="6">
        <v>46074.385416666664</v>
      </c>
      <c r="H761" s="6">
        <v>46074.388888888891</v>
      </c>
      <c r="I761" s="6">
        <v>46074.399305555555</v>
      </c>
      <c r="J761" s="6">
        <v>46074.402777777781</v>
      </c>
      <c r="K761" s="6">
        <v>46074.40347222222</v>
      </c>
      <c r="L761">
        <v>0.6</v>
      </c>
      <c r="M761" s="6">
        <v>46074.404166666667</v>
      </c>
      <c r="N761">
        <f t="shared" si="11"/>
        <v>9</v>
      </c>
    </row>
    <row r="762" spans="2:14" x14ac:dyDescent="0.25">
      <c r="B762">
        <v>743</v>
      </c>
      <c r="C762" t="s">
        <v>31</v>
      </c>
      <c r="D762">
        <v>1</v>
      </c>
      <c r="E762" t="s">
        <v>30</v>
      </c>
      <c r="F762" s="6">
        <v>46074.430555555555</v>
      </c>
      <c r="G762" s="6">
        <v>46074.451388888891</v>
      </c>
      <c r="H762" s="6">
        <v>46074.465277777781</v>
      </c>
      <c r="I762" s="6">
        <v>46074.555555555555</v>
      </c>
      <c r="J762" s="6">
        <v>46074.5625</v>
      </c>
      <c r="K762" s="6">
        <v>46074.604166666664</v>
      </c>
      <c r="L762">
        <v>4.17</v>
      </c>
      <c r="M762" s="6">
        <v>46074.611111111109</v>
      </c>
      <c r="N762">
        <f t="shared" si="11"/>
        <v>10</v>
      </c>
    </row>
    <row r="763" spans="2:14" x14ac:dyDescent="0.25">
      <c r="B763">
        <v>744</v>
      </c>
      <c r="C763" t="s">
        <v>29</v>
      </c>
      <c r="D763">
        <v>1</v>
      </c>
      <c r="E763" t="s">
        <v>35</v>
      </c>
      <c r="F763" s="6">
        <v>46074.527777777781</v>
      </c>
      <c r="G763" s="6">
        <v>46074.534722222219</v>
      </c>
      <c r="H763" s="6">
        <v>46074.545138888891</v>
      </c>
      <c r="I763" s="6">
        <v>46074.548611111109</v>
      </c>
      <c r="J763" s="6">
        <v>46074.559027777781</v>
      </c>
      <c r="K763" s="6">
        <v>46074.5625</v>
      </c>
      <c r="L763">
        <v>0.83</v>
      </c>
      <c r="M763" s="6">
        <v>46074.569444444445</v>
      </c>
      <c r="N763">
        <f t="shared" si="11"/>
        <v>12</v>
      </c>
    </row>
    <row r="764" spans="2:14" x14ac:dyDescent="0.25">
      <c r="B764">
        <v>745</v>
      </c>
      <c r="C764" t="s">
        <v>29</v>
      </c>
      <c r="D764">
        <v>1</v>
      </c>
      <c r="E764" t="s">
        <v>34</v>
      </c>
      <c r="F764" s="6">
        <v>46074.677083333336</v>
      </c>
      <c r="G764" s="6">
        <v>46074.727777777778</v>
      </c>
      <c r="H764" s="6">
        <v>46074.729166666664</v>
      </c>
      <c r="I764" s="6">
        <v>46074.743055555555</v>
      </c>
      <c r="J764" s="6">
        <v>46074.746527777781</v>
      </c>
      <c r="K764" s="6">
        <v>46074.75</v>
      </c>
      <c r="L764">
        <v>1.75</v>
      </c>
      <c r="M764" s="6">
        <v>46074.756944444445</v>
      </c>
      <c r="N764">
        <f t="shared" si="11"/>
        <v>16</v>
      </c>
    </row>
    <row r="765" spans="2:14" x14ac:dyDescent="0.25">
      <c r="B765">
        <v>746</v>
      </c>
      <c r="C765" t="s">
        <v>33</v>
      </c>
      <c r="D765">
        <v>1</v>
      </c>
      <c r="E765" t="s">
        <v>30</v>
      </c>
      <c r="F765" s="6">
        <v>46074.899305555555</v>
      </c>
      <c r="G765" s="6">
        <v>46074.90625</v>
      </c>
      <c r="H765" s="6">
        <v>46074.930555555555</v>
      </c>
      <c r="I765" s="6">
        <v>46074.973611111112</v>
      </c>
      <c r="J765" s="6">
        <v>46074.982638888891</v>
      </c>
      <c r="K765" s="6">
        <v>46074.986111111109</v>
      </c>
      <c r="L765">
        <v>2.08</v>
      </c>
      <c r="M765" s="6">
        <v>46074.986805555556</v>
      </c>
      <c r="N765">
        <f t="shared" si="11"/>
        <v>21</v>
      </c>
    </row>
    <row r="766" spans="2:14" x14ac:dyDescent="0.25">
      <c r="B766">
        <v>747</v>
      </c>
      <c r="C766" t="s">
        <v>29</v>
      </c>
      <c r="D766">
        <v>1</v>
      </c>
      <c r="E766" t="s">
        <v>30</v>
      </c>
      <c r="F766" s="6">
        <v>46074.8125</v>
      </c>
      <c r="G766" s="6">
        <v>46074.819444444445</v>
      </c>
      <c r="H766" s="6">
        <v>46074.84375</v>
      </c>
      <c r="I766" s="6">
        <v>46074.933333333334</v>
      </c>
      <c r="J766" s="6">
        <v>46074.9375</v>
      </c>
      <c r="K766" s="6">
        <v>46074.941666666666</v>
      </c>
      <c r="L766">
        <v>3.1</v>
      </c>
      <c r="M766" s="6">
        <v>46074.948611111111</v>
      </c>
      <c r="N766">
        <f t="shared" si="11"/>
        <v>19</v>
      </c>
    </row>
    <row r="767" spans="2:14" x14ac:dyDescent="0.25">
      <c r="B767">
        <v>748</v>
      </c>
      <c r="C767" t="s">
        <v>31</v>
      </c>
      <c r="D767">
        <v>1</v>
      </c>
      <c r="E767" t="s">
        <v>35</v>
      </c>
      <c r="F767" s="6">
        <v>46075.340277777781</v>
      </c>
      <c r="G767" s="6">
        <v>46075.354166666664</v>
      </c>
      <c r="H767" s="6">
        <v>46075.395833333336</v>
      </c>
      <c r="I767" s="6">
        <v>46075.436111111114</v>
      </c>
      <c r="J767" s="6">
        <v>46075.44027777778</v>
      </c>
      <c r="K767" s="6">
        <v>46075.440972222219</v>
      </c>
      <c r="L767">
        <v>2.42</v>
      </c>
      <c r="M767" s="6">
        <v>46075.447916666664</v>
      </c>
      <c r="N767">
        <f t="shared" si="11"/>
        <v>8</v>
      </c>
    </row>
    <row r="768" spans="2:14" x14ac:dyDescent="0.25">
      <c r="B768">
        <v>749</v>
      </c>
      <c r="C768" t="s">
        <v>33</v>
      </c>
      <c r="D768">
        <v>1</v>
      </c>
      <c r="E768" t="s">
        <v>35</v>
      </c>
      <c r="F768" s="6">
        <v>46074.666666666664</v>
      </c>
      <c r="G768" s="6">
        <v>46074.677083333336</v>
      </c>
      <c r="H768" s="6">
        <v>46074.715277777781</v>
      </c>
      <c r="I768" s="6">
        <v>46074.822916666664</v>
      </c>
      <c r="J768" s="6">
        <v>46074.833333333336</v>
      </c>
      <c r="K768" s="6">
        <v>46075.5625</v>
      </c>
      <c r="L768">
        <v>21.5</v>
      </c>
      <c r="M768" s="6">
        <v>46075.565972222219</v>
      </c>
      <c r="N768">
        <f t="shared" si="11"/>
        <v>16</v>
      </c>
    </row>
    <row r="769" spans="2:14" x14ac:dyDescent="0.25">
      <c r="B769">
        <v>750</v>
      </c>
      <c r="C769" t="s">
        <v>31</v>
      </c>
      <c r="D769">
        <v>1</v>
      </c>
      <c r="E769" t="s">
        <v>36</v>
      </c>
      <c r="F769" s="6">
        <v>46074.947916666664</v>
      </c>
      <c r="G769" s="6">
        <v>46074.954861111109</v>
      </c>
      <c r="H769" s="6">
        <v>46074.972222222219</v>
      </c>
      <c r="I769" s="6">
        <v>46075.003472222219</v>
      </c>
      <c r="J769" s="6">
        <v>46075.007638888892</v>
      </c>
      <c r="K769" s="6">
        <v>46075.009722222225</v>
      </c>
      <c r="L769">
        <v>1.48</v>
      </c>
      <c r="M769" s="6">
        <v>46075.01666666667</v>
      </c>
      <c r="N769">
        <f t="shared" si="11"/>
        <v>22</v>
      </c>
    </row>
    <row r="770" spans="2:14" x14ac:dyDescent="0.25">
      <c r="B770">
        <v>751</v>
      </c>
      <c r="C770" t="s">
        <v>29</v>
      </c>
      <c r="D770">
        <v>1</v>
      </c>
      <c r="E770" t="s">
        <v>30</v>
      </c>
      <c r="F770" s="6">
        <v>46075.479166666664</v>
      </c>
      <c r="G770" s="6">
        <v>46075.489583333336</v>
      </c>
      <c r="H770" s="6">
        <v>46075.5</v>
      </c>
      <c r="I770" s="6">
        <v>46075.505555555559</v>
      </c>
      <c r="J770" s="6">
        <v>46075.506944444445</v>
      </c>
      <c r="K770" s="6">
        <v>46075.524305555555</v>
      </c>
      <c r="L770">
        <v>1.08</v>
      </c>
      <c r="M770" s="6">
        <v>46075.53125</v>
      </c>
      <c r="N770">
        <f t="shared" si="11"/>
        <v>11</v>
      </c>
    </row>
    <row r="771" spans="2:14" x14ac:dyDescent="0.25">
      <c r="B771">
        <v>752</v>
      </c>
      <c r="C771" t="s">
        <v>31</v>
      </c>
      <c r="D771">
        <v>1</v>
      </c>
      <c r="E771" t="s">
        <v>35</v>
      </c>
      <c r="F771" s="6">
        <v>46076.291666666664</v>
      </c>
      <c r="G771" s="6">
        <v>46076.326388888891</v>
      </c>
      <c r="H771" s="6">
        <v>46076.354166666664</v>
      </c>
      <c r="I771" s="6">
        <v>46076.443749999999</v>
      </c>
      <c r="J771" s="6">
        <v>46076.451388888891</v>
      </c>
      <c r="K771" s="6">
        <v>46076.458333333336</v>
      </c>
      <c r="L771">
        <v>4</v>
      </c>
      <c r="M771" s="6">
        <v>46076.461805555555</v>
      </c>
      <c r="N771">
        <f t="shared" si="11"/>
        <v>7</v>
      </c>
    </row>
    <row r="772" spans="2:14" x14ac:dyDescent="0.25">
      <c r="B772">
        <v>753</v>
      </c>
      <c r="C772" t="s">
        <v>33</v>
      </c>
      <c r="D772">
        <v>1</v>
      </c>
      <c r="E772" t="s">
        <v>34</v>
      </c>
      <c r="F772" s="6">
        <v>46076.291666666664</v>
      </c>
      <c r="G772" s="6">
        <v>46076.329861111109</v>
      </c>
      <c r="H772" s="6">
        <v>46076.364583333336</v>
      </c>
      <c r="I772" s="6">
        <v>46076.673611111109</v>
      </c>
      <c r="J772" s="6">
        <v>46076.680555555555</v>
      </c>
      <c r="K772" s="6">
        <v>46076.708333333336</v>
      </c>
      <c r="L772">
        <v>10</v>
      </c>
      <c r="M772" s="6">
        <v>46076.711805555555</v>
      </c>
      <c r="N772">
        <f t="shared" si="11"/>
        <v>7</v>
      </c>
    </row>
    <row r="773" spans="2:14" x14ac:dyDescent="0.25">
      <c r="B773">
        <v>754</v>
      </c>
      <c r="C773" t="s">
        <v>31</v>
      </c>
      <c r="D773">
        <v>1</v>
      </c>
      <c r="E773" t="s">
        <v>30</v>
      </c>
      <c r="F773" s="6">
        <v>46075.895833333336</v>
      </c>
      <c r="G773" s="6">
        <v>46075.902777777781</v>
      </c>
      <c r="H773" s="6">
        <v>46075.90625</v>
      </c>
      <c r="I773" s="6">
        <v>46075.979166666664</v>
      </c>
      <c r="J773" s="6">
        <v>46075.979861111111</v>
      </c>
      <c r="K773" s="6">
        <v>46075.980555555558</v>
      </c>
      <c r="L773">
        <v>2.0299999999999998</v>
      </c>
      <c r="M773" s="6">
        <v>46075.981249999997</v>
      </c>
      <c r="N773">
        <f t="shared" si="11"/>
        <v>21</v>
      </c>
    </row>
    <row r="774" spans="2:14" x14ac:dyDescent="0.25">
      <c r="B774">
        <v>755</v>
      </c>
      <c r="C774" t="s">
        <v>33</v>
      </c>
      <c r="D774">
        <v>1</v>
      </c>
      <c r="E774" t="s">
        <v>30</v>
      </c>
      <c r="F774" s="6">
        <v>46076.338194444441</v>
      </c>
      <c r="G774" s="6">
        <v>46076.34375</v>
      </c>
      <c r="H774" s="6">
        <v>46076.378472222219</v>
      </c>
      <c r="I774" s="6">
        <v>46076.423611111109</v>
      </c>
      <c r="J774" s="6">
        <v>46076.430555555555</v>
      </c>
      <c r="K774" s="6">
        <v>46076.440972222219</v>
      </c>
      <c r="L774">
        <v>2.4700000000000002</v>
      </c>
      <c r="M774" s="6">
        <v>46076.447916666664</v>
      </c>
      <c r="N774">
        <f t="shared" si="11"/>
        <v>8</v>
      </c>
    </row>
    <row r="775" spans="2:14" x14ac:dyDescent="0.25">
      <c r="B775">
        <v>756</v>
      </c>
      <c r="C775" t="s">
        <v>33</v>
      </c>
      <c r="D775">
        <v>1</v>
      </c>
      <c r="E775" t="s">
        <v>30</v>
      </c>
      <c r="F775" s="6">
        <v>46076.376388888886</v>
      </c>
      <c r="G775" s="6">
        <v>46076.388888888891</v>
      </c>
      <c r="H775" s="6">
        <v>46076.40625</v>
      </c>
      <c r="I775" s="6">
        <v>46076.489583333336</v>
      </c>
      <c r="J775" s="6">
        <v>46076.5</v>
      </c>
      <c r="K775" s="6">
        <v>46076.600694444445</v>
      </c>
      <c r="L775">
        <v>5.38</v>
      </c>
      <c r="M775" s="6">
        <v>46076.601388888892</v>
      </c>
      <c r="N775">
        <f t="shared" si="11"/>
        <v>9</v>
      </c>
    </row>
    <row r="776" spans="2:14" x14ac:dyDescent="0.25">
      <c r="B776">
        <v>757</v>
      </c>
      <c r="C776" t="s">
        <v>29</v>
      </c>
      <c r="D776">
        <v>1</v>
      </c>
      <c r="E776" t="s">
        <v>34</v>
      </c>
      <c r="F776" s="6">
        <v>46077.375</v>
      </c>
      <c r="G776" s="6">
        <v>46077.388888888891</v>
      </c>
      <c r="H776" s="6">
        <v>46077.395833333336</v>
      </c>
      <c r="I776" s="6">
        <v>46077.416666666664</v>
      </c>
      <c r="J776" s="6">
        <v>46077.423611111109</v>
      </c>
      <c r="K776" s="6">
        <v>46077.424305555556</v>
      </c>
      <c r="L776">
        <v>1.18</v>
      </c>
      <c r="M776" s="6">
        <v>46077.425000000003</v>
      </c>
      <c r="N776">
        <f t="shared" si="11"/>
        <v>9</v>
      </c>
    </row>
    <row r="777" spans="2:14" x14ac:dyDescent="0.25">
      <c r="B777">
        <v>758</v>
      </c>
      <c r="C777" t="s">
        <v>33</v>
      </c>
      <c r="D777">
        <v>1</v>
      </c>
      <c r="E777" t="s">
        <v>35</v>
      </c>
      <c r="F777" s="6">
        <v>46076.506944444445</v>
      </c>
      <c r="G777" s="6">
        <v>46076.53125</v>
      </c>
      <c r="H777" s="6">
        <v>46076.543749999997</v>
      </c>
      <c r="I777" s="6">
        <v>46076.67083333333</v>
      </c>
      <c r="J777" s="6">
        <v>46076.704861111109</v>
      </c>
      <c r="K777" s="6">
        <v>46076.708333333336</v>
      </c>
      <c r="L777">
        <v>4.83</v>
      </c>
      <c r="M777" s="6">
        <v>46076.715277777781</v>
      </c>
      <c r="N777">
        <f t="shared" si="11"/>
        <v>12</v>
      </c>
    </row>
    <row r="778" spans="2:14" x14ac:dyDescent="0.25">
      <c r="B778">
        <v>759</v>
      </c>
      <c r="C778" t="s">
        <v>29</v>
      </c>
      <c r="D778">
        <v>1</v>
      </c>
      <c r="E778" t="s">
        <v>30</v>
      </c>
      <c r="F778" s="6">
        <v>46076.621527777781</v>
      </c>
      <c r="G778" s="6">
        <v>46076.638888888891</v>
      </c>
      <c r="H778" s="6">
        <v>46076.663194444445</v>
      </c>
      <c r="I778" s="6">
        <v>46076.677083333336</v>
      </c>
      <c r="J778" s="6">
        <v>46076.697916666664</v>
      </c>
      <c r="K778" s="6">
        <v>46076.75</v>
      </c>
      <c r="L778">
        <v>3.08</v>
      </c>
      <c r="M778" s="6">
        <v>46076.756944444445</v>
      </c>
      <c r="N778">
        <f t="shared" si="11"/>
        <v>14</v>
      </c>
    </row>
    <row r="779" spans="2:14" x14ac:dyDescent="0.25">
      <c r="B779">
        <v>760</v>
      </c>
      <c r="C779" t="s">
        <v>31</v>
      </c>
      <c r="D779">
        <v>1</v>
      </c>
      <c r="E779" t="s">
        <v>36</v>
      </c>
      <c r="F779" s="6">
        <v>46076.673611111109</v>
      </c>
      <c r="G779" s="6">
        <v>46076.690972222219</v>
      </c>
      <c r="H779" s="6">
        <v>46076.725694444445</v>
      </c>
      <c r="I779" s="6">
        <v>46076.800694444442</v>
      </c>
      <c r="J779" s="6">
        <v>46076.909722222219</v>
      </c>
      <c r="K779" s="6">
        <v>46076.916666666664</v>
      </c>
      <c r="L779">
        <v>5.83</v>
      </c>
      <c r="M779" s="6">
        <v>46076.923611111109</v>
      </c>
      <c r="N779">
        <f t="shared" si="11"/>
        <v>16</v>
      </c>
    </row>
    <row r="780" spans="2:14" x14ac:dyDescent="0.25">
      <c r="B780">
        <v>761</v>
      </c>
      <c r="C780" t="s">
        <v>29</v>
      </c>
      <c r="D780">
        <v>1</v>
      </c>
      <c r="E780" t="s">
        <v>35</v>
      </c>
      <c r="F780" s="6">
        <v>46076.760416666664</v>
      </c>
      <c r="G780" s="6">
        <v>46076.767361111109</v>
      </c>
      <c r="H780" s="6">
        <v>46076.770833333336</v>
      </c>
      <c r="I780" s="6">
        <v>46076.78125</v>
      </c>
      <c r="J780" s="6">
        <v>46076.788194444445</v>
      </c>
      <c r="K780" s="6">
        <v>46076.791666666664</v>
      </c>
      <c r="L780">
        <v>0.75</v>
      </c>
      <c r="M780" s="6">
        <v>46076.795138888891</v>
      </c>
      <c r="N780">
        <f t="shared" si="11"/>
        <v>18</v>
      </c>
    </row>
    <row r="781" spans="2:14" x14ac:dyDescent="0.25">
      <c r="B781">
        <v>762</v>
      </c>
      <c r="C781" t="s">
        <v>33</v>
      </c>
      <c r="D781">
        <v>1</v>
      </c>
      <c r="E781" t="s">
        <v>32</v>
      </c>
      <c r="F781" s="6">
        <v>46076.635416666664</v>
      </c>
      <c r="G781" s="6">
        <v>46076.642361111109</v>
      </c>
      <c r="H781" s="6">
        <v>46076.684027777781</v>
      </c>
      <c r="I781" s="6">
        <v>46076.770833333336</v>
      </c>
      <c r="J781" s="6">
        <v>46076.777777777781</v>
      </c>
      <c r="K781" s="6">
        <v>46076.805555555555</v>
      </c>
      <c r="L781">
        <v>4.08</v>
      </c>
      <c r="M781" s="6">
        <v>46076.8125</v>
      </c>
      <c r="N781">
        <f t="shared" si="11"/>
        <v>15</v>
      </c>
    </row>
    <row r="782" spans="2:14" x14ac:dyDescent="0.25">
      <c r="B782">
        <v>763</v>
      </c>
      <c r="C782" t="s">
        <v>33</v>
      </c>
      <c r="D782">
        <v>1</v>
      </c>
      <c r="E782" t="s">
        <v>36</v>
      </c>
      <c r="F782" s="6">
        <v>46077.291666666664</v>
      </c>
      <c r="G782" s="6">
        <v>46077.347222222219</v>
      </c>
      <c r="H782" s="6">
        <v>46077.357638888891</v>
      </c>
      <c r="I782" s="6">
        <v>46077.378472222219</v>
      </c>
      <c r="J782" s="6">
        <v>46077.385416666664</v>
      </c>
      <c r="K782" s="6">
        <v>46077.506944444445</v>
      </c>
      <c r="L782">
        <v>5.17</v>
      </c>
      <c r="M782" s="6">
        <v>46077.513888888891</v>
      </c>
      <c r="N782">
        <f t="shared" si="11"/>
        <v>7</v>
      </c>
    </row>
    <row r="783" spans="2:14" x14ac:dyDescent="0.25">
      <c r="B783">
        <v>764</v>
      </c>
      <c r="C783" t="s">
        <v>33</v>
      </c>
      <c r="D783">
        <v>1</v>
      </c>
      <c r="E783" t="s">
        <v>34</v>
      </c>
      <c r="F783" s="6">
        <v>46077.291666666664</v>
      </c>
      <c r="G783" s="6">
        <v>46077.375</v>
      </c>
      <c r="H783" s="6">
        <v>46077.395833333336</v>
      </c>
      <c r="I783" s="6">
        <v>46077.5625</v>
      </c>
      <c r="J783" s="6">
        <v>46077.569444444445</v>
      </c>
      <c r="K783" s="6">
        <v>46077.576388888891</v>
      </c>
      <c r="L783">
        <v>6.83</v>
      </c>
      <c r="M783" s="6">
        <v>46077.583333333336</v>
      </c>
      <c r="N783">
        <f t="shared" si="11"/>
        <v>7</v>
      </c>
    </row>
    <row r="784" spans="2:14" x14ac:dyDescent="0.25">
      <c r="B784">
        <v>765</v>
      </c>
      <c r="C784" t="s">
        <v>31</v>
      </c>
      <c r="D784">
        <v>1</v>
      </c>
      <c r="E784" t="s">
        <v>30</v>
      </c>
      <c r="F784" s="6">
        <v>46077.684027777781</v>
      </c>
      <c r="G784" s="6">
        <v>46077.701388888891</v>
      </c>
      <c r="H784" s="6">
        <v>46077.736111111109</v>
      </c>
      <c r="I784" s="6">
        <v>46077.857638888891</v>
      </c>
      <c r="J784" s="6">
        <v>46077.861111111109</v>
      </c>
      <c r="K784" s="6">
        <v>46077.871527777781</v>
      </c>
      <c r="L784">
        <v>4.5</v>
      </c>
      <c r="M784" s="6">
        <v>46077.878472222219</v>
      </c>
      <c r="N784">
        <f t="shared" si="11"/>
        <v>16</v>
      </c>
    </row>
    <row r="785" spans="2:14" x14ac:dyDescent="0.25">
      <c r="B785">
        <v>766</v>
      </c>
      <c r="C785" t="s">
        <v>33</v>
      </c>
      <c r="D785">
        <v>1</v>
      </c>
      <c r="E785" t="s">
        <v>34</v>
      </c>
      <c r="F785" s="6">
        <v>46079.291666666664</v>
      </c>
      <c r="G785" s="6">
        <v>46079.319444444445</v>
      </c>
      <c r="H785" s="6">
        <v>46079.333333333336</v>
      </c>
      <c r="I785" s="6">
        <v>46079.5</v>
      </c>
      <c r="J785" s="6">
        <v>46079.506944444445</v>
      </c>
      <c r="K785" s="6">
        <v>46079.510416666664</v>
      </c>
      <c r="L785">
        <v>5.25</v>
      </c>
      <c r="M785" s="6">
        <v>46079.517361111109</v>
      </c>
      <c r="N785">
        <f t="shared" si="11"/>
        <v>7</v>
      </c>
    </row>
    <row r="786" spans="2:14" x14ac:dyDescent="0.25">
      <c r="B786">
        <v>767</v>
      </c>
      <c r="C786" t="s">
        <v>33</v>
      </c>
      <c r="D786">
        <v>1</v>
      </c>
      <c r="E786" t="s">
        <v>34</v>
      </c>
      <c r="F786" s="6">
        <v>46076.725694444445</v>
      </c>
      <c r="G786" s="6">
        <v>46076.729166666664</v>
      </c>
      <c r="H786" s="6">
        <v>46076.732638888891</v>
      </c>
      <c r="I786" s="6">
        <v>46076.9</v>
      </c>
      <c r="J786" s="6">
        <v>46076.947916666664</v>
      </c>
      <c r="K786" s="6">
        <v>46076.948611111111</v>
      </c>
      <c r="L786">
        <v>5.35</v>
      </c>
      <c r="M786" s="6">
        <v>46076.95</v>
      </c>
      <c r="N786">
        <f t="shared" si="11"/>
        <v>17</v>
      </c>
    </row>
    <row r="787" spans="2:14" x14ac:dyDescent="0.25">
      <c r="B787">
        <v>768</v>
      </c>
      <c r="C787" t="s">
        <v>31</v>
      </c>
      <c r="D787">
        <v>1</v>
      </c>
      <c r="E787" t="s">
        <v>30</v>
      </c>
      <c r="F787" s="6">
        <v>46076.840277777781</v>
      </c>
      <c r="G787" s="6">
        <v>46076.84375</v>
      </c>
      <c r="H787" s="6">
        <v>46076.850694444445</v>
      </c>
      <c r="I787" s="6">
        <v>46076.893750000003</v>
      </c>
      <c r="J787" s="6">
        <v>46076.900694444441</v>
      </c>
      <c r="K787" s="6">
        <v>46076.90902777778</v>
      </c>
      <c r="L787">
        <v>1.65</v>
      </c>
      <c r="M787" s="6">
        <v>46076.915972222225</v>
      </c>
      <c r="N787">
        <f t="shared" si="11"/>
        <v>20</v>
      </c>
    </row>
    <row r="788" spans="2:14" x14ac:dyDescent="0.25">
      <c r="B788">
        <v>769</v>
      </c>
      <c r="C788" t="s">
        <v>33</v>
      </c>
      <c r="D788">
        <v>1</v>
      </c>
      <c r="E788" t="s">
        <v>30</v>
      </c>
      <c r="F788" s="6">
        <v>46077.347222222219</v>
      </c>
      <c r="G788" s="6">
        <v>46077.347916666666</v>
      </c>
      <c r="H788" s="6">
        <v>46077.366666666669</v>
      </c>
      <c r="I788" s="6">
        <v>46077.479166666664</v>
      </c>
      <c r="J788" s="6">
        <v>46077.5</v>
      </c>
      <c r="K788" s="6">
        <v>46077.500694444447</v>
      </c>
      <c r="L788">
        <v>3.68</v>
      </c>
      <c r="M788" s="6">
        <v>46077.503472222219</v>
      </c>
      <c r="N788">
        <f t="shared" si="11"/>
        <v>8</v>
      </c>
    </row>
    <row r="789" spans="2:14" x14ac:dyDescent="0.25">
      <c r="B789">
        <v>770</v>
      </c>
      <c r="C789" t="s">
        <v>33</v>
      </c>
      <c r="D789">
        <v>1</v>
      </c>
      <c r="E789" t="s">
        <v>36</v>
      </c>
      <c r="F789" s="6">
        <v>46077.569444444445</v>
      </c>
      <c r="G789" s="6">
        <v>46077.572916666664</v>
      </c>
      <c r="H789" s="6">
        <v>46077.583333333336</v>
      </c>
      <c r="I789" s="6">
        <v>46077.763194444444</v>
      </c>
      <c r="J789" s="6">
        <v>46077.763888888891</v>
      </c>
      <c r="K789" s="6">
        <v>46077.78125</v>
      </c>
      <c r="L789">
        <v>5.08</v>
      </c>
      <c r="M789" s="6">
        <v>46077.788194444445</v>
      </c>
      <c r="N789">
        <f t="shared" ref="N789:N852" si="12">HOUR(F789)</f>
        <v>13</v>
      </c>
    </row>
    <row r="790" spans="2:14" x14ac:dyDescent="0.25">
      <c r="B790">
        <v>771</v>
      </c>
      <c r="C790" t="s">
        <v>31</v>
      </c>
      <c r="D790">
        <v>1</v>
      </c>
      <c r="E790" t="s">
        <v>30</v>
      </c>
      <c r="F790" s="6">
        <v>46077.53125</v>
      </c>
      <c r="G790" s="6">
        <v>46077.541666666664</v>
      </c>
      <c r="H790" s="6">
        <v>46077.569444444445</v>
      </c>
      <c r="I790" s="6">
        <v>46077.64166666667</v>
      </c>
      <c r="J790" s="6">
        <v>46077.648611111108</v>
      </c>
      <c r="K790" s="6">
        <v>46077.652777777781</v>
      </c>
      <c r="L790">
        <v>2.92</v>
      </c>
      <c r="M790" s="6">
        <v>46077.659722222219</v>
      </c>
      <c r="N790">
        <f t="shared" si="12"/>
        <v>12</v>
      </c>
    </row>
    <row r="791" spans="2:14" x14ac:dyDescent="0.25">
      <c r="B791">
        <v>772</v>
      </c>
      <c r="C791" t="s">
        <v>29</v>
      </c>
      <c r="D791">
        <v>1</v>
      </c>
      <c r="E791" t="s">
        <v>30</v>
      </c>
      <c r="F791" s="6">
        <v>46077.548611111109</v>
      </c>
      <c r="G791" s="6">
        <v>46077.555555555555</v>
      </c>
      <c r="H791" s="6">
        <v>46077.576388888891</v>
      </c>
      <c r="I791" s="6">
        <v>46077.614583333336</v>
      </c>
      <c r="J791" s="6">
        <v>46077.621527777781</v>
      </c>
      <c r="K791" s="6">
        <v>46077.62222222222</v>
      </c>
      <c r="L791">
        <v>1.77</v>
      </c>
      <c r="M791" s="6">
        <v>46077.625</v>
      </c>
      <c r="N791">
        <f t="shared" si="12"/>
        <v>13</v>
      </c>
    </row>
    <row r="792" spans="2:14" x14ac:dyDescent="0.25">
      <c r="B792">
        <v>773</v>
      </c>
      <c r="C792" t="s">
        <v>29</v>
      </c>
      <c r="D792">
        <v>1</v>
      </c>
      <c r="E792" t="s">
        <v>32</v>
      </c>
      <c r="F792" s="6">
        <v>46077.600694444445</v>
      </c>
      <c r="G792" s="6">
        <v>46077.607638888891</v>
      </c>
      <c r="H792" s="6">
        <v>46077.638888888891</v>
      </c>
      <c r="I792" s="6">
        <v>46077.6875</v>
      </c>
      <c r="J792" s="6">
        <v>46077.694444444445</v>
      </c>
      <c r="K792" s="6">
        <v>46077.708333333336</v>
      </c>
      <c r="L792">
        <v>2.58</v>
      </c>
      <c r="M792" s="6">
        <v>46077.715277777781</v>
      </c>
      <c r="N792">
        <f t="shared" si="12"/>
        <v>14</v>
      </c>
    </row>
    <row r="793" spans="2:14" x14ac:dyDescent="0.25">
      <c r="B793">
        <v>774</v>
      </c>
      <c r="C793" t="s">
        <v>31</v>
      </c>
      <c r="D793">
        <v>1</v>
      </c>
      <c r="E793" t="s">
        <v>34</v>
      </c>
      <c r="F793" s="6">
        <v>46078.510416666664</v>
      </c>
      <c r="G793" s="6">
        <v>46078.527777777781</v>
      </c>
      <c r="H793" s="6">
        <v>46078.552083333336</v>
      </c>
      <c r="I793" s="6">
        <v>46078.725694444445</v>
      </c>
      <c r="J793" s="6">
        <v>46078.729166666664</v>
      </c>
      <c r="K793" s="6">
        <v>46078.732638888891</v>
      </c>
      <c r="L793">
        <v>5.33</v>
      </c>
      <c r="M793" s="6">
        <v>46078.736111111109</v>
      </c>
      <c r="N793">
        <f t="shared" si="12"/>
        <v>12</v>
      </c>
    </row>
    <row r="794" spans="2:14" x14ac:dyDescent="0.25">
      <c r="B794">
        <v>775</v>
      </c>
      <c r="C794" t="s">
        <v>33</v>
      </c>
      <c r="D794">
        <v>1</v>
      </c>
      <c r="E794" t="s">
        <v>36</v>
      </c>
      <c r="F794" s="6">
        <v>46078.284722222219</v>
      </c>
      <c r="G794" s="6">
        <v>46078.319444444445</v>
      </c>
      <c r="H794" s="6">
        <v>46078.361111111109</v>
      </c>
      <c r="I794" s="6">
        <v>46078.40625</v>
      </c>
      <c r="J794" s="6">
        <v>46078.413194444445</v>
      </c>
      <c r="K794" s="6">
        <v>46078.427083333336</v>
      </c>
      <c r="L794">
        <v>3.42</v>
      </c>
      <c r="M794" s="6">
        <v>46078.434027777781</v>
      </c>
      <c r="N794">
        <f t="shared" si="12"/>
        <v>6</v>
      </c>
    </row>
    <row r="795" spans="2:14" x14ac:dyDescent="0.25">
      <c r="B795">
        <v>776</v>
      </c>
      <c r="C795" t="s">
        <v>33</v>
      </c>
      <c r="D795">
        <v>1</v>
      </c>
      <c r="E795" t="s">
        <v>34</v>
      </c>
      <c r="F795" s="6">
        <v>46078.291666666664</v>
      </c>
      <c r="G795" s="6">
        <v>46078.322916666664</v>
      </c>
      <c r="H795" s="6">
        <v>46078.347222222219</v>
      </c>
      <c r="I795" s="6">
        <v>46078.454861111109</v>
      </c>
      <c r="J795" s="6">
        <v>46078.465277777781</v>
      </c>
      <c r="K795" s="6">
        <v>46078.472222222219</v>
      </c>
      <c r="L795">
        <v>4.33</v>
      </c>
      <c r="M795" s="6">
        <v>46078.479166666664</v>
      </c>
      <c r="N795">
        <f t="shared" si="12"/>
        <v>7</v>
      </c>
    </row>
    <row r="796" spans="2:14" x14ac:dyDescent="0.25">
      <c r="B796">
        <v>777</v>
      </c>
      <c r="C796" t="s">
        <v>31</v>
      </c>
      <c r="D796">
        <v>1</v>
      </c>
      <c r="E796" t="s">
        <v>34</v>
      </c>
      <c r="F796" s="6">
        <v>46078.645833333336</v>
      </c>
      <c r="G796" s="6">
        <v>46078.65625</v>
      </c>
      <c r="H796" s="6">
        <v>46078.677083333336</v>
      </c>
      <c r="I796" s="6">
        <v>46078.729166666664</v>
      </c>
      <c r="J796" s="6">
        <v>46078.736111111109</v>
      </c>
      <c r="K796" s="6">
        <v>46078.739583333336</v>
      </c>
      <c r="L796">
        <v>2.25</v>
      </c>
      <c r="M796" s="6">
        <v>46078.746527777781</v>
      </c>
      <c r="N796">
        <f t="shared" si="12"/>
        <v>15</v>
      </c>
    </row>
    <row r="797" spans="2:14" x14ac:dyDescent="0.25">
      <c r="B797">
        <v>778</v>
      </c>
      <c r="C797" t="s">
        <v>33</v>
      </c>
      <c r="D797">
        <v>1</v>
      </c>
      <c r="E797" t="s">
        <v>36</v>
      </c>
      <c r="F797" s="6">
        <v>46078.486111111109</v>
      </c>
      <c r="G797" s="6">
        <v>46078.527777777781</v>
      </c>
      <c r="H797" s="6">
        <v>46078.555555555555</v>
      </c>
      <c r="I797" s="6">
        <v>46078.59375</v>
      </c>
      <c r="J797" s="6">
        <v>46078.600694444445</v>
      </c>
      <c r="K797" s="6">
        <v>46078.607638888891</v>
      </c>
      <c r="L797">
        <v>2.92</v>
      </c>
      <c r="M797" s="6">
        <v>46078.60833333333</v>
      </c>
      <c r="N797">
        <f t="shared" si="12"/>
        <v>11</v>
      </c>
    </row>
    <row r="798" spans="2:14" x14ac:dyDescent="0.25">
      <c r="B798">
        <v>779</v>
      </c>
      <c r="C798" t="s">
        <v>29</v>
      </c>
      <c r="D798">
        <v>1</v>
      </c>
      <c r="E798" t="s">
        <v>32</v>
      </c>
      <c r="F798" s="6">
        <v>46078.530555555553</v>
      </c>
      <c r="G798" s="6">
        <v>46078.541666666664</v>
      </c>
      <c r="H798" s="6">
        <v>46078.579861111109</v>
      </c>
      <c r="I798" s="6">
        <v>46078.652777777781</v>
      </c>
      <c r="J798" s="6">
        <v>46078.65625</v>
      </c>
      <c r="K798" s="6">
        <v>46078.666666666664</v>
      </c>
      <c r="L798">
        <v>3.27</v>
      </c>
      <c r="M798" s="6">
        <v>46078.673611111109</v>
      </c>
      <c r="N798">
        <f t="shared" si="12"/>
        <v>12</v>
      </c>
    </row>
    <row r="799" spans="2:14" x14ac:dyDescent="0.25">
      <c r="B799">
        <v>780</v>
      </c>
      <c r="C799" t="s">
        <v>31</v>
      </c>
      <c r="D799">
        <v>1</v>
      </c>
      <c r="E799" t="s">
        <v>36</v>
      </c>
      <c r="F799" s="6">
        <v>46078.597222222219</v>
      </c>
      <c r="G799" s="6">
        <v>46078.607638888891</v>
      </c>
      <c r="H799" s="6">
        <v>46078.631944444445</v>
      </c>
      <c r="I799" s="6">
        <v>46078.722222222219</v>
      </c>
      <c r="J799" s="6">
        <v>46078.729166666664</v>
      </c>
      <c r="K799" s="6">
        <v>46078.770138888889</v>
      </c>
      <c r="L799">
        <v>4.1500000000000004</v>
      </c>
      <c r="M799" s="6">
        <v>46078.777083333334</v>
      </c>
      <c r="N799">
        <f t="shared" si="12"/>
        <v>14</v>
      </c>
    </row>
    <row r="800" spans="2:14" x14ac:dyDescent="0.25">
      <c r="B800">
        <v>781</v>
      </c>
      <c r="C800" t="s">
        <v>31</v>
      </c>
      <c r="D800">
        <v>1</v>
      </c>
      <c r="E800" t="s">
        <v>32</v>
      </c>
      <c r="F800" s="6">
        <v>46079.315972222219</v>
      </c>
      <c r="G800" s="6">
        <v>46079.318055555559</v>
      </c>
      <c r="H800" s="6">
        <v>46079.319444444445</v>
      </c>
      <c r="I800" s="6">
        <v>46079.326388888891</v>
      </c>
      <c r="J800" s="6">
        <v>46079.333333333336</v>
      </c>
      <c r="K800" s="6">
        <v>46079.340277777781</v>
      </c>
      <c r="L800">
        <v>0.57999999999999996</v>
      </c>
      <c r="M800" s="6">
        <v>46079.34375</v>
      </c>
      <c r="N800">
        <f t="shared" si="12"/>
        <v>7</v>
      </c>
    </row>
    <row r="801" spans="2:14" x14ac:dyDescent="0.25">
      <c r="B801">
        <v>782</v>
      </c>
      <c r="C801" t="s">
        <v>29</v>
      </c>
      <c r="D801">
        <v>1</v>
      </c>
      <c r="E801" t="s">
        <v>35</v>
      </c>
      <c r="F801" s="6">
        <v>46078.288194444445</v>
      </c>
      <c r="G801" s="6">
        <v>46078.322916666664</v>
      </c>
      <c r="H801" s="6">
        <v>46078.345138888886</v>
      </c>
      <c r="I801" s="6">
        <v>46078.361111111109</v>
      </c>
      <c r="J801" s="6">
        <v>46078.368055555555</v>
      </c>
      <c r="K801" s="6">
        <v>46078.380555555559</v>
      </c>
      <c r="L801">
        <v>2.2200000000000002</v>
      </c>
      <c r="M801" s="6">
        <v>46078.381944444445</v>
      </c>
      <c r="N801">
        <f t="shared" si="12"/>
        <v>6</v>
      </c>
    </row>
    <row r="802" spans="2:14" x14ac:dyDescent="0.25">
      <c r="B802">
        <v>783</v>
      </c>
      <c r="C802" t="s">
        <v>33</v>
      </c>
      <c r="D802">
        <v>1</v>
      </c>
      <c r="E802" t="s">
        <v>36</v>
      </c>
      <c r="F802" s="6">
        <v>46078.402777777781</v>
      </c>
      <c r="G802" s="6">
        <v>46078.416666666664</v>
      </c>
      <c r="H802" s="6">
        <v>46078.440972222219</v>
      </c>
      <c r="I802" s="6">
        <v>46078.534722222219</v>
      </c>
      <c r="J802" s="6">
        <v>46078.541666666664</v>
      </c>
      <c r="K802" s="6">
        <v>46078.559027777781</v>
      </c>
      <c r="L802">
        <v>3.75</v>
      </c>
      <c r="M802" s="6">
        <v>46078.565972222219</v>
      </c>
      <c r="N802">
        <f t="shared" si="12"/>
        <v>9</v>
      </c>
    </row>
    <row r="803" spans="2:14" x14ac:dyDescent="0.25">
      <c r="B803">
        <v>784</v>
      </c>
      <c r="C803" t="s">
        <v>33</v>
      </c>
      <c r="D803">
        <v>1</v>
      </c>
      <c r="E803" t="s">
        <v>30</v>
      </c>
      <c r="F803" s="6">
        <v>46077.659722222219</v>
      </c>
      <c r="G803" s="6">
        <v>46077.666666666664</v>
      </c>
      <c r="H803" s="6">
        <v>46077.708333333336</v>
      </c>
      <c r="I803" s="6">
        <v>46077.763888888891</v>
      </c>
      <c r="J803" s="6">
        <v>46077.767361111109</v>
      </c>
      <c r="K803" s="6">
        <v>46077.770833333336</v>
      </c>
      <c r="L803">
        <v>2.67</v>
      </c>
      <c r="M803" s="6">
        <v>46077.777777777781</v>
      </c>
      <c r="N803">
        <f t="shared" si="12"/>
        <v>15</v>
      </c>
    </row>
    <row r="804" spans="2:14" x14ac:dyDescent="0.25">
      <c r="B804">
        <v>785</v>
      </c>
      <c r="C804" t="s">
        <v>31</v>
      </c>
      <c r="D804">
        <v>1</v>
      </c>
      <c r="E804" t="s">
        <v>36</v>
      </c>
      <c r="F804" s="6">
        <v>46078.291666666664</v>
      </c>
      <c r="G804" s="6">
        <v>46078.315972222219</v>
      </c>
      <c r="H804" s="6">
        <v>46078.336805555555</v>
      </c>
      <c r="I804" s="6">
        <v>46078.440972222219</v>
      </c>
      <c r="J804" s="6">
        <v>46078.451388888891</v>
      </c>
      <c r="K804" s="6">
        <v>46078.454861111109</v>
      </c>
      <c r="L804">
        <v>3.92</v>
      </c>
      <c r="M804" s="6">
        <v>46078.455555555556</v>
      </c>
      <c r="N804">
        <f t="shared" si="12"/>
        <v>7</v>
      </c>
    </row>
    <row r="805" spans="2:14" x14ac:dyDescent="0.25">
      <c r="B805">
        <v>786</v>
      </c>
      <c r="C805" t="s">
        <v>29</v>
      </c>
      <c r="D805">
        <v>1</v>
      </c>
      <c r="E805" t="s">
        <v>30</v>
      </c>
      <c r="F805" s="6">
        <v>46077.756944444445</v>
      </c>
      <c r="G805" s="6">
        <v>46077.763888888891</v>
      </c>
      <c r="H805" s="6">
        <v>46077.770833333336</v>
      </c>
      <c r="I805" s="6">
        <v>46077.805555555555</v>
      </c>
      <c r="J805" s="6">
        <v>46077.809027777781</v>
      </c>
      <c r="K805" s="6">
        <v>46077.8125</v>
      </c>
      <c r="L805">
        <v>1.33</v>
      </c>
      <c r="M805" s="6">
        <v>46077.813194444447</v>
      </c>
      <c r="N805">
        <f t="shared" si="12"/>
        <v>18</v>
      </c>
    </row>
    <row r="806" spans="2:14" x14ac:dyDescent="0.25">
      <c r="B806">
        <v>787</v>
      </c>
      <c r="C806" t="s">
        <v>29</v>
      </c>
      <c r="D806">
        <v>1</v>
      </c>
      <c r="E806" t="s">
        <v>30</v>
      </c>
      <c r="F806" s="6">
        <v>46077.915972222225</v>
      </c>
      <c r="G806" s="6">
        <v>46077.927083333336</v>
      </c>
      <c r="H806" s="6">
        <v>46077.9375</v>
      </c>
      <c r="I806" s="6">
        <v>46078.03125</v>
      </c>
      <c r="J806" s="6">
        <v>46078.038194444445</v>
      </c>
      <c r="K806" s="6">
        <v>46078.045138888891</v>
      </c>
      <c r="L806">
        <v>3.1</v>
      </c>
      <c r="M806" s="6">
        <v>46078.052083333336</v>
      </c>
      <c r="N806">
        <f t="shared" si="12"/>
        <v>21</v>
      </c>
    </row>
    <row r="807" spans="2:14" x14ac:dyDescent="0.25">
      <c r="B807">
        <v>788</v>
      </c>
      <c r="C807" t="s">
        <v>33</v>
      </c>
      <c r="D807">
        <v>1</v>
      </c>
      <c r="E807" t="s">
        <v>30</v>
      </c>
      <c r="F807" s="6">
        <v>46078.484722222223</v>
      </c>
      <c r="G807" s="6">
        <v>46078.486111111109</v>
      </c>
      <c r="H807" s="6">
        <v>46078.506944444445</v>
      </c>
      <c r="I807" s="6">
        <v>46078.576388888891</v>
      </c>
      <c r="J807" s="6">
        <v>46078.635416666664</v>
      </c>
      <c r="K807" s="6">
        <v>46078.638888888891</v>
      </c>
      <c r="L807">
        <v>3.7</v>
      </c>
      <c r="M807" s="6">
        <v>46078.645833333336</v>
      </c>
      <c r="N807">
        <f t="shared" si="12"/>
        <v>11</v>
      </c>
    </row>
    <row r="808" spans="2:14" x14ac:dyDescent="0.25">
      <c r="B808">
        <v>789</v>
      </c>
      <c r="C808" t="s">
        <v>29</v>
      </c>
      <c r="D808">
        <v>1</v>
      </c>
      <c r="E808" t="s">
        <v>32</v>
      </c>
      <c r="F808" s="6">
        <v>46079.392361111109</v>
      </c>
      <c r="G808" s="6">
        <v>46079.395833333336</v>
      </c>
      <c r="H808" s="6">
        <v>46079.40625</v>
      </c>
      <c r="I808" s="6">
        <v>46079.434027777781</v>
      </c>
      <c r="J808" s="6">
        <v>46079.447916666664</v>
      </c>
      <c r="K808" s="6">
        <v>46079.451388888891</v>
      </c>
      <c r="L808">
        <v>1.42</v>
      </c>
      <c r="M808" s="6">
        <v>46079.458333333336</v>
      </c>
      <c r="N808">
        <f t="shared" si="12"/>
        <v>9</v>
      </c>
    </row>
    <row r="809" spans="2:14" x14ac:dyDescent="0.25">
      <c r="B809">
        <v>790</v>
      </c>
      <c r="C809" t="s">
        <v>33</v>
      </c>
      <c r="D809">
        <v>1</v>
      </c>
      <c r="E809" t="s">
        <v>32</v>
      </c>
      <c r="F809" s="6">
        <v>46079.611111111109</v>
      </c>
      <c r="G809" s="6">
        <v>46079.638888888891</v>
      </c>
      <c r="H809" s="6">
        <v>46079.645833333336</v>
      </c>
      <c r="I809" s="6">
        <v>46079.736111111109</v>
      </c>
      <c r="J809" s="6">
        <v>46079.743055555555</v>
      </c>
      <c r="K809" s="6">
        <v>46079.776388888888</v>
      </c>
      <c r="L809">
        <v>3.97</v>
      </c>
      <c r="M809" s="6">
        <v>46079.783333333333</v>
      </c>
      <c r="N809">
        <f t="shared" si="12"/>
        <v>14</v>
      </c>
    </row>
    <row r="810" spans="2:14" x14ac:dyDescent="0.25">
      <c r="B810">
        <v>791</v>
      </c>
      <c r="C810" t="s">
        <v>29</v>
      </c>
      <c r="D810">
        <v>1</v>
      </c>
      <c r="E810" t="s">
        <v>36</v>
      </c>
      <c r="F810" s="6">
        <v>46079.288194444445</v>
      </c>
      <c r="G810" s="6">
        <v>46079.319444444445</v>
      </c>
      <c r="H810" s="6">
        <v>46079.333333333336</v>
      </c>
      <c r="I810" s="6">
        <v>46079.393750000003</v>
      </c>
      <c r="J810" s="6">
        <v>46079.400694444441</v>
      </c>
      <c r="K810" s="6">
        <v>46079.402777777781</v>
      </c>
      <c r="L810">
        <v>2.75</v>
      </c>
      <c r="M810" s="6">
        <v>46079.40625</v>
      </c>
      <c r="N810">
        <f t="shared" si="12"/>
        <v>6</v>
      </c>
    </row>
    <row r="811" spans="2:14" x14ac:dyDescent="0.25">
      <c r="B811">
        <v>792</v>
      </c>
      <c r="C811" t="s">
        <v>29</v>
      </c>
      <c r="D811">
        <v>1</v>
      </c>
      <c r="E811" t="s">
        <v>36</v>
      </c>
      <c r="F811" s="6">
        <v>46079.432638888888</v>
      </c>
      <c r="G811" s="6">
        <v>46079.439583333333</v>
      </c>
      <c r="H811" s="6">
        <v>46079.495833333334</v>
      </c>
      <c r="I811" s="6">
        <v>46079.537499999999</v>
      </c>
      <c r="J811" s="6">
        <v>46079.544444444444</v>
      </c>
      <c r="K811" s="6">
        <v>46079.559027777781</v>
      </c>
      <c r="L811">
        <v>3.03</v>
      </c>
      <c r="M811" s="6">
        <v>46079.55972222222</v>
      </c>
      <c r="N811">
        <f t="shared" si="12"/>
        <v>10</v>
      </c>
    </row>
    <row r="812" spans="2:14" x14ac:dyDescent="0.25">
      <c r="B812">
        <v>793</v>
      </c>
      <c r="C812" t="s">
        <v>33</v>
      </c>
      <c r="D812">
        <v>1</v>
      </c>
      <c r="E812" t="s">
        <v>30</v>
      </c>
      <c r="F812" s="6">
        <v>46079.291666666664</v>
      </c>
      <c r="G812" s="6">
        <v>46079.326388888891</v>
      </c>
      <c r="H812" s="6">
        <v>46079.336805555555</v>
      </c>
      <c r="I812" s="6">
        <v>46079.364583333336</v>
      </c>
      <c r="J812" s="6">
        <v>46079.371527777781</v>
      </c>
      <c r="K812" s="6">
        <v>46079.37222222222</v>
      </c>
      <c r="L812">
        <v>1.93</v>
      </c>
      <c r="M812" s="6">
        <v>46079.379166666666</v>
      </c>
      <c r="N812">
        <f t="shared" si="12"/>
        <v>7</v>
      </c>
    </row>
    <row r="813" spans="2:14" x14ac:dyDescent="0.25">
      <c r="B813">
        <v>794</v>
      </c>
      <c r="C813" t="s">
        <v>31</v>
      </c>
      <c r="D813">
        <v>1</v>
      </c>
      <c r="E813" t="s">
        <v>30</v>
      </c>
      <c r="F813" s="6">
        <v>46079.416666666664</v>
      </c>
      <c r="G813" s="6">
        <v>46079.423611111109</v>
      </c>
      <c r="H813" s="6">
        <v>46079.451388888891</v>
      </c>
      <c r="I813" s="6">
        <v>46079.5625</v>
      </c>
      <c r="J813" s="6">
        <v>46079.569444444445</v>
      </c>
      <c r="K813" s="6">
        <v>46079.570138888892</v>
      </c>
      <c r="L813">
        <v>3.68</v>
      </c>
      <c r="M813" s="6">
        <v>46079.572916666664</v>
      </c>
      <c r="N813">
        <f t="shared" si="12"/>
        <v>10</v>
      </c>
    </row>
    <row r="814" spans="2:14" x14ac:dyDescent="0.25">
      <c r="B814">
        <v>795</v>
      </c>
      <c r="C814" t="s">
        <v>31</v>
      </c>
      <c r="D814">
        <v>1</v>
      </c>
      <c r="E814" t="s">
        <v>30</v>
      </c>
      <c r="F814" s="6">
        <v>46078.673611111109</v>
      </c>
      <c r="G814" s="6">
        <v>46078.677083333336</v>
      </c>
      <c r="H814" s="6">
        <v>46078.697916666664</v>
      </c>
      <c r="I814" s="6">
        <v>46078.736111111109</v>
      </c>
      <c r="J814" s="6">
        <v>46078.75</v>
      </c>
      <c r="K814" s="6">
        <v>46078.760416666664</v>
      </c>
      <c r="L814">
        <v>2.08</v>
      </c>
      <c r="M814" s="6">
        <v>46078.761111111111</v>
      </c>
      <c r="N814">
        <f t="shared" si="12"/>
        <v>16</v>
      </c>
    </row>
    <row r="815" spans="2:14" x14ac:dyDescent="0.25">
      <c r="B815">
        <v>796</v>
      </c>
      <c r="C815" t="s">
        <v>31</v>
      </c>
      <c r="D815">
        <v>1</v>
      </c>
      <c r="E815" t="s">
        <v>32</v>
      </c>
      <c r="F815" s="6">
        <v>46078.708333333336</v>
      </c>
      <c r="G815" s="6">
        <v>46078.71875</v>
      </c>
      <c r="H815" s="6">
        <v>46078.729166666664</v>
      </c>
      <c r="I815" s="6">
        <v>46078.786111111112</v>
      </c>
      <c r="J815" s="6">
        <v>46078.868055555555</v>
      </c>
      <c r="K815" s="6">
        <v>46078.875</v>
      </c>
      <c r="L815">
        <v>4</v>
      </c>
      <c r="M815" s="6">
        <v>46078.881944444445</v>
      </c>
      <c r="N815">
        <f t="shared" si="12"/>
        <v>17</v>
      </c>
    </row>
    <row r="816" spans="2:14" x14ac:dyDescent="0.25">
      <c r="B816">
        <v>797</v>
      </c>
      <c r="C816" t="s">
        <v>29</v>
      </c>
      <c r="D816">
        <v>1</v>
      </c>
      <c r="E816" t="s">
        <v>30</v>
      </c>
      <c r="F816" s="6">
        <v>46079.711805555555</v>
      </c>
      <c r="G816" s="6">
        <v>46079.715277777781</v>
      </c>
      <c r="H816" s="6">
        <v>46079.71875</v>
      </c>
      <c r="I816" s="6">
        <v>46079.729166666664</v>
      </c>
      <c r="J816" s="6">
        <v>46079.732638888891</v>
      </c>
      <c r="K816" s="6">
        <v>46079.736111111109</v>
      </c>
      <c r="L816">
        <v>0.57999999999999996</v>
      </c>
      <c r="M816" s="6">
        <v>46079.739583333336</v>
      </c>
      <c r="N816">
        <f t="shared" si="12"/>
        <v>17</v>
      </c>
    </row>
    <row r="817" spans="2:14" x14ac:dyDescent="0.25">
      <c r="B817">
        <v>798</v>
      </c>
      <c r="C817" t="s">
        <v>29</v>
      </c>
      <c r="D817">
        <v>1</v>
      </c>
      <c r="E817" t="s">
        <v>34</v>
      </c>
      <c r="F817" s="6">
        <v>46079.444444444445</v>
      </c>
      <c r="G817" s="6">
        <v>46079.451388888891</v>
      </c>
      <c r="H817" s="6">
        <v>46079.475694444445</v>
      </c>
      <c r="I817" s="6">
        <v>46079.496527777781</v>
      </c>
      <c r="J817" s="6">
        <v>46079.503472222219</v>
      </c>
      <c r="K817" s="6">
        <v>46079.510416666664</v>
      </c>
      <c r="L817">
        <v>1.58</v>
      </c>
      <c r="M817" s="6">
        <v>46079.517361111109</v>
      </c>
      <c r="N817">
        <f t="shared" si="12"/>
        <v>10</v>
      </c>
    </row>
    <row r="818" spans="2:14" x14ac:dyDescent="0.25">
      <c r="B818">
        <v>799</v>
      </c>
      <c r="C818" t="s">
        <v>33</v>
      </c>
      <c r="D818">
        <v>1</v>
      </c>
      <c r="E818" t="s">
        <v>37</v>
      </c>
      <c r="F818" s="6">
        <v>46079.291666666664</v>
      </c>
      <c r="G818" s="6">
        <v>46079.326388888891</v>
      </c>
      <c r="H818" s="6">
        <v>46079.354166666664</v>
      </c>
      <c r="I818" s="6">
        <v>46079.388888888891</v>
      </c>
      <c r="J818" s="6">
        <v>46079.395833333336</v>
      </c>
      <c r="K818" s="6">
        <v>46079.409722222219</v>
      </c>
      <c r="L818">
        <v>2.83</v>
      </c>
      <c r="M818" s="6">
        <v>46079.416666666664</v>
      </c>
      <c r="N818">
        <f t="shared" si="12"/>
        <v>7</v>
      </c>
    </row>
    <row r="819" spans="2:14" x14ac:dyDescent="0.25">
      <c r="B819">
        <v>800</v>
      </c>
      <c r="C819" t="s">
        <v>31</v>
      </c>
      <c r="D819">
        <v>1</v>
      </c>
      <c r="E819" t="s">
        <v>32</v>
      </c>
      <c r="F819" s="6">
        <v>46079.597222222219</v>
      </c>
      <c r="G819" s="6">
        <v>46079.604166666664</v>
      </c>
      <c r="H819" s="6">
        <v>46079.625</v>
      </c>
      <c r="I819" s="6">
        <v>46079.704861111109</v>
      </c>
      <c r="J819" s="6">
        <v>46079.711805555555</v>
      </c>
      <c r="K819" s="6">
        <v>46079.722222222219</v>
      </c>
      <c r="L819">
        <v>3</v>
      </c>
      <c r="M819" s="6">
        <v>46079.729166666664</v>
      </c>
      <c r="N819">
        <f t="shared" si="12"/>
        <v>14</v>
      </c>
    </row>
    <row r="820" spans="2:14" x14ac:dyDescent="0.25">
      <c r="B820">
        <v>801</v>
      </c>
      <c r="C820" t="s">
        <v>29</v>
      </c>
      <c r="D820">
        <v>1</v>
      </c>
      <c r="E820" t="s">
        <v>30</v>
      </c>
      <c r="F820" s="6">
        <v>46078.881944444445</v>
      </c>
      <c r="G820" s="6">
        <v>46078.888888888891</v>
      </c>
      <c r="H820" s="6">
        <v>46078.90625</v>
      </c>
      <c r="I820" s="6">
        <v>46078.975694444445</v>
      </c>
      <c r="J820" s="6">
        <v>46078.982638888891</v>
      </c>
      <c r="K820" s="6">
        <v>46078.98333333333</v>
      </c>
      <c r="L820">
        <v>2.4300000000000002</v>
      </c>
      <c r="M820" s="6">
        <v>46078.984027777777</v>
      </c>
      <c r="N820">
        <f t="shared" si="12"/>
        <v>21</v>
      </c>
    </row>
    <row r="821" spans="2:14" x14ac:dyDescent="0.25">
      <c r="B821">
        <v>802</v>
      </c>
      <c r="C821" t="s">
        <v>29</v>
      </c>
      <c r="D821">
        <v>1</v>
      </c>
      <c r="E821" t="s">
        <v>32</v>
      </c>
      <c r="F821" s="6">
        <v>46079.510416666664</v>
      </c>
      <c r="G821" s="6">
        <v>46079.517361111109</v>
      </c>
      <c r="H821" s="6">
        <v>46079.524305555555</v>
      </c>
      <c r="I821" s="6">
        <v>46079.534722222219</v>
      </c>
      <c r="J821" s="6">
        <v>46079.538194444445</v>
      </c>
      <c r="K821" s="6">
        <v>46079.541666666664</v>
      </c>
      <c r="L821">
        <v>0.75</v>
      </c>
      <c r="M821" s="6">
        <v>46079.548611111109</v>
      </c>
      <c r="N821">
        <f t="shared" si="12"/>
        <v>12</v>
      </c>
    </row>
    <row r="822" spans="2:14" x14ac:dyDescent="0.25">
      <c r="B822">
        <v>803</v>
      </c>
      <c r="C822" t="s">
        <v>31</v>
      </c>
      <c r="D822">
        <v>1</v>
      </c>
      <c r="E822" t="s">
        <v>30</v>
      </c>
      <c r="F822" s="6">
        <v>46079.559027777781</v>
      </c>
      <c r="G822" s="6">
        <v>46079.569444444445</v>
      </c>
      <c r="H822" s="6">
        <v>46079.590277777781</v>
      </c>
      <c r="I822" s="6">
        <v>46079.680555555555</v>
      </c>
      <c r="J822" s="6">
        <v>46079.6875</v>
      </c>
      <c r="K822" s="6">
        <v>46079.694444444445</v>
      </c>
      <c r="L822">
        <v>3.25</v>
      </c>
      <c r="M822" s="6">
        <v>46079.701388888891</v>
      </c>
      <c r="N822">
        <f t="shared" si="12"/>
        <v>13</v>
      </c>
    </row>
    <row r="823" spans="2:14" x14ac:dyDescent="0.25">
      <c r="B823">
        <v>804</v>
      </c>
      <c r="C823" t="s">
        <v>33</v>
      </c>
      <c r="D823">
        <v>1</v>
      </c>
      <c r="E823" t="s">
        <v>35</v>
      </c>
      <c r="F823" s="6">
        <v>46080.576388888891</v>
      </c>
      <c r="G823" s="6">
        <v>46080.600694444445</v>
      </c>
      <c r="H823" s="6">
        <v>46080.684027777781</v>
      </c>
      <c r="I823" s="6">
        <v>46080.824999999997</v>
      </c>
      <c r="J823" s="6">
        <v>46080.895833333336</v>
      </c>
      <c r="K823" s="6">
        <v>46080.90625</v>
      </c>
      <c r="L823">
        <v>7.92</v>
      </c>
      <c r="M823" s="6">
        <v>46080.913194444445</v>
      </c>
      <c r="N823">
        <f t="shared" si="12"/>
        <v>13</v>
      </c>
    </row>
    <row r="824" spans="2:14" x14ac:dyDescent="0.25">
      <c r="B824">
        <v>805</v>
      </c>
      <c r="C824" t="s">
        <v>29</v>
      </c>
      <c r="D824">
        <v>1</v>
      </c>
      <c r="E824" t="s">
        <v>32</v>
      </c>
      <c r="F824" s="6">
        <v>46080.284722222219</v>
      </c>
      <c r="G824" s="6">
        <v>46080.34375</v>
      </c>
      <c r="H824" s="6">
        <v>46080.350694444445</v>
      </c>
      <c r="I824" s="6">
        <v>46080.357638888891</v>
      </c>
      <c r="J824" s="6">
        <v>46080.364583333336</v>
      </c>
      <c r="K824" s="6">
        <v>46080.372916666667</v>
      </c>
      <c r="L824">
        <v>2.12</v>
      </c>
      <c r="M824" s="6">
        <v>46080.379861111112</v>
      </c>
      <c r="N824">
        <f t="shared" si="12"/>
        <v>6</v>
      </c>
    </row>
    <row r="825" spans="2:14" x14ac:dyDescent="0.25">
      <c r="B825">
        <v>806</v>
      </c>
      <c r="C825" t="s">
        <v>33</v>
      </c>
      <c r="D825">
        <v>1</v>
      </c>
      <c r="E825" t="s">
        <v>34</v>
      </c>
      <c r="F825" s="6">
        <v>46080.291666666664</v>
      </c>
      <c r="G825" s="6">
        <v>46080.326388888891</v>
      </c>
      <c r="H825" s="6">
        <v>46080.385416666664</v>
      </c>
      <c r="I825" s="6">
        <v>46080.586805555555</v>
      </c>
      <c r="J825" s="6">
        <v>46080.604166666664</v>
      </c>
      <c r="K825" s="6">
        <v>46080.614583333336</v>
      </c>
      <c r="L825">
        <v>7.75</v>
      </c>
      <c r="M825" s="6">
        <v>46080.625</v>
      </c>
      <c r="N825">
        <f t="shared" si="12"/>
        <v>7</v>
      </c>
    </row>
    <row r="826" spans="2:14" x14ac:dyDescent="0.25">
      <c r="B826">
        <v>807</v>
      </c>
      <c r="C826" t="s">
        <v>29</v>
      </c>
      <c r="D826">
        <v>1</v>
      </c>
      <c r="E826" t="s">
        <v>36</v>
      </c>
      <c r="F826" s="6">
        <v>46080.288194444445</v>
      </c>
      <c r="G826" s="6">
        <v>46080.333333333336</v>
      </c>
      <c r="H826" s="6">
        <v>46080.336805555555</v>
      </c>
      <c r="I826" s="6">
        <v>46080.354166666664</v>
      </c>
      <c r="J826" s="6">
        <v>46080.357638888891</v>
      </c>
      <c r="K826" s="6">
        <v>46080.361111111109</v>
      </c>
      <c r="L826">
        <v>1.75</v>
      </c>
      <c r="M826" s="6">
        <v>46080.368055555555</v>
      </c>
      <c r="N826">
        <f t="shared" si="12"/>
        <v>6</v>
      </c>
    </row>
    <row r="827" spans="2:14" x14ac:dyDescent="0.25">
      <c r="B827">
        <v>808</v>
      </c>
      <c r="C827" t="s">
        <v>29</v>
      </c>
      <c r="D827">
        <v>1</v>
      </c>
      <c r="E827" t="s">
        <v>32</v>
      </c>
      <c r="F827" s="6">
        <v>46080.506944444445</v>
      </c>
      <c r="G827" s="6">
        <v>46080.524305555555</v>
      </c>
      <c r="H827" s="6">
        <v>46080.525000000001</v>
      </c>
      <c r="I827" s="6">
        <v>46080.53125</v>
      </c>
      <c r="J827" s="6">
        <v>46080.531944444447</v>
      </c>
      <c r="K827" s="6">
        <v>46080.548611111109</v>
      </c>
      <c r="L827">
        <v>1</v>
      </c>
      <c r="M827" s="6">
        <v>46080.555555555555</v>
      </c>
      <c r="N827">
        <f t="shared" si="12"/>
        <v>12</v>
      </c>
    </row>
    <row r="828" spans="2:14" x14ac:dyDescent="0.25">
      <c r="B828">
        <v>809</v>
      </c>
      <c r="C828" t="s">
        <v>31</v>
      </c>
      <c r="D828">
        <v>1</v>
      </c>
      <c r="E828" t="s">
        <v>32</v>
      </c>
      <c r="F828" s="6">
        <v>46080.697916666664</v>
      </c>
      <c r="G828" s="6">
        <v>46080.704861111109</v>
      </c>
      <c r="H828" s="6">
        <v>46080.71875</v>
      </c>
      <c r="I828" s="6">
        <v>46080.831944444442</v>
      </c>
      <c r="J828" s="6">
        <v>46080.875</v>
      </c>
      <c r="K828" s="6">
        <v>46080.940972222219</v>
      </c>
      <c r="L828">
        <v>5.83</v>
      </c>
      <c r="M828" s="6">
        <v>46080.947916666664</v>
      </c>
      <c r="N828">
        <f t="shared" si="12"/>
        <v>16</v>
      </c>
    </row>
    <row r="829" spans="2:14" x14ac:dyDescent="0.25">
      <c r="B829">
        <v>810</v>
      </c>
      <c r="C829" t="s">
        <v>33</v>
      </c>
      <c r="D829">
        <v>1</v>
      </c>
      <c r="E829" t="s">
        <v>30</v>
      </c>
      <c r="F829" s="6">
        <v>46079.642361111109</v>
      </c>
      <c r="G829" s="6">
        <v>46079.649305555555</v>
      </c>
      <c r="H829" s="6">
        <v>46079.701388888891</v>
      </c>
      <c r="I829" s="6">
        <v>46079.70208333333</v>
      </c>
      <c r="J829" s="6">
        <v>46079.702777777777</v>
      </c>
      <c r="K829" s="6">
        <v>46079.703472222223</v>
      </c>
      <c r="L829">
        <v>1.47</v>
      </c>
      <c r="M829" s="6">
        <v>46079.710416666669</v>
      </c>
      <c r="N829">
        <f t="shared" si="12"/>
        <v>15</v>
      </c>
    </row>
    <row r="830" spans="2:14" x14ac:dyDescent="0.25">
      <c r="B830">
        <v>811</v>
      </c>
      <c r="C830" t="s">
        <v>31</v>
      </c>
      <c r="D830">
        <v>1</v>
      </c>
      <c r="E830" t="s">
        <v>37</v>
      </c>
      <c r="F830" s="6">
        <v>46079.621527777781</v>
      </c>
      <c r="G830" s="6">
        <v>46079.625</v>
      </c>
      <c r="H830" s="6">
        <v>46079.631944444445</v>
      </c>
      <c r="I830" s="6">
        <v>46079.638888888891</v>
      </c>
      <c r="J830" s="6">
        <v>46079.645833333336</v>
      </c>
      <c r="K830" s="6">
        <v>46079.646527777775</v>
      </c>
      <c r="L830">
        <v>0.6</v>
      </c>
      <c r="M830" s="6">
        <v>46079.647222222222</v>
      </c>
      <c r="N830">
        <f t="shared" si="12"/>
        <v>14</v>
      </c>
    </row>
    <row r="831" spans="2:14" x14ac:dyDescent="0.25">
      <c r="B831">
        <v>812</v>
      </c>
      <c r="C831" t="s">
        <v>31</v>
      </c>
      <c r="D831">
        <v>1</v>
      </c>
      <c r="E831" t="s">
        <v>34</v>
      </c>
      <c r="F831" s="6">
        <v>46080.680555555555</v>
      </c>
      <c r="G831" s="6">
        <v>46080.694444444445</v>
      </c>
      <c r="H831" s="6">
        <v>46080.729166666664</v>
      </c>
      <c r="I831" s="6">
        <v>46080.871527777781</v>
      </c>
      <c r="J831" s="6">
        <v>46080.878472222219</v>
      </c>
      <c r="K831" s="6">
        <v>46080.885416666664</v>
      </c>
      <c r="L831">
        <v>4.92</v>
      </c>
      <c r="M831" s="6">
        <v>46080.892361111109</v>
      </c>
      <c r="N831">
        <f t="shared" si="12"/>
        <v>16</v>
      </c>
    </row>
    <row r="832" spans="2:14" x14ac:dyDescent="0.25">
      <c r="B832">
        <v>813</v>
      </c>
      <c r="C832" t="s">
        <v>31</v>
      </c>
      <c r="D832">
        <v>1</v>
      </c>
      <c r="E832" t="s">
        <v>34</v>
      </c>
      <c r="F832" s="6">
        <v>46080.288194444445</v>
      </c>
      <c r="G832" s="6">
        <v>46080.336805555555</v>
      </c>
      <c r="H832" s="6">
        <v>46080.361111111109</v>
      </c>
      <c r="I832" s="6">
        <v>46080.447916666664</v>
      </c>
      <c r="J832" s="6">
        <v>46080.458333333336</v>
      </c>
      <c r="K832" s="6">
        <v>46080.465277777781</v>
      </c>
      <c r="L832">
        <v>4.25</v>
      </c>
      <c r="M832" s="6">
        <v>46080.472222222219</v>
      </c>
      <c r="N832">
        <f t="shared" si="12"/>
        <v>6</v>
      </c>
    </row>
    <row r="833" spans="2:14" x14ac:dyDescent="0.25">
      <c r="B833">
        <v>814</v>
      </c>
      <c r="C833" t="s">
        <v>29</v>
      </c>
      <c r="D833">
        <v>1</v>
      </c>
      <c r="E833" t="s">
        <v>30</v>
      </c>
      <c r="F833" s="6">
        <v>46079.774305555555</v>
      </c>
      <c r="G833" s="6">
        <v>46079.78125</v>
      </c>
      <c r="H833" s="6">
        <v>46079.784722222219</v>
      </c>
      <c r="I833" s="6">
        <v>46079.8125</v>
      </c>
      <c r="J833" s="6">
        <v>46079.815972222219</v>
      </c>
      <c r="K833" s="6">
        <v>46079.822916666664</v>
      </c>
      <c r="L833">
        <v>1.17</v>
      </c>
      <c r="M833" s="6">
        <v>46079.829861111109</v>
      </c>
      <c r="N833">
        <f t="shared" si="12"/>
        <v>18</v>
      </c>
    </row>
    <row r="834" spans="2:14" x14ac:dyDescent="0.25">
      <c r="B834">
        <v>815</v>
      </c>
      <c r="C834" t="s">
        <v>31</v>
      </c>
      <c r="D834">
        <v>1</v>
      </c>
      <c r="E834" t="s">
        <v>34</v>
      </c>
      <c r="F834" s="6">
        <v>46079.888888888891</v>
      </c>
      <c r="G834" s="6">
        <v>46079.902777777781</v>
      </c>
      <c r="H834" s="6">
        <v>46079.916666666664</v>
      </c>
      <c r="I834" s="6">
        <v>46080.006944444445</v>
      </c>
      <c r="J834" s="6">
        <v>46080.013888888891</v>
      </c>
      <c r="K834" s="6">
        <v>46080.020833333336</v>
      </c>
      <c r="L834">
        <v>3.17</v>
      </c>
      <c r="M834" s="6">
        <v>46080.022222222222</v>
      </c>
      <c r="N834">
        <f t="shared" si="12"/>
        <v>21</v>
      </c>
    </row>
    <row r="835" spans="2:14" x14ac:dyDescent="0.25">
      <c r="B835">
        <v>816</v>
      </c>
      <c r="C835" t="s">
        <v>29</v>
      </c>
      <c r="D835">
        <v>1</v>
      </c>
      <c r="E835" t="s">
        <v>36</v>
      </c>
      <c r="F835" s="6">
        <v>46079.940972222219</v>
      </c>
      <c r="G835" s="6">
        <v>46079.947916666664</v>
      </c>
      <c r="H835" s="6">
        <v>46079.958333333336</v>
      </c>
      <c r="I835" s="6">
        <v>46079.972222222219</v>
      </c>
      <c r="J835" s="6">
        <v>46079.979166666664</v>
      </c>
      <c r="K835" s="6">
        <v>46079.993055555555</v>
      </c>
      <c r="L835">
        <v>1.25</v>
      </c>
      <c r="M835" s="6">
        <v>46080</v>
      </c>
      <c r="N835">
        <f t="shared" si="12"/>
        <v>22</v>
      </c>
    </row>
    <row r="836" spans="2:14" x14ac:dyDescent="0.25">
      <c r="B836">
        <v>817</v>
      </c>
      <c r="C836" t="s">
        <v>31</v>
      </c>
      <c r="D836">
        <v>1</v>
      </c>
      <c r="E836" t="s">
        <v>35</v>
      </c>
      <c r="F836" s="6">
        <v>46079.96875</v>
      </c>
      <c r="G836" s="6">
        <v>46079.972222222219</v>
      </c>
      <c r="H836" s="6">
        <v>46079.986111111109</v>
      </c>
      <c r="I836" s="6">
        <v>46080.020833333336</v>
      </c>
      <c r="J836" s="6">
        <v>46080.027777777781</v>
      </c>
      <c r="K836" s="6">
        <v>46080.03125</v>
      </c>
      <c r="L836">
        <v>1.5</v>
      </c>
      <c r="M836" s="6">
        <v>46080.031944444447</v>
      </c>
      <c r="N836">
        <f t="shared" si="12"/>
        <v>23</v>
      </c>
    </row>
    <row r="837" spans="2:14" x14ac:dyDescent="0.25">
      <c r="B837">
        <v>818</v>
      </c>
      <c r="C837" t="s">
        <v>31</v>
      </c>
      <c r="D837">
        <v>1</v>
      </c>
      <c r="E837" t="s">
        <v>36</v>
      </c>
      <c r="F837" s="6">
        <v>46080.409722222219</v>
      </c>
      <c r="G837" s="6">
        <v>46080.420138888891</v>
      </c>
      <c r="H837" s="6">
        <v>46080.4375</v>
      </c>
      <c r="I837" s="6">
        <v>46080.535416666666</v>
      </c>
      <c r="J837" s="6">
        <v>46080.555555555555</v>
      </c>
      <c r="K837" s="6">
        <v>46080.729166666664</v>
      </c>
      <c r="L837">
        <v>7.67</v>
      </c>
      <c r="M837" s="6">
        <v>46080.736111111109</v>
      </c>
      <c r="N837">
        <f t="shared" si="12"/>
        <v>9</v>
      </c>
    </row>
    <row r="838" spans="2:14" x14ac:dyDescent="0.25">
      <c r="B838">
        <v>819</v>
      </c>
      <c r="C838" t="s">
        <v>31</v>
      </c>
      <c r="D838">
        <v>1</v>
      </c>
      <c r="E838" t="s">
        <v>32</v>
      </c>
      <c r="F838" s="6">
        <v>46080.447916666664</v>
      </c>
      <c r="G838" s="6">
        <v>46080.472222222219</v>
      </c>
      <c r="H838" s="6">
        <v>46080.479166666664</v>
      </c>
      <c r="I838" s="6">
        <v>46080.513888888891</v>
      </c>
      <c r="J838" s="6">
        <v>46080.520833333336</v>
      </c>
      <c r="K838" s="6">
        <v>46080.555555555555</v>
      </c>
      <c r="L838">
        <v>2.58</v>
      </c>
      <c r="M838" s="6">
        <v>46080.556250000001</v>
      </c>
      <c r="N838">
        <f t="shared" si="12"/>
        <v>10</v>
      </c>
    </row>
    <row r="839" spans="2:14" x14ac:dyDescent="0.25">
      <c r="B839">
        <v>820</v>
      </c>
      <c r="C839" t="s">
        <v>31</v>
      </c>
      <c r="D839">
        <v>1</v>
      </c>
      <c r="E839" t="s">
        <v>30</v>
      </c>
      <c r="F839" s="6">
        <v>46081.350694444445</v>
      </c>
      <c r="G839" s="6">
        <v>46081.357638888891</v>
      </c>
      <c r="H839" s="6">
        <v>46081.35833333333</v>
      </c>
      <c r="I839" s="6">
        <v>46081.416666666664</v>
      </c>
      <c r="J839" s="6">
        <v>46081.423611111109</v>
      </c>
      <c r="K839" s="6">
        <v>46081.427083333336</v>
      </c>
      <c r="L839">
        <v>1.83</v>
      </c>
      <c r="M839" s="6">
        <v>46081.434027777781</v>
      </c>
      <c r="N839">
        <f t="shared" si="12"/>
        <v>8</v>
      </c>
    </row>
    <row r="840" spans="2:14" x14ac:dyDescent="0.25">
      <c r="B840">
        <v>821</v>
      </c>
      <c r="C840" t="s">
        <v>33</v>
      </c>
      <c r="D840">
        <v>1</v>
      </c>
      <c r="E840" t="s">
        <v>35</v>
      </c>
      <c r="F840" s="6">
        <v>46081.423611111109</v>
      </c>
      <c r="G840" s="6">
        <v>46081.430555555555</v>
      </c>
      <c r="H840" s="6">
        <v>46081.4375</v>
      </c>
      <c r="I840" s="6">
        <v>46081.480555555558</v>
      </c>
      <c r="J840" s="6">
        <v>46081.482638888891</v>
      </c>
      <c r="K840" s="6">
        <v>46081.486111111109</v>
      </c>
      <c r="L840">
        <v>1.5</v>
      </c>
      <c r="M840" s="6">
        <v>46081.493055555555</v>
      </c>
      <c r="N840">
        <f t="shared" si="12"/>
        <v>10</v>
      </c>
    </row>
    <row r="841" spans="2:14" x14ac:dyDescent="0.25">
      <c r="B841">
        <v>822</v>
      </c>
      <c r="C841" t="s">
        <v>33</v>
      </c>
      <c r="D841">
        <v>1</v>
      </c>
      <c r="E841" t="s">
        <v>32</v>
      </c>
      <c r="F841" s="6">
        <v>46080.597222222219</v>
      </c>
      <c r="G841" s="6">
        <v>46080.614583333336</v>
      </c>
      <c r="H841" s="6">
        <v>46080.618055555555</v>
      </c>
      <c r="I841" s="6">
        <v>46080.631944444445</v>
      </c>
      <c r="J841" s="6">
        <v>46080.638888888891</v>
      </c>
      <c r="K841" s="6">
        <v>46080.642361111109</v>
      </c>
      <c r="L841">
        <v>1.08</v>
      </c>
      <c r="M841" s="6">
        <v>46080.649305555555</v>
      </c>
      <c r="N841">
        <f t="shared" si="12"/>
        <v>14</v>
      </c>
    </row>
    <row r="842" spans="2:14" x14ac:dyDescent="0.25">
      <c r="B842">
        <v>823</v>
      </c>
      <c r="C842" t="s">
        <v>33</v>
      </c>
      <c r="D842">
        <v>1</v>
      </c>
      <c r="E842" t="s">
        <v>35</v>
      </c>
      <c r="F842" s="6">
        <v>46083.291666666664</v>
      </c>
      <c r="G842" s="6">
        <v>46083.326388888891</v>
      </c>
      <c r="H842" s="6">
        <v>46083.347222222219</v>
      </c>
      <c r="I842" s="6">
        <v>46083.416666666664</v>
      </c>
      <c r="J842" s="6">
        <v>46083.423611111109</v>
      </c>
      <c r="K842" s="6">
        <v>46083.442361111112</v>
      </c>
      <c r="L842">
        <v>3.62</v>
      </c>
      <c r="M842" s="6">
        <v>46083.443749999999</v>
      </c>
      <c r="N842">
        <f t="shared" si="12"/>
        <v>7</v>
      </c>
    </row>
    <row r="843" spans="2:14" x14ac:dyDescent="0.25">
      <c r="B843">
        <v>824</v>
      </c>
      <c r="C843" t="s">
        <v>33</v>
      </c>
      <c r="D843">
        <v>1</v>
      </c>
      <c r="E843" t="s">
        <v>37</v>
      </c>
      <c r="F843" s="6">
        <v>46083.466666666667</v>
      </c>
      <c r="G843" s="6">
        <v>46083.510416666664</v>
      </c>
      <c r="H843" s="6">
        <v>46083.611111111109</v>
      </c>
      <c r="I843" s="6">
        <v>46083.652777777781</v>
      </c>
      <c r="J843" s="6">
        <v>46083.6875</v>
      </c>
      <c r="K843" s="6">
        <v>46083.729166666664</v>
      </c>
      <c r="L843">
        <v>6.3</v>
      </c>
      <c r="M843" s="6">
        <v>46083.736111111109</v>
      </c>
      <c r="N843">
        <f t="shared" si="12"/>
        <v>11</v>
      </c>
    </row>
    <row r="844" spans="2:14" x14ac:dyDescent="0.25">
      <c r="B844">
        <v>825</v>
      </c>
      <c r="C844" t="s">
        <v>29</v>
      </c>
      <c r="D844">
        <v>1</v>
      </c>
      <c r="E844" t="s">
        <v>30</v>
      </c>
      <c r="F844" s="6">
        <v>46080.944444444445</v>
      </c>
      <c r="G844" s="6">
        <v>46080.958333333336</v>
      </c>
      <c r="H844" s="6">
        <v>46080.972222222219</v>
      </c>
      <c r="I844" s="6">
        <v>46081</v>
      </c>
      <c r="J844" s="6">
        <v>46081.003472222219</v>
      </c>
      <c r="K844" s="6">
        <v>46081.006944444445</v>
      </c>
      <c r="L844">
        <v>1.5</v>
      </c>
      <c r="M844" s="6">
        <v>46081.013888888891</v>
      </c>
      <c r="N844">
        <f t="shared" si="12"/>
        <v>22</v>
      </c>
    </row>
    <row r="845" spans="2:14" x14ac:dyDescent="0.25">
      <c r="B845">
        <v>826</v>
      </c>
      <c r="C845" t="s">
        <v>33</v>
      </c>
      <c r="D845">
        <v>1</v>
      </c>
      <c r="E845" t="s">
        <v>30</v>
      </c>
      <c r="F845" s="6">
        <v>46080.840277777781</v>
      </c>
      <c r="G845" s="6">
        <v>46080.847222222219</v>
      </c>
      <c r="H845" s="6">
        <v>46080.854166666664</v>
      </c>
      <c r="I845" s="6">
        <v>46080.979166666664</v>
      </c>
      <c r="J845" s="6">
        <v>46081.006944444445</v>
      </c>
      <c r="K845" s="6">
        <v>46081.013888888891</v>
      </c>
      <c r="L845">
        <v>4.17</v>
      </c>
      <c r="M845" s="6">
        <v>46081.020833333336</v>
      </c>
      <c r="N845">
        <f t="shared" si="12"/>
        <v>20</v>
      </c>
    </row>
    <row r="846" spans="2:14" x14ac:dyDescent="0.25">
      <c r="B846">
        <v>827</v>
      </c>
      <c r="C846" t="s">
        <v>29</v>
      </c>
      <c r="D846">
        <v>1</v>
      </c>
      <c r="E846" t="s">
        <v>30</v>
      </c>
      <c r="F846" s="6">
        <v>46081.21875</v>
      </c>
      <c r="G846" s="6">
        <v>46081.239583333336</v>
      </c>
      <c r="H846" s="6">
        <v>46081.25</v>
      </c>
      <c r="I846" s="6">
        <v>46081.293055555558</v>
      </c>
      <c r="J846" s="6">
        <v>46081.333333333336</v>
      </c>
      <c r="K846" s="6">
        <v>46081.340277777781</v>
      </c>
      <c r="L846">
        <v>2.92</v>
      </c>
      <c r="M846" s="6">
        <v>46081.347222222219</v>
      </c>
      <c r="N846">
        <f t="shared" si="12"/>
        <v>5</v>
      </c>
    </row>
    <row r="847" spans="2:14" x14ac:dyDescent="0.25">
      <c r="B847">
        <v>828</v>
      </c>
      <c r="C847" t="s">
        <v>31</v>
      </c>
      <c r="D847">
        <v>1</v>
      </c>
      <c r="E847" t="s">
        <v>30</v>
      </c>
      <c r="F847" s="6">
        <v>46081.392361111109</v>
      </c>
      <c r="G847" s="6">
        <v>46081.399305555555</v>
      </c>
      <c r="H847" s="6">
        <v>46081.402777777781</v>
      </c>
      <c r="I847" s="6">
        <v>46081.486111111109</v>
      </c>
      <c r="J847" s="6">
        <v>46081.493055555555</v>
      </c>
      <c r="K847" s="6">
        <v>46081.5</v>
      </c>
      <c r="L847">
        <v>2.58</v>
      </c>
      <c r="M847" s="6">
        <v>46081.506944444445</v>
      </c>
      <c r="N847">
        <f t="shared" si="12"/>
        <v>9</v>
      </c>
    </row>
    <row r="848" spans="2:14" x14ac:dyDescent="0.25">
      <c r="B848">
        <v>829</v>
      </c>
      <c r="C848" t="s">
        <v>29</v>
      </c>
      <c r="D848">
        <v>1</v>
      </c>
      <c r="E848" t="s">
        <v>30</v>
      </c>
      <c r="F848" s="6">
        <v>46081.621527777781</v>
      </c>
      <c r="G848" s="6">
        <v>46081.631944444445</v>
      </c>
      <c r="H848" s="6">
        <v>46081.635416666664</v>
      </c>
      <c r="I848" s="6">
        <v>46081.652777777781</v>
      </c>
      <c r="J848" s="6">
        <v>46081.65625</v>
      </c>
      <c r="K848" s="6">
        <v>46081.656944444447</v>
      </c>
      <c r="L848">
        <v>0.85</v>
      </c>
      <c r="M848" s="6">
        <v>46081.659722222219</v>
      </c>
      <c r="N848">
        <f t="shared" si="12"/>
        <v>14</v>
      </c>
    </row>
    <row r="849" spans="2:14" x14ac:dyDescent="0.25">
      <c r="B849">
        <v>830</v>
      </c>
      <c r="C849" t="s">
        <v>33</v>
      </c>
      <c r="D849">
        <v>1</v>
      </c>
      <c r="E849" t="s">
        <v>32</v>
      </c>
      <c r="F849" s="6">
        <v>46081.520833333336</v>
      </c>
      <c r="G849" s="6">
        <v>46081.527777777781</v>
      </c>
      <c r="H849" s="6">
        <v>46081.541666666664</v>
      </c>
      <c r="I849" s="6">
        <v>46081.586805555555</v>
      </c>
      <c r="J849" s="6">
        <v>46081.600694444445</v>
      </c>
      <c r="K849" s="6">
        <v>46081.604166666664</v>
      </c>
      <c r="L849">
        <v>2</v>
      </c>
      <c r="M849" s="6">
        <v>46081.611111111109</v>
      </c>
      <c r="N849">
        <f t="shared" si="12"/>
        <v>12</v>
      </c>
    </row>
    <row r="850" spans="2:14" x14ac:dyDescent="0.25">
      <c r="B850">
        <v>831</v>
      </c>
      <c r="C850" t="s">
        <v>31</v>
      </c>
      <c r="D850">
        <v>1</v>
      </c>
      <c r="E850" t="s">
        <v>35</v>
      </c>
      <c r="F850" s="6">
        <v>46081.506944444445</v>
      </c>
      <c r="G850" s="6">
        <v>46081.513888888891</v>
      </c>
      <c r="H850" s="6">
        <v>46081.538194444445</v>
      </c>
      <c r="I850" s="6">
        <v>46081.822916666664</v>
      </c>
      <c r="J850" s="6">
        <v>46081.833333333336</v>
      </c>
      <c r="K850" s="6">
        <v>46081.861111111109</v>
      </c>
      <c r="L850">
        <v>8.5</v>
      </c>
      <c r="M850" s="6">
        <v>46081.862500000003</v>
      </c>
      <c r="N850">
        <f t="shared" si="12"/>
        <v>12</v>
      </c>
    </row>
    <row r="851" spans="2:14" x14ac:dyDescent="0.25">
      <c r="B851">
        <v>832</v>
      </c>
      <c r="C851" t="s">
        <v>29</v>
      </c>
      <c r="D851">
        <v>1</v>
      </c>
      <c r="E851" t="s">
        <v>36</v>
      </c>
      <c r="F851" s="6">
        <v>46081.638888888891</v>
      </c>
      <c r="G851" s="6">
        <v>46081.644444444442</v>
      </c>
      <c r="H851" s="6">
        <v>46081.666666666664</v>
      </c>
      <c r="I851" s="6">
        <v>46081.708333333336</v>
      </c>
      <c r="J851" s="6">
        <v>46081.715277777781</v>
      </c>
      <c r="K851" s="6">
        <v>46081.71875</v>
      </c>
      <c r="L851">
        <v>1.92</v>
      </c>
      <c r="M851" s="6">
        <v>46081.725694444445</v>
      </c>
      <c r="N851">
        <f t="shared" si="12"/>
        <v>15</v>
      </c>
    </row>
    <row r="852" spans="2:14" x14ac:dyDescent="0.25">
      <c r="B852">
        <v>833</v>
      </c>
      <c r="C852" t="s">
        <v>33</v>
      </c>
      <c r="D852">
        <v>1</v>
      </c>
      <c r="E852" t="s">
        <v>34</v>
      </c>
      <c r="F852" s="6">
        <v>46081.722222222219</v>
      </c>
      <c r="G852" s="6">
        <v>46081.725694444445</v>
      </c>
      <c r="H852" s="6">
        <v>46081.729166666664</v>
      </c>
      <c r="I852" s="6">
        <v>46081.75</v>
      </c>
      <c r="J852" s="6">
        <v>46081.756944444445</v>
      </c>
      <c r="K852" s="6">
        <v>46081.763888888891</v>
      </c>
      <c r="L852">
        <v>1</v>
      </c>
      <c r="M852" s="6">
        <v>46081.770833333336</v>
      </c>
      <c r="N852">
        <f t="shared" si="12"/>
        <v>17</v>
      </c>
    </row>
    <row r="853" spans="2:14" x14ac:dyDescent="0.25">
      <c r="B853">
        <v>834</v>
      </c>
      <c r="C853" t="s">
        <v>33</v>
      </c>
      <c r="D853">
        <v>1</v>
      </c>
      <c r="E853" t="s">
        <v>30</v>
      </c>
      <c r="F853" s="6">
        <v>46081.680555555555</v>
      </c>
      <c r="G853" s="6">
        <v>46081.684027777781</v>
      </c>
      <c r="H853" s="6">
        <v>46081.690972222219</v>
      </c>
      <c r="I853" s="6">
        <v>46081.736111111109</v>
      </c>
      <c r="J853" s="6">
        <v>46081.743055555555</v>
      </c>
      <c r="K853" s="6">
        <v>46081.75</v>
      </c>
      <c r="L853">
        <v>1.67</v>
      </c>
      <c r="M853" s="6">
        <v>46081.756944444445</v>
      </c>
      <c r="N853">
        <f t="shared" ref="N853:N916" si="13">HOUR(F853)</f>
        <v>16</v>
      </c>
    </row>
    <row r="854" spans="2:14" x14ac:dyDescent="0.25">
      <c r="B854">
        <v>835</v>
      </c>
      <c r="C854" t="s">
        <v>33</v>
      </c>
      <c r="D854">
        <v>1</v>
      </c>
      <c r="E854" t="s">
        <v>30</v>
      </c>
      <c r="F854" s="6">
        <v>46082.340277777781</v>
      </c>
      <c r="G854" s="6">
        <v>46082.354166666664</v>
      </c>
      <c r="H854" s="6">
        <v>46082.371527777781</v>
      </c>
      <c r="I854" s="6">
        <v>46082.381944444445</v>
      </c>
      <c r="J854" s="6">
        <v>46082.385416666664</v>
      </c>
      <c r="K854" s="6">
        <v>46082.386111111111</v>
      </c>
      <c r="L854">
        <v>1.1000000000000001</v>
      </c>
      <c r="M854" s="6">
        <v>46082.386805555558</v>
      </c>
      <c r="N854">
        <f t="shared" si="13"/>
        <v>8</v>
      </c>
    </row>
    <row r="855" spans="2:14" x14ac:dyDescent="0.25">
      <c r="B855">
        <v>836</v>
      </c>
      <c r="C855" t="s">
        <v>33</v>
      </c>
      <c r="D855">
        <v>1</v>
      </c>
      <c r="E855" t="s">
        <v>35</v>
      </c>
      <c r="F855" s="6">
        <v>46082.409722222219</v>
      </c>
      <c r="G855" s="6">
        <v>46082.416666666664</v>
      </c>
      <c r="H855" s="6">
        <v>46082.427083333336</v>
      </c>
      <c r="I855" s="6">
        <v>46082.444444444445</v>
      </c>
      <c r="J855" s="6">
        <v>46082.451388888891</v>
      </c>
      <c r="K855" s="6">
        <v>46082.454861111109</v>
      </c>
      <c r="L855">
        <v>1.08</v>
      </c>
      <c r="M855" s="6">
        <v>46082.458333333336</v>
      </c>
      <c r="N855">
        <f t="shared" si="13"/>
        <v>9</v>
      </c>
    </row>
    <row r="856" spans="2:14" x14ac:dyDescent="0.25">
      <c r="B856">
        <v>837</v>
      </c>
      <c r="C856" t="s">
        <v>29</v>
      </c>
      <c r="D856">
        <v>1</v>
      </c>
      <c r="E856" t="s">
        <v>30</v>
      </c>
      <c r="F856" s="6">
        <v>46081.813888888886</v>
      </c>
      <c r="G856" s="6">
        <v>46081.815972222219</v>
      </c>
      <c r="H856" s="6">
        <v>46081.819444444445</v>
      </c>
      <c r="I856" s="6">
        <v>46081.843055555553</v>
      </c>
      <c r="J856" s="6">
        <v>46081.847222222219</v>
      </c>
      <c r="K856" s="6">
        <v>46081.850694444445</v>
      </c>
      <c r="L856">
        <v>0.88</v>
      </c>
      <c r="M856" s="6">
        <v>46081.854166666664</v>
      </c>
      <c r="N856">
        <f t="shared" si="13"/>
        <v>19</v>
      </c>
    </row>
    <row r="857" spans="2:14" x14ac:dyDescent="0.25">
      <c r="B857">
        <v>838</v>
      </c>
      <c r="C857" t="s">
        <v>29</v>
      </c>
      <c r="D857">
        <v>1</v>
      </c>
      <c r="E857" t="s">
        <v>30</v>
      </c>
      <c r="F857" s="6">
        <v>46081.981249999997</v>
      </c>
      <c r="G857" s="6">
        <v>46081.993055555555</v>
      </c>
      <c r="H857" s="6">
        <v>46082.013888888891</v>
      </c>
      <c r="I857" s="6">
        <v>46082.063194444447</v>
      </c>
      <c r="J857" s="6">
        <v>46082.065972222219</v>
      </c>
      <c r="K857" s="6">
        <v>46082.068055555559</v>
      </c>
      <c r="L857">
        <v>2.08</v>
      </c>
      <c r="M857" s="6">
        <v>46082.074999999997</v>
      </c>
      <c r="N857">
        <f t="shared" si="13"/>
        <v>23</v>
      </c>
    </row>
    <row r="858" spans="2:14" x14ac:dyDescent="0.25">
      <c r="B858">
        <v>839</v>
      </c>
      <c r="C858" t="s">
        <v>33</v>
      </c>
      <c r="D858">
        <v>1</v>
      </c>
      <c r="E858" t="s">
        <v>30</v>
      </c>
      <c r="F858" s="6">
        <v>46082.010416666664</v>
      </c>
      <c r="G858" s="6">
        <v>46082.017361111109</v>
      </c>
      <c r="H858" s="6">
        <v>46082.041666666664</v>
      </c>
      <c r="I858" s="6">
        <v>46082.065972222219</v>
      </c>
      <c r="J858" s="6">
        <v>46082.069444444445</v>
      </c>
      <c r="K858" s="6">
        <v>46082.070833333331</v>
      </c>
      <c r="L858">
        <v>1.45</v>
      </c>
      <c r="M858" s="6">
        <v>46082.077777777777</v>
      </c>
      <c r="N858">
        <f t="shared" si="13"/>
        <v>0</v>
      </c>
    </row>
    <row r="859" spans="2:14" x14ac:dyDescent="0.25">
      <c r="B859">
        <v>840</v>
      </c>
      <c r="C859" t="s">
        <v>29</v>
      </c>
      <c r="D859">
        <v>1</v>
      </c>
      <c r="E859" t="s">
        <v>30</v>
      </c>
      <c r="F859" s="6">
        <v>46082.524305555555</v>
      </c>
      <c r="G859" s="6">
        <v>46082.538194444445</v>
      </c>
      <c r="H859" s="6">
        <v>46082.541666666664</v>
      </c>
      <c r="I859" s="6">
        <v>46082.555555555555</v>
      </c>
      <c r="J859" s="6">
        <v>46082.557638888888</v>
      </c>
      <c r="K859" s="6">
        <v>46082.559027777781</v>
      </c>
      <c r="L859">
        <v>0.83</v>
      </c>
      <c r="M859" s="6">
        <v>46082.560416666667</v>
      </c>
      <c r="N859">
        <f t="shared" si="13"/>
        <v>12</v>
      </c>
    </row>
    <row r="860" spans="2:14" x14ac:dyDescent="0.25">
      <c r="B860">
        <v>841</v>
      </c>
      <c r="C860" t="s">
        <v>33</v>
      </c>
      <c r="D860">
        <v>1</v>
      </c>
      <c r="E860" t="s">
        <v>34</v>
      </c>
      <c r="F860" s="6">
        <v>46083.430555555555</v>
      </c>
      <c r="G860" s="6">
        <v>46083.434027777781</v>
      </c>
      <c r="H860" s="6">
        <v>46083.447916666664</v>
      </c>
      <c r="I860" s="6">
        <v>46083.625</v>
      </c>
      <c r="J860" s="6">
        <v>46083.715277777781</v>
      </c>
      <c r="K860" s="6">
        <v>46083.71597222222</v>
      </c>
      <c r="L860">
        <v>6.85</v>
      </c>
      <c r="M860" s="6">
        <v>46083.716666666667</v>
      </c>
      <c r="N860">
        <f t="shared" si="13"/>
        <v>10</v>
      </c>
    </row>
    <row r="861" spans="2:14" x14ac:dyDescent="0.25">
      <c r="B861">
        <v>842</v>
      </c>
      <c r="C861" t="s">
        <v>31</v>
      </c>
      <c r="D861">
        <v>1</v>
      </c>
      <c r="E861" t="s">
        <v>30</v>
      </c>
      <c r="F861" s="6">
        <v>46083.770138888889</v>
      </c>
      <c r="G861" s="6">
        <v>46083.777777777781</v>
      </c>
      <c r="H861" s="6">
        <v>46083.788194444445</v>
      </c>
      <c r="I861" s="6">
        <v>46083.809027777781</v>
      </c>
      <c r="J861" s="6">
        <v>46083.8125</v>
      </c>
      <c r="K861" s="6">
        <v>46083.813888888886</v>
      </c>
      <c r="L861">
        <v>1.05</v>
      </c>
      <c r="M861" s="6">
        <v>46083.820833333331</v>
      </c>
      <c r="N861">
        <f t="shared" si="13"/>
        <v>18</v>
      </c>
    </row>
    <row r="862" spans="2:14" x14ac:dyDescent="0.25">
      <c r="B862">
        <v>843</v>
      </c>
      <c r="C862" t="s">
        <v>33</v>
      </c>
      <c r="D862">
        <v>1</v>
      </c>
      <c r="E862" t="s">
        <v>34</v>
      </c>
      <c r="F862" s="6">
        <v>46083.291666666664</v>
      </c>
      <c r="G862" s="6">
        <v>46083.309027777781</v>
      </c>
      <c r="H862" s="6">
        <v>46083.3125</v>
      </c>
      <c r="I862" s="6">
        <v>46083.34652777778</v>
      </c>
      <c r="J862" s="6">
        <v>46083.357638888891</v>
      </c>
      <c r="K862" s="6">
        <v>46083.385416666664</v>
      </c>
      <c r="L862">
        <v>2.25</v>
      </c>
      <c r="M862" s="6">
        <v>46083.388888888891</v>
      </c>
      <c r="N862">
        <f t="shared" si="13"/>
        <v>7</v>
      </c>
    </row>
    <row r="863" spans="2:14" x14ac:dyDescent="0.25">
      <c r="B863">
        <v>844</v>
      </c>
      <c r="C863" t="s">
        <v>31</v>
      </c>
      <c r="D863">
        <v>1</v>
      </c>
      <c r="E863" t="s">
        <v>36</v>
      </c>
      <c r="F863" s="6">
        <v>46083.708333333336</v>
      </c>
      <c r="G863" s="6">
        <v>46083.715277777781</v>
      </c>
      <c r="H863" s="6">
        <v>46083.736111111109</v>
      </c>
      <c r="I863" s="6">
        <v>46083.840277777781</v>
      </c>
      <c r="J863" s="6">
        <v>46083.847222222219</v>
      </c>
      <c r="K863" s="6">
        <v>46083.861111111109</v>
      </c>
      <c r="L863">
        <v>3.67</v>
      </c>
      <c r="M863" s="6">
        <v>46083.868055555555</v>
      </c>
      <c r="N863">
        <f t="shared" si="13"/>
        <v>17</v>
      </c>
    </row>
    <row r="864" spans="2:14" x14ac:dyDescent="0.25">
      <c r="B864">
        <v>845</v>
      </c>
      <c r="C864" t="s">
        <v>31</v>
      </c>
      <c r="D864">
        <v>1</v>
      </c>
      <c r="E864" t="s">
        <v>36</v>
      </c>
      <c r="F864" s="6">
        <v>46083.541666666664</v>
      </c>
      <c r="G864" s="6">
        <v>46083.552083333336</v>
      </c>
      <c r="H864" s="6">
        <v>46083.583333333336</v>
      </c>
      <c r="I864" s="6">
        <v>46083.645833333336</v>
      </c>
      <c r="J864" s="6">
        <v>46083.65625</v>
      </c>
      <c r="K864" s="6">
        <v>46083.666666666664</v>
      </c>
      <c r="L864">
        <v>3</v>
      </c>
      <c r="M864" s="6">
        <v>46083.667361111111</v>
      </c>
      <c r="N864">
        <f t="shared" si="13"/>
        <v>13</v>
      </c>
    </row>
    <row r="865" spans="2:14" x14ac:dyDescent="0.25">
      <c r="B865">
        <v>846</v>
      </c>
      <c r="C865" t="s">
        <v>29</v>
      </c>
      <c r="D865">
        <v>1</v>
      </c>
      <c r="E865" t="s">
        <v>35</v>
      </c>
      <c r="F865" s="6">
        <v>46082.619444444441</v>
      </c>
      <c r="G865" s="6">
        <v>46082.625</v>
      </c>
      <c r="H865" s="6">
        <v>46082.631944444445</v>
      </c>
      <c r="I865" s="6">
        <v>46082.638888888891</v>
      </c>
      <c r="J865" s="6">
        <v>46082.645833333336</v>
      </c>
      <c r="K865" s="6">
        <v>46082.652777777781</v>
      </c>
      <c r="L865">
        <v>0.8</v>
      </c>
      <c r="M865" s="6">
        <v>46082.659722222219</v>
      </c>
      <c r="N865">
        <f t="shared" si="13"/>
        <v>14</v>
      </c>
    </row>
    <row r="866" spans="2:14" x14ac:dyDescent="0.25">
      <c r="B866">
        <v>847</v>
      </c>
      <c r="C866" t="s">
        <v>29</v>
      </c>
      <c r="D866">
        <v>1</v>
      </c>
      <c r="E866" t="s">
        <v>30</v>
      </c>
      <c r="F866" s="6">
        <v>46082.692361111112</v>
      </c>
      <c r="G866" s="6">
        <v>46082.694444444445</v>
      </c>
      <c r="H866" s="6">
        <v>46082.71875</v>
      </c>
      <c r="I866" s="6">
        <v>46082.759722222225</v>
      </c>
      <c r="J866" s="6">
        <v>46082.760416666664</v>
      </c>
      <c r="K866" s="6">
        <v>46082.761111111111</v>
      </c>
      <c r="L866">
        <v>1.65</v>
      </c>
      <c r="M866" s="6">
        <v>46082.761805555558</v>
      </c>
      <c r="N866">
        <f t="shared" si="13"/>
        <v>16</v>
      </c>
    </row>
    <row r="867" spans="2:14" x14ac:dyDescent="0.25">
      <c r="B867">
        <v>848</v>
      </c>
      <c r="C867" t="s">
        <v>33</v>
      </c>
      <c r="D867">
        <v>1</v>
      </c>
      <c r="E867" t="s">
        <v>30</v>
      </c>
      <c r="F867" s="6">
        <v>46083.291666666664</v>
      </c>
      <c r="G867" s="6">
        <v>46083.350694444445</v>
      </c>
      <c r="H867" s="6">
        <v>46083.357638888891</v>
      </c>
      <c r="I867" s="6">
        <v>46083.46875</v>
      </c>
      <c r="J867" s="6">
        <v>46083.475694444445</v>
      </c>
      <c r="K867" s="6">
        <v>46083.479166666664</v>
      </c>
      <c r="L867">
        <v>4.5</v>
      </c>
      <c r="M867" s="6">
        <v>46083.486111111109</v>
      </c>
      <c r="N867">
        <f t="shared" si="13"/>
        <v>7</v>
      </c>
    </row>
    <row r="868" spans="2:14" x14ac:dyDescent="0.25">
      <c r="B868">
        <v>849</v>
      </c>
      <c r="C868" t="s">
        <v>31</v>
      </c>
      <c r="D868">
        <v>1</v>
      </c>
      <c r="E868" t="s">
        <v>30</v>
      </c>
      <c r="F868" s="6">
        <v>46082.909722222219</v>
      </c>
      <c r="G868" s="6">
        <v>46082.916666666664</v>
      </c>
      <c r="H868" s="6">
        <v>46082.940972222219</v>
      </c>
      <c r="I868" s="6">
        <v>46083.0625</v>
      </c>
      <c r="J868" s="6">
        <v>46083.069444444445</v>
      </c>
      <c r="K868" s="6">
        <v>46083.076388888891</v>
      </c>
      <c r="L868">
        <v>4</v>
      </c>
      <c r="M868" s="6">
        <v>46083.083333333336</v>
      </c>
      <c r="N868">
        <f t="shared" si="13"/>
        <v>21</v>
      </c>
    </row>
    <row r="869" spans="2:14" x14ac:dyDescent="0.25">
      <c r="B869">
        <v>850</v>
      </c>
      <c r="C869" t="s">
        <v>29</v>
      </c>
      <c r="D869">
        <v>1</v>
      </c>
      <c r="E869" t="s">
        <v>30</v>
      </c>
      <c r="F869" s="6">
        <v>46082.913194444445</v>
      </c>
      <c r="G869" s="6">
        <v>46082.920138888891</v>
      </c>
      <c r="H869" s="6">
        <v>46082.934027777781</v>
      </c>
      <c r="I869" s="6">
        <v>46082.944444444445</v>
      </c>
      <c r="J869" s="6">
        <v>46082.951388888891</v>
      </c>
      <c r="K869" s="6">
        <v>46082.958333333336</v>
      </c>
      <c r="L869">
        <v>1.08</v>
      </c>
      <c r="M869" s="6">
        <v>46082.965277777781</v>
      </c>
      <c r="N869">
        <f t="shared" si="13"/>
        <v>21</v>
      </c>
    </row>
    <row r="870" spans="2:14" x14ac:dyDescent="0.25">
      <c r="B870">
        <v>851</v>
      </c>
      <c r="C870" t="s">
        <v>29</v>
      </c>
      <c r="D870">
        <v>1</v>
      </c>
      <c r="E870" t="s">
        <v>30</v>
      </c>
      <c r="F870" s="6">
        <v>46082.979166666664</v>
      </c>
      <c r="G870" s="6">
        <v>46082.986111111109</v>
      </c>
      <c r="H870" s="6">
        <v>46082.986805555556</v>
      </c>
      <c r="I870" s="6">
        <v>46082.989583333336</v>
      </c>
      <c r="J870" s="6">
        <v>46082.993055555555</v>
      </c>
      <c r="K870" s="6">
        <v>46082.996527777781</v>
      </c>
      <c r="L870">
        <v>0.42</v>
      </c>
      <c r="M870" s="6">
        <v>46082.997916666667</v>
      </c>
      <c r="N870">
        <f t="shared" si="13"/>
        <v>23</v>
      </c>
    </row>
    <row r="871" spans="2:14" x14ac:dyDescent="0.25">
      <c r="B871">
        <v>852</v>
      </c>
      <c r="C871" t="s">
        <v>29</v>
      </c>
      <c r="D871">
        <v>1</v>
      </c>
      <c r="E871" t="s">
        <v>30</v>
      </c>
      <c r="F871" s="6">
        <v>46083.107638888891</v>
      </c>
      <c r="G871" s="6">
        <v>46083.111111111109</v>
      </c>
      <c r="H871" s="6">
        <v>46083.114583333336</v>
      </c>
      <c r="I871" s="6">
        <v>46083.14166666667</v>
      </c>
      <c r="J871" s="6">
        <v>46083.143750000003</v>
      </c>
      <c r="K871" s="6">
        <v>46083.145138888889</v>
      </c>
      <c r="L871">
        <v>0.9</v>
      </c>
      <c r="M871" s="6">
        <v>46083.152083333334</v>
      </c>
      <c r="N871">
        <f t="shared" si="13"/>
        <v>2</v>
      </c>
    </row>
    <row r="872" spans="2:14" x14ac:dyDescent="0.25">
      <c r="B872">
        <v>853</v>
      </c>
      <c r="C872" t="s">
        <v>33</v>
      </c>
      <c r="D872">
        <v>1</v>
      </c>
      <c r="E872" t="s">
        <v>30</v>
      </c>
      <c r="F872" s="6">
        <v>46083.322916666664</v>
      </c>
      <c r="G872" s="6">
        <v>46083.329861111109</v>
      </c>
      <c r="H872" s="6">
        <v>46083.368055555555</v>
      </c>
      <c r="I872" s="6">
        <v>46083.381944444445</v>
      </c>
      <c r="J872" s="6">
        <v>46083.388888888891</v>
      </c>
      <c r="K872" s="6">
        <v>46083.395833333336</v>
      </c>
      <c r="L872">
        <v>1.75</v>
      </c>
      <c r="M872" s="6">
        <v>46083.402777777781</v>
      </c>
      <c r="N872">
        <f t="shared" si="13"/>
        <v>7</v>
      </c>
    </row>
    <row r="873" spans="2:14" x14ac:dyDescent="0.25">
      <c r="B873">
        <v>854</v>
      </c>
      <c r="C873" t="s">
        <v>31</v>
      </c>
      <c r="D873">
        <v>1</v>
      </c>
      <c r="E873" t="s">
        <v>30</v>
      </c>
      <c r="F873" s="6">
        <v>46083.364583333336</v>
      </c>
      <c r="G873" s="6">
        <v>46083.392361111109</v>
      </c>
      <c r="H873" s="6">
        <v>46083.409722222219</v>
      </c>
      <c r="I873" s="6">
        <v>46083.479166666664</v>
      </c>
      <c r="J873" s="6">
        <v>46083.486111111109</v>
      </c>
      <c r="K873" s="6">
        <v>46083.604166666664</v>
      </c>
      <c r="L873">
        <v>5.75</v>
      </c>
      <c r="M873" s="6">
        <v>46083.611111111109</v>
      </c>
      <c r="N873">
        <f t="shared" si="13"/>
        <v>8</v>
      </c>
    </row>
    <row r="874" spans="2:14" x14ac:dyDescent="0.25">
      <c r="B874">
        <v>855</v>
      </c>
      <c r="C874" t="s">
        <v>33</v>
      </c>
      <c r="D874">
        <v>1</v>
      </c>
      <c r="E874" t="s">
        <v>32</v>
      </c>
      <c r="F874" s="6">
        <v>46083.444444444445</v>
      </c>
      <c r="G874" s="6">
        <v>46083.451388888891</v>
      </c>
      <c r="H874" s="6">
        <v>46083.46875</v>
      </c>
      <c r="I874" s="6">
        <v>46083.506944444445</v>
      </c>
      <c r="J874" s="6">
        <v>46083.513888888891</v>
      </c>
      <c r="K874" s="6">
        <v>46083.517361111109</v>
      </c>
      <c r="L874">
        <v>1.75</v>
      </c>
      <c r="M874" s="6">
        <v>46083.524305555555</v>
      </c>
      <c r="N874">
        <f t="shared" si="13"/>
        <v>10</v>
      </c>
    </row>
    <row r="875" spans="2:14" x14ac:dyDescent="0.25">
      <c r="B875">
        <v>856</v>
      </c>
      <c r="C875" t="s">
        <v>33</v>
      </c>
      <c r="D875">
        <v>1</v>
      </c>
      <c r="E875" t="s">
        <v>30</v>
      </c>
      <c r="F875" s="6">
        <v>46083.565972222219</v>
      </c>
      <c r="G875" s="6">
        <v>46083.583333333336</v>
      </c>
      <c r="H875" s="6">
        <v>46083.604166666664</v>
      </c>
      <c r="I875" s="6">
        <v>46083.652777777781</v>
      </c>
      <c r="J875" s="6">
        <v>46083.65347222222</v>
      </c>
      <c r="K875" s="6">
        <v>46083.654166666667</v>
      </c>
      <c r="L875">
        <v>2.12</v>
      </c>
      <c r="M875" s="6">
        <v>46083.661111111112</v>
      </c>
      <c r="N875">
        <f t="shared" si="13"/>
        <v>13</v>
      </c>
    </row>
    <row r="876" spans="2:14" x14ac:dyDescent="0.25">
      <c r="B876">
        <v>857</v>
      </c>
      <c r="C876" t="s">
        <v>33</v>
      </c>
      <c r="D876">
        <v>1</v>
      </c>
      <c r="E876" t="s">
        <v>34</v>
      </c>
      <c r="F876" s="6">
        <v>46084.291666666664</v>
      </c>
      <c r="G876" s="6">
        <v>46084.333333333336</v>
      </c>
      <c r="H876" s="6">
        <v>46084.35</v>
      </c>
      <c r="I876" s="6">
        <v>46084.506944444445</v>
      </c>
      <c r="J876" s="6">
        <v>46084.520833333336</v>
      </c>
      <c r="K876" s="6">
        <v>46084.527777777781</v>
      </c>
      <c r="L876">
        <v>5.67</v>
      </c>
      <c r="M876" s="6">
        <v>46084.534722222219</v>
      </c>
      <c r="N876">
        <f t="shared" si="13"/>
        <v>7</v>
      </c>
    </row>
    <row r="877" spans="2:14" x14ac:dyDescent="0.25">
      <c r="B877">
        <v>858</v>
      </c>
      <c r="C877" t="s">
        <v>31</v>
      </c>
      <c r="D877">
        <v>1</v>
      </c>
      <c r="E877" t="s">
        <v>35</v>
      </c>
      <c r="F877" s="6">
        <v>46084.645833333336</v>
      </c>
      <c r="G877" s="6">
        <v>46084.655555555553</v>
      </c>
      <c r="H877" s="6">
        <v>46084.680555555555</v>
      </c>
      <c r="I877" s="6">
        <v>46084.80972222222</v>
      </c>
      <c r="J877" s="6">
        <v>46084.810416666667</v>
      </c>
      <c r="K877" s="6">
        <v>46084.811111111114</v>
      </c>
      <c r="L877">
        <v>3.97</v>
      </c>
      <c r="M877" s="6">
        <v>46084.818055555559</v>
      </c>
      <c r="N877">
        <f t="shared" si="13"/>
        <v>15</v>
      </c>
    </row>
    <row r="878" spans="2:14" x14ac:dyDescent="0.25">
      <c r="B878">
        <v>859</v>
      </c>
      <c r="C878" t="s">
        <v>31</v>
      </c>
      <c r="D878">
        <v>1</v>
      </c>
      <c r="E878" t="s">
        <v>32</v>
      </c>
      <c r="F878" s="6">
        <v>46084.472222222219</v>
      </c>
      <c r="G878" s="6">
        <v>46084.486111111109</v>
      </c>
      <c r="H878" s="6">
        <v>46084.524305555555</v>
      </c>
      <c r="I878" s="6">
        <v>46084.621527777781</v>
      </c>
      <c r="J878" s="6">
        <v>46084.628472222219</v>
      </c>
      <c r="K878" s="6">
        <v>46084.635416666664</v>
      </c>
      <c r="L878">
        <v>3.92</v>
      </c>
      <c r="M878" s="6">
        <v>46084.638888888891</v>
      </c>
      <c r="N878">
        <f t="shared" si="13"/>
        <v>11</v>
      </c>
    </row>
    <row r="879" spans="2:14" x14ac:dyDescent="0.25">
      <c r="B879">
        <v>860</v>
      </c>
      <c r="C879" t="s">
        <v>33</v>
      </c>
      <c r="D879">
        <v>1</v>
      </c>
      <c r="E879" t="s">
        <v>32</v>
      </c>
      <c r="F879" s="6">
        <v>46084.550694444442</v>
      </c>
      <c r="G879" s="6">
        <v>46084.555555555555</v>
      </c>
      <c r="H879" s="6">
        <v>46084.569444444445</v>
      </c>
      <c r="I879" s="6">
        <v>46084.59375</v>
      </c>
      <c r="J879" s="6">
        <v>46084.600694444445</v>
      </c>
      <c r="K879" s="6">
        <v>46084.611111111109</v>
      </c>
      <c r="L879">
        <v>1.45</v>
      </c>
      <c r="M879" s="6">
        <v>46084.614583333336</v>
      </c>
      <c r="N879">
        <f t="shared" si="13"/>
        <v>13</v>
      </c>
    </row>
    <row r="880" spans="2:14" x14ac:dyDescent="0.25">
      <c r="B880">
        <v>861</v>
      </c>
      <c r="C880" t="s">
        <v>31</v>
      </c>
      <c r="D880">
        <v>1</v>
      </c>
      <c r="E880" t="s">
        <v>34</v>
      </c>
      <c r="F880" s="6">
        <v>46084.746527777781</v>
      </c>
      <c r="G880" s="6">
        <v>46084.756944444445</v>
      </c>
      <c r="H880" s="6">
        <v>46084.788194444445</v>
      </c>
      <c r="I880" s="6">
        <v>46084.9375</v>
      </c>
      <c r="J880" s="6">
        <v>46084.944444444445</v>
      </c>
      <c r="K880" s="6">
        <v>46084.958333333336</v>
      </c>
      <c r="L880">
        <v>5.08</v>
      </c>
      <c r="M880" s="6">
        <v>46084.961805555555</v>
      </c>
      <c r="N880">
        <f t="shared" si="13"/>
        <v>17</v>
      </c>
    </row>
    <row r="881" spans="2:14" x14ac:dyDescent="0.25">
      <c r="B881">
        <v>862</v>
      </c>
      <c r="C881" t="s">
        <v>31</v>
      </c>
      <c r="D881">
        <v>1</v>
      </c>
      <c r="E881" t="s">
        <v>37</v>
      </c>
      <c r="F881" s="6">
        <v>46084.345833333333</v>
      </c>
      <c r="G881" s="6">
        <v>46084.354166666664</v>
      </c>
      <c r="H881" s="6">
        <v>46084.378472222219</v>
      </c>
      <c r="I881" s="6">
        <v>46084.386805555558</v>
      </c>
      <c r="J881" s="6">
        <v>46084.388888888891</v>
      </c>
      <c r="K881" s="6">
        <v>46084.438888888886</v>
      </c>
      <c r="L881">
        <v>2.23</v>
      </c>
      <c r="M881" s="6">
        <v>46084.439583333333</v>
      </c>
      <c r="N881">
        <f t="shared" si="13"/>
        <v>8</v>
      </c>
    </row>
    <row r="882" spans="2:14" x14ac:dyDescent="0.25">
      <c r="B882">
        <v>863</v>
      </c>
      <c r="C882" t="s">
        <v>33</v>
      </c>
      <c r="D882">
        <v>1</v>
      </c>
      <c r="E882" t="s">
        <v>36</v>
      </c>
      <c r="F882" s="6">
        <v>46084.427083333336</v>
      </c>
      <c r="G882" s="6">
        <v>46084.430555555555</v>
      </c>
      <c r="H882" s="6">
        <v>46084.451388888891</v>
      </c>
      <c r="I882" s="6">
        <v>46084.461805555555</v>
      </c>
      <c r="J882" s="6">
        <v>46084.472222222219</v>
      </c>
      <c r="K882" s="6">
        <v>46084.510416666664</v>
      </c>
      <c r="L882">
        <v>2</v>
      </c>
      <c r="M882" s="6">
        <v>46084.517361111109</v>
      </c>
      <c r="N882">
        <f t="shared" si="13"/>
        <v>10</v>
      </c>
    </row>
    <row r="883" spans="2:14" x14ac:dyDescent="0.25">
      <c r="B883">
        <v>864</v>
      </c>
      <c r="C883" t="s">
        <v>29</v>
      </c>
      <c r="D883">
        <v>1</v>
      </c>
      <c r="E883" t="s">
        <v>35</v>
      </c>
      <c r="F883" s="6">
        <v>46084.319444444445</v>
      </c>
      <c r="G883" s="6">
        <v>46084.329861111109</v>
      </c>
      <c r="H883" s="6">
        <v>46084.361111111109</v>
      </c>
      <c r="I883" s="6">
        <v>46084.381944444445</v>
      </c>
      <c r="J883" s="6">
        <v>46084.395833333336</v>
      </c>
      <c r="K883" s="6">
        <v>46084.40625</v>
      </c>
      <c r="L883">
        <v>2.08</v>
      </c>
      <c r="M883" s="6">
        <v>46084.409722222219</v>
      </c>
      <c r="N883">
        <f t="shared" si="13"/>
        <v>7</v>
      </c>
    </row>
    <row r="884" spans="2:14" x14ac:dyDescent="0.25">
      <c r="B884">
        <v>865</v>
      </c>
      <c r="C884" t="s">
        <v>29</v>
      </c>
      <c r="D884">
        <v>1</v>
      </c>
      <c r="E884" t="s">
        <v>30</v>
      </c>
      <c r="F884" s="6">
        <v>46083.649305555555</v>
      </c>
      <c r="G884" s="6">
        <v>46083.65625</v>
      </c>
      <c r="H884" s="6">
        <v>46083.656944444447</v>
      </c>
      <c r="I884" s="6">
        <v>46083.708333333336</v>
      </c>
      <c r="J884" s="6">
        <v>46083.715277777781</v>
      </c>
      <c r="K884" s="6">
        <v>46083.739583333336</v>
      </c>
      <c r="L884">
        <v>2.15</v>
      </c>
      <c r="M884" s="6">
        <v>46083.746527777781</v>
      </c>
      <c r="N884">
        <f t="shared" si="13"/>
        <v>15</v>
      </c>
    </row>
    <row r="885" spans="2:14" x14ac:dyDescent="0.25">
      <c r="B885">
        <v>866</v>
      </c>
      <c r="C885" t="s">
        <v>33</v>
      </c>
      <c r="D885">
        <v>1</v>
      </c>
      <c r="E885" t="s">
        <v>34</v>
      </c>
      <c r="F885" s="6">
        <v>46083.760416666664</v>
      </c>
      <c r="G885" s="6">
        <v>46083.770833333336</v>
      </c>
      <c r="H885" s="6">
        <v>46083.795138888891</v>
      </c>
      <c r="I885" s="6">
        <v>46083.819444444445</v>
      </c>
      <c r="J885" s="6">
        <v>46083.822916666664</v>
      </c>
      <c r="K885" s="6">
        <v>46083.826388888891</v>
      </c>
      <c r="L885">
        <v>1.58</v>
      </c>
      <c r="M885" s="6">
        <v>46083.833333333336</v>
      </c>
      <c r="N885">
        <f t="shared" si="13"/>
        <v>18</v>
      </c>
    </row>
    <row r="886" spans="2:14" x14ac:dyDescent="0.25">
      <c r="B886">
        <v>867</v>
      </c>
      <c r="C886" t="s">
        <v>33</v>
      </c>
      <c r="D886">
        <v>1</v>
      </c>
      <c r="E886" t="s">
        <v>30</v>
      </c>
      <c r="F886" s="6">
        <v>46083.729166666664</v>
      </c>
      <c r="G886" s="6">
        <v>46083.736111111109</v>
      </c>
      <c r="H886" s="6">
        <v>46083.75</v>
      </c>
      <c r="I886" s="6">
        <v>46083.770833333336</v>
      </c>
      <c r="J886" s="6">
        <v>46083.777777777781</v>
      </c>
      <c r="K886" s="6">
        <v>46083.77847222222</v>
      </c>
      <c r="L886">
        <v>1.18</v>
      </c>
      <c r="M886" s="6">
        <v>46083.785416666666</v>
      </c>
      <c r="N886">
        <f t="shared" si="13"/>
        <v>17</v>
      </c>
    </row>
    <row r="887" spans="2:14" x14ac:dyDescent="0.25">
      <c r="B887">
        <v>868</v>
      </c>
      <c r="C887" t="s">
        <v>29</v>
      </c>
      <c r="D887">
        <v>1</v>
      </c>
      <c r="E887" t="s">
        <v>30</v>
      </c>
      <c r="F887" s="6">
        <v>46083.929861111108</v>
      </c>
      <c r="G887" s="6">
        <v>46083.930555555555</v>
      </c>
      <c r="H887" s="6">
        <v>46083.958333333336</v>
      </c>
      <c r="I887" s="6">
        <v>46084.083333333336</v>
      </c>
      <c r="J887" s="6">
        <v>46084.090277777781</v>
      </c>
      <c r="K887" s="6">
        <v>46084.104166666664</v>
      </c>
      <c r="L887">
        <v>4.18</v>
      </c>
      <c r="M887" s="6">
        <v>46084.111111111109</v>
      </c>
      <c r="N887">
        <f t="shared" si="13"/>
        <v>22</v>
      </c>
    </row>
    <row r="888" spans="2:14" x14ac:dyDescent="0.25">
      <c r="B888">
        <v>869</v>
      </c>
      <c r="C888" t="s">
        <v>31</v>
      </c>
      <c r="D888">
        <v>1</v>
      </c>
      <c r="E888" t="s">
        <v>36</v>
      </c>
      <c r="F888" s="6">
        <v>46084.291666666664</v>
      </c>
      <c r="G888" s="6">
        <v>46084.333333333336</v>
      </c>
      <c r="H888" s="6">
        <v>46084.340277777781</v>
      </c>
      <c r="I888" s="6">
        <v>46084.409722222219</v>
      </c>
      <c r="J888" s="6">
        <v>46084.416666666664</v>
      </c>
      <c r="K888" s="6">
        <v>46084.423611111109</v>
      </c>
      <c r="L888">
        <v>3.17</v>
      </c>
      <c r="M888" s="6">
        <v>46084.430555555555</v>
      </c>
      <c r="N888">
        <f t="shared" si="13"/>
        <v>7</v>
      </c>
    </row>
    <row r="889" spans="2:14" x14ac:dyDescent="0.25">
      <c r="B889">
        <v>870</v>
      </c>
      <c r="C889" t="s">
        <v>33</v>
      </c>
      <c r="D889">
        <v>1</v>
      </c>
      <c r="E889" t="s">
        <v>30</v>
      </c>
      <c r="F889" s="6">
        <v>46083.890972222223</v>
      </c>
      <c r="G889" s="6">
        <v>46083.897916666669</v>
      </c>
      <c r="H889" s="6">
        <v>46083.90347222222</v>
      </c>
      <c r="I889" s="6">
        <v>46083.945138888892</v>
      </c>
      <c r="J889" s="6">
        <v>46083.947222222225</v>
      </c>
      <c r="K889" s="6">
        <v>46083.947916666664</v>
      </c>
      <c r="L889">
        <v>1.37</v>
      </c>
      <c r="M889" s="6">
        <v>46083.954861111109</v>
      </c>
      <c r="N889">
        <f t="shared" si="13"/>
        <v>21</v>
      </c>
    </row>
    <row r="890" spans="2:14" x14ac:dyDescent="0.25">
      <c r="B890">
        <v>871</v>
      </c>
      <c r="C890" t="s">
        <v>33</v>
      </c>
      <c r="D890">
        <v>1</v>
      </c>
      <c r="E890" t="s">
        <v>30</v>
      </c>
      <c r="F890" s="6">
        <v>46083.972222222219</v>
      </c>
      <c r="G890" s="6">
        <v>46083.979166666664</v>
      </c>
      <c r="H890" s="6">
        <v>46083.989583333336</v>
      </c>
      <c r="I890" s="6">
        <v>46084.003472222219</v>
      </c>
      <c r="J890" s="6">
        <v>46084.006944444445</v>
      </c>
      <c r="K890" s="6">
        <v>46084.013888888891</v>
      </c>
      <c r="L890">
        <v>1</v>
      </c>
      <c r="M890" s="6">
        <v>46084.020833333336</v>
      </c>
      <c r="N890">
        <f t="shared" si="13"/>
        <v>23</v>
      </c>
    </row>
    <row r="891" spans="2:14" x14ac:dyDescent="0.25">
      <c r="B891">
        <v>872</v>
      </c>
      <c r="C891" t="s">
        <v>29</v>
      </c>
      <c r="D891">
        <v>1</v>
      </c>
      <c r="E891" t="s">
        <v>30</v>
      </c>
      <c r="F891" s="6">
        <v>46084</v>
      </c>
      <c r="G891" s="6">
        <v>46084.006944444445</v>
      </c>
      <c r="H891" s="6">
        <v>46084.010416666664</v>
      </c>
      <c r="I891" s="6">
        <v>46084.020833333336</v>
      </c>
      <c r="J891" s="6">
        <v>46084.027777777781</v>
      </c>
      <c r="K891" s="6">
        <v>46084.02847222222</v>
      </c>
      <c r="L891">
        <v>0.68</v>
      </c>
      <c r="M891" s="6">
        <v>46084.035416666666</v>
      </c>
      <c r="N891">
        <f t="shared" si="13"/>
        <v>0</v>
      </c>
    </row>
    <row r="892" spans="2:14" x14ac:dyDescent="0.25">
      <c r="B892">
        <v>873</v>
      </c>
      <c r="C892" t="s">
        <v>29</v>
      </c>
      <c r="D892">
        <v>1</v>
      </c>
      <c r="E892" t="s">
        <v>30</v>
      </c>
      <c r="F892" s="6">
        <v>46084.045138888891</v>
      </c>
      <c r="G892" s="6">
        <v>46084.052083333336</v>
      </c>
      <c r="H892" s="6">
        <v>46084.076388888891</v>
      </c>
      <c r="I892" s="6">
        <v>46084.111111111109</v>
      </c>
      <c r="J892" s="6">
        <v>46084.118055555555</v>
      </c>
      <c r="K892" s="6">
        <v>46084.125</v>
      </c>
      <c r="L892">
        <v>1.92</v>
      </c>
      <c r="M892" s="6">
        <v>46084.131944444445</v>
      </c>
      <c r="N892">
        <f t="shared" si="13"/>
        <v>1</v>
      </c>
    </row>
    <row r="893" spans="2:14" x14ac:dyDescent="0.25">
      <c r="B893">
        <v>874</v>
      </c>
      <c r="C893" t="s">
        <v>29</v>
      </c>
      <c r="D893">
        <v>1</v>
      </c>
      <c r="E893" t="s">
        <v>36</v>
      </c>
      <c r="F893" s="6">
        <v>46084.480555555558</v>
      </c>
      <c r="G893" s="6">
        <v>46084.503472222219</v>
      </c>
      <c r="H893" s="6">
        <v>46084.504166666666</v>
      </c>
      <c r="I893" s="6">
        <v>46084.51458333333</v>
      </c>
      <c r="J893" s="6">
        <v>46084.515972222223</v>
      </c>
      <c r="K893" s="6">
        <v>46084.534722222219</v>
      </c>
      <c r="L893">
        <v>1.3</v>
      </c>
      <c r="M893" s="6">
        <v>46084.535416666666</v>
      </c>
      <c r="N893">
        <f t="shared" si="13"/>
        <v>11</v>
      </c>
    </row>
    <row r="894" spans="2:14" x14ac:dyDescent="0.25">
      <c r="B894">
        <v>875</v>
      </c>
      <c r="C894" t="s">
        <v>29</v>
      </c>
      <c r="D894">
        <v>1</v>
      </c>
      <c r="E894" t="s">
        <v>30</v>
      </c>
      <c r="F894" s="6">
        <v>46084.479166666664</v>
      </c>
      <c r="G894" s="6">
        <v>46084.489583333336</v>
      </c>
      <c r="H894" s="6">
        <v>46084.496527777781</v>
      </c>
      <c r="I894" s="6">
        <v>46084.506944444445</v>
      </c>
      <c r="J894" s="6">
        <v>46084.513888888891</v>
      </c>
      <c r="K894" s="6">
        <v>46084.520833333336</v>
      </c>
      <c r="L894">
        <v>1</v>
      </c>
      <c r="M894" s="6">
        <v>46084.527777777781</v>
      </c>
      <c r="N894">
        <f t="shared" si="13"/>
        <v>11</v>
      </c>
    </row>
    <row r="895" spans="2:14" x14ac:dyDescent="0.25">
      <c r="B895">
        <v>876</v>
      </c>
      <c r="C895" t="s">
        <v>31</v>
      </c>
      <c r="D895">
        <v>1</v>
      </c>
      <c r="E895" t="s">
        <v>36</v>
      </c>
      <c r="F895" s="6">
        <v>46084.607638888891</v>
      </c>
      <c r="G895" s="6">
        <v>46084.625</v>
      </c>
      <c r="H895" s="6">
        <v>46084.645833333336</v>
      </c>
      <c r="I895" s="6">
        <v>46084.701388888891</v>
      </c>
      <c r="J895" s="6">
        <v>46084.770833333336</v>
      </c>
      <c r="K895" s="6">
        <v>46084.777777777781</v>
      </c>
      <c r="L895">
        <v>4.08</v>
      </c>
      <c r="M895" s="6">
        <v>46084.779166666667</v>
      </c>
      <c r="N895">
        <f t="shared" si="13"/>
        <v>14</v>
      </c>
    </row>
    <row r="896" spans="2:14" x14ac:dyDescent="0.25">
      <c r="B896">
        <v>877</v>
      </c>
      <c r="C896" t="s">
        <v>31</v>
      </c>
      <c r="D896">
        <v>1</v>
      </c>
      <c r="E896" t="s">
        <v>30</v>
      </c>
      <c r="F896" s="6">
        <v>46084.57708333333</v>
      </c>
      <c r="G896" s="6">
        <v>46084.583333333336</v>
      </c>
      <c r="H896" s="6">
        <v>46084.611111111109</v>
      </c>
      <c r="I896" s="6">
        <v>46084.645833333336</v>
      </c>
      <c r="J896" s="6">
        <v>46084.666666666664</v>
      </c>
      <c r="K896" s="6">
        <v>46084.722222222219</v>
      </c>
      <c r="L896">
        <v>3.48</v>
      </c>
      <c r="M896" s="6">
        <v>46084.729166666664</v>
      </c>
      <c r="N896">
        <f t="shared" si="13"/>
        <v>13</v>
      </c>
    </row>
    <row r="897" spans="2:14" x14ac:dyDescent="0.25">
      <c r="B897">
        <v>878</v>
      </c>
      <c r="C897" t="s">
        <v>31</v>
      </c>
      <c r="D897">
        <v>1</v>
      </c>
      <c r="E897" t="s">
        <v>32</v>
      </c>
      <c r="F897" s="6">
        <v>46086.361111111109</v>
      </c>
      <c r="G897" s="6">
        <v>46086.363194444442</v>
      </c>
      <c r="H897" s="6">
        <v>46086.364583333336</v>
      </c>
      <c r="I897" s="6">
        <v>46086.372916666667</v>
      </c>
      <c r="J897" s="6">
        <v>46086.375</v>
      </c>
      <c r="K897" s="6">
        <v>46086.388888888891</v>
      </c>
      <c r="L897">
        <v>0.67</v>
      </c>
      <c r="M897" s="6">
        <v>46086.38958333333</v>
      </c>
      <c r="N897">
        <f t="shared" si="13"/>
        <v>8</v>
      </c>
    </row>
    <row r="898" spans="2:14" x14ac:dyDescent="0.25">
      <c r="B898">
        <v>879</v>
      </c>
      <c r="C898" t="s">
        <v>31</v>
      </c>
      <c r="D898">
        <v>1</v>
      </c>
      <c r="E898" t="s">
        <v>34</v>
      </c>
      <c r="F898" s="6">
        <v>46085.291666666664</v>
      </c>
      <c r="G898" s="6">
        <v>46085.315972222219</v>
      </c>
      <c r="H898" s="6">
        <v>46085.326388888891</v>
      </c>
      <c r="I898" s="6">
        <v>46085.420138888891</v>
      </c>
      <c r="J898" s="6">
        <v>46085.4375</v>
      </c>
      <c r="K898" s="6">
        <v>46085.440972222219</v>
      </c>
      <c r="L898">
        <v>3.58</v>
      </c>
      <c r="M898" s="6">
        <v>46085.447916666664</v>
      </c>
      <c r="N898">
        <f t="shared" si="13"/>
        <v>7</v>
      </c>
    </row>
    <row r="899" spans="2:14" x14ac:dyDescent="0.25">
      <c r="B899">
        <v>880</v>
      </c>
      <c r="C899" t="s">
        <v>29</v>
      </c>
      <c r="D899">
        <v>1</v>
      </c>
      <c r="E899" t="s">
        <v>37</v>
      </c>
      <c r="F899" s="6">
        <v>46085.291666666664</v>
      </c>
      <c r="G899" s="6">
        <v>46085.333333333336</v>
      </c>
      <c r="H899" s="6">
        <v>46085.354166666664</v>
      </c>
      <c r="I899" s="6">
        <v>46085.4375</v>
      </c>
      <c r="J899" s="6">
        <v>46085.438194444447</v>
      </c>
      <c r="K899" s="6">
        <v>46085.438888888886</v>
      </c>
      <c r="L899">
        <v>3.53</v>
      </c>
      <c r="M899" s="6">
        <v>46085.445833333331</v>
      </c>
      <c r="N899">
        <f t="shared" si="13"/>
        <v>7</v>
      </c>
    </row>
    <row r="900" spans="2:14" x14ac:dyDescent="0.25">
      <c r="B900">
        <v>881</v>
      </c>
      <c r="C900" t="s">
        <v>31</v>
      </c>
      <c r="D900">
        <v>1</v>
      </c>
      <c r="E900" t="s">
        <v>32</v>
      </c>
      <c r="F900" s="6">
        <v>46085.638888888891</v>
      </c>
      <c r="G900" s="6">
        <v>46085.649305555555</v>
      </c>
      <c r="H900" s="6">
        <v>46085.677083333336</v>
      </c>
      <c r="I900" s="6">
        <v>46085.75</v>
      </c>
      <c r="J900" s="6">
        <v>46085.756944444445</v>
      </c>
      <c r="K900" s="6">
        <v>46085.763888888891</v>
      </c>
      <c r="L900">
        <v>3</v>
      </c>
      <c r="M900" s="6">
        <v>46085.767361111109</v>
      </c>
      <c r="N900">
        <f t="shared" si="13"/>
        <v>15</v>
      </c>
    </row>
    <row r="901" spans="2:14" x14ac:dyDescent="0.25">
      <c r="B901">
        <v>882</v>
      </c>
      <c r="C901" t="s">
        <v>29</v>
      </c>
      <c r="D901">
        <v>1</v>
      </c>
      <c r="E901" t="s">
        <v>32</v>
      </c>
      <c r="F901" s="6">
        <v>46085.5</v>
      </c>
      <c r="G901" s="6">
        <v>46085.517361111109</v>
      </c>
      <c r="H901" s="6">
        <v>46085.546527777777</v>
      </c>
      <c r="I901" s="6">
        <v>46085.583333333336</v>
      </c>
      <c r="J901" s="6">
        <v>46085.590277777781</v>
      </c>
      <c r="K901" s="6">
        <v>46085.591666666667</v>
      </c>
      <c r="L901">
        <v>2.2000000000000002</v>
      </c>
      <c r="M901" s="6">
        <v>46085.598611111112</v>
      </c>
      <c r="N901">
        <f t="shared" si="13"/>
        <v>12</v>
      </c>
    </row>
    <row r="902" spans="2:14" x14ac:dyDescent="0.25">
      <c r="B902">
        <v>883</v>
      </c>
      <c r="C902" t="s">
        <v>33</v>
      </c>
      <c r="D902">
        <v>1</v>
      </c>
      <c r="E902" t="s">
        <v>32</v>
      </c>
      <c r="F902" s="6">
        <v>46085.475694444445</v>
      </c>
      <c r="G902" s="6">
        <v>46085.5</v>
      </c>
      <c r="H902" s="6">
        <v>46085.532638888886</v>
      </c>
      <c r="I902" s="6">
        <v>46085.574305555558</v>
      </c>
      <c r="J902" s="6">
        <v>46085.576388888891</v>
      </c>
      <c r="K902" s="6">
        <v>46085.579861111109</v>
      </c>
      <c r="L902">
        <v>2.5</v>
      </c>
      <c r="M902" s="6">
        <v>46085.586805555555</v>
      </c>
      <c r="N902">
        <f t="shared" si="13"/>
        <v>11</v>
      </c>
    </row>
    <row r="903" spans="2:14" x14ac:dyDescent="0.25">
      <c r="B903">
        <v>884</v>
      </c>
      <c r="C903" t="s">
        <v>29</v>
      </c>
      <c r="D903">
        <v>1</v>
      </c>
      <c r="E903" t="s">
        <v>30</v>
      </c>
      <c r="F903" s="6">
        <v>46084.611111111109</v>
      </c>
      <c r="G903" s="6">
        <v>46084.625</v>
      </c>
      <c r="H903" s="6">
        <v>46084.666666666664</v>
      </c>
      <c r="I903" s="6">
        <v>46084.673611111109</v>
      </c>
      <c r="J903" s="6">
        <v>46084.680555555555</v>
      </c>
      <c r="K903" s="6">
        <v>46084.6875</v>
      </c>
      <c r="L903">
        <v>1.83</v>
      </c>
      <c r="M903" s="6">
        <v>46084.694444444445</v>
      </c>
      <c r="N903">
        <f t="shared" si="13"/>
        <v>14</v>
      </c>
    </row>
    <row r="904" spans="2:14" x14ac:dyDescent="0.25">
      <c r="B904">
        <v>885</v>
      </c>
      <c r="C904" t="s">
        <v>33</v>
      </c>
      <c r="D904">
        <v>1</v>
      </c>
      <c r="E904" t="s">
        <v>30</v>
      </c>
      <c r="F904" s="6">
        <v>46085.291666666664</v>
      </c>
      <c r="G904" s="6">
        <v>46085.333333333336</v>
      </c>
      <c r="H904" s="6">
        <v>46085.354166666664</v>
      </c>
      <c r="I904" s="6">
        <v>46085.451388888891</v>
      </c>
      <c r="J904" s="6">
        <v>46085.458333333336</v>
      </c>
      <c r="K904" s="6">
        <v>46085.465277777781</v>
      </c>
      <c r="L904">
        <v>4.17</v>
      </c>
      <c r="M904" s="6">
        <v>46085.472222222219</v>
      </c>
      <c r="N904">
        <f t="shared" si="13"/>
        <v>7</v>
      </c>
    </row>
    <row r="905" spans="2:14" x14ac:dyDescent="0.25">
      <c r="B905">
        <v>886</v>
      </c>
      <c r="C905" t="s">
        <v>33</v>
      </c>
      <c r="D905">
        <v>1</v>
      </c>
      <c r="E905" t="s">
        <v>30</v>
      </c>
      <c r="F905" s="6">
        <v>46084.697916666664</v>
      </c>
      <c r="G905" s="6">
        <v>46084.701388888891</v>
      </c>
      <c r="H905" s="6">
        <v>46084.729166666664</v>
      </c>
      <c r="I905" s="6">
        <v>46084.8125</v>
      </c>
      <c r="J905" s="6">
        <v>46084.819444444445</v>
      </c>
      <c r="K905" s="6">
        <v>46084.854166666664</v>
      </c>
      <c r="L905">
        <v>3.75</v>
      </c>
      <c r="M905" s="6">
        <v>46084.861111111109</v>
      </c>
      <c r="N905">
        <f t="shared" si="13"/>
        <v>16</v>
      </c>
    </row>
    <row r="906" spans="2:14" x14ac:dyDescent="0.25">
      <c r="B906">
        <v>887</v>
      </c>
      <c r="C906" t="s">
        <v>31</v>
      </c>
      <c r="D906">
        <v>1</v>
      </c>
      <c r="E906" t="s">
        <v>30</v>
      </c>
      <c r="F906" s="6">
        <v>46084.854166666664</v>
      </c>
      <c r="G906" s="6">
        <v>46084.864583333336</v>
      </c>
      <c r="H906" s="6">
        <v>46084.875</v>
      </c>
      <c r="I906" s="6">
        <v>46084.899305555555</v>
      </c>
      <c r="J906" s="6">
        <v>46084.90625</v>
      </c>
      <c r="K906" s="6">
        <v>46084.908333333333</v>
      </c>
      <c r="L906">
        <v>1.3</v>
      </c>
      <c r="M906" s="6">
        <v>46084.913194444445</v>
      </c>
      <c r="N906">
        <f t="shared" si="13"/>
        <v>20</v>
      </c>
    </row>
    <row r="907" spans="2:14" x14ac:dyDescent="0.25">
      <c r="B907">
        <v>888</v>
      </c>
      <c r="C907" t="s">
        <v>31</v>
      </c>
      <c r="D907">
        <v>1</v>
      </c>
      <c r="E907" t="s">
        <v>30</v>
      </c>
      <c r="F907" s="6">
        <v>46084.885416666664</v>
      </c>
      <c r="G907" s="6">
        <v>46084.888888888891</v>
      </c>
      <c r="H907" s="6">
        <v>46084.895833333336</v>
      </c>
      <c r="I907" s="6">
        <v>46084.94027777778</v>
      </c>
      <c r="J907" s="6">
        <v>46084.947222222225</v>
      </c>
      <c r="K907" s="6">
        <v>46084.947916666664</v>
      </c>
      <c r="L907">
        <v>1.5</v>
      </c>
      <c r="M907" s="6">
        <v>46084.954861111109</v>
      </c>
      <c r="N907">
        <f t="shared" si="13"/>
        <v>21</v>
      </c>
    </row>
    <row r="908" spans="2:14" x14ac:dyDescent="0.25">
      <c r="B908">
        <v>889</v>
      </c>
      <c r="C908" t="s">
        <v>29</v>
      </c>
      <c r="D908">
        <v>1</v>
      </c>
      <c r="E908" t="s">
        <v>30</v>
      </c>
      <c r="F908" s="6">
        <v>46084.931944444441</v>
      </c>
      <c r="G908" s="6">
        <v>46084.9375</v>
      </c>
      <c r="H908" s="6">
        <v>46084.965277777781</v>
      </c>
      <c r="I908" s="6">
        <v>46085.0625</v>
      </c>
      <c r="J908" s="6">
        <v>46085.069444444445</v>
      </c>
      <c r="K908" s="6">
        <v>46085.072916666664</v>
      </c>
      <c r="L908">
        <v>3.38</v>
      </c>
      <c r="M908" s="6">
        <v>46085.079861111109</v>
      </c>
      <c r="N908">
        <f t="shared" si="13"/>
        <v>22</v>
      </c>
    </row>
    <row r="909" spans="2:14" x14ac:dyDescent="0.25">
      <c r="B909">
        <v>890</v>
      </c>
      <c r="C909" t="s">
        <v>33</v>
      </c>
      <c r="D909">
        <v>1</v>
      </c>
      <c r="E909" t="s">
        <v>30</v>
      </c>
      <c r="F909" s="6">
        <v>46084.965277777781</v>
      </c>
      <c r="G909" s="6">
        <v>46084.972222222219</v>
      </c>
      <c r="H909" s="6">
        <v>46084.986111111109</v>
      </c>
      <c r="I909" s="6">
        <v>46085.025000000001</v>
      </c>
      <c r="J909" s="6">
        <v>46085.027777777781</v>
      </c>
      <c r="K909" s="6">
        <v>46085.03125</v>
      </c>
      <c r="L909">
        <v>1.58</v>
      </c>
      <c r="M909" s="6">
        <v>46085.038194444445</v>
      </c>
      <c r="N909">
        <f t="shared" si="13"/>
        <v>23</v>
      </c>
    </row>
    <row r="910" spans="2:14" x14ac:dyDescent="0.25">
      <c r="B910">
        <v>891</v>
      </c>
      <c r="C910" t="s">
        <v>31</v>
      </c>
      <c r="D910">
        <v>1</v>
      </c>
      <c r="E910" t="s">
        <v>30</v>
      </c>
      <c r="F910" s="6">
        <v>46085.041666666664</v>
      </c>
      <c r="G910" s="6">
        <v>46085.048611111109</v>
      </c>
      <c r="H910" s="6">
        <v>46085.0625</v>
      </c>
      <c r="I910" s="6">
        <v>46085.090277777781</v>
      </c>
      <c r="J910" s="6">
        <v>46085.097222222219</v>
      </c>
      <c r="K910" s="6">
        <v>46085.104166666664</v>
      </c>
      <c r="L910">
        <v>1.5</v>
      </c>
      <c r="M910" s="6">
        <v>46085.111111111109</v>
      </c>
      <c r="N910">
        <f t="shared" si="13"/>
        <v>1</v>
      </c>
    </row>
    <row r="911" spans="2:14" x14ac:dyDescent="0.25">
      <c r="B911">
        <v>892</v>
      </c>
      <c r="C911" t="s">
        <v>33</v>
      </c>
      <c r="D911">
        <v>1</v>
      </c>
      <c r="E911" t="s">
        <v>34</v>
      </c>
      <c r="F911" s="6">
        <v>46085.027777777781</v>
      </c>
      <c r="G911" s="6">
        <v>46085.034722222219</v>
      </c>
      <c r="H911" s="6">
        <v>46085.052083333336</v>
      </c>
      <c r="I911" s="6">
        <v>46085.104166666664</v>
      </c>
      <c r="J911" s="6">
        <v>46085.111111111109</v>
      </c>
      <c r="K911" s="6">
        <v>46085.114583333336</v>
      </c>
      <c r="L911">
        <v>2.08</v>
      </c>
      <c r="M911" s="6">
        <v>46085.121527777781</v>
      </c>
      <c r="N911">
        <f t="shared" si="13"/>
        <v>0</v>
      </c>
    </row>
    <row r="912" spans="2:14" x14ac:dyDescent="0.25">
      <c r="B912">
        <v>893</v>
      </c>
      <c r="C912" t="s">
        <v>33</v>
      </c>
      <c r="D912">
        <v>1</v>
      </c>
      <c r="E912" t="s">
        <v>34</v>
      </c>
      <c r="F912" s="6">
        <v>46085.454861111109</v>
      </c>
      <c r="G912" s="6">
        <v>46085.461805555555</v>
      </c>
      <c r="H912" s="6">
        <v>46085.472222222219</v>
      </c>
      <c r="I912" s="6">
        <v>46085.569444444445</v>
      </c>
      <c r="J912" s="6">
        <v>46085.586805555555</v>
      </c>
      <c r="K912" s="6">
        <v>46085.59375</v>
      </c>
      <c r="L912">
        <v>3.33</v>
      </c>
      <c r="M912" s="6">
        <v>46085.594444444447</v>
      </c>
      <c r="N912">
        <f t="shared" si="13"/>
        <v>10</v>
      </c>
    </row>
    <row r="913" spans="2:14" x14ac:dyDescent="0.25">
      <c r="B913">
        <v>894</v>
      </c>
      <c r="C913" t="s">
        <v>31</v>
      </c>
      <c r="D913">
        <v>1</v>
      </c>
      <c r="E913" t="s">
        <v>30</v>
      </c>
      <c r="F913" s="6">
        <v>46085.173611111109</v>
      </c>
      <c r="G913" s="6">
        <v>46085.177083333336</v>
      </c>
      <c r="H913" s="6">
        <v>46085.1875</v>
      </c>
      <c r="I913" s="6">
        <v>46085.28125</v>
      </c>
      <c r="J913" s="6">
        <v>46085.288194444445</v>
      </c>
      <c r="K913" s="6">
        <v>46085.371527777781</v>
      </c>
      <c r="L913">
        <v>4.75</v>
      </c>
      <c r="M913" s="6">
        <v>46085.37222222222</v>
      </c>
      <c r="N913">
        <f t="shared" si="13"/>
        <v>4</v>
      </c>
    </row>
    <row r="914" spans="2:14" x14ac:dyDescent="0.25">
      <c r="B914">
        <v>895</v>
      </c>
      <c r="C914" t="s">
        <v>33</v>
      </c>
      <c r="D914">
        <v>1</v>
      </c>
      <c r="E914" t="s">
        <v>30</v>
      </c>
      <c r="F914" s="6">
        <v>46085.416666666664</v>
      </c>
      <c r="G914" s="6">
        <v>46085.430555555555</v>
      </c>
      <c r="H914" s="6">
        <v>46085.440972222219</v>
      </c>
      <c r="I914" s="6">
        <v>46085.468055555553</v>
      </c>
      <c r="J914" s="6">
        <v>46085.472222222219</v>
      </c>
      <c r="K914" s="6">
        <v>46085.472916666666</v>
      </c>
      <c r="L914">
        <v>1.35</v>
      </c>
      <c r="M914" s="6">
        <v>46085.478472222225</v>
      </c>
      <c r="N914">
        <f t="shared" si="13"/>
        <v>10</v>
      </c>
    </row>
    <row r="915" spans="2:14" x14ac:dyDescent="0.25">
      <c r="B915">
        <v>896</v>
      </c>
      <c r="C915" t="s">
        <v>31</v>
      </c>
      <c r="D915">
        <v>1</v>
      </c>
      <c r="E915" t="s">
        <v>30</v>
      </c>
      <c r="F915" s="6">
        <v>46085.520833333336</v>
      </c>
      <c r="G915" s="6">
        <v>46085.53125</v>
      </c>
      <c r="H915" s="6">
        <v>46085.548611111109</v>
      </c>
      <c r="I915" s="6">
        <v>46085.565972222219</v>
      </c>
      <c r="J915" s="6">
        <v>46085.569444444445</v>
      </c>
      <c r="K915" s="6">
        <v>46085.573611111111</v>
      </c>
      <c r="L915">
        <v>1.27</v>
      </c>
      <c r="M915" s="6">
        <v>46085.580555555556</v>
      </c>
      <c r="N915">
        <f t="shared" si="13"/>
        <v>12</v>
      </c>
    </row>
    <row r="916" spans="2:14" x14ac:dyDescent="0.25">
      <c r="B916">
        <v>897</v>
      </c>
      <c r="C916" t="s">
        <v>29</v>
      </c>
      <c r="D916">
        <v>1</v>
      </c>
      <c r="E916" t="s">
        <v>30</v>
      </c>
      <c r="F916" s="6">
        <v>46085.513888888891</v>
      </c>
      <c r="G916" s="6">
        <v>46085.517361111109</v>
      </c>
      <c r="H916" s="6">
        <v>46085.541666666664</v>
      </c>
      <c r="I916" s="6">
        <v>46085.666666666664</v>
      </c>
      <c r="J916" s="6">
        <v>46085.673611111109</v>
      </c>
      <c r="K916" s="6">
        <v>46085.677083333336</v>
      </c>
      <c r="L916">
        <v>3.92</v>
      </c>
      <c r="M916" s="6">
        <v>46085.684027777781</v>
      </c>
      <c r="N916">
        <f t="shared" si="13"/>
        <v>12</v>
      </c>
    </row>
    <row r="917" spans="2:14" x14ac:dyDescent="0.25">
      <c r="B917">
        <v>898</v>
      </c>
      <c r="C917" t="s">
        <v>33</v>
      </c>
      <c r="D917">
        <v>1</v>
      </c>
      <c r="E917" t="s">
        <v>32</v>
      </c>
      <c r="F917" s="6">
        <v>46086.291666666664</v>
      </c>
      <c r="G917" s="6">
        <v>46086.298611111109</v>
      </c>
      <c r="H917" s="6">
        <v>46086.305555555555</v>
      </c>
      <c r="I917" s="6">
        <v>46086.311111111114</v>
      </c>
      <c r="J917" s="6">
        <v>46086.311805555553</v>
      </c>
      <c r="K917" s="6">
        <v>46086.3125</v>
      </c>
      <c r="L917">
        <v>0.5</v>
      </c>
      <c r="M917" s="6">
        <v>46086.313194444447</v>
      </c>
      <c r="N917">
        <f t="shared" ref="N917:N980" si="14">HOUR(F917)</f>
        <v>7</v>
      </c>
    </row>
    <row r="918" spans="2:14" x14ac:dyDescent="0.25">
      <c r="B918">
        <v>899</v>
      </c>
      <c r="C918" t="s">
        <v>31</v>
      </c>
      <c r="D918">
        <v>1</v>
      </c>
      <c r="E918" t="s">
        <v>36</v>
      </c>
      <c r="F918" s="6">
        <v>46086.4375</v>
      </c>
      <c r="G918" s="6">
        <v>46086.444444444445</v>
      </c>
      <c r="H918" s="6">
        <v>46086.458333333336</v>
      </c>
      <c r="I918" s="6">
        <v>46086.493055555555</v>
      </c>
      <c r="J918" s="6">
        <v>46086.5</v>
      </c>
      <c r="K918" s="6">
        <v>46086.503472222219</v>
      </c>
      <c r="L918">
        <v>1.58</v>
      </c>
      <c r="M918" s="6">
        <v>46086.510416666664</v>
      </c>
      <c r="N918">
        <f t="shared" si="14"/>
        <v>10</v>
      </c>
    </row>
    <row r="919" spans="2:14" x14ac:dyDescent="0.25">
      <c r="B919">
        <v>900</v>
      </c>
      <c r="C919" t="s">
        <v>29</v>
      </c>
      <c r="D919">
        <v>1</v>
      </c>
      <c r="E919" t="s">
        <v>30</v>
      </c>
      <c r="F919" s="6">
        <v>46085.645833333336</v>
      </c>
      <c r="G919" s="6">
        <v>46085.652777777781</v>
      </c>
      <c r="H919" s="6">
        <v>46085.669444444444</v>
      </c>
      <c r="I919" s="6">
        <v>46085.680555555555</v>
      </c>
      <c r="J919" s="6">
        <v>46085.684027777781</v>
      </c>
      <c r="K919" s="6">
        <v>46085.686805555553</v>
      </c>
      <c r="L919">
        <v>0.98</v>
      </c>
      <c r="M919" s="6">
        <v>46085.693749999999</v>
      </c>
      <c r="N919">
        <f t="shared" si="14"/>
        <v>15</v>
      </c>
    </row>
    <row r="920" spans="2:14" x14ac:dyDescent="0.25">
      <c r="B920">
        <v>901</v>
      </c>
      <c r="C920" t="s">
        <v>31</v>
      </c>
      <c r="D920">
        <v>1</v>
      </c>
      <c r="E920" t="s">
        <v>32</v>
      </c>
      <c r="F920" s="6">
        <v>46086.4375</v>
      </c>
      <c r="G920" s="6">
        <v>46086.444444444445</v>
      </c>
      <c r="H920" s="6">
        <v>46086.472222222219</v>
      </c>
      <c r="I920" s="6">
        <v>46086.546527777777</v>
      </c>
      <c r="J920" s="6">
        <v>46086.553472222222</v>
      </c>
      <c r="K920" s="6">
        <v>46086.572916666664</v>
      </c>
      <c r="L920">
        <v>3.25</v>
      </c>
      <c r="M920" s="6">
        <v>46086.579861111109</v>
      </c>
      <c r="N920">
        <f t="shared" si="14"/>
        <v>10</v>
      </c>
    </row>
    <row r="921" spans="2:14" x14ac:dyDescent="0.25">
      <c r="B921">
        <v>902</v>
      </c>
      <c r="C921" t="s">
        <v>29</v>
      </c>
      <c r="D921">
        <v>1</v>
      </c>
      <c r="E921" t="s">
        <v>35</v>
      </c>
      <c r="F921" s="6">
        <v>46085.618055555555</v>
      </c>
      <c r="G921" s="6">
        <v>46085.625</v>
      </c>
      <c r="H921" s="6">
        <v>46085.631944444445</v>
      </c>
      <c r="I921" s="6">
        <v>46085.640277777777</v>
      </c>
      <c r="J921" s="6">
        <v>46085.647222222222</v>
      </c>
      <c r="K921" s="6">
        <v>46085.65625</v>
      </c>
      <c r="L921">
        <v>0.92</v>
      </c>
      <c r="M921" s="6">
        <v>46085.663194444445</v>
      </c>
      <c r="N921">
        <f t="shared" si="14"/>
        <v>14</v>
      </c>
    </row>
    <row r="922" spans="2:14" x14ac:dyDescent="0.25">
      <c r="B922">
        <v>903</v>
      </c>
      <c r="C922" t="s">
        <v>33</v>
      </c>
      <c r="D922">
        <v>1</v>
      </c>
      <c r="E922" t="s">
        <v>37</v>
      </c>
      <c r="F922" s="6">
        <v>46086.670138888891</v>
      </c>
      <c r="G922" s="6">
        <v>46086.680555555555</v>
      </c>
      <c r="H922" s="6">
        <v>46086.684027777781</v>
      </c>
      <c r="I922" s="6">
        <v>46086.690972222219</v>
      </c>
      <c r="J922" s="6">
        <v>46086.722222222219</v>
      </c>
      <c r="K922" s="6">
        <v>46086.729166666664</v>
      </c>
      <c r="L922">
        <v>1.42</v>
      </c>
      <c r="M922" s="6">
        <v>46086.736111111109</v>
      </c>
      <c r="N922">
        <f t="shared" si="14"/>
        <v>16</v>
      </c>
    </row>
    <row r="923" spans="2:14" x14ac:dyDescent="0.25">
      <c r="B923">
        <v>904</v>
      </c>
      <c r="C923" t="s">
        <v>33</v>
      </c>
      <c r="D923">
        <v>1</v>
      </c>
      <c r="E923" t="s">
        <v>36</v>
      </c>
      <c r="F923" s="6">
        <v>46086.291666666664</v>
      </c>
      <c r="G923" s="6">
        <v>46086.319444444445</v>
      </c>
      <c r="H923" s="6">
        <v>46086.340277777781</v>
      </c>
      <c r="I923" s="6">
        <v>46086.395833333336</v>
      </c>
      <c r="J923" s="6">
        <v>46086.399305555555</v>
      </c>
      <c r="K923" s="6">
        <v>46086.401388888888</v>
      </c>
      <c r="L923">
        <v>2.63</v>
      </c>
      <c r="M923" s="6">
        <v>46086.408333333333</v>
      </c>
      <c r="N923">
        <f t="shared" si="14"/>
        <v>7</v>
      </c>
    </row>
    <row r="924" spans="2:14" x14ac:dyDescent="0.25">
      <c r="B924">
        <v>905</v>
      </c>
      <c r="C924" t="s">
        <v>33</v>
      </c>
      <c r="D924">
        <v>1</v>
      </c>
      <c r="E924" t="s">
        <v>34</v>
      </c>
      <c r="F924" s="6">
        <v>46086.322916666664</v>
      </c>
      <c r="G924" s="6">
        <v>46086.336805555555</v>
      </c>
      <c r="H924" s="6">
        <v>46086.375</v>
      </c>
      <c r="I924" s="6">
        <v>46086.583333333336</v>
      </c>
      <c r="J924" s="6">
        <v>46086.597222222219</v>
      </c>
      <c r="K924" s="6">
        <v>46086.604166666664</v>
      </c>
      <c r="L924">
        <v>6.75</v>
      </c>
      <c r="M924" s="6">
        <v>46086.605555555558</v>
      </c>
      <c r="N924">
        <f t="shared" si="14"/>
        <v>7</v>
      </c>
    </row>
    <row r="925" spans="2:14" x14ac:dyDescent="0.25">
      <c r="B925">
        <v>906</v>
      </c>
      <c r="C925" t="s">
        <v>31</v>
      </c>
      <c r="D925">
        <v>1</v>
      </c>
      <c r="E925" t="s">
        <v>34</v>
      </c>
      <c r="F925" s="6">
        <v>46085.88958333333</v>
      </c>
      <c r="G925" s="6">
        <v>46085.902777777781</v>
      </c>
      <c r="H925" s="6">
        <v>46085.909722222219</v>
      </c>
      <c r="I925" s="6">
        <v>46085.947916666664</v>
      </c>
      <c r="J925" s="6">
        <v>46085.948611111111</v>
      </c>
      <c r="K925" s="6">
        <v>46085.949305555558</v>
      </c>
      <c r="L925">
        <v>1.43</v>
      </c>
      <c r="M925" s="6">
        <v>46085.95</v>
      </c>
      <c r="N925">
        <f t="shared" si="14"/>
        <v>21</v>
      </c>
    </row>
    <row r="926" spans="2:14" x14ac:dyDescent="0.25">
      <c r="B926">
        <v>907</v>
      </c>
      <c r="C926" t="s">
        <v>29</v>
      </c>
      <c r="D926">
        <v>1</v>
      </c>
      <c r="E926" t="s">
        <v>30</v>
      </c>
      <c r="F926" s="6">
        <v>46085.975694444445</v>
      </c>
      <c r="G926" s="6">
        <v>46085.979166666664</v>
      </c>
      <c r="H926" s="6">
        <v>46085.993055555555</v>
      </c>
      <c r="I926" s="6">
        <v>46086.03125</v>
      </c>
      <c r="J926" s="6">
        <v>46086.034722222219</v>
      </c>
      <c r="K926" s="6">
        <v>46086.038194444445</v>
      </c>
      <c r="L926">
        <v>1.5</v>
      </c>
      <c r="M926" s="6">
        <v>46086.041666666664</v>
      </c>
      <c r="N926">
        <f t="shared" si="14"/>
        <v>23</v>
      </c>
    </row>
    <row r="927" spans="2:14" x14ac:dyDescent="0.25">
      <c r="B927">
        <v>908</v>
      </c>
      <c r="C927" t="s">
        <v>31</v>
      </c>
      <c r="D927">
        <v>1</v>
      </c>
      <c r="E927" t="s">
        <v>34</v>
      </c>
      <c r="F927" s="6">
        <v>46085.999305555553</v>
      </c>
      <c r="G927" s="6">
        <v>46086.010416666664</v>
      </c>
      <c r="H927" s="6">
        <v>46086.013888888891</v>
      </c>
      <c r="I927" s="6">
        <v>46086.041666666664</v>
      </c>
      <c r="J927" s="6">
        <v>46086.048611111109</v>
      </c>
      <c r="K927" s="6">
        <v>46086.055555555555</v>
      </c>
      <c r="L927">
        <v>1.35</v>
      </c>
      <c r="M927" s="6">
        <v>46086.056250000001</v>
      </c>
      <c r="N927">
        <f t="shared" si="14"/>
        <v>23</v>
      </c>
    </row>
    <row r="928" spans="2:14" x14ac:dyDescent="0.25">
      <c r="B928">
        <v>909</v>
      </c>
      <c r="C928" t="s">
        <v>33</v>
      </c>
      <c r="D928">
        <v>1</v>
      </c>
      <c r="E928" t="s">
        <v>35</v>
      </c>
      <c r="F928" s="6">
        <v>46086.288194444445</v>
      </c>
      <c r="G928" s="6">
        <v>46086.3125</v>
      </c>
      <c r="H928" s="6">
        <v>46086.333333333336</v>
      </c>
      <c r="I928" s="6">
        <v>46086.427083333336</v>
      </c>
      <c r="J928" s="6">
        <v>46086.434027777781</v>
      </c>
      <c r="K928" s="6">
        <v>46086.4375</v>
      </c>
      <c r="L928">
        <v>3.58</v>
      </c>
      <c r="M928" s="6">
        <v>46086.444444444445</v>
      </c>
      <c r="N928">
        <f t="shared" si="14"/>
        <v>6</v>
      </c>
    </row>
    <row r="929" spans="2:14" x14ac:dyDescent="0.25">
      <c r="B929">
        <v>910</v>
      </c>
      <c r="C929" t="s">
        <v>33</v>
      </c>
      <c r="D929">
        <v>1</v>
      </c>
      <c r="E929" t="s">
        <v>30</v>
      </c>
      <c r="F929" s="6">
        <v>46086.333333333336</v>
      </c>
      <c r="G929" s="6">
        <v>46086.34375</v>
      </c>
      <c r="H929" s="6">
        <v>46086.368055555555</v>
      </c>
      <c r="I929" s="6">
        <v>46086.388888888891</v>
      </c>
      <c r="J929" s="6">
        <v>46086.395833333336</v>
      </c>
      <c r="K929" s="6">
        <v>46086.40902777778</v>
      </c>
      <c r="L929">
        <v>1.82</v>
      </c>
      <c r="M929" s="6">
        <v>46086.415972222225</v>
      </c>
      <c r="N929">
        <f t="shared" si="14"/>
        <v>8</v>
      </c>
    </row>
    <row r="930" spans="2:14" x14ac:dyDescent="0.25">
      <c r="B930">
        <v>911</v>
      </c>
      <c r="C930" t="s">
        <v>33</v>
      </c>
      <c r="D930">
        <v>1</v>
      </c>
      <c r="E930" t="s">
        <v>37</v>
      </c>
      <c r="F930" s="6">
        <v>46086.569444444445</v>
      </c>
      <c r="G930" s="6">
        <v>46086.572916666664</v>
      </c>
      <c r="H930" s="6">
        <v>46086.588888888888</v>
      </c>
      <c r="I930" s="6">
        <v>46086.604166666664</v>
      </c>
      <c r="J930" s="6">
        <v>46086.631944444445</v>
      </c>
      <c r="K930" s="6">
        <v>46086.634027777778</v>
      </c>
      <c r="L930">
        <v>1.55</v>
      </c>
      <c r="M930" s="6">
        <v>46086.634722222225</v>
      </c>
      <c r="N930">
        <f t="shared" si="14"/>
        <v>13</v>
      </c>
    </row>
    <row r="931" spans="2:14" x14ac:dyDescent="0.25">
      <c r="B931">
        <v>912</v>
      </c>
      <c r="C931" t="s">
        <v>31</v>
      </c>
      <c r="D931">
        <v>1</v>
      </c>
      <c r="E931" t="s">
        <v>32</v>
      </c>
      <c r="F931" s="6">
        <v>46086.45</v>
      </c>
      <c r="G931" s="6">
        <v>46086.450694444444</v>
      </c>
      <c r="H931" s="6">
        <v>46086.459722222222</v>
      </c>
      <c r="I931" s="6">
        <v>46086.5</v>
      </c>
      <c r="J931" s="6">
        <v>46086.513194444444</v>
      </c>
      <c r="K931" s="6">
        <v>46086.513888888891</v>
      </c>
      <c r="L931">
        <v>1.53</v>
      </c>
      <c r="M931" s="6">
        <v>46086.520833333336</v>
      </c>
      <c r="N931">
        <f t="shared" si="14"/>
        <v>10</v>
      </c>
    </row>
    <row r="932" spans="2:14" x14ac:dyDescent="0.25">
      <c r="B932">
        <v>913</v>
      </c>
      <c r="C932" t="s">
        <v>33</v>
      </c>
      <c r="D932">
        <v>1</v>
      </c>
      <c r="E932" t="s">
        <v>30</v>
      </c>
      <c r="F932" s="6">
        <v>46086.472222222219</v>
      </c>
      <c r="G932" s="6">
        <v>46086.479166666664</v>
      </c>
      <c r="H932" s="6">
        <v>46086.493055555555</v>
      </c>
      <c r="I932" s="6">
        <v>46086.53125</v>
      </c>
      <c r="J932" s="6">
        <v>46086.538194444445</v>
      </c>
      <c r="K932" s="6">
        <v>46086.541666666664</v>
      </c>
      <c r="L932">
        <v>1.67</v>
      </c>
      <c r="M932" s="6">
        <v>46086.548611111109</v>
      </c>
      <c r="N932">
        <f t="shared" si="14"/>
        <v>11</v>
      </c>
    </row>
    <row r="933" spans="2:14" x14ac:dyDescent="0.25">
      <c r="B933">
        <v>914</v>
      </c>
      <c r="C933" t="s">
        <v>31</v>
      </c>
      <c r="D933">
        <v>1</v>
      </c>
      <c r="E933" t="s">
        <v>36</v>
      </c>
      <c r="F933" s="6">
        <v>46086.652777777781</v>
      </c>
      <c r="G933" s="6">
        <v>46086.659722222219</v>
      </c>
      <c r="H933" s="6">
        <v>46086.673611111109</v>
      </c>
      <c r="I933" s="6">
        <v>46086.822916666664</v>
      </c>
      <c r="J933" s="6">
        <v>46086.847222222219</v>
      </c>
      <c r="K933" s="6">
        <v>46086.864583333336</v>
      </c>
      <c r="L933">
        <v>5.08</v>
      </c>
      <c r="M933" s="6">
        <v>46086.871527777781</v>
      </c>
      <c r="N933">
        <f t="shared" si="14"/>
        <v>15</v>
      </c>
    </row>
    <row r="934" spans="2:14" x14ac:dyDescent="0.25">
      <c r="B934">
        <v>915</v>
      </c>
      <c r="C934" t="s">
        <v>29</v>
      </c>
      <c r="D934">
        <v>1</v>
      </c>
      <c r="E934" t="s">
        <v>30</v>
      </c>
      <c r="F934" s="6">
        <v>46086.579861111109</v>
      </c>
      <c r="G934" s="6">
        <v>46086.586805555555</v>
      </c>
      <c r="H934" s="6">
        <v>46086.611111111109</v>
      </c>
      <c r="I934" s="6">
        <v>46086.723611111112</v>
      </c>
      <c r="J934" s="6">
        <v>46086.730555555558</v>
      </c>
      <c r="K934" s="6">
        <v>46086.732638888891</v>
      </c>
      <c r="L934">
        <v>3.67</v>
      </c>
      <c r="M934" s="6">
        <v>46086.739583333336</v>
      </c>
      <c r="N934">
        <f t="shared" si="14"/>
        <v>13</v>
      </c>
    </row>
    <row r="935" spans="2:14" x14ac:dyDescent="0.25">
      <c r="B935">
        <v>916</v>
      </c>
      <c r="C935" t="s">
        <v>31</v>
      </c>
      <c r="D935">
        <v>1</v>
      </c>
      <c r="E935" t="s">
        <v>30</v>
      </c>
      <c r="F935" s="6">
        <v>46086.638888888891</v>
      </c>
      <c r="G935" s="6">
        <v>46086.642361111109</v>
      </c>
      <c r="H935" s="6">
        <v>46086.652777777781</v>
      </c>
      <c r="I935" s="6">
        <v>46086.6875</v>
      </c>
      <c r="J935" s="6">
        <v>46086.692361111112</v>
      </c>
      <c r="K935" s="6">
        <v>46086.708333333336</v>
      </c>
      <c r="L935">
        <v>1.67</v>
      </c>
      <c r="M935" s="6">
        <v>46086.713888888888</v>
      </c>
      <c r="N935">
        <f t="shared" si="14"/>
        <v>15</v>
      </c>
    </row>
    <row r="936" spans="2:14" x14ac:dyDescent="0.25">
      <c r="B936">
        <v>917</v>
      </c>
      <c r="C936" t="s">
        <v>31</v>
      </c>
      <c r="D936">
        <v>1</v>
      </c>
      <c r="E936" t="s">
        <v>32</v>
      </c>
      <c r="F936" s="6">
        <v>46086.701388888891</v>
      </c>
      <c r="G936" s="6">
        <v>46086.708333333336</v>
      </c>
      <c r="H936" s="6">
        <v>46086.71875</v>
      </c>
      <c r="I936" s="6">
        <v>46086.776388888888</v>
      </c>
      <c r="J936" s="6">
        <v>46086.791666666664</v>
      </c>
      <c r="K936" s="6">
        <v>46086.795138888891</v>
      </c>
      <c r="L936">
        <v>2.25</v>
      </c>
      <c r="M936" s="6">
        <v>46086.798611111109</v>
      </c>
      <c r="N936">
        <f t="shared" si="14"/>
        <v>16</v>
      </c>
    </row>
    <row r="937" spans="2:14" x14ac:dyDescent="0.25">
      <c r="B937">
        <v>918</v>
      </c>
      <c r="C937" t="s">
        <v>29</v>
      </c>
      <c r="D937">
        <v>1</v>
      </c>
      <c r="E937" t="s">
        <v>30</v>
      </c>
      <c r="F937" s="6">
        <v>46087.322916666664</v>
      </c>
      <c r="G937" s="6">
        <v>46087.329861111109</v>
      </c>
      <c r="H937" s="6">
        <v>46087.395833333336</v>
      </c>
      <c r="I937" s="6">
        <v>46087.488888888889</v>
      </c>
      <c r="J937" s="6">
        <v>46087.495833333334</v>
      </c>
      <c r="K937" s="6">
        <v>46087.506944444445</v>
      </c>
      <c r="L937">
        <v>4.42</v>
      </c>
      <c r="M937" s="6">
        <v>46087.513888888891</v>
      </c>
      <c r="N937">
        <f t="shared" si="14"/>
        <v>7</v>
      </c>
    </row>
    <row r="938" spans="2:14" x14ac:dyDescent="0.25">
      <c r="B938">
        <v>919</v>
      </c>
      <c r="C938" t="s">
        <v>33</v>
      </c>
      <c r="D938">
        <v>1</v>
      </c>
      <c r="E938" t="s">
        <v>35</v>
      </c>
      <c r="F938" s="6">
        <v>46087.291666666664</v>
      </c>
      <c r="G938" s="6">
        <v>46087.340277777781</v>
      </c>
      <c r="H938" s="6">
        <v>46087.371527777781</v>
      </c>
      <c r="I938" s="6">
        <v>46087.493055555555</v>
      </c>
      <c r="J938" s="6">
        <v>46087.496527777781</v>
      </c>
      <c r="K938" s="6">
        <v>46087.520833333336</v>
      </c>
      <c r="L938">
        <v>5.5</v>
      </c>
      <c r="M938" s="6">
        <v>46087.521527777775</v>
      </c>
      <c r="N938">
        <f t="shared" si="14"/>
        <v>7</v>
      </c>
    </row>
    <row r="939" spans="2:14" x14ac:dyDescent="0.25">
      <c r="B939">
        <v>920</v>
      </c>
      <c r="C939" t="s">
        <v>33</v>
      </c>
      <c r="D939">
        <v>1</v>
      </c>
      <c r="E939" t="s">
        <v>37</v>
      </c>
      <c r="F939" s="6">
        <v>46087.590277777781</v>
      </c>
      <c r="G939" s="6">
        <v>46087.59375</v>
      </c>
      <c r="H939" s="6">
        <v>46087.618055555555</v>
      </c>
      <c r="I939" s="6">
        <v>46087.831944444442</v>
      </c>
      <c r="J939" s="6">
        <v>46087.838888888888</v>
      </c>
      <c r="K939" s="6">
        <v>46087.885416666664</v>
      </c>
      <c r="L939">
        <v>7.08</v>
      </c>
      <c r="M939" s="6">
        <v>46087.892361111109</v>
      </c>
      <c r="N939">
        <f t="shared" si="14"/>
        <v>14</v>
      </c>
    </row>
    <row r="940" spans="2:14" x14ac:dyDescent="0.25">
      <c r="B940">
        <v>921</v>
      </c>
      <c r="C940" t="s">
        <v>33</v>
      </c>
      <c r="D940">
        <v>1</v>
      </c>
      <c r="E940" t="s">
        <v>34</v>
      </c>
      <c r="F940" s="6">
        <v>46087.291666666664</v>
      </c>
      <c r="G940" s="6">
        <v>46087.3125</v>
      </c>
      <c r="H940" s="6">
        <v>46087.34375</v>
      </c>
      <c r="I940" s="6">
        <v>46087.51666666667</v>
      </c>
      <c r="J940" s="6">
        <v>46087.541666666664</v>
      </c>
      <c r="K940" s="6">
        <v>46087.548611111109</v>
      </c>
      <c r="L940">
        <v>6.17</v>
      </c>
      <c r="M940" s="6">
        <v>46087.555555555555</v>
      </c>
      <c r="N940">
        <f t="shared" si="14"/>
        <v>7</v>
      </c>
    </row>
    <row r="941" spans="2:14" x14ac:dyDescent="0.25">
      <c r="B941">
        <v>922</v>
      </c>
      <c r="C941" t="s">
        <v>31</v>
      </c>
      <c r="D941">
        <v>1</v>
      </c>
      <c r="E941" t="s">
        <v>30</v>
      </c>
      <c r="F941" s="6">
        <v>46087.291666666664</v>
      </c>
      <c r="G941" s="6">
        <v>46087.322916666664</v>
      </c>
      <c r="H941" s="6">
        <v>46087.340277777781</v>
      </c>
      <c r="I941" s="6">
        <v>46087.40625</v>
      </c>
      <c r="J941" s="6">
        <v>46087.413194444445</v>
      </c>
      <c r="K941" s="6">
        <v>46087.416666666664</v>
      </c>
      <c r="L941">
        <v>3</v>
      </c>
      <c r="M941" s="6">
        <v>46087.423611111109</v>
      </c>
      <c r="N941">
        <f t="shared" si="14"/>
        <v>7</v>
      </c>
    </row>
    <row r="942" spans="2:14" x14ac:dyDescent="0.25">
      <c r="B942">
        <v>923</v>
      </c>
      <c r="C942" t="s">
        <v>31</v>
      </c>
      <c r="D942">
        <v>1</v>
      </c>
      <c r="E942" t="s">
        <v>34</v>
      </c>
      <c r="F942" s="6">
        <v>46087.604166666664</v>
      </c>
      <c r="G942" s="6">
        <v>46087.635416666664</v>
      </c>
      <c r="H942" s="6">
        <v>46087.645833333336</v>
      </c>
      <c r="I942" s="6">
        <v>46087.708333333336</v>
      </c>
      <c r="J942" s="6">
        <v>46087.722222222219</v>
      </c>
      <c r="K942" s="6">
        <v>46087.729166666664</v>
      </c>
      <c r="L942">
        <v>3</v>
      </c>
      <c r="M942" s="6">
        <v>46087.736111111109</v>
      </c>
      <c r="N942">
        <f t="shared" si="14"/>
        <v>14</v>
      </c>
    </row>
    <row r="943" spans="2:14" x14ac:dyDescent="0.25">
      <c r="B943">
        <v>924</v>
      </c>
      <c r="C943" t="s">
        <v>33</v>
      </c>
      <c r="D943">
        <v>1</v>
      </c>
      <c r="E943" t="s">
        <v>37</v>
      </c>
      <c r="F943" s="6">
        <v>46087.340277777781</v>
      </c>
      <c r="G943" s="6">
        <v>46087.354166666664</v>
      </c>
      <c r="H943" s="6">
        <v>46087.383333333331</v>
      </c>
      <c r="I943" s="6">
        <v>46087.422222222223</v>
      </c>
      <c r="J943" s="6">
        <v>46087.429166666669</v>
      </c>
      <c r="K943" s="6">
        <v>46087.430555555555</v>
      </c>
      <c r="L943">
        <v>2.17</v>
      </c>
      <c r="M943" s="6">
        <v>46087.4375</v>
      </c>
      <c r="N943">
        <f t="shared" si="14"/>
        <v>8</v>
      </c>
    </row>
    <row r="944" spans="2:14" x14ac:dyDescent="0.25">
      <c r="B944">
        <v>925</v>
      </c>
      <c r="C944" t="s">
        <v>31</v>
      </c>
      <c r="D944">
        <v>1</v>
      </c>
      <c r="E944" t="s">
        <v>30</v>
      </c>
      <c r="F944" s="6">
        <v>46086.758333333331</v>
      </c>
      <c r="G944" s="6">
        <v>46086.767361111109</v>
      </c>
      <c r="H944" s="6">
        <v>46086.770833333336</v>
      </c>
      <c r="I944" s="6">
        <v>46086.791666666664</v>
      </c>
      <c r="J944" s="6">
        <v>46086.798611111109</v>
      </c>
      <c r="K944" s="6">
        <v>46086.802083333336</v>
      </c>
      <c r="L944">
        <v>1.05</v>
      </c>
      <c r="M944" s="6">
        <v>46086.809027777781</v>
      </c>
      <c r="N944">
        <f t="shared" si="14"/>
        <v>18</v>
      </c>
    </row>
    <row r="945" spans="2:14" x14ac:dyDescent="0.25">
      <c r="B945">
        <v>926</v>
      </c>
      <c r="C945" t="s">
        <v>29</v>
      </c>
      <c r="D945">
        <v>1</v>
      </c>
      <c r="E945" t="s">
        <v>30</v>
      </c>
      <c r="F945" s="6">
        <v>46086.868055555555</v>
      </c>
      <c r="G945" s="6">
        <v>46086.881944444445</v>
      </c>
      <c r="H945" s="6">
        <v>46086.902777777781</v>
      </c>
      <c r="I945" s="6">
        <v>46086.949305555558</v>
      </c>
      <c r="J945" s="6">
        <v>46086.95</v>
      </c>
      <c r="K945" s="6">
        <v>46086.950694444444</v>
      </c>
      <c r="L945">
        <v>1.98</v>
      </c>
      <c r="M945" s="6">
        <v>46086.951388888891</v>
      </c>
      <c r="N945">
        <f t="shared" si="14"/>
        <v>20</v>
      </c>
    </row>
    <row r="946" spans="2:14" x14ac:dyDescent="0.25">
      <c r="B946">
        <v>927</v>
      </c>
      <c r="C946" t="s">
        <v>33</v>
      </c>
      <c r="D946">
        <v>1</v>
      </c>
      <c r="E946" t="s">
        <v>30</v>
      </c>
      <c r="F946" s="6">
        <v>46086.973611111112</v>
      </c>
      <c r="G946" s="6">
        <v>46086.974305555559</v>
      </c>
      <c r="H946" s="6">
        <v>46086.986111111109</v>
      </c>
      <c r="I946" s="6">
        <v>46087</v>
      </c>
      <c r="J946" s="6">
        <v>46087.006944444445</v>
      </c>
      <c r="K946" s="6">
        <v>46087.009027777778</v>
      </c>
      <c r="L946">
        <v>0.85</v>
      </c>
      <c r="M946" s="6">
        <v>46087.010416666664</v>
      </c>
      <c r="N946">
        <f t="shared" si="14"/>
        <v>23</v>
      </c>
    </row>
    <row r="947" spans="2:14" x14ac:dyDescent="0.25">
      <c r="B947">
        <v>928</v>
      </c>
      <c r="C947" t="s">
        <v>29</v>
      </c>
      <c r="D947">
        <v>1</v>
      </c>
      <c r="E947" t="s">
        <v>30</v>
      </c>
      <c r="F947" s="6">
        <v>46087.013888888891</v>
      </c>
      <c r="G947" s="6">
        <v>46087.020833333336</v>
      </c>
      <c r="H947" s="6">
        <v>46087.03125</v>
      </c>
      <c r="I947" s="6">
        <v>46087.076388888891</v>
      </c>
      <c r="J947" s="6">
        <v>46087.078472222223</v>
      </c>
      <c r="K947" s="6">
        <v>46087.081250000003</v>
      </c>
      <c r="L947">
        <v>1.62</v>
      </c>
      <c r="M947" s="6">
        <v>46087.083333333336</v>
      </c>
      <c r="N947">
        <f t="shared" si="14"/>
        <v>0</v>
      </c>
    </row>
    <row r="948" spans="2:14" x14ac:dyDescent="0.25">
      <c r="B948">
        <v>929</v>
      </c>
      <c r="C948" t="s">
        <v>33</v>
      </c>
      <c r="D948">
        <v>1</v>
      </c>
      <c r="E948" t="s">
        <v>30</v>
      </c>
      <c r="F948" s="6">
        <v>46087.454861111109</v>
      </c>
      <c r="G948" s="6">
        <v>46087.465277777781</v>
      </c>
      <c r="H948" s="6">
        <v>46087.493055555555</v>
      </c>
      <c r="I948" s="6">
        <v>46087.538194444445</v>
      </c>
      <c r="J948" s="6">
        <v>46087.548611111109</v>
      </c>
      <c r="K948" s="6">
        <v>46087.549305555556</v>
      </c>
      <c r="L948">
        <v>2.27</v>
      </c>
      <c r="M948" s="6">
        <v>46087.55</v>
      </c>
      <c r="N948">
        <f t="shared" si="14"/>
        <v>10</v>
      </c>
    </row>
    <row r="949" spans="2:14" x14ac:dyDescent="0.25">
      <c r="B949">
        <v>930</v>
      </c>
      <c r="C949" t="s">
        <v>31</v>
      </c>
      <c r="D949">
        <v>1</v>
      </c>
      <c r="E949" t="s">
        <v>37</v>
      </c>
      <c r="F949" s="6">
        <v>46087.493055555555</v>
      </c>
      <c r="G949" s="6">
        <v>46087.496527777781</v>
      </c>
      <c r="H949" s="6">
        <v>46087.5</v>
      </c>
      <c r="I949" s="6">
        <v>46087.520833333336</v>
      </c>
      <c r="J949" s="6">
        <v>46087.527777777781</v>
      </c>
      <c r="K949" s="6">
        <v>46087.53125</v>
      </c>
      <c r="L949">
        <v>0.92</v>
      </c>
      <c r="M949" s="6">
        <v>46087.538194444445</v>
      </c>
      <c r="N949">
        <f t="shared" si="14"/>
        <v>11</v>
      </c>
    </row>
    <row r="950" spans="2:14" x14ac:dyDescent="0.25">
      <c r="B950">
        <v>931</v>
      </c>
      <c r="C950" t="s">
        <v>33</v>
      </c>
      <c r="D950">
        <v>1</v>
      </c>
      <c r="E950" t="s">
        <v>30</v>
      </c>
      <c r="F950" s="6">
        <v>46088.701388888891</v>
      </c>
      <c r="G950" s="6">
        <v>46088.71875</v>
      </c>
      <c r="H950" s="6">
        <v>46088.739583333336</v>
      </c>
      <c r="I950" s="6">
        <v>46088.78125</v>
      </c>
      <c r="J950" s="6">
        <v>46088.784722222219</v>
      </c>
      <c r="K950" s="6">
        <v>46088.791666666664</v>
      </c>
      <c r="L950">
        <v>2.17</v>
      </c>
      <c r="M950" s="6">
        <v>46088.798611111109</v>
      </c>
      <c r="N950">
        <f t="shared" si="14"/>
        <v>16</v>
      </c>
    </row>
    <row r="951" spans="2:14" x14ac:dyDescent="0.25">
      <c r="B951">
        <v>932</v>
      </c>
      <c r="C951" t="s">
        <v>29</v>
      </c>
      <c r="D951">
        <v>1</v>
      </c>
      <c r="E951" t="s">
        <v>32</v>
      </c>
      <c r="F951" s="6">
        <v>46088.604166666664</v>
      </c>
      <c r="G951" s="6">
        <v>46088.611111111109</v>
      </c>
      <c r="H951" s="6">
        <v>46088.614583333336</v>
      </c>
      <c r="I951" s="6">
        <v>46088.631944444445</v>
      </c>
      <c r="J951" s="6">
        <v>46088.635416666664</v>
      </c>
      <c r="K951" s="6">
        <v>46088.638888888891</v>
      </c>
      <c r="L951">
        <v>0.83</v>
      </c>
      <c r="M951" s="6">
        <v>46088.640277777777</v>
      </c>
      <c r="N951">
        <f t="shared" si="14"/>
        <v>14</v>
      </c>
    </row>
    <row r="952" spans="2:14" x14ac:dyDescent="0.25">
      <c r="B952">
        <v>933</v>
      </c>
      <c r="C952" t="s">
        <v>31</v>
      </c>
      <c r="D952">
        <v>1</v>
      </c>
      <c r="E952" t="s">
        <v>32</v>
      </c>
      <c r="F952" s="6">
        <v>46087.604166666664</v>
      </c>
      <c r="G952" s="6">
        <v>46087.618055555555</v>
      </c>
      <c r="H952" s="6">
        <v>46087.631944444445</v>
      </c>
      <c r="I952" s="6">
        <v>46087.736111111109</v>
      </c>
      <c r="J952" s="6">
        <v>46087.743055555555</v>
      </c>
      <c r="K952" s="6">
        <v>46087.746527777781</v>
      </c>
      <c r="L952">
        <v>3.42</v>
      </c>
      <c r="M952" s="6">
        <v>46087.753472222219</v>
      </c>
      <c r="N952">
        <f t="shared" si="14"/>
        <v>14</v>
      </c>
    </row>
    <row r="953" spans="2:14" x14ac:dyDescent="0.25">
      <c r="B953">
        <v>934</v>
      </c>
      <c r="C953" t="s">
        <v>33</v>
      </c>
      <c r="D953">
        <v>1</v>
      </c>
      <c r="E953" t="s">
        <v>35</v>
      </c>
      <c r="F953" s="6">
        <v>46090.291666666664</v>
      </c>
      <c r="G953" s="6">
        <v>46090.333333333336</v>
      </c>
      <c r="H953" s="6">
        <v>46090.381944444445</v>
      </c>
      <c r="I953" s="6">
        <v>46090.475694444445</v>
      </c>
      <c r="J953" s="6">
        <v>46090.486111111109</v>
      </c>
      <c r="K953" s="6">
        <v>46090.5</v>
      </c>
      <c r="L953">
        <v>5</v>
      </c>
      <c r="M953" s="6">
        <v>46090.503472222219</v>
      </c>
      <c r="N953">
        <f t="shared" si="14"/>
        <v>7</v>
      </c>
    </row>
    <row r="954" spans="2:14" x14ac:dyDescent="0.25">
      <c r="B954">
        <v>935</v>
      </c>
      <c r="C954" t="s">
        <v>31</v>
      </c>
      <c r="D954">
        <v>1</v>
      </c>
      <c r="E954" t="s">
        <v>35</v>
      </c>
      <c r="F954" s="6">
        <v>46090.493055555555</v>
      </c>
      <c r="G954" s="6">
        <v>46090.5</v>
      </c>
      <c r="H954" s="6">
        <v>46090.520833333336</v>
      </c>
      <c r="I954" s="6">
        <v>46090.555555555555</v>
      </c>
      <c r="J954" s="6">
        <v>46090.5625</v>
      </c>
      <c r="K954" s="6">
        <v>46090.565972222219</v>
      </c>
      <c r="L954">
        <v>1.75</v>
      </c>
      <c r="M954" s="6">
        <v>46090.572916666664</v>
      </c>
      <c r="N954">
        <f t="shared" si="14"/>
        <v>11</v>
      </c>
    </row>
    <row r="955" spans="2:14" x14ac:dyDescent="0.25">
      <c r="B955">
        <v>936</v>
      </c>
      <c r="C955" t="s">
        <v>31</v>
      </c>
      <c r="D955">
        <v>1</v>
      </c>
      <c r="E955" t="s">
        <v>34</v>
      </c>
      <c r="F955" s="6">
        <v>46090.631944444445</v>
      </c>
      <c r="G955" s="6">
        <v>46090.638888888891</v>
      </c>
      <c r="H955" s="6">
        <v>46090.652777777781</v>
      </c>
      <c r="I955" s="6">
        <v>46090.71875</v>
      </c>
      <c r="J955" s="6">
        <v>46090.725694444445</v>
      </c>
      <c r="K955" s="6">
        <v>46090.729166666664</v>
      </c>
      <c r="L955">
        <v>2.33</v>
      </c>
      <c r="M955" s="6">
        <v>46090.736111111109</v>
      </c>
      <c r="N955">
        <f t="shared" si="14"/>
        <v>15</v>
      </c>
    </row>
    <row r="956" spans="2:14" x14ac:dyDescent="0.25">
      <c r="B956">
        <v>937</v>
      </c>
      <c r="C956" t="s">
        <v>29</v>
      </c>
      <c r="D956">
        <v>1</v>
      </c>
      <c r="E956" t="s">
        <v>32</v>
      </c>
      <c r="F956" s="6">
        <v>46090.670138888891</v>
      </c>
      <c r="G956" s="6">
        <v>46090.677083333336</v>
      </c>
      <c r="H956" s="6">
        <v>46090.71875</v>
      </c>
      <c r="I956" s="6">
        <v>46090.826388888891</v>
      </c>
      <c r="J956" s="6">
        <v>46090.833333333336</v>
      </c>
      <c r="K956" s="6">
        <v>46090.84375</v>
      </c>
      <c r="L956">
        <v>4.17</v>
      </c>
      <c r="M956" s="6">
        <v>46090.850694444445</v>
      </c>
      <c r="N956">
        <f t="shared" si="14"/>
        <v>16</v>
      </c>
    </row>
    <row r="957" spans="2:14" x14ac:dyDescent="0.25">
      <c r="B957">
        <v>938</v>
      </c>
      <c r="C957" t="s">
        <v>33</v>
      </c>
      <c r="D957">
        <v>1</v>
      </c>
      <c r="E957" t="s">
        <v>36</v>
      </c>
      <c r="F957" s="6">
        <v>46088.409722222219</v>
      </c>
      <c r="G957" s="6">
        <v>46088.416666666664</v>
      </c>
      <c r="H957" s="6">
        <v>46088.465277777781</v>
      </c>
      <c r="I957" s="6">
        <v>46088.597222222219</v>
      </c>
      <c r="J957" s="6">
        <v>46088.666666666664</v>
      </c>
      <c r="K957" s="6">
        <v>46088.692361111112</v>
      </c>
      <c r="L957">
        <v>6.78</v>
      </c>
      <c r="M957" s="6">
        <v>46088.699305555558</v>
      </c>
      <c r="N957">
        <f t="shared" si="14"/>
        <v>9</v>
      </c>
    </row>
    <row r="958" spans="2:14" x14ac:dyDescent="0.25">
      <c r="B958">
        <v>939</v>
      </c>
      <c r="C958" t="s">
        <v>33</v>
      </c>
      <c r="D958">
        <v>1</v>
      </c>
      <c r="E958" t="s">
        <v>35</v>
      </c>
      <c r="F958" s="6">
        <v>46090.541666666664</v>
      </c>
      <c r="G958" s="6">
        <v>46090.5625</v>
      </c>
      <c r="H958" s="6">
        <v>46090.597222222219</v>
      </c>
      <c r="I958" s="6">
        <v>46090.649305555555</v>
      </c>
      <c r="J958" s="6">
        <v>46090.666666666664</v>
      </c>
      <c r="K958" s="6">
        <v>46090.701388888891</v>
      </c>
      <c r="L958">
        <v>3.83</v>
      </c>
      <c r="M958" s="6">
        <v>46090.702777777777</v>
      </c>
      <c r="N958">
        <f t="shared" si="14"/>
        <v>13</v>
      </c>
    </row>
    <row r="959" spans="2:14" x14ac:dyDescent="0.25">
      <c r="B959">
        <v>940</v>
      </c>
      <c r="C959" t="s">
        <v>33</v>
      </c>
      <c r="D959">
        <v>1</v>
      </c>
      <c r="E959" t="s">
        <v>30</v>
      </c>
      <c r="F959" s="6">
        <v>46087.78125</v>
      </c>
      <c r="G959" s="6">
        <v>46087.784722222219</v>
      </c>
      <c r="H959" s="6">
        <v>46087.791666666664</v>
      </c>
      <c r="I959" s="6">
        <v>46087.798611111109</v>
      </c>
      <c r="J959" s="6">
        <v>46087.815972222219</v>
      </c>
      <c r="K959" s="6">
        <v>46087.819444444445</v>
      </c>
      <c r="L959">
        <v>0.92</v>
      </c>
      <c r="M959" s="6">
        <v>46087.822916666664</v>
      </c>
      <c r="N959">
        <f t="shared" si="14"/>
        <v>18</v>
      </c>
    </row>
    <row r="960" spans="2:14" x14ac:dyDescent="0.25">
      <c r="B960">
        <v>941</v>
      </c>
      <c r="C960" t="s">
        <v>31</v>
      </c>
      <c r="D960">
        <v>1</v>
      </c>
      <c r="E960" t="s">
        <v>35</v>
      </c>
      <c r="F960" s="6">
        <v>46088.677083333336</v>
      </c>
      <c r="G960" s="6">
        <v>46088.6875</v>
      </c>
      <c r="H960" s="6">
        <v>46088.701388888891</v>
      </c>
      <c r="I960" s="6">
        <v>46088.736111111109</v>
      </c>
      <c r="J960" s="6">
        <v>46088.743055555555</v>
      </c>
      <c r="K960" s="6">
        <v>46088.760416666664</v>
      </c>
      <c r="L960">
        <v>2</v>
      </c>
      <c r="M960" s="6">
        <v>46088.761111111111</v>
      </c>
      <c r="N960">
        <f t="shared" si="14"/>
        <v>16</v>
      </c>
    </row>
    <row r="961" spans="2:14" x14ac:dyDescent="0.25">
      <c r="B961">
        <v>942</v>
      </c>
      <c r="C961" t="s">
        <v>31</v>
      </c>
      <c r="D961">
        <v>1</v>
      </c>
      <c r="E961" t="s">
        <v>30</v>
      </c>
      <c r="F961" s="6">
        <v>46088.461805555555</v>
      </c>
      <c r="G961" s="6">
        <v>46088.462500000001</v>
      </c>
      <c r="H961" s="6">
        <v>46088.482638888891</v>
      </c>
      <c r="I961" s="6">
        <v>46088.586805555555</v>
      </c>
      <c r="J961" s="6">
        <v>46088.611111111109</v>
      </c>
      <c r="K961" s="6">
        <v>46088.611805555556</v>
      </c>
      <c r="L961">
        <v>3.6</v>
      </c>
      <c r="M961" s="6">
        <v>46088.618750000001</v>
      </c>
      <c r="N961">
        <f t="shared" si="14"/>
        <v>11</v>
      </c>
    </row>
    <row r="962" spans="2:14" x14ac:dyDescent="0.25">
      <c r="B962">
        <v>943</v>
      </c>
      <c r="C962" t="s">
        <v>29</v>
      </c>
      <c r="D962">
        <v>1</v>
      </c>
      <c r="E962" t="s">
        <v>30</v>
      </c>
      <c r="F962" s="6">
        <v>46088.433333333334</v>
      </c>
      <c r="G962" s="6">
        <v>46088.444444444445</v>
      </c>
      <c r="H962" s="6">
        <v>46088.458333333336</v>
      </c>
      <c r="I962" s="6">
        <v>46088.529861111114</v>
      </c>
      <c r="J962" s="6">
        <v>46088.536805555559</v>
      </c>
      <c r="K962" s="6">
        <v>46088.548611111109</v>
      </c>
      <c r="L962">
        <v>2.77</v>
      </c>
      <c r="M962" s="6">
        <v>46088.555555555555</v>
      </c>
      <c r="N962">
        <f t="shared" si="14"/>
        <v>10</v>
      </c>
    </row>
    <row r="963" spans="2:14" x14ac:dyDescent="0.25">
      <c r="B963">
        <v>944</v>
      </c>
      <c r="C963" t="s">
        <v>33</v>
      </c>
      <c r="D963">
        <v>1</v>
      </c>
      <c r="E963" t="s">
        <v>35</v>
      </c>
      <c r="F963" s="6">
        <v>46088.427083333336</v>
      </c>
      <c r="G963" s="6">
        <v>46088.479166666664</v>
      </c>
      <c r="H963" s="6">
        <v>46088.482638888891</v>
      </c>
      <c r="I963" s="6">
        <v>46088.520833333336</v>
      </c>
      <c r="J963" s="6">
        <v>46088.524305555555</v>
      </c>
      <c r="K963" s="6">
        <v>46088.534722222219</v>
      </c>
      <c r="L963">
        <v>2.58</v>
      </c>
      <c r="M963" s="6">
        <v>46088.541666666664</v>
      </c>
      <c r="N963">
        <f t="shared" si="14"/>
        <v>10</v>
      </c>
    </row>
    <row r="964" spans="2:14" x14ac:dyDescent="0.25">
      <c r="B964">
        <v>945</v>
      </c>
      <c r="C964" t="s">
        <v>33</v>
      </c>
      <c r="D964">
        <v>1</v>
      </c>
      <c r="E964" t="s">
        <v>30</v>
      </c>
      <c r="F964" s="6">
        <v>46091.291666666664</v>
      </c>
      <c r="G964" s="6">
        <v>46091.298611111109</v>
      </c>
      <c r="H964" s="6">
        <v>46091.305555555555</v>
      </c>
      <c r="I964" s="6">
        <v>46091.326388888891</v>
      </c>
      <c r="J964" s="6">
        <v>46091.32708333333</v>
      </c>
      <c r="K964" s="6">
        <v>46091.327777777777</v>
      </c>
      <c r="L964">
        <v>0.87</v>
      </c>
      <c r="M964" s="6">
        <v>46091.328472222223</v>
      </c>
      <c r="N964">
        <f t="shared" si="14"/>
        <v>7</v>
      </c>
    </row>
    <row r="965" spans="2:14" x14ac:dyDescent="0.25">
      <c r="B965">
        <v>946</v>
      </c>
      <c r="C965" t="s">
        <v>31</v>
      </c>
      <c r="D965">
        <v>1</v>
      </c>
      <c r="E965" t="s">
        <v>34</v>
      </c>
      <c r="F965" s="6">
        <v>46088.618055555555</v>
      </c>
      <c r="G965" s="6">
        <v>46088.621527777781</v>
      </c>
      <c r="H965" s="6">
        <v>46088.628472222219</v>
      </c>
      <c r="I965" s="6">
        <v>46088.644444444442</v>
      </c>
      <c r="J965" s="6">
        <v>46088.645833333336</v>
      </c>
      <c r="K965" s="6">
        <v>46088.652777777781</v>
      </c>
      <c r="L965">
        <v>0.83</v>
      </c>
      <c r="M965" s="6">
        <v>46088.659722222219</v>
      </c>
      <c r="N965">
        <f t="shared" si="14"/>
        <v>14</v>
      </c>
    </row>
    <row r="966" spans="2:14" x14ac:dyDescent="0.25">
      <c r="B966">
        <v>947</v>
      </c>
      <c r="C966" t="s">
        <v>31</v>
      </c>
      <c r="D966">
        <v>1</v>
      </c>
      <c r="E966" t="s">
        <v>30</v>
      </c>
      <c r="F966" s="6">
        <v>46089.34375</v>
      </c>
      <c r="G966" s="6">
        <v>46089.357638888891</v>
      </c>
      <c r="H966" s="6">
        <v>46089.375</v>
      </c>
      <c r="I966" s="6">
        <v>46089.506944444445</v>
      </c>
      <c r="J966" s="6">
        <v>46089.513888888891</v>
      </c>
      <c r="K966" s="6">
        <v>46090.006944444445</v>
      </c>
      <c r="L966">
        <v>15.92</v>
      </c>
      <c r="M966" s="6">
        <v>46090.013888888891</v>
      </c>
      <c r="N966">
        <f t="shared" si="14"/>
        <v>8</v>
      </c>
    </row>
    <row r="967" spans="2:14" x14ac:dyDescent="0.25">
      <c r="B967">
        <v>948</v>
      </c>
      <c r="C967" t="s">
        <v>33</v>
      </c>
      <c r="D967">
        <v>1</v>
      </c>
      <c r="E967" t="s">
        <v>30</v>
      </c>
      <c r="F967" s="6">
        <v>46088.680555555555</v>
      </c>
      <c r="G967" s="6">
        <v>46088.6875</v>
      </c>
      <c r="H967" s="6">
        <v>46088.689583333333</v>
      </c>
      <c r="I967" s="6">
        <v>46088.694444444445</v>
      </c>
      <c r="J967" s="6">
        <v>46088.701388888891</v>
      </c>
      <c r="K967" s="6">
        <v>46088.704861111109</v>
      </c>
      <c r="L967">
        <v>0.57999999999999996</v>
      </c>
      <c r="M967" s="6">
        <v>46088.708333333336</v>
      </c>
      <c r="N967">
        <f t="shared" si="14"/>
        <v>16</v>
      </c>
    </row>
    <row r="968" spans="2:14" x14ac:dyDescent="0.25">
      <c r="B968">
        <v>949</v>
      </c>
      <c r="C968" t="s">
        <v>31</v>
      </c>
      <c r="D968">
        <v>1</v>
      </c>
      <c r="E968" t="s">
        <v>35</v>
      </c>
      <c r="F968" s="6">
        <v>46089.347222222219</v>
      </c>
      <c r="G968" s="6">
        <v>46089.354166666664</v>
      </c>
      <c r="H968" s="6">
        <v>46089.385416666664</v>
      </c>
      <c r="I968" s="6">
        <v>46089.513888888891</v>
      </c>
      <c r="J968" s="6">
        <v>46089.520833333336</v>
      </c>
      <c r="K968" s="6">
        <v>46089.527777777781</v>
      </c>
      <c r="L968">
        <v>4.33</v>
      </c>
      <c r="M968" s="6">
        <v>46089.52847222222</v>
      </c>
      <c r="N968">
        <f t="shared" si="14"/>
        <v>8</v>
      </c>
    </row>
    <row r="969" spans="2:14" x14ac:dyDescent="0.25">
      <c r="B969">
        <v>950</v>
      </c>
      <c r="C969" t="s">
        <v>31</v>
      </c>
      <c r="D969">
        <v>1</v>
      </c>
      <c r="E969" t="s">
        <v>34</v>
      </c>
      <c r="F969" s="6">
        <v>46089.361111111109</v>
      </c>
      <c r="G969" s="6">
        <v>46089.368055555555</v>
      </c>
      <c r="H969" s="6">
        <v>46089.375</v>
      </c>
      <c r="I969" s="6">
        <v>46089.423611111109</v>
      </c>
      <c r="J969" s="6">
        <v>46089.430555555555</v>
      </c>
      <c r="K969" s="6">
        <v>46089.431944444441</v>
      </c>
      <c r="L969">
        <v>1.7</v>
      </c>
      <c r="M969" s="6">
        <v>46089.438888888886</v>
      </c>
      <c r="N969">
        <f t="shared" si="14"/>
        <v>8</v>
      </c>
    </row>
    <row r="970" spans="2:14" x14ac:dyDescent="0.25">
      <c r="B970">
        <v>951</v>
      </c>
      <c r="C970" t="s">
        <v>29</v>
      </c>
      <c r="D970">
        <v>1</v>
      </c>
      <c r="E970" t="s">
        <v>30</v>
      </c>
      <c r="F970" s="6">
        <v>46088.840277777781</v>
      </c>
      <c r="G970" s="6">
        <v>46088.854166666664</v>
      </c>
      <c r="H970" s="6">
        <v>46088.857638888891</v>
      </c>
      <c r="I970" s="6">
        <v>46088.870833333334</v>
      </c>
      <c r="J970" s="6">
        <v>46088.875</v>
      </c>
      <c r="K970" s="6">
        <v>46088.880555555559</v>
      </c>
      <c r="L970">
        <v>0.97</v>
      </c>
      <c r="M970" s="6">
        <v>46088.881944444445</v>
      </c>
      <c r="N970">
        <f t="shared" si="14"/>
        <v>20</v>
      </c>
    </row>
    <row r="971" spans="2:14" x14ac:dyDescent="0.25">
      <c r="B971">
        <v>952</v>
      </c>
      <c r="C971" t="s">
        <v>29</v>
      </c>
      <c r="D971">
        <v>1</v>
      </c>
      <c r="E971" t="s">
        <v>30</v>
      </c>
      <c r="F971" s="6">
        <v>46088.861111111109</v>
      </c>
      <c r="G971" s="6">
        <v>46088.868055555555</v>
      </c>
      <c r="H971" s="6">
        <v>46088.875</v>
      </c>
      <c r="I971" s="6">
        <v>46088.895833333336</v>
      </c>
      <c r="J971" s="6">
        <v>46088.899305555555</v>
      </c>
      <c r="K971" s="6">
        <v>46088.902777777781</v>
      </c>
      <c r="L971">
        <v>1</v>
      </c>
      <c r="M971" s="6">
        <v>46088.904166666667</v>
      </c>
      <c r="N971">
        <f t="shared" si="14"/>
        <v>20</v>
      </c>
    </row>
    <row r="972" spans="2:14" x14ac:dyDescent="0.25">
      <c r="B972">
        <v>953</v>
      </c>
      <c r="C972" t="s">
        <v>31</v>
      </c>
      <c r="D972">
        <v>1</v>
      </c>
      <c r="E972" t="s">
        <v>30</v>
      </c>
      <c r="F972" s="6">
        <v>46088.958333333336</v>
      </c>
      <c r="G972" s="6">
        <v>46088.96875</v>
      </c>
      <c r="H972" s="6">
        <v>46088.979166666664</v>
      </c>
      <c r="I972" s="6">
        <v>46089.0625</v>
      </c>
      <c r="J972" s="6">
        <v>46089.069444444445</v>
      </c>
      <c r="K972" s="6">
        <v>46089.083333333336</v>
      </c>
      <c r="L972">
        <v>3</v>
      </c>
      <c r="M972" s="6">
        <v>46089.090277777781</v>
      </c>
      <c r="N972">
        <f t="shared" si="14"/>
        <v>23</v>
      </c>
    </row>
    <row r="973" spans="2:14" x14ac:dyDescent="0.25">
      <c r="B973">
        <v>954</v>
      </c>
      <c r="C973" t="s">
        <v>31</v>
      </c>
      <c r="D973">
        <v>1</v>
      </c>
      <c r="E973" t="s">
        <v>35</v>
      </c>
      <c r="F973" s="6">
        <v>46090.326388888891</v>
      </c>
      <c r="G973" s="6">
        <v>46090.333333333336</v>
      </c>
      <c r="H973" s="6">
        <v>46090.34375</v>
      </c>
      <c r="I973" s="6">
        <v>46090.375</v>
      </c>
      <c r="J973" s="6">
        <v>46090.388888888891</v>
      </c>
      <c r="K973" s="6">
        <v>46090.416666666664</v>
      </c>
      <c r="L973">
        <v>2.17</v>
      </c>
      <c r="M973" s="6">
        <v>46090.429166666669</v>
      </c>
      <c r="N973">
        <f t="shared" si="14"/>
        <v>7</v>
      </c>
    </row>
    <row r="974" spans="2:14" x14ac:dyDescent="0.25">
      <c r="B974">
        <v>955</v>
      </c>
      <c r="C974" t="s">
        <v>31</v>
      </c>
      <c r="D974">
        <v>1</v>
      </c>
      <c r="E974" t="s">
        <v>30</v>
      </c>
      <c r="F974" s="6">
        <v>46090.453472222223</v>
      </c>
      <c r="G974" s="6">
        <v>46090.461805555555</v>
      </c>
      <c r="H974" s="6">
        <v>46090.472222222219</v>
      </c>
      <c r="I974" s="6">
        <v>46090.559027777781</v>
      </c>
      <c r="J974" s="6">
        <v>46090.569444444445</v>
      </c>
      <c r="K974" s="6">
        <v>46090.570138888892</v>
      </c>
      <c r="L974">
        <v>2.8</v>
      </c>
      <c r="M974" s="6">
        <v>46090.570833333331</v>
      </c>
      <c r="N974">
        <f t="shared" si="14"/>
        <v>10</v>
      </c>
    </row>
    <row r="975" spans="2:14" x14ac:dyDescent="0.25">
      <c r="B975">
        <v>956</v>
      </c>
      <c r="C975" t="s">
        <v>33</v>
      </c>
      <c r="D975">
        <v>1</v>
      </c>
      <c r="E975" t="s">
        <v>35</v>
      </c>
      <c r="F975" s="6">
        <v>46090.291666666664</v>
      </c>
      <c r="G975" s="6">
        <v>46090.329861111109</v>
      </c>
      <c r="H975" s="6">
        <v>46090.347222222219</v>
      </c>
      <c r="I975" s="6">
        <v>46090.40625</v>
      </c>
      <c r="J975" s="6">
        <v>46090.423611111109</v>
      </c>
      <c r="K975" s="6">
        <v>46090.645833333336</v>
      </c>
      <c r="L975">
        <v>8.5</v>
      </c>
      <c r="M975" s="6">
        <v>46090.652777777781</v>
      </c>
      <c r="N975">
        <f t="shared" si="14"/>
        <v>7</v>
      </c>
    </row>
    <row r="976" spans="2:14" x14ac:dyDescent="0.25">
      <c r="B976">
        <v>957</v>
      </c>
      <c r="C976" t="s">
        <v>31</v>
      </c>
      <c r="D976">
        <v>1</v>
      </c>
      <c r="E976" t="s">
        <v>32</v>
      </c>
      <c r="F976" s="6">
        <v>46090.548611111109</v>
      </c>
      <c r="G976" s="6">
        <v>46090.5625</v>
      </c>
      <c r="H976" s="6">
        <v>46090.576388888891</v>
      </c>
      <c r="I976" s="6">
        <v>46090.607638888891</v>
      </c>
      <c r="J976" s="6">
        <v>46090.614583333336</v>
      </c>
      <c r="K976" s="6">
        <v>46090.618055555555</v>
      </c>
      <c r="L976">
        <v>1.67</v>
      </c>
      <c r="M976" s="6">
        <v>46090.625</v>
      </c>
      <c r="N976">
        <f t="shared" si="14"/>
        <v>13</v>
      </c>
    </row>
    <row r="977" spans="2:14" x14ac:dyDescent="0.25">
      <c r="B977">
        <v>958</v>
      </c>
      <c r="C977" t="s">
        <v>31</v>
      </c>
      <c r="D977">
        <v>1</v>
      </c>
      <c r="E977" t="s">
        <v>35</v>
      </c>
      <c r="F977" s="6">
        <v>46089.690972222219</v>
      </c>
      <c r="G977" s="6">
        <v>46089.701388888891</v>
      </c>
      <c r="H977" s="6">
        <v>46089.715277777781</v>
      </c>
      <c r="I977" s="6">
        <v>46089.802083333336</v>
      </c>
      <c r="J977" s="6">
        <v>46089.809027777781</v>
      </c>
      <c r="K977" s="6">
        <v>46089.927083333336</v>
      </c>
      <c r="L977">
        <v>5.67</v>
      </c>
      <c r="M977" s="6">
        <v>46089.934027777781</v>
      </c>
      <c r="N977">
        <f t="shared" si="14"/>
        <v>16</v>
      </c>
    </row>
    <row r="978" spans="2:14" x14ac:dyDescent="0.25">
      <c r="B978">
        <v>959</v>
      </c>
      <c r="C978" t="s">
        <v>29</v>
      </c>
      <c r="D978">
        <v>1</v>
      </c>
      <c r="E978" t="s">
        <v>34</v>
      </c>
      <c r="F978" s="6">
        <v>46090.006944444445</v>
      </c>
      <c r="G978" s="6">
        <v>46090.010416666664</v>
      </c>
      <c r="H978" s="6">
        <v>46090.012499999997</v>
      </c>
      <c r="I978" s="6">
        <v>46090.020833333336</v>
      </c>
      <c r="J978" s="6">
        <v>46090.027777777781</v>
      </c>
      <c r="K978" s="6">
        <v>46090.03125</v>
      </c>
      <c r="L978">
        <v>0.57999999999999996</v>
      </c>
      <c r="M978" s="6">
        <v>46090.038194444445</v>
      </c>
      <c r="N978">
        <f t="shared" si="14"/>
        <v>0</v>
      </c>
    </row>
    <row r="979" spans="2:14" x14ac:dyDescent="0.25">
      <c r="B979">
        <v>960</v>
      </c>
      <c r="C979" t="s">
        <v>29</v>
      </c>
      <c r="D979">
        <v>1</v>
      </c>
      <c r="E979" t="s">
        <v>35</v>
      </c>
      <c r="F979" s="6">
        <v>46090.072916666664</v>
      </c>
      <c r="G979" s="6">
        <v>46090.079861111109</v>
      </c>
      <c r="H979" s="6">
        <v>46090.09375</v>
      </c>
      <c r="I979" s="6">
        <v>46090.133333333331</v>
      </c>
      <c r="J979" s="6">
        <v>46090.140277777777</v>
      </c>
      <c r="K979" s="6">
        <v>46090.152777777781</v>
      </c>
      <c r="L979">
        <v>1.92</v>
      </c>
      <c r="M979" s="6">
        <v>46090.159722222219</v>
      </c>
      <c r="N979">
        <f t="shared" si="14"/>
        <v>1</v>
      </c>
    </row>
    <row r="980" spans="2:14" x14ac:dyDescent="0.25">
      <c r="B980">
        <v>961</v>
      </c>
      <c r="C980" t="s">
        <v>29</v>
      </c>
      <c r="D980">
        <v>1</v>
      </c>
      <c r="E980" t="s">
        <v>35</v>
      </c>
      <c r="F980" s="6">
        <v>46090.291666666664</v>
      </c>
      <c r="G980" s="6">
        <v>46090.333333333336</v>
      </c>
      <c r="H980" s="6">
        <v>46090.375</v>
      </c>
      <c r="I980" s="6">
        <v>46090.423611111109</v>
      </c>
      <c r="J980" s="6">
        <v>46090.424305555556</v>
      </c>
      <c r="K980" s="6">
        <v>46090.444444444445</v>
      </c>
      <c r="L980">
        <v>3.67</v>
      </c>
      <c r="M980" s="6">
        <v>46090.445138888892</v>
      </c>
      <c r="N980">
        <f t="shared" si="14"/>
        <v>7</v>
      </c>
    </row>
    <row r="981" spans="2:14" x14ac:dyDescent="0.25">
      <c r="B981">
        <v>962</v>
      </c>
      <c r="C981" t="s">
        <v>31</v>
      </c>
      <c r="D981">
        <v>1</v>
      </c>
      <c r="E981" t="s">
        <v>32</v>
      </c>
      <c r="F981" s="6">
        <v>46090.34375</v>
      </c>
      <c r="G981" s="6">
        <v>46090.347222222219</v>
      </c>
      <c r="H981" s="6">
        <v>46090.357638888891</v>
      </c>
      <c r="I981" s="6">
        <v>46090.447916666664</v>
      </c>
      <c r="J981" s="6">
        <v>46090.454861111109</v>
      </c>
      <c r="K981" s="6">
        <v>46090.493055555555</v>
      </c>
      <c r="L981">
        <v>3.58</v>
      </c>
      <c r="M981" s="6">
        <v>46090.5</v>
      </c>
      <c r="N981">
        <f t="shared" ref="N981:N1044" si="15">HOUR(F981)</f>
        <v>8</v>
      </c>
    </row>
    <row r="982" spans="2:14" x14ac:dyDescent="0.25">
      <c r="B982">
        <v>963</v>
      </c>
      <c r="C982" t="s">
        <v>29</v>
      </c>
      <c r="D982">
        <v>1</v>
      </c>
      <c r="E982" t="s">
        <v>30</v>
      </c>
      <c r="F982" s="6">
        <v>46090.684027777781</v>
      </c>
      <c r="G982" s="6">
        <v>46090.694444444445</v>
      </c>
      <c r="H982" s="6">
        <v>46090.715277777781</v>
      </c>
      <c r="I982" s="6">
        <v>46090.725694444445</v>
      </c>
      <c r="J982" s="6">
        <v>46090.739583333336</v>
      </c>
      <c r="K982" s="6">
        <v>46090.746527777781</v>
      </c>
      <c r="L982">
        <v>1.5</v>
      </c>
      <c r="M982" s="6">
        <v>46090.74722222222</v>
      </c>
      <c r="N982">
        <f t="shared" si="15"/>
        <v>16</v>
      </c>
    </row>
    <row r="983" spans="2:14" x14ac:dyDescent="0.25">
      <c r="B983">
        <v>964</v>
      </c>
      <c r="C983" t="s">
        <v>29</v>
      </c>
      <c r="D983">
        <v>1</v>
      </c>
      <c r="E983" t="s">
        <v>30</v>
      </c>
      <c r="F983" s="6">
        <v>46091.291666666664</v>
      </c>
      <c r="G983" s="6">
        <v>46091.3125</v>
      </c>
      <c r="H983" s="6">
        <v>46091.315972222219</v>
      </c>
      <c r="I983" s="6">
        <v>46091.333333333336</v>
      </c>
      <c r="J983" s="6">
        <v>46091.336805555555</v>
      </c>
      <c r="K983" s="6">
        <v>46091.350694444445</v>
      </c>
      <c r="L983">
        <v>1.42</v>
      </c>
      <c r="M983" s="6">
        <v>46091.357638888891</v>
      </c>
      <c r="N983">
        <f t="shared" si="15"/>
        <v>7</v>
      </c>
    </row>
    <row r="984" spans="2:14" x14ac:dyDescent="0.25">
      <c r="B984">
        <v>965</v>
      </c>
      <c r="C984" t="s">
        <v>31</v>
      </c>
      <c r="D984">
        <v>1</v>
      </c>
      <c r="E984" t="s">
        <v>30</v>
      </c>
      <c r="F984" s="6">
        <v>46090.621527777781</v>
      </c>
      <c r="G984" s="6">
        <v>46090.635416666664</v>
      </c>
      <c r="H984" s="6">
        <v>46090.645833333336</v>
      </c>
      <c r="I984" s="6">
        <v>46090.666666666664</v>
      </c>
      <c r="J984" s="6">
        <v>46090.670138888891</v>
      </c>
      <c r="K984" s="6">
        <v>46090.6875</v>
      </c>
      <c r="L984">
        <v>1.58</v>
      </c>
      <c r="M984" s="6">
        <v>46090.690972222219</v>
      </c>
      <c r="N984">
        <f t="shared" si="15"/>
        <v>14</v>
      </c>
    </row>
    <row r="985" spans="2:14" x14ac:dyDescent="0.25">
      <c r="B985">
        <v>966</v>
      </c>
      <c r="C985" t="s">
        <v>29</v>
      </c>
      <c r="D985">
        <v>1</v>
      </c>
      <c r="E985" t="s">
        <v>36</v>
      </c>
      <c r="F985" s="6">
        <v>46097.305555555555</v>
      </c>
      <c r="G985" s="6">
        <v>46097.322916666664</v>
      </c>
      <c r="H985" s="6">
        <v>46097.340277777781</v>
      </c>
      <c r="I985" s="6">
        <v>46097.383333333331</v>
      </c>
      <c r="J985" s="6">
        <v>46097.390277777777</v>
      </c>
      <c r="K985" s="6">
        <v>46097.395833333336</v>
      </c>
      <c r="L985">
        <v>2.17</v>
      </c>
      <c r="M985" s="6">
        <v>46097.402777777781</v>
      </c>
      <c r="N985">
        <f t="shared" si="15"/>
        <v>7</v>
      </c>
    </row>
    <row r="986" spans="2:14" x14ac:dyDescent="0.25">
      <c r="B986">
        <v>967</v>
      </c>
      <c r="C986" t="s">
        <v>31</v>
      </c>
      <c r="D986">
        <v>1</v>
      </c>
      <c r="E986" t="s">
        <v>34</v>
      </c>
      <c r="F986" s="6">
        <v>46091.291666666664</v>
      </c>
      <c r="G986" s="6">
        <v>46091.319444444445</v>
      </c>
      <c r="H986" s="6">
        <v>46091.347222222219</v>
      </c>
      <c r="I986" s="6">
        <v>46091.449305555558</v>
      </c>
      <c r="J986" s="6">
        <v>46091.458333333336</v>
      </c>
      <c r="K986" s="6">
        <v>46091.541666666664</v>
      </c>
      <c r="L986">
        <v>6</v>
      </c>
      <c r="M986" s="6">
        <v>46091.548611111109</v>
      </c>
      <c r="N986">
        <f t="shared" si="15"/>
        <v>7</v>
      </c>
    </row>
    <row r="987" spans="2:14" x14ac:dyDescent="0.25">
      <c r="B987">
        <v>968</v>
      </c>
      <c r="C987" t="s">
        <v>33</v>
      </c>
      <c r="D987">
        <v>1</v>
      </c>
      <c r="E987" t="s">
        <v>32</v>
      </c>
      <c r="F987" s="6">
        <v>46091.690972222219</v>
      </c>
      <c r="G987" s="6">
        <v>46091.694444444445</v>
      </c>
      <c r="H987" s="6">
        <v>46091.708333333336</v>
      </c>
      <c r="I987" s="6">
        <v>46091.746527777781</v>
      </c>
      <c r="J987" s="6">
        <v>46091.75</v>
      </c>
      <c r="K987" s="6">
        <v>46091.753472222219</v>
      </c>
      <c r="L987">
        <v>1.5</v>
      </c>
      <c r="M987" s="6">
        <v>46091.760416666664</v>
      </c>
      <c r="N987">
        <f t="shared" si="15"/>
        <v>16</v>
      </c>
    </row>
    <row r="988" spans="2:14" x14ac:dyDescent="0.25">
      <c r="B988">
        <v>969</v>
      </c>
      <c r="C988" t="s">
        <v>33</v>
      </c>
      <c r="D988">
        <v>1</v>
      </c>
      <c r="E988" t="s">
        <v>34</v>
      </c>
      <c r="F988" s="6">
        <v>46091.666666666664</v>
      </c>
      <c r="G988" s="6">
        <v>46091.6875</v>
      </c>
      <c r="H988" s="6">
        <v>46091.725694444445</v>
      </c>
      <c r="I988" s="6">
        <v>46091.902777777781</v>
      </c>
      <c r="J988" s="6">
        <v>46091.909722222219</v>
      </c>
      <c r="K988" s="6">
        <v>46091.920138888891</v>
      </c>
      <c r="L988">
        <v>6.08</v>
      </c>
      <c r="M988" s="6">
        <v>46091.927083333336</v>
      </c>
      <c r="N988">
        <f t="shared" si="15"/>
        <v>16</v>
      </c>
    </row>
    <row r="989" spans="2:14" x14ac:dyDescent="0.25">
      <c r="B989">
        <v>970</v>
      </c>
      <c r="C989" t="s">
        <v>31</v>
      </c>
      <c r="D989">
        <v>1</v>
      </c>
      <c r="E989" t="s">
        <v>30</v>
      </c>
      <c r="F989" s="6">
        <v>46090.725694444445</v>
      </c>
      <c r="G989" s="6">
        <v>46090.736111111109</v>
      </c>
      <c r="H989" s="6">
        <v>46090.743055555555</v>
      </c>
      <c r="I989" s="6">
        <v>46090.761805555558</v>
      </c>
      <c r="J989" s="6">
        <v>46090.763888888891</v>
      </c>
      <c r="K989" s="6">
        <v>46090.770833333336</v>
      </c>
      <c r="L989">
        <v>1.08</v>
      </c>
      <c r="M989" s="6">
        <v>46090.777777777781</v>
      </c>
      <c r="N989">
        <f t="shared" si="15"/>
        <v>17</v>
      </c>
    </row>
    <row r="990" spans="2:14" x14ac:dyDescent="0.25">
      <c r="B990">
        <v>971</v>
      </c>
      <c r="C990" t="s">
        <v>31</v>
      </c>
      <c r="D990">
        <v>1</v>
      </c>
      <c r="E990" t="s">
        <v>35</v>
      </c>
      <c r="F990" s="6">
        <v>46091.291666666664</v>
      </c>
      <c r="G990" s="6">
        <v>46091.3125</v>
      </c>
      <c r="H990" s="6">
        <v>46091.333333333336</v>
      </c>
      <c r="I990" s="6">
        <v>46091.46875</v>
      </c>
      <c r="J990" s="6">
        <v>46091.475694444445</v>
      </c>
      <c r="K990" s="6">
        <v>46091.486111111109</v>
      </c>
      <c r="L990">
        <v>4.67</v>
      </c>
      <c r="M990" s="6">
        <v>46091.486805555556</v>
      </c>
      <c r="N990">
        <f t="shared" si="15"/>
        <v>7</v>
      </c>
    </row>
    <row r="991" spans="2:14" x14ac:dyDescent="0.25">
      <c r="B991">
        <v>972</v>
      </c>
      <c r="C991" t="s">
        <v>33</v>
      </c>
      <c r="D991">
        <v>1</v>
      </c>
      <c r="E991" t="s">
        <v>30</v>
      </c>
      <c r="F991" s="6">
        <v>46090.826388888891</v>
      </c>
      <c r="G991" s="6">
        <v>46090.833333333336</v>
      </c>
      <c r="H991" s="6">
        <v>46090.840277777781</v>
      </c>
      <c r="I991" s="6">
        <v>46090.869444444441</v>
      </c>
      <c r="J991" s="6">
        <v>46090.876388888886</v>
      </c>
      <c r="K991" s="6">
        <v>46090.885416666664</v>
      </c>
      <c r="L991">
        <v>1.42</v>
      </c>
      <c r="M991" s="6">
        <v>46090.892361111109</v>
      </c>
      <c r="N991">
        <f t="shared" si="15"/>
        <v>19</v>
      </c>
    </row>
    <row r="992" spans="2:14" x14ac:dyDescent="0.25">
      <c r="B992">
        <v>973</v>
      </c>
      <c r="C992" t="s">
        <v>29</v>
      </c>
      <c r="D992">
        <v>1</v>
      </c>
      <c r="E992" t="s">
        <v>30</v>
      </c>
      <c r="F992" s="6">
        <v>46091.416666666664</v>
      </c>
      <c r="G992" s="6">
        <v>46091.420138888891</v>
      </c>
      <c r="H992" s="6">
        <v>46091.427083333336</v>
      </c>
      <c r="I992" s="6">
        <v>46091.434027777781</v>
      </c>
      <c r="J992" s="6">
        <v>46091.43472222222</v>
      </c>
      <c r="K992" s="6">
        <v>46091.4375</v>
      </c>
      <c r="L992">
        <v>0.5</v>
      </c>
      <c r="M992" s="6">
        <v>46091.451388888891</v>
      </c>
      <c r="N992">
        <f t="shared" si="15"/>
        <v>10</v>
      </c>
    </row>
    <row r="993" spans="2:14" x14ac:dyDescent="0.25">
      <c r="B993">
        <v>974</v>
      </c>
      <c r="C993" t="s">
        <v>29</v>
      </c>
      <c r="D993">
        <v>1</v>
      </c>
      <c r="E993" t="s">
        <v>30</v>
      </c>
      <c r="F993" s="6">
        <v>46091.347222222219</v>
      </c>
      <c r="G993" s="6">
        <v>46091.354166666664</v>
      </c>
      <c r="H993" s="6">
        <v>46091.375</v>
      </c>
      <c r="I993" s="6">
        <v>46091.408333333333</v>
      </c>
      <c r="J993" s="6">
        <v>46091.415277777778</v>
      </c>
      <c r="K993" s="6">
        <v>46091.415972222225</v>
      </c>
      <c r="L993">
        <v>1.65</v>
      </c>
      <c r="M993" s="6">
        <v>46091.42291666667</v>
      </c>
      <c r="N993">
        <f t="shared" si="15"/>
        <v>8</v>
      </c>
    </row>
    <row r="994" spans="2:14" x14ac:dyDescent="0.25">
      <c r="B994">
        <v>975</v>
      </c>
      <c r="C994" t="s">
        <v>33</v>
      </c>
      <c r="D994">
        <v>1</v>
      </c>
      <c r="E994" t="s">
        <v>30</v>
      </c>
      <c r="F994" s="6">
        <v>46091.5625</v>
      </c>
      <c r="G994" s="6">
        <v>46091.565972222219</v>
      </c>
      <c r="H994" s="6">
        <v>46091.59375</v>
      </c>
      <c r="I994" s="6">
        <v>46091.645833333336</v>
      </c>
      <c r="J994" s="6">
        <v>46091.652777777781</v>
      </c>
      <c r="K994" s="6">
        <v>46091.659722222219</v>
      </c>
      <c r="L994">
        <v>2.33</v>
      </c>
      <c r="M994" s="6">
        <v>46091.666666666664</v>
      </c>
      <c r="N994">
        <f t="shared" si="15"/>
        <v>13</v>
      </c>
    </row>
    <row r="995" spans="2:14" x14ac:dyDescent="0.25">
      <c r="B995">
        <v>976</v>
      </c>
      <c r="C995" t="s">
        <v>31</v>
      </c>
      <c r="D995">
        <v>1</v>
      </c>
      <c r="E995" t="s">
        <v>30</v>
      </c>
      <c r="F995" s="6">
        <v>46091.510416666664</v>
      </c>
      <c r="G995" s="6">
        <v>46091.534722222219</v>
      </c>
      <c r="H995" s="6">
        <v>46091.570138888892</v>
      </c>
      <c r="I995" s="6">
        <v>46091.597222222219</v>
      </c>
      <c r="J995" s="6">
        <v>46091.604166666664</v>
      </c>
      <c r="K995" s="6">
        <v>46091.625</v>
      </c>
      <c r="L995">
        <v>2.75</v>
      </c>
      <c r="M995" s="6">
        <v>46091.631944444445</v>
      </c>
      <c r="N995">
        <f t="shared" si="15"/>
        <v>12</v>
      </c>
    </row>
    <row r="996" spans="2:14" x14ac:dyDescent="0.25">
      <c r="B996">
        <v>977</v>
      </c>
      <c r="C996" t="s">
        <v>31</v>
      </c>
      <c r="D996">
        <v>1</v>
      </c>
      <c r="E996" t="s">
        <v>30</v>
      </c>
      <c r="F996" s="6">
        <v>46092.34375</v>
      </c>
      <c r="G996" s="6">
        <v>46092.347222222219</v>
      </c>
      <c r="H996" s="6">
        <v>46092.361111111109</v>
      </c>
      <c r="I996" s="6">
        <v>46092.520833333336</v>
      </c>
      <c r="J996" s="6">
        <v>46092.527777777781</v>
      </c>
      <c r="K996" s="6">
        <v>46092.541666666664</v>
      </c>
      <c r="L996">
        <v>4.75</v>
      </c>
      <c r="M996" s="6">
        <v>46092.548611111109</v>
      </c>
      <c r="N996">
        <f t="shared" si="15"/>
        <v>8</v>
      </c>
    </row>
    <row r="997" spans="2:14" x14ac:dyDescent="0.25">
      <c r="B997">
        <v>978</v>
      </c>
      <c r="C997" t="s">
        <v>33</v>
      </c>
      <c r="D997">
        <v>1</v>
      </c>
      <c r="E997" t="s">
        <v>32</v>
      </c>
      <c r="F997" s="6">
        <v>46092.291666666664</v>
      </c>
      <c r="G997" s="6">
        <v>46092.322916666664</v>
      </c>
      <c r="H997" s="6">
        <v>46092.347222222219</v>
      </c>
      <c r="I997" s="6">
        <v>46092.513888888891</v>
      </c>
      <c r="J997" s="6">
        <v>46092.520833333336</v>
      </c>
      <c r="K997" s="6">
        <v>46092.534722222219</v>
      </c>
      <c r="L997">
        <v>5.83</v>
      </c>
      <c r="M997" s="6">
        <v>46092.541666666664</v>
      </c>
      <c r="N997">
        <f t="shared" si="15"/>
        <v>7</v>
      </c>
    </row>
    <row r="998" spans="2:14" x14ac:dyDescent="0.25">
      <c r="B998">
        <v>979</v>
      </c>
      <c r="C998" t="s">
        <v>31</v>
      </c>
      <c r="D998">
        <v>1</v>
      </c>
      <c r="E998" t="s">
        <v>32</v>
      </c>
      <c r="F998" s="6">
        <v>46092.618055555555</v>
      </c>
      <c r="G998" s="6">
        <v>46092.630555555559</v>
      </c>
      <c r="H998" s="6">
        <v>46092.645833333336</v>
      </c>
      <c r="I998" s="6">
        <v>46092.819444444445</v>
      </c>
      <c r="J998" s="6">
        <v>46092.826388888891</v>
      </c>
      <c r="K998" s="6">
        <v>46092.864583333336</v>
      </c>
      <c r="L998">
        <v>5.92</v>
      </c>
      <c r="M998" s="6">
        <v>46092.868055555555</v>
      </c>
      <c r="N998">
        <f t="shared" si="15"/>
        <v>14</v>
      </c>
    </row>
    <row r="999" spans="2:14" x14ac:dyDescent="0.25">
      <c r="B999">
        <v>980</v>
      </c>
      <c r="C999" t="s">
        <v>31</v>
      </c>
      <c r="D999">
        <v>1</v>
      </c>
      <c r="E999" t="s">
        <v>37</v>
      </c>
      <c r="F999" s="6">
        <v>46092.5625</v>
      </c>
      <c r="G999" s="6">
        <v>46092.586805555555</v>
      </c>
      <c r="H999" s="6">
        <v>46092.631944444445</v>
      </c>
      <c r="I999" s="6">
        <v>46092.743055555555</v>
      </c>
      <c r="J999" s="6">
        <v>46092.756944444445</v>
      </c>
      <c r="K999" s="6">
        <v>46092.760416666664</v>
      </c>
      <c r="L999">
        <v>4.75</v>
      </c>
      <c r="M999" s="6">
        <v>46092.767361111109</v>
      </c>
      <c r="N999">
        <f t="shared" si="15"/>
        <v>13</v>
      </c>
    </row>
    <row r="1000" spans="2:14" x14ac:dyDescent="0.25">
      <c r="B1000">
        <v>981</v>
      </c>
      <c r="C1000" t="s">
        <v>31</v>
      </c>
      <c r="D1000">
        <v>1</v>
      </c>
      <c r="E1000" t="s">
        <v>36</v>
      </c>
      <c r="F1000" s="6">
        <v>46092.326388888891</v>
      </c>
      <c r="G1000" s="6">
        <v>46092.34375</v>
      </c>
      <c r="H1000" s="6">
        <v>46092.368055555555</v>
      </c>
      <c r="I1000" s="6">
        <v>46092.465277777781</v>
      </c>
      <c r="J1000" s="6">
        <v>46092.472222222219</v>
      </c>
      <c r="K1000" s="6">
        <v>46092.486111111109</v>
      </c>
      <c r="L1000">
        <v>3.83</v>
      </c>
      <c r="M1000" s="6">
        <v>46092.493055555555</v>
      </c>
      <c r="N1000">
        <f t="shared" si="15"/>
        <v>7</v>
      </c>
    </row>
    <row r="1001" spans="2:14" x14ac:dyDescent="0.25">
      <c r="B1001">
        <v>982</v>
      </c>
      <c r="C1001" t="s">
        <v>31</v>
      </c>
      <c r="D1001">
        <v>1</v>
      </c>
      <c r="E1001" t="s">
        <v>32</v>
      </c>
      <c r="F1001" s="6">
        <v>46092.291666666664</v>
      </c>
      <c r="G1001" s="6">
        <v>46092.305555555555</v>
      </c>
      <c r="H1001" s="6">
        <v>46092.357638888891</v>
      </c>
      <c r="I1001" s="6">
        <v>46092.434027777781</v>
      </c>
      <c r="J1001" s="6">
        <v>46092.451388888891</v>
      </c>
      <c r="K1001" s="6">
        <v>46092.454861111109</v>
      </c>
      <c r="L1001">
        <v>3.92</v>
      </c>
      <c r="M1001" s="6">
        <v>46092.455555555556</v>
      </c>
      <c r="N1001">
        <f t="shared" si="15"/>
        <v>7</v>
      </c>
    </row>
    <row r="1002" spans="2:14" x14ac:dyDescent="0.25">
      <c r="B1002">
        <v>983</v>
      </c>
      <c r="C1002" t="s">
        <v>33</v>
      </c>
      <c r="D1002">
        <v>1</v>
      </c>
      <c r="E1002" t="s">
        <v>35</v>
      </c>
      <c r="F1002" s="6">
        <v>46092.482638888891</v>
      </c>
      <c r="G1002" s="6">
        <v>46092.489583333336</v>
      </c>
      <c r="H1002" s="6">
        <v>46092.520833333336</v>
      </c>
      <c r="I1002" s="6">
        <v>46092.597222222219</v>
      </c>
      <c r="J1002" s="6">
        <v>46092.708333333336</v>
      </c>
      <c r="K1002" s="6">
        <v>46092.743055555555</v>
      </c>
      <c r="L1002">
        <v>6.25</v>
      </c>
      <c r="M1002" s="6">
        <v>46092.744444444441</v>
      </c>
      <c r="N1002">
        <f t="shared" si="15"/>
        <v>11</v>
      </c>
    </row>
    <row r="1003" spans="2:14" x14ac:dyDescent="0.25">
      <c r="B1003">
        <v>984</v>
      </c>
      <c r="C1003" t="s">
        <v>33</v>
      </c>
      <c r="D1003">
        <v>1</v>
      </c>
      <c r="E1003" t="s">
        <v>35</v>
      </c>
      <c r="F1003" s="6">
        <v>46091.635416666664</v>
      </c>
      <c r="G1003" s="6">
        <v>46091.642361111109</v>
      </c>
      <c r="H1003" s="6">
        <v>46091.666666666664</v>
      </c>
      <c r="I1003" s="6">
        <v>46091.751388888886</v>
      </c>
      <c r="J1003" s="6">
        <v>46091.753472222219</v>
      </c>
      <c r="K1003" s="6">
        <v>46091.754166666666</v>
      </c>
      <c r="L1003">
        <v>2.85</v>
      </c>
      <c r="M1003" s="6">
        <v>46091.754861111112</v>
      </c>
      <c r="N1003">
        <f t="shared" si="15"/>
        <v>15</v>
      </c>
    </row>
    <row r="1004" spans="2:14" x14ac:dyDescent="0.25">
      <c r="B1004">
        <v>985</v>
      </c>
      <c r="C1004" t="s">
        <v>29</v>
      </c>
      <c r="D1004">
        <v>1</v>
      </c>
      <c r="E1004" t="s">
        <v>35</v>
      </c>
      <c r="F1004" s="6">
        <v>46092.291666666664</v>
      </c>
      <c r="G1004" s="6">
        <v>46092.322916666664</v>
      </c>
      <c r="H1004" s="6">
        <v>46092.333333333336</v>
      </c>
      <c r="I1004" s="6">
        <v>46092.395833333336</v>
      </c>
      <c r="J1004" s="6">
        <v>46092.402777777781</v>
      </c>
      <c r="K1004" s="6">
        <v>46092.444444444445</v>
      </c>
      <c r="L1004">
        <v>3.67</v>
      </c>
      <c r="M1004" s="6">
        <v>46092.445138888892</v>
      </c>
      <c r="N1004">
        <f t="shared" si="15"/>
        <v>7</v>
      </c>
    </row>
    <row r="1005" spans="2:14" x14ac:dyDescent="0.25">
      <c r="B1005">
        <v>986</v>
      </c>
      <c r="C1005" t="s">
        <v>31</v>
      </c>
      <c r="D1005">
        <v>1</v>
      </c>
      <c r="E1005" t="s">
        <v>37</v>
      </c>
      <c r="F1005" s="6">
        <v>46092.673611111109</v>
      </c>
      <c r="G1005" s="6">
        <v>46092.6875</v>
      </c>
      <c r="H1005" s="6">
        <v>46092.701388888891</v>
      </c>
      <c r="I1005" s="6">
        <v>46092.74722222222</v>
      </c>
      <c r="J1005" s="6">
        <v>46092.754166666666</v>
      </c>
      <c r="K1005" s="6">
        <v>46092.777083333334</v>
      </c>
      <c r="L1005">
        <v>2.48</v>
      </c>
      <c r="M1005" s="6">
        <v>46092.779166666667</v>
      </c>
      <c r="N1005">
        <f t="shared" si="15"/>
        <v>16</v>
      </c>
    </row>
    <row r="1006" spans="2:14" x14ac:dyDescent="0.25">
      <c r="B1006">
        <v>987</v>
      </c>
      <c r="C1006" t="s">
        <v>33</v>
      </c>
      <c r="D1006">
        <v>1</v>
      </c>
      <c r="E1006" t="s">
        <v>36</v>
      </c>
      <c r="F1006" s="6">
        <v>46092.427083333336</v>
      </c>
      <c r="G1006" s="6">
        <v>46092.461805555555</v>
      </c>
      <c r="H1006" s="6">
        <v>46092.486111111109</v>
      </c>
      <c r="I1006" s="6">
        <v>46092.513888888891</v>
      </c>
      <c r="J1006" s="6">
        <v>46092.520833333336</v>
      </c>
      <c r="K1006" s="6">
        <v>46092.53125</v>
      </c>
      <c r="L1006">
        <v>2.5</v>
      </c>
      <c r="M1006" s="6">
        <v>46092.531944444447</v>
      </c>
      <c r="N1006">
        <f t="shared" si="15"/>
        <v>10</v>
      </c>
    </row>
    <row r="1007" spans="2:14" x14ac:dyDescent="0.25">
      <c r="B1007">
        <v>988</v>
      </c>
      <c r="C1007" t="s">
        <v>33</v>
      </c>
      <c r="D1007">
        <v>1</v>
      </c>
      <c r="E1007" t="s">
        <v>30</v>
      </c>
      <c r="F1007" s="6">
        <v>46093.291666666664</v>
      </c>
      <c r="G1007" s="6">
        <v>46093.298611111109</v>
      </c>
      <c r="H1007" s="6">
        <v>46093.305555555555</v>
      </c>
      <c r="I1007" s="6">
        <v>46093.332638888889</v>
      </c>
      <c r="J1007" s="6">
        <v>46093.339583333334</v>
      </c>
      <c r="K1007" s="6">
        <v>46093.341666666667</v>
      </c>
      <c r="L1007">
        <v>1.2</v>
      </c>
      <c r="M1007" s="6">
        <v>46093.348611111112</v>
      </c>
      <c r="N1007">
        <f t="shared" si="15"/>
        <v>7</v>
      </c>
    </row>
    <row r="1008" spans="2:14" x14ac:dyDescent="0.25">
      <c r="B1008">
        <v>989</v>
      </c>
      <c r="C1008" t="s">
        <v>33</v>
      </c>
      <c r="D1008">
        <v>1</v>
      </c>
      <c r="E1008" t="s">
        <v>37</v>
      </c>
      <c r="F1008" s="6">
        <v>46091.857638888891</v>
      </c>
      <c r="G1008" s="6">
        <v>46091.864583333336</v>
      </c>
      <c r="H1008" s="6">
        <v>46091.875</v>
      </c>
      <c r="I1008" s="6">
        <v>46091.895833333336</v>
      </c>
      <c r="J1008" s="6">
        <v>46091.902777777781</v>
      </c>
      <c r="K1008" s="6">
        <v>46091.916666666664</v>
      </c>
      <c r="L1008">
        <v>1.42</v>
      </c>
      <c r="M1008" s="6">
        <v>46091.923611111109</v>
      </c>
      <c r="N1008">
        <f t="shared" si="15"/>
        <v>20</v>
      </c>
    </row>
    <row r="1009" spans="2:14" x14ac:dyDescent="0.25">
      <c r="B1009">
        <v>990</v>
      </c>
      <c r="C1009" t="s">
        <v>29</v>
      </c>
      <c r="D1009">
        <v>1</v>
      </c>
      <c r="E1009" t="s">
        <v>35</v>
      </c>
      <c r="F1009" s="6">
        <v>46092.086805555555</v>
      </c>
      <c r="G1009" s="6">
        <v>46092.090277777781</v>
      </c>
      <c r="H1009" s="6">
        <v>46092.09375</v>
      </c>
      <c r="I1009" s="6">
        <v>46092.145833333336</v>
      </c>
      <c r="J1009" s="6">
        <v>46092.152777777781</v>
      </c>
      <c r="K1009" s="6">
        <v>46092.15625</v>
      </c>
      <c r="L1009">
        <v>1.67</v>
      </c>
      <c r="M1009" s="6">
        <v>46092.156944444447</v>
      </c>
      <c r="N1009">
        <f t="shared" si="15"/>
        <v>2</v>
      </c>
    </row>
    <row r="1010" spans="2:14" x14ac:dyDescent="0.25">
      <c r="B1010">
        <v>991</v>
      </c>
      <c r="C1010" t="s">
        <v>29</v>
      </c>
      <c r="D1010">
        <v>1</v>
      </c>
      <c r="E1010" t="s">
        <v>30</v>
      </c>
      <c r="F1010" s="6">
        <v>46092.598611111112</v>
      </c>
      <c r="G1010" s="6">
        <v>46092.620138888888</v>
      </c>
      <c r="H1010" s="6">
        <v>46092.621527777781</v>
      </c>
      <c r="I1010" s="6">
        <v>46092.631944444445</v>
      </c>
      <c r="J1010" s="6">
        <v>46092.632638888892</v>
      </c>
      <c r="K1010" s="6">
        <v>46092.649305555555</v>
      </c>
      <c r="L1010">
        <v>1.22</v>
      </c>
      <c r="M1010" s="6">
        <v>46092.65</v>
      </c>
      <c r="N1010">
        <f t="shared" si="15"/>
        <v>14</v>
      </c>
    </row>
    <row r="1011" spans="2:14" x14ac:dyDescent="0.25">
      <c r="B1011">
        <v>992</v>
      </c>
      <c r="C1011" t="s">
        <v>31</v>
      </c>
      <c r="D1011">
        <v>1</v>
      </c>
      <c r="E1011" t="s">
        <v>36</v>
      </c>
      <c r="F1011" s="6">
        <v>46092.581944444442</v>
      </c>
      <c r="G1011" s="6">
        <v>46092.583333333336</v>
      </c>
      <c r="H1011" s="6">
        <v>46092.59375</v>
      </c>
      <c r="I1011" s="6">
        <v>46092.645833333336</v>
      </c>
      <c r="J1011" s="6">
        <v>46092.652777777781</v>
      </c>
      <c r="K1011" s="6">
        <v>46092.659722222219</v>
      </c>
      <c r="L1011">
        <v>1.87</v>
      </c>
      <c r="M1011" s="6">
        <v>46092.661111111112</v>
      </c>
      <c r="N1011">
        <f t="shared" si="15"/>
        <v>13</v>
      </c>
    </row>
    <row r="1012" spans="2:14" x14ac:dyDescent="0.25">
      <c r="B1012">
        <v>993</v>
      </c>
      <c r="C1012" t="s">
        <v>31</v>
      </c>
      <c r="D1012">
        <v>1</v>
      </c>
      <c r="E1012" t="s">
        <v>30</v>
      </c>
      <c r="F1012" s="6">
        <v>46092.692361111112</v>
      </c>
      <c r="G1012" s="6">
        <v>46092.697916666664</v>
      </c>
      <c r="H1012" s="6">
        <v>46092.729166666664</v>
      </c>
      <c r="I1012" s="6">
        <v>46092.774305555555</v>
      </c>
      <c r="J1012" s="6">
        <v>46092.788194444445</v>
      </c>
      <c r="K1012" s="6">
        <v>46092.833333333336</v>
      </c>
      <c r="L1012">
        <v>3.38</v>
      </c>
      <c r="M1012" s="6">
        <v>46092.840277777781</v>
      </c>
      <c r="N1012">
        <f t="shared" si="15"/>
        <v>16</v>
      </c>
    </row>
    <row r="1013" spans="2:14" x14ac:dyDescent="0.25">
      <c r="B1013">
        <v>994</v>
      </c>
      <c r="C1013" t="s">
        <v>29</v>
      </c>
      <c r="D1013">
        <v>1</v>
      </c>
      <c r="E1013" t="s">
        <v>32</v>
      </c>
      <c r="F1013" s="6">
        <v>46093.59375</v>
      </c>
      <c r="G1013" s="6">
        <v>46093.600694444445</v>
      </c>
      <c r="H1013" s="6">
        <v>46093.625</v>
      </c>
      <c r="I1013" s="6">
        <v>46093.715277777781</v>
      </c>
      <c r="J1013" s="6">
        <v>46093.71597222222</v>
      </c>
      <c r="K1013" s="6">
        <v>46093.716666666667</v>
      </c>
      <c r="L1013">
        <v>2.95</v>
      </c>
      <c r="M1013" s="6">
        <v>46093.717361111114</v>
      </c>
      <c r="N1013">
        <f t="shared" si="15"/>
        <v>14</v>
      </c>
    </row>
    <row r="1014" spans="2:14" x14ac:dyDescent="0.25">
      <c r="B1014">
        <v>995</v>
      </c>
      <c r="C1014" t="s">
        <v>29</v>
      </c>
      <c r="D1014">
        <v>1</v>
      </c>
      <c r="E1014" t="s">
        <v>37</v>
      </c>
      <c r="F1014" s="6">
        <v>46093.291666666664</v>
      </c>
      <c r="G1014" s="6">
        <v>46093.3125</v>
      </c>
      <c r="H1014" s="6">
        <v>46093.333333333336</v>
      </c>
      <c r="I1014" s="6">
        <v>46093.388888888891</v>
      </c>
      <c r="J1014" s="6">
        <v>46093.395833333336</v>
      </c>
      <c r="K1014" s="6">
        <v>46093.399305555555</v>
      </c>
      <c r="L1014">
        <v>2.58</v>
      </c>
      <c r="M1014" s="6">
        <v>46093.40625</v>
      </c>
      <c r="N1014">
        <f t="shared" si="15"/>
        <v>7</v>
      </c>
    </row>
    <row r="1015" spans="2:14" x14ac:dyDescent="0.25">
      <c r="B1015">
        <v>996</v>
      </c>
      <c r="C1015" t="s">
        <v>31</v>
      </c>
      <c r="D1015">
        <v>1</v>
      </c>
      <c r="E1015" t="s">
        <v>35</v>
      </c>
      <c r="F1015" s="6">
        <v>46093.291666666664</v>
      </c>
      <c r="G1015" s="6">
        <v>46093.3125</v>
      </c>
      <c r="H1015" s="6">
        <v>46093.326388888891</v>
      </c>
      <c r="I1015" s="6">
        <v>46093.427083333336</v>
      </c>
      <c r="J1015" s="6">
        <v>46093.434027777781</v>
      </c>
      <c r="K1015" s="6">
        <v>46093.440972222219</v>
      </c>
      <c r="L1015">
        <v>3.58</v>
      </c>
      <c r="M1015" s="6">
        <v>46093.441666666666</v>
      </c>
      <c r="N1015">
        <f t="shared" si="15"/>
        <v>7</v>
      </c>
    </row>
    <row r="1016" spans="2:14" x14ac:dyDescent="0.25">
      <c r="B1016">
        <v>997</v>
      </c>
      <c r="C1016" t="s">
        <v>29</v>
      </c>
      <c r="D1016">
        <v>1</v>
      </c>
      <c r="E1016" t="s">
        <v>32</v>
      </c>
      <c r="F1016" s="6">
        <v>46093.767361111109</v>
      </c>
      <c r="G1016" s="6">
        <v>46093.772222222222</v>
      </c>
      <c r="H1016" s="6">
        <v>46093.777777777781</v>
      </c>
      <c r="I1016" s="6">
        <v>46093.791666666664</v>
      </c>
      <c r="J1016" s="6">
        <v>46093.795138888891</v>
      </c>
      <c r="K1016" s="6">
        <v>46093.805555555555</v>
      </c>
      <c r="L1016">
        <v>0.92</v>
      </c>
      <c r="M1016" s="6">
        <v>46093.809027777781</v>
      </c>
      <c r="N1016">
        <f t="shared" si="15"/>
        <v>18</v>
      </c>
    </row>
    <row r="1017" spans="2:14" x14ac:dyDescent="0.25">
      <c r="B1017">
        <v>998</v>
      </c>
      <c r="C1017" t="s">
        <v>31</v>
      </c>
      <c r="D1017">
        <v>1</v>
      </c>
      <c r="E1017" t="s">
        <v>30</v>
      </c>
      <c r="F1017" s="6">
        <v>46093.652777777781</v>
      </c>
      <c r="G1017" s="6">
        <v>46093.659722222219</v>
      </c>
      <c r="H1017" s="6">
        <v>46093.708333333336</v>
      </c>
      <c r="I1017" s="6">
        <v>46093.739583333336</v>
      </c>
      <c r="J1017" s="6">
        <v>46093.756944444445</v>
      </c>
      <c r="K1017" s="6">
        <v>46093.770833333336</v>
      </c>
      <c r="L1017">
        <v>2.83</v>
      </c>
      <c r="M1017" s="6">
        <v>46093.777777777781</v>
      </c>
      <c r="N1017">
        <f t="shared" si="15"/>
        <v>15</v>
      </c>
    </row>
    <row r="1018" spans="2:14" x14ac:dyDescent="0.25">
      <c r="B1018">
        <v>999</v>
      </c>
      <c r="C1018" t="s">
        <v>33</v>
      </c>
      <c r="D1018">
        <v>1</v>
      </c>
      <c r="E1018" t="s">
        <v>36</v>
      </c>
      <c r="F1018" s="6">
        <v>46093.475694444445</v>
      </c>
      <c r="G1018" s="6">
        <v>46093.513888888891</v>
      </c>
      <c r="H1018" s="6">
        <v>46093.524305555555</v>
      </c>
      <c r="I1018" s="6">
        <v>46093.561111111114</v>
      </c>
      <c r="J1018" s="6">
        <v>46093.5625</v>
      </c>
      <c r="K1018" s="6">
        <v>46093.565972222219</v>
      </c>
      <c r="L1018">
        <v>2.17</v>
      </c>
      <c r="M1018" s="6">
        <v>46093.572916666664</v>
      </c>
      <c r="N1018">
        <f t="shared" si="15"/>
        <v>11</v>
      </c>
    </row>
    <row r="1019" spans="2:14" x14ac:dyDescent="0.25">
      <c r="B1019">
        <v>1000</v>
      </c>
      <c r="C1019" t="s">
        <v>31</v>
      </c>
      <c r="D1019">
        <v>1</v>
      </c>
      <c r="E1019" t="s">
        <v>34</v>
      </c>
      <c r="F1019" s="6">
        <v>46093.291666666664</v>
      </c>
      <c r="G1019" s="6">
        <v>46093.315972222219</v>
      </c>
      <c r="H1019" s="6">
        <v>46093.326388888891</v>
      </c>
      <c r="I1019" s="6">
        <v>46093.416666666664</v>
      </c>
      <c r="J1019" s="6">
        <v>46093.423611111109</v>
      </c>
      <c r="K1019" s="6">
        <v>46093.427083333336</v>
      </c>
      <c r="L1019">
        <v>3.25</v>
      </c>
      <c r="M1019" s="6">
        <v>46093.434027777781</v>
      </c>
      <c r="N1019">
        <f t="shared" si="15"/>
        <v>7</v>
      </c>
    </row>
    <row r="1020" spans="2:14" x14ac:dyDescent="0.25">
      <c r="B1020">
        <v>1001</v>
      </c>
      <c r="C1020" t="s">
        <v>31</v>
      </c>
      <c r="D1020">
        <v>1</v>
      </c>
      <c r="E1020" t="s">
        <v>30</v>
      </c>
      <c r="F1020" s="6">
        <v>46092.861111111109</v>
      </c>
      <c r="G1020" s="6">
        <v>46092.868055555555</v>
      </c>
      <c r="H1020" s="6">
        <v>46092.885416666664</v>
      </c>
      <c r="I1020" s="6">
        <v>46092.993055555555</v>
      </c>
      <c r="J1020" s="6">
        <v>46093</v>
      </c>
      <c r="K1020" s="6">
        <v>46093.006944444445</v>
      </c>
      <c r="L1020">
        <v>3.5</v>
      </c>
      <c r="M1020" s="6">
        <v>46093.013888888891</v>
      </c>
      <c r="N1020">
        <f t="shared" si="15"/>
        <v>20</v>
      </c>
    </row>
    <row r="1021" spans="2:14" x14ac:dyDescent="0.25">
      <c r="B1021">
        <v>1002</v>
      </c>
      <c r="C1021" t="s">
        <v>33</v>
      </c>
      <c r="D1021">
        <v>1</v>
      </c>
      <c r="E1021" t="s">
        <v>30</v>
      </c>
      <c r="F1021" s="6">
        <v>46093.451388888891</v>
      </c>
      <c r="G1021" s="6">
        <v>46093.465277777781</v>
      </c>
      <c r="H1021" s="6">
        <v>46093.482638888891</v>
      </c>
      <c r="I1021" s="6">
        <v>46093.53125</v>
      </c>
      <c r="J1021" s="6">
        <v>46093.538194444445</v>
      </c>
      <c r="K1021" s="6">
        <v>46093.541666666664</v>
      </c>
      <c r="L1021">
        <v>2.17</v>
      </c>
      <c r="M1021" s="6">
        <v>46093.542361111111</v>
      </c>
      <c r="N1021">
        <f t="shared" si="15"/>
        <v>10</v>
      </c>
    </row>
    <row r="1022" spans="2:14" x14ac:dyDescent="0.25">
      <c r="B1022">
        <v>1003</v>
      </c>
      <c r="C1022" t="s">
        <v>33</v>
      </c>
      <c r="D1022">
        <v>1</v>
      </c>
      <c r="E1022" t="s">
        <v>30</v>
      </c>
      <c r="F1022" s="6">
        <v>46092.815972222219</v>
      </c>
      <c r="G1022" s="6">
        <v>46092.829861111109</v>
      </c>
      <c r="H1022" s="6">
        <v>46092.84375</v>
      </c>
      <c r="I1022" s="6">
        <v>46092.923611111109</v>
      </c>
      <c r="J1022" s="6">
        <v>46092.927083333336</v>
      </c>
      <c r="K1022" s="6">
        <v>46092.930555555555</v>
      </c>
      <c r="L1022">
        <v>2.75</v>
      </c>
      <c r="M1022" s="6">
        <v>46092.9375</v>
      </c>
      <c r="N1022">
        <f t="shared" si="15"/>
        <v>19</v>
      </c>
    </row>
    <row r="1023" spans="2:14" x14ac:dyDescent="0.25">
      <c r="B1023">
        <v>1004</v>
      </c>
      <c r="C1023" t="s">
        <v>29</v>
      </c>
      <c r="D1023">
        <v>1</v>
      </c>
      <c r="E1023" t="s">
        <v>30</v>
      </c>
      <c r="F1023" s="6">
        <v>46092.878472222219</v>
      </c>
      <c r="G1023" s="6">
        <v>46092.881944444445</v>
      </c>
      <c r="H1023" s="6">
        <v>46092.916666666664</v>
      </c>
      <c r="I1023" s="6">
        <v>46092.9375</v>
      </c>
      <c r="J1023" s="6">
        <v>46092.944444444445</v>
      </c>
      <c r="K1023" s="6">
        <v>46092.945138888892</v>
      </c>
      <c r="L1023">
        <v>1.6</v>
      </c>
      <c r="M1023" s="6">
        <v>46092.95208333333</v>
      </c>
      <c r="N1023">
        <f t="shared" si="15"/>
        <v>21</v>
      </c>
    </row>
    <row r="1024" spans="2:14" x14ac:dyDescent="0.25">
      <c r="B1024">
        <v>1005</v>
      </c>
      <c r="C1024" t="s">
        <v>29</v>
      </c>
      <c r="D1024">
        <v>1</v>
      </c>
      <c r="E1024" t="s">
        <v>30</v>
      </c>
      <c r="F1024" s="6">
        <v>46092.9375</v>
      </c>
      <c r="G1024" s="6">
        <v>46092.947916666664</v>
      </c>
      <c r="H1024" s="6">
        <v>46092.958333333336</v>
      </c>
      <c r="I1024" s="6">
        <v>46093.020833333336</v>
      </c>
      <c r="J1024" s="6">
        <v>46093.027777777781</v>
      </c>
      <c r="K1024" s="6">
        <v>46093.604166666664</v>
      </c>
      <c r="L1024">
        <v>16</v>
      </c>
      <c r="M1024" s="6">
        <v>46093.611111111109</v>
      </c>
      <c r="N1024">
        <f t="shared" si="15"/>
        <v>22</v>
      </c>
    </row>
    <row r="1025" spans="2:14" x14ac:dyDescent="0.25">
      <c r="B1025">
        <v>1006</v>
      </c>
      <c r="C1025" t="s">
        <v>33</v>
      </c>
      <c r="D1025">
        <v>1</v>
      </c>
      <c r="E1025" t="s">
        <v>30</v>
      </c>
      <c r="F1025" s="6">
        <v>46092.9375</v>
      </c>
      <c r="G1025" s="6">
        <v>46092.947916666664</v>
      </c>
      <c r="H1025" s="6">
        <v>46092.958333333336</v>
      </c>
      <c r="I1025" s="6">
        <v>46093.020833333336</v>
      </c>
      <c r="J1025" s="6">
        <v>46093.027777777781</v>
      </c>
      <c r="K1025" s="6">
        <v>46093.604166666664</v>
      </c>
      <c r="L1025">
        <v>16</v>
      </c>
      <c r="M1025" s="6">
        <v>46093.611111111109</v>
      </c>
      <c r="N1025">
        <f t="shared" si="15"/>
        <v>22</v>
      </c>
    </row>
    <row r="1026" spans="2:14" x14ac:dyDescent="0.25">
      <c r="B1026">
        <v>1007</v>
      </c>
      <c r="C1026" t="s">
        <v>33</v>
      </c>
      <c r="D1026">
        <v>1</v>
      </c>
      <c r="E1026" t="s">
        <v>30</v>
      </c>
      <c r="F1026" s="6">
        <v>46093.361111111109</v>
      </c>
      <c r="G1026" s="6">
        <v>46093.381944444445</v>
      </c>
      <c r="H1026" s="6">
        <v>46093.392361111109</v>
      </c>
      <c r="I1026" s="6">
        <v>46093.416666666664</v>
      </c>
      <c r="J1026" s="6">
        <v>46093.417361111111</v>
      </c>
      <c r="K1026" s="6">
        <v>46093.418055555558</v>
      </c>
      <c r="L1026">
        <v>1.37</v>
      </c>
      <c r="M1026" s="6">
        <v>46093.425000000003</v>
      </c>
      <c r="N1026">
        <f t="shared" si="15"/>
        <v>8</v>
      </c>
    </row>
    <row r="1027" spans="2:14" x14ac:dyDescent="0.25">
      <c r="B1027">
        <v>1008</v>
      </c>
      <c r="C1027" t="s">
        <v>31</v>
      </c>
      <c r="D1027">
        <v>1</v>
      </c>
      <c r="E1027" t="s">
        <v>36</v>
      </c>
      <c r="F1027" s="6">
        <v>46093.645833333336</v>
      </c>
      <c r="G1027" s="6">
        <v>46093.65625</v>
      </c>
      <c r="H1027" s="6">
        <v>46093.659722222219</v>
      </c>
      <c r="I1027" s="6">
        <v>46093.680555555555</v>
      </c>
      <c r="J1027" s="6">
        <v>46093.684027777781</v>
      </c>
      <c r="K1027" s="6">
        <v>46093.6875</v>
      </c>
      <c r="L1027">
        <v>1</v>
      </c>
      <c r="M1027" s="6">
        <v>46093.688194444447</v>
      </c>
      <c r="N1027">
        <f t="shared" si="15"/>
        <v>15</v>
      </c>
    </row>
    <row r="1028" spans="2:14" x14ac:dyDescent="0.25">
      <c r="B1028">
        <v>1009</v>
      </c>
      <c r="C1028" t="s">
        <v>29</v>
      </c>
      <c r="D1028">
        <v>1</v>
      </c>
      <c r="E1028" t="s">
        <v>35</v>
      </c>
      <c r="F1028" s="6">
        <v>46093.677083333336</v>
      </c>
      <c r="G1028" s="6">
        <v>46093.690972222219</v>
      </c>
      <c r="H1028" s="6">
        <v>46093.715277777781</v>
      </c>
      <c r="I1028" s="6">
        <v>46093.760416666664</v>
      </c>
      <c r="J1028" s="6">
        <v>46093.767361111109</v>
      </c>
      <c r="K1028" s="6">
        <v>46093.770833333336</v>
      </c>
      <c r="L1028">
        <v>2.25</v>
      </c>
      <c r="M1028" s="6">
        <v>46093.777777777781</v>
      </c>
      <c r="N1028">
        <f t="shared" si="15"/>
        <v>16</v>
      </c>
    </row>
    <row r="1029" spans="2:14" x14ac:dyDescent="0.25">
      <c r="B1029">
        <v>1010</v>
      </c>
      <c r="C1029" t="s">
        <v>31</v>
      </c>
      <c r="D1029">
        <v>1</v>
      </c>
      <c r="E1029" t="s">
        <v>35</v>
      </c>
      <c r="F1029" s="6">
        <v>46093.524305555555</v>
      </c>
      <c r="G1029" s="6">
        <v>46093.538194444445</v>
      </c>
      <c r="H1029" s="6">
        <v>46093.552083333336</v>
      </c>
      <c r="I1029" s="6">
        <v>46093.614583333336</v>
      </c>
      <c r="J1029" s="6">
        <v>46093.631944444445</v>
      </c>
      <c r="K1029" s="6">
        <v>46093.649305555555</v>
      </c>
      <c r="L1029">
        <v>3</v>
      </c>
      <c r="M1029" s="6">
        <v>46093.65</v>
      </c>
      <c r="N1029">
        <f t="shared" si="15"/>
        <v>12</v>
      </c>
    </row>
    <row r="1030" spans="2:14" x14ac:dyDescent="0.25">
      <c r="B1030">
        <v>1011</v>
      </c>
      <c r="C1030" t="s">
        <v>33</v>
      </c>
      <c r="D1030">
        <v>1</v>
      </c>
      <c r="E1030" t="s">
        <v>30</v>
      </c>
      <c r="F1030" s="6">
        <v>46093.420138888891</v>
      </c>
      <c r="G1030" s="6">
        <v>46093.427083333336</v>
      </c>
      <c r="H1030" s="6">
        <v>46093.447916666664</v>
      </c>
      <c r="I1030" s="6">
        <v>46093.47152777778</v>
      </c>
      <c r="J1030" s="6">
        <v>46093.478472222225</v>
      </c>
      <c r="K1030" s="6">
        <v>46093.482638888891</v>
      </c>
      <c r="L1030">
        <v>1.5</v>
      </c>
      <c r="M1030" s="6">
        <v>46093.489583333336</v>
      </c>
      <c r="N1030">
        <f t="shared" si="15"/>
        <v>10</v>
      </c>
    </row>
    <row r="1031" spans="2:14" x14ac:dyDescent="0.25">
      <c r="B1031">
        <v>1012</v>
      </c>
      <c r="C1031" t="s">
        <v>29</v>
      </c>
      <c r="D1031">
        <v>1</v>
      </c>
      <c r="E1031" t="s">
        <v>34</v>
      </c>
      <c r="F1031" s="6">
        <v>46093.451388888891</v>
      </c>
      <c r="G1031" s="6">
        <v>46093.458333333336</v>
      </c>
      <c r="H1031" s="6">
        <v>46093.475694444445</v>
      </c>
      <c r="I1031" s="6">
        <v>46093.510416666664</v>
      </c>
      <c r="J1031" s="6">
        <v>46093.517361111109</v>
      </c>
      <c r="K1031" s="6">
        <v>46093.53125</v>
      </c>
      <c r="L1031">
        <v>1.92</v>
      </c>
      <c r="M1031" s="6">
        <v>46093.538194444445</v>
      </c>
      <c r="N1031">
        <f t="shared" si="15"/>
        <v>10</v>
      </c>
    </row>
    <row r="1032" spans="2:14" x14ac:dyDescent="0.25">
      <c r="B1032">
        <v>1013</v>
      </c>
      <c r="C1032" t="s">
        <v>29</v>
      </c>
      <c r="D1032">
        <v>1</v>
      </c>
      <c r="E1032" t="s">
        <v>36</v>
      </c>
      <c r="F1032" s="6">
        <v>46093.75</v>
      </c>
      <c r="G1032" s="6">
        <v>46093.763888888891</v>
      </c>
      <c r="H1032" s="6">
        <v>46093.78125</v>
      </c>
      <c r="I1032" s="6">
        <v>46093.788194444445</v>
      </c>
      <c r="J1032" s="6">
        <v>46093.791666666664</v>
      </c>
      <c r="K1032" s="6">
        <v>46093.795138888891</v>
      </c>
      <c r="L1032">
        <v>1.08</v>
      </c>
      <c r="M1032" s="6">
        <v>46093.79583333333</v>
      </c>
      <c r="N1032">
        <f t="shared" si="15"/>
        <v>18</v>
      </c>
    </row>
    <row r="1033" spans="2:14" x14ac:dyDescent="0.25">
      <c r="B1033">
        <v>1014</v>
      </c>
      <c r="C1033" t="s">
        <v>29</v>
      </c>
      <c r="D1033">
        <v>1</v>
      </c>
      <c r="E1033" t="s">
        <v>35</v>
      </c>
      <c r="F1033" s="6">
        <v>46093.590277777781</v>
      </c>
      <c r="G1033" s="6">
        <v>46093.604166666664</v>
      </c>
      <c r="H1033" s="6">
        <v>46093.652777777781</v>
      </c>
      <c r="I1033" s="6">
        <v>46093.78125</v>
      </c>
      <c r="J1033" s="6">
        <v>46093.798611111109</v>
      </c>
      <c r="K1033" s="6">
        <v>46093.833333333336</v>
      </c>
      <c r="L1033">
        <v>5.83</v>
      </c>
      <c r="M1033" s="6">
        <v>46093.834027777775</v>
      </c>
      <c r="N1033">
        <f t="shared" si="15"/>
        <v>14</v>
      </c>
    </row>
    <row r="1034" spans="2:14" x14ac:dyDescent="0.25">
      <c r="B1034">
        <v>1015</v>
      </c>
      <c r="C1034" t="s">
        <v>31</v>
      </c>
      <c r="D1034">
        <v>1</v>
      </c>
      <c r="E1034" t="s">
        <v>35</v>
      </c>
      <c r="F1034" s="6">
        <v>46094.572916666664</v>
      </c>
      <c r="G1034" s="6">
        <v>46094.590277777781</v>
      </c>
      <c r="H1034" s="6">
        <v>46094.607638888891</v>
      </c>
      <c r="I1034" s="6">
        <v>46094.652777777781</v>
      </c>
      <c r="J1034" s="6">
        <v>46094.666666666664</v>
      </c>
      <c r="K1034" s="6">
        <v>46094.670138888891</v>
      </c>
      <c r="L1034">
        <v>2.33</v>
      </c>
      <c r="M1034" s="6">
        <v>46094.671527777777</v>
      </c>
      <c r="N1034">
        <f t="shared" si="15"/>
        <v>13</v>
      </c>
    </row>
    <row r="1035" spans="2:14" x14ac:dyDescent="0.25">
      <c r="B1035">
        <v>1016</v>
      </c>
      <c r="C1035" t="s">
        <v>33</v>
      </c>
      <c r="D1035">
        <v>1</v>
      </c>
      <c r="E1035" t="s">
        <v>32</v>
      </c>
      <c r="F1035" s="6">
        <v>46094.326388888891</v>
      </c>
      <c r="G1035" s="6">
        <v>46094.336805555555</v>
      </c>
      <c r="H1035" s="6">
        <v>46094.357638888891</v>
      </c>
      <c r="I1035" s="6">
        <v>46094.425000000003</v>
      </c>
      <c r="J1035" s="6">
        <v>46094.427083333336</v>
      </c>
      <c r="K1035" s="6">
        <v>46094.429166666669</v>
      </c>
      <c r="L1035">
        <v>2.4700000000000002</v>
      </c>
      <c r="M1035" s="6">
        <v>46094.430555555555</v>
      </c>
      <c r="N1035">
        <f t="shared" si="15"/>
        <v>7</v>
      </c>
    </row>
    <row r="1036" spans="2:14" x14ac:dyDescent="0.25">
      <c r="B1036">
        <v>1017</v>
      </c>
      <c r="C1036" t="s">
        <v>33</v>
      </c>
      <c r="D1036">
        <v>1</v>
      </c>
      <c r="E1036" t="s">
        <v>36</v>
      </c>
      <c r="F1036" s="6">
        <v>46094.333333333336</v>
      </c>
      <c r="G1036" s="6">
        <v>46094.34375</v>
      </c>
      <c r="H1036" s="6">
        <v>46094.364583333336</v>
      </c>
      <c r="I1036" s="6">
        <v>46094.427083333336</v>
      </c>
      <c r="J1036" s="6">
        <v>46094.434027777781</v>
      </c>
      <c r="K1036" s="6">
        <v>46094.444444444445</v>
      </c>
      <c r="L1036">
        <v>2.67</v>
      </c>
      <c r="M1036" s="6">
        <v>46094.451388888891</v>
      </c>
      <c r="N1036">
        <f t="shared" si="15"/>
        <v>8</v>
      </c>
    </row>
    <row r="1037" spans="2:14" x14ac:dyDescent="0.25">
      <c r="B1037">
        <v>1018</v>
      </c>
      <c r="C1037" t="s">
        <v>33</v>
      </c>
      <c r="D1037">
        <v>1</v>
      </c>
      <c r="E1037" t="s">
        <v>30</v>
      </c>
      <c r="F1037" s="6">
        <v>46094.486111111109</v>
      </c>
      <c r="G1037" s="6">
        <v>46094.51458333333</v>
      </c>
      <c r="H1037" s="6">
        <v>46094.585416666669</v>
      </c>
      <c r="I1037" s="6">
        <v>46094.740972222222</v>
      </c>
      <c r="J1037" s="6">
        <v>46094.791666666664</v>
      </c>
      <c r="K1037" s="6">
        <v>46094.875</v>
      </c>
      <c r="L1037">
        <v>9.33</v>
      </c>
      <c r="M1037" s="6">
        <v>46094.881944444445</v>
      </c>
      <c r="N1037">
        <f t="shared" si="15"/>
        <v>11</v>
      </c>
    </row>
    <row r="1038" spans="2:14" x14ac:dyDescent="0.25">
      <c r="B1038">
        <v>1019</v>
      </c>
      <c r="C1038" t="s">
        <v>31</v>
      </c>
      <c r="D1038">
        <v>1</v>
      </c>
      <c r="E1038" t="s">
        <v>35</v>
      </c>
      <c r="F1038" s="6">
        <v>46094.291666666664</v>
      </c>
      <c r="G1038" s="6">
        <v>46094.305555555555</v>
      </c>
      <c r="H1038" s="6">
        <v>46094.34375</v>
      </c>
      <c r="I1038" s="6">
        <v>46094.447916666664</v>
      </c>
      <c r="J1038" s="6">
        <v>46094.461805555555</v>
      </c>
      <c r="K1038" s="6">
        <v>46094.479166666664</v>
      </c>
      <c r="L1038">
        <v>4.5</v>
      </c>
      <c r="M1038" s="6">
        <v>46094.480555555558</v>
      </c>
      <c r="N1038">
        <f t="shared" si="15"/>
        <v>7</v>
      </c>
    </row>
    <row r="1039" spans="2:14" x14ac:dyDescent="0.25">
      <c r="B1039">
        <v>1020</v>
      </c>
      <c r="C1039" t="s">
        <v>31</v>
      </c>
      <c r="D1039">
        <v>1</v>
      </c>
      <c r="E1039" t="s">
        <v>34</v>
      </c>
      <c r="F1039" s="6">
        <v>46094.295138888891</v>
      </c>
      <c r="G1039" s="6">
        <v>46094.326388888891</v>
      </c>
      <c r="H1039" s="6">
        <v>46094.340277777781</v>
      </c>
      <c r="I1039" s="6">
        <v>46094.486111111109</v>
      </c>
      <c r="J1039" s="6">
        <v>46094.493055555555</v>
      </c>
      <c r="K1039" s="6">
        <v>46094.5</v>
      </c>
      <c r="L1039">
        <v>4.92</v>
      </c>
      <c r="M1039" s="6">
        <v>46094.506944444445</v>
      </c>
      <c r="N1039">
        <f t="shared" si="15"/>
        <v>7</v>
      </c>
    </row>
    <row r="1040" spans="2:14" x14ac:dyDescent="0.25">
      <c r="B1040">
        <v>1021</v>
      </c>
      <c r="C1040" t="s">
        <v>31</v>
      </c>
      <c r="D1040">
        <v>1</v>
      </c>
      <c r="E1040" t="s">
        <v>36</v>
      </c>
      <c r="F1040" s="6">
        <v>46094.486111111109</v>
      </c>
      <c r="G1040" s="6">
        <v>46094.5</v>
      </c>
      <c r="H1040" s="6">
        <v>46094.527777777781</v>
      </c>
      <c r="I1040" s="6">
        <v>46094.715277777781</v>
      </c>
      <c r="J1040" s="6">
        <v>46094.722222222219</v>
      </c>
      <c r="K1040" s="6">
        <v>46094.770833333336</v>
      </c>
      <c r="L1040">
        <v>6.83</v>
      </c>
      <c r="M1040" s="6">
        <v>46094.772222222222</v>
      </c>
      <c r="N1040">
        <f t="shared" si="15"/>
        <v>11</v>
      </c>
    </row>
    <row r="1041" spans="2:14" x14ac:dyDescent="0.25">
      <c r="B1041">
        <v>1022</v>
      </c>
      <c r="C1041" t="s">
        <v>31</v>
      </c>
      <c r="D1041">
        <v>1</v>
      </c>
      <c r="E1041" t="s">
        <v>32</v>
      </c>
      <c r="F1041" s="6">
        <v>46094.357638888891</v>
      </c>
      <c r="G1041" s="6">
        <v>46094.361111111109</v>
      </c>
      <c r="H1041" s="6">
        <v>46094.368055555555</v>
      </c>
      <c r="I1041" s="6">
        <v>46094.4375</v>
      </c>
      <c r="J1041" s="6">
        <v>46094.441666666666</v>
      </c>
      <c r="K1041" s="6">
        <v>46094.454861111109</v>
      </c>
      <c r="L1041">
        <v>2.33</v>
      </c>
      <c r="M1041" s="6">
        <v>46094.455555555556</v>
      </c>
      <c r="N1041">
        <f t="shared" si="15"/>
        <v>8</v>
      </c>
    </row>
    <row r="1042" spans="2:14" x14ac:dyDescent="0.25">
      <c r="B1042">
        <v>1023</v>
      </c>
      <c r="C1042" t="s">
        <v>31</v>
      </c>
      <c r="D1042">
        <v>1</v>
      </c>
      <c r="E1042" t="s">
        <v>30</v>
      </c>
      <c r="F1042" s="6">
        <v>46094.628472222219</v>
      </c>
      <c r="G1042" s="6">
        <v>46094.629166666666</v>
      </c>
      <c r="H1042" s="6">
        <v>46094.65625</v>
      </c>
      <c r="I1042" s="6">
        <v>46094.711805555555</v>
      </c>
      <c r="J1042" s="6">
        <v>46094.760416666664</v>
      </c>
      <c r="K1042" s="6">
        <v>46094.763888888891</v>
      </c>
      <c r="L1042">
        <v>3.25</v>
      </c>
      <c r="M1042" s="6">
        <v>46094.76458333333</v>
      </c>
      <c r="N1042">
        <f t="shared" si="15"/>
        <v>15</v>
      </c>
    </row>
    <row r="1043" spans="2:14" x14ac:dyDescent="0.25">
      <c r="B1043">
        <v>1024</v>
      </c>
      <c r="C1043" t="s">
        <v>33</v>
      </c>
      <c r="D1043">
        <v>1</v>
      </c>
      <c r="E1043" t="s">
        <v>35</v>
      </c>
      <c r="F1043" s="6">
        <v>46095.352777777778</v>
      </c>
      <c r="G1043" s="6">
        <v>46095.354166666664</v>
      </c>
      <c r="H1043" s="6">
        <v>46095.375</v>
      </c>
      <c r="I1043" s="6">
        <v>46095.434027777781</v>
      </c>
      <c r="J1043" s="6">
        <v>46095.444444444445</v>
      </c>
      <c r="K1043" s="6">
        <v>46095.450694444444</v>
      </c>
      <c r="L1043">
        <v>2.35</v>
      </c>
      <c r="M1043" s="6">
        <v>46095.451388888891</v>
      </c>
      <c r="N1043">
        <f t="shared" si="15"/>
        <v>8</v>
      </c>
    </row>
    <row r="1044" spans="2:14" x14ac:dyDescent="0.25">
      <c r="B1044">
        <v>1025</v>
      </c>
      <c r="C1044" t="s">
        <v>31</v>
      </c>
      <c r="D1044">
        <v>1</v>
      </c>
      <c r="E1044" t="s">
        <v>30</v>
      </c>
      <c r="F1044" s="6">
        <v>46094.888888888891</v>
      </c>
      <c r="G1044" s="6">
        <v>46094.895833333336</v>
      </c>
      <c r="H1044" s="6">
        <v>46094.909722222219</v>
      </c>
      <c r="I1044" s="6">
        <v>46094.9375</v>
      </c>
      <c r="J1044" s="6">
        <v>46094.944444444445</v>
      </c>
      <c r="K1044" s="6">
        <v>46094.947916666664</v>
      </c>
      <c r="L1044">
        <v>1.42</v>
      </c>
      <c r="M1044" s="6">
        <v>46094.954861111109</v>
      </c>
      <c r="N1044">
        <f t="shared" si="15"/>
        <v>21</v>
      </c>
    </row>
    <row r="1045" spans="2:14" x14ac:dyDescent="0.25">
      <c r="B1045">
        <v>1026</v>
      </c>
      <c r="C1045" t="s">
        <v>33</v>
      </c>
      <c r="D1045">
        <v>1</v>
      </c>
      <c r="E1045" t="s">
        <v>30</v>
      </c>
      <c r="F1045" s="6">
        <v>46094.557638888888</v>
      </c>
      <c r="G1045" s="6">
        <v>46094.5625</v>
      </c>
      <c r="H1045" s="6">
        <v>46094.576388888891</v>
      </c>
      <c r="I1045" s="6">
        <v>46094.672222222223</v>
      </c>
      <c r="J1045" s="6">
        <v>46094.680555555555</v>
      </c>
      <c r="K1045" s="6">
        <v>46094.704861111109</v>
      </c>
      <c r="L1045">
        <v>3.53</v>
      </c>
      <c r="M1045" s="6">
        <v>46094.708333333336</v>
      </c>
      <c r="N1045">
        <f t="shared" ref="N1045:N1108" si="16">HOUR(F1045)</f>
        <v>13</v>
      </c>
    </row>
    <row r="1046" spans="2:14" x14ac:dyDescent="0.25">
      <c r="B1046">
        <v>1027</v>
      </c>
      <c r="C1046" t="s">
        <v>29</v>
      </c>
      <c r="D1046">
        <v>1</v>
      </c>
      <c r="E1046" t="s">
        <v>35</v>
      </c>
      <c r="F1046" s="6">
        <v>46097.295138888891</v>
      </c>
      <c r="G1046" s="6">
        <v>46097.319444444445</v>
      </c>
      <c r="H1046" s="6">
        <v>46097.34375</v>
      </c>
      <c r="I1046" s="6">
        <v>46097.427083333336</v>
      </c>
      <c r="J1046" s="6">
        <v>46097.434027777781</v>
      </c>
      <c r="K1046" s="6">
        <v>46097.4375</v>
      </c>
      <c r="L1046">
        <v>3.42</v>
      </c>
      <c r="M1046" s="6">
        <v>46097.444444444445</v>
      </c>
      <c r="N1046">
        <f t="shared" si="16"/>
        <v>7</v>
      </c>
    </row>
    <row r="1047" spans="2:14" x14ac:dyDescent="0.25">
      <c r="B1047">
        <v>1028</v>
      </c>
      <c r="C1047" t="s">
        <v>33</v>
      </c>
      <c r="D1047">
        <v>1</v>
      </c>
      <c r="E1047" t="s">
        <v>37</v>
      </c>
      <c r="F1047" s="6">
        <v>46097.489583333336</v>
      </c>
      <c r="G1047" s="6">
        <v>46097.5</v>
      </c>
      <c r="H1047" s="6">
        <v>46097.513888888891</v>
      </c>
      <c r="I1047" s="6">
        <v>46097.538194444445</v>
      </c>
      <c r="J1047" s="6">
        <v>46097.545138888891</v>
      </c>
      <c r="K1047" s="6">
        <v>46097.552083333336</v>
      </c>
      <c r="L1047">
        <v>1.5</v>
      </c>
      <c r="M1047" s="6">
        <v>46097.559027777781</v>
      </c>
      <c r="N1047">
        <f t="shared" si="16"/>
        <v>11</v>
      </c>
    </row>
    <row r="1048" spans="2:14" x14ac:dyDescent="0.25">
      <c r="B1048">
        <v>1029</v>
      </c>
      <c r="C1048" t="s">
        <v>33</v>
      </c>
      <c r="D1048">
        <v>1</v>
      </c>
      <c r="E1048" t="s">
        <v>32</v>
      </c>
      <c r="F1048" s="6">
        <v>46097.607638888891</v>
      </c>
      <c r="G1048" s="6">
        <v>46097.618055555555</v>
      </c>
      <c r="H1048" s="6">
        <v>46097.645833333336</v>
      </c>
      <c r="I1048" s="6">
        <v>46097.798611111109</v>
      </c>
      <c r="J1048" s="6">
        <v>46097.805555555555</v>
      </c>
      <c r="K1048" s="6">
        <v>46097.811805555553</v>
      </c>
      <c r="L1048">
        <v>4.9000000000000004</v>
      </c>
      <c r="M1048" s="6">
        <v>46097.818749999999</v>
      </c>
      <c r="N1048">
        <f t="shared" si="16"/>
        <v>14</v>
      </c>
    </row>
    <row r="1049" spans="2:14" x14ac:dyDescent="0.25">
      <c r="B1049">
        <v>1030</v>
      </c>
      <c r="C1049" t="s">
        <v>33</v>
      </c>
      <c r="D1049">
        <v>1</v>
      </c>
      <c r="E1049" t="s">
        <v>35</v>
      </c>
      <c r="F1049" s="6">
        <v>46097.465277777781</v>
      </c>
      <c r="G1049" s="6">
        <v>46097.472222222219</v>
      </c>
      <c r="H1049" s="6">
        <v>46097.493055555555</v>
      </c>
      <c r="I1049" s="6">
        <v>46097.53125</v>
      </c>
      <c r="J1049" s="6">
        <v>46097.534722222219</v>
      </c>
      <c r="K1049" s="6">
        <v>46097.548611111109</v>
      </c>
      <c r="L1049">
        <v>2</v>
      </c>
      <c r="M1049" s="6">
        <v>46097.549305555556</v>
      </c>
      <c r="N1049">
        <f t="shared" si="16"/>
        <v>11</v>
      </c>
    </row>
    <row r="1050" spans="2:14" x14ac:dyDescent="0.25">
      <c r="B1050">
        <v>1031</v>
      </c>
      <c r="C1050" t="s">
        <v>33</v>
      </c>
      <c r="D1050">
        <v>1</v>
      </c>
      <c r="E1050" t="s">
        <v>30</v>
      </c>
      <c r="F1050" s="6">
        <v>46094.607638888891</v>
      </c>
      <c r="G1050" s="6">
        <v>46094.611111111109</v>
      </c>
      <c r="H1050" s="6">
        <v>46094.614583333336</v>
      </c>
      <c r="I1050" s="6">
        <v>46094.618055555555</v>
      </c>
      <c r="J1050" s="6">
        <v>46094.625</v>
      </c>
      <c r="K1050" s="6">
        <v>46094.628472222219</v>
      </c>
      <c r="L1050">
        <v>0.5</v>
      </c>
      <c r="M1050" s="6">
        <v>46094.635416666664</v>
      </c>
      <c r="N1050">
        <f t="shared" si="16"/>
        <v>14</v>
      </c>
    </row>
    <row r="1051" spans="2:14" x14ac:dyDescent="0.25">
      <c r="B1051">
        <v>1032</v>
      </c>
      <c r="C1051" t="s">
        <v>33</v>
      </c>
      <c r="D1051">
        <v>1</v>
      </c>
      <c r="E1051" t="s">
        <v>30</v>
      </c>
      <c r="F1051" s="6">
        <v>46095.614583333336</v>
      </c>
      <c r="G1051" s="6">
        <v>46095.628472222219</v>
      </c>
      <c r="H1051" s="6">
        <v>46095.642361111109</v>
      </c>
      <c r="I1051" s="6">
        <v>46095.663194444445</v>
      </c>
      <c r="J1051" s="6">
        <v>46095.666666666664</v>
      </c>
      <c r="K1051" s="6">
        <v>46095.670138888891</v>
      </c>
      <c r="L1051">
        <v>1.33</v>
      </c>
      <c r="M1051" s="6">
        <v>46095.677083333336</v>
      </c>
      <c r="N1051">
        <f t="shared" si="16"/>
        <v>14</v>
      </c>
    </row>
    <row r="1052" spans="2:14" x14ac:dyDescent="0.25">
      <c r="B1052">
        <v>1033</v>
      </c>
      <c r="C1052" t="s">
        <v>33</v>
      </c>
      <c r="D1052">
        <v>1</v>
      </c>
      <c r="E1052" t="s">
        <v>30</v>
      </c>
      <c r="F1052" s="6">
        <v>46100.493055555555</v>
      </c>
      <c r="G1052" s="6">
        <v>46100.520833333336</v>
      </c>
      <c r="H1052" s="6">
        <v>46100.583333333336</v>
      </c>
      <c r="I1052" s="6">
        <v>46100.666666666664</v>
      </c>
      <c r="J1052" s="6">
        <v>46100.6875</v>
      </c>
      <c r="K1052" s="6">
        <v>46100.697916666664</v>
      </c>
      <c r="L1052">
        <v>4.92</v>
      </c>
      <c r="M1052" s="6">
        <v>46100.698611111111</v>
      </c>
      <c r="N1052">
        <f t="shared" si="16"/>
        <v>11</v>
      </c>
    </row>
    <row r="1053" spans="2:14" x14ac:dyDescent="0.25">
      <c r="B1053">
        <v>1034</v>
      </c>
      <c r="C1053" t="s">
        <v>31</v>
      </c>
      <c r="D1053">
        <v>1</v>
      </c>
      <c r="E1053" t="s">
        <v>35</v>
      </c>
      <c r="F1053" s="6">
        <v>46094.711805555555</v>
      </c>
      <c r="G1053" s="6">
        <v>46094.722222222219</v>
      </c>
      <c r="H1053" s="6">
        <v>46094.743055555555</v>
      </c>
      <c r="I1053" s="6">
        <v>46094.977777777778</v>
      </c>
      <c r="J1053" s="6">
        <v>46094.982638888891</v>
      </c>
      <c r="K1053" s="6">
        <v>46094.986111111109</v>
      </c>
      <c r="L1053">
        <v>6.58</v>
      </c>
      <c r="M1053" s="6">
        <v>46094.993055555555</v>
      </c>
      <c r="N1053">
        <f t="shared" si="16"/>
        <v>17</v>
      </c>
    </row>
    <row r="1054" spans="2:14" x14ac:dyDescent="0.25">
      <c r="B1054">
        <v>1035</v>
      </c>
      <c r="C1054" t="s">
        <v>31</v>
      </c>
      <c r="D1054">
        <v>1</v>
      </c>
      <c r="E1054" t="s">
        <v>30</v>
      </c>
      <c r="F1054" s="6">
        <v>46094.715277777781</v>
      </c>
      <c r="G1054" s="6">
        <v>46094.71875</v>
      </c>
      <c r="H1054" s="6">
        <v>46094.722222222219</v>
      </c>
      <c r="I1054" s="6">
        <v>46094.805555555555</v>
      </c>
      <c r="J1054" s="6">
        <v>46094.8125</v>
      </c>
      <c r="K1054" s="6">
        <v>46094.833333333336</v>
      </c>
      <c r="L1054">
        <v>2.83</v>
      </c>
      <c r="M1054" s="6">
        <v>46094.840277777781</v>
      </c>
      <c r="N1054">
        <f t="shared" si="16"/>
        <v>17</v>
      </c>
    </row>
    <row r="1055" spans="2:14" x14ac:dyDescent="0.25">
      <c r="B1055">
        <v>1036</v>
      </c>
      <c r="C1055" t="s">
        <v>33</v>
      </c>
      <c r="D1055">
        <v>1</v>
      </c>
      <c r="E1055" t="s">
        <v>30</v>
      </c>
      <c r="F1055" s="6">
        <v>46094.934027777781</v>
      </c>
      <c r="G1055" s="6">
        <v>46094.940972222219</v>
      </c>
      <c r="H1055" s="6">
        <v>46094.951388888891</v>
      </c>
      <c r="I1055" s="6">
        <v>46094.972222222219</v>
      </c>
      <c r="J1055" s="6">
        <v>46094.975694444445</v>
      </c>
      <c r="K1055" s="6">
        <v>46094.979166666664</v>
      </c>
      <c r="L1055">
        <v>1.08</v>
      </c>
      <c r="M1055" s="6">
        <v>46094.986111111109</v>
      </c>
      <c r="N1055">
        <f t="shared" si="16"/>
        <v>22</v>
      </c>
    </row>
    <row r="1056" spans="2:14" x14ac:dyDescent="0.25">
      <c r="B1056">
        <v>1037</v>
      </c>
      <c r="C1056" t="s">
        <v>31</v>
      </c>
      <c r="D1056">
        <v>1</v>
      </c>
      <c r="E1056" t="s">
        <v>30</v>
      </c>
      <c r="F1056" s="6">
        <v>46094.990972222222</v>
      </c>
      <c r="G1056" s="6">
        <v>46094.996527777781</v>
      </c>
      <c r="H1056" s="6">
        <v>46095.003472222219</v>
      </c>
      <c r="I1056" s="6">
        <v>46095.118055555555</v>
      </c>
      <c r="J1056" s="6">
        <v>46095.135416666664</v>
      </c>
      <c r="K1056" s="6">
        <v>46095.138888888891</v>
      </c>
      <c r="L1056">
        <v>3.55</v>
      </c>
      <c r="M1056" s="6">
        <v>46095.145833333336</v>
      </c>
      <c r="N1056">
        <f t="shared" si="16"/>
        <v>23</v>
      </c>
    </row>
    <row r="1057" spans="2:14" x14ac:dyDescent="0.25">
      <c r="B1057">
        <v>1038</v>
      </c>
      <c r="C1057" t="s">
        <v>31</v>
      </c>
      <c r="D1057">
        <v>1</v>
      </c>
      <c r="E1057" t="s">
        <v>30</v>
      </c>
      <c r="F1057" s="6">
        <v>46095.354166666664</v>
      </c>
      <c r="G1057" s="6">
        <v>46095.357638888891</v>
      </c>
      <c r="H1057" s="6">
        <v>46095.368055555555</v>
      </c>
      <c r="I1057" s="6">
        <v>46095.444444444445</v>
      </c>
      <c r="J1057" s="6">
        <v>46095.451388888891</v>
      </c>
      <c r="K1057" s="6">
        <v>46095.572916666664</v>
      </c>
      <c r="L1057">
        <v>5.25</v>
      </c>
      <c r="M1057" s="6">
        <v>46095.579861111109</v>
      </c>
      <c r="N1057">
        <f t="shared" si="16"/>
        <v>8</v>
      </c>
    </row>
    <row r="1058" spans="2:14" x14ac:dyDescent="0.25">
      <c r="B1058">
        <v>1039</v>
      </c>
      <c r="C1058" t="s">
        <v>33</v>
      </c>
      <c r="D1058">
        <v>1</v>
      </c>
      <c r="E1058" t="s">
        <v>34</v>
      </c>
      <c r="F1058" s="6">
        <v>46095.371527777781</v>
      </c>
      <c r="G1058" s="6">
        <v>46095.375</v>
      </c>
      <c r="H1058" s="6">
        <v>46095.40625</v>
      </c>
      <c r="I1058" s="6">
        <v>46095.426388888889</v>
      </c>
      <c r="J1058" s="6">
        <v>46095.427777777775</v>
      </c>
      <c r="K1058" s="6">
        <v>46095.430555555555</v>
      </c>
      <c r="L1058">
        <v>1.42</v>
      </c>
      <c r="M1058" s="6">
        <v>46095.432638888888</v>
      </c>
      <c r="N1058">
        <f t="shared" si="16"/>
        <v>8</v>
      </c>
    </row>
    <row r="1059" spans="2:14" x14ac:dyDescent="0.25">
      <c r="B1059">
        <v>1040</v>
      </c>
      <c r="C1059" t="s">
        <v>31</v>
      </c>
      <c r="D1059">
        <v>1</v>
      </c>
      <c r="E1059" t="s">
        <v>34</v>
      </c>
      <c r="F1059" s="6">
        <v>46095.486111111109</v>
      </c>
      <c r="G1059" s="6">
        <v>46095.493055555555</v>
      </c>
      <c r="H1059" s="6">
        <v>46095.5</v>
      </c>
      <c r="I1059" s="6">
        <v>46095.522916666669</v>
      </c>
      <c r="J1059" s="6">
        <v>46095.534722222219</v>
      </c>
      <c r="K1059" s="6">
        <v>46095.543055555558</v>
      </c>
      <c r="L1059">
        <v>1.37</v>
      </c>
      <c r="M1059" s="6">
        <v>46095.55</v>
      </c>
      <c r="N1059">
        <f t="shared" si="16"/>
        <v>11</v>
      </c>
    </row>
    <row r="1060" spans="2:14" x14ac:dyDescent="0.25">
      <c r="B1060">
        <v>1041</v>
      </c>
      <c r="C1060" t="s">
        <v>31</v>
      </c>
      <c r="D1060">
        <v>1</v>
      </c>
      <c r="E1060" t="s">
        <v>30</v>
      </c>
      <c r="F1060" s="6">
        <v>46095.576388888891</v>
      </c>
      <c r="G1060" s="6">
        <v>46095.586805555555</v>
      </c>
      <c r="H1060" s="6">
        <v>46095.590277777781</v>
      </c>
      <c r="I1060" s="6">
        <v>46095.646527777775</v>
      </c>
      <c r="J1060" s="6">
        <v>46095.65347222222</v>
      </c>
      <c r="K1060" s="6">
        <v>46095.663194444445</v>
      </c>
      <c r="L1060">
        <v>2.08</v>
      </c>
      <c r="M1060" s="6">
        <v>46095.670138888891</v>
      </c>
      <c r="N1060">
        <f t="shared" si="16"/>
        <v>13</v>
      </c>
    </row>
    <row r="1061" spans="2:14" x14ac:dyDescent="0.25">
      <c r="B1061">
        <v>1042</v>
      </c>
      <c r="C1061" t="s">
        <v>29</v>
      </c>
      <c r="D1061">
        <v>1</v>
      </c>
      <c r="E1061" t="s">
        <v>30</v>
      </c>
      <c r="F1061" s="6">
        <v>46096.482638888891</v>
      </c>
      <c r="G1061" s="6">
        <v>46096.496527777781</v>
      </c>
      <c r="H1061" s="6">
        <v>46096.506944444445</v>
      </c>
      <c r="I1061" s="6">
        <v>46096.555555555555</v>
      </c>
      <c r="J1061" s="6">
        <v>46096.556250000001</v>
      </c>
      <c r="K1061" s="6">
        <v>46096.558333333334</v>
      </c>
      <c r="L1061">
        <v>1.82</v>
      </c>
      <c r="M1061" s="6">
        <v>46096.56527777778</v>
      </c>
      <c r="N1061">
        <f t="shared" si="16"/>
        <v>11</v>
      </c>
    </row>
    <row r="1062" spans="2:14" x14ac:dyDescent="0.25">
      <c r="B1062">
        <v>1043</v>
      </c>
      <c r="C1062" t="s">
        <v>33</v>
      </c>
      <c r="D1062">
        <v>1</v>
      </c>
      <c r="E1062" t="s">
        <v>35</v>
      </c>
      <c r="F1062" s="6">
        <v>46096.4375</v>
      </c>
      <c r="G1062" s="6">
        <v>46096.451388888891</v>
      </c>
      <c r="H1062" s="6">
        <v>46096.46875</v>
      </c>
      <c r="I1062" s="6">
        <v>46096.484722222223</v>
      </c>
      <c r="J1062" s="6">
        <v>46096.486111111109</v>
      </c>
      <c r="K1062" s="6">
        <v>46096.496527777781</v>
      </c>
      <c r="L1062">
        <v>1.42</v>
      </c>
      <c r="M1062" s="6">
        <v>46096.497916666667</v>
      </c>
      <c r="N1062">
        <f t="shared" si="16"/>
        <v>10</v>
      </c>
    </row>
    <row r="1063" spans="2:14" x14ac:dyDescent="0.25">
      <c r="B1063">
        <v>1044</v>
      </c>
      <c r="C1063" t="s">
        <v>33</v>
      </c>
      <c r="D1063">
        <v>1</v>
      </c>
      <c r="E1063" t="s">
        <v>30</v>
      </c>
      <c r="F1063" s="6">
        <v>46095.65625</v>
      </c>
      <c r="G1063" s="6">
        <v>46095.663194444445</v>
      </c>
      <c r="H1063" s="6">
        <v>46095.673611111109</v>
      </c>
      <c r="I1063" s="6">
        <v>46095.72152777778</v>
      </c>
      <c r="J1063" s="6">
        <v>46095.743055555555</v>
      </c>
      <c r="K1063" s="6">
        <v>46095.746527777781</v>
      </c>
      <c r="L1063">
        <v>2.17</v>
      </c>
      <c r="M1063" s="6">
        <v>46095.753472222219</v>
      </c>
      <c r="N1063">
        <f t="shared" si="16"/>
        <v>15</v>
      </c>
    </row>
    <row r="1064" spans="2:14" x14ac:dyDescent="0.25">
      <c r="B1064">
        <v>1045</v>
      </c>
      <c r="C1064" t="s">
        <v>33</v>
      </c>
      <c r="D1064">
        <v>1</v>
      </c>
      <c r="E1064" t="s">
        <v>34</v>
      </c>
      <c r="F1064" s="6">
        <v>46095.680555555555</v>
      </c>
      <c r="G1064" s="6">
        <v>46095.684027777781</v>
      </c>
      <c r="H1064" s="6">
        <v>46095.6875</v>
      </c>
      <c r="I1064" s="6">
        <v>46095.725694444445</v>
      </c>
      <c r="J1064" s="6">
        <v>46095.736111111109</v>
      </c>
      <c r="K1064" s="6">
        <v>46095.743055555555</v>
      </c>
      <c r="L1064">
        <v>1.5</v>
      </c>
      <c r="M1064" s="6">
        <v>46095.743750000001</v>
      </c>
      <c r="N1064">
        <f t="shared" si="16"/>
        <v>16</v>
      </c>
    </row>
    <row r="1065" spans="2:14" x14ac:dyDescent="0.25">
      <c r="B1065">
        <v>1046</v>
      </c>
      <c r="C1065" t="s">
        <v>33</v>
      </c>
      <c r="D1065">
        <v>1</v>
      </c>
      <c r="E1065" t="s">
        <v>35</v>
      </c>
      <c r="F1065" s="6">
        <v>46095.711805555555</v>
      </c>
      <c r="G1065" s="6">
        <v>46095.722222222219</v>
      </c>
      <c r="H1065" s="6">
        <v>46095.746527777781</v>
      </c>
      <c r="I1065" s="6">
        <v>46095.786805555559</v>
      </c>
      <c r="J1065" s="6">
        <v>46095.798611111109</v>
      </c>
      <c r="K1065" s="6">
        <v>46095.815972222219</v>
      </c>
      <c r="L1065">
        <v>2.5</v>
      </c>
      <c r="M1065" s="6">
        <v>46095.822916666664</v>
      </c>
      <c r="N1065">
        <f t="shared" si="16"/>
        <v>17</v>
      </c>
    </row>
    <row r="1066" spans="2:14" x14ac:dyDescent="0.25">
      <c r="B1066">
        <v>1047</v>
      </c>
      <c r="C1066" t="s">
        <v>33</v>
      </c>
      <c r="D1066">
        <v>1</v>
      </c>
      <c r="E1066" t="s">
        <v>36</v>
      </c>
      <c r="F1066" s="6">
        <v>46095.725694444445</v>
      </c>
      <c r="G1066" s="6">
        <v>46095.736111111109</v>
      </c>
      <c r="H1066" s="6">
        <v>46095.753472222219</v>
      </c>
      <c r="I1066" s="6">
        <v>46095.786111111112</v>
      </c>
      <c r="J1066" s="6">
        <v>46095.788194444445</v>
      </c>
      <c r="K1066" s="6">
        <v>46095.798611111109</v>
      </c>
      <c r="L1066">
        <v>1.75</v>
      </c>
      <c r="M1066" s="6">
        <v>46095.799305555556</v>
      </c>
      <c r="N1066">
        <f t="shared" si="16"/>
        <v>17</v>
      </c>
    </row>
    <row r="1067" spans="2:14" x14ac:dyDescent="0.25">
      <c r="B1067">
        <v>1048</v>
      </c>
      <c r="C1067" t="s">
        <v>29</v>
      </c>
      <c r="D1067">
        <v>1</v>
      </c>
      <c r="E1067" t="s">
        <v>34</v>
      </c>
      <c r="F1067" s="6">
        <v>46095.877083333333</v>
      </c>
      <c r="G1067" s="6">
        <v>46095.881944444445</v>
      </c>
      <c r="H1067" s="6">
        <v>46095.895833333336</v>
      </c>
      <c r="I1067" s="6">
        <v>46095.950694444444</v>
      </c>
      <c r="J1067" s="6">
        <v>46095.951388888891</v>
      </c>
      <c r="K1067" s="6">
        <v>46095.958333333336</v>
      </c>
      <c r="L1067">
        <v>1.95</v>
      </c>
      <c r="M1067" s="6">
        <v>46095.959722222222</v>
      </c>
      <c r="N1067">
        <f t="shared" si="16"/>
        <v>21</v>
      </c>
    </row>
    <row r="1068" spans="2:14" x14ac:dyDescent="0.25">
      <c r="B1068">
        <v>1049</v>
      </c>
      <c r="C1068" t="s">
        <v>33</v>
      </c>
      <c r="D1068">
        <v>1</v>
      </c>
      <c r="E1068" t="s">
        <v>30</v>
      </c>
      <c r="F1068" s="6">
        <v>46095.991666666669</v>
      </c>
      <c r="G1068" s="6">
        <v>46095.999305555553</v>
      </c>
      <c r="H1068" s="6">
        <v>46096.013888888891</v>
      </c>
      <c r="I1068" s="6">
        <v>46096.069444444445</v>
      </c>
      <c r="J1068" s="6">
        <v>46096.072916666664</v>
      </c>
      <c r="K1068" s="6">
        <v>46096.076388888891</v>
      </c>
      <c r="L1068">
        <v>2.0299999999999998</v>
      </c>
      <c r="M1068" s="6">
        <v>46096.07708333333</v>
      </c>
      <c r="N1068">
        <f t="shared" si="16"/>
        <v>23</v>
      </c>
    </row>
    <row r="1069" spans="2:14" x14ac:dyDescent="0.25">
      <c r="B1069">
        <v>1050</v>
      </c>
      <c r="C1069" t="s">
        <v>33</v>
      </c>
      <c r="D1069">
        <v>1</v>
      </c>
      <c r="E1069" t="s">
        <v>34</v>
      </c>
      <c r="F1069" s="6">
        <v>46096.215277777781</v>
      </c>
      <c r="G1069" s="6">
        <v>46096.216666666667</v>
      </c>
      <c r="H1069" s="6">
        <v>46096.236111111109</v>
      </c>
      <c r="I1069" s="6">
        <v>46096.326388888891</v>
      </c>
      <c r="J1069" s="6">
        <v>46096.333333333336</v>
      </c>
      <c r="K1069" s="6">
        <v>46096.458333333336</v>
      </c>
      <c r="L1069">
        <v>5.83</v>
      </c>
      <c r="M1069" s="6">
        <v>46096.465277777781</v>
      </c>
      <c r="N1069">
        <f t="shared" si="16"/>
        <v>5</v>
      </c>
    </row>
    <row r="1070" spans="2:14" x14ac:dyDescent="0.25">
      <c r="B1070">
        <v>1051</v>
      </c>
      <c r="C1070" t="s">
        <v>29</v>
      </c>
      <c r="D1070">
        <v>1</v>
      </c>
      <c r="E1070" t="s">
        <v>34</v>
      </c>
      <c r="F1070" s="6">
        <v>46096.215277777781</v>
      </c>
      <c r="G1070" s="6">
        <v>46096.216666666667</v>
      </c>
      <c r="H1070" s="6">
        <v>46096.236111111109</v>
      </c>
      <c r="I1070" s="6">
        <v>46096.326388888891</v>
      </c>
      <c r="J1070" s="6">
        <v>46096.333333333336</v>
      </c>
      <c r="K1070" s="6">
        <v>46096.458333333336</v>
      </c>
      <c r="L1070">
        <v>5.83</v>
      </c>
      <c r="M1070" s="6">
        <v>46096.465277777781</v>
      </c>
      <c r="N1070">
        <f t="shared" si="16"/>
        <v>5</v>
      </c>
    </row>
    <row r="1071" spans="2:14" x14ac:dyDescent="0.25">
      <c r="B1071">
        <v>1052</v>
      </c>
      <c r="C1071" t="s">
        <v>33</v>
      </c>
      <c r="D1071">
        <v>1</v>
      </c>
      <c r="E1071" t="s">
        <v>30</v>
      </c>
      <c r="F1071" s="6">
        <v>46096.364583333336</v>
      </c>
      <c r="G1071" s="6">
        <v>46096.385416666664</v>
      </c>
      <c r="H1071" s="6">
        <v>46096.395833333336</v>
      </c>
      <c r="I1071" s="6">
        <v>46096.461111111108</v>
      </c>
      <c r="J1071" s="6">
        <v>46096.463888888888</v>
      </c>
      <c r="K1071" s="6">
        <v>46096.465277777781</v>
      </c>
      <c r="L1071">
        <v>2.42</v>
      </c>
      <c r="M1071" s="6">
        <v>46096.472222222219</v>
      </c>
      <c r="N1071">
        <f t="shared" si="16"/>
        <v>8</v>
      </c>
    </row>
    <row r="1072" spans="2:14" x14ac:dyDescent="0.25">
      <c r="B1072">
        <v>1053</v>
      </c>
      <c r="C1072" t="s">
        <v>31</v>
      </c>
      <c r="D1072">
        <v>1</v>
      </c>
      <c r="E1072" t="s">
        <v>36</v>
      </c>
      <c r="F1072" s="6">
        <v>46097.4375</v>
      </c>
      <c r="G1072" s="6">
        <v>46097.451388888891</v>
      </c>
      <c r="H1072" s="6">
        <v>46097.465277777781</v>
      </c>
      <c r="I1072" s="6">
        <v>46097.548611111109</v>
      </c>
      <c r="J1072" s="6">
        <v>46097.555555555555</v>
      </c>
      <c r="K1072" s="6">
        <v>46097.556250000001</v>
      </c>
      <c r="L1072">
        <v>2.85</v>
      </c>
      <c r="M1072" s="6">
        <v>46097.556944444441</v>
      </c>
      <c r="N1072">
        <f t="shared" si="16"/>
        <v>10</v>
      </c>
    </row>
    <row r="1073" spans="2:14" x14ac:dyDescent="0.25">
      <c r="B1073">
        <v>1054</v>
      </c>
      <c r="C1073" t="s">
        <v>31</v>
      </c>
      <c r="D1073">
        <v>1</v>
      </c>
      <c r="E1073" t="s">
        <v>34</v>
      </c>
      <c r="F1073" s="6">
        <v>46097.3125</v>
      </c>
      <c r="G1073" s="6">
        <v>46097.329861111109</v>
      </c>
      <c r="H1073" s="6">
        <v>46097.350694444445</v>
      </c>
      <c r="I1073" s="6">
        <v>46097.409722222219</v>
      </c>
      <c r="J1073" s="6">
        <v>46097.416666666664</v>
      </c>
      <c r="K1073" s="6">
        <v>46097.423611111109</v>
      </c>
      <c r="L1073">
        <v>2.67</v>
      </c>
      <c r="M1073" s="6">
        <v>46097.430555555555</v>
      </c>
      <c r="N1073">
        <f t="shared" si="16"/>
        <v>7</v>
      </c>
    </row>
    <row r="1074" spans="2:14" x14ac:dyDescent="0.25">
      <c r="B1074">
        <v>1055</v>
      </c>
      <c r="C1074" t="s">
        <v>33</v>
      </c>
      <c r="D1074">
        <v>1</v>
      </c>
      <c r="E1074" t="s">
        <v>30</v>
      </c>
      <c r="F1074" s="6">
        <v>46097.333333333336</v>
      </c>
      <c r="G1074" s="6">
        <v>46097.347222222219</v>
      </c>
      <c r="H1074" s="6">
        <v>46097.361111111109</v>
      </c>
      <c r="I1074" s="6">
        <v>46097.395833333336</v>
      </c>
      <c r="J1074" s="6">
        <v>46097.402777777781</v>
      </c>
      <c r="K1074" s="6">
        <v>46097.420138888891</v>
      </c>
      <c r="L1074">
        <v>2.08</v>
      </c>
      <c r="M1074" s="6">
        <v>46097.427083333336</v>
      </c>
      <c r="N1074">
        <f t="shared" si="16"/>
        <v>8</v>
      </c>
    </row>
    <row r="1075" spans="2:14" x14ac:dyDescent="0.25">
      <c r="B1075">
        <v>1056</v>
      </c>
      <c r="C1075" t="s">
        <v>33</v>
      </c>
      <c r="D1075">
        <v>1</v>
      </c>
      <c r="E1075" t="s">
        <v>34</v>
      </c>
      <c r="F1075" s="6">
        <v>46097.638888888891</v>
      </c>
      <c r="G1075" s="6">
        <v>46097.645833333336</v>
      </c>
      <c r="H1075" s="6">
        <v>46097.659722222219</v>
      </c>
      <c r="I1075" s="6">
        <v>46097.680555555555</v>
      </c>
      <c r="J1075" s="6">
        <v>46097.6875</v>
      </c>
      <c r="K1075" s="6">
        <v>46097.711805555555</v>
      </c>
      <c r="L1075">
        <v>1.75</v>
      </c>
      <c r="M1075" s="6">
        <v>46097.715277777781</v>
      </c>
      <c r="N1075">
        <f t="shared" si="16"/>
        <v>15</v>
      </c>
    </row>
    <row r="1076" spans="2:14" x14ac:dyDescent="0.25">
      <c r="B1076">
        <v>1057</v>
      </c>
      <c r="C1076" t="s">
        <v>33</v>
      </c>
      <c r="D1076">
        <v>1</v>
      </c>
      <c r="E1076" t="s">
        <v>34</v>
      </c>
      <c r="F1076" s="6">
        <v>46097.291666666664</v>
      </c>
      <c r="G1076" s="6">
        <v>46097.3125</v>
      </c>
      <c r="H1076" s="6">
        <v>46097.333333333336</v>
      </c>
      <c r="I1076" s="6">
        <v>46097.404861111114</v>
      </c>
      <c r="J1076" s="6">
        <v>46097.411805555559</v>
      </c>
      <c r="K1076" s="6">
        <v>46097.413194444445</v>
      </c>
      <c r="L1076">
        <v>2.92</v>
      </c>
      <c r="M1076" s="6">
        <v>46097.420138888891</v>
      </c>
      <c r="N1076">
        <f t="shared" si="16"/>
        <v>7</v>
      </c>
    </row>
    <row r="1077" spans="2:14" x14ac:dyDescent="0.25">
      <c r="B1077">
        <v>1058</v>
      </c>
      <c r="C1077" t="s">
        <v>31</v>
      </c>
      <c r="D1077">
        <v>1</v>
      </c>
      <c r="E1077" t="s">
        <v>36</v>
      </c>
      <c r="F1077" s="6">
        <v>46097.46875</v>
      </c>
      <c r="G1077" s="6">
        <v>46097.479166666664</v>
      </c>
      <c r="H1077" s="6">
        <v>46097.534722222219</v>
      </c>
      <c r="I1077" s="6">
        <v>46097.567361111112</v>
      </c>
      <c r="J1077" s="6">
        <v>46097.569444444445</v>
      </c>
      <c r="K1077" s="6">
        <v>46097.572916666664</v>
      </c>
      <c r="L1077">
        <v>2.5</v>
      </c>
      <c r="M1077" s="6">
        <v>46097.576388888891</v>
      </c>
      <c r="N1077">
        <f t="shared" si="16"/>
        <v>11</v>
      </c>
    </row>
    <row r="1078" spans="2:14" x14ac:dyDescent="0.25">
      <c r="B1078">
        <v>1059</v>
      </c>
      <c r="C1078" t="s">
        <v>29</v>
      </c>
      <c r="D1078">
        <v>1</v>
      </c>
      <c r="E1078" t="s">
        <v>35</v>
      </c>
      <c r="F1078" s="6">
        <v>46097.75</v>
      </c>
      <c r="G1078" s="6">
        <v>46097.756944444445</v>
      </c>
      <c r="H1078" s="6">
        <v>46097.758333333331</v>
      </c>
      <c r="I1078" s="6">
        <v>46097.76458333333</v>
      </c>
      <c r="J1078" s="6">
        <v>46097.771527777775</v>
      </c>
      <c r="K1078" s="6">
        <v>46097.774305555555</v>
      </c>
      <c r="L1078">
        <v>0.57999999999999996</v>
      </c>
      <c r="M1078" s="6">
        <v>46097.775000000001</v>
      </c>
      <c r="N1078">
        <f t="shared" si="16"/>
        <v>18</v>
      </c>
    </row>
    <row r="1079" spans="2:14" x14ac:dyDescent="0.25">
      <c r="B1079">
        <v>1060</v>
      </c>
      <c r="C1079" t="s">
        <v>33</v>
      </c>
      <c r="D1079">
        <v>1</v>
      </c>
      <c r="E1079" t="s">
        <v>30</v>
      </c>
      <c r="F1079" s="6">
        <v>46096.645833333336</v>
      </c>
      <c r="G1079" s="6">
        <v>46096.652777777781</v>
      </c>
      <c r="H1079" s="6">
        <v>46096.661805555559</v>
      </c>
      <c r="I1079" s="6">
        <v>46096.75</v>
      </c>
      <c r="J1079" s="6">
        <v>46096.756944444445</v>
      </c>
      <c r="K1079" s="6">
        <v>46096.758333333331</v>
      </c>
      <c r="L1079">
        <v>2.7</v>
      </c>
      <c r="M1079" s="6">
        <v>46096.765277777777</v>
      </c>
      <c r="N1079">
        <f t="shared" si="16"/>
        <v>15</v>
      </c>
    </row>
    <row r="1080" spans="2:14" x14ac:dyDescent="0.25">
      <c r="B1080">
        <v>1061</v>
      </c>
      <c r="C1080" t="s">
        <v>29</v>
      </c>
      <c r="D1080">
        <v>1</v>
      </c>
      <c r="E1080" t="s">
        <v>34</v>
      </c>
      <c r="F1080" s="6">
        <v>46096.666666666664</v>
      </c>
      <c r="G1080" s="6">
        <v>46096.678472222222</v>
      </c>
      <c r="H1080" s="6">
        <v>46096.681250000001</v>
      </c>
      <c r="I1080" s="6">
        <v>46096.716666666667</v>
      </c>
      <c r="J1080" s="6">
        <v>46096.720833333333</v>
      </c>
      <c r="K1080" s="6">
        <v>46096.75</v>
      </c>
      <c r="L1080">
        <v>2</v>
      </c>
      <c r="M1080" s="6">
        <v>46096.750694444447</v>
      </c>
      <c r="N1080">
        <f t="shared" si="16"/>
        <v>16</v>
      </c>
    </row>
    <row r="1081" spans="2:14" x14ac:dyDescent="0.25">
      <c r="B1081">
        <v>1062</v>
      </c>
      <c r="C1081" t="s">
        <v>31</v>
      </c>
      <c r="D1081">
        <v>1</v>
      </c>
      <c r="E1081" t="s">
        <v>30</v>
      </c>
      <c r="F1081" s="6">
        <v>46096.9375</v>
      </c>
      <c r="G1081" s="6">
        <v>46096.947916666664</v>
      </c>
      <c r="H1081" s="6">
        <v>46096.958333333336</v>
      </c>
      <c r="I1081" s="6">
        <v>46097.01666666667</v>
      </c>
      <c r="J1081" s="6">
        <v>46097.023611111108</v>
      </c>
      <c r="K1081" s="6">
        <v>46097.041666666664</v>
      </c>
      <c r="L1081">
        <v>2.5</v>
      </c>
      <c r="M1081" s="6">
        <v>46097.048611111109</v>
      </c>
      <c r="N1081">
        <f t="shared" si="16"/>
        <v>22</v>
      </c>
    </row>
    <row r="1082" spans="2:14" x14ac:dyDescent="0.25">
      <c r="B1082">
        <v>1063</v>
      </c>
      <c r="C1082" t="s">
        <v>29</v>
      </c>
      <c r="D1082">
        <v>1</v>
      </c>
      <c r="E1082" t="s">
        <v>30</v>
      </c>
      <c r="F1082" s="6">
        <v>46097.041666666664</v>
      </c>
      <c r="G1082" s="6">
        <v>46097.048611111109</v>
      </c>
      <c r="H1082" s="6">
        <v>46097.052083333336</v>
      </c>
      <c r="I1082" s="6">
        <v>46097.083333333336</v>
      </c>
      <c r="J1082" s="6">
        <v>46097.090277777781</v>
      </c>
      <c r="K1082" s="6">
        <v>46097.091666666667</v>
      </c>
      <c r="L1082">
        <v>1.2</v>
      </c>
      <c r="M1082" s="6">
        <v>46097.093055555553</v>
      </c>
      <c r="N1082">
        <f t="shared" si="16"/>
        <v>1</v>
      </c>
    </row>
    <row r="1083" spans="2:14" x14ac:dyDescent="0.25">
      <c r="B1083">
        <v>1064</v>
      </c>
      <c r="C1083" t="s">
        <v>33</v>
      </c>
      <c r="D1083">
        <v>1</v>
      </c>
      <c r="E1083" t="s">
        <v>30</v>
      </c>
      <c r="F1083" s="6">
        <v>46097.447916666664</v>
      </c>
      <c r="G1083" s="6">
        <v>46097.458333333336</v>
      </c>
      <c r="H1083" s="6">
        <v>46097.475694444445</v>
      </c>
      <c r="I1083" s="6">
        <v>46097.535416666666</v>
      </c>
      <c r="J1083" s="6">
        <v>46097.542361111111</v>
      </c>
      <c r="K1083" s="6">
        <v>46097.548611111109</v>
      </c>
      <c r="L1083">
        <v>2.42</v>
      </c>
      <c r="M1083" s="6">
        <v>46097.555555555555</v>
      </c>
      <c r="N1083">
        <f t="shared" si="16"/>
        <v>10</v>
      </c>
    </row>
    <row r="1084" spans="2:14" x14ac:dyDescent="0.25">
      <c r="B1084">
        <v>1065</v>
      </c>
      <c r="C1084" t="s">
        <v>29</v>
      </c>
      <c r="D1084">
        <v>1</v>
      </c>
      <c r="E1084" t="s">
        <v>30</v>
      </c>
      <c r="F1084" s="6">
        <v>46097.850694444445</v>
      </c>
      <c r="G1084" s="6">
        <v>46097.855555555558</v>
      </c>
      <c r="H1084" s="6">
        <v>46097.864583333336</v>
      </c>
      <c r="I1084" s="6">
        <v>46097.888888888891</v>
      </c>
      <c r="J1084" s="6">
        <v>46097.895833333336</v>
      </c>
      <c r="K1084" s="6">
        <v>46097.897222222222</v>
      </c>
      <c r="L1084">
        <v>1.1200000000000001</v>
      </c>
      <c r="M1084" s="6">
        <v>46097.904166666667</v>
      </c>
      <c r="N1084">
        <f t="shared" si="16"/>
        <v>20</v>
      </c>
    </row>
    <row r="1085" spans="2:14" x14ac:dyDescent="0.25">
      <c r="B1085">
        <v>1066</v>
      </c>
      <c r="C1085" t="s">
        <v>33</v>
      </c>
      <c r="D1085">
        <v>1</v>
      </c>
      <c r="E1085" t="s">
        <v>35</v>
      </c>
      <c r="F1085" s="6">
        <v>46097.590277777781</v>
      </c>
      <c r="G1085" s="6">
        <v>46097.600694444445</v>
      </c>
      <c r="H1085" s="6">
        <v>46097.614583333336</v>
      </c>
      <c r="I1085" s="6">
        <v>46097.69027777778</v>
      </c>
      <c r="J1085" s="6">
        <v>46097.694444444445</v>
      </c>
      <c r="K1085" s="6">
        <v>46097.697916666664</v>
      </c>
      <c r="L1085">
        <v>2.58</v>
      </c>
      <c r="M1085" s="6">
        <v>46097.701388888891</v>
      </c>
      <c r="N1085">
        <f t="shared" si="16"/>
        <v>14</v>
      </c>
    </row>
    <row r="1086" spans="2:14" x14ac:dyDescent="0.25">
      <c r="B1086">
        <v>1067</v>
      </c>
      <c r="C1086" t="s">
        <v>33</v>
      </c>
      <c r="D1086">
        <v>1</v>
      </c>
      <c r="E1086" t="s">
        <v>30</v>
      </c>
      <c r="F1086" s="6">
        <v>46097.604166666664</v>
      </c>
      <c r="G1086" s="6">
        <v>46097.611111111109</v>
      </c>
      <c r="H1086" s="6">
        <v>46097.635416666664</v>
      </c>
      <c r="I1086" s="6">
        <v>46097.697222222225</v>
      </c>
      <c r="J1086" s="6">
        <v>46097.715277777781</v>
      </c>
      <c r="K1086" s="6">
        <v>46097.722222222219</v>
      </c>
      <c r="L1086">
        <v>2.83</v>
      </c>
      <c r="M1086" s="6">
        <v>46097.729166666664</v>
      </c>
      <c r="N1086">
        <f t="shared" si="16"/>
        <v>14</v>
      </c>
    </row>
    <row r="1087" spans="2:14" x14ac:dyDescent="0.25">
      <c r="B1087">
        <v>1068</v>
      </c>
      <c r="C1087" t="s">
        <v>33</v>
      </c>
      <c r="D1087">
        <v>1</v>
      </c>
      <c r="E1087" t="s">
        <v>30</v>
      </c>
      <c r="F1087" s="6">
        <v>46097.722222222219</v>
      </c>
      <c r="G1087" s="6">
        <v>46097.729166666664</v>
      </c>
      <c r="H1087" s="6">
        <v>46097.75</v>
      </c>
      <c r="I1087" s="6">
        <v>46097.786111111112</v>
      </c>
      <c r="J1087" s="6">
        <v>46097.795138888891</v>
      </c>
      <c r="K1087" s="6">
        <v>46097.79583333333</v>
      </c>
      <c r="L1087">
        <v>1.77</v>
      </c>
      <c r="M1087" s="6">
        <v>46097.796527777777</v>
      </c>
      <c r="N1087">
        <f t="shared" si="16"/>
        <v>17</v>
      </c>
    </row>
    <row r="1088" spans="2:14" x14ac:dyDescent="0.25">
      <c r="B1088">
        <v>1069</v>
      </c>
      <c r="C1088" t="s">
        <v>31</v>
      </c>
      <c r="D1088">
        <v>1</v>
      </c>
      <c r="E1088" t="s">
        <v>37</v>
      </c>
      <c r="F1088" s="6">
        <v>46097.57708333333</v>
      </c>
      <c r="G1088" s="6">
        <v>46097.577777777777</v>
      </c>
      <c r="H1088" s="6">
        <v>46097.578472222223</v>
      </c>
      <c r="I1088" s="6">
        <v>46097.585416666669</v>
      </c>
      <c r="J1088" s="6">
        <v>46097.78125</v>
      </c>
      <c r="K1088" s="6">
        <v>46097.888888888891</v>
      </c>
      <c r="L1088">
        <v>7.48</v>
      </c>
      <c r="M1088" s="6">
        <v>46097.895833333336</v>
      </c>
      <c r="N1088">
        <f t="shared" si="16"/>
        <v>13</v>
      </c>
    </row>
    <row r="1089" spans="2:14" x14ac:dyDescent="0.25">
      <c r="B1089">
        <v>1070</v>
      </c>
      <c r="C1089" t="s">
        <v>29</v>
      </c>
      <c r="D1089">
        <v>1</v>
      </c>
      <c r="E1089" t="s">
        <v>36</v>
      </c>
      <c r="F1089" s="6">
        <v>46098.477083333331</v>
      </c>
      <c r="G1089" s="6">
        <v>46098.486111111109</v>
      </c>
      <c r="H1089" s="6">
        <v>46098.486805555556</v>
      </c>
      <c r="I1089" s="6">
        <v>46098.489583333336</v>
      </c>
      <c r="J1089" s="6">
        <v>46098.496527777781</v>
      </c>
      <c r="K1089" s="6">
        <v>46098.506944444445</v>
      </c>
      <c r="L1089">
        <v>0.72</v>
      </c>
      <c r="M1089" s="6">
        <v>46098.513888888891</v>
      </c>
      <c r="N1089">
        <f t="shared" si="16"/>
        <v>11</v>
      </c>
    </row>
    <row r="1090" spans="2:14" x14ac:dyDescent="0.25">
      <c r="B1090">
        <v>1071</v>
      </c>
      <c r="C1090" t="s">
        <v>33</v>
      </c>
      <c r="D1090">
        <v>1</v>
      </c>
      <c r="E1090" t="s">
        <v>32</v>
      </c>
      <c r="F1090" s="6">
        <v>46098.302083333336</v>
      </c>
      <c r="G1090" s="6">
        <v>46098.309027777781</v>
      </c>
      <c r="H1090" s="6">
        <v>46098.319444444445</v>
      </c>
      <c r="I1090" s="6">
        <v>46098.453472222223</v>
      </c>
      <c r="J1090" s="6">
        <v>46098.45416666667</v>
      </c>
      <c r="K1090" s="6">
        <v>46098.460416666669</v>
      </c>
      <c r="L1090">
        <v>3.8</v>
      </c>
      <c r="M1090" s="6">
        <v>46098.467361111114</v>
      </c>
      <c r="N1090">
        <f t="shared" si="16"/>
        <v>7</v>
      </c>
    </row>
    <row r="1091" spans="2:14" x14ac:dyDescent="0.25">
      <c r="B1091">
        <v>1072</v>
      </c>
      <c r="C1091" t="s">
        <v>29</v>
      </c>
      <c r="D1091">
        <v>1</v>
      </c>
      <c r="E1091" t="s">
        <v>35</v>
      </c>
      <c r="F1091" s="6">
        <v>46099.291666666664</v>
      </c>
      <c r="G1091" s="6">
        <v>46099.326388888891</v>
      </c>
      <c r="H1091" s="6">
        <v>46099.364583333336</v>
      </c>
      <c r="I1091" s="6">
        <v>46099.520833333336</v>
      </c>
      <c r="J1091" s="6">
        <v>46099.527777777781</v>
      </c>
      <c r="K1091" s="6">
        <v>46099.548611111109</v>
      </c>
      <c r="L1091">
        <v>6.17</v>
      </c>
      <c r="M1091" s="6">
        <v>46099.549305555556</v>
      </c>
      <c r="N1091">
        <f t="shared" si="16"/>
        <v>7</v>
      </c>
    </row>
    <row r="1092" spans="2:14" x14ac:dyDescent="0.25">
      <c r="B1092">
        <v>1073</v>
      </c>
      <c r="C1092" t="s">
        <v>33</v>
      </c>
      <c r="D1092">
        <v>1</v>
      </c>
      <c r="E1092" t="s">
        <v>35</v>
      </c>
      <c r="F1092" s="6">
        <v>46100.569444444445</v>
      </c>
      <c r="G1092" s="6">
        <v>46100.588194444441</v>
      </c>
      <c r="H1092" s="6">
        <v>46100.625</v>
      </c>
      <c r="I1092" s="6">
        <v>46100.745833333334</v>
      </c>
      <c r="J1092" s="6">
        <v>46100.791666666664</v>
      </c>
      <c r="K1092" s="6">
        <v>46100.8125</v>
      </c>
      <c r="L1092">
        <v>5.83</v>
      </c>
      <c r="M1092" s="6">
        <v>46100.819444444445</v>
      </c>
      <c r="N1092">
        <f t="shared" si="16"/>
        <v>13</v>
      </c>
    </row>
    <row r="1093" spans="2:14" x14ac:dyDescent="0.25">
      <c r="B1093">
        <v>1074</v>
      </c>
      <c r="C1093" t="s">
        <v>33</v>
      </c>
      <c r="D1093">
        <v>1</v>
      </c>
      <c r="E1093" t="s">
        <v>35</v>
      </c>
      <c r="F1093" s="6">
        <v>46098.329861111109</v>
      </c>
      <c r="G1093" s="6">
        <v>46098.333333333336</v>
      </c>
      <c r="H1093" s="6">
        <v>46098.364583333336</v>
      </c>
      <c r="I1093" s="6">
        <v>46098.440972222219</v>
      </c>
      <c r="J1093" s="6">
        <v>46098.451388888891</v>
      </c>
      <c r="K1093" s="6">
        <v>46098.46875</v>
      </c>
      <c r="L1093">
        <v>3.33</v>
      </c>
      <c r="M1093" s="6">
        <v>46098.469444444447</v>
      </c>
      <c r="N1093">
        <f t="shared" si="16"/>
        <v>7</v>
      </c>
    </row>
    <row r="1094" spans="2:14" x14ac:dyDescent="0.25">
      <c r="B1094">
        <v>1075</v>
      </c>
      <c r="C1094" t="s">
        <v>33</v>
      </c>
      <c r="D1094">
        <v>1</v>
      </c>
      <c r="E1094" t="s">
        <v>36</v>
      </c>
      <c r="F1094" s="6">
        <v>46098.327777777777</v>
      </c>
      <c r="G1094" s="6">
        <v>46098.333333333336</v>
      </c>
      <c r="H1094" s="6">
        <v>46098.354166666664</v>
      </c>
      <c r="I1094" s="6">
        <v>46098.4375</v>
      </c>
      <c r="J1094" s="6">
        <v>46098.444444444445</v>
      </c>
      <c r="K1094" s="6">
        <v>46098.458333333336</v>
      </c>
      <c r="L1094">
        <v>3.13</v>
      </c>
      <c r="M1094" s="6">
        <v>46098.465277777781</v>
      </c>
      <c r="N1094">
        <f t="shared" si="16"/>
        <v>7</v>
      </c>
    </row>
    <row r="1095" spans="2:14" x14ac:dyDescent="0.25">
      <c r="B1095">
        <v>1076</v>
      </c>
      <c r="C1095" t="s">
        <v>29</v>
      </c>
      <c r="D1095">
        <v>1</v>
      </c>
      <c r="E1095" t="s">
        <v>30</v>
      </c>
      <c r="F1095" s="6">
        <v>46097.756944444445</v>
      </c>
      <c r="G1095" s="6">
        <v>46097.760416666664</v>
      </c>
      <c r="H1095" s="6">
        <v>46097.763888888891</v>
      </c>
      <c r="I1095" s="6">
        <v>46097.770833333336</v>
      </c>
      <c r="J1095" s="6">
        <v>46097.772222222222</v>
      </c>
      <c r="K1095" s="6">
        <v>46097.774305555555</v>
      </c>
      <c r="L1095">
        <v>0.42</v>
      </c>
      <c r="M1095" s="6">
        <v>46097.775694444441</v>
      </c>
      <c r="N1095">
        <f t="shared" si="16"/>
        <v>18</v>
      </c>
    </row>
    <row r="1096" spans="2:14" x14ac:dyDescent="0.25">
      <c r="B1096">
        <v>1077</v>
      </c>
      <c r="C1096" t="s">
        <v>29</v>
      </c>
      <c r="D1096">
        <v>1</v>
      </c>
      <c r="E1096" t="s">
        <v>35</v>
      </c>
      <c r="F1096" s="6">
        <v>46098.413194444445</v>
      </c>
      <c r="G1096" s="6">
        <v>46098.416666666664</v>
      </c>
      <c r="H1096" s="6">
        <v>46098.423611111109</v>
      </c>
      <c r="I1096" s="6">
        <v>46098.430555555555</v>
      </c>
      <c r="J1096" s="6">
        <v>46098.4375</v>
      </c>
      <c r="K1096" s="6">
        <v>46098.440972222219</v>
      </c>
      <c r="L1096">
        <v>0.67</v>
      </c>
      <c r="M1096" s="6">
        <v>46098.445138888892</v>
      </c>
      <c r="N1096">
        <f t="shared" si="16"/>
        <v>9</v>
      </c>
    </row>
    <row r="1097" spans="2:14" x14ac:dyDescent="0.25">
      <c r="B1097">
        <v>1078</v>
      </c>
      <c r="C1097" t="s">
        <v>33</v>
      </c>
      <c r="D1097">
        <v>1</v>
      </c>
      <c r="E1097" t="s">
        <v>35</v>
      </c>
      <c r="F1097" s="6">
        <v>46097.934027777781</v>
      </c>
      <c r="G1097" s="6">
        <v>46097.940972222219</v>
      </c>
      <c r="H1097" s="6">
        <v>46097.951388888891</v>
      </c>
      <c r="I1097" s="6">
        <v>46097.96875</v>
      </c>
      <c r="J1097" s="6">
        <v>46097.975694444445</v>
      </c>
      <c r="K1097" s="6">
        <v>46097.982638888891</v>
      </c>
      <c r="L1097">
        <v>1.17</v>
      </c>
      <c r="M1097" s="6">
        <v>46097.98333333333</v>
      </c>
      <c r="N1097">
        <f t="shared" si="16"/>
        <v>22</v>
      </c>
    </row>
    <row r="1098" spans="2:14" x14ac:dyDescent="0.25">
      <c r="B1098">
        <v>1079</v>
      </c>
      <c r="C1098" t="s">
        <v>33</v>
      </c>
      <c r="D1098">
        <v>1</v>
      </c>
      <c r="E1098" t="s">
        <v>30</v>
      </c>
      <c r="F1098" s="6">
        <v>46098.315972222219</v>
      </c>
      <c r="G1098" s="6">
        <v>46098.322916666664</v>
      </c>
      <c r="H1098" s="6">
        <v>46098.333333333336</v>
      </c>
      <c r="I1098" s="6">
        <v>46098.340277777781</v>
      </c>
      <c r="J1098" s="6">
        <v>46098.354166666664</v>
      </c>
      <c r="K1098" s="6">
        <v>46098.357638888891</v>
      </c>
      <c r="L1098">
        <v>1</v>
      </c>
      <c r="M1098" s="6">
        <v>46098.364583333336</v>
      </c>
      <c r="N1098">
        <f t="shared" si="16"/>
        <v>7</v>
      </c>
    </row>
    <row r="1099" spans="2:14" x14ac:dyDescent="0.25">
      <c r="B1099">
        <v>1080</v>
      </c>
      <c r="C1099" t="s">
        <v>31</v>
      </c>
      <c r="D1099">
        <v>1</v>
      </c>
      <c r="E1099" t="s">
        <v>30</v>
      </c>
      <c r="F1099" s="6">
        <v>46098.385416666664</v>
      </c>
      <c r="G1099" s="6">
        <v>46098.388888888891</v>
      </c>
      <c r="H1099" s="6">
        <v>46098.416666666664</v>
      </c>
      <c r="I1099" s="6">
        <v>46098.513888888891</v>
      </c>
      <c r="J1099" s="6">
        <v>46098.520833333336</v>
      </c>
      <c r="K1099" s="6">
        <v>46098.875</v>
      </c>
      <c r="L1099">
        <v>11.75</v>
      </c>
      <c r="M1099" s="6">
        <v>46098.881944444445</v>
      </c>
      <c r="N1099">
        <f t="shared" si="16"/>
        <v>9</v>
      </c>
    </row>
    <row r="1100" spans="2:14" x14ac:dyDescent="0.25">
      <c r="B1100">
        <v>1081</v>
      </c>
      <c r="C1100" t="s">
        <v>31</v>
      </c>
      <c r="D1100">
        <v>1</v>
      </c>
      <c r="E1100" t="s">
        <v>30</v>
      </c>
      <c r="F1100" s="6">
        <v>46098.510416666664</v>
      </c>
      <c r="G1100" s="6">
        <v>46098.517361111109</v>
      </c>
      <c r="H1100" s="6">
        <v>46098.527777777781</v>
      </c>
      <c r="I1100" s="6">
        <v>46098.611805555556</v>
      </c>
      <c r="J1100" s="6">
        <v>46098.666666666664</v>
      </c>
      <c r="K1100" s="6">
        <v>46098.753472222219</v>
      </c>
      <c r="L1100">
        <v>5.83</v>
      </c>
      <c r="M1100" s="6">
        <v>46098.760416666664</v>
      </c>
      <c r="N1100">
        <f t="shared" si="16"/>
        <v>12</v>
      </c>
    </row>
    <row r="1101" spans="2:14" x14ac:dyDescent="0.25">
      <c r="B1101">
        <v>1082</v>
      </c>
      <c r="C1101" t="s">
        <v>31</v>
      </c>
      <c r="D1101">
        <v>1</v>
      </c>
      <c r="E1101" t="s">
        <v>30</v>
      </c>
      <c r="F1101" s="6">
        <v>46098.677083333336</v>
      </c>
      <c r="G1101" s="6">
        <v>46098.680555555555</v>
      </c>
      <c r="H1101" s="6">
        <v>46098.694444444445</v>
      </c>
      <c r="I1101" s="6">
        <v>46098.819444444445</v>
      </c>
      <c r="J1101" s="6">
        <v>46098.840277777781</v>
      </c>
      <c r="K1101" s="6">
        <v>46098.847222222219</v>
      </c>
      <c r="L1101">
        <v>4.08</v>
      </c>
      <c r="M1101" s="6">
        <v>46098.854166666664</v>
      </c>
      <c r="N1101">
        <f t="shared" si="16"/>
        <v>16</v>
      </c>
    </row>
    <row r="1102" spans="2:14" x14ac:dyDescent="0.25">
      <c r="B1102">
        <v>1083</v>
      </c>
      <c r="C1102" t="s">
        <v>33</v>
      </c>
      <c r="D1102">
        <v>1</v>
      </c>
      <c r="E1102" t="s">
        <v>35</v>
      </c>
      <c r="F1102" s="6">
        <v>46098.513888888891</v>
      </c>
      <c r="G1102" s="6">
        <v>46098.520833333336</v>
      </c>
      <c r="H1102" s="6">
        <v>46098.5625</v>
      </c>
      <c r="I1102" s="6">
        <v>46098.715277777781</v>
      </c>
      <c r="J1102" s="6">
        <v>46098.722222222219</v>
      </c>
      <c r="K1102" s="6">
        <v>46098.725694444445</v>
      </c>
      <c r="L1102">
        <v>5.08</v>
      </c>
      <c r="M1102" s="6">
        <v>46098.727083333331</v>
      </c>
      <c r="N1102">
        <f t="shared" si="16"/>
        <v>12</v>
      </c>
    </row>
    <row r="1103" spans="2:14" x14ac:dyDescent="0.25">
      <c r="B1103">
        <v>1084</v>
      </c>
      <c r="C1103" t="s">
        <v>29</v>
      </c>
      <c r="D1103">
        <v>1</v>
      </c>
      <c r="E1103" t="s">
        <v>36</v>
      </c>
      <c r="F1103" s="6">
        <v>46098.46875</v>
      </c>
      <c r="G1103" s="6">
        <v>46098.479166666664</v>
      </c>
      <c r="H1103" s="6">
        <v>46098.513888888891</v>
      </c>
      <c r="I1103" s="6">
        <v>46098.520833333336</v>
      </c>
      <c r="J1103" s="6">
        <v>46098.527777777781</v>
      </c>
      <c r="K1103" s="6">
        <v>46098.534722222219</v>
      </c>
      <c r="L1103">
        <v>1.58</v>
      </c>
      <c r="M1103" s="6">
        <v>46098.541666666664</v>
      </c>
      <c r="N1103">
        <f t="shared" si="16"/>
        <v>11</v>
      </c>
    </row>
    <row r="1104" spans="2:14" x14ac:dyDescent="0.25">
      <c r="B1104">
        <v>1085</v>
      </c>
      <c r="C1104" t="s">
        <v>33</v>
      </c>
      <c r="D1104">
        <v>1</v>
      </c>
      <c r="E1104" t="s">
        <v>35</v>
      </c>
      <c r="F1104" s="6">
        <v>46098.763888888891</v>
      </c>
      <c r="G1104" s="6">
        <v>46098.770833333336</v>
      </c>
      <c r="H1104" s="6">
        <v>46098.79791666667</v>
      </c>
      <c r="I1104" s="6">
        <v>46098.863194444442</v>
      </c>
      <c r="J1104" s="6">
        <v>46098.870138888888</v>
      </c>
      <c r="K1104" s="6">
        <v>46098.881944444445</v>
      </c>
      <c r="L1104">
        <v>2.83</v>
      </c>
      <c r="M1104" s="6">
        <v>46098.888888888891</v>
      </c>
      <c r="N1104">
        <f t="shared" si="16"/>
        <v>18</v>
      </c>
    </row>
    <row r="1105" spans="2:14" x14ac:dyDescent="0.25">
      <c r="B1105">
        <v>1086</v>
      </c>
      <c r="C1105" t="s">
        <v>31</v>
      </c>
      <c r="D1105">
        <v>1</v>
      </c>
      <c r="E1105" t="s">
        <v>36</v>
      </c>
      <c r="F1105" s="6">
        <v>46098.625</v>
      </c>
      <c r="G1105" s="6">
        <v>46098.631944444445</v>
      </c>
      <c r="H1105" s="6">
        <v>46098.652777777781</v>
      </c>
      <c r="I1105" s="6">
        <v>46098.743055555555</v>
      </c>
      <c r="J1105" s="6">
        <v>46098.763888888891</v>
      </c>
      <c r="K1105" s="6">
        <v>46098.770833333336</v>
      </c>
      <c r="L1105">
        <v>3.5</v>
      </c>
      <c r="M1105" s="6">
        <v>46098.772222222222</v>
      </c>
      <c r="N1105">
        <f t="shared" si="16"/>
        <v>15</v>
      </c>
    </row>
    <row r="1106" spans="2:14" x14ac:dyDescent="0.25">
      <c r="B1106">
        <v>1087</v>
      </c>
      <c r="C1106" t="s">
        <v>31</v>
      </c>
      <c r="D1106">
        <v>1</v>
      </c>
      <c r="E1106" t="s">
        <v>30</v>
      </c>
      <c r="F1106" s="6">
        <v>46098.538194444445</v>
      </c>
      <c r="G1106" s="6">
        <v>46098.539583333331</v>
      </c>
      <c r="H1106" s="6">
        <v>46098.541666666664</v>
      </c>
      <c r="I1106" s="6">
        <v>46098.590277777781</v>
      </c>
      <c r="J1106" s="6">
        <v>46098.642361111109</v>
      </c>
      <c r="K1106" s="6">
        <v>46098.645833333336</v>
      </c>
      <c r="L1106">
        <v>2.58</v>
      </c>
      <c r="M1106" s="6">
        <v>46098.652777777781</v>
      </c>
      <c r="N1106">
        <f t="shared" si="16"/>
        <v>12</v>
      </c>
    </row>
    <row r="1107" spans="2:14" x14ac:dyDescent="0.25">
      <c r="B1107">
        <v>1088</v>
      </c>
      <c r="C1107" t="s">
        <v>31</v>
      </c>
      <c r="D1107">
        <v>1</v>
      </c>
      <c r="E1107" t="s">
        <v>32</v>
      </c>
      <c r="F1107" s="6">
        <v>46105.291666666664</v>
      </c>
      <c r="G1107" s="6">
        <v>46105.309027777781</v>
      </c>
      <c r="H1107" s="6">
        <v>46105.315972222219</v>
      </c>
      <c r="I1107" s="6">
        <v>46105.370138888888</v>
      </c>
      <c r="J1107" s="6">
        <v>46105.381944444445</v>
      </c>
      <c r="K1107" s="6">
        <v>46105.388888888891</v>
      </c>
      <c r="L1107">
        <v>2.33</v>
      </c>
      <c r="M1107" s="6">
        <v>46105.395833333336</v>
      </c>
      <c r="N1107">
        <f t="shared" si="16"/>
        <v>7</v>
      </c>
    </row>
    <row r="1108" spans="2:14" x14ac:dyDescent="0.25">
      <c r="B1108">
        <v>1089</v>
      </c>
      <c r="C1108" t="s">
        <v>31</v>
      </c>
      <c r="D1108">
        <v>1</v>
      </c>
      <c r="E1108" t="s">
        <v>35</v>
      </c>
      <c r="F1108" s="6">
        <v>46099.586805555555</v>
      </c>
      <c r="G1108" s="6">
        <v>46099.59375</v>
      </c>
      <c r="H1108" s="6">
        <v>46099.621527777781</v>
      </c>
      <c r="I1108" s="6">
        <v>46099.708333333336</v>
      </c>
      <c r="J1108" s="6">
        <v>46099.715277777781</v>
      </c>
      <c r="K1108" s="6">
        <v>46099.729166666664</v>
      </c>
      <c r="L1108">
        <v>3.42</v>
      </c>
      <c r="M1108" s="6">
        <v>46099.729861111111</v>
      </c>
      <c r="N1108">
        <f t="shared" si="16"/>
        <v>14</v>
      </c>
    </row>
    <row r="1109" spans="2:14" x14ac:dyDescent="0.25">
      <c r="B1109">
        <v>1090</v>
      </c>
      <c r="C1109" t="s">
        <v>29</v>
      </c>
      <c r="D1109">
        <v>1</v>
      </c>
      <c r="E1109" t="s">
        <v>34</v>
      </c>
      <c r="F1109" s="6">
        <v>46099.659722222219</v>
      </c>
      <c r="G1109" s="6">
        <v>46099.673611111109</v>
      </c>
      <c r="H1109" s="6">
        <v>46099.6875</v>
      </c>
      <c r="I1109" s="6">
        <v>46099.84652777778</v>
      </c>
      <c r="J1109" s="6">
        <v>46099.853472222225</v>
      </c>
      <c r="K1109" s="6">
        <v>46099.857638888891</v>
      </c>
      <c r="L1109">
        <v>4.75</v>
      </c>
      <c r="M1109" s="6">
        <v>46099.864583333336</v>
      </c>
      <c r="N1109">
        <f t="shared" ref="N1109:N1172" si="17">HOUR(F1109)</f>
        <v>15</v>
      </c>
    </row>
    <row r="1110" spans="2:14" x14ac:dyDescent="0.25">
      <c r="B1110">
        <v>1091</v>
      </c>
      <c r="C1110" t="s">
        <v>29</v>
      </c>
      <c r="D1110">
        <v>1</v>
      </c>
      <c r="E1110" t="s">
        <v>30</v>
      </c>
      <c r="F1110" s="6">
        <v>46099.288194444445</v>
      </c>
      <c r="G1110" s="6">
        <v>46099.319444444445</v>
      </c>
      <c r="H1110" s="6">
        <v>46099.354166666664</v>
      </c>
      <c r="I1110" s="6">
        <v>46099.40625</v>
      </c>
      <c r="J1110" s="6">
        <v>46099.416666666664</v>
      </c>
      <c r="K1110" s="6">
        <v>46099.423611111109</v>
      </c>
      <c r="L1110">
        <v>3.25</v>
      </c>
      <c r="M1110" s="6">
        <v>46099.424305555556</v>
      </c>
      <c r="N1110">
        <f t="shared" si="17"/>
        <v>6</v>
      </c>
    </row>
    <row r="1111" spans="2:14" x14ac:dyDescent="0.25">
      <c r="B1111">
        <v>1092</v>
      </c>
      <c r="C1111" t="s">
        <v>33</v>
      </c>
      <c r="D1111">
        <v>1</v>
      </c>
      <c r="E1111" t="s">
        <v>34</v>
      </c>
      <c r="F1111" s="6">
        <v>46099.621527777781</v>
      </c>
      <c r="G1111" s="6">
        <v>46099.628472222219</v>
      </c>
      <c r="H1111" s="6">
        <v>46099.642361111109</v>
      </c>
      <c r="I1111" s="6">
        <v>46099.666666666664</v>
      </c>
      <c r="J1111" s="6">
        <v>46099.673611111109</v>
      </c>
      <c r="K1111" s="6">
        <v>46099.677083333336</v>
      </c>
      <c r="L1111">
        <v>1.33</v>
      </c>
      <c r="M1111" s="6">
        <v>46099.684027777781</v>
      </c>
      <c r="N1111">
        <f t="shared" si="17"/>
        <v>14</v>
      </c>
    </row>
    <row r="1112" spans="2:14" x14ac:dyDescent="0.25">
      <c r="B1112">
        <v>1093</v>
      </c>
      <c r="C1112" t="s">
        <v>33</v>
      </c>
      <c r="D1112">
        <v>1</v>
      </c>
      <c r="E1112" t="s">
        <v>30</v>
      </c>
      <c r="F1112" s="6">
        <v>46099.322916666664</v>
      </c>
      <c r="G1112" s="6">
        <v>46099.329861111109</v>
      </c>
      <c r="H1112" s="6">
        <v>46099.34375</v>
      </c>
      <c r="I1112" s="6">
        <v>46099.385416666664</v>
      </c>
      <c r="J1112" s="6">
        <v>46099.392361111109</v>
      </c>
      <c r="K1112" s="6">
        <v>46099.40625</v>
      </c>
      <c r="L1112">
        <v>2</v>
      </c>
      <c r="M1112" s="6">
        <v>46099.413194444445</v>
      </c>
      <c r="N1112">
        <f t="shared" si="17"/>
        <v>7</v>
      </c>
    </row>
    <row r="1113" spans="2:14" x14ac:dyDescent="0.25">
      <c r="B1113">
        <v>1094</v>
      </c>
      <c r="C1113" t="s">
        <v>33</v>
      </c>
      <c r="D1113">
        <v>1</v>
      </c>
      <c r="E1113" t="s">
        <v>30</v>
      </c>
      <c r="F1113" s="6">
        <v>46099.434027777781</v>
      </c>
      <c r="G1113" s="6">
        <v>46099.444444444445</v>
      </c>
      <c r="H1113" s="6">
        <v>46099.461805555555</v>
      </c>
      <c r="I1113" s="6">
        <v>46099.479166666664</v>
      </c>
      <c r="J1113" s="6">
        <v>46099.482638888891</v>
      </c>
      <c r="K1113" s="6">
        <v>46099.486111111109</v>
      </c>
      <c r="L1113">
        <v>1.25</v>
      </c>
      <c r="M1113" s="6">
        <v>46099.493055555555</v>
      </c>
      <c r="N1113">
        <f t="shared" si="17"/>
        <v>10</v>
      </c>
    </row>
    <row r="1114" spans="2:14" x14ac:dyDescent="0.25">
      <c r="B1114">
        <v>1095</v>
      </c>
      <c r="C1114" t="s">
        <v>31</v>
      </c>
      <c r="D1114">
        <v>1</v>
      </c>
      <c r="E1114" t="s">
        <v>34</v>
      </c>
      <c r="F1114" s="6">
        <v>46099.291666666664</v>
      </c>
      <c r="G1114" s="6">
        <v>46099.3125</v>
      </c>
      <c r="H1114" s="6">
        <v>46099.326388888891</v>
      </c>
      <c r="I1114" s="6">
        <v>46099.418055555558</v>
      </c>
      <c r="J1114" s="6">
        <v>46099.425000000003</v>
      </c>
      <c r="K1114" s="6">
        <v>46099.434027777781</v>
      </c>
      <c r="L1114">
        <v>3.42</v>
      </c>
      <c r="M1114" s="6">
        <v>46099.440972222219</v>
      </c>
      <c r="N1114">
        <f t="shared" si="17"/>
        <v>7</v>
      </c>
    </row>
    <row r="1115" spans="2:14" x14ac:dyDescent="0.25">
      <c r="B1115">
        <v>1096</v>
      </c>
      <c r="C1115" t="s">
        <v>33</v>
      </c>
      <c r="D1115">
        <v>1</v>
      </c>
      <c r="E1115" t="s">
        <v>30</v>
      </c>
      <c r="F1115" s="6">
        <v>46098.951388888891</v>
      </c>
      <c r="G1115" s="6">
        <v>46098.961805555555</v>
      </c>
      <c r="H1115" s="6">
        <v>46098.982638888891</v>
      </c>
      <c r="I1115" s="6">
        <v>46099.083333333336</v>
      </c>
      <c r="J1115" s="6">
        <v>46099.086805555555</v>
      </c>
      <c r="K1115" s="6">
        <v>46099.090277777781</v>
      </c>
      <c r="L1115">
        <v>3.33</v>
      </c>
      <c r="M1115" s="6">
        <v>46099.09375</v>
      </c>
      <c r="N1115">
        <f t="shared" si="17"/>
        <v>22</v>
      </c>
    </row>
    <row r="1116" spans="2:14" x14ac:dyDescent="0.25">
      <c r="B1116">
        <v>1097</v>
      </c>
      <c r="C1116" t="s">
        <v>33</v>
      </c>
      <c r="D1116">
        <v>1</v>
      </c>
      <c r="E1116" t="s">
        <v>30</v>
      </c>
      <c r="F1116" s="6">
        <v>46098.951388888891</v>
      </c>
      <c r="G1116" s="6">
        <v>46098.958333333336</v>
      </c>
      <c r="H1116" s="6">
        <v>46098.989583333336</v>
      </c>
      <c r="I1116" s="6">
        <v>46099.044444444444</v>
      </c>
      <c r="J1116" s="6">
        <v>46099.046527777777</v>
      </c>
      <c r="K1116" s="6">
        <v>46099.048611111109</v>
      </c>
      <c r="L1116">
        <v>2.33</v>
      </c>
      <c r="M1116" s="6">
        <v>46099.052083333336</v>
      </c>
      <c r="N1116">
        <f t="shared" si="17"/>
        <v>22</v>
      </c>
    </row>
    <row r="1117" spans="2:14" x14ac:dyDescent="0.25">
      <c r="B1117">
        <v>1098</v>
      </c>
      <c r="C1117" t="s">
        <v>29</v>
      </c>
      <c r="D1117">
        <v>1</v>
      </c>
      <c r="E1117" t="s">
        <v>30</v>
      </c>
      <c r="F1117" s="6">
        <v>46099.177083333336</v>
      </c>
      <c r="G1117" s="6">
        <v>46099.184027777781</v>
      </c>
      <c r="H1117" s="6">
        <v>46099.1875</v>
      </c>
      <c r="I1117" s="6">
        <v>46099.194444444445</v>
      </c>
      <c r="J1117" s="6">
        <v>46099.195833333331</v>
      </c>
      <c r="K1117" s="6">
        <v>46099.197916666664</v>
      </c>
      <c r="L1117">
        <v>0.75</v>
      </c>
      <c r="M1117" s="6">
        <v>46099.198611111111</v>
      </c>
      <c r="N1117">
        <f t="shared" si="17"/>
        <v>4</v>
      </c>
    </row>
    <row r="1118" spans="2:14" x14ac:dyDescent="0.25">
      <c r="B1118">
        <v>1099</v>
      </c>
      <c r="C1118" t="s">
        <v>31</v>
      </c>
      <c r="D1118">
        <v>8</v>
      </c>
      <c r="E1118" t="s">
        <v>30</v>
      </c>
      <c r="F1118" s="6">
        <v>46099.638888888891</v>
      </c>
      <c r="G1118" s="6">
        <v>46099.680555555555</v>
      </c>
      <c r="H1118" s="6">
        <v>46099.694444444445</v>
      </c>
      <c r="I1118" s="6">
        <v>46099.729166666664</v>
      </c>
      <c r="J1118" s="6">
        <v>46099.736111111109</v>
      </c>
      <c r="K1118" s="6">
        <v>46099.743055555555</v>
      </c>
      <c r="L1118">
        <v>2.5</v>
      </c>
      <c r="M1118" s="6">
        <v>46099.75</v>
      </c>
      <c r="N1118">
        <f t="shared" si="17"/>
        <v>15</v>
      </c>
    </row>
    <row r="1119" spans="2:14" x14ac:dyDescent="0.25">
      <c r="B1119">
        <v>1100</v>
      </c>
      <c r="C1119" t="s">
        <v>31</v>
      </c>
      <c r="D1119">
        <v>1</v>
      </c>
      <c r="E1119" t="s">
        <v>36</v>
      </c>
      <c r="F1119" s="6">
        <v>46099.444444444445</v>
      </c>
      <c r="G1119" s="6">
        <v>46099.445833333331</v>
      </c>
      <c r="H1119" s="6">
        <v>46099.447916666664</v>
      </c>
      <c r="I1119" s="6">
        <v>46099.541666666664</v>
      </c>
      <c r="J1119" s="6">
        <v>46099.548611111109</v>
      </c>
      <c r="K1119" s="6">
        <v>46099.555555555555</v>
      </c>
      <c r="L1119">
        <v>2.67</v>
      </c>
      <c r="M1119" s="6">
        <v>46099.5625</v>
      </c>
      <c r="N1119">
        <f t="shared" si="17"/>
        <v>10</v>
      </c>
    </row>
    <row r="1120" spans="2:14" x14ac:dyDescent="0.25">
      <c r="B1120">
        <v>1101</v>
      </c>
      <c r="C1120" t="s">
        <v>29</v>
      </c>
      <c r="D1120">
        <v>1</v>
      </c>
      <c r="E1120" t="s">
        <v>35</v>
      </c>
      <c r="F1120" s="6">
        <v>46099.724305555559</v>
      </c>
      <c r="G1120" s="6">
        <v>46099.725694444445</v>
      </c>
      <c r="H1120" s="6">
        <v>46099.729166666664</v>
      </c>
      <c r="I1120" s="6">
        <v>46099.802083333336</v>
      </c>
      <c r="J1120" s="6">
        <v>46099.809027777781</v>
      </c>
      <c r="K1120" s="6">
        <v>46099.8125</v>
      </c>
      <c r="L1120">
        <v>2.12</v>
      </c>
      <c r="M1120" s="6">
        <v>46099.819444444445</v>
      </c>
      <c r="N1120">
        <f t="shared" si="17"/>
        <v>17</v>
      </c>
    </row>
    <row r="1121" spans="2:14" x14ac:dyDescent="0.25">
      <c r="B1121">
        <v>1102</v>
      </c>
      <c r="C1121" t="s">
        <v>31</v>
      </c>
      <c r="D1121">
        <v>1</v>
      </c>
      <c r="E1121" t="s">
        <v>36</v>
      </c>
      <c r="F1121" s="6">
        <v>46099.479166666664</v>
      </c>
      <c r="G1121" s="6">
        <v>46099.493055555555</v>
      </c>
      <c r="H1121" s="6">
        <v>46099.506944444445</v>
      </c>
      <c r="I1121" s="6">
        <v>46099.673611111109</v>
      </c>
      <c r="J1121" s="6">
        <v>46099.71875</v>
      </c>
      <c r="K1121" s="6">
        <v>46099.722222222219</v>
      </c>
      <c r="L1121">
        <v>5.83</v>
      </c>
      <c r="M1121" s="6">
        <v>46099.729166666664</v>
      </c>
      <c r="N1121">
        <f t="shared" si="17"/>
        <v>11</v>
      </c>
    </row>
    <row r="1122" spans="2:14" x14ac:dyDescent="0.25">
      <c r="B1122">
        <v>1103</v>
      </c>
      <c r="C1122" t="s">
        <v>31</v>
      </c>
      <c r="D1122">
        <v>1</v>
      </c>
      <c r="E1122" t="s">
        <v>34</v>
      </c>
      <c r="F1122" s="6">
        <v>46099.498611111114</v>
      </c>
      <c r="G1122" s="6">
        <v>46099.506944444445</v>
      </c>
      <c r="H1122" s="6">
        <v>46099.513888888891</v>
      </c>
      <c r="I1122" s="6">
        <v>46099.586111111108</v>
      </c>
      <c r="J1122" s="6">
        <v>46099.593055555553</v>
      </c>
      <c r="K1122" s="6">
        <v>46099.597222222219</v>
      </c>
      <c r="L1122">
        <v>2.37</v>
      </c>
      <c r="M1122" s="6">
        <v>46099.604166666664</v>
      </c>
      <c r="N1122">
        <f t="shared" si="17"/>
        <v>11</v>
      </c>
    </row>
    <row r="1123" spans="2:14" x14ac:dyDescent="0.25">
      <c r="B1123">
        <v>1104</v>
      </c>
      <c r="C1123" t="s">
        <v>31</v>
      </c>
      <c r="D1123">
        <v>1</v>
      </c>
      <c r="E1123" t="s">
        <v>30</v>
      </c>
      <c r="F1123" s="6">
        <v>46099.522222222222</v>
      </c>
      <c r="G1123" s="6">
        <v>46099.527777777781</v>
      </c>
      <c r="H1123" s="6">
        <v>46099.534722222219</v>
      </c>
      <c r="I1123" s="6">
        <v>46099.570138888892</v>
      </c>
      <c r="J1123" s="6">
        <v>46099.571527777778</v>
      </c>
      <c r="K1123" s="6">
        <v>46099.572916666664</v>
      </c>
      <c r="L1123">
        <v>1.22</v>
      </c>
      <c r="M1123" s="6">
        <v>46099.579861111109</v>
      </c>
      <c r="N1123">
        <f t="shared" si="17"/>
        <v>12</v>
      </c>
    </row>
    <row r="1124" spans="2:14" x14ac:dyDescent="0.25">
      <c r="B1124">
        <v>1105</v>
      </c>
      <c r="C1124" t="s">
        <v>31</v>
      </c>
      <c r="D1124">
        <v>1</v>
      </c>
      <c r="E1124" t="s">
        <v>36</v>
      </c>
      <c r="F1124" s="6">
        <v>46100.427083333336</v>
      </c>
      <c r="G1124" s="6">
        <v>46100.4375</v>
      </c>
      <c r="H1124" s="6">
        <v>46100.486111111109</v>
      </c>
      <c r="I1124" s="6">
        <v>46100.510416666664</v>
      </c>
      <c r="J1124" s="6">
        <v>46100.517361111109</v>
      </c>
      <c r="K1124" s="6">
        <v>46100.520833333336</v>
      </c>
      <c r="L1124">
        <v>2.25</v>
      </c>
      <c r="M1124" s="6">
        <v>46100.527777777781</v>
      </c>
      <c r="N1124">
        <f t="shared" si="17"/>
        <v>10</v>
      </c>
    </row>
    <row r="1125" spans="2:14" x14ac:dyDescent="0.25">
      <c r="B1125">
        <v>1106</v>
      </c>
      <c r="C1125" t="s">
        <v>33</v>
      </c>
      <c r="D1125">
        <v>1</v>
      </c>
      <c r="E1125" t="s">
        <v>36</v>
      </c>
      <c r="F1125" s="6">
        <v>46100.291666666664</v>
      </c>
      <c r="G1125" s="6">
        <v>46100.319444444445</v>
      </c>
      <c r="H1125" s="6">
        <v>46100.333333333336</v>
      </c>
      <c r="I1125" s="6">
        <v>46100.395833333336</v>
      </c>
      <c r="J1125" s="6">
        <v>46100.399305555555</v>
      </c>
      <c r="K1125" s="6">
        <v>46100.401388888888</v>
      </c>
      <c r="L1125">
        <v>2.63</v>
      </c>
      <c r="M1125" s="6">
        <v>46100.408333333333</v>
      </c>
      <c r="N1125">
        <f t="shared" si="17"/>
        <v>7</v>
      </c>
    </row>
    <row r="1126" spans="2:14" x14ac:dyDescent="0.25">
      <c r="B1126">
        <v>1107</v>
      </c>
      <c r="C1126" t="s">
        <v>29</v>
      </c>
      <c r="D1126">
        <v>1</v>
      </c>
      <c r="E1126" t="s">
        <v>30</v>
      </c>
      <c r="F1126" s="6">
        <v>46101.333333333336</v>
      </c>
      <c r="G1126" s="6">
        <v>46101.340277777781</v>
      </c>
      <c r="H1126" s="6">
        <v>46101.347222222219</v>
      </c>
      <c r="I1126" s="6">
        <v>46101.427083333336</v>
      </c>
      <c r="J1126" s="6">
        <v>46101.434027777781</v>
      </c>
      <c r="K1126" s="6">
        <v>46101.4375</v>
      </c>
      <c r="L1126">
        <v>2.5</v>
      </c>
      <c r="M1126" s="6">
        <v>46101.444444444445</v>
      </c>
      <c r="N1126">
        <f t="shared" si="17"/>
        <v>8</v>
      </c>
    </row>
    <row r="1127" spans="2:14" x14ac:dyDescent="0.25">
      <c r="B1127">
        <v>1108</v>
      </c>
      <c r="C1127" t="s">
        <v>31</v>
      </c>
      <c r="D1127">
        <v>1</v>
      </c>
      <c r="E1127" t="s">
        <v>35</v>
      </c>
      <c r="F1127" s="6">
        <v>46100.288194444445</v>
      </c>
      <c r="G1127" s="6">
        <v>46100.302083333336</v>
      </c>
      <c r="H1127" s="6">
        <v>46100.319444444445</v>
      </c>
      <c r="I1127" s="6">
        <v>46100.397222222222</v>
      </c>
      <c r="J1127" s="6">
        <v>46100.404166666667</v>
      </c>
      <c r="K1127" s="6">
        <v>46100.411111111112</v>
      </c>
      <c r="L1127">
        <v>2.95</v>
      </c>
      <c r="M1127" s="6">
        <v>46100.418055555558</v>
      </c>
      <c r="N1127">
        <f t="shared" si="17"/>
        <v>6</v>
      </c>
    </row>
    <row r="1128" spans="2:14" x14ac:dyDescent="0.25">
      <c r="B1128">
        <v>1109</v>
      </c>
      <c r="C1128" t="s">
        <v>31</v>
      </c>
      <c r="D1128">
        <v>1</v>
      </c>
      <c r="E1128" t="s">
        <v>32</v>
      </c>
      <c r="F1128" s="6">
        <v>46100.552083333336</v>
      </c>
      <c r="G1128" s="6">
        <v>46100.5625</v>
      </c>
      <c r="H1128" s="6">
        <v>46100.59375</v>
      </c>
      <c r="I1128" s="6">
        <v>46100.708333333336</v>
      </c>
      <c r="J1128" s="6">
        <v>46100.715277777781</v>
      </c>
      <c r="K1128" s="6">
        <v>46100.722222222219</v>
      </c>
      <c r="L1128">
        <v>4.08</v>
      </c>
      <c r="M1128" s="6">
        <v>46100.724305555559</v>
      </c>
      <c r="N1128">
        <f t="shared" si="17"/>
        <v>13</v>
      </c>
    </row>
    <row r="1129" spans="2:14" x14ac:dyDescent="0.25">
      <c r="B1129">
        <v>1110</v>
      </c>
      <c r="C1129" t="s">
        <v>33</v>
      </c>
      <c r="D1129">
        <v>1</v>
      </c>
      <c r="E1129" t="s">
        <v>35</v>
      </c>
      <c r="F1129" s="6">
        <v>46100.315972222219</v>
      </c>
      <c r="G1129" s="6">
        <v>46100.322916666664</v>
      </c>
      <c r="H1129" s="6">
        <v>46100.354166666664</v>
      </c>
      <c r="I1129" s="6">
        <v>46100.458333333336</v>
      </c>
      <c r="J1129" s="6">
        <v>46100.46875</v>
      </c>
      <c r="K1129" s="6">
        <v>46100.479166666664</v>
      </c>
      <c r="L1129">
        <v>3.92</v>
      </c>
      <c r="M1129" s="6">
        <v>46100.479861111111</v>
      </c>
      <c r="N1129">
        <f t="shared" si="17"/>
        <v>7</v>
      </c>
    </row>
    <row r="1130" spans="2:14" x14ac:dyDescent="0.25">
      <c r="B1130">
        <v>1111</v>
      </c>
      <c r="C1130" t="s">
        <v>29</v>
      </c>
      <c r="D1130">
        <v>1</v>
      </c>
      <c r="E1130" t="s">
        <v>34</v>
      </c>
      <c r="F1130" s="6">
        <v>46100.40625</v>
      </c>
      <c r="G1130" s="6">
        <v>46100.413194444445</v>
      </c>
      <c r="H1130" s="6">
        <v>46100.444444444445</v>
      </c>
      <c r="I1130" s="6">
        <v>46100.517361111109</v>
      </c>
      <c r="J1130" s="6">
        <v>46100.527777777781</v>
      </c>
      <c r="K1130" s="6">
        <v>46100.541666666664</v>
      </c>
      <c r="L1130">
        <v>3.25</v>
      </c>
      <c r="M1130" s="6">
        <v>46100.545138888891</v>
      </c>
      <c r="N1130">
        <f t="shared" si="17"/>
        <v>9</v>
      </c>
    </row>
    <row r="1131" spans="2:14" x14ac:dyDescent="0.25">
      <c r="B1131">
        <v>1112</v>
      </c>
      <c r="C1131" t="s">
        <v>33</v>
      </c>
      <c r="D1131">
        <v>1</v>
      </c>
      <c r="E1131" t="s">
        <v>34</v>
      </c>
      <c r="F1131" s="6">
        <v>46100.305555555555</v>
      </c>
      <c r="G1131" s="6">
        <v>46100.315972222219</v>
      </c>
      <c r="H1131" s="6">
        <v>46100.336805555555</v>
      </c>
      <c r="I1131" s="6">
        <v>46100.357638888891</v>
      </c>
      <c r="J1131" s="6">
        <v>46100.364583333336</v>
      </c>
      <c r="K1131" s="6">
        <v>46100.371527777781</v>
      </c>
      <c r="L1131">
        <v>1.58</v>
      </c>
      <c r="M1131" s="6">
        <v>46100.381944444445</v>
      </c>
      <c r="N1131">
        <f t="shared" si="17"/>
        <v>7</v>
      </c>
    </row>
    <row r="1132" spans="2:14" x14ac:dyDescent="0.25">
      <c r="B1132">
        <v>1113</v>
      </c>
      <c r="C1132" t="s">
        <v>31</v>
      </c>
      <c r="D1132">
        <v>1</v>
      </c>
      <c r="E1132" t="s">
        <v>37</v>
      </c>
      <c r="F1132" s="6">
        <v>46099.784722222219</v>
      </c>
      <c r="G1132" s="6">
        <v>46099.798611111109</v>
      </c>
      <c r="H1132" s="6">
        <v>46099.805555555555</v>
      </c>
      <c r="I1132" s="6">
        <v>46099.927083333336</v>
      </c>
      <c r="J1132" s="6">
        <v>46099.934027777781</v>
      </c>
      <c r="K1132" s="6">
        <v>46099.954861111109</v>
      </c>
      <c r="L1132">
        <v>4.08</v>
      </c>
      <c r="M1132" s="6">
        <v>46099.961805555555</v>
      </c>
      <c r="N1132">
        <f t="shared" si="17"/>
        <v>18</v>
      </c>
    </row>
    <row r="1133" spans="2:14" x14ac:dyDescent="0.25">
      <c r="B1133">
        <v>1114</v>
      </c>
      <c r="C1133" t="s">
        <v>31</v>
      </c>
      <c r="D1133">
        <v>1</v>
      </c>
      <c r="E1133" t="s">
        <v>30</v>
      </c>
      <c r="F1133" s="6">
        <v>46099.84375</v>
      </c>
      <c r="G1133" s="6">
        <v>46099.864583333336</v>
      </c>
      <c r="H1133" s="6">
        <v>46099.875</v>
      </c>
      <c r="I1133" s="6">
        <v>46099.888888888891</v>
      </c>
      <c r="J1133" s="6">
        <v>46099.895833333336</v>
      </c>
      <c r="K1133" s="6">
        <v>46099.896527777775</v>
      </c>
      <c r="L1133">
        <v>1.27</v>
      </c>
      <c r="M1133" s="6">
        <v>46099.90347222222</v>
      </c>
      <c r="N1133">
        <f t="shared" si="17"/>
        <v>20</v>
      </c>
    </row>
    <row r="1134" spans="2:14" x14ac:dyDescent="0.25">
      <c r="B1134">
        <v>1115</v>
      </c>
      <c r="C1134" t="s">
        <v>33</v>
      </c>
      <c r="D1134">
        <v>1</v>
      </c>
      <c r="E1134" t="s">
        <v>35</v>
      </c>
      <c r="F1134" s="6">
        <v>46099.909722222219</v>
      </c>
      <c r="G1134" s="6">
        <v>46099.920138888891</v>
      </c>
      <c r="H1134" s="6">
        <v>46099.9375</v>
      </c>
      <c r="I1134" s="6">
        <v>46099.979166666664</v>
      </c>
      <c r="J1134" s="6">
        <v>46099.986111111109</v>
      </c>
      <c r="K1134" s="6">
        <v>46099.987500000003</v>
      </c>
      <c r="L1134">
        <v>1.87</v>
      </c>
      <c r="M1134" s="6">
        <v>46099.988194444442</v>
      </c>
      <c r="N1134">
        <f t="shared" si="17"/>
        <v>21</v>
      </c>
    </row>
    <row r="1135" spans="2:14" x14ac:dyDescent="0.25">
      <c r="B1135">
        <v>1116</v>
      </c>
      <c r="C1135" t="s">
        <v>33</v>
      </c>
      <c r="D1135">
        <v>1</v>
      </c>
      <c r="E1135" t="s">
        <v>30</v>
      </c>
      <c r="F1135" s="6">
        <v>46100.322916666664</v>
      </c>
      <c r="G1135" s="6">
        <v>46100.326388888891</v>
      </c>
      <c r="H1135" s="6">
        <v>46100.354166666664</v>
      </c>
      <c r="I1135" s="6">
        <v>46100.392361111109</v>
      </c>
      <c r="J1135" s="6">
        <v>46100.399305555555</v>
      </c>
      <c r="K1135" s="6">
        <v>46100.416666666664</v>
      </c>
      <c r="L1135">
        <v>2.25</v>
      </c>
      <c r="M1135" s="6">
        <v>46100.423611111109</v>
      </c>
      <c r="N1135">
        <f t="shared" si="17"/>
        <v>7</v>
      </c>
    </row>
    <row r="1136" spans="2:14" x14ac:dyDescent="0.25">
      <c r="B1136">
        <v>1117</v>
      </c>
      <c r="C1136" t="s">
        <v>33</v>
      </c>
      <c r="D1136">
        <v>1</v>
      </c>
      <c r="E1136" t="s">
        <v>30</v>
      </c>
      <c r="F1136" s="6">
        <v>46100.442361111112</v>
      </c>
      <c r="G1136" s="6">
        <v>46100.454861111109</v>
      </c>
      <c r="H1136" s="6">
        <v>46100.472222222219</v>
      </c>
      <c r="I1136" s="6">
        <v>46100.534722222219</v>
      </c>
      <c r="J1136" s="6">
        <v>46100.552083333336</v>
      </c>
      <c r="K1136" s="6">
        <v>46100.552777777775</v>
      </c>
      <c r="L1136">
        <v>2.65</v>
      </c>
      <c r="M1136" s="6">
        <v>46100.553472222222</v>
      </c>
      <c r="N1136">
        <f t="shared" si="17"/>
        <v>10</v>
      </c>
    </row>
    <row r="1137" spans="2:14" x14ac:dyDescent="0.25">
      <c r="B1137">
        <v>1118</v>
      </c>
      <c r="C1137" t="s">
        <v>31</v>
      </c>
      <c r="D1137">
        <v>1</v>
      </c>
      <c r="E1137" t="s">
        <v>30</v>
      </c>
      <c r="F1137" s="6">
        <v>46100.454861111109</v>
      </c>
      <c r="G1137" s="6">
        <v>46100.461805555555</v>
      </c>
      <c r="H1137" s="6">
        <v>46100.46875</v>
      </c>
      <c r="I1137" s="6">
        <v>46100.505555555559</v>
      </c>
      <c r="J1137" s="6">
        <v>46100.506944444445</v>
      </c>
      <c r="K1137" s="6">
        <v>46100.510416666664</v>
      </c>
      <c r="L1137">
        <v>1.33</v>
      </c>
      <c r="M1137" s="6">
        <v>46100.517361111109</v>
      </c>
      <c r="N1137">
        <f t="shared" si="17"/>
        <v>10</v>
      </c>
    </row>
    <row r="1138" spans="2:14" x14ac:dyDescent="0.25">
      <c r="B1138">
        <v>1119</v>
      </c>
      <c r="C1138" t="s">
        <v>31</v>
      </c>
      <c r="D1138">
        <v>1</v>
      </c>
      <c r="E1138" t="s">
        <v>34</v>
      </c>
      <c r="F1138" s="6">
        <v>46101.329861111109</v>
      </c>
      <c r="G1138" s="6">
        <v>46101.331250000003</v>
      </c>
      <c r="H1138" s="6">
        <v>46101.347222222219</v>
      </c>
      <c r="I1138" s="6">
        <v>46101.409722222219</v>
      </c>
      <c r="J1138" s="6">
        <v>46101.461805555555</v>
      </c>
      <c r="K1138" s="6">
        <v>46101.465277777781</v>
      </c>
      <c r="L1138">
        <v>3.25</v>
      </c>
      <c r="M1138" s="6">
        <v>46101.472222222219</v>
      </c>
      <c r="N1138">
        <f t="shared" si="17"/>
        <v>7</v>
      </c>
    </row>
    <row r="1139" spans="2:14" x14ac:dyDescent="0.25">
      <c r="B1139">
        <v>1120</v>
      </c>
      <c r="C1139" t="s">
        <v>33</v>
      </c>
      <c r="D1139">
        <v>1</v>
      </c>
      <c r="E1139" t="s">
        <v>30</v>
      </c>
      <c r="F1139" s="6">
        <v>46101.291666666664</v>
      </c>
      <c r="G1139" s="6">
        <v>46101.329861111109</v>
      </c>
      <c r="H1139" s="6">
        <v>46101.388888888891</v>
      </c>
      <c r="I1139" s="6">
        <v>46101.611111111109</v>
      </c>
      <c r="J1139" s="6">
        <v>46101.635416666664</v>
      </c>
      <c r="K1139" s="6">
        <v>46101.645833333336</v>
      </c>
      <c r="L1139">
        <v>8.5</v>
      </c>
      <c r="M1139" s="6">
        <v>46101.652777777781</v>
      </c>
      <c r="N1139">
        <f t="shared" si="17"/>
        <v>7</v>
      </c>
    </row>
    <row r="1140" spans="2:14" x14ac:dyDescent="0.25">
      <c r="B1140">
        <v>1121</v>
      </c>
      <c r="C1140" t="s">
        <v>31</v>
      </c>
      <c r="D1140">
        <v>1</v>
      </c>
      <c r="E1140" t="s">
        <v>36</v>
      </c>
      <c r="F1140" s="6">
        <v>46101.739583333336</v>
      </c>
      <c r="G1140" s="6">
        <v>46101.746527777781</v>
      </c>
      <c r="H1140" s="6">
        <v>46101.75</v>
      </c>
      <c r="I1140" s="6">
        <v>46101.850694444445</v>
      </c>
      <c r="J1140" s="6">
        <v>46101.857638888891</v>
      </c>
      <c r="K1140" s="6">
        <v>46101.885416666664</v>
      </c>
      <c r="L1140">
        <v>3.5</v>
      </c>
      <c r="M1140" s="6">
        <v>46101.892361111109</v>
      </c>
      <c r="N1140">
        <f t="shared" si="17"/>
        <v>17</v>
      </c>
    </row>
    <row r="1141" spans="2:14" x14ac:dyDescent="0.25">
      <c r="B1141">
        <v>1122</v>
      </c>
      <c r="C1141" t="s">
        <v>31</v>
      </c>
      <c r="D1141">
        <v>1</v>
      </c>
      <c r="E1141" t="s">
        <v>35</v>
      </c>
      <c r="F1141" s="6">
        <v>46101.322916666664</v>
      </c>
      <c r="G1141" s="6">
        <v>46101.336805555555</v>
      </c>
      <c r="H1141" s="6">
        <v>46101.354166666664</v>
      </c>
      <c r="I1141" s="6">
        <v>46101.385416666664</v>
      </c>
      <c r="J1141" s="6">
        <v>46101.392361111109</v>
      </c>
      <c r="K1141" s="6">
        <v>46101.399305555555</v>
      </c>
      <c r="L1141">
        <v>1.83</v>
      </c>
      <c r="M1141" s="6">
        <v>46101.40625</v>
      </c>
      <c r="N1141">
        <f t="shared" si="17"/>
        <v>7</v>
      </c>
    </row>
    <row r="1142" spans="2:14" x14ac:dyDescent="0.25">
      <c r="B1142">
        <v>1123</v>
      </c>
      <c r="C1142" t="s">
        <v>33</v>
      </c>
      <c r="D1142">
        <v>1</v>
      </c>
      <c r="E1142" t="s">
        <v>30</v>
      </c>
      <c r="F1142" s="6">
        <v>46100.715277777781</v>
      </c>
      <c r="G1142" s="6">
        <v>46100.725694444445</v>
      </c>
      <c r="H1142" s="6">
        <v>46100.73541666667</v>
      </c>
      <c r="I1142" s="6">
        <v>46100.757638888892</v>
      </c>
      <c r="J1142" s="6">
        <v>46100.762499999997</v>
      </c>
      <c r="K1142" s="6">
        <v>46100.767361111109</v>
      </c>
      <c r="L1142">
        <v>1.25</v>
      </c>
      <c r="M1142" s="6">
        <v>46100.773611111108</v>
      </c>
      <c r="N1142">
        <f t="shared" si="17"/>
        <v>17</v>
      </c>
    </row>
    <row r="1143" spans="2:14" x14ac:dyDescent="0.25">
      <c r="B1143">
        <v>1124</v>
      </c>
      <c r="C1143" t="s">
        <v>31</v>
      </c>
      <c r="D1143">
        <v>1</v>
      </c>
      <c r="E1143" t="s">
        <v>36</v>
      </c>
      <c r="F1143" s="6">
        <v>46101.288194444445</v>
      </c>
      <c r="G1143" s="6">
        <v>46101.3125</v>
      </c>
      <c r="H1143" s="6">
        <v>46101.354166666664</v>
      </c>
      <c r="I1143" s="6">
        <v>46101.458333333336</v>
      </c>
      <c r="J1143" s="6">
        <v>46101.479166666664</v>
      </c>
      <c r="K1143" s="6">
        <v>46101.489583333336</v>
      </c>
      <c r="L1143">
        <v>4.83</v>
      </c>
      <c r="M1143" s="6">
        <v>46101.496527777781</v>
      </c>
      <c r="N1143">
        <f t="shared" si="17"/>
        <v>6</v>
      </c>
    </row>
    <row r="1144" spans="2:14" x14ac:dyDescent="0.25">
      <c r="B1144">
        <v>1125</v>
      </c>
      <c r="C1144" t="s">
        <v>31</v>
      </c>
      <c r="D1144">
        <v>1</v>
      </c>
      <c r="E1144" t="s">
        <v>34</v>
      </c>
      <c r="F1144" s="6">
        <v>46100.597222222219</v>
      </c>
      <c r="G1144" s="6">
        <v>46100.607638888891</v>
      </c>
      <c r="H1144" s="6">
        <v>46100.625</v>
      </c>
      <c r="I1144" s="6">
        <v>46100.75</v>
      </c>
      <c r="J1144" s="6">
        <v>46100.756944444445</v>
      </c>
      <c r="K1144" s="6">
        <v>46100.833333333336</v>
      </c>
      <c r="L1144">
        <v>5.67</v>
      </c>
      <c r="M1144" s="6">
        <v>46100.840277777781</v>
      </c>
      <c r="N1144">
        <f t="shared" si="17"/>
        <v>14</v>
      </c>
    </row>
    <row r="1145" spans="2:14" x14ac:dyDescent="0.25">
      <c r="B1145">
        <v>1126</v>
      </c>
      <c r="C1145" t="s">
        <v>33</v>
      </c>
      <c r="D1145">
        <v>1</v>
      </c>
      <c r="E1145" t="s">
        <v>34</v>
      </c>
      <c r="F1145" s="6">
        <v>46101.493055555555</v>
      </c>
      <c r="G1145" s="6">
        <v>46101.5</v>
      </c>
      <c r="H1145" s="6">
        <v>46101.506944444445</v>
      </c>
      <c r="I1145" s="6">
        <v>46101.604166666664</v>
      </c>
      <c r="J1145" s="6">
        <v>46101.611111111109</v>
      </c>
      <c r="K1145" s="6">
        <v>46101.612500000003</v>
      </c>
      <c r="L1145">
        <v>2.87</v>
      </c>
      <c r="M1145" s="6">
        <v>46101.619444444441</v>
      </c>
      <c r="N1145">
        <f t="shared" si="17"/>
        <v>11</v>
      </c>
    </row>
    <row r="1146" spans="2:14" x14ac:dyDescent="0.25">
      <c r="B1146">
        <v>1127</v>
      </c>
      <c r="C1146" t="s">
        <v>31</v>
      </c>
      <c r="D1146">
        <v>1</v>
      </c>
      <c r="E1146" t="s">
        <v>37</v>
      </c>
      <c r="F1146" s="6">
        <v>46101.694444444445</v>
      </c>
      <c r="G1146" s="6">
        <v>46101.708333333336</v>
      </c>
      <c r="H1146" s="6">
        <v>46101.729166666664</v>
      </c>
      <c r="I1146" s="6">
        <v>46101.788194444445</v>
      </c>
      <c r="J1146" s="6">
        <v>46101.819444444445</v>
      </c>
      <c r="K1146" s="6">
        <v>46101.861111111109</v>
      </c>
      <c r="L1146">
        <v>4</v>
      </c>
      <c r="M1146" s="6">
        <v>46101.862500000003</v>
      </c>
      <c r="N1146">
        <f t="shared" si="17"/>
        <v>16</v>
      </c>
    </row>
    <row r="1147" spans="2:14" x14ac:dyDescent="0.25">
      <c r="B1147">
        <v>1128</v>
      </c>
      <c r="C1147" t="s">
        <v>31</v>
      </c>
      <c r="D1147">
        <v>1</v>
      </c>
      <c r="E1147" t="s">
        <v>30</v>
      </c>
      <c r="F1147" s="6">
        <v>46100.65625</v>
      </c>
      <c r="G1147" s="6">
        <v>46100.666666666664</v>
      </c>
      <c r="H1147" s="6">
        <v>46100.677083333336</v>
      </c>
      <c r="I1147" s="6">
        <v>46100.760416666664</v>
      </c>
      <c r="J1147" s="6">
        <v>46100.767361111109</v>
      </c>
      <c r="K1147" s="6">
        <v>46100.770833333336</v>
      </c>
      <c r="L1147">
        <v>2.75</v>
      </c>
      <c r="M1147" s="6">
        <v>46100.772222222222</v>
      </c>
      <c r="N1147">
        <f t="shared" si="17"/>
        <v>15</v>
      </c>
    </row>
    <row r="1148" spans="2:14" x14ac:dyDescent="0.25">
      <c r="B1148">
        <v>1129</v>
      </c>
      <c r="C1148" t="s">
        <v>33</v>
      </c>
      <c r="D1148">
        <v>1</v>
      </c>
      <c r="E1148" t="s">
        <v>34</v>
      </c>
      <c r="F1148" s="6">
        <v>46101.649305555555</v>
      </c>
      <c r="G1148" s="6">
        <v>46101.663194444445</v>
      </c>
      <c r="H1148" s="6">
        <v>46101.694444444445</v>
      </c>
      <c r="I1148" s="6">
        <v>46101.802083333336</v>
      </c>
      <c r="J1148" s="6">
        <v>46101.820833333331</v>
      </c>
      <c r="K1148" s="6">
        <v>46101.821527777778</v>
      </c>
      <c r="L1148">
        <v>4.13</v>
      </c>
      <c r="M1148" s="6">
        <v>46101.822222222225</v>
      </c>
      <c r="N1148">
        <f t="shared" si="17"/>
        <v>15</v>
      </c>
    </row>
    <row r="1149" spans="2:14" x14ac:dyDescent="0.25">
      <c r="B1149">
        <v>1130</v>
      </c>
      <c r="C1149" t="s">
        <v>33</v>
      </c>
      <c r="D1149">
        <v>1</v>
      </c>
      <c r="E1149" t="s">
        <v>30</v>
      </c>
      <c r="F1149" s="6">
        <v>46102.512499999997</v>
      </c>
      <c r="G1149" s="6">
        <v>46102.513888888891</v>
      </c>
      <c r="H1149" s="6">
        <v>46102.524305555555</v>
      </c>
      <c r="I1149" s="6">
        <v>46102.552083333336</v>
      </c>
      <c r="J1149" s="6">
        <v>46102.5625</v>
      </c>
      <c r="K1149" s="6">
        <v>46102.565972222219</v>
      </c>
      <c r="L1149">
        <v>1.28</v>
      </c>
      <c r="M1149" s="6">
        <v>46102.572916666664</v>
      </c>
      <c r="N1149">
        <f t="shared" si="17"/>
        <v>12</v>
      </c>
    </row>
    <row r="1150" spans="2:14" x14ac:dyDescent="0.25">
      <c r="B1150">
        <v>1131</v>
      </c>
      <c r="C1150" t="s">
        <v>31</v>
      </c>
      <c r="D1150">
        <v>1</v>
      </c>
      <c r="E1150" t="s">
        <v>32</v>
      </c>
      <c r="F1150" s="6">
        <v>46101.5625</v>
      </c>
      <c r="G1150" s="6">
        <v>46101.572916666664</v>
      </c>
      <c r="H1150" s="6">
        <v>46101.597222222219</v>
      </c>
      <c r="I1150" s="6">
        <v>46101.634027777778</v>
      </c>
      <c r="J1150" s="6">
        <v>46101.652777777781</v>
      </c>
      <c r="K1150" s="6">
        <v>46101.65625</v>
      </c>
      <c r="L1150">
        <v>2.25</v>
      </c>
      <c r="M1150" s="6">
        <v>46101.663194444445</v>
      </c>
      <c r="N1150">
        <f t="shared" si="17"/>
        <v>13</v>
      </c>
    </row>
    <row r="1151" spans="2:14" x14ac:dyDescent="0.25">
      <c r="B1151">
        <v>1132</v>
      </c>
      <c r="C1151" t="s">
        <v>31</v>
      </c>
      <c r="D1151">
        <v>1</v>
      </c>
      <c r="E1151" t="s">
        <v>35</v>
      </c>
      <c r="F1151" s="6">
        <v>46101.4375</v>
      </c>
      <c r="G1151" s="6">
        <v>46101.444444444445</v>
      </c>
      <c r="H1151" s="6">
        <v>46101.458333333336</v>
      </c>
      <c r="I1151" s="6">
        <v>46101.618055555555</v>
      </c>
      <c r="J1151" s="6">
        <v>46101.625</v>
      </c>
      <c r="K1151" s="6">
        <v>46101.638888888891</v>
      </c>
      <c r="L1151">
        <v>4.83</v>
      </c>
      <c r="M1151" s="6">
        <v>46101.645833333336</v>
      </c>
      <c r="N1151">
        <f t="shared" si="17"/>
        <v>10</v>
      </c>
    </row>
    <row r="1152" spans="2:14" x14ac:dyDescent="0.25">
      <c r="B1152">
        <v>1133</v>
      </c>
      <c r="C1152" t="s">
        <v>33</v>
      </c>
      <c r="D1152">
        <v>1</v>
      </c>
      <c r="E1152" t="s">
        <v>36</v>
      </c>
      <c r="F1152" s="6">
        <v>46101.538194444445</v>
      </c>
      <c r="G1152" s="6">
        <v>46101.548611111109</v>
      </c>
      <c r="H1152" s="6">
        <v>46101.604166666664</v>
      </c>
      <c r="I1152" s="6">
        <v>46101.715277777781</v>
      </c>
      <c r="J1152" s="6">
        <v>46101.729166666664</v>
      </c>
      <c r="K1152" s="6">
        <v>46101.756944444445</v>
      </c>
      <c r="L1152">
        <v>5.25</v>
      </c>
      <c r="M1152" s="6">
        <v>46101.760416666664</v>
      </c>
      <c r="N1152">
        <f t="shared" si="17"/>
        <v>12</v>
      </c>
    </row>
    <row r="1153" spans="2:14" x14ac:dyDescent="0.25">
      <c r="B1153">
        <v>1134</v>
      </c>
      <c r="C1153" t="s">
        <v>29</v>
      </c>
      <c r="D1153">
        <v>1</v>
      </c>
      <c r="E1153" t="s">
        <v>35</v>
      </c>
      <c r="F1153" s="6">
        <v>46104.291666666664</v>
      </c>
      <c r="G1153" s="6">
        <v>46104.315972222219</v>
      </c>
      <c r="H1153" s="6">
        <v>46104.347222222219</v>
      </c>
      <c r="I1153" s="6">
        <v>46104.4375</v>
      </c>
      <c r="J1153" s="6">
        <v>46104.444444444445</v>
      </c>
      <c r="K1153" s="6">
        <v>46104.447916666664</v>
      </c>
      <c r="L1153">
        <v>3.75</v>
      </c>
      <c r="M1153" s="6">
        <v>46104.454861111109</v>
      </c>
      <c r="N1153">
        <f t="shared" si="17"/>
        <v>7</v>
      </c>
    </row>
    <row r="1154" spans="2:14" x14ac:dyDescent="0.25">
      <c r="B1154">
        <v>1135</v>
      </c>
      <c r="C1154" t="s">
        <v>29</v>
      </c>
      <c r="D1154">
        <v>1</v>
      </c>
      <c r="E1154" t="s">
        <v>36</v>
      </c>
      <c r="F1154" s="6">
        <v>46104.463194444441</v>
      </c>
      <c r="G1154" s="6">
        <v>46104.479166666664</v>
      </c>
      <c r="H1154" s="6">
        <v>46104.534722222219</v>
      </c>
      <c r="I1154" s="6">
        <v>46104.552083333336</v>
      </c>
      <c r="J1154" s="6">
        <v>46104.559027777781</v>
      </c>
      <c r="K1154" s="6">
        <v>46104.5625</v>
      </c>
      <c r="L1154">
        <v>2.38</v>
      </c>
      <c r="M1154" s="6">
        <v>46104.569444444445</v>
      </c>
      <c r="N1154">
        <f t="shared" si="17"/>
        <v>11</v>
      </c>
    </row>
    <row r="1155" spans="2:14" x14ac:dyDescent="0.25">
      <c r="B1155">
        <v>1136</v>
      </c>
      <c r="C1155" t="s">
        <v>29</v>
      </c>
      <c r="D1155">
        <v>1</v>
      </c>
      <c r="E1155" t="s">
        <v>32</v>
      </c>
      <c r="F1155" s="6">
        <v>46104.638888888891</v>
      </c>
      <c r="G1155" s="6">
        <v>46104.645833333336</v>
      </c>
      <c r="H1155" s="6">
        <v>46104.680555555555</v>
      </c>
      <c r="I1155" s="6">
        <v>46104.723611111112</v>
      </c>
      <c r="J1155" s="6">
        <v>46104.730555555558</v>
      </c>
      <c r="K1155" s="6">
        <v>46104.732638888891</v>
      </c>
      <c r="L1155">
        <v>2.25</v>
      </c>
      <c r="M1155" s="6">
        <v>46104.739583333336</v>
      </c>
      <c r="N1155">
        <f t="shared" si="17"/>
        <v>15</v>
      </c>
    </row>
    <row r="1156" spans="2:14" x14ac:dyDescent="0.25">
      <c r="B1156">
        <v>1137</v>
      </c>
      <c r="C1156" t="s">
        <v>29</v>
      </c>
      <c r="D1156">
        <v>1</v>
      </c>
      <c r="E1156" t="s">
        <v>30</v>
      </c>
      <c r="F1156" s="6">
        <v>46102.347222222219</v>
      </c>
      <c r="G1156" s="6">
        <v>46102.357638888891</v>
      </c>
      <c r="H1156" s="6">
        <v>46102.363194444442</v>
      </c>
      <c r="I1156" s="6">
        <v>46102.39166666667</v>
      </c>
      <c r="J1156" s="6">
        <v>46102.398611111108</v>
      </c>
      <c r="K1156" s="6">
        <v>46102.402777777781</v>
      </c>
      <c r="L1156">
        <v>1.33</v>
      </c>
      <c r="M1156" s="6">
        <v>46102.409722222219</v>
      </c>
      <c r="N1156">
        <f t="shared" si="17"/>
        <v>8</v>
      </c>
    </row>
    <row r="1157" spans="2:14" x14ac:dyDescent="0.25">
      <c r="B1157">
        <v>1138</v>
      </c>
      <c r="C1157" t="s">
        <v>31</v>
      </c>
      <c r="D1157">
        <v>1</v>
      </c>
      <c r="E1157" t="s">
        <v>34</v>
      </c>
      <c r="F1157" s="6">
        <v>46102.454861111109</v>
      </c>
      <c r="G1157" s="6">
        <v>46102.46875</v>
      </c>
      <c r="H1157" s="6">
        <v>46102.472222222219</v>
      </c>
      <c r="I1157" s="6">
        <v>46102.5</v>
      </c>
      <c r="J1157" s="6">
        <v>46102.506944444445</v>
      </c>
      <c r="K1157" s="6">
        <v>46102.510416666664</v>
      </c>
      <c r="L1157">
        <v>1.33</v>
      </c>
      <c r="M1157" s="6">
        <v>46102.513888888891</v>
      </c>
      <c r="N1157">
        <f t="shared" si="17"/>
        <v>10</v>
      </c>
    </row>
    <row r="1158" spans="2:14" x14ac:dyDescent="0.25">
      <c r="B1158">
        <v>1139</v>
      </c>
      <c r="C1158" t="s">
        <v>33</v>
      </c>
      <c r="D1158">
        <v>1</v>
      </c>
      <c r="E1158" t="s">
        <v>34</v>
      </c>
      <c r="F1158" s="6">
        <v>46104.621527777781</v>
      </c>
      <c r="G1158" s="6">
        <v>46104.625</v>
      </c>
      <c r="H1158" s="6">
        <v>46104.659722222219</v>
      </c>
      <c r="I1158" s="6">
        <v>46104.760416666664</v>
      </c>
      <c r="J1158" s="6">
        <v>46104.767361111109</v>
      </c>
      <c r="K1158" s="6">
        <v>46104.774305555555</v>
      </c>
      <c r="L1158">
        <v>3.67</v>
      </c>
      <c r="M1158" s="6">
        <v>46104.78125</v>
      </c>
      <c r="N1158">
        <f t="shared" si="17"/>
        <v>14</v>
      </c>
    </row>
    <row r="1159" spans="2:14" x14ac:dyDescent="0.25">
      <c r="B1159">
        <v>1140</v>
      </c>
      <c r="C1159" t="s">
        <v>33</v>
      </c>
      <c r="D1159">
        <v>1</v>
      </c>
      <c r="E1159" t="s">
        <v>34</v>
      </c>
      <c r="F1159" s="6">
        <v>46101.895833333336</v>
      </c>
      <c r="G1159" s="6">
        <v>46101.90625</v>
      </c>
      <c r="H1159" s="6">
        <v>46101.916666666664</v>
      </c>
      <c r="I1159" s="6">
        <v>46101.948611111111</v>
      </c>
      <c r="J1159" s="6">
        <v>46101.955555555556</v>
      </c>
      <c r="K1159" s="6">
        <v>46102.263888888891</v>
      </c>
      <c r="L1159">
        <v>8.83</v>
      </c>
      <c r="M1159" s="6">
        <v>46102.270833333336</v>
      </c>
      <c r="N1159">
        <f t="shared" si="17"/>
        <v>21</v>
      </c>
    </row>
    <row r="1160" spans="2:14" x14ac:dyDescent="0.25">
      <c r="B1160">
        <v>1141</v>
      </c>
      <c r="C1160" t="s">
        <v>33</v>
      </c>
      <c r="D1160">
        <v>1</v>
      </c>
      <c r="E1160" t="s">
        <v>35</v>
      </c>
      <c r="F1160" s="6">
        <v>46102.34375</v>
      </c>
      <c r="G1160" s="6">
        <v>46102.364583333336</v>
      </c>
      <c r="H1160" s="6">
        <v>46102.368055555555</v>
      </c>
      <c r="I1160" s="6">
        <v>46102.583333333336</v>
      </c>
      <c r="J1160" s="6">
        <v>46102.590277777781</v>
      </c>
      <c r="K1160" s="6">
        <v>46102.829861111109</v>
      </c>
      <c r="L1160">
        <v>11.67</v>
      </c>
      <c r="M1160" s="6">
        <v>46102.836805555555</v>
      </c>
      <c r="N1160">
        <f t="shared" si="17"/>
        <v>8</v>
      </c>
    </row>
    <row r="1161" spans="2:14" x14ac:dyDescent="0.25">
      <c r="B1161">
        <v>1142</v>
      </c>
      <c r="C1161" t="s">
        <v>31</v>
      </c>
      <c r="D1161">
        <v>1</v>
      </c>
      <c r="E1161" t="s">
        <v>34</v>
      </c>
      <c r="F1161" s="6">
        <v>46102.607638888891</v>
      </c>
      <c r="G1161" s="6">
        <v>46102.618055555555</v>
      </c>
      <c r="H1161" s="6">
        <v>46102.631944444445</v>
      </c>
      <c r="I1161" s="6">
        <v>46102.65625</v>
      </c>
      <c r="J1161" s="6">
        <v>46102.677083333336</v>
      </c>
      <c r="K1161" s="6">
        <v>46102.680555555555</v>
      </c>
      <c r="L1161">
        <v>1.75</v>
      </c>
      <c r="M1161" s="6">
        <v>46102.684027777781</v>
      </c>
      <c r="N1161">
        <f t="shared" si="17"/>
        <v>14</v>
      </c>
    </row>
    <row r="1162" spans="2:14" x14ac:dyDescent="0.25">
      <c r="B1162">
        <v>1143</v>
      </c>
      <c r="C1162" t="s">
        <v>31</v>
      </c>
      <c r="D1162">
        <v>1</v>
      </c>
      <c r="E1162" t="s">
        <v>30</v>
      </c>
      <c r="F1162" s="6">
        <v>46102.704861111109</v>
      </c>
      <c r="G1162" s="6">
        <v>46102.711805555555</v>
      </c>
      <c r="H1162" s="6">
        <v>46102.722222222219</v>
      </c>
      <c r="I1162" s="6">
        <v>46102.753472222219</v>
      </c>
      <c r="J1162" s="6">
        <v>46102.760416666664</v>
      </c>
      <c r="K1162" s="6">
        <v>46102.763888888891</v>
      </c>
      <c r="L1162">
        <v>1.42</v>
      </c>
      <c r="M1162" s="6">
        <v>46102.770833333336</v>
      </c>
      <c r="N1162">
        <f t="shared" si="17"/>
        <v>16</v>
      </c>
    </row>
    <row r="1163" spans="2:14" x14ac:dyDescent="0.25">
      <c r="B1163">
        <v>1144</v>
      </c>
      <c r="C1163" t="s">
        <v>33</v>
      </c>
      <c r="D1163">
        <v>1</v>
      </c>
      <c r="E1163" t="s">
        <v>30</v>
      </c>
      <c r="F1163" s="6">
        <v>46102.474305555559</v>
      </c>
      <c r="G1163" s="6">
        <v>46102.5</v>
      </c>
      <c r="H1163" s="6">
        <v>46102.524305555555</v>
      </c>
      <c r="I1163" s="6">
        <v>46102.583333333336</v>
      </c>
      <c r="J1163" s="6">
        <v>46102.597222222219</v>
      </c>
      <c r="K1163" s="6">
        <v>46102.604166666664</v>
      </c>
      <c r="L1163">
        <v>3.12</v>
      </c>
      <c r="M1163" s="6">
        <v>46102.604861111111</v>
      </c>
      <c r="N1163">
        <f t="shared" si="17"/>
        <v>11</v>
      </c>
    </row>
    <row r="1164" spans="2:14" x14ac:dyDescent="0.25">
      <c r="B1164">
        <v>1145</v>
      </c>
      <c r="C1164" t="s">
        <v>33</v>
      </c>
      <c r="D1164">
        <v>1</v>
      </c>
      <c r="E1164" t="s">
        <v>30</v>
      </c>
      <c r="F1164" s="6">
        <v>46102.621527777781</v>
      </c>
      <c r="G1164" s="6">
        <v>46102.628472222219</v>
      </c>
      <c r="H1164" s="6">
        <v>46102.642361111109</v>
      </c>
      <c r="I1164" s="6">
        <v>46102.708333333336</v>
      </c>
      <c r="J1164" s="6">
        <v>46102.711805555555</v>
      </c>
      <c r="K1164" s="6">
        <v>46102.715277777781</v>
      </c>
      <c r="L1164">
        <v>2.25</v>
      </c>
      <c r="M1164" s="6">
        <v>46102.722222222219</v>
      </c>
      <c r="N1164">
        <f t="shared" si="17"/>
        <v>14</v>
      </c>
    </row>
    <row r="1165" spans="2:14" x14ac:dyDescent="0.25">
      <c r="B1165">
        <v>1146</v>
      </c>
      <c r="C1165" t="s">
        <v>33</v>
      </c>
      <c r="D1165">
        <v>1</v>
      </c>
      <c r="E1165" t="s">
        <v>30</v>
      </c>
      <c r="F1165" s="6">
        <v>46103.652777777781</v>
      </c>
      <c r="G1165" s="6">
        <v>46103.65625</v>
      </c>
      <c r="H1165" s="6">
        <v>46103.659722222219</v>
      </c>
      <c r="I1165" s="6">
        <v>46103.684027777781</v>
      </c>
      <c r="J1165" s="6">
        <v>46103.690972222219</v>
      </c>
      <c r="K1165" s="6">
        <v>46103.694444444445</v>
      </c>
      <c r="L1165">
        <v>1</v>
      </c>
      <c r="M1165" s="6">
        <v>46103.701388888891</v>
      </c>
      <c r="N1165">
        <f t="shared" si="17"/>
        <v>15</v>
      </c>
    </row>
    <row r="1166" spans="2:14" x14ac:dyDescent="0.25">
      <c r="B1166">
        <v>1147</v>
      </c>
      <c r="C1166" t="s">
        <v>31</v>
      </c>
      <c r="D1166">
        <v>1</v>
      </c>
      <c r="E1166" t="s">
        <v>35</v>
      </c>
      <c r="F1166" s="6">
        <v>46103.434027777781</v>
      </c>
      <c r="G1166" s="6">
        <v>46103.440972222219</v>
      </c>
      <c r="H1166" s="6">
        <v>46103.447916666664</v>
      </c>
      <c r="I1166" s="6">
        <v>46103.479166666664</v>
      </c>
      <c r="J1166" s="6">
        <v>46103.482638888891</v>
      </c>
      <c r="K1166" s="6">
        <v>46103.493055555555</v>
      </c>
      <c r="L1166">
        <v>1.42</v>
      </c>
      <c r="M1166" s="6">
        <v>46103.5</v>
      </c>
      <c r="N1166">
        <f t="shared" si="17"/>
        <v>10</v>
      </c>
    </row>
    <row r="1167" spans="2:14" x14ac:dyDescent="0.25">
      <c r="B1167">
        <v>1148</v>
      </c>
      <c r="C1167" t="s">
        <v>33</v>
      </c>
      <c r="D1167">
        <v>1</v>
      </c>
      <c r="E1167" t="s">
        <v>34</v>
      </c>
      <c r="F1167" s="6">
        <v>46102.716666666667</v>
      </c>
      <c r="G1167" s="6">
        <v>46102.71875</v>
      </c>
      <c r="H1167" s="6">
        <v>46102.732638888891</v>
      </c>
      <c r="I1167" s="6">
        <v>46102.756944444445</v>
      </c>
      <c r="J1167" s="6">
        <v>46102.763888888891</v>
      </c>
      <c r="K1167" s="6">
        <v>46102.765277777777</v>
      </c>
      <c r="L1167">
        <v>1.17</v>
      </c>
      <c r="M1167" s="6">
        <v>46102.765972222223</v>
      </c>
      <c r="N1167">
        <f t="shared" si="17"/>
        <v>17</v>
      </c>
    </row>
    <row r="1168" spans="2:14" x14ac:dyDescent="0.25">
      <c r="B1168">
        <v>1149</v>
      </c>
      <c r="C1168" t="s">
        <v>33</v>
      </c>
      <c r="D1168">
        <v>1</v>
      </c>
      <c r="E1168" t="s">
        <v>30</v>
      </c>
      <c r="F1168" s="6">
        <v>46102.868055555555</v>
      </c>
      <c r="G1168" s="6">
        <v>46102.875</v>
      </c>
      <c r="H1168" s="6">
        <v>46102.888888888891</v>
      </c>
      <c r="I1168" s="6">
        <v>46102.927083333336</v>
      </c>
      <c r="J1168" s="6">
        <v>46102.930555555555</v>
      </c>
      <c r="K1168" s="6">
        <v>46102.934027777781</v>
      </c>
      <c r="L1168">
        <v>1.58</v>
      </c>
      <c r="M1168" s="6">
        <v>46102.9375</v>
      </c>
      <c r="N1168">
        <f t="shared" si="17"/>
        <v>20</v>
      </c>
    </row>
    <row r="1169" spans="2:14" x14ac:dyDescent="0.25">
      <c r="B1169">
        <v>1150</v>
      </c>
      <c r="C1169" t="s">
        <v>29</v>
      </c>
      <c r="D1169">
        <v>1</v>
      </c>
      <c r="E1169" t="s">
        <v>30</v>
      </c>
      <c r="F1169" s="6">
        <v>46102.986111111109</v>
      </c>
      <c r="G1169" s="6">
        <v>46102.989583333336</v>
      </c>
      <c r="H1169" s="6">
        <v>46103</v>
      </c>
      <c r="I1169" s="6">
        <v>46103.036111111112</v>
      </c>
      <c r="J1169" s="6">
        <v>46103.036805555559</v>
      </c>
      <c r="K1169" s="6">
        <v>46103.037499999999</v>
      </c>
      <c r="L1169">
        <v>1.23</v>
      </c>
      <c r="M1169" s="6">
        <v>46103.038194444445</v>
      </c>
      <c r="N1169">
        <f t="shared" si="17"/>
        <v>23</v>
      </c>
    </row>
    <row r="1170" spans="2:14" x14ac:dyDescent="0.25">
      <c r="B1170">
        <v>1151</v>
      </c>
      <c r="C1170" t="s">
        <v>29</v>
      </c>
      <c r="D1170">
        <v>1</v>
      </c>
      <c r="E1170" t="s">
        <v>30</v>
      </c>
      <c r="F1170" s="6">
        <v>46103.020833333336</v>
      </c>
      <c r="G1170" s="6">
        <v>46103.024305555555</v>
      </c>
      <c r="H1170" s="6">
        <v>46103.041666666664</v>
      </c>
      <c r="I1170" s="6">
        <v>46103.10833333333</v>
      </c>
      <c r="J1170" s="6">
        <v>46103.125</v>
      </c>
      <c r="K1170" s="6">
        <v>46103.135416666664</v>
      </c>
      <c r="L1170">
        <v>2.75</v>
      </c>
      <c r="M1170" s="6">
        <v>46103.142361111109</v>
      </c>
      <c r="N1170">
        <f t="shared" si="17"/>
        <v>0</v>
      </c>
    </row>
    <row r="1171" spans="2:14" x14ac:dyDescent="0.25">
      <c r="B1171">
        <v>1152</v>
      </c>
      <c r="C1171" t="s">
        <v>33</v>
      </c>
      <c r="D1171">
        <v>1</v>
      </c>
      <c r="E1171" t="s">
        <v>30</v>
      </c>
      <c r="F1171" s="6">
        <v>46103.055555555555</v>
      </c>
      <c r="G1171" s="6">
        <v>46103.0625</v>
      </c>
      <c r="H1171" s="6">
        <v>46103.076388888891</v>
      </c>
      <c r="I1171" s="6">
        <v>46103.145833333336</v>
      </c>
      <c r="J1171" s="6">
        <v>46103.152777777781</v>
      </c>
      <c r="K1171" s="6">
        <v>46103.159722222219</v>
      </c>
      <c r="L1171">
        <v>2.5</v>
      </c>
      <c r="M1171" s="6">
        <v>46103.166666666664</v>
      </c>
      <c r="N1171">
        <f t="shared" si="17"/>
        <v>1</v>
      </c>
    </row>
    <row r="1172" spans="2:14" x14ac:dyDescent="0.25">
      <c r="B1172">
        <v>1153</v>
      </c>
      <c r="C1172" t="s">
        <v>31</v>
      </c>
      <c r="D1172">
        <v>1</v>
      </c>
      <c r="E1172" t="s">
        <v>30</v>
      </c>
      <c r="F1172" s="6">
        <v>46103.416666666664</v>
      </c>
      <c r="G1172" s="6">
        <v>46103.423611111109</v>
      </c>
      <c r="H1172" s="6">
        <v>46103.427083333336</v>
      </c>
      <c r="I1172" s="6">
        <v>46103.444444444445</v>
      </c>
      <c r="J1172" s="6">
        <v>46103.447916666664</v>
      </c>
      <c r="K1172" s="6">
        <v>46103.458333333336</v>
      </c>
      <c r="L1172">
        <v>1</v>
      </c>
      <c r="M1172" s="6">
        <v>46103.465277777781</v>
      </c>
      <c r="N1172">
        <f t="shared" si="17"/>
        <v>10</v>
      </c>
    </row>
    <row r="1173" spans="2:14" x14ac:dyDescent="0.25">
      <c r="B1173">
        <v>1154</v>
      </c>
      <c r="C1173" t="s">
        <v>29</v>
      </c>
      <c r="D1173">
        <v>1</v>
      </c>
      <c r="E1173" t="s">
        <v>35</v>
      </c>
      <c r="F1173" s="6">
        <v>46103.399305555555</v>
      </c>
      <c r="G1173" s="6">
        <v>46103.402777777781</v>
      </c>
      <c r="H1173" s="6">
        <v>46103.416666666664</v>
      </c>
      <c r="I1173" s="6">
        <v>46103.4375</v>
      </c>
      <c r="J1173" s="6">
        <v>46103.444444444445</v>
      </c>
      <c r="K1173" s="6">
        <v>46103.447916666664</v>
      </c>
      <c r="L1173">
        <v>1.17</v>
      </c>
      <c r="M1173" s="6">
        <v>46103.448611111111</v>
      </c>
      <c r="N1173">
        <f t="shared" ref="N1173:N1236" si="18">HOUR(F1173)</f>
        <v>9</v>
      </c>
    </row>
    <row r="1174" spans="2:14" x14ac:dyDescent="0.25">
      <c r="B1174">
        <v>1155</v>
      </c>
      <c r="C1174" t="s">
        <v>33</v>
      </c>
      <c r="D1174">
        <v>1</v>
      </c>
      <c r="E1174" t="s">
        <v>30</v>
      </c>
      <c r="F1174" s="6">
        <v>46103.454861111109</v>
      </c>
      <c r="G1174" s="6">
        <v>46103.475694444445</v>
      </c>
      <c r="H1174" s="6">
        <v>46103.479166666664</v>
      </c>
      <c r="I1174" s="6">
        <v>46103.5</v>
      </c>
      <c r="J1174" s="6">
        <v>46103.506944444445</v>
      </c>
      <c r="K1174" s="6">
        <v>46103.507638888892</v>
      </c>
      <c r="L1174">
        <v>1.27</v>
      </c>
      <c r="M1174" s="6">
        <v>46103.508333333331</v>
      </c>
      <c r="N1174">
        <f t="shared" si="18"/>
        <v>10</v>
      </c>
    </row>
    <row r="1175" spans="2:14" x14ac:dyDescent="0.25">
      <c r="B1175">
        <v>1156</v>
      </c>
      <c r="C1175" t="s">
        <v>31</v>
      </c>
      <c r="D1175">
        <v>1</v>
      </c>
      <c r="E1175" t="s">
        <v>35</v>
      </c>
      <c r="F1175" s="6">
        <v>46103.583333333336</v>
      </c>
      <c r="G1175" s="6">
        <v>46103.590277777781</v>
      </c>
      <c r="H1175" s="6">
        <v>46103.600694444445</v>
      </c>
      <c r="I1175" s="6">
        <v>46103.625</v>
      </c>
      <c r="J1175" s="6">
        <v>46103.631944444445</v>
      </c>
      <c r="K1175" s="6">
        <v>46103.635416666664</v>
      </c>
      <c r="L1175">
        <v>1.25</v>
      </c>
      <c r="M1175" s="6">
        <v>46103.642361111109</v>
      </c>
      <c r="N1175">
        <f t="shared" si="18"/>
        <v>14</v>
      </c>
    </row>
    <row r="1176" spans="2:14" x14ac:dyDescent="0.25">
      <c r="B1176">
        <v>1157</v>
      </c>
      <c r="C1176" t="s">
        <v>33</v>
      </c>
      <c r="D1176">
        <v>1</v>
      </c>
      <c r="E1176" t="s">
        <v>30</v>
      </c>
      <c r="F1176" s="6">
        <v>46103.663194444445</v>
      </c>
      <c r="G1176" s="6">
        <v>46103.677083333336</v>
      </c>
      <c r="H1176" s="6">
        <v>46103.690972222219</v>
      </c>
      <c r="I1176" s="6">
        <v>46103.711805555555</v>
      </c>
      <c r="J1176" s="6">
        <v>46103.71875</v>
      </c>
      <c r="K1176" s="6">
        <v>46103.732638888891</v>
      </c>
      <c r="L1176">
        <v>1.67</v>
      </c>
      <c r="M1176" s="6">
        <v>46103.739583333336</v>
      </c>
      <c r="N1176">
        <f t="shared" si="18"/>
        <v>15</v>
      </c>
    </row>
    <row r="1177" spans="2:14" x14ac:dyDescent="0.25">
      <c r="B1177">
        <v>1158</v>
      </c>
      <c r="C1177" t="s">
        <v>33</v>
      </c>
      <c r="D1177">
        <v>1</v>
      </c>
      <c r="E1177" t="s">
        <v>35</v>
      </c>
      <c r="F1177" s="6">
        <v>46104.329861111109</v>
      </c>
      <c r="G1177" s="6">
        <v>46104.340277777781</v>
      </c>
      <c r="H1177" s="6">
        <v>46104.436111111114</v>
      </c>
      <c r="I1177" s="6">
        <v>46104.436805555553</v>
      </c>
      <c r="J1177" s="6">
        <v>46104.443749999999</v>
      </c>
      <c r="K1177" s="6">
        <v>46104.625</v>
      </c>
      <c r="L1177">
        <v>7.08</v>
      </c>
      <c r="M1177" s="6">
        <v>46104.631944444445</v>
      </c>
      <c r="N1177">
        <f t="shared" si="18"/>
        <v>7</v>
      </c>
    </row>
    <row r="1178" spans="2:14" x14ac:dyDescent="0.25">
      <c r="B1178">
        <v>1159</v>
      </c>
      <c r="C1178" t="s">
        <v>31</v>
      </c>
      <c r="D1178">
        <v>1</v>
      </c>
      <c r="E1178" t="s">
        <v>30</v>
      </c>
      <c r="F1178" s="6">
        <v>46104.288194444445</v>
      </c>
      <c r="G1178" s="6">
        <v>46104.3125</v>
      </c>
      <c r="H1178" s="6">
        <v>46104.329861111109</v>
      </c>
      <c r="I1178" s="6">
        <v>46104.412499999999</v>
      </c>
      <c r="J1178" s="6">
        <v>46104.423611111109</v>
      </c>
      <c r="K1178" s="6">
        <v>46104.4375</v>
      </c>
      <c r="L1178">
        <v>3.58</v>
      </c>
      <c r="M1178" s="6">
        <v>46104.444444444445</v>
      </c>
      <c r="N1178">
        <f t="shared" si="18"/>
        <v>6</v>
      </c>
    </row>
    <row r="1179" spans="2:14" x14ac:dyDescent="0.25">
      <c r="B1179">
        <v>1160</v>
      </c>
      <c r="C1179" t="s">
        <v>31</v>
      </c>
      <c r="D1179">
        <v>1</v>
      </c>
      <c r="E1179" t="s">
        <v>32</v>
      </c>
      <c r="F1179" s="6">
        <v>46104.423611111109</v>
      </c>
      <c r="G1179" s="6">
        <v>46104.430555555555</v>
      </c>
      <c r="H1179" s="6">
        <v>46104.451388888891</v>
      </c>
      <c r="I1179" s="6">
        <v>46104.569444444445</v>
      </c>
      <c r="J1179" s="6">
        <v>46104.576388888891</v>
      </c>
      <c r="K1179" s="6">
        <v>46104.583333333336</v>
      </c>
      <c r="L1179">
        <v>3.83</v>
      </c>
      <c r="M1179" s="6">
        <v>46104.586805555555</v>
      </c>
      <c r="N1179">
        <f t="shared" si="18"/>
        <v>10</v>
      </c>
    </row>
    <row r="1180" spans="2:14" x14ac:dyDescent="0.25">
      <c r="B1180">
        <v>1161</v>
      </c>
      <c r="C1180" t="s">
        <v>29</v>
      </c>
      <c r="D1180">
        <v>1</v>
      </c>
      <c r="E1180" t="s">
        <v>35</v>
      </c>
      <c r="F1180" s="6">
        <v>46103.736111111109</v>
      </c>
      <c r="G1180" s="6">
        <v>46103.746527777781</v>
      </c>
      <c r="H1180" s="6">
        <v>46103.75</v>
      </c>
      <c r="I1180" s="6">
        <v>46103.770833333336</v>
      </c>
      <c r="J1180" s="6">
        <v>46103.774305555555</v>
      </c>
      <c r="K1180" s="6">
        <v>46103.777777777781</v>
      </c>
      <c r="L1180">
        <v>1</v>
      </c>
      <c r="M1180" s="6">
        <v>46103.78125</v>
      </c>
      <c r="N1180">
        <f t="shared" si="18"/>
        <v>17</v>
      </c>
    </row>
    <row r="1181" spans="2:14" x14ac:dyDescent="0.25">
      <c r="B1181">
        <v>1162</v>
      </c>
      <c r="C1181" t="s">
        <v>31</v>
      </c>
      <c r="D1181">
        <v>1</v>
      </c>
      <c r="E1181" t="s">
        <v>30</v>
      </c>
      <c r="F1181" s="6">
        <v>46103.818055555559</v>
      </c>
      <c r="G1181" s="6">
        <v>46103.824999999997</v>
      </c>
      <c r="H1181" s="6">
        <v>46103.833333333336</v>
      </c>
      <c r="I1181" s="6">
        <v>46103.881944444445</v>
      </c>
      <c r="J1181" s="6">
        <v>46103.885416666664</v>
      </c>
      <c r="K1181" s="6">
        <v>46103.895833333336</v>
      </c>
      <c r="L1181">
        <v>1.87</v>
      </c>
      <c r="M1181" s="6">
        <v>46103.899305555555</v>
      </c>
      <c r="N1181">
        <f t="shared" si="18"/>
        <v>19</v>
      </c>
    </row>
    <row r="1182" spans="2:14" x14ac:dyDescent="0.25">
      <c r="B1182">
        <v>1163</v>
      </c>
      <c r="C1182" t="s">
        <v>29</v>
      </c>
      <c r="D1182">
        <v>1</v>
      </c>
      <c r="E1182" t="s">
        <v>35</v>
      </c>
      <c r="F1182" s="6">
        <v>46103.975694444445</v>
      </c>
      <c r="G1182" s="6">
        <v>46103.982638888891</v>
      </c>
      <c r="H1182" s="6">
        <v>46103.989583333336</v>
      </c>
      <c r="I1182" s="6">
        <v>46104.027777777781</v>
      </c>
      <c r="J1182" s="6">
        <v>46104.034722222219</v>
      </c>
      <c r="K1182" s="6">
        <v>46104.038194444445</v>
      </c>
      <c r="L1182">
        <v>1.5</v>
      </c>
      <c r="M1182" s="6">
        <v>46104.045138888891</v>
      </c>
      <c r="N1182">
        <f t="shared" si="18"/>
        <v>23</v>
      </c>
    </row>
    <row r="1183" spans="2:14" x14ac:dyDescent="0.25">
      <c r="B1183">
        <v>1164</v>
      </c>
      <c r="C1183" t="s">
        <v>29</v>
      </c>
      <c r="D1183">
        <v>1</v>
      </c>
      <c r="E1183" t="s">
        <v>30</v>
      </c>
      <c r="F1183" s="6">
        <v>46104.032638888886</v>
      </c>
      <c r="G1183" s="6">
        <v>46104.041666666664</v>
      </c>
      <c r="H1183" s="6">
        <v>46104.052083333336</v>
      </c>
      <c r="I1183" s="6">
        <v>46104.086111111108</v>
      </c>
      <c r="J1183" s="6">
        <v>46104.093055555553</v>
      </c>
      <c r="K1183" s="6">
        <v>46104.097222222219</v>
      </c>
      <c r="L1183">
        <v>1.55</v>
      </c>
      <c r="M1183" s="6">
        <v>46104.098611111112</v>
      </c>
      <c r="N1183">
        <f t="shared" si="18"/>
        <v>0</v>
      </c>
    </row>
    <row r="1184" spans="2:14" x14ac:dyDescent="0.25">
      <c r="B1184">
        <v>1165</v>
      </c>
      <c r="C1184" t="s">
        <v>33</v>
      </c>
      <c r="D1184">
        <v>1</v>
      </c>
      <c r="E1184" t="s">
        <v>36</v>
      </c>
      <c r="F1184" s="6">
        <v>46104.565972222219</v>
      </c>
      <c r="G1184" s="6">
        <v>46104.569444444445</v>
      </c>
      <c r="H1184" s="6">
        <v>46104.583333333336</v>
      </c>
      <c r="I1184" s="6">
        <v>46104.663194444445</v>
      </c>
      <c r="J1184" s="6">
        <v>46104.666666666664</v>
      </c>
      <c r="K1184" s="6">
        <v>46104.704861111109</v>
      </c>
      <c r="L1184">
        <v>3.33</v>
      </c>
      <c r="M1184" s="6">
        <v>46104.708333333336</v>
      </c>
      <c r="N1184">
        <f t="shared" si="18"/>
        <v>13</v>
      </c>
    </row>
    <row r="1185" spans="2:14" x14ac:dyDescent="0.25">
      <c r="B1185">
        <v>1166</v>
      </c>
      <c r="C1185" t="s">
        <v>29</v>
      </c>
      <c r="D1185">
        <v>1</v>
      </c>
      <c r="E1185" t="s">
        <v>36</v>
      </c>
      <c r="F1185" s="6">
        <v>46104.416666666664</v>
      </c>
      <c r="G1185" s="6">
        <v>46104.4375</v>
      </c>
      <c r="H1185" s="6">
        <v>46104.438888888886</v>
      </c>
      <c r="I1185" s="6">
        <v>46104.458333333336</v>
      </c>
      <c r="J1185" s="6">
        <v>46104.465277777781</v>
      </c>
      <c r="K1185" s="6">
        <v>46104.513888888891</v>
      </c>
      <c r="L1185">
        <v>2.33</v>
      </c>
      <c r="M1185" s="6">
        <v>46104.520833333336</v>
      </c>
      <c r="N1185">
        <f t="shared" si="18"/>
        <v>10</v>
      </c>
    </row>
    <row r="1186" spans="2:14" x14ac:dyDescent="0.25">
      <c r="B1186">
        <v>1167</v>
      </c>
      <c r="C1186" t="s">
        <v>31</v>
      </c>
      <c r="D1186">
        <v>1</v>
      </c>
      <c r="E1186" t="s">
        <v>30</v>
      </c>
      <c r="F1186" s="6">
        <v>46104.486111111109</v>
      </c>
      <c r="G1186" s="6">
        <v>46104.5</v>
      </c>
      <c r="H1186" s="6">
        <v>46104.513888888891</v>
      </c>
      <c r="I1186" s="6">
        <v>46104.543055555558</v>
      </c>
      <c r="J1186" s="6">
        <v>46104.55</v>
      </c>
      <c r="K1186" s="6">
        <v>46104.552083333336</v>
      </c>
      <c r="L1186">
        <v>1.58</v>
      </c>
      <c r="M1186" s="6">
        <v>46104.559027777781</v>
      </c>
      <c r="N1186">
        <f t="shared" si="18"/>
        <v>11</v>
      </c>
    </row>
    <row r="1187" spans="2:14" x14ac:dyDescent="0.25">
      <c r="B1187">
        <v>1168</v>
      </c>
      <c r="C1187" t="s">
        <v>33</v>
      </c>
      <c r="D1187">
        <v>1</v>
      </c>
      <c r="E1187" t="s">
        <v>30</v>
      </c>
      <c r="F1187" s="6">
        <v>46104.638888888891</v>
      </c>
      <c r="G1187" s="6">
        <v>46104.645833333336</v>
      </c>
      <c r="H1187" s="6">
        <v>46104.71875</v>
      </c>
      <c r="I1187" s="6">
        <v>46104.739583333336</v>
      </c>
      <c r="J1187" s="6">
        <v>46104.763888888891</v>
      </c>
      <c r="K1187" s="6">
        <v>46104.791666666664</v>
      </c>
      <c r="L1187">
        <v>3.67</v>
      </c>
      <c r="M1187" s="6">
        <v>46104.798611111109</v>
      </c>
      <c r="N1187">
        <f t="shared" si="18"/>
        <v>15</v>
      </c>
    </row>
    <row r="1188" spans="2:14" x14ac:dyDescent="0.25">
      <c r="B1188">
        <v>1169</v>
      </c>
      <c r="C1188" t="s">
        <v>33</v>
      </c>
      <c r="D1188">
        <v>1</v>
      </c>
      <c r="E1188" t="s">
        <v>34</v>
      </c>
      <c r="F1188" s="6">
        <v>46104.677083333336</v>
      </c>
      <c r="G1188" s="6">
        <v>46104.684027777781</v>
      </c>
      <c r="H1188" s="6">
        <v>46104.701388888891</v>
      </c>
      <c r="I1188" s="6">
        <v>46104.722222222219</v>
      </c>
      <c r="J1188" s="6">
        <v>46104.732638888891</v>
      </c>
      <c r="K1188" s="6">
        <v>46104.739583333336</v>
      </c>
      <c r="L1188">
        <v>1.5</v>
      </c>
      <c r="M1188" s="6">
        <v>46104.746527777781</v>
      </c>
      <c r="N1188">
        <f t="shared" si="18"/>
        <v>16</v>
      </c>
    </row>
    <row r="1189" spans="2:14" x14ac:dyDescent="0.25">
      <c r="B1189">
        <v>1170</v>
      </c>
      <c r="C1189" t="s">
        <v>29</v>
      </c>
      <c r="D1189">
        <v>1</v>
      </c>
      <c r="E1189" t="s">
        <v>30</v>
      </c>
      <c r="F1189" s="6">
        <v>46104.774305555555</v>
      </c>
      <c r="G1189" s="6">
        <v>46104.777777777781</v>
      </c>
      <c r="H1189" s="6">
        <v>46104.78125</v>
      </c>
      <c r="I1189" s="6">
        <v>46104.805555555555</v>
      </c>
      <c r="J1189" s="6">
        <v>46104.826388888891</v>
      </c>
      <c r="K1189" s="6">
        <v>46104.833333333336</v>
      </c>
      <c r="L1189">
        <v>1.42</v>
      </c>
      <c r="M1189" s="6">
        <v>46104.836805555555</v>
      </c>
      <c r="N1189">
        <f t="shared" si="18"/>
        <v>18</v>
      </c>
    </row>
    <row r="1190" spans="2:14" x14ac:dyDescent="0.25">
      <c r="B1190">
        <v>1171</v>
      </c>
      <c r="C1190" t="s">
        <v>29</v>
      </c>
      <c r="D1190">
        <v>1</v>
      </c>
      <c r="E1190" t="s">
        <v>32</v>
      </c>
      <c r="F1190" s="6">
        <v>46105.513888888891</v>
      </c>
      <c r="G1190" s="6">
        <v>46105.520833333336</v>
      </c>
      <c r="H1190" s="6">
        <v>46105.541666666664</v>
      </c>
      <c r="I1190" s="6">
        <v>46105.659722222219</v>
      </c>
      <c r="J1190" s="6">
        <v>46105.666666666664</v>
      </c>
      <c r="K1190" s="6">
        <v>46105.670138888891</v>
      </c>
      <c r="L1190">
        <v>3.75</v>
      </c>
      <c r="M1190" s="6">
        <v>46105.67083333333</v>
      </c>
      <c r="N1190">
        <f t="shared" si="18"/>
        <v>12</v>
      </c>
    </row>
    <row r="1191" spans="2:14" x14ac:dyDescent="0.25">
      <c r="B1191">
        <v>1172</v>
      </c>
      <c r="C1191" t="s">
        <v>31</v>
      </c>
      <c r="D1191">
        <v>1</v>
      </c>
      <c r="E1191" t="s">
        <v>30</v>
      </c>
      <c r="F1191" s="6">
        <v>46105.701388888891</v>
      </c>
      <c r="G1191" s="6">
        <v>46105.729166666664</v>
      </c>
      <c r="H1191" s="6">
        <v>46105.763888888891</v>
      </c>
      <c r="I1191" s="6">
        <v>46105.880555555559</v>
      </c>
      <c r="J1191" s="6">
        <v>46105.887499999997</v>
      </c>
      <c r="K1191" s="6">
        <v>46105.888888888891</v>
      </c>
      <c r="L1191">
        <v>4.5</v>
      </c>
      <c r="M1191" s="6">
        <v>46105.892361111109</v>
      </c>
      <c r="N1191">
        <f t="shared" si="18"/>
        <v>16</v>
      </c>
    </row>
    <row r="1192" spans="2:14" x14ac:dyDescent="0.25">
      <c r="B1192">
        <v>1173</v>
      </c>
      <c r="C1192" t="s">
        <v>31</v>
      </c>
      <c r="D1192">
        <v>1</v>
      </c>
      <c r="E1192" t="s">
        <v>32</v>
      </c>
      <c r="F1192" s="6">
        <v>46105.378472222219</v>
      </c>
      <c r="G1192" s="6">
        <v>46105.385416666664</v>
      </c>
      <c r="H1192" s="6">
        <v>46105.395833333336</v>
      </c>
      <c r="I1192" s="6">
        <v>46105.402777777781</v>
      </c>
      <c r="J1192" s="6">
        <v>46105.409722222219</v>
      </c>
      <c r="K1192" s="6">
        <v>46105.416666666664</v>
      </c>
      <c r="L1192">
        <v>0.92</v>
      </c>
      <c r="M1192" s="6">
        <v>46105.423611111109</v>
      </c>
      <c r="N1192">
        <f t="shared" si="18"/>
        <v>9</v>
      </c>
    </row>
    <row r="1193" spans="2:14" x14ac:dyDescent="0.25">
      <c r="B1193">
        <v>1174</v>
      </c>
      <c r="C1193" t="s">
        <v>31</v>
      </c>
      <c r="D1193">
        <v>1</v>
      </c>
      <c r="E1193" t="s">
        <v>35</v>
      </c>
      <c r="F1193" s="6">
        <v>46105.305555555555</v>
      </c>
      <c r="G1193" s="6">
        <v>46105.315972222219</v>
      </c>
      <c r="H1193" s="6">
        <v>46105.333333333336</v>
      </c>
      <c r="I1193" s="6">
        <v>46105.357638888891</v>
      </c>
      <c r="J1193" s="6">
        <v>46105.364583333336</v>
      </c>
      <c r="K1193" s="6">
        <v>46105.375</v>
      </c>
      <c r="L1193">
        <v>1.67</v>
      </c>
      <c r="M1193" s="6">
        <v>46105.381944444445</v>
      </c>
      <c r="N1193">
        <f t="shared" si="18"/>
        <v>7</v>
      </c>
    </row>
    <row r="1194" spans="2:14" x14ac:dyDescent="0.25">
      <c r="B1194">
        <v>1175</v>
      </c>
      <c r="C1194" t="s">
        <v>33</v>
      </c>
      <c r="D1194">
        <v>1</v>
      </c>
      <c r="E1194" t="s">
        <v>30</v>
      </c>
      <c r="F1194" s="6">
        <v>46105.3125</v>
      </c>
      <c r="G1194" s="6">
        <v>46105.319444444445</v>
      </c>
      <c r="H1194" s="6">
        <v>46105.354166666664</v>
      </c>
      <c r="I1194" s="6">
        <v>46105.510416666664</v>
      </c>
      <c r="J1194" s="6">
        <v>46105.513888888891</v>
      </c>
      <c r="K1194" s="6">
        <v>46105.524305555555</v>
      </c>
      <c r="L1194">
        <v>5.08</v>
      </c>
      <c r="M1194" s="6">
        <v>46105.53125</v>
      </c>
      <c r="N1194">
        <f t="shared" si="18"/>
        <v>7</v>
      </c>
    </row>
    <row r="1195" spans="2:14" x14ac:dyDescent="0.25">
      <c r="B1195">
        <v>1176</v>
      </c>
      <c r="C1195" t="s">
        <v>29</v>
      </c>
      <c r="D1195">
        <v>1</v>
      </c>
      <c r="E1195" t="s">
        <v>30</v>
      </c>
      <c r="F1195" s="6">
        <v>46105.575694444444</v>
      </c>
      <c r="G1195" s="6">
        <v>46105.579861111109</v>
      </c>
      <c r="H1195" s="6">
        <v>46105.59375</v>
      </c>
      <c r="I1195" s="6">
        <v>46105.625</v>
      </c>
      <c r="J1195" s="6">
        <v>46105.631944444445</v>
      </c>
      <c r="K1195" s="6">
        <v>46105.638888888891</v>
      </c>
      <c r="L1195">
        <v>1.52</v>
      </c>
      <c r="M1195" s="6">
        <v>46105.645833333336</v>
      </c>
      <c r="N1195">
        <f t="shared" si="18"/>
        <v>13</v>
      </c>
    </row>
    <row r="1196" spans="2:14" x14ac:dyDescent="0.25">
      <c r="B1196">
        <v>1177</v>
      </c>
      <c r="C1196" t="s">
        <v>33</v>
      </c>
      <c r="D1196">
        <v>1</v>
      </c>
      <c r="E1196" t="s">
        <v>34</v>
      </c>
      <c r="F1196" s="6">
        <v>46105.65625</v>
      </c>
      <c r="G1196" s="6">
        <v>46105.659722222219</v>
      </c>
      <c r="H1196" s="6">
        <v>46105.670138888891</v>
      </c>
      <c r="I1196" s="6">
        <v>46105.697916666664</v>
      </c>
      <c r="J1196" s="6">
        <v>46105.704861111109</v>
      </c>
      <c r="K1196" s="6">
        <v>46105.711805555555</v>
      </c>
      <c r="L1196">
        <v>1.33</v>
      </c>
      <c r="M1196" s="6">
        <v>46105.715277777781</v>
      </c>
      <c r="N1196">
        <f t="shared" si="18"/>
        <v>15</v>
      </c>
    </row>
    <row r="1197" spans="2:14" x14ac:dyDescent="0.25">
      <c r="B1197">
        <v>1178</v>
      </c>
      <c r="C1197" t="s">
        <v>31</v>
      </c>
      <c r="D1197">
        <v>1</v>
      </c>
      <c r="E1197" t="s">
        <v>35</v>
      </c>
      <c r="F1197" s="6">
        <v>46105.451388888891</v>
      </c>
      <c r="G1197" s="6">
        <v>46105.454861111109</v>
      </c>
      <c r="H1197" s="6">
        <v>46105.475694444445</v>
      </c>
      <c r="I1197" s="6">
        <v>46105.548611111109</v>
      </c>
      <c r="J1197" s="6">
        <v>46105.552083333336</v>
      </c>
      <c r="K1197" s="6">
        <v>46105.555555555555</v>
      </c>
      <c r="L1197">
        <v>2.5</v>
      </c>
      <c r="M1197" s="6">
        <v>46105.5625</v>
      </c>
      <c r="N1197">
        <f t="shared" si="18"/>
        <v>10</v>
      </c>
    </row>
    <row r="1198" spans="2:14" x14ac:dyDescent="0.25">
      <c r="B1198">
        <v>1179</v>
      </c>
      <c r="C1198" t="s">
        <v>33</v>
      </c>
      <c r="D1198">
        <v>1</v>
      </c>
      <c r="E1198" t="s">
        <v>30</v>
      </c>
      <c r="F1198" s="6">
        <v>46104.756944444445</v>
      </c>
      <c r="G1198" s="6">
        <v>46104.770833333336</v>
      </c>
      <c r="H1198" s="6">
        <v>46104.78125</v>
      </c>
      <c r="I1198" s="6">
        <v>46104.85833333333</v>
      </c>
      <c r="J1198" s="6">
        <v>46104.865277777775</v>
      </c>
      <c r="K1198" s="6">
        <v>46104.9375</v>
      </c>
      <c r="L1198">
        <v>4.33</v>
      </c>
      <c r="M1198" s="6">
        <v>46104.938888888886</v>
      </c>
      <c r="N1198">
        <f t="shared" si="18"/>
        <v>18</v>
      </c>
    </row>
    <row r="1199" spans="2:14" x14ac:dyDescent="0.25">
      <c r="B1199">
        <v>1180</v>
      </c>
      <c r="C1199" t="s">
        <v>29</v>
      </c>
      <c r="D1199">
        <v>1</v>
      </c>
      <c r="E1199" t="s">
        <v>30</v>
      </c>
      <c r="F1199" s="6">
        <v>46105.291666666664</v>
      </c>
      <c r="G1199" s="6">
        <v>46105.298611111109</v>
      </c>
      <c r="H1199" s="6">
        <v>46105.302083333336</v>
      </c>
      <c r="I1199" s="6">
        <v>46105.305555555555</v>
      </c>
      <c r="J1199" s="6">
        <v>46105.309027777781</v>
      </c>
      <c r="K1199" s="6">
        <v>46105.3125</v>
      </c>
      <c r="L1199">
        <v>0.5</v>
      </c>
      <c r="M1199" s="6">
        <v>46105.319444444445</v>
      </c>
      <c r="N1199">
        <f t="shared" si="18"/>
        <v>7</v>
      </c>
    </row>
    <row r="1200" spans="2:14" x14ac:dyDescent="0.25">
      <c r="B1200">
        <v>1181</v>
      </c>
      <c r="C1200" t="s">
        <v>31</v>
      </c>
      <c r="D1200">
        <v>1</v>
      </c>
      <c r="E1200" t="s">
        <v>34</v>
      </c>
      <c r="F1200" s="6">
        <v>46105.291666666664</v>
      </c>
      <c r="G1200" s="6">
        <v>46105.309027777781</v>
      </c>
      <c r="H1200" s="6">
        <v>46105.326388888891</v>
      </c>
      <c r="I1200" s="6">
        <v>46105.451388888891</v>
      </c>
      <c r="J1200" s="6">
        <v>46105.458333333336</v>
      </c>
      <c r="K1200" s="6">
        <v>46105.461805555555</v>
      </c>
      <c r="L1200">
        <v>4.08</v>
      </c>
      <c r="M1200" s="6">
        <v>46105.46875</v>
      </c>
      <c r="N1200">
        <f t="shared" si="18"/>
        <v>7</v>
      </c>
    </row>
    <row r="1201" spans="2:14" x14ac:dyDescent="0.25">
      <c r="B1201">
        <v>1182</v>
      </c>
      <c r="C1201" t="s">
        <v>31</v>
      </c>
      <c r="D1201">
        <v>1</v>
      </c>
      <c r="E1201" t="s">
        <v>34</v>
      </c>
      <c r="F1201" s="6">
        <v>46105.597222222219</v>
      </c>
      <c r="G1201" s="6">
        <v>46105.604166666664</v>
      </c>
      <c r="H1201" s="6">
        <v>46105.625</v>
      </c>
      <c r="I1201" s="6">
        <v>46105.729166666664</v>
      </c>
      <c r="J1201" s="6">
        <v>46105.736111111109</v>
      </c>
      <c r="K1201" s="6">
        <v>46105.739583333336</v>
      </c>
      <c r="L1201">
        <v>3.42</v>
      </c>
      <c r="M1201" s="6">
        <v>46105.746527777781</v>
      </c>
      <c r="N1201">
        <f t="shared" si="18"/>
        <v>14</v>
      </c>
    </row>
    <row r="1202" spans="2:14" x14ac:dyDescent="0.25">
      <c r="B1202">
        <v>1183</v>
      </c>
      <c r="C1202" t="s">
        <v>29</v>
      </c>
      <c r="D1202">
        <v>1</v>
      </c>
      <c r="E1202" t="s">
        <v>32</v>
      </c>
      <c r="F1202" s="6">
        <v>46104.763888888891</v>
      </c>
      <c r="G1202" s="6">
        <v>46104.767361111109</v>
      </c>
      <c r="H1202" s="6">
        <v>46104.770833333336</v>
      </c>
      <c r="I1202" s="6">
        <v>46104.776388888888</v>
      </c>
      <c r="J1202" s="6">
        <v>46104.777777777781</v>
      </c>
      <c r="K1202" s="6">
        <v>46104.779166666667</v>
      </c>
      <c r="L1202">
        <v>0.37</v>
      </c>
      <c r="M1202" s="6">
        <v>46104.78125</v>
      </c>
      <c r="N1202">
        <f t="shared" si="18"/>
        <v>18</v>
      </c>
    </row>
    <row r="1203" spans="2:14" x14ac:dyDescent="0.25">
      <c r="B1203">
        <v>1184</v>
      </c>
      <c r="C1203" t="s">
        <v>29</v>
      </c>
      <c r="D1203">
        <v>1</v>
      </c>
      <c r="E1203" t="s">
        <v>30</v>
      </c>
      <c r="F1203" s="6">
        <v>46104.905555555553</v>
      </c>
      <c r="G1203" s="6">
        <v>46104.913194444445</v>
      </c>
      <c r="H1203" s="6">
        <v>46104.923611111109</v>
      </c>
      <c r="I1203" s="6">
        <v>46104.965277777781</v>
      </c>
      <c r="J1203" s="6">
        <v>46104.96875</v>
      </c>
      <c r="K1203" s="6">
        <v>46104.969444444447</v>
      </c>
      <c r="L1203">
        <v>1.53</v>
      </c>
      <c r="M1203" s="6">
        <v>46104.976388888892</v>
      </c>
      <c r="N1203">
        <f t="shared" si="18"/>
        <v>21</v>
      </c>
    </row>
    <row r="1204" spans="2:14" x14ac:dyDescent="0.25">
      <c r="B1204">
        <v>1185</v>
      </c>
      <c r="C1204" t="s">
        <v>33</v>
      </c>
      <c r="D1204">
        <v>1</v>
      </c>
      <c r="E1204" t="s">
        <v>35</v>
      </c>
      <c r="F1204" s="6">
        <v>46105.652777777781</v>
      </c>
      <c r="G1204" s="6">
        <v>46105.659722222219</v>
      </c>
      <c r="H1204" s="6">
        <v>46105.680555555555</v>
      </c>
      <c r="I1204" s="6">
        <v>46105.770833333336</v>
      </c>
      <c r="J1204" s="6">
        <v>46105.774305555555</v>
      </c>
      <c r="K1204" s="6">
        <v>46105.777777777781</v>
      </c>
      <c r="L1204">
        <v>3</v>
      </c>
      <c r="M1204" s="6">
        <v>46105.77847222222</v>
      </c>
      <c r="N1204">
        <f t="shared" si="18"/>
        <v>15</v>
      </c>
    </row>
    <row r="1205" spans="2:14" x14ac:dyDescent="0.25">
      <c r="B1205">
        <v>1186</v>
      </c>
      <c r="C1205" t="s">
        <v>31</v>
      </c>
      <c r="D1205">
        <v>1</v>
      </c>
      <c r="E1205" t="s">
        <v>34</v>
      </c>
      <c r="F1205" s="6">
        <v>46105.554166666669</v>
      </c>
      <c r="G1205" s="6">
        <v>46105.559027777781</v>
      </c>
      <c r="H1205" s="6">
        <v>46105.565972222219</v>
      </c>
      <c r="I1205" s="6">
        <v>46105.604166666664</v>
      </c>
      <c r="J1205" s="6">
        <v>46105.611111111109</v>
      </c>
      <c r="K1205" s="6">
        <v>46105.614583333336</v>
      </c>
      <c r="L1205">
        <v>1.45</v>
      </c>
      <c r="M1205" s="6">
        <v>46105.621527777781</v>
      </c>
      <c r="N1205">
        <f t="shared" si="18"/>
        <v>13</v>
      </c>
    </row>
    <row r="1206" spans="2:14" x14ac:dyDescent="0.25">
      <c r="B1206">
        <v>1187</v>
      </c>
      <c r="C1206" t="s">
        <v>33</v>
      </c>
      <c r="D1206">
        <v>1</v>
      </c>
      <c r="E1206" t="s">
        <v>30</v>
      </c>
      <c r="F1206" s="6">
        <v>46107.372916666667</v>
      </c>
      <c r="G1206" s="6">
        <v>46107.373611111114</v>
      </c>
      <c r="H1206" s="6">
        <v>46107.375</v>
      </c>
      <c r="I1206" s="6">
        <v>46107.376388888886</v>
      </c>
      <c r="J1206" s="6">
        <v>46107.377083333333</v>
      </c>
      <c r="K1206" s="6">
        <v>46107.385416666664</v>
      </c>
      <c r="L1206">
        <v>0.3</v>
      </c>
      <c r="M1206" s="6">
        <v>46107.392361111109</v>
      </c>
      <c r="N1206">
        <f t="shared" si="18"/>
        <v>8</v>
      </c>
    </row>
    <row r="1207" spans="2:14" x14ac:dyDescent="0.25">
      <c r="B1207">
        <v>1188</v>
      </c>
      <c r="C1207" t="s">
        <v>33</v>
      </c>
      <c r="D1207">
        <v>1</v>
      </c>
      <c r="E1207" t="s">
        <v>35</v>
      </c>
      <c r="F1207" s="6">
        <v>46107.288194444445</v>
      </c>
      <c r="G1207" s="6">
        <v>46107.295138888891</v>
      </c>
      <c r="H1207" s="6">
        <v>46107.298611111109</v>
      </c>
      <c r="I1207" s="6">
        <v>46107.305555555555</v>
      </c>
      <c r="J1207" s="6">
        <v>46107.306250000001</v>
      </c>
      <c r="K1207" s="6">
        <v>46107.3125</v>
      </c>
      <c r="L1207">
        <v>0.57999999999999996</v>
      </c>
      <c r="M1207" s="6">
        <v>46107.313194444447</v>
      </c>
      <c r="N1207">
        <f t="shared" si="18"/>
        <v>6</v>
      </c>
    </row>
    <row r="1208" spans="2:14" x14ac:dyDescent="0.25">
      <c r="B1208">
        <v>1189</v>
      </c>
      <c r="C1208" t="s">
        <v>29</v>
      </c>
      <c r="D1208">
        <v>1</v>
      </c>
      <c r="E1208" t="s">
        <v>32</v>
      </c>
      <c r="F1208" s="6">
        <v>46106.291666666664</v>
      </c>
      <c r="G1208" s="6">
        <v>46106.315972222219</v>
      </c>
      <c r="H1208" s="6">
        <v>46106.350694444445</v>
      </c>
      <c r="I1208" s="6">
        <v>46106.413194444445</v>
      </c>
      <c r="J1208" s="6">
        <v>46106.420138888891</v>
      </c>
      <c r="K1208" s="6">
        <v>46106.423611111109</v>
      </c>
      <c r="L1208">
        <v>3.17</v>
      </c>
      <c r="M1208" s="6">
        <v>46106.430555555555</v>
      </c>
      <c r="N1208">
        <f t="shared" si="18"/>
        <v>7</v>
      </c>
    </row>
    <row r="1209" spans="2:14" x14ac:dyDescent="0.25">
      <c r="B1209">
        <v>1190</v>
      </c>
      <c r="C1209" t="s">
        <v>33</v>
      </c>
      <c r="D1209">
        <v>1</v>
      </c>
      <c r="E1209" t="s">
        <v>36</v>
      </c>
      <c r="F1209" s="6">
        <v>46106.743055555555</v>
      </c>
      <c r="G1209" s="6">
        <v>46106.746527777781</v>
      </c>
      <c r="H1209" s="6">
        <v>46106.75</v>
      </c>
      <c r="I1209" s="6">
        <v>46106.777777777781</v>
      </c>
      <c r="J1209" s="6">
        <v>46106.78125</v>
      </c>
      <c r="K1209" s="6">
        <v>46106.784722222219</v>
      </c>
      <c r="L1209">
        <v>1</v>
      </c>
      <c r="M1209" s="6">
        <v>46106.791666666664</v>
      </c>
      <c r="N1209">
        <f t="shared" si="18"/>
        <v>17</v>
      </c>
    </row>
    <row r="1210" spans="2:14" x14ac:dyDescent="0.25">
      <c r="B1210">
        <v>1191</v>
      </c>
      <c r="C1210" t="s">
        <v>31</v>
      </c>
      <c r="D1210">
        <v>1</v>
      </c>
      <c r="E1210" t="s">
        <v>30</v>
      </c>
      <c r="F1210" s="6">
        <v>46112.376388888886</v>
      </c>
      <c r="G1210" s="6">
        <v>46112.385416666664</v>
      </c>
      <c r="H1210" s="6">
        <v>46112.387499999997</v>
      </c>
      <c r="I1210" s="6">
        <v>46112.390277777777</v>
      </c>
      <c r="J1210" s="6">
        <v>46112.390972222223</v>
      </c>
      <c r="K1210" s="6">
        <v>46112.392361111109</v>
      </c>
      <c r="L1210">
        <v>0.38</v>
      </c>
      <c r="M1210" s="6">
        <v>46112.399305555555</v>
      </c>
      <c r="N1210">
        <f t="shared" si="18"/>
        <v>9</v>
      </c>
    </row>
    <row r="1211" spans="2:14" x14ac:dyDescent="0.25">
      <c r="B1211">
        <v>1192</v>
      </c>
      <c r="C1211" t="s">
        <v>31</v>
      </c>
      <c r="D1211">
        <v>1</v>
      </c>
      <c r="E1211" t="s">
        <v>35</v>
      </c>
      <c r="F1211" s="6">
        <v>46106.291666666664</v>
      </c>
      <c r="G1211" s="6">
        <v>46106.322916666664</v>
      </c>
      <c r="H1211" s="6">
        <v>46106.375</v>
      </c>
      <c r="I1211" s="6">
        <v>46106.451388888891</v>
      </c>
      <c r="J1211" s="6">
        <v>46106.465277777781</v>
      </c>
      <c r="K1211" s="6">
        <v>46106.46875</v>
      </c>
      <c r="L1211">
        <v>4.25</v>
      </c>
      <c r="M1211" s="6">
        <v>46106.469444444447</v>
      </c>
      <c r="N1211">
        <f t="shared" si="18"/>
        <v>7</v>
      </c>
    </row>
    <row r="1212" spans="2:14" x14ac:dyDescent="0.25">
      <c r="B1212">
        <v>1193</v>
      </c>
      <c r="C1212" t="s">
        <v>29</v>
      </c>
      <c r="D1212">
        <v>1</v>
      </c>
      <c r="E1212" t="s">
        <v>32</v>
      </c>
      <c r="F1212" s="6">
        <v>46107.339583333334</v>
      </c>
      <c r="G1212" s="6">
        <v>46107.340277777781</v>
      </c>
      <c r="H1212" s="6">
        <v>46107.34097222222</v>
      </c>
      <c r="I1212" s="6">
        <v>46107.345833333333</v>
      </c>
      <c r="J1212" s="6">
        <v>46107.34652777778</v>
      </c>
      <c r="K1212" s="6">
        <v>46107.347222222219</v>
      </c>
      <c r="L1212">
        <v>0.18</v>
      </c>
      <c r="M1212" s="6">
        <v>46107.347916666666</v>
      </c>
      <c r="N1212">
        <f t="shared" si="18"/>
        <v>8</v>
      </c>
    </row>
    <row r="1213" spans="2:14" x14ac:dyDescent="0.25">
      <c r="B1213">
        <v>1194</v>
      </c>
      <c r="C1213" t="s">
        <v>31</v>
      </c>
      <c r="D1213">
        <v>1</v>
      </c>
      <c r="E1213" t="s">
        <v>34</v>
      </c>
      <c r="F1213" s="6">
        <v>46106.290277777778</v>
      </c>
      <c r="G1213" s="6">
        <v>46106.3125</v>
      </c>
      <c r="H1213" s="6">
        <v>46106.336805555555</v>
      </c>
      <c r="I1213" s="6">
        <v>46106.559027777781</v>
      </c>
      <c r="J1213" s="6">
        <v>46106.5625</v>
      </c>
      <c r="K1213" s="6">
        <v>46106.563194444447</v>
      </c>
      <c r="L1213">
        <v>6.55</v>
      </c>
      <c r="M1213" s="6">
        <v>46106.563888888886</v>
      </c>
      <c r="N1213">
        <f t="shared" si="18"/>
        <v>6</v>
      </c>
    </row>
    <row r="1214" spans="2:14" x14ac:dyDescent="0.25">
      <c r="B1214">
        <v>1195</v>
      </c>
      <c r="C1214" t="s">
        <v>33</v>
      </c>
      <c r="D1214">
        <v>1</v>
      </c>
      <c r="E1214" t="s">
        <v>37</v>
      </c>
      <c r="F1214" s="6">
        <v>46106.475694444445</v>
      </c>
      <c r="G1214" s="6">
        <v>46106.486111111109</v>
      </c>
      <c r="H1214" s="6">
        <v>46106.555555555555</v>
      </c>
      <c r="I1214" s="6">
        <v>46106.6875</v>
      </c>
      <c r="J1214" s="6">
        <v>46106.736111111109</v>
      </c>
      <c r="K1214" s="6">
        <v>46106.753472222219</v>
      </c>
      <c r="L1214">
        <v>6.67</v>
      </c>
      <c r="M1214" s="6">
        <v>46106.754166666666</v>
      </c>
      <c r="N1214">
        <f t="shared" si="18"/>
        <v>11</v>
      </c>
    </row>
    <row r="1215" spans="2:14" x14ac:dyDescent="0.25">
      <c r="B1215">
        <v>1196</v>
      </c>
      <c r="C1215" t="s">
        <v>31</v>
      </c>
      <c r="D1215">
        <v>1</v>
      </c>
      <c r="E1215" t="s">
        <v>32</v>
      </c>
      <c r="F1215" s="6">
        <v>46106.305555555555</v>
      </c>
      <c r="G1215" s="6">
        <v>46106.340277777781</v>
      </c>
      <c r="H1215" s="6">
        <v>46106.361111111109</v>
      </c>
      <c r="I1215" s="6">
        <v>46106.605555555558</v>
      </c>
      <c r="J1215" s="6">
        <v>46106.618055555555</v>
      </c>
      <c r="K1215" s="6">
        <v>46106.6875</v>
      </c>
      <c r="L1215">
        <v>9.17</v>
      </c>
      <c r="M1215" s="6">
        <v>46106.692361111112</v>
      </c>
      <c r="N1215">
        <f t="shared" si="18"/>
        <v>7</v>
      </c>
    </row>
    <row r="1216" spans="2:14" x14ac:dyDescent="0.25">
      <c r="B1216">
        <v>1197</v>
      </c>
      <c r="C1216" t="s">
        <v>29</v>
      </c>
      <c r="D1216">
        <v>1</v>
      </c>
      <c r="E1216" t="s">
        <v>35</v>
      </c>
      <c r="F1216" s="6">
        <v>46106.736111111109</v>
      </c>
      <c r="G1216" s="6">
        <v>46106.75</v>
      </c>
      <c r="H1216" s="6">
        <v>46106.763888888891</v>
      </c>
      <c r="I1216" s="6">
        <v>46106.777777777781</v>
      </c>
      <c r="J1216" s="6">
        <v>46106.784722222219</v>
      </c>
      <c r="K1216" s="6">
        <v>46106.791666666664</v>
      </c>
      <c r="L1216">
        <v>1.33</v>
      </c>
      <c r="M1216" s="6">
        <v>46106.792361111111</v>
      </c>
      <c r="N1216">
        <f t="shared" si="18"/>
        <v>17</v>
      </c>
    </row>
    <row r="1217" spans="2:14" x14ac:dyDescent="0.25">
      <c r="B1217">
        <v>1198</v>
      </c>
      <c r="C1217" t="s">
        <v>29</v>
      </c>
      <c r="D1217">
        <v>1</v>
      </c>
      <c r="E1217" t="s">
        <v>32</v>
      </c>
      <c r="F1217" s="6">
        <v>46105.75</v>
      </c>
      <c r="G1217" s="6">
        <v>46105.756944444445</v>
      </c>
      <c r="H1217" s="6">
        <v>46105.758333333331</v>
      </c>
      <c r="I1217" s="6">
        <v>46105.781944444447</v>
      </c>
      <c r="J1217" s="6">
        <v>46105.784722222219</v>
      </c>
      <c r="K1217" s="6">
        <v>46105.785416666666</v>
      </c>
      <c r="L1217">
        <v>0.85</v>
      </c>
      <c r="M1217" s="6">
        <v>46105.792361111111</v>
      </c>
      <c r="N1217">
        <f t="shared" si="18"/>
        <v>18</v>
      </c>
    </row>
    <row r="1218" spans="2:14" x14ac:dyDescent="0.25">
      <c r="B1218">
        <v>1199</v>
      </c>
      <c r="C1218" t="s">
        <v>31</v>
      </c>
      <c r="D1218">
        <v>1</v>
      </c>
      <c r="E1218" t="s">
        <v>30</v>
      </c>
      <c r="F1218" s="6">
        <v>46105.78125</v>
      </c>
      <c r="G1218" s="6">
        <v>46105.783333333333</v>
      </c>
      <c r="H1218" s="6">
        <v>46105.784722222219</v>
      </c>
      <c r="I1218" s="6">
        <v>46105.805555555555</v>
      </c>
      <c r="J1218" s="6">
        <v>46105.8125</v>
      </c>
      <c r="K1218" s="6">
        <v>46105.819444444445</v>
      </c>
      <c r="L1218">
        <v>0.92</v>
      </c>
      <c r="M1218" s="6">
        <v>46105.826388888891</v>
      </c>
      <c r="N1218">
        <f t="shared" si="18"/>
        <v>18</v>
      </c>
    </row>
    <row r="1219" spans="2:14" x14ac:dyDescent="0.25">
      <c r="B1219">
        <v>1200</v>
      </c>
      <c r="C1219" t="s">
        <v>31</v>
      </c>
      <c r="D1219">
        <v>1</v>
      </c>
      <c r="E1219" t="s">
        <v>35</v>
      </c>
      <c r="F1219" s="6">
        <v>46106.166666666664</v>
      </c>
      <c r="G1219" s="6">
        <v>46106.173611111109</v>
      </c>
      <c r="H1219" s="6">
        <v>46106.180555555555</v>
      </c>
      <c r="I1219" s="6">
        <v>46106.243055555555</v>
      </c>
      <c r="J1219" s="6">
        <v>46106.25</v>
      </c>
      <c r="K1219" s="6">
        <v>46106.256944444445</v>
      </c>
      <c r="L1219">
        <v>2.17</v>
      </c>
      <c r="M1219" s="6">
        <v>46106.263888888891</v>
      </c>
      <c r="N1219">
        <f t="shared" si="18"/>
        <v>4</v>
      </c>
    </row>
    <row r="1220" spans="2:14" x14ac:dyDescent="0.25">
      <c r="B1220">
        <v>1201</v>
      </c>
      <c r="C1220" t="s">
        <v>33</v>
      </c>
      <c r="D1220">
        <v>1</v>
      </c>
      <c r="E1220" t="s">
        <v>30</v>
      </c>
      <c r="F1220" s="6">
        <v>46106.326388888891</v>
      </c>
      <c r="G1220" s="6">
        <v>46106.333333333336</v>
      </c>
      <c r="H1220" s="6">
        <v>46106.354166666664</v>
      </c>
      <c r="I1220" s="6">
        <v>46106.4375</v>
      </c>
      <c r="J1220" s="6">
        <v>46106.440972222219</v>
      </c>
      <c r="K1220" s="6">
        <v>46106.443055555559</v>
      </c>
      <c r="L1220">
        <v>2.8</v>
      </c>
      <c r="M1220" s="6">
        <v>46106.45</v>
      </c>
      <c r="N1220">
        <f t="shared" si="18"/>
        <v>7</v>
      </c>
    </row>
    <row r="1221" spans="2:14" x14ac:dyDescent="0.25">
      <c r="B1221">
        <v>1202</v>
      </c>
      <c r="C1221" t="s">
        <v>31</v>
      </c>
      <c r="D1221">
        <v>1</v>
      </c>
      <c r="E1221" t="s">
        <v>30</v>
      </c>
      <c r="F1221" s="6">
        <v>46106.625</v>
      </c>
      <c r="G1221" s="6">
        <v>46106.638888888891</v>
      </c>
      <c r="H1221" s="6">
        <v>46106.645833333336</v>
      </c>
      <c r="I1221" s="6">
        <v>46106.715277777781</v>
      </c>
      <c r="J1221" s="6">
        <v>46106.71875</v>
      </c>
      <c r="K1221" s="6">
        <v>46106.722222222219</v>
      </c>
      <c r="L1221">
        <v>2.33</v>
      </c>
      <c r="M1221" s="6">
        <v>46106.729166666664</v>
      </c>
      <c r="N1221">
        <f t="shared" si="18"/>
        <v>15</v>
      </c>
    </row>
    <row r="1222" spans="2:14" x14ac:dyDescent="0.25">
      <c r="B1222">
        <v>1203</v>
      </c>
      <c r="C1222" t="s">
        <v>33</v>
      </c>
      <c r="D1222">
        <v>1</v>
      </c>
      <c r="E1222" t="s">
        <v>35</v>
      </c>
      <c r="F1222" s="6">
        <v>46106.489583333336</v>
      </c>
      <c r="G1222" s="6">
        <v>46106.506944444445</v>
      </c>
      <c r="H1222" s="6">
        <v>46106.53125</v>
      </c>
      <c r="I1222" s="6">
        <v>46106.552083333336</v>
      </c>
      <c r="J1222" s="6">
        <v>46106.559027777781</v>
      </c>
      <c r="K1222" s="6">
        <v>46106.569444444445</v>
      </c>
      <c r="L1222">
        <v>1.92</v>
      </c>
      <c r="M1222" s="6">
        <v>46106.572916666664</v>
      </c>
      <c r="N1222">
        <f t="shared" si="18"/>
        <v>11</v>
      </c>
    </row>
    <row r="1223" spans="2:14" x14ac:dyDescent="0.25">
      <c r="B1223">
        <v>1204</v>
      </c>
      <c r="C1223" t="s">
        <v>33</v>
      </c>
      <c r="D1223">
        <v>1</v>
      </c>
      <c r="E1223" t="s">
        <v>30</v>
      </c>
      <c r="F1223" s="6">
        <v>46106.472222222219</v>
      </c>
      <c r="G1223" s="6">
        <v>46106.482638888891</v>
      </c>
      <c r="H1223" s="6">
        <v>46106.497916666667</v>
      </c>
      <c r="I1223" s="6">
        <v>46106.576388888891</v>
      </c>
      <c r="J1223" s="6">
        <v>46106.583333333336</v>
      </c>
      <c r="K1223" s="6">
        <v>46106.59375</v>
      </c>
      <c r="L1223">
        <v>2.92</v>
      </c>
      <c r="M1223" s="6">
        <v>46106.600694444445</v>
      </c>
      <c r="N1223">
        <f t="shared" si="18"/>
        <v>11</v>
      </c>
    </row>
    <row r="1224" spans="2:14" x14ac:dyDescent="0.25">
      <c r="B1224">
        <v>1205</v>
      </c>
      <c r="C1224" t="s">
        <v>33</v>
      </c>
      <c r="D1224">
        <v>1</v>
      </c>
      <c r="E1224" t="s">
        <v>30</v>
      </c>
      <c r="F1224" s="6">
        <v>46106.618055555555</v>
      </c>
      <c r="G1224" s="6">
        <v>46106.625</v>
      </c>
      <c r="H1224" s="6">
        <v>46106.638888888891</v>
      </c>
      <c r="I1224" s="6">
        <v>46106.715277777781</v>
      </c>
      <c r="J1224" s="6">
        <v>46106.722222222219</v>
      </c>
      <c r="K1224" s="6">
        <v>46106.739583333336</v>
      </c>
      <c r="L1224">
        <v>2.92</v>
      </c>
      <c r="M1224" s="6">
        <v>46106.740277777775</v>
      </c>
      <c r="N1224">
        <f t="shared" si="18"/>
        <v>14</v>
      </c>
    </row>
    <row r="1225" spans="2:14" x14ac:dyDescent="0.25">
      <c r="B1225">
        <v>1206</v>
      </c>
      <c r="C1225" t="s">
        <v>33</v>
      </c>
      <c r="D1225">
        <v>1</v>
      </c>
      <c r="E1225" t="s">
        <v>35</v>
      </c>
      <c r="F1225" s="6">
        <v>46107.291666666664</v>
      </c>
      <c r="G1225" s="6">
        <v>46107.302083333336</v>
      </c>
      <c r="H1225" s="6">
        <v>46107.347222222219</v>
      </c>
      <c r="I1225" s="6">
        <v>46107.555555555555</v>
      </c>
      <c r="J1225" s="6">
        <v>46107.569444444445</v>
      </c>
      <c r="K1225" s="6">
        <v>46107.576388888891</v>
      </c>
      <c r="L1225">
        <v>6.83</v>
      </c>
      <c r="M1225" s="6">
        <v>46107.583333333336</v>
      </c>
      <c r="N1225">
        <f t="shared" si="18"/>
        <v>7</v>
      </c>
    </row>
    <row r="1226" spans="2:14" x14ac:dyDescent="0.25">
      <c r="B1226">
        <v>1207</v>
      </c>
      <c r="C1226" t="s">
        <v>29</v>
      </c>
      <c r="D1226">
        <v>1</v>
      </c>
      <c r="E1226" t="s">
        <v>34</v>
      </c>
      <c r="F1226" s="6">
        <v>46107.291666666664</v>
      </c>
      <c r="G1226" s="6">
        <v>46107.315972222219</v>
      </c>
      <c r="H1226" s="6">
        <v>46107.322916666664</v>
      </c>
      <c r="I1226" s="6">
        <v>46107.381944444445</v>
      </c>
      <c r="J1226" s="6">
        <v>46107.388888888891</v>
      </c>
      <c r="K1226" s="6">
        <v>46107.392361111109</v>
      </c>
      <c r="L1226">
        <v>2.42</v>
      </c>
      <c r="M1226" s="6">
        <v>46107.399305555555</v>
      </c>
      <c r="N1226">
        <f t="shared" si="18"/>
        <v>7</v>
      </c>
    </row>
    <row r="1227" spans="2:14" x14ac:dyDescent="0.25">
      <c r="B1227">
        <v>1208</v>
      </c>
      <c r="C1227" t="s">
        <v>33</v>
      </c>
      <c r="D1227">
        <v>1</v>
      </c>
      <c r="E1227" t="s">
        <v>30</v>
      </c>
      <c r="F1227" s="6">
        <v>46107.291666666664</v>
      </c>
      <c r="G1227" s="6">
        <v>46107.3125</v>
      </c>
      <c r="H1227" s="6">
        <v>46107.333333333336</v>
      </c>
      <c r="I1227" s="6">
        <v>46107.354166666664</v>
      </c>
      <c r="J1227" s="6">
        <v>46107.361111111109</v>
      </c>
      <c r="K1227" s="6">
        <v>46107.364583333336</v>
      </c>
      <c r="L1227">
        <v>1.75</v>
      </c>
      <c r="M1227" s="6">
        <v>46107.371527777781</v>
      </c>
      <c r="N1227">
        <f t="shared" si="18"/>
        <v>7</v>
      </c>
    </row>
    <row r="1228" spans="2:14" x14ac:dyDescent="0.25">
      <c r="B1228">
        <v>1209</v>
      </c>
      <c r="C1228" t="s">
        <v>33</v>
      </c>
      <c r="D1228">
        <v>1</v>
      </c>
      <c r="E1228" t="s">
        <v>32</v>
      </c>
      <c r="F1228" s="6">
        <v>46106.631944444445</v>
      </c>
      <c r="G1228" s="6">
        <v>46106.642361111109</v>
      </c>
      <c r="H1228" s="6">
        <v>46106.663194444445</v>
      </c>
      <c r="I1228" s="6">
        <v>46106.694444444445</v>
      </c>
      <c r="J1228" s="6">
        <v>46106.697916666664</v>
      </c>
      <c r="K1228" s="6">
        <v>46106.701388888891</v>
      </c>
      <c r="L1228">
        <v>1.67</v>
      </c>
      <c r="M1228" s="6">
        <v>46106.708333333336</v>
      </c>
      <c r="N1228">
        <f t="shared" si="18"/>
        <v>15</v>
      </c>
    </row>
    <row r="1229" spans="2:14" x14ac:dyDescent="0.25">
      <c r="B1229">
        <v>1210</v>
      </c>
      <c r="C1229" t="s">
        <v>31</v>
      </c>
      <c r="D1229">
        <v>1</v>
      </c>
      <c r="E1229" t="s">
        <v>30</v>
      </c>
      <c r="F1229" s="6">
        <v>46107.708333333336</v>
      </c>
      <c r="G1229" s="6">
        <v>46107.715277777781</v>
      </c>
      <c r="H1229" s="6">
        <v>46107.736111111109</v>
      </c>
      <c r="I1229" s="6">
        <v>46107.774305555555</v>
      </c>
      <c r="J1229" s="6">
        <v>46107.777777777781</v>
      </c>
      <c r="K1229" s="6">
        <v>46107.78125</v>
      </c>
      <c r="L1229">
        <v>1.75</v>
      </c>
      <c r="M1229" s="6">
        <v>46107.784722222219</v>
      </c>
      <c r="N1229">
        <f t="shared" si="18"/>
        <v>17</v>
      </c>
    </row>
    <row r="1230" spans="2:14" x14ac:dyDescent="0.25">
      <c r="B1230">
        <v>1211</v>
      </c>
      <c r="C1230" t="s">
        <v>31</v>
      </c>
      <c r="D1230">
        <v>1</v>
      </c>
      <c r="E1230" t="s">
        <v>34</v>
      </c>
      <c r="F1230" s="6">
        <v>46107.291666666664</v>
      </c>
      <c r="G1230" s="6">
        <v>46107.3125</v>
      </c>
      <c r="H1230" s="6">
        <v>46107.375</v>
      </c>
      <c r="I1230" s="6">
        <v>46107.409722222219</v>
      </c>
      <c r="J1230" s="6">
        <v>46107.413194444445</v>
      </c>
      <c r="K1230" s="6">
        <v>46107.415277777778</v>
      </c>
      <c r="L1230">
        <v>2.97</v>
      </c>
      <c r="M1230" s="6">
        <v>46107.422222222223</v>
      </c>
      <c r="N1230">
        <f t="shared" si="18"/>
        <v>7</v>
      </c>
    </row>
    <row r="1231" spans="2:14" x14ac:dyDescent="0.25">
      <c r="B1231">
        <v>1212</v>
      </c>
      <c r="C1231" t="s">
        <v>33</v>
      </c>
      <c r="D1231">
        <v>1</v>
      </c>
      <c r="E1231" t="s">
        <v>35</v>
      </c>
      <c r="F1231" s="6">
        <v>46107.736111111109</v>
      </c>
      <c r="G1231" s="6">
        <v>46107.743055555555</v>
      </c>
      <c r="H1231" s="6">
        <v>46107.756944444445</v>
      </c>
      <c r="I1231" s="6">
        <v>46107.802083333336</v>
      </c>
      <c r="J1231" s="6">
        <v>46107.805555555555</v>
      </c>
      <c r="K1231" s="6">
        <v>46107.806250000001</v>
      </c>
      <c r="L1231">
        <v>1.68</v>
      </c>
      <c r="M1231" s="6">
        <v>46107.806944444441</v>
      </c>
      <c r="N1231">
        <f t="shared" si="18"/>
        <v>17</v>
      </c>
    </row>
    <row r="1232" spans="2:14" x14ac:dyDescent="0.25">
      <c r="B1232">
        <v>1213</v>
      </c>
      <c r="C1232" t="s">
        <v>29</v>
      </c>
      <c r="D1232">
        <v>1</v>
      </c>
      <c r="E1232" t="s">
        <v>30</v>
      </c>
      <c r="F1232" s="6">
        <v>46106.881944444445</v>
      </c>
      <c r="G1232" s="6">
        <v>46106.892361111109</v>
      </c>
      <c r="H1232" s="6">
        <v>46106.899305555555</v>
      </c>
      <c r="I1232" s="6">
        <v>46106.923611111109</v>
      </c>
      <c r="J1232" s="6">
        <v>46106.927083333336</v>
      </c>
      <c r="K1232" s="6">
        <v>46106.936111111114</v>
      </c>
      <c r="L1232">
        <v>1.3</v>
      </c>
      <c r="M1232" s="6">
        <v>46106.936805555553</v>
      </c>
      <c r="N1232">
        <f t="shared" si="18"/>
        <v>21</v>
      </c>
    </row>
    <row r="1233" spans="2:14" x14ac:dyDescent="0.25">
      <c r="B1233">
        <v>1214</v>
      </c>
      <c r="C1233" t="s">
        <v>29</v>
      </c>
      <c r="D1233">
        <v>1</v>
      </c>
      <c r="E1233" t="s">
        <v>30</v>
      </c>
      <c r="F1233" s="6">
        <v>46106.881944444445</v>
      </c>
      <c r="G1233" s="6">
        <v>46106.902777777781</v>
      </c>
      <c r="H1233" s="6">
        <v>46106.923611111109</v>
      </c>
      <c r="I1233" s="6">
        <v>46106.947916666664</v>
      </c>
      <c r="J1233" s="6">
        <v>46106.954861111109</v>
      </c>
      <c r="K1233" s="6">
        <v>46106.958333333336</v>
      </c>
      <c r="L1233">
        <v>1.83</v>
      </c>
      <c r="M1233" s="6">
        <v>46106.965277777781</v>
      </c>
      <c r="N1233">
        <f t="shared" si="18"/>
        <v>21</v>
      </c>
    </row>
    <row r="1234" spans="2:14" x14ac:dyDescent="0.25">
      <c r="B1234">
        <v>1215</v>
      </c>
      <c r="C1234" t="s">
        <v>33</v>
      </c>
      <c r="D1234">
        <v>1</v>
      </c>
      <c r="E1234" t="s">
        <v>30</v>
      </c>
      <c r="F1234" s="6">
        <v>46106.978472222225</v>
      </c>
      <c r="G1234" s="6">
        <v>46106.979166666664</v>
      </c>
      <c r="H1234" s="6">
        <v>46106.989583333336</v>
      </c>
      <c r="I1234" s="6">
        <v>46106.999305555553</v>
      </c>
      <c r="J1234" s="6">
        <v>46107.006249999999</v>
      </c>
      <c r="K1234" s="6">
        <v>46107.010416666664</v>
      </c>
      <c r="L1234">
        <v>0.77</v>
      </c>
      <c r="M1234" s="6">
        <v>46107.017361111109</v>
      </c>
      <c r="N1234">
        <f t="shared" si="18"/>
        <v>23</v>
      </c>
    </row>
    <row r="1235" spans="2:14" x14ac:dyDescent="0.25">
      <c r="B1235">
        <v>1216</v>
      </c>
      <c r="C1235" t="s">
        <v>31</v>
      </c>
      <c r="D1235">
        <v>1</v>
      </c>
      <c r="E1235" t="s">
        <v>30</v>
      </c>
      <c r="F1235" s="6">
        <v>46107.388888888891</v>
      </c>
      <c r="G1235" s="6">
        <v>46107.409722222219</v>
      </c>
      <c r="H1235" s="6">
        <v>46107.420138888891</v>
      </c>
      <c r="I1235" s="6">
        <v>46107.506944444445</v>
      </c>
      <c r="J1235" s="6">
        <v>46107.513888888891</v>
      </c>
      <c r="K1235" s="6">
        <v>46107.51458333333</v>
      </c>
      <c r="L1235">
        <v>3.02</v>
      </c>
      <c r="M1235" s="6">
        <v>46107.517361111109</v>
      </c>
      <c r="N1235">
        <f t="shared" si="18"/>
        <v>9</v>
      </c>
    </row>
    <row r="1236" spans="2:14" x14ac:dyDescent="0.25">
      <c r="B1236">
        <v>1217</v>
      </c>
      <c r="C1236" t="s">
        <v>31</v>
      </c>
      <c r="D1236">
        <v>1</v>
      </c>
      <c r="E1236" t="s">
        <v>30</v>
      </c>
      <c r="F1236" s="6">
        <v>46107.565972222219</v>
      </c>
      <c r="G1236" s="6">
        <v>46107.572916666664</v>
      </c>
      <c r="H1236" s="6">
        <v>46107.583333333336</v>
      </c>
      <c r="I1236" s="6">
        <v>46107.625</v>
      </c>
      <c r="J1236" s="6">
        <v>46107.631944444445</v>
      </c>
      <c r="K1236" s="6">
        <v>46107.635416666664</v>
      </c>
      <c r="L1236">
        <v>1.67</v>
      </c>
      <c r="M1236" s="6">
        <v>46107.642361111109</v>
      </c>
      <c r="N1236">
        <f t="shared" si="18"/>
        <v>13</v>
      </c>
    </row>
    <row r="1237" spans="2:14" x14ac:dyDescent="0.25">
      <c r="B1237">
        <v>1218</v>
      </c>
      <c r="C1237" t="s">
        <v>29</v>
      </c>
      <c r="D1237">
        <v>1</v>
      </c>
      <c r="E1237" t="s">
        <v>32</v>
      </c>
      <c r="F1237" s="6">
        <v>46107.416666666664</v>
      </c>
      <c r="G1237" s="6">
        <v>46107.427083333336</v>
      </c>
      <c r="H1237" s="6">
        <v>46107.447916666664</v>
      </c>
      <c r="I1237" s="6">
        <v>46107.552777777775</v>
      </c>
      <c r="J1237" s="6">
        <v>46107.55972222222</v>
      </c>
      <c r="K1237" s="6">
        <v>46107.614583333336</v>
      </c>
      <c r="L1237">
        <v>4.75</v>
      </c>
      <c r="M1237" s="6">
        <v>46107.621527777781</v>
      </c>
      <c r="N1237">
        <f t="shared" ref="N1237:N1300" si="19">HOUR(F1237)</f>
        <v>10</v>
      </c>
    </row>
    <row r="1238" spans="2:14" x14ac:dyDescent="0.25">
      <c r="B1238">
        <v>1219</v>
      </c>
      <c r="C1238" t="s">
        <v>29</v>
      </c>
      <c r="D1238">
        <v>1</v>
      </c>
      <c r="E1238" t="s">
        <v>30</v>
      </c>
      <c r="F1238" s="6">
        <v>46107.454861111109</v>
      </c>
      <c r="G1238" s="6">
        <v>46107.465277777781</v>
      </c>
      <c r="H1238" s="6">
        <v>46107.493055555555</v>
      </c>
      <c r="I1238" s="6">
        <v>46107.548611111109</v>
      </c>
      <c r="J1238" s="6">
        <v>46107.555555555555</v>
      </c>
      <c r="K1238" s="6">
        <v>46107.565972222219</v>
      </c>
      <c r="L1238">
        <v>2.67</v>
      </c>
      <c r="M1238" s="6">
        <v>46107.566666666666</v>
      </c>
      <c r="N1238">
        <f t="shared" si="19"/>
        <v>10</v>
      </c>
    </row>
    <row r="1239" spans="2:14" x14ac:dyDescent="0.25">
      <c r="B1239">
        <v>1220</v>
      </c>
      <c r="C1239" t="s">
        <v>31</v>
      </c>
      <c r="D1239">
        <v>1</v>
      </c>
      <c r="E1239" t="s">
        <v>30</v>
      </c>
      <c r="F1239" s="6">
        <v>46107.458333333336</v>
      </c>
      <c r="G1239" s="6">
        <v>46107.46875</v>
      </c>
      <c r="H1239" s="6">
        <v>46107.475694444445</v>
      </c>
      <c r="I1239" s="6">
        <v>46107.659722222219</v>
      </c>
      <c r="J1239" s="6">
        <v>46107.666666666664</v>
      </c>
      <c r="K1239" s="6">
        <v>46107.668055555558</v>
      </c>
      <c r="L1239">
        <v>5.03</v>
      </c>
      <c r="M1239" s="6">
        <v>46107.671527777777</v>
      </c>
      <c r="N1239">
        <f t="shared" si="19"/>
        <v>11</v>
      </c>
    </row>
    <row r="1240" spans="2:14" x14ac:dyDescent="0.25">
      <c r="B1240">
        <v>1221</v>
      </c>
      <c r="C1240" t="s">
        <v>33</v>
      </c>
      <c r="D1240">
        <v>1</v>
      </c>
      <c r="E1240" t="s">
        <v>36</v>
      </c>
      <c r="F1240" s="6">
        <v>46107.625</v>
      </c>
      <c r="G1240" s="6">
        <v>46107.626388888886</v>
      </c>
      <c r="H1240" s="6">
        <v>46107.642361111109</v>
      </c>
      <c r="I1240" s="6">
        <v>46107.659722222219</v>
      </c>
      <c r="J1240" s="6">
        <v>46107.666666666664</v>
      </c>
      <c r="K1240" s="6">
        <v>46107.84375</v>
      </c>
      <c r="L1240">
        <v>5.25</v>
      </c>
      <c r="M1240" s="6">
        <v>46107.850694444445</v>
      </c>
      <c r="N1240">
        <f t="shared" si="19"/>
        <v>15</v>
      </c>
    </row>
    <row r="1241" spans="2:14" x14ac:dyDescent="0.25">
      <c r="B1241">
        <v>1222</v>
      </c>
      <c r="C1241" t="s">
        <v>31</v>
      </c>
      <c r="D1241">
        <v>1</v>
      </c>
      <c r="E1241" t="s">
        <v>32</v>
      </c>
      <c r="F1241" s="6">
        <v>46107.621527777781</v>
      </c>
      <c r="G1241" s="6">
        <v>46107.635416666664</v>
      </c>
      <c r="H1241" s="6">
        <v>46107.649305555555</v>
      </c>
      <c r="I1241" s="6">
        <v>46107.682638888888</v>
      </c>
      <c r="J1241" s="6">
        <v>46107.694444444445</v>
      </c>
      <c r="K1241" s="6">
        <v>46107.701388888891</v>
      </c>
      <c r="L1241">
        <v>1.92</v>
      </c>
      <c r="M1241" s="6">
        <v>46107.708333333336</v>
      </c>
      <c r="N1241">
        <f t="shared" si="19"/>
        <v>14</v>
      </c>
    </row>
    <row r="1242" spans="2:14" x14ac:dyDescent="0.25">
      <c r="B1242">
        <v>1223</v>
      </c>
      <c r="C1242" t="s">
        <v>29</v>
      </c>
      <c r="D1242">
        <v>1</v>
      </c>
      <c r="E1242" t="s">
        <v>30</v>
      </c>
      <c r="F1242" s="6">
        <v>46107.663194444445</v>
      </c>
      <c r="G1242" s="6">
        <v>46107.673611111109</v>
      </c>
      <c r="H1242" s="6">
        <v>46107.690972222219</v>
      </c>
      <c r="I1242" s="6">
        <v>46107.736111111109</v>
      </c>
      <c r="J1242" s="6">
        <v>46107.743055555555</v>
      </c>
      <c r="K1242" s="6">
        <v>46107.746527777781</v>
      </c>
      <c r="L1242">
        <v>2</v>
      </c>
      <c r="M1242" s="6">
        <v>46107.74722222222</v>
      </c>
      <c r="N1242">
        <f t="shared" si="19"/>
        <v>15</v>
      </c>
    </row>
    <row r="1243" spans="2:14" x14ac:dyDescent="0.25">
      <c r="B1243">
        <v>1224</v>
      </c>
      <c r="C1243" t="s">
        <v>29</v>
      </c>
      <c r="D1243">
        <v>1</v>
      </c>
      <c r="E1243" t="s">
        <v>35</v>
      </c>
      <c r="F1243" s="6">
        <v>46107.621527777781</v>
      </c>
      <c r="G1243" s="6">
        <v>46107.638888888891</v>
      </c>
      <c r="H1243" s="6">
        <v>46107.642361111109</v>
      </c>
      <c r="I1243" s="6">
        <v>46107.659722222219</v>
      </c>
      <c r="J1243" s="6">
        <v>46107.666666666664</v>
      </c>
      <c r="K1243" s="6">
        <v>46107.684027777781</v>
      </c>
      <c r="L1243">
        <v>1.5</v>
      </c>
      <c r="M1243" s="6">
        <v>46107.68472222222</v>
      </c>
      <c r="N1243">
        <f t="shared" si="19"/>
        <v>14</v>
      </c>
    </row>
    <row r="1244" spans="2:14" x14ac:dyDescent="0.25">
      <c r="B1244">
        <v>1225</v>
      </c>
      <c r="C1244" t="s">
        <v>29</v>
      </c>
      <c r="D1244">
        <v>1</v>
      </c>
      <c r="E1244" t="s">
        <v>32</v>
      </c>
      <c r="F1244" s="6">
        <v>46112.288194444445</v>
      </c>
      <c r="G1244" s="6">
        <v>46112.309027777781</v>
      </c>
      <c r="H1244" s="6">
        <v>46112.319444444445</v>
      </c>
      <c r="I1244" s="6">
        <v>46112.347222222219</v>
      </c>
      <c r="J1244" s="6">
        <v>46112.350694444445</v>
      </c>
      <c r="K1244" s="6">
        <v>46112.361111111109</v>
      </c>
      <c r="L1244">
        <v>1.75</v>
      </c>
      <c r="M1244" s="6">
        <v>46112.364583333336</v>
      </c>
      <c r="N1244">
        <f t="shared" si="19"/>
        <v>6</v>
      </c>
    </row>
    <row r="1245" spans="2:14" x14ac:dyDescent="0.25">
      <c r="B1245">
        <v>1226</v>
      </c>
      <c r="C1245" t="s">
        <v>31</v>
      </c>
      <c r="D1245">
        <v>1</v>
      </c>
      <c r="E1245" t="s">
        <v>30</v>
      </c>
      <c r="F1245" s="6">
        <v>46108.722222222219</v>
      </c>
      <c r="G1245" s="6">
        <v>46108.736111111109</v>
      </c>
      <c r="H1245" s="6">
        <v>46108.75</v>
      </c>
      <c r="I1245" s="6">
        <v>46108.833333333336</v>
      </c>
      <c r="J1245" s="6">
        <v>46108.836805555555</v>
      </c>
      <c r="K1245" s="6">
        <v>46108.838888888888</v>
      </c>
      <c r="L1245">
        <v>2.8</v>
      </c>
      <c r="M1245" s="6">
        <v>46108.845833333333</v>
      </c>
      <c r="N1245">
        <f t="shared" si="19"/>
        <v>17</v>
      </c>
    </row>
    <row r="1246" spans="2:14" x14ac:dyDescent="0.25">
      <c r="B1246">
        <v>1227</v>
      </c>
      <c r="C1246" t="s">
        <v>33</v>
      </c>
      <c r="D1246">
        <v>1</v>
      </c>
      <c r="E1246" t="s">
        <v>32</v>
      </c>
      <c r="F1246" s="6">
        <v>46108.298611111109</v>
      </c>
      <c r="G1246" s="6">
        <v>46108.326388888891</v>
      </c>
      <c r="H1246" s="6">
        <v>46108.354166666664</v>
      </c>
      <c r="I1246" s="6">
        <v>46108.420138888891</v>
      </c>
      <c r="J1246" s="6">
        <v>46108.423611111109</v>
      </c>
      <c r="K1246" s="6">
        <v>46108.426388888889</v>
      </c>
      <c r="L1246">
        <v>3.07</v>
      </c>
      <c r="M1246" s="6">
        <v>46108.434027777781</v>
      </c>
      <c r="N1246">
        <f t="shared" si="19"/>
        <v>7</v>
      </c>
    </row>
    <row r="1247" spans="2:14" x14ac:dyDescent="0.25">
      <c r="B1247">
        <v>1228</v>
      </c>
      <c r="C1247" t="s">
        <v>33</v>
      </c>
      <c r="D1247">
        <v>1</v>
      </c>
      <c r="E1247" t="s">
        <v>35</v>
      </c>
      <c r="F1247" s="6">
        <v>46108.291666666664</v>
      </c>
      <c r="G1247" s="6">
        <v>46108.3125</v>
      </c>
      <c r="H1247" s="6">
        <v>46108.368055555555</v>
      </c>
      <c r="I1247" s="6">
        <v>46108.506944444445</v>
      </c>
      <c r="J1247" s="6">
        <v>46108.513888888891</v>
      </c>
      <c r="K1247" s="6">
        <v>46108.625</v>
      </c>
      <c r="L1247">
        <v>8</v>
      </c>
      <c r="M1247" s="6">
        <v>46108.627083333333</v>
      </c>
      <c r="N1247">
        <f t="shared" si="19"/>
        <v>7</v>
      </c>
    </row>
    <row r="1248" spans="2:14" x14ac:dyDescent="0.25">
      <c r="B1248">
        <v>1229</v>
      </c>
      <c r="C1248" t="s">
        <v>33</v>
      </c>
      <c r="D1248">
        <v>1</v>
      </c>
      <c r="E1248" t="s">
        <v>30</v>
      </c>
      <c r="F1248" s="6">
        <v>46108.463888888888</v>
      </c>
      <c r="G1248" s="6">
        <v>46108.46875</v>
      </c>
      <c r="H1248" s="6">
        <v>46108.510416666664</v>
      </c>
      <c r="I1248" s="6">
        <v>46108.618055555555</v>
      </c>
      <c r="J1248" s="6">
        <v>46108.642361111109</v>
      </c>
      <c r="K1248" s="6">
        <v>46108.645833333336</v>
      </c>
      <c r="L1248">
        <v>4.37</v>
      </c>
      <c r="M1248" s="6">
        <v>46108.652777777781</v>
      </c>
      <c r="N1248">
        <f t="shared" si="19"/>
        <v>11</v>
      </c>
    </row>
    <row r="1249" spans="2:14" x14ac:dyDescent="0.25">
      <c r="B1249">
        <v>1230</v>
      </c>
      <c r="C1249" t="s">
        <v>31</v>
      </c>
      <c r="D1249">
        <v>1</v>
      </c>
      <c r="E1249" t="s">
        <v>36</v>
      </c>
      <c r="F1249" s="6">
        <v>46108.6875</v>
      </c>
      <c r="G1249" s="6">
        <v>46108.697916666664</v>
      </c>
      <c r="H1249" s="6">
        <v>46108.711805555555</v>
      </c>
      <c r="I1249" s="6">
        <v>46108.729166666664</v>
      </c>
      <c r="J1249" s="6">
        <v>46108.736111111109</v>
      </c>
      <c r="K1249" s="6">
        <v>46108.736805555556</v>
      </c>
      <c r="L1249">
        <v>1.18</v>
      </c>
      <c r="M1249" s="6">
        <v>46108.737500000003</v>
      </c>
      <c r="N1249">
        <f t="shared" si="19"/>
        <v>16</v>
      </c>
    </row>
    <row r="1250" spans="2:14" x14ac:dyDescent="0.25">
      <c r="B1250">
        <v>1231</v>
      </c>
      <c r="C1250" t="s">
        <v>33</v>
      </c>
      <c r="D1250">
        <v>1</v>
      </c>
      <c r="E1250" t="s">
        <v>36</v>
      </c>
      <c r="F1250" s="6">
        <v>46108.75</v>
      </c>
      <c r="G1250" s="6">
        <v>46108.756944444445</v>
      </c>
      <c r="H1250" s="6">
        <v>46108.763888888891</v>
      </c>
      <c r="I1250" s="6">
        <v>46108.777777777781</v>
      </c>
      <c r="J1250" s="6">
        <v>46108.779166666667</v>
      </c>
      <c r="K1250" s="6">
        <v>46108.78125</v>
      </c>
      <c r="L1250">
        <v>0.75</v>
      </c>
      <c r="M1250" s="6">
        <v>46108.791666666664</v>
      </c>
      <c r="N1250">
        <f t="shared" si="19"/>
        <v>18</v>
      </c>
    </row>
    <row r="1251" spans="2:14" x14ac:dyDescent="0.25">
      <c r="B1251">
        <v>1232</v>
      </c>
      <c r="C1251" t="s">
        <v>29</v>
      </c>
      <c r="D1251">
        <v>1</v>
      </c>
      <c r="E1251" t="s">
        <v>30</v>
      </c>
      <c r="F1251" s="6">
        <v>46108.493055555555</v>
      </c>
      <c r="G1251" s="6">
        <v>46108.496527777781</v>
      </c>
      <c r="H1251" s="6">
        <v>46108.5</v>
      </c>
      <c r="I1251" s="6">
        <v>46108.506944444445</v>
      </c>
      <c r="J1251" s="6">
        <v>46108.520833333336</v>
      </c>
      <c r="K1251" s="6">
        <v>46108.524305555555</v>
      </c>
      <c r="L1251">
        <v>0.75</v>
      </c>
      <c r="M1251" s="6">
        <v>46108.53125</v>
      </c>
      <c r="N1251">
        <f t="shared" si="19"/>
        <v>11</v>
      </c>
    </row>
    <row r="1252" spans="2:14" x14ac:dyDescent="0.25">
      <c r="B1252">
        <v>1233</v>
      </c>
      <c r="C1252" t="s">
        <v>31</v>
      </c>
      <c r="D1252">
        <v>1</v>
      </c>
      <c r="E1252" t="s">
        <v>36</v>
      </c>
      <c r="F1252" s="6">
        <v>46108.291666666664</v>
      </c>
      <c r="G1252" s="6">
        <v>46108.34375</v>
      </c>
      <c r="H1252" s="6">
        <v>46108.364583333336</v>
      </c>
      <c r="I1252" s="6">
        <v>46108.465277777781</v>
      </c>
      <c r="J1252" s="6">
        <v>46108.46875</v>
      </c>
      <c r="K1252" s="6">
        <v>46108.470833333333</v>
      </c>
      <c r="L1252">
        <v>4.3</v>
      </c>
      <c r="M1252" s="6">
        <v>46108.477777777778</v>
      </c>
      <c r="N1252">
        <f t="shared" si="19"/>
        <v>7</v>
      </c>
    </row>
    <row r="1253" spans="2:14" x14ac:dyDescent="0.25">
      <c r="B1253">
        <v>1234</v>
      </c>
      <c r="C1253" t="s">
        <v>33</v>
      </c>
      <c r="D1253">
        <v>1</v>
      </c>
      <c r="E1253" t="s">
        <v>35</v>
      </c>
      <c r="F1253" s="6">
        <v>46107.826388888891</v>
      </c>
      <c r="G1253" s="6">
        <v>46107.833333333336</v>
      </c>
      <c r="H1253" s="6">
        <v>46107.847222222219</v>
      </c>
      <c r="I1253" s="6">
        <v>46107.895833333336</v>
      </c>
      <c r="J1253" s="6">
        <v>46107.902777777781</v>
      </c>
      <c r="K1253" s="6">
        <v>46107.916666666664</v>
      </c>
      <c r="L1253">
        <v>2.17</v>
      </c>
      <c r="M1253" s="6">
        <v>46107.923611111109</v>
      </c>
      <c r="N1253">
        <f t="shared" si="19"/>
        <v>19</v>
      </c>
    </row>
    <row r="1254" spans="2:14" x14ac:dyDescent="0.25">
      <c r="B1254">
        <v>1235</v>
      </c>
      <c r="C1254" t="s">
        <v>31</v>
      </c>
      <c r="D1254">
        <v>1</v>
      </c>
      <c r="E1254" t="s">
        <v>34</v>
      </c>
      <c r="F1254" s="6">
        <v>46107.875</v>
      </c>
      <c r="G1254" s="6">
        <v>46107.881944444445</v>
      </c>
      <c r="H1254" s="6">
        <v>46107.930555555555</v>
      </c>
      <c r="I1254" s="6">
        <v>46107.979166666664</v>
      </c>
      <c r="J1254" s="6">
        <v>46107.986111111109</v>
      </c>
      <c r="K1254" s="6">
        <v>46108.081944444442</v>
      </c>
      <c r="L1254">
        <v>4.97</v>
      </c>
      <c r="M1254" s="6">
        <v>46108.084027777775</v>
      </c>
      <c r="N1254">
        <f t="shared" si="19"/>
        <v>21</v>
      </c>
    </row>
    <row r="1255" spans="2:14" x14ac:dyDescent="0.25">
      <c r="B1255">
        <v>1236</v>
      </c>
      <c r="C1255" t="s">
        <v>33</v>
      </c>
      <c r="D1255">
        <v>1</v>
      </c>
      <c r="E1255" t="s">
        <v>34</v>
      </c>
      <c r="F1255" s="6">
        <v>46107.944444444445</v>
      </c>
      <c r="G1255" s="6">
        <v>46107.947916666664</v>
      </c>
      <c r="H1255" s="6">
        <v>46107.954861111109</v>
      </c>
      <c r="I1255" s="6">
        <v>46107.958333333336</v>
      </c>
      <c r="J1255" s="6">
        <v>46107.965277777781</v>
      </c>
      <c r="K1255" s="6">
        <v>46107.970833333333</v>
      </c>
      <c r="L1255">
        <v>0.63</v>
      </c>
      <c r="M1255" s="6">
        <v>46107.972222222219</v>
      </c>
      <c r="N1255">
        <f t="shared" si="19"/>
        <v>22</v>
      </c>
    </row>
    <row r="1256" spans="2:14" x14ac:dyDescent="0.25">
      <c r="B1256">
        <v>1237</v>
      </c>
      <c r="C1256" t="s">
        <v>31</v>
      </c>
      <c r="D1256">
        <v>1</v>
      </c>
      <c r="E1256" t="s">
        <v>30</v>
      </c>
      <c r="F1256" s="6">
        <v>46107.958333333336</v>
      </c>
      <c r="G1256" s="6">
        <v>46107.961805555555</v>
      </c>
      <c r="H1256" s="6">
        <v>46107.965277777781</v>
      </c>
      <c r="I1256" s="6">
        <v>46108.020833333336</v>
      </c>
      <c r="J1256" s="6">
        <v>46108.027777777781</v>
      </c>
      <c r="K1256" s="6">
        <v>46108.03125</v>
      </c>
      <c r="L1256">
        <v>1.75</v>
      </c>
      <c r="M1256" s="6">
        <v>46108.038194444445</v>
      </c>
      <c r="N1256">
        <f t="shared" si="19"/>
        <v>23</v>
      </c>
    </row>
    <row r="1257" spans="2:14" x14ac:dyDescent="0.25">
      <c r="B1257">
        <v>1238</v>
      </c>
      <c r="C1257" t="s">
        <v>31</v>
      </c>
      <c r="D1257">
        <v>1</v>
      </c>
      <c r="E1257" t="s">
        <v>34</v>
      </c>
      <c r="F1257" s="6">
        <v>46108.298611111109</v>
      </c>
      <c r="G1257" s="6">
        <v>46108.333333333336</v>
      </c>
      <c r="H1257" s="6">
        <v>46108.354166666664</v>
      </c>
      <c r="I1257" s="6">
        <v>46108.375694444447</v>
      </c>
      <c r="J1257" s="6">
        <v>46108.381944444445</v>
      </c>
      <c r="K1257" s="6">
        <v>46108.583333333336</v>
      </c>
      <c r="L1257">
        <v>6.83</v>
      </c>
      <c r="M1257" s="6">
        <v>46108.590277777781</v>
      </c>
      <c r="N1257">
        <f t="shared" si="19"/>
        <v>7</v>
      </c>
    </row>
    <row r="1258" spans="2:14" x14ac:dyDescent="0.25">
      <c r="B1258">
        <v>1239</v>
      </c>
      <c r="C1258" t="s">
        <v>33</v>
      </c>
      <c r="D1258">
        <v>1</v>
      </c>
      <c r="E1258" t="s">
        <v>30</v>
      </c>
      <c r="F1258" s="6">
        <v>46108.368055555555</v>
      </c>
      <c r="G1258" s="6">
        <v>46108.371527777781</v>
      </c>
      <c r="H1258" s="6">
        <v>46108.384722222225</v>
      </c>
      <c r="I1258" s="6">
        <v>46108.541666666664</v>
      </c>
      <c r="J1258" s="6">
        <v>46108.545138888891</v>
      </c>
      <c r="K1258" s="6">
        <v>46108.572916666664</v>
      </c>
      <c r="L1258">
        <v>4.92</v>
      </c>
      <c r="M1258" s="6">
        <v>46108.573611111111</v>
      </c>
      <c r="N1258">
        <f t="shared" si="19"/>
        <v>8</v>
      </c>
    </row>
    <row r="1259" spans="2:14" x14ac:dyDescent="0.25">
      <c r="B1259">
        <v>1240</v>
      </c>
      <c r="C1259" t="s">
        <v>33</v>
      </c>
      <c r="D1259">
        <v>1</v>
      </c>
      <c r="E1259" t="s">
        <v>36</v>
      </c>
      <c r="F1259" s="6">
        <v>46108.581250000003</v>
      </c>
      <c r="G1259" s="6">
        <v>46108.59375</v>
      </c>
      <c r="H1259" s="6">
        <v>46108.597222222219</v>
      </c>
      <c r="I1259" s="6">
        <v>46108.659722222219</v>
      </c>
      <c r="J1259" s="6">
        <v>46108.663194444445</v>
      </c>
      <c r="K1259" s="6">
        <v>46108.666666666664</v>
      </c>
      <c r="L1259">
        <v>2.0499999999999998</v>
      </c>
      <c r="M1259" s="6">
        <v>46108.673611111109</v>
      </c>
      <c r="N1259">
        <f t="shared" si="19"/>
        <v>13</v>
      </c>
    </row>
    <row r="1260" spans="2:14" x14ac:dyDescent="0.25">
      <c r="B1260">
        <v>1241</v>
      </c>
      <c r="C1260" t="s">
        <v>29</v>
      </c>
      <c r="D1260">
        <v>1</v>
      </c>
      <c r="E1260" t="s">
        <v>36</v>
      </c>
      <c r="F1260" s="6">
        <v>46108.5</v>
      </c>
      <c r="G1260" s="6">
        <v>46108.506944444445</v>
      </c>
      <c r="H1260" s="6">
        <v>46108.524305555555</v>
      </c>
      <c r="I1260" s="6">
        <v>46108.527777777781</v>
      </c>
      <c r="J1260" s="6">
        <v>46108.53125</v>
      </c>
      <c r="K1260" s="6">
        <v>46108.534722222219</v>
      </c>
      <c r="L1260">
        <v>0.83</v>
      </c>
      <c r="M1260" s="6">
        <v>46108.536111111112</v>
      </c>
      <c r="N1260">
        <f t="shared" si="19"/>
        <v>12</v>
      </c>
    </row>
    <row r="1261" spans="2:14" x14ac:dyDescent="0.25">
      <c r="B1261">
        <v>1242</v>
      </c>
      <c r="C1261" t="s">
        <v>33</v>
      </c>
      <c r="D1261">
        <v>1</v>
      </c>
      <c r="E1261" t="s">
        <v>30</v>
      </c>
      <c r="F1261" s="6">
        <v>46108.635416666664</v>
      </c>
      <c r="G1261" s="6">
        <v>46108.638888888891</v>
      </c>
      <c r="H1261" s="6">
        <v>46108.659722222219</v>
      </c>
      <c r="I1261" s="6">
        <v>46108.694444444445</v>
      </c>
      <c r="J1261" s="6">
        <v>46108.697916666664</v>
      </c>
      <c r="K1261" s="6">
        <v>46108.701388888891</v>
      </c>
      <c r="L1261">
        <v>1.58</v>
      </c>
      <c r="M1261" s="6">
        <v>46108.708333333336</v>
      </c>
      <c r="N1261">
        <f t="shared" si="19"/>
        <v>15</v>
      </c>
    </row>
    <row r="1262" spans="2:14" x14ac:dyDescent="0.25">
      <c r="B1262">
        <v>1243</v>
      </c>
      <c r="C1262" t="s">
        <v>31</v>
      </c>
      <c r="D1262">
        <v>1</v>
      </c>
      <c r="E1262" t="s">
        <v>34</v>
      </c>
      <c r="F1262" s="6">
        <v>46108.64166666667</v>
      </c>
      <c r="G1262" s="6">
        <v>46108.666666666664</v>
      </c>
      <c r="H1262" s="6">
        <v>46108.670138888891</v>
      </c>
      <c r="I1262" s="6">
        <v>46108.70208333333</v>
      </c>
      <c r="J1262" s="6">
        <v>46108.705555555556</v>
      </c>
      <c r="K1262" s="6">
        <v>46108.708333333336</v>
      </c>
      <c r="L1262">
        <v>1.6</v>
      </c>
      <c r="M1262" s="6">
        <v>46108.711805555555</v>
      </c>
      <c r="N1262">
        <f t="shared" si="19"/>
        <v>15</v>
      </c>
    </row>
    <row r="1263" spans="2:14" x14ac:dyDescent="0.25">
      <c r="B1263">
        <v>1244</v>
      </c>
      <c r="C1263" t="s">
        <v>33</v>
      </c>
      <c r="D1263">
        <v>1</v>
      </c>
      <c r="E1263" t="s">
        <v>35</v>
      </c>
      <c r="F1263" s="6">
        <v>46109.65625</v>
      </c>
      <c r="G1263" s="6">
        <v>46109.656944444447</v>
      </c>
      <c r="H1263" s="6">
        <v>46109.663194444445</v>
      </c>
      <c r="I1263" s="6">
        <v>46109.736805555556</v>
      </c>
      <c r="J1263" s="6">
        <v>46109.739583333336</v>
      </c>
      <c r="K1263" s="6">
        <v>46109.740277777775</v>
      </c>
      <c r="L1263">
        <v>2.02</v>
      </c>
      <c r="M1263" s="6">
        <v>46109.740972222222</v>
      </c>
      <c r="N1263">
        <f t="shared" si="19"/>
        <v>15</v>
      </c>
    </row>
    <row r="1264" spans="2:14" x14ac:dyDescent="0.25">
      <c r="B1264">
        <v>1245</v>
      </c>
      <c r="C1264" t="s">
        <v>29</v>
      </c>
      <c r="D1264">
        <v>1</v>
      </c>
      <c r="E1264" t="s">
        <v>35</v>
      </c>
      <c r="F1264" s="6">
        <v>46109.354166666664</v>
      </c>
      <c r="G1264" s="6">
        <v>46109.364583333336</v>
      </c>
      <c r="H1264" s="6">
        <v>46109.385416666664</v>
      </c>
      <c r="I1264" s="6">
        <v>46109.413194444445</v>
      </c>
      <c r="J1264" s="6">
        <v>46109.416666666664</v>
      </c>
      <c r="K1264" s="6">
        <v>46109.420138888891</v>
      </c>
      <c r="L1264">
        <v>1.58</v>
      </c>
      <c r="M1264" s="6">
        <v>46109.427083333336</v>
      </c>
      <c r="N1264">
        <f t="shared" si="19"/>
        <v>8</v>
      </c>
    </row>
    <row r="1265" spans="2:14" x14ac:dyDescent="0.25">
      <c r="B1265">
        <v>1246</v>
      </c>
      <c r="C1265" t="s">
        <v>31</v>
      </c>
      <c r="D1265">
        <v>1</v>
      </c>
      <c r="E1265" t="s">
        <v>30</v>
      </c>
      <c r="F1265" s="6">
        <v>46108.666666666664</v>
      </c>
      <c r="G1265" s="6">
        <v>46108.677083333336</v>
      </c>
      <c r="H1265" s="6">
        <v>46108.694444444445</v>
      </c>
      <c r="I1265" s="6">
        <v>46108.836805555555</v>
      </c>
      <c r="J1265" s="6">
        <v>46108.84375</v>
      </c>
      <c r="K1265" s="6">
        <v>46108.844444444447</v>
      </c>
      <c r="L1265">
        <v>4.2699999999999996</v>
      </c>
      <c r="M1265" s="6">
        <v>46108.851388888892</v>
      </c>
      <c r="N1265">
        <f t="shared" si="19"/>
        <v>16</v>
      </c>
    </row>
    <row r="1266" spans="2:14" x14ac:dyDescent="0.25">
      <c r="B1266">
        <v>1247</v>
      </c>
      <c r="C1266" t="s">
        <v>33</v>
      </c>
      <c r="D1266">
        <v>1</v>
      </c>
      <c r="E1266" t="s">
        <v>30</v>
      </c>
      <c r="F1266" s="6">
        <v>46108.697916666664</v>
      </c>
      <c r="G1266" s="6">
        <v>46108.708333333336</v>
      </c>
      <c r="H1266" s="6">
        <v>46108.743055555555</v>
      </c>
      <c r="I1266" s="6">
        <v>46108.790972222225</v>
      </c>
      <c r="J1266" s="6">
        <v>46108.798611111109</v>
      </c>
      <c r="K1266" s="6">
        <v>46108.802083333336</v>
      </c>
      <c r="L1266">
        <v>2.5</v>
      </c>
      <c r="M1266" s="6">
        <v>46108.805555555555</v>
      </c>
      <c r="N1266">
        <f t="shared" si="19"/>
        <v>16</v>
      </c>
    </row>
    <row r="1267" spans="2:14" x14ac:dyDescent="0.25">
      <c r="B1267">
        <v>1248</v>
      </c>
      <c r="C1267" t="s">
        <v>29</v>
      </c>
      <c r="D1267">
        <v>1</v>
      </c>
      <c r="E1267" t="s">
        <v>32</v>
      </c>
      <c r="F1267" s="6">
        <v>46111.291666666664</v>
      </c>
      <c r="G1267" s="6">
        <v>46111.322222222225</v>
      </c>
      <c r="H1267" s="6">
        <v>46111.340277777781</v>
      </c>
      <c r="I1267" s="6">
        <v>46111.444444444445</v>
      </c>
      <c r="J1267" s="6">
        <v>46111.451388888891</v>
      </c>
      <c r="K1267" s="6">
        <v>46111.458333333336</v>
      </c>
      <c r="L1267">
        <v>4</v>
      </c>
      <c r="M1267" s="6">
        <v>46111.461805555555</v>
      </c>
      <c r="N1267">
        <f t="shared" si="19"/>
        <v>7</v>
      </c>
    </row>
    <row r="1268" spans="2:14" x14ac:dyDescent="0.25">
      <c r="B1268">
        <v>1249</v>
      </c>
      <c r="C1268" t="s">
        <v>29</v>
      </c>
      <c r="D1268">
        <v>1</v>
      </c>
      <c r="E1268" t="s">
        <v>30</v>
      </c>
      <c r="F1268" s="6">
        <v>46108.864583333336</v>
      </c>
      <c r="G1268" s="6">
        <v>46108.871527777781</v>
      </c>
      <c r="H1268" s="6">
        <v>46108.875</v>
      </c>
      <c r="I1268" s="6">
        <v>46108.888888888891</v>
      </c>
      <c r="J1268" s="6">
        <v>46108.892361111109</v>
      </c>
      <c r="K1268" s="6">
        <v>46108.895833333336</v>
      </c>
      <c r="L1268">
        <v>0.75</v>
      </c>
      <c r="M1268" s="6">
        <v>46108.899305555555</v>
      </c>
      <c r="N1268">
        <f t="shared" si="19"/>
        <v>20</v>
      </c>
    </row>
    <row r="1269" spans="2:14" x14ac:dyDescent="0.25">
      <c r="B1269">
        <v>1250</v>
      </c>
      <c r="C1269" t="s">
        <v>31</v>
      </c>
      <c r="D1269">
        <v>1</v>
      </c>
      <c r="E1269" t="s">
        <v>30</v>
      </c>
      <c r="F1269" s="6">
        <v>46108.888888888891</v>
      </c>
      <c r="G1269" s="6">
        <v>46108.899305555555</v>
      </c>
      <c r="H1269" s="6">
        <v>46108.920138888891</v>
      </c>
      <c r="I1269" s="6">
        <v>46108.972222222219</v>
      </c>
      <c r="J1269" s="6">
        <v>46108.982638888891</v>
      </c>
      <c r="K1269" s="6">
        <v>46108.989583333336</v>
      </c>
      <c r="L1269">
        <v>2.42</v>
      </c>
      <c r="M1269" s="6">
        <v>46108.996527777781</v>
      </c>
      <c r="N1269">
        <f t="shared" si="19"/>
        <v>21</v>
      </c>
    </row>
    <row r="1270" spans="2:14" x14ac:dyDescent="0.25">
      <c r="B1270">
        <v>1251</v>
      </c>
      <c r="C1270" t="s">
        <v>29</v>
      </c>
      <c r="D1270">
        <v>1</v>
      </c>
      <c r="E1270" t="s">
        <v>30</v>
      </c>
      <c r="F1270" s="6">
        <v>46108.958333333336</v>
      </c>
      <c r="G1270" s="6">
        <v>46108.965277777781</v>
      </c>
      <c r="H1270" s="6">
        <v>46108.979166666664</v>
      </c>
      <c r="I1270" s="6">
        <v>46108.989583333336</v>
      </c>
      <c r="J1270" s="6">
        <v>46108.991666666669</v>
      </c>
      <c r="K1270" s="6">
        <v>46108.992361111108</v>
      </c>
      <c r="L1270">
        <v>0.82</v>
      </c>
      <c r="M1270" s="6">
        <v>46108.993055555555</v>
      </c>
      <c r="N1270">
        <f t="shared" si="19"/>
        <v>23</v>
      </c>
    </row>
    <row r="1271" spans="2:14" x14ac:dyDescent="0.25">
      <c r="B1271">
        <v>1252</v>
      </c>
      <c r="C1271" t="s">
        <v>29</v>
      </c>
      <c r="D1271">
        <v>1</v>
      </c>
      <c r="E1271" t="s">
        <v>30</v>
      </c>
      <c r="F1271" s="6">
        <v>46108.951388888891</v>
      </c>
      <c r="G1271" s="6">
        <v>46108.958333333336</v>
      </c>
      <c r="H1271" s="6">
        <v>46108.96875</v>
      </c>
      <c r="I1271" s="6">
        <v>46109.03125</v>
      </c>
      <c r="J1271" s="6">
        <v>46109.038194444445</v>
      </c>
      <c r="K1271" s="6">
        <v>46109.040972222225</v>
      </c>
      <c r="L1271">
        <v>2.15</v>
      </c>
      <c r="M1271" s="6">
        <v>46109.04791666667</v>
      </c>
      <c r="N1271">
        <f t="shared" si="19"/>
        <v>22</v>
      </c>
    </row>
    <row r="1272" spans="2:14" x14ac:dyDescent="0.25">
      <c r="B1272">
        <v>1253</v>
      </c>
      <c r="C1272" t="s">
        <v>29</v>
      </c>
      <c r="D1272">
        <v>1</v>
      </c>
      <c r="E1272" t="s">
        <v>30</v>
      </c>
      <c r="F1272" s="6">
        <v>46109.097222222219</v>
      </c>
      <c r="G1272" s="6">
        <v>46109.100694444445</v>
      </c>
      <c r="H1272" s="6">
        <v>46109.104166666664</v>
      </c>
      <c r="I1272" s="6">
        <v>46109.124305555553</v>
      </c>
      <c r="J1272" s="6">
        <v>46109.131249999999</v>
      </c>
      <c r="K1272" s="6">
        <v>46109.131944444445</v>
      </c>
      <c r="L1272">
        <v>0.83</v>
      </c>
      <c r="M1272" s="6">
        <v>46109.132638888892</v>
      </c>
      <c r="N1272">
        <f t="shared" si="19"/>
        <v>2</v>
      </c>
    </row>
    <row r="1273" spans="2:14" x14ac:dyDescent="0.25">
      <c r="B1273">
        <v>1254</v>
      </c>
      <c r="C1273" t="s">
        <v>33</v>
      </c>
      <c r="D1273">
        <v>1</v>
      </c>
      <c r="E1273" t="s">
        <v>30</v>
      </c>
      <c r="F1273" s="6">
        <v>46109.059027777781</v>
      </c>
      <c r="G1273" s="6">
        <v>46109.069444444445</v>
      </c>
      <c r="H1273" s="6">
        <v>46109.076388888891</v>
      </c>
      <c r="I1273" s="6">
        <v>46109.083333333336</v>
      </c>
      <c r="J1273" s="6">
        <v>46109.090277777781</v>
      </c>
      <c r="K1273" s="6">
        <v>46109.09375</v>
      </c>
      <c r="L1273">
        <v>0.83</v>
      </c>
      <c r="M1273" s="6">
        <v>46109.100694444445</v>
      </c>
      <c r="N1273">
        <f t="shared" si="19"/>
        <v>1</v>
      </c>
    </row>
    <row r="1274" spans="2:14" x14ac:dyDescent="0.25">
      <c r="B1274">
        <v>1255</v>
      </c>
      <c r="C1274" t="s">
        <v>31</v>
      </c>
      <c r="D1274">
        <v>1</v>
      </c>
      <c r="E1274" t="s">
        <v>30</v>
      </c>
      <c r="F1274" s="6">
        <v>46109.423611111109</v>
      </c>
      <c r="G1274" s="6">
        <v>46109.430555555555</v>
      </c>
      <c r="H1274" s="6">
        <v>46109.454861111109</v>
      </c>
      <c r="I1274" s="6">
        <v>46109.525694444441</v>
      </c>
      <c r="J1274" s="6">
        <v>46109.532638888886</v>
      </c>
      <c r="K1274" s="6">
        <v>46109.59375</v>
      </c>
      <c r="L1274">
        <v>4.08</v>
      </c>
      <c r="M1274" s="6">
        <v>46109.600694444445</v>
      </c>
      <c r="N1274">
        <f t="shared" si="19"/>
        <v>10</v>
      </c>
    </row>
    <row r="1275" spans="2:14" x14ac:dyDescent="0.25">
      <c r="B1275">
        <v>1256</v>
      </c>
      <c r="C1275" t="s">
        <v>29</v>
      </c>
      <c r="D1275">
        <v>1</v>
      </c>
      <c r="E1275" t="s">
        <v>30</v>
      </c>
      <c r="F1275" s="6">
        <v>46109.6875</v>
      </c>
      <c r="G1275" s="6">
        <v>46109.694444444445</v>
      </c>
      <c r="H1275" s="6">
        <v>46109.704861111109</v>
      </c>
      <c r="I1275" s="6">
        <v>46109.763194444444</v>
      </c>
      <c r="J1275" s="6">
        <v>46109.770138888889</v>
      </c>
      <c r="K1275" s="6">
        <v>46109.811805555553</v>
      </c>
      <c r="L1275">
        <v>2.98</v>
      </c>
      <c r="M1275" s="6">
        <v>46109.818749999999</v>
      </c>
      <c r="N1275">
        <f t="shared" si="19"/>
        <v>16</v>
      </c>
    </row>
    <row r="1276" spans="2:14" x14ac:dyDescent="0.25">
      <c r="B1276">
        <v>1257</v>
      </c>
      <c r="C1276" t="s">
        <v>31</v>
      </c>
      <c r="D1276">
        <v>1</v>
      </c>
      <c r="E1276" t="s">
        <v>30</v>
      </c>
      <c r="F1276" s="6">
        <v>46109.788194444445</v>
      </c>
      <c r="G1276" s="6">
        <v>46109.788888888892</v>
      </c>
      <c r="H1276" s="6">
        <v>46109.789583333331</v>
      </c>
      <c r="I1276" s="6">
        <v>46109.809027777781</v>
      </c>
      <c r="J1276" s="6">
        <v>46110.451388888891</v>
      </c>
      <c r="K1276" s="6">
        <v>46110.6875</v>
      </c>
      <c r="L1276">
        <v>21.58</v>
      </c>
      <c r="M1276" s="6">
        <v>46110.688194444447</v>
      </c>
      <c r="N1276">
        <f t="shared" si="19"/>
        <v>18</v>
      </c>
    </row>
    <row r="1277" spans="2:14" x14ac:dyDescent="0.25">
      <c r="B1277">
        <v>1258</v>
      </c>
      <c r="C1277" t="s">
        <v>29</v>
      </c>
      <c r="D1277">
        <v>1</v>
      </c>
      <c r="E1277" t="s">
        <v>30</v>
      </c>
      <c r="F1277" s="6">
        <v>46109.895833333336</v>
      </c>
      <c r="G1277" s="6">
        <v>46109.899305555555</v>
      </c>
      <c r="H1277" s="6">
        <v>46109.902777777781</v>
      </c>
      <c r="I1277" s="6">
        <v>46109.923611111109</v>
      </c>
      <c r="J1277" s="6">
        <v>46109.930555555555</v>
      </c>
      <c r="K1277" s="6">
        <v>46109.944444444445</v>
      </c>
      <c r="L1277">
        <v>1.17</v>
      </c>
      <c r="M1277" s="6">
        <v>46109.947916666664</v>
      </c>
      <c r="N1277">
        <f t="shared" si="19"/>
        <v>21</v>
      </c>
    </row>
    <row r="1278" spans="2:14" x14ac:dyDescent="0.25">
      <c r="B1278">
        <v>1259</v>
      </c>
      <c r="C1278" t="s">
        <v>29</v>
      </c>
      <c r="D1278">
        <v>1</v>
      </c>
      <c r="E1278" t="s">
        <v>35</v>
      </c>
      <c r="F1278" s="6">
        <v>46110.125</v>
      </c>
      <c r="G1278" s="6">
        <v>46110.131944444445</v>
      </c>
      <c r="H1278" s="6">
        <v>46110.138888888891</v>
      </c>
      <c r="I1278" s="6">
        <v>46110.152777777781</v>
      </c>
      <c r="J1278" s="6">
        <v>46110.159722222219</v>
      </c>
      <c r="K1278" s="6">
        <v>46110.166666666664</v>
      </c>
      <c r="L1278">
        <v>1</v>
      </c>
      <c r="M1278" s="6">
        <v>46110.173611111109</v>
      </c>
      <c r="N1278">
        <f t="shared" si="19"/>
        <v>3</v>
      </c>
    </row>
    <row r="1279" spans="2:14" x14ac:dyDescent="0.25">
      <c r="B1279">
        <v>1260</v>
      </c>
      <c r="C1279" t="s">
        <v>31</v>
      </c>
      <c r="D1279">
        <v>1</v>
      </c>
      <c r="E1279" t="s">
        <v>30</v>
      </c>
      <c r="F1279" s="6">
        <v>46110.371527777781</v>
      </c>
      <c r="G1279" s="6">
        <v>46110.375</v>
      </c>
      <c r="H1279" s="6">
        <v>46110.375694444447</v>
      </c>
      <c r="I1279" s="6">
        <v>46110.376388888886</v>
      </c>
      <c r="J1279" s="6">
        <v>46110.458333333336</v>
      </c>
      <c r="K1279" s="6">
        <v>46110.472222222219</v>
      </c>
      <c r="L1279">
        <v>2.42</v>
      </c>
      <c r="M1279" s="6">
        <v>46110.475694444445</v>
      </c>
      <c r="N1279">
        <f t="shared" si="19"/>
        <v>8</v>
      </c>
    </row>
    <row r="1280" spans="2:14" x14ac:dyDescent="0.25">
      <c r="B1280">
        <v>1261</v>
      </c>
      <c r="C1280" t="s">
        <v>33</v>
      </c>
      <c r="D1280">
        <v>1</v>
      </c>
      <c r="E1280" t="s">
        <v>35</v>
      </c>
      <c r="F1280" s="6">
        <v>46111.291666666664</v>
      </c>
      <c r="G1280" s="6">
        <v>46111.326388888891</v>
      </c>
      <c r="H1280" s="6">
        <v>46111.34375</v>
      </c>
      <c r="I1280" s="6">
        <v>46111.368055555555</v>
      </c>
      <c r="J1280" s="6">
        <v>46111.375</v>
      </c>
      <c r="K1280" s="6">
        <v>46111.381944444445</v>
      </c>
      <c r="L1280">
        <v>2.17</v>
      </c>
      <c r="M1280" s="6">
        <v>46111.382638888892</v>
      </c>
      <c r="N1280">
        <f t="shared" si="19"/>
        <v>7</v>
      </c>
    </row>
    <row r="1281" spans="2:14" x14ac:dyDescent="0.25">
      <c r="B1281">
        <v>1262</v>
      </c>
      <c r="C1281" t="s">
        <v>33</v>
      </c>
      <c r="D1281">
        <v>1</v>
      </c>
      <c r="E1281" t="s">
        <v>34</v>
      </c>
      <c r="F1281" s="6">
        <v>46111.291666666664</v>
      </c>
      <c r="G1281" s="6">
        <v>46111.326388888891</v>
      </c>
      <c r="H1281" s="6">
        <v>46111.336805555555</v>
      </c>
      <c r="I1281" s="6">
        <v>46111.353472222225</v>
      </c>
      <c r="J1281" s="6">
        <v>46111.354166666664</v>
      </c>
      <c r="K1281" s="6">
        <v>46111.357638888891</v>
      </c>
      <c r="L1281">
        <v>1.58</v>
      </c>
      <c r="M1281" s="6">
        <v>46111.361111111109</v>
      </c>
      <c r="N1281">
        <f t="shared" si="19"/>
        <v>7</v>
      </c>
    </row>
    <row r="1282" spans="2:14" x14ac:dyDescent="0.25">
      <c r="B1282">
        <v>1263</v>
      </c>
      <c r="C1282" t="s">
        <v>33</v>
      </c>
      <c r="D1282">
        <v>1</v>
      </c>
      <c r="E1282" t="s">
        <v>30</v>
      </c>
      <c r="F1282" s="6">
        <v>46110.9375</v>
      </c>
      <c r="G1282" s="6">
        <v>46110.940972222219</v>
      </c>
      <c r="H1282" s="6">
        <v>46110.944444444445</v>
      </c>
      <c r="I1282" s="6">
        <v>46110.96597222222</v>
      </c>
      <c r="J1282" s="6">
        <v>46110.972916666666</v>
      </c>
      <c r="K1282" s="6">
        <v>46110.975694444445</v>
      </c>
      <c r="L1282">
        <v>0.92</v>
      </c>
      <c r="M1282" s="6">
        <v>46110.976388888892</v>
      </c>
      <c r="N1282">
        <f t="shared" si="19"/>
        <v>22</v>
      </c>
    </row>
    <row r="1283" spans="2:14" x14ac:dyDescent="0.25">
      <c r="B1283">
        <v>1264</v>
      </c>
      <c r="C1283" t="s">
        <v>33</v>
      </c>
      <c r="D1283">
        <v>1</v>
      </c>
      <c r="E1283" t="s">
        <v>30</v>
      </c>
      <c r="F1283" s="6">
        <v>46111.017361111109</v>
      </c>
      <c r="G1283" s="6">
        <v>46111.020833333336</v>
      </c>
      <c r="H1283" s="6">
        <v>46111.027777777781</v>
      </c>
      <c r="I1283" s="6">
        <v>46111.051388888889</v>
      </c>
      <c r="J1283" s="6">
        <v>46111.055555555555</v>
      </c>
      <c r="K1283" s="6">
        <v>46111.056250000001</v>
      </c>
      <c r="L1283">
        <v>0.93</v>
      </c>
      <c r="M1283" s="6">
        <v>46111.059027777781</v>
      </c>
      <c r="N1283">
        <f t="shared" si="19"/>
        <v>0</v>
      </c>
    </row>
    <row r="1284" spans="2:14" x14ac:dyDescent="0.25">
      <c r="B1284">
        <v>1265</v>
      </c>
      <c r="C1284" t="s">
        <v>29</v>
      </c>
      <c r="D1284">
        <v>1</v>
      </c>
      <c r="E1284" t="s">
        <v>30</v>
      </c>
      <c r="F1284" s="6">
        <v>46111.055555555555</v>
      </c>
      <c r="G1284" s="6">
        <v>46111.059027777781</v>
      </c>
      <c r="H1284" s="6">
        <v>46111.0625</v>
      </c>
      <c r="I1284" s="6">
        <v>46111.076388888891</v>
      </c>
      <c r="J1284" s="6">
        <v>46111.083333333336</v>
      </c>
      <c r="K1284" s="6">
        <v>46111.086805555555</v>
      </c>
      <c r="L1284">
        <v>0.75</v>
      </c>
      <c r="M1284" s="6">
        <v>46111.090277777781</v>
      </c>
      <c r="N1284">
        <f t="shared" si="19"/>
        <v>1</v>
      </c>
    </row>
    <row r="1285" spans="2:14" x14ac:dyDescent="0.25">
      <c r="B1285">
        <v>1266</v>
      </c>
      <c r="C1285" t="s">
        <v>29</v>
      </c>
      <c r="D1285">
        <v>1</v>
      </c>
      <c r="E1285" t="s">
        <v>30</v>
      </c>
      <c r="F1285" s="6">
        <v>46111.048611111109</v>
      </c>
      <c r="G1285" s="6">
        <v>46111.055555555555</v>
      </c>
      <c r="H1285" s="6">
        <v>46111.0625</v>
      </c>
      <c r="I1285" s="6">
        <v>46111.077777777777</v>
      </c>
      <c r="J1285" s="6">
        <v>46111.084722222222</v>
      </c>
      <c r="K1285" s="6">
        <v>46111.086805555555</v>
      </c>
      <c r="L1285">
        <v>0.92</v>
      </c>
      <c r="M1285" s="6">
        <v>46111.09375</v>
      </c>
      <c r="N1285">
        <f t="shared" si="19"/>
        <v>1</v>
      </c>
    </row>
    <row r="1286" spans="2:14" x14ac:dyDescent="0.25">
      <c r="B1286">
        <v>1267</v>
      </c>
      <c r="C1286" t="s">
        <v>33</v>
      </c>
      <c r="D1286">
        <v>1</v>
      </c>
      <c r="E1286" t="s">
        <v>30</v>
      </c>
      <c r="F1286" s="6">
        <v>46111.090277777781</v>
      </c>
      <c r="G1286" s="6">
        <v>46111.09375</v>
      </c>
      <c r="H1286" s="6">
        <v>46111.104166666664</v>
      </c>
      <c r="I1286" s="6">
        <v>46111.166666666664</v>
      </c>
      <c r="J1286" s="6">
        <v>46111.173611111109</v>
      </c>
      <c r="K1286" s="6">
        <v>46111.923611111109</v>
      </c>
      <c r="L1286">
        <v>20</v>
      </c>
      <c r="M1286" s="6">
        <v>46111.930555555555</v>
      </c>
      <c r="N1286">
        <f t="shared" si="19"/>
        <v>2</v>
      </c>
    </row>
    <row r="1287" spans="2:14" x14ac:dyDescent="0.25">
      <c r="B1287">
        <v>1268</v>
      </c>
      <c r="C1287" t="s">
        <v>31</v>
      </c>
      <c r="D1287">
        <v>1</v>
      </c>
      <c r="E1287" t="s">
        <v>30</v>
      </c>
      <c r="F1287" s="6">
        <v>46111.333333333336</v>
      </c>
      <c r="G1287" s="6">
        <v>46111.375</v>
      </c>
      <c r="H1287" s="6">
        <v>46111.395833333336</v>
      </c>
      <c r="I1287" s="6">
        <v>46111.446527777778</v>
      </c>
      <c r="J1287" s="6">
        <v>46111.453472222223</v>
      </c>
      <c r="K1287" s="6">
        <v>46111.5</v>
      </c>
      <c r="L1287">
        <v>4</v>
      </c>
      <c r="M1287" s="6">
        <v>46111.506944444445</v>
      </c>
      <c r="N1287">
        <f t="shared" si="19"/>
        <v>8</v>
      </c>
    </row>
    <row r="1288" spans="2:14" x14ac:dyDescent="0.25">
      <c r="B1288">
        <v>1269</v>
      </c>
      <c r="C1288" t="s">
        <v>33</v>
      </c>
      <c r="D1288">
        <v>1</v>
      </c>
      <c r="E1288" t="s">
        <v>35</v>
      </c>
      <c r="F1288" s="6">
        <v>46111.770833333336</v>
      </c>
      <c r="G1288" s="6">
        <v>46111.774305555555</v>
      </c>
      <c r="H1288" s="6">
        <v>46111.784722222219</v>
      </c>
      <c r="I1288" s="6">
        <v>46111.804861111108</v>
      </c>
      <c r="J1288" s="6">
        <v>46111.833333333336</v>
      </c>
      <c r="K1288" s="6">
        <v>46112.541666666664</v>
      </c>
      <c r="L1288">
        <v>18.5</v>
      </c>
      <c r="M1288" s="6">
        <v>46112.548611111109</v>
      </c>
      <c r="N1288">
        <f t="shared" si="19"/>
        <v>18</v>
      </c>
    </row>
    <row r="1289" spans="2:14" x14ac:dyDescent="0.25">
      <c r="B1289">
        <v>1270</v>
      </c>
      <c r="C1289" t="s">
        <v>31</v>
      </c>
      <c r="D1289">
        <v>1</v>
      </c>
      <c r="E1289" t="s">
        <v>34</v>
      </c>
      <c r="F1289" s="6">
        <v>46111.416666666664</v>
      </c>
      <c r="G1289" s="6">
        <v>46111.427083333336</v>
      </c>
      <c r="H1289" s="6">
        <v>46111.451388888891</v>
      </c>
      <c r="I1289" s="6">
        <v>46111.524305555555</v>
      </c>
      <c r="J1289" s="6">
        <v>46111.53125</v>
      </c>
      <c r="K1289" s="6">
        <v>46111.895833333336</v>
      </c>
      <c r="L1289">
        <v>11.5</v>
      </c>
      <c r="M1289" s="6">
        <v>46111.896527777775</v>
      </c>
      <c r="N1289">
        <f t="shared" si="19"/>
        <v>10</v>
      </c>
    </row>
    <row r="1290" spans="2:14" x14ac:dyDescent="0.25">
      <c r="B1290">
        <v>1271</v>
      </c>
      <c r="C1290" t="s">
        <v>33</v>
      </c>
      <c r="D1290">
        <v>1</v>
      </c>
      <c r="E1290" t="s">
        <v>30</v>
      </c>
      <c r="F1290" s="6">
        <v>46111.493055555555</v>
      </c>
      <c r="G1290" s="6">
        <v>46111.506944444445</v>
      </c>
      <c r="H1290" s="6">
        <v>46111.541666666664</v>
      </c>
      <c r="I1290" s="6">
        <v>46111.759027777778</v>
      </c>
      <c r="J1290" s="6">
        <v>46111.765972222223</v>
      </c>
      <c r="K1290" s="6">
        <v>46111.833333333336</v>
      </c>
      <c r="L1290">
        <v>8.17</v>
      </c>
      <c r="M1290" s="6">
        <v>46111.840277777781</v>
      </c>
      <c r="N1290">
        <f t="shared" si="19"/>
        <v>11</v>
      </c>
    </row>
    <row r="1291" spans="2:14" x14ac:dyDescent="0.25">
      <c r="B1291">
        <v>1272</v>
      </c>
      <c r="C1291" t="s">
        <v>33</v>
      </c>
      <c r="D1291">
        <v>1</v>
      </c>
      <c r="E1291" t="s">
        <v>30</v>
      </c>
      <c r="F1291" s="6">
        <v>46111.930555555555</v>
      </c>
      <c r="G1291" s="6">
        <v>46111.9375</v>
      </c>
      <c r="H1291" s="6">
        <v>46111.947916666664</v>
      </c>
      <c r="I1291" s="6">
        <v>46111.965277777781</v>
      </c>
      <c r="J1291" s="6">
        <v>46111.96875</v>
      </c>
      <c r="K1291" s="6">
        <v>46111.979166666664</v>
      </c>
      <c r="L1291">
        <v>1.17</v>
      </c>
      <c r="M1291" s="6">
        <v>46111.979861111111</v>
      </c>
      <c r="N1291">
        <f t="shared" si="19"/>
        <v>22</v>
      </c>
    </row>
    <row r="1292" spans="2:14" x14ac:dyDescent="0.25">
      <c r="B1292">
        <v>1273</v>
      </c>
      <c r="C1292" t="s">
        <v>33</v>
      </c>
      <c r="D1292">
        <v>1</v>
      </c>
      <c r="E1292" t="s">
        <v>35</v>
      </c>
      <c r="F1292" s="6">
        <v>46111.413194444445</v>
      </c>
      <c r="G1292" s="6">
        <v>46111.416666666664</v>
      </c>
      <c r="H1292" s="6">
        <v>46111.454861111109</v>
      </c>
      <c r="I1292" s="6">
        <v>46111.631944444445</v>
      </c>
      <c r="J1292" s="6">
        <v>46111.663194444445</v>
      </c>
      <c r="K1292" s="6">
        <v>46111.746527777781</v>
      </c>
      <c r="L1292">
        <v>8</v>
      </c>
      <c r="M1292" s="6">
        <v>46111.74722222222</v>
      </c>
      <c r="N1292">
        <f t="shared" si="19"/>
        <v>9</v>
      </c>
    </row>
    <row r="1293" spans="2:14" x14ac:dyDescent="0.25">
      <c r="B1293">
        <v>1274</v>
      </c>
      <c r="C1293" t="s">
        <v>31</v>
      </c>
      <c r="D1293">
        <v>1</v>
      </c>
      <c r="E1293" t="s">
        <v>30</v>
      </c>
      <c r="F1293" s="6">
        <v>46111.625</v>
      </c>
      <c r="G1293" s="6">
        <v>46111.631944444445</v>
      </c>
      <c r="H1293" s="6">
        <v>46111.638888888891</v>
      </c>
      <c r="I1293" s="6">
        <v>46111.659722222219</v>
      </c>
      <c r="J1293" s="6">
        <v>46111.666666666664</v>
      </c>
      <c r="K1293" s="6">
        <v>46111.680555555555</v>
      </c>
      <c r="L1293">
        <v>1.33</v>
      </c>
      <c r="M1293" s="6">
        <v>46111.6875</v>
      </c>
      <c r="N1293">
        <f t="shared" si="19"/>
        <v>15</v>
      </c>
    </row>
    <row r="1294" spans="2:14" x14ac:dyDescent="0.25">
      <c r="B1294">
        <v>1275</v>
      </c>
      <c r="C1294" t="s">
        <v>33</v>
      </c>
      <c r="D1294">
        <v>1</v>
      </c>
      <c r="E1294" t="s">
        <v>30</v>
      </c>
      <c r="F1294" s="6">
        <v>46112.444444444445</v>
      </c>
      <c r="G1294" s="6">
        <v>46112.458333333336</v>
      </c>
      <c r="H1294" s="6">
        <v>46112.479166666664</v>
      </c>
      <c r="I1294" s="6">
        <v>46112.631944444445</v>
      </c>
      <c r="J1294" s="6">
        <v>46112.638888888891</v>
      </c>
      <c r="K1294" s="6">
        <v>46112.645833333336</v>
      </c>
      <c r="L1294">
        <v>4.83</v>
      </c>
      <c r="M1294" s="6">
        <v>46112.649305555555</v>
      </c>
      <c r="N1294">
        <f t="shared" si="19"/>
        <v>10</v>
      </c>
    </row>
    <row r="1295" spans="2:14" x14ac:dyDescent="0.25">
      <c r="B1295">
        <v>1276</v>
      </c>
      <c r="C1295" t="s">
        <v>29</v>
      </c>
      <c r="D1295">
        <v>1</v>
      </c>
      <c r="E1295" t="s">
        <v>36</v>
      </c>
      <c r="F1295" s="6">
        <v>46112.315972222219</v>
      </c>
      <c r="G1295" s="6">
        <v>46112.322916666664</v>
      </c>
      <c r="H1295" s="6">
        <v>46112.368055555555</v>
      </c>
      <c r="I1295" s="6">
        <v>46112.409722222219</v>
      </c>
      <c r="J1295" s="6">
        <v>46112.416666666664</v>
      </c>
      <c r="K1295" s="6">
        <v>46112.423611111109</v>
      </c>
      <c r="L1295">
        <v>2.58</v>
      </c>
      <c r="M1295" s="6">
        <v>46112.424305555556</v>
      </c>
      <c r="N1295">
        <f t="shared" si="19"/>
        <v>7</v>
      </c>
    </row>
    <row r="1296" spans="2:14" x14ac:dyDescent="0.25">
      <c r="B1296">
        <v>1277</v>
      </c>
      <c r="C1296" t="s">
        <v>29</v>
      </c>
      <c r="D1296">
        <v>1</v>
      </c>
      <c r="E1296" t="s">
        <v>32</v>
      </c>
      <c r="F1296" s="6">
        <v>46112.506944444445</v>
      </c>
      <c r="G1296" s="6">
        <v>46112.513888888891</v>
      </c>
      <c r="H1296" s="6">
        <v>46112.520833333336</v>
      </c>
      <c r="I1296" s="6">
        <v>46112.527777777781</v>
      </c>
      <c r="J1296" s="6">
        <v>46112.534722222219</v>
      </c>
      <c r="K1296" s="6">
        <v>46112.541666666664</v>
      </c>
      <c r="L1296">
        <v>0.83</v>
      </c>
      <c r="M1296" s="6">
        <v>46112.548611111109</v>
      </c>
      <c r="N1296">
        <f t="shared" si="19"/>
        <v>12</v>
      </c>
    </row>
    <row r="1297" spans="2:14" x14ac:dyDescent="0.25">
      <c r="B1297">
        <v>1278</v>
      </c>
      <c r="C1297" t="s">
        <v>33</v>
      </c>
      <c r="D1297">
        <v>1</v>
      </c>
      <c r="E1297" t="s">
        <v>36</v>
      </c>
      <c r="F1297" s="6">
        <v>46112.354166666664</v>
      </c>
      <c r="G1297" s="6">
        <v>46112.361111111109</v>
      </c>
      <c r="H1297" s="6">
        <v>46112.375</v>
      </c>
      <c r="I1297" s="6">
        <v>46112.423611111109</v>
      </c>
      <c r="J1297" s="6">
        <v>46112.427083333336</v>
      </c>
      <c r="K1297" s="6">
        <v>46112.430555555555</v>
      </c>
      <c r="L1297">
        <v>1.83</v>
      </c>
      <c r="M1297" s="6">
        <v>46112.4375</v>
      </c>
      <c r="N1297">
        <f t="shared" si="19"/>
        <v>8</v>
      </c>
    </row>
    <row r="1298" spans="2:14" x14ac:dyDescent="0.25">
      <c r="B1298">
        <v>1279</v>
      </c>
      <c r="C1298" t="s">
        <v>33</v>
      </c>
      <c r="D1298">
        <v>1</v>
      </c>
      <c r="E1298" t="s">
        <v>37</v>
      </c>
      <c r="F1298" s="6">
        <v>46112.458333333336</v>
      </c>
      <c r="G1298" s="6">
        <v>46112.472222222219</v>
      </c>
      <c r="H1298" s="6">
        <v>46112.493055555555</v>
      </c>
      <c r="I1298" s="6">
        <v>46112.524305555555</v>
      </c>
      <c r="J1298" s="6">
        <v>46112.527777777781</v>
      </c>
      <c r="K1298" s="6">
        <v>46112.53125</v>
      </c>
      <c r="L1298">
        <v>1.75</v>
      </c>
      <c r="M1298" s="6">
        <v>46112.531944444447</v>
      </c>
      <c r="N1298">
        <f t="shared" si="19"/>
        <v>11</v>
      </c>
    </row>
    <row r="1299" spans="2:14" x14ac:dyDescent="0.25">
      <c r="B1299">
        <v>1280</v>
      </c>
      <c r="C1299" t="s">
        <v>29</v>
      </c>
      <c r="D1299">
        <v>1</v>
      </c>
      <c r="E1299" t="s">
        <v>30</v>
      </c>
      <c r="F1299" s="6">
        <v>46112.416666666664</v>
      </c>
      <c r="G1299" s="6">
        <v>46112.430555555555</v>
      </c>
      <c r="H1299" s="6">
        <v>46112.479166666664</v>
      </c>
      <c r="I1299" s="6">
        <v>46112.517361111109</v>
      </c>
      <c r="J1299" s="6">
        <v>46112.524305555555</v>
      </c>
      <c r="K1299" s="6">
        <v>46112.694444444445</v>
      </c>
      <c r="L1299">
        <v>6.67</v>
      </c>
      <c r="M1299" s="6">
        <v>46112.701388888891</v>
      </c>
      <c r="N1299">
        <f t="shared" si="19"/>
        <v>10</v>
      </c>
    </row>
    <row r="1300" spans="2:14" x14ac:dyDescent="0.25">
      <c r="B1300">
        <v>1281</v>
      </c>
      <c r="C1300" t="s">
        <v>33</v>
      </c>
      <c r="D1300">
        <v>1</v>
      </c>
      <c r="E1300" t="s">
        <v>36</v>
      </c>
      <c r="F1300" s="6">
        <v>46112.583333333336</v>
      </c>
      <c r="G1300" s="6">
        <v>46112.59375</v>
      </c>
      <c r="H1300" s="6">
        <v>46112.666666666664</v>
      </c>
      <c r="I1300" s="6">
        <v>46112.760416666664</v>
      </c>
      <c r="J1300" s="6">
        <v>46112.767361111109</v>
      </c>
      <c r="K1300" s="6">
        <v>46112.979166666664</v>
      </c>
      <c r="L1300">
        <v>9.5</v>
      </c>
      <c r="M1300" s="6">
        <v>46112.986111111109</v>
      </c>
      <c r="N1300">
        <f t="shared" si="19"/>
        <v>14</v>
      </c>
    </row>
    <row r="1301" spans="2:14" x14ac:dyDescent="0.25">
      <c r="B1301">
        <v>1282</v>
      </c>
      <c r="C1301" t="s">
        <v>29</v>
      </c>
      <c r="D1301">
        <v>1</v>
      </c>
      <c r="E1301" t="s">
        <v>30</v>
      </c>
      <c r="F1301" s="6">
        <v>46111.770833333336</v>
      </c>
      <c r="G1301" s="6">
        <v>46111.774305555555</v>
      </c>
      <c r="H1301" s="6">
        <v>46111.777777777781</v>
      </c>
      <c r="I1301" s="6">
        <v>46111.781944444447</v>
      </c>
      <c r="J1301" s="6">
        <v>46111.784722222219</v>
      </c>
      <c r="K1301" s="6">
        <v>46111.788194444445</v>
      </c>
      <c r="L1301">
        <v>0.42</v>
      </c>
      <c r="M1301" s="6">
        <v>46111.795138888891</v>
      </c>
      <c r="N1301">
        <f t="shared" ref="N1301:N1311" si="20">HOUR(F1301)</f>
        <v>18</v>
      </c>
    </row>
    <row r="1302" spans="2:14" x14ac:dyDescent="0.25">
      <c r="B1302">
        <v>1283</v>
      </c>
      <c r="C1302" t="s">
        <v>29</v>
      </c>
      <c r="D1302">
        <v>1</v>
      </c>
      <c r="E1302" t="s">
        <v>34</v>
      </c>
      <c r="F1302" s="6">
        <v>46112.291666666664</v>
      </c>
      <c r="G1302" s="6">
        <v>46112.3125</v>
      </c>
      <c r="H1302" s="6">
        <v>46112.333333333336</v>
      </c>
      <c r="I1302" s="6">
        <v>46112.424305555556</v>
      </c>
      <c r="J1302" s="6">
        <v>46112.427083333336</v>
      </c>
      <c r="K1302" s="6">
        <v>46112.4375</v>
      </c>
      <c r="L1302">
        <v>3.5</v>
      </c>
      <c r="M1302" s="6">
        <v>46112.444444444445</v>
      </c>
      <c r="N1302">
        <f t="shared" si="20"/>
        <v>7</v>
      </c>
    </row>
    <row r="1303" spans="2:14" x14ac:dyDescent="0.25">
      <c r="B1303">
        <v>1284</v>
      </c>
      <c r="C1303" t="s">
        <v>29</v>
      </c>
      <c r="D1303">
        <v>1</v>
      </c>
      <c r="E1303" t="s">
        <v>34</v>
      </c>
      <c r="F1303" s="6">
        <v>46112.000694444447</v>
      </c>
      <c r="G1303" s="6">
        <v>46112.006944444445</v>
      </c>
      <c r="H1303" s="6">
        <v>46112.013888888891</v>
      </c>
      <c r="I1303" s="6">
        <v>46112.03125</v>
      </c>
      <c r="J1303" s="6">
        <v>46112.034722222219</v>
      </c>
      <c r="K1303" s="6">
        <v>46112.038194444445</v>
      </c>
      <c r="L1303">
        <v>0.9</v>
      </c>
      <c r="M1303" s="6">
        <v>46112.045138888891</v>
      </c>
      <c r="N1303">
        <f t="shared" si="20"/>
        <v>0</v>
      </c>
    </row>
    <row r="1304" spans="2:14" x14ac:dyDescent="0.25">
      <c r="B1304">
        <v>1285</v>
      </c>
      <c r="C1304" t="s">
        <v>31</v>
      </c>
      <c r="D1304">
        <v>1</v>
      </c>
      <c r="E1304" t="s">
        <v>30</v>
      </c>
      <c r="F1304" s="6">
        <v>46112.604166666664</v>
      </c>
      <c r="G1304" s="6">
        <v>46112.607638888891</v>
      </c>
      <c r="H1304" s="6">
        <v>46112.668749999997</v>
      </c>
      <c r="I1304" s="6">
        <v>46112.760416666664</v>
      </c>
      <c r="J1304" s="6">
        <v>46112.767361111109</v>
      </c>
      <c r="K1304" s="6">
        <v>46112.777777777781</v>
      </c>
      <c r="L1304">
        <v>4.17</v>
      </c>
      <c r="M1304" s="6">
        <v>46112.77847222222</v>
      </c>
      <c r="N1304">
        <f t="shared" si="20"/>
        <v>14</v>
      </c>
    </row>
    <row r="1305" spans="2:14" x14ac:dyDescent="0.25">
      <c r="B1305">
        <v>1286</v>
      </c>
      <c r="C1305" t="s">
        <v>33</v>
      </c>
      <c r="D1305">
        <v>1</v>
      </c>
      <c r="E1305" t="s">
        <v>30</v>
      </c>
      <c r="F1305" s="6">
        <v>46112.684027777781</v>
      </c>
      <c r="G1305" s="6">
        <v>46112.694444444445</v>
      </c>
      <c r="H1305" s="6">
        <v>46112.708333333336</v>
      </c>
      <c r="I1305" s="6">
        <v>46112.75</v>
      </c>
      <c r="J1305" s="6">
        <v>46112.753472222219</v>
      </c>
      <c r="K1305" s="6">
        <v>46112.756944444445</v>
      </c>
      <c r="L1305">
        <v>1.75</v>
      </c>
      <c r="M1305" s="6">
        <v>46112.760416666664</v>
      </c>
      <c r="N1305">
        <f t="shared" si="20"/>
        <v>16</v>
      </c>
    </row>
    <row r="1306" spans="2:14" x14ac:dyDescent="0.25">
      <c r="B1306">
        <v>1287</v>
      </c>
      <c r="C1306" t="s">
        <v>33</v>
      </c>
      <c r="D1306">
        <v>1</v>
      </c>
      <c r="E1306" t="s">
        <v>34</v>
      </c>
      <c r="F1306" s="6">
        <v>46112.625</v>
      </c>
      <c r="G1306" s="6">
        <v>46112.635416666664</v>
      </c>
      <c r="H1306" s="6">
        <v>46112.694444444445</v>
      </c>
      <c r="I1306" s="6">
        <v>46112.71875</v>
      </c>
      <c r="J1306" s="6">
        <v>46112.725694444445</v>
      </c>
      <c r="K1306" s="6">
        <v>46112.775694444441</v>
      </c>
      <c r="L1306">
        <v>3.62</v>
      </c>
      <c r="M1306" s="6">
        <v>46112.777777777781</v>
      </c>
      <c r="N1306">
        <f t="shared" si="20"/>
        <v>15</v>
      </c>
    </row>
    <row r="1307" spans="2:14" x14ac:dyDescent="0.25">
      <c r="B1307">
        <v>1288</v>
      </c>
      <c r="C1307" t="s">
        <v>29</v>
      </c>
      <c r="D1307">
        <v>1</v>
      </c>
      <c r="E1307" t="s">
        <v>32</v>
      </c>
      <c r="F1307" s="6">
        <v>46112.711805555555</v>
      </c>
      <c r="G1307" s="6">
        <v>46112.73541666667</v>
      </c>
      <c r="H1307" s="6">
        <v>46112.736111111109</v>
      </c>
      <c r="I1307" s="6">
        <v>46112.770833333336</v>
      </c>
      <c r="J1307" s="6">
        <v>46112.777777777781</v>
      </c>
      <c r="K1307" s="6">
        <v>46112.791666666664</v>
      </c>
      <c r="L1307">
        <v>1.92</v>
      </c>
      <c r="M1307" s="6">
        <v>46112.798611111109</v>
      </c>
      <c r="N1307">
        <f t="shared" si="20"/>
        <v>17</v>
      </c>
    </row>
    <row r="1308" spans="2:14" x14ac:dyDescent="0.25">
      <c r="B1308">
        <v>1289</v>
      </c>
      <c r="C1308" t="s">
        <v>33</v>
      </c>
      <c r="D1308">
        <v>1</v>
      </c>
      <c r="E1308" t="s">
        <v>30</v>
      </c>
      <c r="F1308" s="6">
        <v>46112.847222222219</v>
      </c>
      <c r="G1308" s="6">
        <v>46112.850694444445</v>
      </c>
      <c r="H1308" s="6">
        <v>46112.861111111109</v>
      </c>
      <c r="I1308" s="6">
        <v>46112.877083333333</v>
      </c>
      <c r="J1308" s="6">
        <v>46112.878472222219</v>
      </c>
      <c r="K1308" s="6">
        <v>46112.881944444445</v>
      </c>
      <c r="L1308">
        <v>0.83</v>
      </c>
      <c r="M1308" s="6">
        <v>46112.888888888891</v>
      </c>
      <c r="N1308">
        <f t="shared" si="20"/>
        <v>20</v>
      </c>
    </row>
    <row r="1309" spans="2:14" x14ac:dyDescent="0.25">
      <c r="B1309">
        <v>1290</v>
      </c>
      <c r="C1309" t="s">
        <v>29</v>
      </c>
      <c r="D1309">
        <v>1</v>
      </c>
      <c r="E1309" t="s">
        <v>30</v>
      </c>
      <c r="F1309" s="6">
        <v>46112.930555555555</v>
      </c>
      <c r="G1309" s="6">
        <v>46112.9375</v>
      </c>
      <c r="H1309" s="6">
        <v>46112.951388888891</v>
      </c>
      <c r="I1309" s="6">
        <v>46112.95208333333</v>
      </c>
      <c r="J1309" s="6">
        <v>46112.955555555556</v>
      </c>
      <c r="K1309" s="6">
        <v>46112.958333333336</v>
      </c>
      <c r="L1309">
        <v>0.67</v>
      </c>
      <c r="M1309" s="6">
        <v>46112.961805555555</v>
      </c>
      <c r="N1309">
        <f t="shared" si="20"/>
        <v>22</v>
      </c>
    </row>
    <row r="1310" spans="2:14" x14ac:dyDescent="0.25">
      <c r="B1310">
        <v>1291</v>
      </c>
      <c r="C1310" t="s">
        <v>31</v>
      </c>
      <c r="D1310">
        <v>1</v>
      </c>
      <c r="E1310" t="s">
        <v>30</v>
      </c>
      <c r="F1310" s="6">
        <v>46112.951388888891</v>
      </c>
      <c r="G1310" s="6">
        <v>46112.958333333336</v>
      </c>
      <c r="H1310" s="6">
        <v>46112.96875</v>
      </c>
      <c r="I1310" s="6">
        <v>46113.041666666664</v>
      </c>
      <c r="J1310" s="6">
        <v>46113.048611111109</v>
      </c>
      <c r="K1310" s="6">
        <v>46113.05</v>
      </c>
      <c r="L1310">
        <v>2.37</v>
      </c>
      <c r="M1310" s="6">
        <v>46113.056944444441</v>
      </c>
      <c r="N1310">
        <f t="shared" si="20"/>
        <v>22</v>
      </c>
    </row>
    <row r="1311" spans="2:14" x14ac:dyDescent="0.25">
      <c r="B1311">
        <v>1292</v>
      </c>
      <c r="C1311" t="s">
        <v>29</v>
      </c>
      <c r="D1311">
        <v>1</v>
      </c>
      <c r="E1311" t="s">
        <v>30</v>
      </c>
      <c r="F1311" s="6">
        <v>46112.988194444442</v>
      </c>
      <c r="G1311" s="6">
        <v>46112.993055555555</v>
      </c>
      <c r="H1311" s="6">
        <v>46113</v>
      </c>
      <c r="I1311" s="6">
        <v>46113.041666666664</v>
      </c>
      <c r="J1311" s="6">
        <v>46113.048611111109</v>
      </c>
      <c r="K1311" s="6">
        <v>46113.05</v>
      </c>
      <c r="L1311">
        <v>1.48</v>
      </c>
      <c r="M1311" s="6">
        <v>46113.056944444441</v>
      </c>
      <c r="N1311">
        <f t="shared" si="20"/>
        <v>23</v>
      </c>
    </row>
  </sheetData>
  <autoFilter ref="B19:N1311" xr:uid="{BC56B862-A240-44BB-A4C9-251714FC3CA4}"/>
  <sortState xmlns:xlrd2="http://schemas.microsoft.com/office/spreadsheetml/2017/richdata2" ref="R21:R44">
    <sortCondition ref="R21"/>
  </sortState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A134-D482-4EA3-BEBE-455BE862B422}">
  <sheetPr filterMode="1"/>
  <dimension ref="B2:N522"/>
  <sheetViews>
    <sheetView workbookViewId="0">
      <selection activeCell="N2" sqref="N2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20.28515625" bestFit="1" customWidth="1"/>
    <col min="5" max="5" width="19.28515625" bestFit="1" customWidth="1"/>
    <col min="6" max="6" width="16.5703125" bestFit="1" customWidth="1"/>
    <col min="7" max="7" width="17.7109375" bestFit="1" customWidth="1"/>
    <col min="8" max="8" width="17" bestFit="1" customWidth="1"/>
    <col min="9" max="9" width="6.28515625" customWidth="1"/>
    <col min="10" max="10" width="18.28515625" bestFit="1" customWidth="1"/>
    <col min="11" max="11" width="10.5703125" bestFit="1" customWidth="1"/>
    <col min="15" max="15" width="3.5703125" customWidth="1"/>
  </cols>
  <sheetData>
    <row r="2" spans="2:14" x14ac:dyDescent="0.25">
      <c r="B2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t="s">
        <v>27</v>
      </c>
      <c r="J2" s="6" t="s">
        <v>28</v>
      </c>
      <c r="K2" s="8" t="s">
        <v>55</v>
      </c>
      <c r="L2" s="8" t="s">
        <v>39</v>
      </c>
      <c r="M2" s="8" t="s">
        <v>38</v>
      </c>
      <c r="N2" s="12" t="s">
        <v>56</v>
      </c>
    </row>
    <row r="3" spans="2:14" x14ac:dyDescent="0.25">
      <c r="B3" t="s">
        <v>30</v>
      </c>
      <c r="C3" s="6">
        <v>46023</v>
      </c>
      <c r="D3" s="6">
        <v>46023.006944444445</v>
      </c>
      <c r="E3" s="6">
        <v>46023.020833333336</v>
      </c>
      <c r="F3" s="6">
        <v>46023.055555555555</v>
      </c>
      <c r="G3" s="6">
        <v>46023.059027777781</v>
      </c>
      <c r="H3" s="6">
        <v>46023.065972222219</v>
      </c>
      <c r="I3">
        <v>1.58</v>
      </c>
      <c r="J3" s="6">
        <v>46023.066666666666</v>
      </c>
      <c r="K3" s="7">
        <f>C4-H3</f>
        <v>5.5555555562023073E-2</v>
      </c>
      <c r="L3">
        <f>HOUR(K3)</f>
        <v>1</v>
      </c>
      <c r="M3">
        <f>MINUTE(K3)</f>
        <v>20</v>
      </c>
      <c r="N3">
        <f>L3*60+M3</f>
        <v>80</v>
      </c>
    </row>
    <row r="4" spans="2:14" x14ac:dyDescent="0.25">
      <c r="B4" t="s">
        <v>30</v>
      </c>
      <c r="C4" s="6">
        <v>46023.121527777781</v>
      </c>
      <c r="D4" s="6">
        <v>46023.125</v>
      </c>
      <c r="E4" s="6">
        <v>46023.131944444445</v>
      </c>
      <c r="F4" s="6">
        <v>46023.145833333336</v>
      </c>
      <c r="G4" s="6">
        <v>46023.149305555555</v>
      </c>
      <c r="H4" s="6">
        <v>46023.152777777781</v>
      </c>
      <c r="I4">
        <v>0.75</v>
      </c>
      <c r="J4" s="6">
        <v>46023.159722222219</v>
      </c>
      <c r="K4" s="7">
        <f>C5-H4</f>
        <v>0.19930555555038154</v>
      </c>
      <c r="L4">
        <f>HOUR(K4)</f>
        <v>4</v>
      </c>
      <c r="M4">
        <f>MINUTE(K4)</f>
        <v>47</v>
      </c>
      <c r="N4">
        <f>L4*60+M4</f>
        <v>287</v>
      </c>
    </row>
    <row r="5" spans="2:14" x14ac:dyDescent="0.25">
      <c r="B5" t="s">
        <v>30</v>
      </c>
      <c r="C5" s="6">
        <v>46023.352083333331</v>
      </c>
      <c r="D5" s="6">
        <v>46023.361111111109</v>
      </c>
      <c r="E5" s="6">
        <v>46023.368055555555</v>
      </c>
      <c r="F5" s="6">
        <v>46023.375</v>
      </c>
      <c r="G5" s="6">
        <v>46023.381944444445</v>
      </c>
      <c r="H5" s="6">
        <v>46023.385416666664</v>
      </c>
      <c r="I5">
        <v>0.8</v>
      </c>
      <c r="J5" s="6">
        <v>46023.395833333336</v>
      </c>
      <c r="K5" s="7">
        <f>C6-H5</f>
        <v>6.9444444445252884E-2</v>
      </c>
      <c r="L5">
        <f>HOUR(K5)</f>
        <v>1</v>
      </c>
      <c r="M5">
        <f>MINUTE(K5)</f>
        <v>40</v>
      </c>
      <c r="N5">
        <f>L5*60+M5</f>
        <v>100</v>
      </c>
    </row>
    <row r="6" spans="2:14" x14ac:dyDescent="0.25">
      <c r="B6" t="s">
        <v>30</v>
      </c>
      <c r="C6" s="6">
        <v>46023.454861111109</v>
      </c>
      <c r="D6" s="6">
        <v>46023.461805555555</v>
      </c>
      <c r="E6" s="6">
        <v>46023.482638888891</v>
      </c>
      <c r="F6" s="6">
        <v>46023.534722222219</v>
      </c>
      <c r="G6" s="6">
        <v>46023.541666666664</v>
      </c>
      <c r="H6" s="6">
        <v>46023.548611111109</v>
      </c>
      <c r="I6">
        <v>2.25</v>
      </c>
      <c r="J6" s="6">
        <v>46023.555555555555</v>
      </c>
      <c r="K6" s="7">
        <f>C7-H6</f>
        <v>0.70833333333575865</v>
      </c>
      <c r="L6">
        <f>HOUR(K6)</f>
        <v>17</v>
      </c>
      <c r="M6">
        <f>MINUTE(K6)</f>
        <v>0</v>
      </c>
      <c r="N6">
        <f>L6*60+M6</f>
        <v>1020</v>
      </c>
    </row>
    <row r="7" spans="2:14" hidden="1" x14ac:dyDescent="0.25">
      <c r="B7" t="s">
        <v>30</v>
      </c>
      <c r="C7" s="6">
        <v>46024.256944444445</v>
      </c>
      <c r="D7" s="6">
        <v>46024.270833333336</v>
      </c>
      <c r="E7" s="6">
        <v>46024.274305555555</v>
      </c>
      <c r="F7" s="6">
        <v>46024.282638888886</v>
      </c>
      <c r="G7" s="6">
        <v>46024.284722222219</v>
      </c>
      <c r="H7" s="6">
        <v>46024.291666666664</v>
      </c>
      <c r="I7">
        <v>0.83</v>
      </c>
      <c r="J7" s="6">
        <v>46024.298611111109</v>
      </c>
      <c r="K7" s="7">
        <f>C8-H7</f>
        <v>0</v>
      </c>
      <c r="L7">
        <f>HOUR(K7)</f>
        <v>0</v>
      </c>
      <c r="M7">
        <f>MINUTE(K7)</f>
        <v>0</v>
      </c>
      <c r="N7">
        <f>L7*60+M7</f>
        <v>0</v>
      </c>
    </row>
    <row r="8" spans="2:14" x14ac:dyDescent="0.25">
      <c r="B8" t="s">
        <v>30</v>
      </c>
      <c r="C8" s="6">
        <v>46024.291666666664</v>
      </c>
      <c r="D8" s="6">
        <v>46024.326388888891</v>
      </c>
      <c r="E8" s="6">
        <v>46024.34375</v>
      </c>
      <c r="F8" s="6">
        <v>46024.44027777778</v>
      </c>
      <c r="G8" s="6">
        <v>46024.447222222225</v>
      </c>
      <c r="H8" s="6">
        <v>46024.458333333336</v>
      </c>
      <c r="I8">
        <v>4</v>
      </c>
      <c r="J8" s="6">
        <v>46024.465277777781</v>
      </c>
      <c r="K8" s="7">
        <f>C9-H8</f>
        <v>4.1666666664241347E-2</v>
      </c>
      <c r="L8">
        <f>HOUR(K8)</f>
        <v>1</v>
      </c>
      <c r="M8">
        <f>MINUTE(K8)</f>
        <v>0</v>
      </c>
      <c r="N8">
        <f>L8*60+M8</f>
        <v>60</v>
      </c>
    </row>
    <row r="9" spans="2:14" x14ac:dyDescent="0.25">
      <c r="B9" t="s">
        <v>30</v>
      </c>
      <c r="C9" s="6">
        <v>46024.5</v>
      </c>
      <c r="D9" s="6">
        <v>46024.506944444445</v>
      </c>
      <c r="E9" s="6">
        <v>46024.520833333336</v>
      </c>
      <c r="F9" s="6">
        <v>46024.5625</v>
      </c>
      <c r="G9" s="6">
        <v>46024.569444444445</v>
      </c>
      <c r="H9" s="6">
        <v>46024.576388888891</v>
      </c>
      <c r="I9">
        <v>1.83</v>
      </c>
      <c r="J9" s="6">
        <v>46024.583333333336</v>
      </c>
      <c r="K9" s="7">
        <f>C10-H9</f>
        <v>7.9861111109494232E-2</v>
      </c>
      <c r="L9">
        <f>HOUR(K9)</f>
        <v>1</v>
      </c>
      <c r="M9">
        <f>MINUTE(K9)</f>
        <v>55</v>
      </c>
      <c r="N9">
        <f>L9*60+M9</f>
        <v>115</v>
      </c>
    </row>
    <row r="10" spans="2:14" hidden="1" x14ac:dyDescent="0.25">
      <c r="B10" t="s">
        <v>30</v>
      </c>
      <c r="C10" s="6">
        <v>46024.65625</v>
      </c>
      <c r="D10" s="6">
        <v>46024.666666666664</v>
      </c>
      <c r="E10" s="6">
        <v>46024.694444444445</v>
      </c>
      <c r="F10" s="6">
        <v>46024.732638888891</v>
      </c>
      <c r="G10" s="6">
        <v>46024.736111111109</v>
      </c>
      <c r="H10" s="6">
        <v>46024.753472222219</v>
      </c>
      <c r="I10">
        <v>2.33</v>
      </c>
      <c r="J10" s="6">
        <v>46024.760416666664</v>
      </c>
      <c r="K10" s="7">
        <f>C11-H10</f>
        <v>-8.333333331393078E-3</v>
      </c>
      <c r="L10" t="e">
        <f>HOUR(K10)</f>
        <v>#NUM!</v>
      </c>
      <c r="M10" t="e">
        <f>MINUTE(K10)</f>
        <v>#NUM!</v>
      </c>
      <c r="N10" t="e">
        <f>L10*60+M10</f>
        <v>#NUM!</v>
      </c>
    </row>
    <row r="11" spans="2:14" hidden="1" x14ac:dyDescent="0.25">
      <c r="B11" t="s">
        <v>30</v>
      </c>
      <c r="C11" s="6">
        <v>46024.745138888888</v>
      </c>
      <c r="D11" s="6">
        <v>46024.746527777781</v>
      </c>
      <c r="E11" s="6">
        <v>46024.776388888888</v>
      </c>
      <c r="F11" s="6">
        <v>46024.880555555559</v>
      </c>
      <c r="G11" s="6">
        <v>46024.887499999997</v>
      </c>
      <c r="H11" s="6">
        <v>46025.020833333336</v>
      </c>
      <c r="I11">
        <v>6.62</v>
      </c>
      <c r="J11" s="6">
        <v>46025.027777777781</v>
      </c>
      <c r="K11" s="7">
        <f>C12-H11</f>
        <v>-0.19444444444525288</v>
      </c>
      <c r="L11" t="e">
        <f>HOUR(K11)</f>
        <v>#NUM!</v>
      </c>
      <c r="M11" t="e">
        <f>MINUTE(K11)</f>
        <v>#NUM!</v>
      </c>
      <c r="N11" t="e">
        <f>L11*60+M11</f>
        <v>#NUM!</v>
      </c>
    </row>
    <row r="12" spans="2:14" hidden="1" x14ac:dyDescent="0.25">
      <c r="B12" t="s">
        <v>30</v>
      </c>
      <c r="C12" s="6">
        <v>46024.826388888891</v>
      </c>
      <c r="D12" s="6">
        <v>46024.833333333336</v>
      </c>
      <c r="E12" s="6">
        <v>46024.850694444445</v>
      </c>
      <c r="F12" s="6">
        <v>46024.88958333333</v>
      </c>
      <c r="G12" s="6">
        <v>46024.896527777775</v>
      </c>
      <c r="H12" s="6">
        <v>46024.905555555553</v>
      </c>
      <c r="I12">
        <v>1.9</v>
      </c>
      <c r="J12" s="6">
        <v>46024.912499999999</v>
      </c>
      <c r="K12" s="7">
        <f>C13-H12</f>
        <v>-4.0972222217533272E-2</v>
      </c>
      <c r="L12" t="e">
        <f>HOUR(K12)</f>
        <v>#NUM!</v>
      </c>
      <c r="M12" t="e">
        <f>MINUTE(K12)</f>
        <v>#NUM!</v>
      </c>
      <c r="N12" t="e">
        <f>L12*60+M12</f>
        <v>#NUM!</v>
      </c>
    </row>
    <row r="13" spans="2:14" x14ac:dyDescent="0.25">
      <c r="B13" t="s">
        <v>30</v>
      </c>
      <c r="C13" s="6">
        <v>46024.864583333336</v>
      </c>
      <c r="D13" s="6">
        <v>46024.875</v>
      </c>
      <c r="E13" s="6">
        <v>46024.888888888891</v>
      </c>
      <c r="F13" s="6">
        <v>46024.930555555555</v>
      </c>
      <c r="G13" s="6">
        <v>46024.931944444441</v>
      </c>
      <c r="H13" s="6">
        <v>46024.933333333334</v>
      </c>
      <c r="I13">
        <v>1.65</v>
      </c>
      <c r="J13" s="6">
        <v>46024.9375</v>
      </c>
      <c r="K13" s="7">
        <f>C14-H13</f>
        <v>8.0555555556202307E-2</v>
      </c>
      <c r="L13">
        <f>HOUR(K13)</f>
        <v>1</v>
      </c>
      <c r="M13">
        <f>MINUTE(K13)</f>
        <v>56</v>
      </c>
      <c r="N13">
        <f>L13*60+M13</f>
        <v>116</v>
      </c>
    </row>
    <row r="14" spans="2:14" x14ac:dyDescent="0.25">
      <c r="B14" t="s">
        <v>30</v>
      </c>
      <c r="C14" s="6">
        <v>46025.013888888891</v>
      </c>
      <c r="D14" s="6">
        <v>46025.020833333336</v>
      </c>
      <c r="E14" s="6">
        <v>46025.027777777781</v>
      </c>
      <c r="F14" s="6">
        <v>46025.076388888891</v>
      </c>
      <c r="G14" s="6">
        <v>46025.078472222223</v>
      </c>
      <c r="H14" s="6">
        <v>46025.079861111109</v>
      </c>
      <c r="I14">
        <v>1.58</v>
      </c>
      <c r="J14" s="6">
        <v>46025.086805555555</v>
      </c>
      <c r="K14" s="7">
        <f>C15-H14</f>
        <v>0.28819444444525288</v>
      </c>
      <c r="L14">
        <f>HOUR(K14)</f>
        <v>6</v>
      </c>
      <c r="M14">
        <f>MINUTE(K14)</f>
        <v>55</v>
      </c>
      <c r="N14">
        <f>L14*60+M14</f>
        <v>415</v>
      </c>
    </row>
    <row r="15" spans="2:14" x14ac:dyDescent="0.25">
      <c r="B15" t="s">
        <v>30</v>
      </c>
      <c r="C15" s="6">
        <v>46025.368055555555</v>
      </c>
      <c r="D15" s="6">
        <v>46025.371527777781</v>
      </c>
      <c r="E15" s="6">
        <v>46025.392361111109</v>
      </c>
      <c r="F15" s="6">
        <v>46025.472222222219</v>
      </c>
      <c r="G15" s="6">
        <v>46025.479166666664</v>
      </c>
      <c r="H15" s="6">
        <v>46025.486111111109</v>
      </c>
      <c r="I15">
        <v>2.83</v>
      </c>
      <c r="J15" s="6">
        <v>46025.493055555555</v>
      </c>
      <c r="K15" s="7">
        <f>C16-H15</f>
        <v>0.19444444444525288</v>
      </c>
      <c r="L15">
        <f>HOUR(K15)</f>
        <v>4</v>
      </c>
      <c r="M15">
        <f>MINUTE(K15)</f>
        <v>40</v>
      </c>
      <c r="N15">
        <f>L15*60+M15</f>
        <v>280</v>
      </c>
    </row>
    <row r="16" spans="2:14" x14ac:dyDescent="0.25">
      <c r="B16" t="s">
        <v>30</v>
      </c>
      <c r="C16" s="6">
        <v>46025.680555555555</v>
      </c>
      <c r="D16" s="6">
        <v>46025.6875</v>
      </c>
      <c r="E16" s="6">
        <v>46025.694444444445</v>
      </c>
      <c r="F16" s="6">
        <v>46025.705555555556</v>
      </c>
      <c r="G16" s="6">
        <v>46025.708333333336</v>
      </c>
      <c r="H16" s="6">
        <v>46025.715277777781</v>
      </c>
      <c r="I16">
        <v>0.83</v>
      </c>
      <c r="J16" s="6">
        <v>46025.722222222219</v>
      </c>
      <c r="K16" s="7">
        <f>C17-H16</f>
        <v>5.9027777773735579E-2</v>
      </c>
      <c r="L16">
        <f>HOUR(K16)</f>
        <v>1</v>
      </c>
      <c r="M16">
        <f>MINUTE(K16)</f>
        <v>25</v>
      </c>
      <c r="N16">
        <f>L16*60+M16</f>
        <v>85</v>
      </c>
    </row>
    <row r="17" spans="2:14" x14ac:dyDescent="0.25">
      <c r="B17" t="s">
        <v>30</v>
      </c>
      <c r="C17" s="6">
        <v>46025.774305555555</v>
      </c>
      <c r="D17" s="6">
        <v>46025.78125</v>
      </c>
      <c r="E17" s="6">
        <v>46025.791666666664</v>
      </c>
      <c r="F17" s="6">
        <v>46025.826388888891</v>
      </c>
      <c r="G17" s="6">
        <v>46025.833333333336</v>
      </c>
      <c r="H17" s="6">
        <v>46025.850694444445</v>
      </c>
      <c r="I17">
        <v>1.83</v>
      </c>
      <c r="J17" s="6">
        <v>46025.857638888891</v>
      </c>
      <c r="K17" s="7">
        <f>C18-H17</f>
        <v>0.13541666666424135</v>
      </c>
      <c r="L17">
        <f>HOUR(K17)</f>
        <v>3</v>
      </c>
      <c r="M17">
        <f>MINUTE(K17)</f>
        <v>15</v>
      </c>
      <c r="N17">
        <f>L17*60+M17</f>
        <v>195</v>
      </c>
    </row>
    <row r="18" spans="2:14" x14ac:dyDescent="0.25">
      <c r="B18" t="s">
        <v>30</v>
      </c>
      <c r="C18" s="6">
        <v>46025.986111111109</v>
      </c>
      <c r="D18" s="6">
        <v>46025.993055555555</v>
      </c>
      <c r="E18" s="6">
        <v>46026.006944444445</v>
      </c>
      <c r="F18" s="6">
        <v>46026.045138888891</v>
      </c>
      <c r="G18" s="6">
        <v>46026.052083333336</v>
      </c>
      <c r="H18" s="6">
        <v>46026.054166666669</v>
      </c>
      <c r="I18">
        <v>1.63</v>
      </c>
      <c r="J18" s="6">
        <v>46026.059027777781</v>
      </c>
      <c r="K18" s="7">
        <f>C19-H18</f>
        <v>0.33124999999563443</v>
      </c>
      <c r="L18">
        <f>HOUR(K18)</f>
        <v>7</v>
      </c>
      <c r="M18">
        <f>MINUTE(K18)</f>
        <v>57</v>
      </c>
      <c r="N18">
        <f>L18*60+M18</f>
        <v>477</v>
      </c>
    </row>
    <row r="19" spans="2:14" hidden="1" x14ac:dyDescent="0.25">
      <c r="B19" t="s">
        <v>30</v>
      </c>
      <c r="C19" s="6">
        <v>46026.385416666664</v>
      </c>
      <c r="D19" s="6">
        <v>46026.388888888891</v>
      </c>
      <c r="E19" s="6">
        <v>46026.409722222219</v>
      </c>
      <c r="F19" s="6">
        <v>46026.618055555555</v>
      </c>
      <c r="G19" s="6">
        <v>46026.645833333336</v>
      </c>
      <c r="H19" s="6">
        <v>46026.6875</v>
      </c>
      <c r="I19">
        <v>7.25</v>
      </c>
      <c r="J19" s="6">
        <v>46026.694444444445</v>
      </c>
      <c r="K19" s="7">
        <f>C20-H19</f>
        <v>-0.18263888888759539</v>
      </c>
      <c r="L19" t="e">
        <f>HOUR(K19)</f>
        <v>#NUM!</v>
      </c>
      <c r="M19" t="e">
        <f>MINUTE(K19)</f>
        <v>#NUM!</v>
      </c>
      <c r="N19" t="e">
        <f>L19*60+M19</f>
        <v>#NUM!</v>
      </c>
    </row>
    <row r="20" spans="2:14" x14ac:dyDescent="0.25">
      <c r="B20" t="s">
        <v>30</v>
      </c>
      <c r="C20" s="6">
        <v>46026.504861111112</v>
      </c>
      <c r="D20" s="6">
        <v>46026.520833333336</v>
      </c>
      <c r="E20" s="6">
        <v>46026.524305555555</v>
      </c>
      <c r="F20" s="6">
        <v>46026.534722222219</v>
      </c>
      <c r="G20" s="6">
        <v>46026.541666666664</v>
      </c>
      <c r="H20" s="6">
        <v>46026.545138888891</v>
      </c>
      <c r="I20">
        <v>0.97</v>
      </c>
      <c r="J20" s="6">
        <v>46026.548611111109</v>
      </c>
      <c r="K20" s="7">
        <f>C21-H20</f>
        <v>6.0416666667151731E-2</v>
      </c>
      <c r="L20">
        <f>HOUR(K20)</f>
        <v>1</v>
      </c>
      <c r="M20">
        <f>MINUTE(K20)</f>
        <v>27</v>
      </c>
      <c r="N20">
        <f>L20*60+M20</f>
        <v>87</v>
      </c>
    </row>
    <row r="21" spans="2:14" x14ac:dyDescent="0.25">
      <c r="B21" t="s">
        <v>30</v>
      </c>
      <c r="C21" s="6">
        <v>46026.605555555558</v>
      </c>
      <c r="D21" s="6">
        <v>46026.611111111109</v>
      </c>
      <c r="E21" s="6">
        <v>46026.638888888891</v>
      </c>
      <c r="F21" s="6">
        <v>46026.673611111109</v>
      </c>
      <c r="G21" s="6">
        <v>46026.715277777781</v>
      </c>
      <c r="H21" s="6">
        <v>46026.718055555553</v>
      </c>
      <c r="I21">
        <v>2.7</v>
      </c>
      <c r="J21" s="6">
        <v>46026.71875</v>
      </c>
      <c r="K21" s="7">
        <f>C22-H21</f>
        <v>2.9861111113859806E-2</v>
      </c>
      <c r="L21">
        <f>HOUR(K21)</f>
        <v>0</v>
      </c>
      <c r="M21">
        <f>MINUTE(K21)</f>
        <v>43</v>
      </c>
      <c r="N21">
        <f>L21*60+M21</f>
        <v>43</v>
      </c>
    </row>
    <row r="22" spans="2:14" x14ac:dyDescent="0.25">
      <c r="B22" t="s">
        <v>30</v>
      </c>
      <c r="C22" s="6">
        <v>46026.747916666667</v>
      </c>
      <c r="D22" s="6">
        <v>46026.749305555553</v>
      </c>
      <c r="E22" s="6">
        <v>46026.75</v>
      </c>
      <c r="F22" s="6">
        <v>46026.805555555555</v>
      </c>
      <c r="G22" s="6">
        <v>46026.8125</v>
      </c>
      <c r="H22" s="6">
        <v>46026.815972222219</v>
      </c>
      <c r="I22">
        <v>1.63</v>
      </c>
      <c r="J22" s="6">
        <v>46026.822916666664</v>
      </c>
      <c r="K22" s="7">
        <f>C23-H22</f>
        <v>3.4722222226264421E-2</v>
      </c>
      <c r="L22">
        <f>HOUR(K22)</f>
        <v>0</v>
      </c>
      <c r="M22">
        <f>MINUTE(K22)</f>
        <v>50</v>
      </c>
      <c r="N22">
        <f>L22*60+M22</f>
        <v>50</v>
      </c>
    </row>
    <row r="23" spans="2:14" x14ac:dyDescent="0.25">
      <c r="B23" t="s">
        <v>30</v>
      </c>
      <c r="C23" s="6">
        <v>46026.850694444445</v>
      </c>
      <c r="D23" s="6">
        <v>46026.859722222223</v>
      </c>
      <c r="E23" s="6">
        <v>46026.864583333336</v>
      </c>
      <c r="F23" s="6">
        <v>46026.923611111109</v>
      </c>
      <c r="G23" s="6">
        <v>46026.930555555555</v>
      </c>
      <c r="H23" s="6">
        <v>46026.931944444441</v>
      </c>
      <c r="I23">
        <v>1.95</v>
      </c>
      <c r="J23" s="6">
        <v>46026.938888888886</v>
      </c>
      <c r="K23" s="7">
        <f>C24-H23</f>
        <v>5.0694444449618459E-2</v>
      </c>
      <c r="L23">
        <f>HOUR(K23)</f>
        <v>1</v>
      </c>
      <c r="M23">
        <f>MINUTE(K23)</f>
        <v>13</v>
      </c>
      <c r="N23">
        <f>L23*60+M23</f>
        <v>73</v>
      </c>
    </row>
    <row r="24" spans="2:14" x14ac:dyDescent="0.25">
      <c r="B24" t="s">
        <v>30</v>
      </c>
      <c r="C24" s="6">
        <v>46026.982638888891</v>
      </c>
      <c r="D24" s="6">
        <v>46026.986111111109</v>
      </c>
      <c r="E24" s="6">
        <v>46026.993055555555</v>
      </c>
      <c r="F24" s="6">
        <v>46027.020833333336</v>
      </c>
      <c r="G24" s="6">
        <v>46027.024305555555</v>
      </c>
      <c r="H24" s="6">
        <v>46027.025000000001</v>
      </c>
      <c r="I24">
        <v>1.02</v>
      </c>
      <c r="J24" s="6">
        <v>46027.027777777781</v>
      </c>
      <c r="K24" s="7">
        <f>C25-H24</f>
        <v>3.7499999998544808E-2</v>
      </c>
      <c r="L24">
        <f>HOUR(K24)</f>
        <v>0</v>
      </c>
      <c r="M24">
        <f>MINUTE(K24)</f>
        <v>54</v>
      </c>
      <c r="N24">
        <f>L24*60+M24</f>
        <v>54</v>
      </c>
    </row>
    <row r="25" spans="2:14" hidden="1" x14ac:dyDescent="0.25">
      <c r="B25" t="s">
        <v>30</v>
      </c>
      <c r="C25" s="6">
        <v>46027.0625</v>
      </c>
      <c r="D25" s="6">
        <v>46027.069444444445</v>
      </c>
      <c r="E25" s="6">
        <v>46027.079861111109</v>
      </c>
      <c r="F25" s="6">
        <v>46027.145138888889</v>
      </c>
      <c r="G25" s="6">
        <v>46027.1875</v>
      </c>
      <c r="H25" s="6">
        <v>46027.618055555555</v>
      </c>
      <c r="I25">
        <v>13.33</v>
      </c>
      <c r="J25" s="6">
        <v>46027.625</v>
      </c>
      <c r="K25" s="7">
        <f>C26-H25</f>
        <v>-0.15833333333284827</v>
      </c>
      <c r="L25" t="e">
        <f>HOUR(K25)</f>
        <v>#NUM!</v>
      </c>
      <c r="M25" t="e">
        <f>MINUTE(K25)</f>
        <v>#NUM!</v>
      </c>
      <c r="N25" t="e">
        <f>L25*60+M25</f>
        <v>#NUM!</v>
      </c>
    </row>
    <row r="26" spans="2:14" x14ac:dyDescent="0.25">
      <c r="B26" t="s">
        <v>30</v>
      </c>
      <c r="C26" s="6">
        <v>46027.459722222222</v>
      </c>
      <c r="D26" s="6">
        <v>46027.461805555555</v>
      </c>
      <c r="E26" s="6">
        <v>46027.479166666664</v>
      </c>
      <c r="F26" s="6">
        <v>46027.539583333331</v>
      </c>
      <c r="G26" s="6">
        <v>46027.638888888891</v>
      </c>
      <c r="H26" s="6">
        <v>46027.642361111109</v>
      </c>
      <c r="I26">
        <v>4.38</v>
      </c>
      <c r="J26" s="6">
        <v>46027.645833333336</v>
      </c>
      <c r="K26" s="7">
        <f>C27-H26</f>
        <v>3.8194444445252884E-2</v>
      </c>
      <c r="L26">
        <f>HOUR(K26)</f>
        <v>0</v>
      </c>
      <c r="M26">
        <f>MINUTE(K26)</f>
        <v>55</v>
      </c>
      <c r="N26">
        <f>L26*60+M26</f>
        <v>55</v>
      </c>
    </row>
    <row r="27" spans="2:14" x14ac:dyDescent="0.25">
      <c r="B27" t="s">
        <v>30</v>
      </c>
      <c r="C27" s="6">
        <v>46027.680555555555</v>
      </c>
      <c r="D27" s="6">
        <v>46027.690972222219</v>
      </c>
      <c r="E27" s="6">
        <v>46027.715277777781</v>
      </c>
      <c r="F27" s="6">
        <v>46027.797222222223</v>
      </c>
      <c r="G27" s="6">
        <v>46027.804166666669</v>
      </c>
      <c r="H27" s="6">
        <v>46027.875</v>
      </c>
      <c r="I27">
        <v>4.67</v>
      </c>
      <c r="J27" s="6">
        <v>46027.881944444445</v>
      </c>
      <c r="K27" s="7">
        <f>C28-H27</f>
        <v>0.46527777778101154</v>
      </c>
      <c r="L27">
        <f>HOUR(K27)</f>
        <v>11</v>
      </c>
      <c r="M27">
        <f>MINUTE(K27)</f>
        <v>10</v>
      </c>
      <c r="N27">
        <f>L27*60+M27</f>
        <v>670</v>
      </c>
    </row>
    <row r="28" spans="2:14" x14ac:dyDescent="0.25">
      <c r="B28" t="s">
        <v>30</v>
      </c>
      <c r="C28" s="6">
        <v>46028.340277777781</v>
      </c>
      <c r="D28" s="6">
        <v>46028.347222222219</v>
      </c>
      <c r="E28" s="6">
        <v>46028.368055555555</v>
      </c>
      <c r="F28" s="6">
        <v>46028.423611111109</v>
      </c>
      <c r="G28" s="6">
        <v>46028.430555555555</v>
      </c>
      <c r="H28" s="6">
        <v>46028.458333333336</v>
      </c>
      <c r="I28">
        <v>2.83</v>
      </c>
      <c r="J28" s="6">
        <v>46028.465277777781</v>
      </c>
      <c r="K28" s="7">
        <f>C29-H28</f>
        <v>0.56597222221898846</v>
      </c>
      <c r="L28">
        <f>HOUR(K28)</f>
        <v>13</v>
      </c>
      <c r="M28">
        <f>MINUTE(K28)</f>
        <v>35</v>
      </c>
      <c r="N28">
        <f>L28*60+M28</f>
        <v>815</v>
      </c>
    </row>
    <row r="29" spans="2:14" hidden="1" x14ac:dyDescent="0.25">
      <c r="B29" t="s">
        <v>30</v>
      </c>
      <c r="C29" s="6">
        <v>46029.024305555555</v>
      </c>
      <c r="D29" s="6">
        <v>46029.027777777781</v>
      </c>
      <c r="E29" s="6">
        <v>46029.041666666664</v>
      </c>
      <c r="F29" s="6">
        <v>46029.121527777781</v>
      </c>
      <c r="G29" s="6">
        <v>46029.128472222219</v>
      </c>
      <c r="H29" s="6">
        <v>46029.131944444445</v>
      </c>
      <c r="I29">
        <v>2.58</v>
      </c>
      <c r="J29" s="6">
        <v>46029.138888888891</v>
      </c>
      <c r="K29" s="7">
        <f>C30-H29</f>
        <v>-7.6388888890505768E-2</v>
      </c>
      <c r="L29" t="e">
        <f>HOUR(K29)</f>
        <v>#NUM!</v>
      </c>
      <c r="M29" t="e">
        <f>MINUTE(K29)</f>
        <v>#NUM!</v>
      </c>
      <c r="N29" t="e">
        <f>L29*60+M29</f>
        <v>#NUM!</v>
      </c>
    </row>
    <row r="30" spans="2:14" hidden="1" x14ac:dyDescent="0.25">
      <c r="B30" t="s">
        <v>30</v>
      </c>
      <c r="C30" s="6">
        <v>46029.055555555555</v>
      </c>
      <c r="D30" s="6">
        <v>46029.059027777781</v>
      </c>
      <c r="E30" s="6">
        <v>46029.0625</v>
      </c>
      <c r="F30" s="6">
        <v>46029.086805555555</v>
      </c>
      <c r="G30" s="6">
        <v>46029.088194444441</v>
      </c>
      <c r="H30" s="6">
        <v>46029.088888888888</v>
      </c>
      <c r="I30">
        <v>0.8</v>
      </c>
      <c r="J30" s="6">
        <v>46029.090277777781</v>
      </c>
      <c r="K30" s="7">
        <f>C31-H30</f>
        <v>-1.9444444442342501E-2</v>
      </c>
      <c r="L30" t="e">
        <f>HOUR(K30)</f>
        <v>#NUM!</v>
      </c>
      <c r="M30" t="e">
        <f>MINUTE(K30)</f>
        <v>#NUM!</v>
      </c>
      <c r="N30" t="e">
        <f>L30*60+M30</f>
        <v>#NUM!</v>
      </c>
    </row>
    <row r="31" spans="2:14" x14ac:dyDescent="0.25">
      <c r="B31" t="s">
        <v>30</v>
      </c>
      <c r="C31" s="6">
        <v>46029.069444444445</v>
      </c>
      <c r="D31" s="6">
        <v>46029.079861111109</v>
      </c>
      <c r="E31" s="6">
        <v>46029.097222222219</v>
      </c>
      <c r="F31" s="6">
        <v>46029.132638888892</v>
      </c>
      <c r="G31" s="6">
        <v>46029.134722222225</v>
      </c>
      <c r="H31" s="6">
        <v>46029.136111111111</v>
      </c>
      <c r="I31">
        <v>1.6</v>
      </c>
      <c r="J31" s="6">
        <v>46029.143055555556</v>
      </c>
      <c r="K31" s="7">
        <f>C32-H31</f>
        <v>0.29791666667006211</v>
      </c>
      <c r="L31">
        <f>HOUR(K31)</f>
        <v>7</v>
      </c>
      <c r="M31">
        <f>MINUTE(K31)</f>
        <v>9</v>
      </c>
      <c r="N31">
        <f>L31*60+M31</f>
        <v>429</v>
      </c>
    </row>
    <row r="32" spans="2:14" hidden="1" x14ac:dyDescent="0.25">
      <c r="B32" t="s">
        <v>30</v>
      </c>
      <c r="C32" s="6">
        <v>46029.434027777781</v>
      </c>
      <c r="D32" s="6">
        <v>46029.444444444445</v>
      </c>
      <c r="E32" s="6">
        <v>46029.458333333336</v>
      </c>
      <c r="F32" s="6">
        <v>46029.511805555558</v>
      </c>
      <c r="G32" s="6">
        <v>46029.611111111109</v>
      </c>
      <c r="H32" s="6">
        <v>46029.613194444442</v>
      </c>
      <c r="I32">
        <v>4.3</v>
      </c>
      <c r="J32" s="6">
        <v>46029.620138888888</v>
      </c>
      <c r="K32" s="7">
        <f>C33-H32</f>
        <v>-0.15486111110658385</v>
      </c>
      <c r="L32" t="e">
        <f>HOUR(K32)</f>
        <v>#NUM!</v>
      </c>
      <c r="M32" t="e">
        <f>MINUTE(K32)</f>
        <v>#NUM!</v>
      </c>
      <c r="N32" t="e">
        <f>L32*60+M32</f>
        <v>#NUM!</v>
      </c>
    </row>
    <row r="33" spans="2:14" hidden="1" x14ac:dyDescent="0.25">
      <c r="B33" t="s">
        <v>30</v>
      </c>
      <c r="C33" s="6">
        <v>46029.458333333336</v>
      </c>
      <c r="D33" s="6">
        <v>46029.482638888891</v>
      </c>
      <c r="E33" s="6">
        <v>46029.486111111109</v>
      </c>
      <c r="F33" s="6">
        <v>46029.489583333336</v>
      </c>
      <c r="G33" s="6">
        <v>46029.496527777781</v>
      </c>
      <c r="H33" s="6">
        <v>46029.510416666664</v>
      </c>
      <c r="I33">
        <v>1.25</v>
      </c>
      <c r="J33" s="6">
        <v>46029.513888888891</v>
      </c>
      <c r="K33" s="7">
        <f>C34-H33</f>
        <v>-3.2638888886140194E-2</v>
      </c>
      <c r="L33" t="e">
        <f>HOUR(K33)</f>
        <v>#NUM!</v>
      </c>
      <c r="M33" t="e">
        <f>MINUTE(K33)</f>
        <v>#NUM!</v>
      </c>
      <c r="N33" t="e">
        <f>L33*60+M33</f>
        <v>#NUM!</v>
      </c>
    </row>
    <row r="34" spans="2:14" hidden="1" x14ac:dyDescent="0.25">
      <c r="B34" t="s">
        <v>30</v>
      </c>
      <c r="C34" s="6">
        <v>46029.477777777778</v>
      </c>
      <c r="D34" s="6">
        <v>46029.489583333336</v>
      </c>
      <c r="E34" s="6">
        <v>46029.5</v>
      </c>
      <c r="F34" s="6">
        <v>46029.548611111109</v>
      </c>
      <c r="G34" s="6">
        <v>46029.555555555555</v>
      </c>
      <c r="H34" s="6">
        <v>46029.569444444445</v>
      </c>
      <c r="I34">
        <v>2.2000000000000002</v>
      </c>
      <c r="J34" s="6">
        <v>46029.576388888891</v>
      </c>
      <c r="K34" s="7">
        <f>C35-H34</f>
        <v>-6.25E-2</v>
      </c>
      <c r="L34" t="e">
        <f>HOUR(K34)</f>
        <v>#NUM!</v>
      </c>
      <c r="M34" t="e">
        <f>MINUTE(K34)</f>
        <v>#NUM!</v>
      </c>
      <c r="N34" t="e">
        <f>L34*60+M34</f>
        <v>#NUM!</v>
      </c>
    </row>
    <row r="35" spans="2:14" hidden="1" x14ac:dyDescent="0.25">
      <c r="B35" t="s">
        <v>30</v>
      </c>
      <c r="C35" s="6">
        <v>46029.506944444445</v>
      </c>
      <c r="D35" s="6">
        <v>46029.524305555555</v>
      </c>
      <c r="E35" s="6">
        <v>46029.559027777781</v>
      </c>
      <c r="F35" s="6">
        <v>46029.607638888891</v>
      </c>
      <c r="G35" s="6">
        <v>46029.614583333336</v>
      </c>
      <c r="H35" s="6">
        <v>46029.625</v>
      </c>
      <c r="I35">
        <v>2.83</v>
      </c>
      <c r="J35" s="6">
        <v>46029.631944444445</v>
      </c>
      <c r="K35" s="7">
        <f>C36-H35</f>
        <v>-7.6388888919609599E-3</v>
      </c>
      <c r="L35" t="e">
        <f>HOUR(K35)</f>
        <v>#NUM!</v>
      </c>
      <c r="M35" t="e">
        <f>MINUTE(K35)</f>
        <v>#NUM!</v>
      </c>
      <c r="N35" t="e">
        <f>L35*60+M35</f>
        <v>#NUM!</v>
      </c>
    </row>
    <row r="36" spans="2:14" x14ac:dyDescent="0.25">
      <c r="B36" t="s">
        <v>30</v>
      </c>
      <c r="C36" s="6">
        <v>46029.617361111108</v>
      </c>
      <c r="D36" s="6">
        <v>46029.631944444445</v>
      </c>
      <c r="E36" s="6">
        <v>46029.649305555555</v>
      </c>
      <c r="F36" s="6">
        <v>46029.65625</v>
      </c>
      <c r="G36" s="6">
        <v>46029.708333333336</v>
      </c>
      <c r="H36" s="6">
        <v>46029.715277777781</v>
      </c>
      <c r="I36">
        <v>2.35</v>
      </c>
      <c r="J36" s="6">
        <v>46029.722222222219</v>
      </c>
      <c r="K36" s="7">
        <f>C37-H36</f>
        <v>0.13194444443797693</v>
      </c>
      <c r="L36">
        <f>HOUR(K36)</f>
        <v>3</v>
      </c>
      <c r="M36">
        <f>MINUTE(K36)</f>
        <v>10</v>
      </c>
      <c r="N36">
        <f>L36*60+M36</f>
        <v>190</v>
      </c>
    </row>
    <row r="37" spans="2:14" x14ac:dyDescent="0.25">
      <c r="B37" t="s">
        <v>30</v>
      </c>
      <c r="C37" s="6">
        <v>46029.847222222219</v>
      </c>
      <c r="D37" s="6">
        <v>46029.854166666664</v>
      </c>
      <c r="E37" s="6">
        <v>46029.864583333336</v>
      </c>
      <c r="F37" s="6">
        <v>46029.885416666664</v>
      </c>
      <c r="G37" s="6">
        <v>46029.892361111109</v>
      </c>
      <c r="H37" s="6">
        <v>46029.895833333336</v>
      </c>
      <c r="I37">
        <v>1.17</v>
      </c>
      <c r="J37" s="6">
        <v>46029.899305555555</v>
      </c>
      <c r="K37" s="7">
        <f>C38-H37</f>
        <v>0.52777777777373558</v>
      </c>
      <c r="L37">
        <f>HOUR(K37)</f>
        <v>12</v>
      </c>
      <c r="M37">
        <f>MINUTE(K37)</f>
        <v>40</v>
      </c>
      <c r="N37">
        <f>L37*60+M37</f>
        <v>760</v>
      </c>
    </row>
    <row r="38" spans="2:14" hidden="1" x14ac:dyDescent="0.25">
      <c r="B38" t="s">
        <v>30</v>
      </c>
      <c r="C38" s="6">
        <v>46030.423611111109</v>
      </c>
      <c r="D38" s="6">
        <v>46030.430555555555</v>
      </c>
      <c r="E38" s="6">
        <v>46030.461805555555</v>
      </c>
      <c r="F38" s="6">
        <v>46030.510416666664</v>
      </c>
      <c r="G38" s="6">
        <v>46030.520833333336</v>
      </c>
      <c r="H38" s="6">
        <v>46030.559027777781</v>
      </c>
      <c r="I38">
        <v>3.25</v>
      </c>
      <c r="J38" s="6">
        <v>46030.5625</v>
      </c>
      <c r="K38" s="7">
        <f>C39-H38</f>
        <v>-3.8194444445252884E-2</v>
      </c>
      <c r="L38" t="e">
        <f>HOUR(K38)</f>
        <v>#NUM!</v>
      </c>
      <c r="M38" t="e">
        <f>MINUTE(K38)</f>
        <v>#NUM!</v>
      </c>
      <c r="N38" t="e">
        <f>L38*60+M38</f>
        <v>#NUM!</v>
      </c>
    </row>
    <row r="39" spans="2:14" hidden="1" x14ac:dyDescent="0.25">
      <c r="B39" t="s">
        <v>30</v>
      </c>
      <c r="C39" s="6">
        <v>46030.520833333336</v>
      </c>
      <c r="D39" s="6">
        <v>46030.53125</v>
      </c>
      <c r="E39" s="6">
        <v>46030.541666666664</v>
      </c>
      <c r="F39" s="6">
        <v>46030.595138888886</v>
      </c>
      <c r="G39" s="6">
        <v>46030.600694444445</v>
      </c>
      <c r="H39" s="6">
        <v>46030.614583333336</v>
      </c>
      <c r="I39">
        <v>2.25</v>
      </c>
      <c r="J39" s="6">
        <v>46030.615972222222</v>
      </c>
      <c r="K39" s="7">
        <f>C40-H39</f>
        <v>3.4722222189884633E-3</v>
      </c>
      <c r="L39">
        <f>HOUR(K39)</f>
        <v>0</v>
      </c>
      <c r="M39">
        <f>MINUTE(K39)</f>
        <v>5</v>
      </c>
      <c r="N39">
        <f>L39*60+M39</f>
        <v>5</v>
      </c>
    </row>
    <row r="40" spans="2:14" hidden="1" x14ac:dyDescent="0.25">
      <c r="B40" t="s">
        <v>30</v>
      </c>
      <c r="C40" s="6">
        <v>46030.618055555555</v>
      </c>
      <c r="D40" s="6">
        <v>46030.625</v>
      </c>
      <c r="E40" s="6">
        <v>46030.649305555555</v>
      </c>
      <c r="F40" s="6">
        <v>46030.722222222219</v>
      </c>
      <c r="G40" s="6">
        <v>46030.729166666664</v>
      </c>
      <c r="H40" s="6">
        <v>46030.732638888891</v>
      </c>
      <c r="I40">
        <v>2.75</v>
      </c>
      <c r="J40" s="6">
        <v>46030.739583333336</v>
      </c>
      <c r="K40" s="7">
        <f>C41-H40</f>
        <v>-9.7222222226264421E-2</v>
      </c>
      <c r="L40" t="e">
        <f>HOUR(K40)</f>
        <v>#NUM!</v>
      </c>
      <c r="M40" t="e">
        <f>MINUTE(K40)</f>
        <v>#NUM!</v>
      </c>
      <c r="N40" t="e">
        <f>L40*60+M40</f>
        <v>#NUM!</v>
      </c>
    </row>
    <row r="41" spans="2:14" hidden="1" x14ac:dyDescent="0.25">
      <c r="B41" t="s">
        <v>30</v>
      </c>
      <c r="C41" s="6">
        <v>46030.635416666664</v>
      </c>
      <c r="D41" s="6">
        <v>46030.645833333336</v>
      </c>
      <c r="E41" s="6">
        <v>46030.684027777781</v>
      </c>
      <c r="F41" s="6">
        <v>46030.791666666664</v>
      </c>
      <c r="G41" s="6">
        <v>46030.798611111109</v>
      </c>
      <c r="H41" s="6">
        <v>46030.8</v>
      </c>
      <c r="I41">
        <v>3.95</v>
      </c>
      <c r="J41" s="6">
        <v>46030.806944444441</v>
      </c>
      <c r="K41" s="7">
        <f>C42-H41</f>
        <v>-7.5000000004365575E-2</v>
      </c>
      <c r="L41" t="e">
        <f>HOUR(K41)</f>
        <v>#NUM!</v>
      </c>
      <c r="M41" t="e">
        <f>MINUTE(K41)</f>
        <v>#NUM!</v>
      </c>
      <c r="N41" t="e">
        <f>L41*60+M41</f>
        <v>#NUM!</v>
      </c>
    </row>
    <row r="42" spans="2:14" x14ac:dyDescent="0.25">
      <c r="B42" t="s">
        <v>30</v>
      </c>
      <c r="C42" s="6">
        <v>46030.724999999999</v>
      </c>
      <c r="D42" s="6">
        <v>46030.729166666664</v>
      </c>
      <c r="E42" s="6">
        <v>46030.738194444442</v>
      </c>
      <c r="F42" s="6">
        <v>46030.751388888886</v>
      </c>
      <c r="G42" s="6">
        <v>46030.752083333333</v>
      </c>
      <c r="H42" s="6">
        <v>46030.763888888891</v>
      </c>
      <c r="I42">
        <v>0.93</v>
      </c>
      <c r="J42" s="6">
        <v>46030.770833333336</v>
      </c>
      <c r="K42" s="7">
        <f>C43-H42</f>
        <v>0.10069444444525288</v>
      </c>
      <c r="L42">
        <f>HOUR(K42)</f>
        <v>2</v>
      </c>
      <c r="M42">
        <f>MINUTE(K42)</f>
        <v>25</v>
      </c>
      <c r="N42">
        <f>L42*60+M42</f>
        <v>145</v>
      </c>
    </row>
    <row r="43" spans="2:14" x14ac:dyDescent="0.25">
      <c r="B43" t="s">
        <v>30</v>
      </c>
      <c r="C43" s="6">
        <v>46030.864583333336</v>
      </c>
      <c r="D43" s="6">
        <v>46030.875</v>
      </c>
      <c r="E43" s="6">
        <v>46030.895833333336</v>
      </c>
      <c r="F43" s="6">
        <v>46030.930555555555</v>
      </c>
      <c r="G43" s="6">
        <v>46030.934027777781</v>
      </c>
      <c r="H43" s="6">
        <v>46030.9375</v>
      </c>
      <c r="I43">
        <v>1.75</v>
      </c>
      <c r="J43" s="6">
        <v>46030.940972222219</v>
      </c>
      <c r="K43" s="7">
        <f>C44-H43</f>
        <v>0.35416666666424135</v>
      </c>
      <c r="L43">
        <f>HOUR(K43)</f>
        <v>8</v>
      </c>
      <c r="M43">
        <f>MINUTE(K43)</f>
        <v>30</v>
      </c>
      <c r="N43">
        <f>L43*60+M43</f>
        <v>510</v>
      </c>
    </row>
    <row r="44" spans="2:14" x14ac:dyDescent="0.25">
      <c r="B44" t="s">
        <v>30</v>
      </c>
      <c r="C44" s="6">
        <v>46031.291666666664</v>
      </c>
      <c r="D44" s="6">
        <v>46031.333333333336</v>
      </c>
      <c r="E44" s="6">
        <v>46031.392361111109</v>
      </c>
      <c r="F44" s="6">
        <v>46031.644444444442</v>
      </c>
      <c r="G44" s="6">
        <v>46031.651388888888</v>
      </c>
      <c r="H44" s="6">
        <v>46031.666666666664</v>
      </c>
      <c r="I44">
        <v>9</v>
      </c>
      <c r="J44" s="6">
        <v>46031.673611111109</v>
      </c>
      <c r="K44" s="7">
        <f>C45-H44</f>
        <v>0.10069444444525288</v>
      </c>
      <c r="L44">
        <f>HOUR(K44)</f>
        <v>2</v>
      </c>
      <c r="M44">
        <f>MINUTE(K44)</f>
        <v>25</v>
      </c>
      <c r="N44">
        <f>L44*60+M44</f>
        <v>145</v>
      </c>
    </row>
    <row r="45" spans="2:14" x14ac:dyDescent="0.25">
      <c r="B45" t="s">
        <v>30</v>
      </c>
      <c r="C45" s="6">
        <v>46031.767361111109</v>
      </c>
      <c r="D45" s="6">
        <v>46031.774305555555</v>
      </c>
      <c r="E45" s="6">
        <v>46031.777777777781</v>
      </c>
      <c r="F45" s="6">
        <v>46031.8125</v>
      </c>
      <c r="G45" s="6">
        <v>46031.819444444445</v>
      </c>
      <c r="H45" s="6">
        <v>46031.875</v>
      </c>
      <c r="I45">
        <v>2.58</v>
      </c>
      <c r="J45" s="6">
        <v>46031.881944444445</v>
      </c>
      <c r="K45" s="7">
        <f>C46-H45</f>
        <v>0.54166666666424135</v>
      </c>
      <c r="L45">
        <f>HOUR(K45)</f>
        <v>13</v>
      </c>
      <c r="M45">
        <f>MINUTE(K45)</f>
        <v>0</v>
      </c>
      <c r="N45">
        <f>L45*60+M45</f>
        <v>780</v>
      </c>
    </row>
    <row r="46" spans="2:14" hidden="1" x14ac:dyDescent="0.25">
      <c r="B46" t="s">
        <v>30</v>
      </c>
      <c r="C46" s="6">
        <v>46032.416666666664</v>
      </c>
      <c r="D46" s="6">
        <v>46032.434027777781</v>
      </c>
      <c r="E46" s="6">
        <v>46032.454861111109</v>
      </c>
      <c r="F46" s="6">
        <v>46032.552083333336</v>
      </c>
      <c r="G46" s="6">
        <v>46032.559027777781</v>
      </c>
      <c r="H46" s="6">
        <v>46032.583333333336</v>
      </c>
      <c r="I46">
        <v>4</v>
      </c>
      <c r="J46" s="6">
        <v>46032.590277777781</v>
      </c>
      <c r="K46" s="7">
        <f>C47-H46</f>
        <v>-6.25E-2</v>
      </c>
      <c r="L46" t="e">
        <f>HOUR(K46)</f>
        <v>#NUM!</v>
      </c>
      <c r="M46" t="e">
        <f>MINUTE(K46)</f>
        <v>#NUM!</v>
      </c>
      <c r="N46" t="e">
        <f>L46*60+M46</f>
        <v>#NUM!</v>
      </c>
    </row>
    <row r="47" spans="2:14" x14ac:dyDescent="0.25">
      <c r="B47" t="s">
        <v>30</v>
      </c>
      <c r="C47" s="6">
        <v>46032.520833333336</v>
      </c>
      <c r="D47" s="6">
        <v>46032.526388888888</v>
      </c>
      <c r="E47" s="6">
        <v>46032.527083333334</v>
      </c>
      <c r="F47" s="6">
        <v>46032.61041666667</v>
      </c>
      <c r="G47" s="6">
        <v>46032.617361111108</v>
      </c>
      <c r="H47" s="6">
        <v>46032.625</v>
      </c>
      <c r="I47">
        <v>2.5</v>
      </c>
      <c r="J47" s="6">
        <v>46032.631944444445</v>
      </c>
      <c r="K47" s="7">
        <f>C48-H47</f>
        <v>0.14583333333575865</v>
      </c>
      <c r="L47">
        <f>HOUR(K47)</f>
        <v>3</v>
      </c>
      <c r="M47">
        <f>MINUTE(K47)</f>
        <v>30</v>
      </c>
      <c r="N47">
        <f>L47*60+M47</f>
        <v>210</v>
      </c>
    </row>
    <row r="48" spans="2:14" x14ac:dyDescent="0.25">
      <c r="B48" t="s">
        <v>30</v>
      </c>
      <c r="C48" s="6">
        <v>46032.770833333336</v>
      </c>
      <c r="D48" s="6">
        <v>46032.784722222219</v>
      </c>
      <c r="E48" s="6">
        <v>46032.786805555559</v>
      </c>
      <c r="F48" s="6">
        <v>46032.792361111111</v>
      </c>
      <c r="G48" s="6">
        <v>46032.794444444444</v>
      </c>
      <c r="H48" s="6">
        <v>46032.795138888891</v>
      </c>
      <c r="I48">
        <v>0.57999999999999996</v>
      </c>
      <c r="J48" s="6">
        <v>46032.79583333333</v>
      </c>
      <c r="K48" s="7">
        <f>C49-H48</f>
        <v>5.5555555554747116E-2</v>
      </c>
      <c r="L48">
        <f>HOUR(K48)</f>
        <v>1</v>
      </c>
      <c r="M48">
        <f>MINUTE(K48)</f>
        <v>20</v>
      </c>
      <c r="N48">
        <f>L48*60+M48</f>
        <v>80</v>
      </c>
    </row>
    <row r="49" spans="2:14" x14ac:dyDescent="0.25">
      <c r="B49" t="s">
        <v>30</v>
      </c>
      <c r="C49" s="6">
        <v>46032.850694444445</v>
      </c>
      <c r="D49" s="6">
        <v>46032.857638888891</v>
      </c>
      <c r="E49" s="6">
        <v>46032.868055555555</v>
      </c>
      <c r="F49" s="6">
        <v>46032.893750000003</v>
      </c>
      <c r="G49" s="6">
        <v>46032.894444444442</v>
      </c>
      <c r="H49" s="6">
        <v>46032.895833333336</v>
      </c>
      <c r="I49">
        <v>1.08</v>
      </c>
      <c r="J49" s="6">
        <v>46032.897916666669</v>
      </c>
      <c r="K49" s="7">
        <f>C50-H49</f>
        <v>0.51388888888322981</v>
      </c>
      <c r="L49">
        <f>HOUR(K49)</f>
        <v>12</v>
      </c>
      <c r="M49">
        <f>MINUTE(K49)</f>
        <v>20</v>
      </c>
      <c r="N49">
        <f>L49*60+M49</f>
        <v>740</v>
      </c>
    </row>
    <row r="50" spans="2:14" hidden="1" x14ac:dyDescent="0.25">
      <c r="B50" t="s">
        <v>30</v>
      </c>
      <c r="C50" s="6">
        <v>46033.409722222219</v>
      </c>
      <c r="D50" s="6">
        <v>46033.413194444445</v>
      </c>
      <c r="E50" s="6">
        <v>46033.434027777781</v>
      </c>
      <c r="F50" s="6">
        <v>46033.456944444442</v>
      </c>
      <c r="G50" s="6">
        <v>46033.463888888888</v>
      </c>
      <c r="H50" s="6">
        <v>46033.472222222219</v>
      </c>
      <c r="I50">
        <v>1.5</v>
      </c>
      <c r="J50" s="6">
        <v>46033.479166666664</v>
      </c>
      <c r="K50" s="7">
        <f>C51-H50</f>
        <v>-1.9444444442342501E-2</v>
      </c>
      <c r="L50" t="e">
        <f>HOUR(K50)</f>
        <v>#NUM!</v>
      </c>
      <c r="M50" t="e">
        <f>MINUTE(K50)</f>
        <v>#NUM!</v>
      </c>
      <c r="N50" t="e">
        <f>L50*60+M50</f>
        <v>#NUM!</v>
      </c>
    </row>
    <row r="51" spans="2:14" x14ac:dyDescent="0.25">
      <c r="B51" t="s">
        <v>30</v>
      </c>
      <c r="C51" s="6">
        <v>46033.452777777777</v>
      </c>
      <c r="D51" s="6">
        <v>46033.461805555555</v>
      </c>
      <c r="E51" s="6">
        <v>46033.479166666664</v>
      </c>
      <c r="F51" s="6">
        <v>46033.538194444445</v>
      </c>
      <c r="G51" s="6">
        <v>46033.545138888891</v>
      </c>
      <c r="H51" s="6">
        <v>46033.552083333336</v>
      </c>
      <c r="I51">
        <v>2.38</v>
      </c>
      <c r="J51" s="6">
        <v>46033.559027777781</v>
      </c>
      <c r="K51" s="7">
        <f>C52-H51</f>
        <v>5.9027777773735579E-2</v>
      </c>
      <c r="L51">
        <f>HOUR(K51)</f>
        <v>1</v>
      </c>
      <c r="M51">
        <f>MINUTE(K51)</f>
        <v>25</v>
      </c>
      <c r="N51">
        <f>L51*60+M51</f>
        <v>85</v>
      </c>
    </row>
    <row r="52" spans="2:14" hidden="1" x14ac:dyDescent="0.25">
      <c r="B52" t="s">
        <v>30</v>
      </c>
      <c r="C52" s="6">
        <v>46033.611111111109</v>
      </c>
      <c r="D52" s="6">
        <v>46033.621527777781</v>
      </c>
      <c r="E52" s="6">
        <v>46033.638888888891</v>
      </c>
      <c r="F52" s="6">
        <v>46033.756944444445</v>
      </c>
      <c r="G52" s="6">
        <v>46033.763888888891</v>
      </c>
      <c r="H52" s="6">
        <v>46033.888888888891</v>
      </c>
      <c r="I52">
        <v>6.67</v>
      </c>
      <c r="J52" s="6">
        <v>46033.895833333336</v>
      </c>
      <c r="K52" s="7">
        <f>C53-H52</f>
        <v>-0.18055555555474712</v>
      </c>
      <c r="L52" t="e">
        <f>HOUR(K52)</f>
        <v>#NUM!</v>
      </c>
      <c r="M52" t="e">
        <f>MINUTE(K52)</f>
        <v>#NUM!</v>
      </c>
      <c r="N52" t="e">
        <f>L52*60+M52</f>
        <v>#NUM!</v>
      </c>
    </row>
    <row r="53" spans="2:14" x14ac:dyDescent="0.25">
      <c r="B53" t="s">
        <v>30</v>
      </c>
      <c r="C53" s="6">
        <v>46033.708333333336</v>
      </c>
      <c r="D53" s="6">
        <v>46033.722222222219</v>
      </c>
      <c r="E53" s="6">
        <v>46033.729166666664</v>
      </c>
      <c r="F53" s="6">
        <v>46033.791666666664</v>
      </c>
      <c r="G53" s="6">
        <v>46033.798611111109</v>
      </c>
      <c r="H53" s="6">
        <v>46033.802083333336</v>
      </c>
      <c r="I53">
        <v>2.25</v>
      </c>
      <c r="J53" s="6">
        <v>46033.805555555555</v>
      </c>
      <c r="K53" s="7">
        <f>C54-H53</f>
        <v>7.6388888883229811E-2</v>
      </c>
      <c r="L53">
        <f>HOUR(K53)</f>
        <v>1</v>
      </c>
      <c r="M53">
        <f>MINUTE(K53)</f>
        <v>50</v>
      </c>
      <c r="N53">
        <f>L53*60+M53</f>
        <v>110</v>
      </c>
    </row>
    <row r="54" spans="2:14" x14ac:dyDescent="0.25">
      <c r="B54" t="s">
        <v>30</v>
      </c>
      <c r="C54" s="6">
        <v>46033.878472222219</v>
      </c>
      <c r="D54" s="6">
        <v>46033.888888888891</v>
      </c>
      <c r="E54" s="6">
        <v>46033.895833333336</v>
      </c>
      <c r="F54" s="6">
        <v>46033.916666666664</v>
      </c>
      <c r="G54" s="6">
        <v>46033.920138888891</v>
      </c>
      <c r="H54" s="6">
        <v>46033.923611111109</v>
      </c>
      <c r="I54">
        <v>1.08</v>
      </c>
      <c r="J54" s="6">
        <v>46033.927083333336</v>
      </c>
      <c r="K54" s="7">
        <f>C55-H54</f>
        <v>0.41666666667151731</v>
      </c>
      <c r="L54">
        <f>HOUR(K54)</f>
        <v>10</v>
      </c>
      <c r="M54">
        <f>MINUTE(K54)</f>
        <v>0</v>
      </c>
      <c r="N54">
        <f>L54*60+M54</f>
        <v>600</v>
      </c>
    </row>
    <row r="55" spans="2:14" hidden="1" x14ac:dyDescent="0.25">
      <c r="B55" t="s">
        <v>30</v>
      </c>
      <c r="C55" s="6">
        <v>46034.340277777781</v>
      </c>
      <c r="D55" s="6">
        <v>46034.357638888891</v>
      </c>
      <c r="E55" s="6">
        <v>46034.381944444445</v>
      </c>
      <c r="F55" s="6">
        <v>46034.46875</v>
      </c>
      <c r="G55" s="6">
        <v>46034.472222222219</v>
      </c>
      <c r="H55" s="6">
        <v>46034.475694444445</v>
      </c>
      <c r="I55">
        <v>3.25</v>
      </c>
      <c r="J55" s="6">
        <v>46034.482638888891</v>
      </c>
      <c r="K55" s="7">
        <f>C56-H55</f>
        <v>-0.10069444444525288</v>
      </c>
      <c r="L55" t="e">
        <f>HOUR(K55)</f>
        <v>#NUM!</v>
      </c>
      <c r="M55" t="e">
        <f>MINUTE(K55)</f>
        <v>#NUM!</v>
      </c>
      <c r="N55" t="e">
        <f>L55*60+M55</f>
        <v>#NUM!</v>
      </c>
    </row>
    <row r="56" spans="2:14" x14ac:dyDescent="0.25">
      <c r="B56" t="s">
        <v>30</v>
      </c>
      <c r="C56" s="6">
        <v>46034.375</v>
      </c>
      <c r="D56" s="6">
        <v>46034.395138888889</v>
      </c>
      <c r="E56" s="6">
        <v>46034.395833333336</v>
      </c>
      <c r="F56" s="6">
        <v>46034.398611111108</v>
      </c>
      <c r="G56" s="6">
        <v>46034.402083333334</v>
      </c>
      <c r="H56" s="6">
        <v>46034.419444444444</v>
      </c>
      <c r="I56">
        <v>1.07</v>
      </c>
      <c r="J56" s="6">
        <v>46034.423611111109</v>
      </c>
      <c r="K56" s="7">
        <f>C57-H56</f>
        <v>8.7500000001455192E-2</v>
      </c>
      <c r="L56">
        <f>HOUR(K56)</f>
        <v>2</v>
      </c>
      <c r="M56">
        <f>MINUTE(K56)</f>
        <v>6</v>
      </c>
      <c r="N56">
        <f>L56*60+M56</f>
        <v>126</v>
      </c>
    </row>
    <row r="57" spans="2:14" x14ac:dyDescent="0.25">
      <c r="B57" t="s">
        <v>30</v>
      </c>
      <c r="C57" s="6">
        <v>46034.506944444445</v>
      </c>
      <c r="D57" s="6">
        <v>46034.513888888891</v>
      </c>
      <c r="E57" s="6">
        <v>46034.517361111109</v>
      </c>
      <c r="F57" s="6">
        <v>46034.524305555555</v>
      </c>
      <c r="G57" s="6">
        <v>46034.527777777781</v>
      </c>
      <c r="H57" s="6">
        <v>46034.53125</v>
      </c>
      <c r="I57">
        <v>0.57999999999999996</v>
      </c>
      <c r="J57" s="6">
        <v>46034.538194444445</v>
      </c>
      <c r="K57" s="7">
        <f>C58-H57</f>
        <v>6.0416666667151731E-2</v>
      </c>
      <c r="L57">
        <f>HOUR(K57)</f>
        <v>1</v>
      </c>
      <c r="M57">
        <f>MINUTE(K57)</f>
        <v>27</v>
      </c>
      <c r="N57">
        <f>L57*60+M57</f>
        <v>87</v>
      </c>
    </row>
    <row r="58" spans="2:14" x14ac:dyDescent="0.25">
      <c r="B58" t="s">
        <v>30</v>
      </c>
      <c r="C58" s="6">
        <v>46034.591666666667</v>
      </c>
      <c r="D58" s="6">
        <v>46034.625</v>
      </c>
      <c r="E58" s="6">
        <v>46034.677083333336</v>
      </c>
      <c r="F58" s="6">
        <v>46034.770833333336</v>
      </c>
      <c r="G58" s="6">
        <v>46034.777777777781</v>
      </c>
      <c r="H58" s="6">
        <v>46034.833333333336</v>
      </c>
      <c r="I58">
        <v>5.8</v>
      </c>
      <c r="J58" s="6">
        <v>46034.840277777781</v>
      </c>
      <c r="K58" s="7">
        <f>C59-H58</f>
        <v>9.7222222218988463E-2</v>
      </c>
      <c r="L58">
        <f>HOUR(K58)</f>
        <v>2</v>
      </c>
      <c r="M58">
        <f>MINUTE(K58)</f>
        <v>20</v>
      </c>
      <c r="N58">
        <f>L58*60+M58</f>
        <v>140</v>
      </c>
    </row>
    <row r="59" spans="2:14" hidden="1" x14ac:dyDescent="0.25">
      <c r="B59" t="s">
        <v>30</v>
      </c>
      <c r="C59" s="6">
        <v>46034.930555555555</v>
      </c>
      <c r="D59" s="6">
        <v>46034.9375</v>
      </c>
      <c r="E59" s="6">
        <v>46034.947916666664</v>
      </c>
      <c r="F59" s="6">
        <v>46035.083333333336</v>
      </c>
      <c r="G59" s="6">
        <v>46035.084027777775</v>
      </c>
      <c r="H59" s="6">
        <v>46035.090277777781</v>
      </c>
      <c r="I59">
        <v>3.83</v>
      </c>
      <c r="J59" s="6">
        <v>46035.097222222219</v>
      </c>
      <c r="K59" s="7">
        <f>C60-H59</f>
        <v>-0.15972222222626442</v>
      </c>
      <c r="L59" t="e">
        <f>HOUR(K59)</f>
        <v>#NUM!</v>
      </c>
      <c r="M59" t="e">
        <f>MINUTE(K59)</f>
        <v>#NUM!</v>
      </c>
      <c r="N59" t="e">
        <f>L59*60+M59</f>
        <v>#NUM!</v>
      </c>
    </row>
    <row r="60" spans="2:14" hidden="1" x14ac:dyDescent="0.25">
      <c r="B60" t="s">
        <v>30</v>
      </c>
      <c r="C60" s="6">
        <v>46034.930555555555</v>
      </c>
      <c r="D60" s="6">
        <v>46034.9375</v>
      </c>
      <c r="E60" s="6">
        <v>46034.947916666664</v>
      </c>
      <c r="F60" s="6">
        <v>46035.083333333336</v>
      </c>
      <c r="G60" s="6">
        <v>46035.084027777775</v>
      </c>
      <c r="H60" s="6">
        <v>46035.090277777781</v>
      </c>
      <c r="I60">
        <v>3.83</v>
      </c>
      <c r="J60" s="6">
        <v>46035.097222222219</v>
      </c>
      <c r="K60" s="7">
        <f>C61-H60</f>
        <v>-0.11388888888905058</v>
      </c>
      <c r="L60" t="e">
        <f>HOUR(K60)</f>
        <v>#NUM!</v>
      </c>
      <c r="M60" t="e">
        <f>MINUTE(K60)</f>
        <v>#NUM!</v>
      </c>
      <c r="N60" t="e">
        <f>L60*60+M60</f>
        <v>#NUM!</v>
      </c>
    </row>
    <row r="61" spans="2:14" x14ac:dyDescent="0.25">
      <c r="B61" t="s">
        <v>30</v>
      </c>
      <c r="C61" s="6">
        <v>46034.976388888892</v>
      </c>
      <c r="D61" s="6">
        <v>46034.979166666664</v>
      </c>
      <c r="E61" s="6">
        <v>46034.986111111109</v>
      </c>
      <c r="F61" s="6">
        <v>46035</v>
      </c>
      <c r="G61" s="6">
        <v>46035.006944444445</v>
      </c>
      <c r="H61" s="6">
        <v>46035.010416666664</v>
      </c>
      <c r="I61">
        <v>0.82</v>
      </c>
      <c r="J61" s="6">
        <v>46035.017361111109</v>
      </c>
      <c r="K61" s="7">
        <f>C62-H61</f>
        <v>0.27083333333575865</v>
      </c>
      <c r="L61">
        <f>HOUR(K61)</f>
        <v>6</v>
      </c>
      <c r="M61">
        <f>MINUTE(K61)</f>
        <v>30</v>
      </c>
      <c r="N61">
        <f>L61*60+M61</f>
        <v>390</v>
      </c>
    </row>
    <row r="62" spans="2:14" hidden="1" x14ac:dyDescent="0.25">
      <c r="B62" t="s">
        <v>30</v>
      </c>
      <c r="C62" s="6">
        <v>46035.28125</v>
      </c>
      <c r="D62" s="6">
        <v>46035.347222222219</v>
      </c>
      <c r="E62" s="6">
        <v>46035.361111111109</v>
      </c>
      <c r="F62" s="6">
        <v>46035.451388888891</v>
      </c>
      <c r="G62" s="6">
        <v>46035.458333333336</v>
      </c>
      <c r="H62" s="6">
        <v>46035.46875</v>
      </c>
      <c r="I62">
        <v>4.5</v>
      </c>
      <c r="J62" s="6">
        <v>46035.475694444445</v>
      </c>
      <c r="K62" s="7">
        <f>C63-H62</f>
        <v>-0.18055555555474712</v>
      </c>
      <c r="L62" t="e">
        <f>HOUR(K62)</f>
        <v>#NUM!</v>
      </c>
      <c r="M62" t="e">
        <f>MINUTE(K62)</f>
        <v>#NUM!</v>
      </c>
      <c r="N62" t="e">
        <f>L62*60+M62</f>
        <v>#NUM!</v>
      </c>
    </row>
    <row r="63" spans="2:14" hidden="1" x14ac:dyDescent="0.25">
      <c r="B63" t="s">
        <v>30</v>
      </c>
      <c r="C63" s="6">
        <v>46035.288194444445</v>
      </c>
      <c r="D63" s="6">
        <v>46035.354166666664</v>
      </c>
      <c r="E63" s="6">
        <v>46035.357638888891</v>
      </c>
      <c r="F63" s="6">
        <v>46035.375</v>
      </c>
      <c r="G63" s="6">
        <v>46035.381944444445</v>
      </c>
      <c r="H63" s="6">
        <v>46035.385416666664</v>
      </c>
      <c r="I63">
        <v>2.33</v>
      </c>
      <c r="J63" s="6">
        <v>46035.392361111109</v>
      </c>
      <c r="K63" s="7">
        <f>C64-H63</f>
        <v>-1.0416666664241347E-2</v>
      </c>
      <c r="L63" t="e">
        <f>HOUR(K63)</f>
        <v>#NUM!</v>
      </c>
      <c r="M63" t="e">
        <f>MINUTE(K63)</f>
        <v>#NUM!</v>
      </c>
      <c r="N63" t="e">
        <f>L63*60+M63</f>
        <v>#NUM!</v>
      </c>
    </row>
    <row r="64" spans="2:14" x14ac:dyDescent="0.25">
      <c r="B64" t="s">
        <v>30</v>
      </c>
      <c r="C64" s="6">
        <v>46035.375</v>
      </c>
      <c r="D64" s="6">
        <v>46035.381944444445</v>
      </c>
      <c r="E64" s="6">
        <v>46035.458333333336</v>
      </c>
      <c r="F64" s="6">
        <v>46035.509722222225</v>
      </c>
      <c r="G64" s="6">
        <v>46035.51666666667</v>
      </c>
      <c r="H64" s="6">
        <v>46035.541666666664</v>
      </c>
      <c r="I64">
        <v>4</v>
      </c>
      <c r="J64" s="6">
        <v>46035.548611111109</v>
      </c>
      <c r="K64" s="7">
        <f>C65-H64</f>
        <v>0.11319444444961846</v>
      </c>
      <c r="L64">
        <f>HOUR(K64)</f>
        <v>2</v>
      </c>
      <c r="M64">
        <f>MINUTE(K64)</f>
        <v>43</v>
      </c>
      <c r="N64">
        <f>L64*60+M64</f>
        <v>163</v>
      </c>
    </row>
    <row r="65" spans="2:14" hidden="1" x14ac:dyDescent="0.25">
      <c r="B65" t="s">
        <v>30</v>
      </c>
      <c r="C65" s="6">
        <v>46035.654861111114</v>
      </c>
      <c r="D65" s="6">
        <v>46035.666666666664</v>
      </c>
      <c r="E65" s="6">
        <v>46035.680555555555</v>
      </c>
      <c r="F65" s="6">
        <v>46035.6875</v>
      </c>
      <c r="G65" s="6">
        <v>46035.694444444445</v>
      </c>
      <c r="H65" s="6">
        <v>46035.708333333336</v>
      </c>
      <c r="I65">
        <v>1.28</v>
      </c>
      <c r="J65" s="6">
        <v>46035.715277777781</v>
      </c>
      <c r="K65" s="7">
        <f>C66-H65</f>
        <v>-2.0833333335758653E-2</v>
      </c>
      <c r="L65" t="e">
        <f>HOUR(K65)</f>
        <v>#NUM!</v>
      </c>
      <c r="M65" t="e">
        <f>MINUTE(K65)</f>
        <v>#NUM!</v>
      </c>
      <c r="N65" t="e">
        <f>L65*60+M65</f>
        <v>#NUM!</v>
      </c>
    </row>
    <row r="66" spans="2:14" x14ac:dyDescent="0.25">
      <c r="B66" t="s">
        <v>30</v>
      </c>
      <c r="C66" s="6">
        <v>46035.6875</v>
      </c>
      <c r="D66" s="6">
        <v>46035.694444444445</v>
      </c>
      <c r="E66" s="6">
        <v>46035.701388888891</v>
      </c>
      <c r="F66" s="6">
        <v>46035.722222222219</v>
      </c>
      <c r="G66" s="6">
        <v>46035.725694444445</v>
      </c>
      <c r="H66" s="6">
        <v>46035.732638888891</v>
      </c>
      <c r="I66">
        <v>1.08</v>
      </c>
      <c r="J66" s="6">
        <v>46035.739583333336</v>
      </c>
      <c r="K66" s="7">
        <f>C67-H66</f>
        <v>0.10416666666424135</v>
      </c>
      <c r="L66">
        <f>HOUR(K66)</f>
        <v>2</v>
      </c>
      <c r="M66">
        <f>MINUTE(K66)</f>
        <v>30</v>
      </c>
      <c r="N66">
        <f>L66*60+M66</f>
        <v>150</v>
      </c>
    </row>
    <row r="67" spans="2:14" x14ac:dyDescent="0.25">
      <c r="B67" t="s">
        <v>30</v>
      </c>
      <c r="C67" s="6">
        <v>46035.836805555555</v>
      </c>
      <c r="D67" s="6">
        <v>46035.847222222219</v>
      </c>
      <c r="E67" s="6">
        <v>46035.864583333336</v>
      </c>
      <c r="F67" s="6">
        <v>46035.916666666664</v>
      </c>
      <c r="G67" s="6">
        <v>46035.923611111109</v>
      </c>
      <c r="H67" s="6">
        <v>46035.940972222219</v>
      </c>
      <c r="I67">
        <v>2.5</v>
      </c>
      <c r="J67" s="6">
        <v>46035.944444444445</v>
      </c>
      <c r="K67" s="7">
        <f>C68-H67</f>
        <v>1.7361111116770189E-2</v>
      </c>
      <c r="L67">
        <f>HOUR(K67)</f>
        <v>0</v>
      </c>
      <c r="M67">
        <f>MINUTE(K67)</f>
        <v>25</v>
      </c>
      <c r="N67">
        <f>L67*60+M67</f>
        <v>25</v>
      </c>
    </row>
    <row r="68" spans="2:14" hidden="1" x14ac:dyDescent="0.25">
      <c r="B68" t="s">
        <v>30</v>
      </c>
      <c r="C68" s="6">
        <v>46035.958333333336</v>
      </c>
      <c r="D68" s="6">
        <v>46035.965277777781</v>
      </c>
      <c r="E68" s="6">
        <v>46035.979166666664</v>
      </c>
      <c r="F68" s="6">
        <v>46036.020833333336</v>
      </c>
      <c r="G68" s="6">
        <v>46036.027777777781</v>
      </c>
      <c r="H68" s="6">
        <v>46036.03125</v>
      </c>
      <c r="I68">
        <v>1.75</v>
      </c>
      <c r="J68" s="6">
        <v>46036.031944444447</v>
      </c>
      <c r="K68" s="7">
        <f>C69-H68</f>
        <v>-7.0833333331393078E-2</v>
      </c>
      <c r="L68" t="e">
        <f>HOUR(K68)</f>
        <v>#NUM!</v>
      </c>
      <c r="M68" t="e">
        <f>MINUTE(K68)</f>
        <v>#NUM!</v>
      </c>
      <c r="N68" t="e">
        <f>L68*60+M68</f>
        <v>#NUM!</v>
      </c>
    </row>
    <row r="69" spans="2:14" x14ac:dyDescent="0.25">
      <c r="B69" t="s">
        <v>30</v>
      </c>
      <c r="C69" s="6">
        <v>46035.960416666669</v>
      </c>
      <c r="D69" s="6">
        <v>46035.972222222219</v>
      </c>
      <c r="E69" s="6">
        <v>46035.989583333336</v>
      </c>
      <c r="F69" s="6">
        <v>46036.125</v>
      </c>
      <c r="G69" s="6">
        <v>46036.128472222219</v>
      </c>
      <c r="H69" s="6">
        <v>46036.131944444445</v>
      </c>
      <c r="I69">
        <v>4.12</v>
      </c>
      <c r="J69" s="6">
        <v>46036.138888888891</v>
      </c>
      <c r="K69" s="7">
        <f>C70-H69</f>
        <v>0.15972222221898846</v>
      </c>
      <c r="L69">
        <f>HOUR(K69)</f>
        <v>3</v>
      </c>
      <c r="M69">
        <f>MINUTE(K69)</f>
        <v>50</v>
      </c>
      <c r="N69">
        <f>L69*60+M69</f>
        <v>230</v>
      </c>
    </row>
    <row r="70" spans="2:14" hidden="1" x14ac:dyDescent="0.25">
      <c r="B70" t="s">
        <v>30</v>
      </c>
      <c r="C70" s="6">
        <v>46036.291666666664</v>
      </c>
      <c r="D70" s="6">
        <v>46036.326388888891</v>
      </c>
      <c r="E70" s="6">
        <v>46036.347222222219</v>
      </c>
      <c r="F70" s="6">
        <v>46036.444444444445</v>
      </c>
      <c r="G70" s="6">
        <v>46036.451388888891</v>
      </c>
      <c r="H70" s="6">
        <v>46036.458333333336</v>
      </c>
      <c r="I70">
        <v>4</v>
      </c>
      <c r="J70" s="6">
        <v>46036.465277777781</v>
      </c>
      <c r="K70" s="7">
        <f>C71-H70</f>
        <v>-5.5555555554747116E-2</v>
      </c>
      <c r="L70" t="e">
        <f>HOUR(K70)</f>
        <v>#NUM!</v>
      </c>
      <c r="M70" t="e">
        <f>MINUTE(K70)</f>
        <v>#NUM!</v>
      </c>
      <c r="N70" t="e">
        <f>L70*60+M70</f>
        <v>#NUM!</v>
      </c>
    </row>
    <row r="71" spans="2:14" hidden="1" x14ac:dyDescent="0.25">
      <c r="B71" t="s">
        <v>30</v>
      </c>
      <c r="C71" s="6">
        <v>46036.402777777781</v>
      </c>
      <c r="D71" s="6">
        <v>46036.40625</v>
      </c>
      <c r="E71" s="6">
        <v>46036.427083333336</v>
      </c>
      <c r="F71" s="6">
        <v>46036.522222222222</v>
      </c>
      <c r="G71" s="6">
        <v>46036.576388888891</v>
      </c>
      <c r="H71" s="6">
        <v>46036.588194444441</v>
      </c>
      <c r="I71">
        <v>4.45</v>
      </c>
      <c r="J71" s="6">
        <v>46036.588888888888</v>
      </c>
      <c r="K71" s="7">
        <f>C72-H71</f>
        <v>-0.14861111110803904</v>
      </c>
      <c r="L71" t="e">
        <f>HOUR(K71)</f>
        <v>#NUM!</v>
      </c>
      <c r="M71" t="e">
        <f>MINUTE(K71)</f>
        <v>#NUM!</v>
      </c>
      <c r="N71" t="e">
        <f>L71*60+M71</f>
        <v>#NUM!</v>
      </c>
    </row>
    <row r="72" spans="2:14" x14ac:dyDescent="0.25">
      <c r="B72" t="s">
        <v>30</v>
      </c>
      <c r="C72" s="6">
        <v>46036.439583333333</v>
      </c>
      <c r="D72" s="6">
        <v>46036.458333333336</v>
      </c>
      <c r="E72" s="6">
        <v>46036.465277777781</v>
      </c>
      <c r="F72" s="6">
        <v>46036.472222222219</v>
      </c>
      <c r="G72" s="6">
        <v>46036.479166666664</v>
      </c>
      <c r="H72" s="6">
        <v>46036.5</v>
      </c>
      <c r="I72">
        <v>1.45</v>
      </c>
      <c r="J72" s="6">
        <v>46036.506944444445</v>
      </c>
      <c r="K72" s="7">
        <f>C73-H72</f>
        <v>0.16319444444525288</v>
      </c>
      <c r="L72">
        <f>HOUR(K72)</f>
        <v>3</v>
      </c>
      <c r="M72">
        <f>MINUTE(K72)</f>
        <v>55</v>
      </c>
      <c r="N72">
        <f>L72*60+M72</f>
        <v>235</v>
      </c>
    </row>
    <row r="73" spans="2:14" hidden="1" x14ac:dyDescent="0.25">
      <c r="B73" t="s">
        <v>30</v>
      </c>
      <c r="C73" s="6">
        <v>46036.663194444445</v>
      </c>
      <c r="D73" s="6">
        <v>46036.673611111109</v>
      </c>
      <c r="E73" s="6">
        <v>46036.690972222219</v>
      </c>
      <c r="F73" s="6">
        <v>46036.786805555559</v>
      </c>
      <c r="G73" s="6">
        <v>46036.793749999997</v>
      </c>
      <c r="H73" s="6">
        <v>46036.798611111109</v>
      </c>
      <c r="I73">
        <v>3.25</v>
      </c>
      <c r="J73" s="6">
        <v>46036.805555555555</v>
      </c>
      <c r="K73" s="7">
        <f>C74-H73</f>
        <v>-0.11111111110949423</v>
      </c>
      <c r="L73" t="e">
        <f>HOUR(K73)</f>
        <v>#NUM!</v>
      </c>
      <c r="M73" t="e">
        <f>MINUTE(K73)</f>
        <v>#NUM!</v>
      </c>
      <c r="N73" t="e">
        <f>L73*60+M73</f>
        <v>#NUM!</v>
      </c>
    </row>
    <row r="74" spans="2:14" hidden="1" x14ac:dyDescent="0.25">
      <c r="B74" t="s">
        <v>30</v>
      </c>
      <c r="C74" s="6">
        <v>46036.6875</v>
      </c>
      <c r="D74" s="6">
        <v>46036.708333333336</v>
      </c>
      <c r="E74" s="6">
        <v>46036.71875</v>
      </c>
      <c r="F74" s="6">
        <v>46036.75</v>
      </c>
      <c r="G74" s="6">
        <v>46036.756944444445</v>
      </c>
      <c r="H74" s="6">
        <v>46036.763888888891</v>
      </c>
      <c r="I74">
        <v>1.83</v>
      </c>
      <c r="J74" s="6">
        <v>46036.770833333336</v>
      </c>
      <c r="K74" s="7">
        <f>C75-H74</f>
        <v>-2.0833333335758653E-2</v>
      </c>
      <c r="L74" t="e">
        <f>HOUR(K74)</f>
        <v>#NUM!</v>
      </c>
      <c r="M74" t="e">
        <f>MINUTE(K74)</f>
        <v>#NUM!</v>
      </c>
      <c r="N74" t="e">
        <f>L74*60+M74</f>
        <v>#NUM!</v>
      </c>
    </row>
    <row r="75" spans="2:14" x14ac:dyDescent="0.25">
      <c r="B75" t="s">
        <v>30</v>
      </c>
      <c r="C75" s="6">
        <v>46036.743055555555</v>
      </c>
      <c r="D75" s="6">
        <v>46036.746527777781</v>
      </c>
      <c r="E75" s="6">
        <v>46036.75</v>
      </c>
      <c r="F75" s="6">
        <v>46036.775694444441</v>
      </c>
      <c r="G75" s="6">
        <v>46036.777777777781</v>
      </c>
      <c r="H75" s="6">
        <v>46036.779166666667</v>
      </c>
      <c r="I75">
        <v>0.87</v>
      </c>
      <c r="J75" s="6">
        <v>46036.780555555553</v>
      </c>
      <c r="K75" s="7">
        <f>C76-H75</f>
        <v>0.51249999999708962</v>
      </c>
      <c r="L75">
        <f>HOUR(K75)</f>
        <v>12</v>
      </c>
      <c r="M75">
        <f>MINUTE(K75)</f>
        <v>18</v>
      </c>
      <c r="N75">
        <f>L75*60+M75</f>
        <v>738</v>
      </c>
    </row>
    <row r="76" spans="2:14" x14ac:dyDescent="0.25">
      <c r="B76" t="s">
        <v>30</v>
      </c>
      <c r="C76" s="6">
        <v>46037.291666666664</v>
      </c>
      <c r="D76" s="6">
        <v>46037.340277777781</v>
      </c>
      <c r="E76" s="6">
        <v>46037.375</v>
      </c>
      <c r="F76" s="6">
        <v>46037.549305555556</v>
      </c>
      <c r="G76" s="6">
        <v>46037.556250000001</v>
      </c>
      <c r="H76" s="6">
        <v>46037.556944444441</v>
      </c>
      <c r="I76">
        <v>6.37</v>
      </c>
      <c r="J76" s="6">
        <v>46037.557638888888</v>
      </c>
      <c r="K76" s="7">
        <f>C77-H76</f>
        <v>3.3333333340124227E-2</v>
      </c>
      <c r="L76">
        <f>HOUR(K76)</f>
        <v>0</v>
      </c>
      <c r="M76">
        <f>MINUTE(K76)</f>
        <v>48</v>
      </c>
      <c r="N76">
        <f>L76*60+M76</f>
        <v>48</v>
      </c>
    </row>
    <row r="77" spans="2:14" x14ac:dyDescent="0.25">
      <c r="B77" t="s">
        <v>30</v>
      </c>
      <c r="C77" s="6">
        <v>46037.590277777781</v>
      </c>
      <c r="D77" s="6">
        <v>46037.597222222219</v>
      </c>
      <c r="E77" s="6">
        <v>46037.628472222219</v>
      </c>
      <c r="F77" s="6">
        <v>46037.701388888891</v>
      </c>
      <c r="G77" s="6">
        <v>46037.708333333336</v>
      </c>
      <c r="H77" s="6">
        <v>46037.710416666669</v>
      </c>
      <c r="I77">
        <v>2.88</v>
      </c>
      <c r="J77" s="6">
        <v>46037.717361111114</v>
      </c>
      <c r="K77" s="7">
        <f>C78-H77</f>
        <v>3.2638888886140194E-2</v>
      </c>
      <c r="L77">
        <f>HOUR(K77)</f>
        <v>0</v>
      </c>
      <c r="M77">
        <f>MINUTE(K77)</f>
        <v>47</v>
      </c>
      <c r="N77">
        <f>L77*60+M77</f>
        <v>47</v>
      </c>
    </row>
    <row r="78" spans="2:14" x14ac:dyDescent="0.25">
      <c r="B78" t="s">
        <v>30</v>
      </c>
      <c r="C78" s="6">
        <v>46037.743055555555</v>
      </c>
      <c r="D78" s="6">
        <v>46037.75</v>
      </c>
      <c r="E78" s="6">
        <v>46037.760416666664</v>
      </c>
      <c r="F78" s="6">
        <v>46037.767361111109</v>
      </c>
      <c r="G78" s="6">
        <v>46037.774305555555</v>
      </c>
      <c r="H78" s="6">
        <v>46037.777777777781</v>
      </c>
      <c r="I78">
        <v>0.83</v>
      </c>
      <c r="J78" s="6">
        <v>46037.779861111114</v>
      </c>
      <c r="K78" s="7">
        <f>C79-H78</f>
        <v>3.4722222218988463E-2</v>
      </c>
      <c r="L78">
        <f>HOUR(K78)</f>
        <v>0</v>
      </c>
      <c r="M78">
        <f>MINUTE(K78)</f>
        <v>50</v>
      </c>
      <c r="N78">
        <f>L78*60+M78</f>
        <v>50</v>
      </c>
    </row>
    <row r="79" spans="2:14" x14ac:dyDescent="0.25">
      <c r="B79" t="s">
        <v>30</v>
      </c>
      <c r="C79" s="6">
        <v>46037.8125</v>
      </c>
      <c r="D79" s="6">
        <v>46037.819444444445</v>
      </c>
      <c r="E79" s="6">
        <v>46037.826388888891</v>
      </c>
      <c r="F79" s="6">
        <v>46037.834027777775</v>
      </c>
      <c r="G79" s="6">
        <v>46037.84097222222</v>
      </c>
      <c r="H79" s="6">
        <v>46037.895833333336</v>
      </c>
      <c r="I79">
        <v>2</v>
      </c>
      <c r="J79" s="6">
        <v>46037.902777777781</v>
      </c>
      <c r="K79" s="7">
        <f>C80-H79</f>
        <v>3.125E-2</v>
      </c>
      <c r="L79">
        <f>HOUR(K79)</f>
        <v>0</v>
      </c>
      <c r="M79">
        <f>MINUTE(K79)</f>
        <v>45</v>
      </c>
      <c r="N79">
        <f>L79*60+M79</f>
        <v>45</v>
      </c>
    </row>
    <row r="80" spans="2:14" x14ac:dyDescent="0.25">
      <c r="B80" t="s">
        <v>30</v>
      </c>
      <c r="C80" s="6">
        <v>46037.927083333336</v>
      </c>
      <c r="D80" s="6">
        <v>46037.934027777781</v>
      </c>
      <c r="E80" s="6">
        <v>46037.938194444447</v>
      </c>
      <c r="F80" s="6">
        <v>46037.96597222222</v>
      </c>
      <c r="G80" s="6">
        <v>46037.972916666666</v>
      </c>
      <c r="H80" s="6">
        <v>46037.979166666664</v>
      </c>
      <c r="I80">
        <v>1.25</v>
      </c>
      <c r="J80" s="6">
        <v>46037.986111111109</v>
      </c>
      <c r="K80" s="7">
        <f>C81-H80</f>
        <v>0.55555555555474712</v>
      </c>
      <c r="L80">
        <f>HOUR(K80)</f>
        <v>13</v>
      </c>
      <c r="M80">
        <f>MINUTE(K80)</f>
        <v>20</v>
      </c>
      <c r="N80">
        <f>L80*60+M80</f>
        <v>800</v>
      </c>
    </row>
    <row r="81" spans="2:14" hidden="1" x14ac:dyDescent="0.25">
      <c r="B81" t="s">
        <v>30</v>
      </c>
      <c r="C81" s="6">
        <v>46038.534722222219</v>
      </c>
      <c r="D81" s="6">
        <v>46038.545138888891</v>
      </c>
      <c r="E81" s="6">
        <v>46038.586805555555</v>
      </c>
      <c r="F81" s="6">
        <v>46038.6875</v>
      </c>
      <c r="G81" s="6">
        <v>46038.722222222219</v>
      </c>
      <c r="H81" s="6">
        <v>46038.729166666664</v>
      </c>
      <c r="I81">
        <v>4.67</v>
      </c>
      <c r="J81" s="6">
        <v>46038.736111111109</v>
      </c>
      <c r="K81" s="7">
        <f>C82-H81</f>
        <v>-0.18402777777373558</v>
      </c>
      <c r="L81" t="e">
        <f>HOUR(K81)</f>
        <v>#NUM!</v>
      </c>
      <c r="M81" t="e">
        <f>MINUTE(K81)</f>
        <v>#NUM!</v>
      </c>
      <c r="N81" t="e">
        <f>L81*60+M81</f>
        <v>#NUM!</v>
      </c>
    </row>
    <row r="82" spans="2:14" hidden="1" x14ac:dyDescent="0.25">
      <c r="B82" t="s">
        <v>30</v>
      </c>
      <c r="C82" s="6">
        <v>46038.545138888891</v>
      </c>
      <c r="D82" s="6">
        <v>46038.5625</v>
      </c>
      <c r="E82" s="6">
        <v>46038.625</v>
      </c>
      <c r="F82" s="6">
        <v>46038.706250000003</v>
      </c>
      <c r="G82" s="6">
        <v>46038.708333333336</v>
      </c>
      <c r="H82" s="6">
        <v>46038.715277777781</v>
      </c>
      <c r="I82">
        <v>4.08</v>
      </c>
      <c r="J82" s="6">
        <v>46038.722222222219</v>
      </c>
      <c r="K82" s="7">
        <f>C83-H82</f>
        <v>-8.5416666668606922E-2</v>
      </c>
      <c r="L82" t="e">
        <f>HOUR(K82)</f>
        <v>#NUM!</v>
      </c>
      <c r="M82" t="e">
        <f>MINUTE(K82)</f>
        <v>#NUM!</v>
      </c>
      <c r="N82" t="e">
        <f>L82*60+M82</f>
        <v>#NUM!</v>
      </c>
    </row>
    <row r="83" spans="2:14" x14ac:dyDescent="0.25">
      <c r="B83" t="s">
        <v>30</v>
      </c>
      <c r="C83" s="6">
        <v>46038.629861111112</v>
      </c>
      <c r="D83" s="6">
        <v>46038.631944444445</v>
      </c>
      <c r="E83" s="6">
        <v>46038.635416666664</v>
      </c>
      <c r="F83" s="6">
        <v>46038.659722222219</v>
      </c>
      <c r="G83" s="6">
        <v>46038.666666666664</v>
      </c>
      <c r="H83" s="6">
        <v>46038.668055555558</v>
      </c>
      <c r="I83">
        <v>0.92</v>
      </c>
      <c r="J83" s="6">
        <v>46038.675000000003</v>
      </c>
      <c r="K83" s="7">
        <f>C84-H83</f>
        <v>6.8055555551836733E-2</v>
      </c>
      <c r="L83">
        <f>HOUR(K83)</f>
        <v>1</v>
      </c>
      <c r="M83">
        <f>MINUTE(K83)</f>
        <v>38</v>
      </c>
      <c r="N83">
        <f>L83*60+M83</f>
        <v>98</v>
      </c>
    </row>
    <row r="84" spans="2:14" x14ac:dyDescent="0.25">
      <c r="B84" t="s">
        <v>30</v>
      </c>
      <c r="C84" s="6">
        <v>46038.736111111109</v>
      </c>
      <c r="D84" s="6">
        <v>46038.743055555555</v>
      </c>
      <c r="E84" s="6">
        <v>46038.75</v>
      </c>
      <c r="F84" s="6">
        <v>46038.8</v>
      </c>
      <c r="G84" s="6">
        <v>46038.806944444441</v>
      </c>
      <c r="H84" s="6">
        <v>46038.8125</v>
      </c>
      <c r="I84">
        <v>1.83</v>
      </c>
      <c r="J84" s="6">
        <v>46038.819444444445</v>
      </c>
      <c r="K84" s="7">
        <f>C85-H84</f>
        <v>3.4722222218988463E-2</v>
      </c>
      <c r="L84">
        <f>HOUR(K84)</f>
        <v>0</v>
      </c>
      <c r="M84">
        <f>MINUTE(K84)</f>
        <v>50</v>
      </c>
      <c r="N84">
        <f>L84*60+M84</f>
        <v>50</v>
      </c>
    </row>
    <row r="85" spans="2:14" hidden="1" x14ac:dyDescent="0.25">
      <c r="B85" t="s">
        <v>30</v>
      </c>
      <c r="C85" s="6">
        <v>46038.847222222219</v>
      </c>
      <c r="D85" s="6">
        <v>46038.850694444445</v>
      </c>
      <c r="E85" s="6">
        <v>46038.857638888891</v>
      </c>
      <c r="F85" s="6">
        <v>46038.892361111109</v>
      </c>
      <c r="G85" s="6">
        <v>46038.899305555555</v>
      </c>
      <c r="H85" s="6">
        <v>46038.902777777781</v>
      </c>
      <c r="I85">
        <v>1.33</v>
      </c>
      <c r="J85" s="6">
        <v>46038.90347222222</v>
      </c>
      <c r="K85" s="7">
        <f>C86-H85</f>
        <v>-4.8611111116770189E-2</v>
      </c>
      <c r="L85" t="e">
        <f>HOUR(K85)</f>
        <v>#NUM!</v>
      </c>
      <c r="M85" t="e">
        <f>MINUTE(K85)</f>
        <v>#NUM!</v>
      </c>
      <c r="N85" t="e">
        <f>L85*60+M85</f>
        <v>#NUM!</v>
      </c>
    </row>
    <row r="86" spans="2:14" hidden="1" x14ac:dyDescent="0.25">
      <c r="B86" t="s">
        <v>30</v>
      </c>
      <c r="C86" s="6">
        <v>46038.854166666664</v>
      </c>
      <c r="D86" s="6">
        <v>46038.864583333336</v>
      </c>
      <c r="E86" s="6">
        <v>46038.875</v>
      </c>
      <c r="F86" s="6">
        <v>46038.979166666664</v>
      </c>
      <c r="G86" s="6">
        <v>46038.982638888891</v>
      </c>
      <c r="H86" s="6">
        <v>46038.98333333333</v>
      </c>
      <c r="I86">
        <v>3.1</v>
      </c>
      <c r="J86" s="6">
        <v>46038.984027777777</v>
      </c>
      <c r="K86" s="7">
        <f>C87-H86</f>
        <v>-5.9722222220443655E-2</v>
      </c>
      <c r="L86" t="e">
        <f>HOUR(K86)</f>
        <v>#NUM!</v>
      </c>
      <c r="M86" t="e">
        <f>MINUTE(K86)</f>
        <v>#NUM!</v>
      </c>
      <c r="N86" t="e">
        <f>L86*60+M86</f>
        <v>#NUM!</v>
      </c>
    </row>
    <row r="87" spans="2:14" x14ac:dyDescent="0.25">
      <c r="B87" t="s">
        <v>30</v>
      </c>
      <c r="C87" s="6">
        <v>46038.923611111109</v>
      </c>
      <c r="D87" s="6">
        <v>46038.951388888891</v>
      </c>
      <c r="E87" s="6">
        <v>46038.961805555555</v>
      </c>
      <c r="F87" s="6">
        <v>46039.010416666664</v>
      </c>
      <c r="G87" s="6">
        <v>46039.013194444444</v>
      </c>
      <c r="H87" s="6">
        <v>46039.013888888891</v>
      </c>
      <c r="I87">
        <v>2.17</v>
      </c>
      <c r="J87" s="6">
        <v>46039.015277777777</v>
      </c>
      <c r="K87" s="7">
        <f>C88-H87</f>
        <v>0.35416666666424135</v>
      </c>
      <c r="L87">
        <f>HOUR(K87)</f>
        <v>8</v>
      </c>
      <c r="M87">
        <f>MINUTE(K87)</f>
        <v>30</v>
      </c>
      <c r="N87">
        <f>L87*60+M87</f>
        <v>510</v>
      </c>
    </row>
    <row r="88" spans="2:14" x14ac:dyDescent="0.25">
      <c r="B88" t="s">
        <v>30</v>
      </c>
      <c r="C88" s="6">
        <v>46039.368055555555</v>
      </c>
      <c r="D88" s="6">
        <v>46039.382638888892</v>
      </c>
      <c r="E88" s="6">
        <v>46039.395833333336</v>
      </c>
      <c r="F88" s="6">
        <v>46039.604166666664</v>
      </c>
      <c r="G88" s="6">
        <v>46039.625</v>
      </c>
      <c r="H88" s="6">
        <v>46039.652777777781</v>
      </c>
      <c r="I88">
        <v>6.83</v>
      </c>
      <c r="J88" s="6">
        <v>46039.659722222219</v>
      </c>
      <c r="K88" s="7">
        <f>C89-H88</f>
        <v>0.72222222221898846</v>
      </c>
      <c r="L88">
        <f>HOUR(K88)</f>
        <v>17</v>
      </c>
      <c r="M88">
        <f>MINUTE(K88)</f>
        <v>20</v>
      </c>
      <c r="N88">
        <f>L88*60+M88</f>
        <v>1040</v>
      </c>
    </row>
    <row r="89" spans="2:14" x14ac:dyDescent="0.25">
      <c r="B89" t="s">
        <v>30</v>
      </c>
      <c r="C89" s="6">
        <v>46040.375</v>
      </c>
      <c r="D89" s="6">
        <v>46040.378472222219</v>
      </c>
      <c r="E89" s="6">
        <v>46040.402777777781</v>
      </c>
      <c r="F89" s="6">
        <v>46040.430555555555</v>
      </c>
      <c r="G89" s="6">
        <v>46040.434027777781</v>
      </c>
      <c r="H89" s="6">
        <v>46040.440972222219</v>
      </c>
      <c r="I89">
        <v>1.58</v>
      </c>
      <c r="J89" s="6">
        <v>46040.454861111109</v>
      </c>
      <c r="K89" s="7">
        <f>C90-H89</f>
        <v>5.5555555562023073E-2</v>
      </c>
      <c r="L89">
        <f>HOUR(K89)</f>
        <v>1</v>
      </c>
      <c r="M89">
        <f>MINUTE(K89)</f>
        <v>20</v>
      </c>
      <c r="N89">
        <f>L89*60+M89</f>
        <v>80</v>
      </c>
    </row>
    <row r="90" spans="2:14" x14ac:dyDescent="0.25">
      <c r="B90" t="s">
        <v>30</v>
      </c>
      <c r="C90" s="6">
        <v>46040.496527777781</v>
      </c>
      <c r="D90" s="6">
        <v>46040.506944444445</v>
      </c>
      <c r="E90" s="6">
        <v>46040.520833333336</v>
      </c>
      <c r="F90" s="6">
        <v>46040.569444444445</v>
      </c>
      <c r="G90" s="6">
        <v>46040.576388888891</v>
      </c>
      <c r="H90" s="6">
        <v>46040.583333333336</v>
      </c>
      <c r="I90">
        <v>2.08</v>
      </c>
      <c r="J90" s="6">
        <v>46040.590277777781</v>
      </c>
      <c r="K90" s="7">
        <f>C91-H90</f>
        <v>8.6805555554747116E-2</v>
      </c>
      <c r="L90">
        <f>HOUR(K90)</f>
        <v>2</v>
      </c>
      <c r="M90">
        <f>MINUTE(K90)</f>
        <v>5</v>
      </c>
      <c r="N90">
        <f>L90*60+M90</f>
        <v>125</v>
      </c>
    </row>
    <row r="91" spans="2:14" hidden="1" x14ac:dyDescent="0.25">
      <c r="B91" t="s">
        <v>30</v>
      </c>
      <c r="C91" s="6">
        <v>46040.670138888891</v>
      </c>
      <c r="D91" s="6">
        <v>46040.682638888888</v>
      </c>
      <c r="E91" s="6">
        <v>46040.689583333333</v>
      </c>
      <c r="F91" s="6">
        <v>46040.746527777781</v>
      </c>
      <c r="G91" s="6">
        <v>46040.75</v>
      </c>
      <c r="H91" s="6">
        <v>46040.750694444447</v>
      </c>
      <c r="I91">
        <v>1.93</v>
      </c>
      <c r="J91" s="6">
        <v>46040.751388888886</v>
      </c>
      <c r="K91" s="7">
        <f>C92-H91</f>
        <v>-4.166666665696539E-3</v>
      </c>
      <c r="L91" t="e">
        <f>HOUR(K91)</f>
        <v>#NUM!</v>
      </c>
      <c r="M91" t="e">
        <f>MINUTE(K91)</f>
        <v>#NUM!</v>
      </c>
      <c r="N91" t="e">
        <f>L91*60+M91</f>
        <v>#NUM!</v>
      </c>
    </row>
    <row r="92" spans="2:14" x14ac:dyDescent="0.25">
      <c r="B92" t="s">
        <v>30</v>
      </c>
      <c r="C92" s="6">
        <v>46040.746527777781</v>
      </c>
      <c r="D92" s="6">
        <v>46040.753472222219</v>
      </c>
      <c r="E92" s="6">
        <v>46040.763888888891</v>
      </c>
      <c r="F92" s="6">
        <v>46040.78125</v>
      </c>
      <c r="G92" s="6">
        <v>46040.784722222219</v>
      </c>
      <c r="H92" s="6">
        <v>46040.788194444445</v>
      </c>
      <c r="I92">
        <v>1</v>
      </c>
      <c r="J92" s="6">
        <v>46040.788888888892</v>
      </c>
      <c r="K92" s="7">
        <f>C93-H92</f>
        <v>3.4722222218988463E-2</v>
      </c>
      <c r="L92">
        <f>HOUR(K92)</f>
        <v>0</v>
      </c>
      <c r="M92">
        <f>MINUTE(K92)</f>
        <v>50</v>
      </c>
      <c r="N92">
        <f>L92*60+M92</f>
        <v>50</v>
      </c>
    </row>
    <row r="93" spans="2:14" x14ac:dyDescent="0.25">
      <c r="B93" t="s">
        <v>30</v>
      </c>
      <c r="C93" s="6">
        <v>46040.822916666664</v>
      </c>
      <c r="D93" s="6">
        <v>46040.835416666669</v>
      </c>
      <c r="E93" s="6">
        <v>46040.854166666664</v>
      </c>
      <c r="F93" s="6">
        <v>46040.919444444444</v>
      </c>
      <c r="G93" s="6">
        <v>46040.930555555555</v>
      </c>
      <c r="H93" s="6">
        <v>46040.972222222219</v>
      </c>
      <c r="I93">
        <v>3.58</v>
      </c>
      <c r="J93" s="6">
        <v>46040.975694444445</v>
      </c>
      <c r="K93" s="7">
        <f>C94-H93</f>
        <v>2.0833333335758653E-2</v>
      </c>
      <c r="L93">
        <f>HOUR(K93)</f>
        <v>0</v>
      </c>
      <c r="M93">
        <f>MINUTE(K93)</f>
        <v>30</v>
      </c>
      <c r="N93">
        <f>L93*60+M93</f>
        <v>30</v>
      </c>
    </row>
    <row r="94" spans="2:14" hidden="1" x14ac:dyDescent="0.25">
      <c r="B94" t="s">
        <v>30</v>
      </c>
      <c r="C94" s="6">
        <v>46040.993055555555</v>
      </c>
      <c r="D94" s="6">
        <v>46041</v>
      </c>
      <c r="E94" s="6">
        <v>46041.010416666664</v>
      </c>
      <c r="F94" s="6">
        <v>46041.034722222219</v>
      </c>
      <c r="G94" s="6">
        <v>46041.041666666664</v>
      </c>
      <c r="H94" s="6">
        <v>46041.042361111111</v>
      </c>
      <c r="I94">
        <v>1.18</v>
      </c>
      <c r="J94" s="6">
        <v>46041.049305555556</v>
      </c>
      <c r="K94" s="7">
        <f>C95-H94</f>
        <v>-6.944444467080757E-4</v>
      </c>
      <c r="L94" t="e">
        <f>HOUR(K94)</f>
        <v>#NUM!</v>
      </c>
      <c r="M94" t="e">
        <f>MINUTE(K94)</f>
        <v>#NUM!</v>
      </c>
      <c r="N94" t="e">
        <f>L94*60+M94</f>
        <v>#NUM!</v>
      </c>
    </row>
    <row r="95" spans="2:14" x14ac:dyDescent="0.25">
      <c r="B95" t="s">
        <v>30</v>
      </c>
      <c r="C95" s="6">
        <v>46041.041666666664</v>
      </c>
      <c r="D95" s="6">
        <v>46041.048611111109</v>
      </c>
      <c r="E95" s="6">
        <v>46041.052083333336</v>
      </c>
      <c r="F95" s="6">
        <v>46041.069444444445</v>
      </c>
      <c r="G95" s="6">
        <v>46041.072916666664</v>
      </c>
      <c r="H95" s="6">
        <v>46041.073611111111</v>
      </c>
      <c r="I95">
        <v>0.77</v>
      </c>
      <c r="J95" s="6">
        <v>46041.074305555558</v>
      </c>
      <c r="K95" s="7">
        <f>C96-H95</f>
        <v>0.21805555555329192</v>
      </c>
      <c r="L95">
        <f>HOUR(K95)</f>
        <v>5</v>
      </c>
      <c r="M95">
        <f>MINUTE(K95)</f>
        <v>14</v>
      </c>
      <c r="N95">
        <f>L95*60+M95</f>
        <v>314</v>
      </c>
    </row>
    <row r="96" spans="2:14" x14ac:dyDescent="0.25">
      <c r="B96" t="s">
        <v>30</v>
      </c>
      <c r="C96" s="6">
        <v>46041.291666666664</v>
      </c>
      <c r="D96" s="6">
        <v>46041.333333333336</v>
      </c>
      <c r="E96" s="6">
        <v>46041.347222222219</v>
      </c>
      <c r="F96" s="6">
        <v>46041.384722222225</v>
      </c>
      <c r="G96" s="6">
        <v>46041.39166666667</v>
      </c>
      <c r="H96" s="6">
        <v>46041.395833333336</v>
      </c>
      <c r="I96">
        <v>2.5</v>
      </c>
      <c r="J96" s="6">
        <v>46041.399305555555</v>
      </c>
      <c r="K96" s="7">
        <f>C97-H96</f>
        <v>2.9861111106583849E-2</v>
      </c>
      <c r="L96">
        <f>HOUR(K96)</f>
        <v>0</v>
      </c>
      <c r="M96">
        <f>MINUTE(K96)</f>
        <v>43</v>
      </c>
      <c r="N96">
        <f>L96*60+M96</f>
        <v>43</v>
      </c>
    </row>
    <row r="97" spans="2:14" x14ac:dyDescent="0.25">
      <c r="B97" t="s">
        <v>30</v>
      </c>
      <c r="C97" s="6">
        <v>46041.425694444442</v>
      </c>
      <c r="D97" s="6">
        <v>46041.427083333336</v>
      </c>
      <c r="E97" s="6">
        <v>46041.430555555555</v>
      </c>
      <c r="F97" s="6">
        <v>46041.452777777777</v>
      </c>
      <c r="G97" s="6">
        <v>46041.459722222222</v>
      </c>
      <c r="H97" s="6">
        <v>46041.461805555555</v>
      </c>
      <c r="I97">
        <v>0.87</v>
      </c>
      <c r="J97" s="6">
        <v>46041.46875</v>
      </c>
      <c r="K97" s="7">
        <f>C98-H97</f>
        <v>0.12847222222626442</v>
      </c>
      <c r="L97">
        <f>HOUR(K97)</f>
        <v>3</v>
      </c>
      <c r="M97">
        <f>MINUTE(K97)</f>
        <v>5</v>
      </c>
      <c r="N97">
        <f>L97*60+M97</f>
        <v>185</v>
      </c>
    </row>
    <row r="98" spans="2:14" hidden="1" x14ac:dyDescent="0.25">
      <c r="B98" t="s">
        <v>30</v>
      </c>
      <c r="C98" s="6">
        <v>46041.590277777781</v>
      </c>
      <c r="D98" s="6">
        <v>46041.604166666664</v>
      </c>
      <c r="E98" s="6">
        <v>46041.625</v>
      </c>
      <c r="F98" s="6">
        <v>46041.649305555555</v>
      </c>
      <c r="G98" s="6">
        <v>46041.65625</v>
      </c>
      <c r="H98" s="6">
        <v>46041.659722222219</v>
      </c>
      <c r="I98">
        <v>1.67</v>
      </c>
      <c r="J98" s="6">
        <v>46041.666666666664</v>
      </c>
      <c r="K98" s="7">
        <f>C99-H98</f>
        <v>-3.125E-2</v>
      </c>
      <c r="L98" t="e">
        <f>HOUR(K98)</f>
        <v>#NUM!</v>
      </c>
      <c r="M98" t="e">
        <f>MINUTE(K98)</f>
        <v>#NUM!</v>
      </c>
      <c r="N98" t="e">
        <f>L98*60+M98</f>
        <v>#NUM!</v>
      </c>
    </row>
    <row r="99" spans="2:14" x14ac:dyDescent="0.25">
      <c r="B99" t="s">
        <v>30</v>
      </c>
      <c r="C99" s="6">
        <v>46041.628472222219</v>
      </c>
      <c r="D99" s="6">
        <v>46041.631944444445</v>
      </c>
      <c r="E99" s="6">
        <v>46041.659722222219</v>
      </c>
      <c r="F99" s="6">
        <v>46041.685416666667</v>
      </c>
      <c r="G99" s="6">
        <v>46041.692361111112</v>
      </c>
      <c r="H99" s="6">
        <v>46041.694444444445</v>
      </c>
      <c r="I99">
        <v>1.58</v>
      </c>
      <c r="J99" s="6">
        <v>46041.701388888891</v>
      </c>
      <c r="K99" s="7">
        <f>C100-H99</f>
        <v>2.0833333335758653E-2</v>
      </c>
      <c r="L99">
        <f>HOUR(K99)</f>
        <v>0</v>
      </c>
      <c r="M99">
        <f>MINUTE(K99)</f>
        <v>30</v>
      </c>
      <c r="N99">
        <f>L99*60+M99</f>
        <v>30</v>
      </c>
    </row>
    <row r="100" spans="2:14" x14ac:dyDescent="0.25">
      <c r="B100" t="s">
        <v>30</v>
      </c>
      <c r="C100" s="6">
        <v>46041.715277777781</v>
      </c>
      <c r="D100" s="6">
        <v>46041.729166666664</v>
      </c>
      <c r="E100" s="6">
        <v>46041.743055555555</v>
      </c>
      <c r="F100" s="6">
        <v>46041.795138888891</v>
      </c>
      <c r="G100" s="6">
        <v>46041.805555555555</v>
      </c>
      <c r="H100" s="6">
        <v>46041.819444444445</v>
      </c>
      <c r="I100">
        <v>2.5</v>
      </c>
      <c r="J100" s="6">
        <v>46041.826388888891</v>
      </c>
      <c r="K100" s="7">
        <f>C101-H100</f>
        <v>0.46527777777373558</v>
      </c>
      <c r="L100">
        <f>HOUR(K100)</f>
        <v>11</v>
      </c>
      <c r="M100">
        <f>MINUTE(K100)</f>
        <v>10</v>
      </c>
      <c r="N100">
        <f>L100*60+M100</f>
        <v>670</v>
      </c>
    </row>
    <row r="101" spans="2:14" hidden="1" x14ac:dyDescent="0.25">
      <c r="B101" t="s">
        <v>30</v>
      </c>
      <c r="C101" s="6">
        <v>46042.284722222219</v>
      </c>
      <c r="D101" s="6">
        <v>46042.319444444445</v>
      </c>
      <c r="E101" s="6">
        <v>46042.326388888891</v>
      </c>
      <c r="F101" s="6">
        <v>46042.34375</v>
      </c>
      <c r="G101" s="6">
        <v>46042.350694444445</v>
      </c>
      <c r="H101" s="6">
        <v>46042.402777777781</v>
      </c>
      <c r="I101">
        <v>2.83</v>
      </c>
      <c r="J101" s="6">
        <v>46042.409722222219</v>
      </c>
      <c r="K101" s="7">
        <f>C102-H101</f>
        <v>-2.4305555562023073E-2</v>
      </c>
      <c r="L101" t="e">
        <f>HOUR(K101)</f>
        <v>#NUM!</v>
      </c>
      <c r="M101" t="e">
        <f>MINUTE(K101)</f>
        <v>#NUM!</v>
      </c>
      <c r="N101" t="e">
        <f>L101*60+M101</f>
        <v>#NUM!</v>
      </c>
    </row>
    <row r="102" spans="2:14" hidden="1" x14ac:dyDescent="0.25">
      <c r="B102" t="s">
        <v>30</v>
      </c>
      <c r="C102" s="6">
        <v>46042.378472222219</v>
      </c>
      <c r="D102" s="6">
        <v>46042.388888888891</v>
      </c>
      <c r="E102" s="6">
        <v>46042.409722222219</v>
      </c>
      <c r="F102" s="6">
        <v>46042.43472222222</v>
      </c>
      <c r="G102" s="6">
        <v>46042.4375</v>
      </c>
      <c r="H102" s="6">
        <v>46042.659722222219</v>
      </c>
      <c r="I102">
        <v>6.75</v>
      </c>
      <c r="J102" s="6">
        <v>46042.666666666664</v>
      </c>
      <c r="K102" s="7">
        <f>C103-H102</f>
        <v>-0.19097222221898846</v>
      </c>
      <c r="L102" t="e">
        <f>HOUR(K102)</f>
        <v>#NUM!</v>
      </c>
      <c r="M102" t="e">
        <f>MINUTE(K102)</f>
        <v>#NUM!</v>
      </c>
      <c r="N102" t="e">
        <f>L102*60+M102</f>
        <v>#NUM!</v>
      </c>
    </row>
    <row r="103" spans="2:14" x14ac:dyDescent="0.25">
      <c r="B103" t="s">
        <v>30</v>
      </c>
      <c r="C103" s="6">
        <v>46042.46875</v>
      </c>
      <c r="D103" s="6">
        <v>46042.479166666664</v>
      </c>
      <c r="E103" s="6">
        <v>46042.5</v>
      </c>
      <c r="F103" s="6">
        <v>46042.595833333333</v>
      </c>
      <c r="G103" s="6">
        <v>46042.602777777778</v>
      </c>
      <c r="H103" s="6">
        <v>46042.611111111109</v>
      </c>
      <c r="I103">
        <v>3.42</v>
      </c>
      <c r="J103" s="6">
        <v>46042.618055555555</v>
      </c>
      <c r="K103" s="7">
        <f>C104-H103</f>
        <v>4.5138888890505768E-2</v>
      </c>
      <c r="L103">
        <f>HOUR(K103)</f>
        <v>1</v>
      </c>
      <c r="M103">
        <f>MINUTE(K103)</f>
        <v>5</v>
      </c>
      <c r="N103">
        <f>L103*60+M103</f>
        <v>65</v>
      </c>
    </row>
    <row r="104" spans="2:14" x14ac:dyDescent="0.25">
      <c r="B104" t="s">
        <v>30</v>
      </c>
      <c r="C104" s="6">
        <v>46042.65625</v>
      </c>
      <c r="D104" s="6">
        <v>46042.673611111109</v>
      </c>
      <c r="E104" s="6">
        <v>46042.694444444445</v>
      </c>
      <c r="F104" s="6">
        <v>46042.861111111109</v>
      </c>
      <c r="G104" s="6">
        <v>46042.875</v>
      </c>
      <c r="H104" s="6">
        <v>46042.875694444447</v>
      </c>
      <c r="I104">
        <v>5.27</v>
      </c>
      <c r="J104" s="6">
        <v>46042.876388888886</v>
      </c>
      <c r="K104" s="7">
        <f>C105-H104</f>
        <v>1.3194444443797693E-2</v>
      </c>
      <c r="L104">
        <f>HOUR(K104)</f>
        <v>0</v>
      </c>
      <c r="M104">
        <f>MINUTE(K104)</f>
        <v>19</v>
      </c>
      <c r="N104">
        <f>L104*60+M104</f>
        <v>19</v>
      </c>
    </row>
    <row r="105" spans="2:14" hidden="1" x14ac:dyDescent="0.25">
      <c r="B105" t="s">
        <v>30</v>
      </c>
      <c r="C105" s="6">
        <v>46042.888888888891</v>
      </c>
      <c r="D105" s="6">
        <v>46042.895833333336</v>
      </c>
      <c r="E105" s="6">
        <v>46042.902777777781</v>
      </c>
      <c r="F105" s="6">
        <v>46042.931250000001</v>
      </c>
      <c r="G105" s="6">
        <v>46042.938194444447</v>
      </c>
      <c r="H105" s="6">
        <v>46042.940972222219</v>
      </c>
      <c r="I105">
        <v>1.25</v>
      </c>
      <c r="J105" s="6">
        <v>46042.947916666664</v>
      </c>
      <c r="K105" s="7">
        <f>C106-H105</f>
        <v>0</v>
      </c>
      <c r="L105">
        <f>HOUR(K105)</f>
        <v>0</v>
      </c>
      <c r="M105">
        <f>MINUTE(K105)</f>
        <v>0</v>
      </c>
      <c r="N105">
        <f>L105*60+M105</f>
        <v>0</v>
      </c>
    </row>
    <row r="106" spans="2:14" x14ac:dyDescent="0.25">
      <c r="B106" t="s">
        <v>30</v>
      </c>
      <c r="C106" s="6">
        <v>46042.940972222219</v>
      </c>
      <c r="D106" s="6">
        <v>46042.944444444445</v>
      </c>
      <c r="E106" s="6">
        <v>46042.958333333336</v>
      </c>
      <c r="F106" s="6">
        <v>46043.020833333336</v>
      </c>
      <c r="G106" s="6">
        <v>46043.041666666664</v>
      </c>
      <c r="H106" s="6">
        <v>46043.069444444445</v>
      </c>
      <c r="I106">
        <v>3.08</v>
      </c>
      <c r="J106" s="6">
        <v>46043.076388888891</v>
      </c>
      <c r="K106" s="7">
        <f>C107-H106</f>
        <v>0.22916666666424135</v>
      </c>
      <c r="L106">
        <f>HOUR(K106)</f>
        <v>5</v>
      </c>
      <c r="M106">
        <f>MINUTE(K106)</f>
        <v>30</v>
      </c>
      <c r="N106">
        <f>L106*60+M106</f>
        <v>330</v>
      </c>
    </row>
    <row r="107" spans="2:14" x14ac:dyDescent="0.25">
      <c r="B107" t="s">
        <v>30</v>
      </c>
      <c r="C107" s="6">
        <v>46043.298611111109</v>
      </c>
      <c r="D107" s="6">
        <v>46043.315972222219</v>
      </c>
      <c r="E107" s="6">
        <v>46043.354166666664</v>
      </c>
      <c r="F107" s="6">
        <v>46043.442361111112</v>
      </c>
      <c r="G107" s="6">
        <v>46043.458333333336</v>
      </c>
      <c r="H107" s="6">
        <v>46043.461805555555</v>
      </c>
      <c r="I107">
        <v>3.92</v>
      </c>
      <c r="J107" s="6">
        <v>46043.465277777781</v>
      </c>
      <c r="K107" s="7">
        <f>C108-H107</f>
        <v>4.5138888890505768E-2</v>
      </c>
      <c r="L107">
        <f>HOUR(K107)</f>
        <v>1</v>
      </c>
      <c r="M107">
        <f>MINUTE(K107)</f>
        <v>5</v>
      </c>
      <c r="N107">
        <f>L107*60+M107</f>
        <v>65</v>
      </c>
    </row>
    <row r="108" spans="2:14" hidden="1" x14ac:dyDescent="0.25">
      <c r="B108" t="s">
        <v>30</v>
      </c>
      <c r="C108" s="6">
        <v>46043.506944444445</v>
      </c>
      <c r="D108" s="6">
        <v>46043.513888888891</v>
      </c>
      <c r="E108" s="6">
        <v>46043.541666666664</v>
      </c>
      <c r="F108" s="6">
        <v>46043.684027777781</v>
      </c>
      <c r="G108" s="6">
        <v>46043.690972222219</v>
      </c>
      <c r="H108" s="6">
        <v>46043.694444444445</v>
      </c>
      <c r="I108">
        <v>4.5</v>
      </c>
      <c r="J108" s="6">
        <v>46043.701388888891</v>
      </c>
      <c r="K108" s="7">
        <f>C109-H108</f>
        <v>-6.9444444452528842E-3</v>
      </c>
      <c r="L108" t="e">
        <f>HOUR(K108)</f>
        <v>#NUM!</v>
      </c>
      <c r="M108" t="e">
        <f>MINUTE(K108)</f>
        <v>#NUM!</v>
      </c>
      <c r="N108" t="e">
        <f>L108*60+M108</f>
        <v>#NUM!</v>
      </c>
    </row>
    <row r="109" spans="2:14" x14ac:dyDescent="0.25">
      <c r="B109" t="s">
        <v>30</v>
      </c>
      <c r="C109" s="6">
        <v>46043.6875</v>
      </c>
      <c r="D109" s="6">
        <v>46043.694444444445</v>
      </c>
      <c r="E109" s="6">
        <v>46043.701388888891</v>
      </c>
      <c r="F109" s="6">
        <v>46043.71875</v>
      </c>
      <c r="G109" s="6">
        <v>46043.725694444445</v>
      </c>
      <c r="H109" s="6">
        <v>46043.732638888891</v>
      </c>
      <c r="I109">
        <v>1.08</v>
      </c>
      <c r="J109" s="6">
        <v>46043.739583333336</v>
      </c>
      <c r="K109" s="7">
        <f>C110-H109</f>
        <v>1.7361111109494232E-2</v>
      </c>
      <c r="L109">
        <f>HOUR(K109)</f>
        <v>0</v>
      </c>
      <c r="M109">
        <f>MINUTE(K109)</f>
        <v>25</v>
      </c>
      <c r="N109">
        <f>L109*60+M109</f>
        <v>25</v>
      </c>
    </row>
    <row r="110" spans="2:14" x14ac:dyDescent="0.25">
      <c r="B110" t="s">
        <v>30</v>
      </c>
      <c r="C110" s="6">
        <v>46043.75</v>
      </c>
      <c r="D110" s="6">
        <v>46043.756944444445</v>
      </c>
      <c r="E110" s="6">
        <v>46043.760416666664</v>
      </c>
      <c r="F110" s="6">
        <v>46043.767361111109</v>
      </c>
      <c r="G110" s="6">
        <v>46043.774305555555</v>
      </c>
      <c r="H110" s="6">
        <v>46043.802083333336</v>
      </c>
      <c r="I110">
        <v>1.25</v>
      </c>
      <c r="J110" s="6">
        <v>46043.803472222222</v>
      </c>
      <c r="K110" s="7">
        <f>C111-H110</f>
        <v>0.51041666666424135</v>
      </c>
      <c r="L110">
        <f>HOUR(K110)</f>
        <v>12</v>
      </c>
      <c r="M110">
        <f>MINUTE(K110)</f>
        <v>15</v>
      </c>
      <c r="N110">
        <f>L110*60+M110</f>
        <v>735</v>
      </c>
    </row>
    <row r="111" spans="2:14" x14ac:dyDescent="0.25">
      <c r="B111" t="s">
        <v>30</v>
      </c>
      <c r="C111" s="6">
        <v>46044.3125</v>
      </c>
      <c r="D111" s="6">
        <v>46044.333333333336</v>
      </c>
      <c r="E111" s="6">
        <v>46044.357638888891</v>
      </c>
      <c r="F111" s="6">
        <v>46044.472222222219</v>
      </c>
      <c r="G111" s="6">
        <v>46044.479166666664</v>
      </c>
      <c r="H111" s="6">
        <v>46044.493055555555</v>
      </c>
      <c r="I111">
        <v>4.33</v>
      </c>
      <c r="J111" s="6">
        <v>46044.5</v>
      </c>
      <c r="K111" s="7">
        <f>C112-H111</f>
        <v>5.9027777781011537E-2</v>
      </c>
      <c r="L111">
        <f>HOUR(K111)</f>
        <v>1</v>
      </c>
      <c r="M111">
        <f>MINUTE(K111)</f>
        <v>25</v>
      </c>
      <c r="N111">
        <f>L111*60+M111</f>
        <v>85</v>
      </c>
    </row>
    <row r="112" spans="2:14" hidden="1" x14ac:dyDescent="0.25">
      <c r="B112" t="s">
        <v>30</v>
      </c>
      <c r="C112" s="6">
        <v>46044.552083333336</v>
      </c>
      <c r="D112" s="6">
        <v>46044.555555555555</v>
      </c>
      <c r="E112" s="6">
        <v>46044.576388888891</v>
      </c>
      <c r="F112" s="6">
        <v>46044.604166666664</v>
      </c>
      <c r="G112" s="6">
        <v>46044.611111111109</v>
      </c>
      <c r="H112" s="6">
        <v>46044.631944444445</v>
      </c>
      <c r="I112">
        <v>1.92</v>
      </c>
      <c r="J112" s="6">
        <v>46044.638888888891</v>
      </c>
      <c r="K112" s="7">
        <f>C113-H112</f>
        <v>-2.0833333335758653E-2</v>
      </c>
      <c r="L112" t="e">
        <f>HOUR(K112)</f>
        <v>#NUM!</v>
      </c>
      <c r="M112" t="e">
        <f>MINUTE(K112)</f>
        <v>#NUM!</v>
      </c>
      <c r="N112" t="e">
        <f>L112*60+M112</f>
        <v>#NUM!</v>
      </c>
    </row>
    <row r="113" spans="2:14" x14ac:dyDescent="0.25">
      <c r="B113" t="s">
        <v>30</v>
      </c>
      <c r="C113" s="6">
        <v>46044.611111111109</v>
      </c>
      <c r="D113" s="6">
        <v>46044.652777777781</v>
      </c>
      <c r="E113" s="6">
        <v>46044.666666666664</v>
      </c>
      <c r="F113" s="6">
        <v>46044.6875</v>
      </c>
      <c r="G113" s="6">
        <v>46044.694444444445</v>
      </c>
      <c r="H113" s="6">
        <v>46044.701388888891</v>
      </c>
      <c r="I113">
        <v>2.17</v>
      </c>
      <c r="J113" s="6">
        <v>46044.708333333336</v>
      </c>
      <c r="K113" s="7">
        <f>C114-H113</f>
        <v>0.14583333332848269</v>
      </c>
      <c r="L113">
        <f>HOUR(K113)</f>
        <v>3</v>
      </c>
      <c r="M113">
        <f>MINUTE(K113)</f>
        <v>30</v>
      </c>
      <c r="N113">
        <f>L113*60+M113</f>
        <v>210</v>
      </c>
    </row>
    <row r="114" spans="2:14" hidden="1" x14ac:dyDescent="0.25">
      <c r="B114" t="s">
        <v>30</v>
      </c>
      <c r="C114" s="6">
        <v>46044.847222222219</v>
      </c>
      <c r="D114" s="6">
        <v>46044.854166666664</v>
      </c>
      <c r="E114" s="6">
        <v>46044.864583333336</v>
      </c>
      <c r="F114" s="6">
        <v>46044.923611111109</v>
      </c>
      <c r="G114" s="6">
        <v>46044.930555555555</v>
      </c>
      <c r="H114" s="6">
        <v>46044.94027777778</v>
      </c>
      <c r="I114">
        <v>2.23</v>
      </c>
      <c r="J114" s="6">
        <v>46044.947222222225</v>
      </c>
      <c r="K114" s="7">
        <f>C115-H114</f>
        <v>-1.6666666670062114E-2</v>
      </c>
      <c r="L114" t="e">
        <f>HOUR(K114)</f>
        <v>#NUM!</v>
      </c>
      <c r="M114" t="e">
        <f>MINUTE(K114)</f>
        <v>#NUM!</v>
      </c>
      <c r="N114" t="e">
        <f>L114*60+M114</f>
        <v>#NUM!</v>
      </c>
    </row>
    <row r="115" spans="2:14" hidden="1" x14ac:dyDescent="0.25">
      <c r="B115" t="s">
        <v>30</v>
      </c>
      <c r="C115" s="6">
        <v>46044.923611111109</v>
      </c>
      <c r="D115" s="6">
        <v>46044.930555555555</v>
      </c>
      <c r="E115" s="6">
        <v>46044.944444444445</v>
      </c>
      <c r="F115" s="6">
        <v>46044.982638888891</v>
      </c>
      <c r="G115" s="6">
        <v>46044.989583333336</v>
      </c>
      <c r="H115" s="6">
        <v>46044.990277777775</v>
      </c>
      <c r="I115">
        <v>1.6</v>
      </c>
      <c r="J115" s="6">
        <v>46044.990972222222</v>
      </c>
      <c r="K115" s="7">
        <f>C116-H115</f>
        <v>-6.3194444439432118E-2</v>
      </c>
      <c r="L115" t="e">
        <f>HOUR(K115)</f>
        <v>#NUM!</v>
      </c>
      <c r="M115" t="e">
        <f>MINUTE(K115)</f>
        <v>#NUM!</v>
      </c>
      <c r="N115" t="e">
        <f>L115*60+M115</f>
        <v>#NUM!</v>
      </c>
    </row>
    <row r="116" spans="2:14" x14ac:dyDescent="0.25">
      <c r="B116" t="s">
        <v>30</v>
      </c>
      <c r="C116" s="6">
        <v>46044.927083333336</v>
      </c>
      <c r="D116" s="6">
        <v>46044.930555555555</v>
      </c>
      <c r="E116" s="6">
        <v>46044.934027777781</v>
      </c>
      <c r="F116" s="6">
        <v>46044.939583333333</v>
      </c>
      <c r="G116" s="6">
        <v>46044.946527777778</v>
      </c>
      <c r="H116" s="6">
        <v>46044.979166666664</v>
      </c>
      <c r="I116">
        <v>1.25</v>
      </c>
      <c r="J116" s="6">
        <v>46044.986111111109</v>
      </c>
      <c r="K116" s="7">
        <f>C117-H116</f>
        <v>0.96875</v>
      </c>
      <c r="L116">
        <f>HOUR(K116)</f>
        <v>23</v>
      </c>
      <c r="M116">
        <f>MINUTE(K116)</f>
        <v>15</v>
      </c>
      <c r="N116">
        <f>L116*60+M116</f>
        <v>1395</v>
      </c>
    </row>
    <row r="117" spans="2:14" x14ac:dyDescent="0.25">
      <c r="B117" t="s">
        <v>30</v>
      </c>
      <c r="C117" s="6">
        <v>46045.947916666664</v>
      </c>
      <c r="D117" s="6">
        <v>46045.958333333336</v>
      </c>
      <c r="E117" s="6">
        <v>46045.982638888891</v>
      </c>
      <c r="F117" s="6">
        <v>46046.118055555555</v>
      </c>
      <c r="G117" s="6">
        <v>46046.125</v>
      </c>
      <c r="H117" s="6">
        <v>46046.128472222219</v>
      </c>
      <c r="I117">
        <v>4.33</v>
      </c>
      <c r="J117" s="6">
        <v>46046.135416666664</v>
      </c>
      <c r="K117" s="7">
        <f>C118-H117</f>
        <v>0.32500000000436557</v>
      </c>
      <c r="L117">
        <f>HOUR(K117)</f>
        <v>7</v>
      </c>
      <c r="M117">
        <f>MINUTE(K117)</f>
        <v>48</v>
      </c>
      <c r="N117">
        <f>L117*60+M117</f>
        <v>468</v>
      </c>
    </row>
    <row r="118" spans="2:14" x14ac:dyDescent="0.25">
      <c r="B118" t="s">
        <v>30</v>
      </c>
      <c r="C118" s="6">
        <v>46046.453472222223</v>
      </c>
      <c r="D118" s="6">
        <v>46046.461805555555</v>
      </c>
      <c r="E118" s="6">
        <v>46046.482638888891</v>
      </c>
      <c r="F118" s="6">
        <v>46046.513888888891</v>
      </c>
      <c r="G118" s="6">
        <v>46046.534722222219</v>
      </c>
      <c r="H118" s="6">
        <v>46046.538194444445</v>
      </c>
      <c r="I118">
        <v>2.0299999999999998</v>
      </c>
      <c r="J118" s="6">
        <v>46046.545138888891</v>
      </c>
      <c r="K118" s="7">
        <f>C119-H118</f>
        <v>6.5972222218988463E-2</v>
      </c>
      <c r="L118">
        <f>HOUR(K118)</f>
        <v>1</v>
      </c>
      <c r="M118">
        <f>MINUTE(K118)</f>
        <v>35</v>
      </c>
      <c r="N118">
        <f>L118*60+M118</f>
        <v>95</v>
      </c>
    </row>
    <row r="119" spans="2:14" x14ac:dyDescent="0.25">
      <c r="B119" t="s">
        <v>30</v>
      </c>
      <c r="C119" s="6">
        <v>46046.604166666664</v>
      </c>
      <c r="D119" s="6">
        <v>46046.607638888891</v>
      </c>
      <c r="E119" s="6">
        <v>46046.638888888891</v>
      </c>
      <c r="F119" s="6">
        <v>46046.729166666664</v>
      </c>
      <c r="G119" s="6">
        <v>46046.770833333336</v>
      </c>
      <c r="H119" s="6">
        <v>46046.885416666664</v>
      </c>
      <c r="I119">
        <v>6.75</v>
      </c>
      <c r="J119" s="6">
        <v>46046.888888888891</v>
      </c>
      <c r="K119" s="7">
        <f>C120-H119</f>
        <v>0.48263888889050577</v>
      </c>
      <c r="L119">
        <f>HOUR(K119)</f>
        <v>11</v>
      </c>
      <c r="M119">
        <f>MINUTE(K119)</f>
        <v>35</v>
      </c>
      <c r="N119">
        <f>L119*60+M119</f>
        <v>695</v>
      </c>
    </row>
    <row r="120" spans="2:14" hidden="1" x14ac:dyDescent="0.25">
      <c r="B120" t="s">
        <v>30</v>
      </c>
      <c r="C120" s="6">
        <v>46047.368055555555</v>
      </c>
      <c r="D120" s="6">
        <v>46047.375</v>
      </c>
      <c r="E120" s="6">
        <v>46047.381944444445</v>
      </c>
      <c r="F120" s="6">
        <v>46047.386111111111</v>
      </c>
      <c r="G120" s="6">
        <v>46047.393055555556</v>
      </c>
      <c r="H120" s="6">
        <v>46047.402777777781</v>
      </c>
      <c r="I120">
        <v>0.83</v>
      </c>
      <c r="J120" s="6">
        <v>46047.409722222219</v>
      </c>
      <c r="K120" s="7">
        <f>C121-H120</f>
        <v>-3.4722222226264421E-2</v>
      </c>
      <c r="L120" t="e">
        <f>HOUR(K120)</f>
        <v>#NUM!</v>
      </c>
      <c r="M120" t="e">
        <f>MINUTE(K120)</f>
        <v>#NUM!</v>
      </c>
      <c r="N120" t="e">
        <f>L120*60+M120</f>
        <v>#NUM!</v>
      </c>
    </row>
    <row r="121" spans="2:14" x14ac:dyDescent="0.25">
      <c r="B121" t="s">
        <v>30</v>
      </c>
      <c r="C121" s="6">
        <v>46047.368055555555</v>
      </c>
      <c r="D121" s="6">
        <v>46047.375</v>
      </c>
      <c r="E121" s="6">
        <v>46047.392361111109</v>
      </c>
      <c r="F121" s="6">
        <v>46047.423611111109</v>
      </c>
      <c r="G121" s="6">
        <v>46047.430555555555</v>
      </c>
      <c r="H121" s="6">
        <v>46047.458333333336</v>
      </c>
      <c r="I121">
        <v>2.17</v>
      </c>
      <c r="J121" s="6">
        <v>46047.461805555555</v>
      </c>
      <c r="K121" s="7">
        <f>C122-H121</f>
        <v>0.32152777777810115</v>
      </c>
      <c r="L121">
        <f>HOUR(K121)</f>
        <v>7</v>
      </c>
      <c r="M121">
        <f>MINUTE(K121)</f>
        <v>43</v>
      </c>
      <c r="N121">
        <f>L121*60+M121</f>
        <v>463</v>
      </c>
    </row>
    <row r="122" spans="2:14" x14ac:dyDescent="0.25">
      <c r="B122" t="s">
        <v>30</v>
      </c>
      <c r="C122" s="6">
        <v>46047.779861111114</v>
      </c>
      <c r="D122" s="6">
        <v>46047.784722222219</v>
      </c>
      <c r="E122" s="6">
        <v>46047.791666666664</v>
      </c>
      <c r="F122" s="6">
        <v>46047.9375</v>
      </c>
      <c r="G122" s="6">
        <v>46047.944444444445</v>
      </c>
      <c r="H122" s="6">
        <v>46047.951388888891</v>
      </c>
      <c r="I122">
        <v>4.12</v>
      </c>
      <c r="J122" s="6">
        <v>46047.958333333336</v>
      </c>
      <c r="K122" s="7">
        <f>C123-H122</f>
        <v>0.33333333332848269</v>
      </c>
      <c r="L122">
        <f>HOUR(K122)</f>
        <v>8</v>
      </c>
      <c r="M122">
        <f>MINUTE(K122)</f>
        <v>0</v>
      </c>
      <c r="N122">
        <f>L122*60+M122</f>
        <v>480</v>
      </c>
    </row>
    <row r="123" spans="2:14" x14ac:dyDescent="0.25">
      <c r="B123" t="s">
        <v>30</v>
      </c>
      <c r="C123" s="6">
        <v>46048.284722222219</v>
      </c>
      <c r="D123" s="6">
        <v>46048.315972222219</v>
      </c>
      <c r="E123" s="6">
        <v>46048.340277777781</v>
      </c>
      <c r="F123" s="6">
        <v>46048.416666666664</v>
      </c>
      <c r="G123" s="6">
        <v>46048.423611111109</v>
      </c>
      <c r="H123" s="6">
        <v>46048.430555555555</v>
      </c>
      <c r="I123">
        <v>3.5</v>
      </c>
      <c r="J123" s="6">
        <v>46048.4375</v>
      </c>
      <c r="K123" s="7">
        <f>C124-H123</f>
        <v>5.5555555554747116E-2</v>
      </c>
      <c r="L123">
        <f>HOUR(K123)</f>
        <v>1</v>
      </c>
      <c r="M123">
        <f>MINUTE(K123)</f>
        <v>20</v>
      </c>
      <c r="N123">
        <f>L123*60+M123</f>
        <v>80</v>
      </c>
    </row>
    <row r="124" spans="2:14" hidden="1" x14ac:dyDescent="0.25">
      <c r="B124" t="s">
        <v>30</v>
      </c>
      <c r="C124" s="6">
        <v>46048.486111111109</v>
      </c>
      <c r="D124" s="6">
        <v>46048.520833333336</v>
      </c>
      <c r="E124" s="6">
        <v>46048.541666666664</v>
      </c>
      <c r="F124" s="6">
        <v>46048.625</v>
      </c>
      <c r="G124" s="6">
        <v>46048.680555555555</v>
      </c>
      <c r="H124" s="6">
        <v>46048.684027777781</v>
      </c>
      <c r="I124">
        <v>4.75</v>
      </c>
      <c r="J124" s="6">
        <v>46048.6875</v>
      </c>
      <c r="K124" s="7">
        <f>C125-H124</f>
        <v>-0.125</v>
      </c>
      <c r="L124" t="e">
        <f>HOUR(K124)</f>
        <v>#NUM!</v>
      </c>
      <c r="M124" t="e">
        <f>MINUTE(K124)</f>
        <v>#NUM!</v>
      </c>
      <c r="N124" t="e">
        <f>L124*60+M124</f>
        <v>#NUM!</v>
      </c>
    </row>
    <row r="125" spans="2:14" hidden="1" x14ac:dyDescent="0.25">
      <c r="B125" t="s">
        <v>30</v>
      </c>
      <c r="C125" s="6">
        <v>46048.559027777781</v>
      </c>
      <c r="D125" s="6">
        <v>46048.576388888891</v>
      </c>
      <c r="E125" s="6">
        <v>46048.659722222219</v>
      </c>
      <c r="F125" s="6">
        <v>46048.78125</v>
      </c>
      <c r="G125" s="6">
        <v>46048.854166666664</v>
      </c>
      <c r="H125" s="6">
        <v>46048.857638888891</v>
      </c>
      <c r="I125">
        <v>7.17</v>
      </c>
      <c r="J125" s="6">
        <v>46048.859722222223</v>
      </c>
      <c r="K125" s="7">
        <f>C126-H125</f>
        <v>-0.20833333333575865</v>
      </c>
      <c r="L125" t="e">
        <f>HOUR(K125)</f>
        <v>#NUM!</v>
      </c>
      <c r="M125" t="e">
        <f>MINUTE(K125)</f>
        <v>#NUM!</v>
      </c>
      <c r="N125" t="e">
        <f>L125*60+M125</f>
        <v>#NUM!</v>
      </c>
    </row>
    <row r="126" spans="2:14" hidden="1" x14ac:dyDescent="0.25">
      <c r="B126" t="s">
        <v>30</v>
      </c>
      <c r="C126" s="6">
        <v>46048.649305555555</v>
      </c>
      <c r="D126" s="6">
        <v>46048.673611111109</v>
      </c>
      <c r="E126" s="6">
        <v>46048.6875</v>
      </c>
      <c r="F126" s="6">
        <v>46048.805555555555</v>
      </c>
      <c r="G126" s="6">
        <v>46048.8125</v>
      </c>
      <c r="H126" s="6">
        <v>46048.815972222219</v>
      </c>
      <c r="I126">
        <v>4</v>
      </c>
      <c r="J126" s="6">
        <v>46048.822916666664</v>
      </c>
      <c r="K126" s="7">
        <f>C127-H126</f>
        <v>-0.11805555555474712</v>
      </c>
      <c r="L126" t="e">
        <f>HOUR(K126)</f>
        <v>#NUM!</v>
      </c>
      <c r="M126" t="e">
        <f>MINUTE(K126)</f>
        <v>#NUM!</v>
      </c>
      <c r="N126" t="e">
        <f>L126*60+M126</f>
        <v>#NUM!</v>
      </c>
    </row>
    <row r="127" spans="2:14" hidden="1" x14ac:dyDescent="0.25">
      <c r="B127" t="s">
        <v>30</v>
      </c>
      <c r="C127" s="6">
        <v>46048.697916666664</v>
      </c>
      <c r="D127" s="6">
        <v>46048.701388888891</v>
      </c>
      <c r="E127" s="6">
        <v>46048.715277777781</v>
      </c>
      <c r="F127" s="6">
        <v>46048.75</v>
      </c>
      <c r="G127" s="6">
        <v>46048.756944444445</v>
      </c>
      <c r="H127" s="6">
        <v>46048.763888888891</v>
      </c>
      <c r="I127">
        <v>1.58</v>
      </c>
      <c r="J127" s="6">
        <v>46048.770833333336</v>
      </c>
      <c r="K127" s="7">
        <f>C128-H127</f>
        <v>-4.8611111109494232E-2</v>
      </c>
      <c r="L127" t="e">
        <f>HOUR(K127)</f>
        <v>#NUM!</v>
      </c>
      <c r="M127" t="e">
        <f>MINUTE(K127)</f>
        <v>#NUM!</v>
      </c>
      <c r="N127" t="e">
        <f>L127*60+M127</f>
        <v>#NUM!</v>
      </c>
    </row>
    <row r="128" spans="2:14" hidden="1" x14ac:dyDescent="0.25">
      <c r="B128" t="s">
        <v>30</v>
      </c>
      <c r="C128" s="6">
        <v>46048.715277777781</v>
      </c>
      <c r="D128" s="6">
        <v>46048.71875</v>
      </c>
      <c r="E128" s="6">
        <v>46048.746527777781</v>
      </c>
      <c r="F128" s="6">
        <v>46048.819444444445</v>
      </c>
      <c r="G128" s="6">
        <v>46048.833333333336</v>
      </c>
      <c r="H128" s="6">
        <v>46049.673611111109</v>
      </c>
      <c r="I128">
        <v>23</v>
      </c>
      <c r="J128" s="6">
        <v>46049.680555555555</v>
      </c>
      <c r="K128" s="7">
        <f>C129-H128</f>
        <v>-0.9375</v>
      </c>
      <c r="L128" t="e">
        <f>HOUR(K128)</f>
        <v>#NUM!</v>
      </c>
      <c r="M128" t="e">
        <f>MINUTE(K128)</f>
        <v>#NUM!</v>
      </c>
      <c r="N128" t="e">
        <f>L128*60+M128</f>
        <v>#NUM!</v>
      </c>
    </row>
    <row r="129" spans="2:14" x14ac:dyDescent="0.25">
      <c r="B129" t="s">
        <v>30</v>
      </c>
      <c r="C129" s="6">
        <v>46048.736111111109</v>
      </c>
      <c r="D129" s="6">
        <v>46048.746527777781</v>
      </c>
      <c r="E129" s="6">
        <v>46048.75</v>
      </c>
      <c r="F129" s="6">
        <v>46048.767361111109</v>
      </c>
      <c r="G129" s="6">
        <v>46048.770833333336</v>
      </c>
      <c r="H129" s="6">
        <v>46048.772916666669</v>
      </c>
      <c r="I129">
        <v>0.88</v>
      </c>
      <c r="J129" s="6">
        <v>46048.774305555555</v>
      </c>
      <c r="K129" s="7">
        <f>C130-H129</f>
        <v>0.10902777777664596</v>
      </c>
      <c r="L129">
        <f>HOUR(K129)</f>
        <v>2</v>
      </c>
      <c r="M129">
        <f>MINUTE(K129)</f>
        <v>37</v>
      </c>
      <c r="N129">
        <f>L129*60+M129</f>
        <v>157</v>
      </c>
    </row>
    <row r="130" spans="2:14" x14ac:dyDescent="0.25">
      <c r="B130" t="s">
        <v>30</v>
      </c>
      <c r="C130" s="6">
        <v>46048.881944444445</v>
      </c>
      <c r="D130" s="6">
        <v>46048.885416666664</v>
      </c>
      <c r="E130" s="6">
        <v>46048.902777777781</v>
      </c>
      <c r="F130" s="6">
        <v>46048.916666666664</v>
      </c>
      <c r="G130" s="6">
        <v>46048.918055555558</v>
      </c>
      <c r="H130" s="6">
        <v>46048.918749999997</v>
      </c>
      <c r="I130">
        <v>0.88</v>
      </c>
      <c r="J130" s="6">
        <v>46048.925694444442</v>
      </c>
      <c r="K130" s="7">
        <f>C131-H130</f>
        <v>2.9166666667151731E-2</v>
      </c>
      <c r="L130">
        <f>HOUR(K130)</f>
        <v>0</v>
      </c>
      <c r="M130">
        <f>MINUTE(K130)</f>
        <v>42</v>
      </c>
      <c r="N130">
        <f>L130*60+M130</f>
        <v>42</v>
      </c>
    </row>
    <row r="131" spans="2:14" hidden="1" x14ac:dyDescent="0.25">
      <c r="B131" t="s">
        <v>30</v>
      </c>
      <c r="C131" s="6">
        <v>46048.947916666664</v>
      </c>
      <c r="D131" s="6">
        <v>46048.951388888891</v>
      </c>
      <c r="E131" s="6">
        <v>46048.961805555555</v>
      </c>
      <c r="F131" s="6">
        <v>46049.034722222219</v>
      </c>
      <c r="G131" s="6">
        <v>46049.038194444445</v>
      </c>
      <c r="H131" s="6">
        <v>46049.041666666664</v>
      </c>
      <c r="I131">
        <v>2.25</v>
      </c>
      <c r="J131" s="6">
        <v>46049.045138888891</v>
      </c>
      <c r="K131" s="7">
        <f>C132-H131</f>
        <v>-6.25E-2</v>
      </c>
      <c r="L131" t="e">
        <f>HOUR(K131)</f>
        <v>#NUM!</v>
      </c>
      <c r="M131" t="e">
        <f>MINUTE(K131)</f>
        <v>#NUM!</v>
      </c>
      <c r="N131" t="e">
        <f>L131*60+M131</f>
        <v>#NUM!</v>
      </c>
    </row>
    <row r="132" spans="2:14" x14ac:dyDescent="0.25">
      <c r="B132" t="s">
        <v>30</v>
      </c>
      <c r="C132" s="6">
        <v>46048.979166666664</v>
      </c>
      <c r="D132" s="6">
        <v>46048.986111111109</v>
      </c>
      <c r="E132" s="6">
        <v>46049</v>
      </c>
      <c r="F132" s="6">
        <v>46049.017361111109</v>
      </c>
      <c r="G132" s="6">
        <v>46049.018055555556</v>
      </c>
      <c r="H132" s="6">
        <v>46049.018750000003</v>
      </c>
      <c r="I132">
        <v>0.95</v>
      </c>
      <c r="J132" s="6">
        <v>46049.025694444441</v>
      </c>
      <c r="K132" s="7">
        <f>C133-H132</f>
        <v>0.53333333333284827</v>
      </c>
      <c r="L132">
        <f>HOUR(K132)</f>
        <v>12</v>
      </c>
      <c r="M132">
        <f>MINUTE(K132)</f>
        <v>48</v>
      </c>
      <c r="N132">
        <f>L132*60+M132</f>
        <v>768</v>
      </c>
    </row>
    <row r="133" spans="2:14" x14ac:dyDescent="0.25">
      <c r="B133" t="s">
        <v>30</v>
      </c>
      <c r="C133" s="6">
        <v>46049.552083333336</v>
      </c>
      <c r="D133" s="6">
        <v>46049.559027777781</v>
      </c>
      <c r="E133" s="6">
        <v>46049.576388888891</v>
      </c>
      <c r="F133" s="6">
        <v>46049.597222222219</v>
      </c>
      <c r="G133" s="6">
        <v>46049.604166666664</v>
      </c>
      <c r="H133" s="6">
        <v>46049.611111111109</v>
      </c>
      <c r="I133">
        <v>1.42</v>
      </c>
      <c r="J133" s="6">
        <v>46049.618055555555</v>
      </c>
      <c r="K133" s="7">
        <f>C134-H133</f>
        <v>0.10763888889050577</v>
      </c>
      <c r="L133">
        <f>HOUR(K133)</f>
        <v>2</v>
      </c>
      <c r="M133">
        <f>MINUTE(K133)</f>
        <v>35</v>
      </c>
      <c r="N133">
        <f>L133*60+M133</f>
        <v>155</v>
      </c>
    </row>
    <row r="134" spans="2:14" x14ac:dyDescent="0.25">
      <c r="B134" t="s">
        <v>30</v>
      </c>
      <c r="C134" s="6">
        <v>46049.71875</v>
      </c>
      <c r="D134" s="6">
        <v>46049.722222222219</v>
      </c>
      <c r="E134" s="6">
        <v>46049.732638888891</v>
      </c>
      <c r="F134" s="6">
        <v>46049.763888888891</v>
      </c>
      <c r="G134" s="6">
        <v>46049.767361111109</v>
      </c>
      <c r="H134" s="6">
        <v>46049.78125</v>
      </c>
      <c r="I134">
        <v>1.5</v>
      </c>
      <c r="J134" s="6">
        <v>46049.784722222219</v>
      </c>
      <c r="K134" s="7">
        <f>C135-H134</f>
        <v>5.2083333335758653E-2</v>
      </c>
      <c r="L134">
        <f>HOUR(K134)</f>
        <v>1</v>
      </c>
      <c r="M134">
        <f>MINUTE(K134)</f>
        <v>15</v>
      </c>
      <c r="N134">
        <f>L134*60+M134</f>
        <v>75</v>
      </c>
    </row>
    <row r="135" spans="2:14" x14ac:dyDescent="0.25">
      <c r="B135" t="s">
        <v>30</v>
      </c>
      <c r="C135" s="6">
        <v>46049.833333333336</v>
      </c>
      <c r="D135" s="6">
        <v>46049.84375</v>
      </c>
      <c r="E135" s="6">
        <v>46049.854166666664</v>
      </c>
      <c r="F135" s="6">
        <v>46049.864583333336</v>
      </c>
      <c r="G135" s="6">
        <v>46049.871527777781</v>
      </c>
      <c r="H135" s="6">
        <v>46049.878472222219</v>
      </c>
      <c r="I135">
        <v>1.08</v>
      </c>
      <c r="J135" s="6">
        <v>46049.879166666666</v>
      </c>
      <c r="K135" s="7">
        <f>C136-H135</f>
        <v>1.0416666671517305E-2</v>
      </c>
      <c r="L135">
        <f>HOUR(K135)</f>
        <v>0</v>
      </c>
      <c r="M135">
        <f>MINUTE(K135)</f>
        <v>15</v>
      </c>
      <c r="N135">
        <f>L135*60+M135</f>
        <v>15</v>
      </c>
    </row>
    <row r="136" spans="2:14" hidden="1" x14ac:dyDescent="0.25">
      <c r="B136" t="s">
        <v>30</v>
      </c>
      <c r="C136" s="6">
        <v>46049.888888888891</v>
      </c>
      <c r="D136" s="6">
        <v>46049.895833333336</v>
      </c>
      <c r="E136" s="6">
        <v>46049.899305555555</v>
      </c>
      <c r="F136" s="6">
        <v>46049.958333333336</v>
      </c>
      <c r="G136" s="6">
        <v>46049.965277777781</v>
      </c>
      <c r="H136" s="6">
        <v>46049.975694444445</v>
      </c>
      <c r="I136">
        <v>2.08</v>
      </c>
      <c r="J136" s="6">
        <v>46049.982638888891</v>
      </c>
      <c r="K136" s="7">
        <f>C137-H136</f>
        <v>-3.125E-2</v>
      </c>
      <c r="L136" t="e">
        <f>HOUR(K136)</f>
        <v>#NUM!</v>
      </c>
      <c r="M136" t="e">
        <f>MINUTE(K136)</f>
        <v>#NUM!</v>
      </c>
      <c r="N136" t="e">
        <f>L136*60+M136</f>
        <v>#NUM!</v>
      </c>
    </row>
    <row r="137" spans="2:14" hidden="1" x14ac:dyDescent="0.25">
      <c r="B137" t="s">
        <v>30</v>
      </c>
      <c r="C137" s="6">
        <v>46049.944444444445</v>
      </c>
      <c r="D137" s="6">
        <v>46049.954861111109</v>
      </c>
      <c r="E137" s="6">
        <v>46049.965277777781</v>
      </c>
      <c r="F137" s="6">
        <v>46050.069444444445</v>
      </c>
      <c r="G137" s="6">
        <v>46050.076388888891</v>
      </c>
      <c r="H137" s="6">
        <v>46050.895833333336</v>
      </c>
      <c r="I137">
        <v>22.83</v>
      </c>
      <c r="J137" s="6">
        <v>46050.902777777781</v>
      </c>
      <c r="K137" s="7">
        <f>C138-H137</f>
        <v>-0.86111111111677019</v>
      </c>
      <c r="L137" t="e">
        <f>HOUR(K137)</f>
        <v>#NUM!</v>
      </c>
      <c r="M137" t="e">
        <f>MINUTE(K137)</f>
        <v>#NUM!</v>
      </c>
      <c r="N137" t="e">
        <f>L137*60+M137</f>
        <v>#NUM!</v>
      </c>
    </row>
    <row r="138" spans="2:14" hidden="1" x14ac:dyDescent="0.25">
      <c r="B138" t="s">
        <v>30</v>
      </c>
      <c r="C138" s="6">
        <v>46050.034722222219</v>
      </c>
      <c r="D138" s="6">
        <v>46050.038194444445</v>
      </c>
      <c r="E138" s="6">
        <v>46050.069444444445</v>
      </c>
      <c r="F138" s="6">
        <v>46050.104166666664</v>
      </c>
      <c r="G138" s="6">
        <v>46050.111111111109</v>
      </c>
      <c r="H138" s="6">
        <v>46050.114583333336</v>
      </c>
      <c r="I138">
        <v>1.92</v>
      </c>
      <c r="J138" s="6">
        <v>46050.121527777781</v>
      </c>
      <c r="K138" s="7">
        <f>C139-H138</f>
        <v>-6.5972222226264421E-2</v>
      </c>
      <c r="L138" t="e">
        <f>HOUR(K138)</f>
        <v>#NUM!</v>
      </c>
      <c r="M138" t="e">
        <f>MINUTE(K138)</f>
        <v>#NUM!</v>
      </c>
      <c r="N138" t="e">
        <f>L138*60+M138</f>
        <v>#NUM!</v>
      </c>
    </row>
    <row r="139" spans="2:14" x14ac:dyDescent="0.25">
      <c r="B139" t="s">
        <v>30</v>
      </c>
      <c r="C139" s="6">
        <v>46050.048611111109</v>
      </c>
      <c r="D139" s="6">
        <v>46050.055555555555</v>
      </c>
      <c r="E139" s="6">
        <v>46050.0625</v>
      </c>
      <c r="F139" s="6">
        <v>46050.083333333336</v>
      </c>
      <c r="G139" s="6">
        <v>46050.090277777781</v>
      </c>
      <c r="H139" s="6">
        <v>46050.09375</v>
      </c>
      <c r="I139">
        <v>1.08</v>
      </c>
      <c r="J139" s="6">
        <v>46050.100694444445</v>
      </c>
      <c r="K139" s="7">
        <f>C140-H139</f>
        <v>0.13194444444525288</v>
      </c>
      <c r="L139">
        <f>HOUR(K139)</f>
        <v>3</v>
      </c>
      <c r="M139">
        <f>MINUTE(K139)</f>
        <v>10</v>
      </c>
      <c r="N139">
        <f>L139*60+M139</f>
        <v>190</v>
      </c>
    </row>
    <row r="140" spans="2:14" hidden="1" x14ac:dyDescent="0.25">
      <c r="B140" t="s">
        <v>30</v>
      </c>
      <c r="C140" s="6">
        <v>46050.225694444445</v>
      </c>
      <c r="D140" s="6">
        <v>46050.236111111109</v>
      </c>
      <c r="E140" s="6">
        <v>46050.5</v>
      </c>
      <c r="F140" s="6">
        <v>46050.538888888892</v>
      </c>
      <c r="G140" s="6">
        <v>46050.614583333336</v>
      </c>
      <c r="H140" s="6">
        <v>46050.618055555555</v>
      </c>
      <c r="I140">
        <v>9.42</v>
      </c>
      <c r="J140" s="6">
        <v>46050.625</v>
      </c>
      <c r="K140" s="7">
        <f>C141-H140</f>
        <v>-6.9444444452528842E-3</v>
      </c>
      <c r="L140" t="e">
        <f>HOUR(K140)</f>
        <v>#NUM!</v>
      </c>
      <c r="M140" t="e">
        <f>MINUTE(K140)</f>
        <v>#NUM!</v>
      </c>
      <c r="N140" t="e">
        <f>L140*60+M140</f>
        <v>#NUM!</v>
      </c>
    </row>
    <row r="141" spans="2:14" x14ac:dyDescent="0.25">
      <c r="B141" t="s">
        <v>30</v>
      </c>
      <c r="C141" s="6">
        <v>46050.611111111109</v>
      </c>
      <c r="D141" s="6">
        <v>46050.625</v>
      </c>
      <c r="E141" s="6">
        <v>46050.642361111109</v>
      </c>
      <c r="F141" s="6">
        <v>46050.798611111109</v>
      </c>
      <c r="G141" s="6">
        <v>46050.805555555555</v>
      </c>
      <c r="H141" s="6">
        <v>46050.819444444445</v>
      </c>
      <c r="I141">
        <v>5</v>
      </c>
      <c r="J141" s="6">
        <v>46050.826388888891</v>
      </c>
      <c r="K141" s="7">
        <f>C142-H141</f>
        <v>2.6388888887595385E-2</v>
      </c>
      <c r="L141">
        <f>HOUR(K141)</f>
        <v>0</v>
      </c>
      <c r="M141">
        <f>MINUTE(K141)</f>
        <v>38</v>
      </c>
      <c r="N141">
        <f>L141*60+M141</f>
        <v>38</v>
      </c>
    </row>
    <row r="142" spans="2:14" x14ac:dyDescent="0.25">
      <c r="B142" t="s">
        <v>30</v>
      </c>
      <c r="C142" s="6">
        <v>46050.845833333333</v>
      </c>
      <c r="D142" s="6">
        <v>46050.854166666664</v>
      </c>
      <c r="E142" s="6">
        <v>46050.865277777775</v>
      </c>
      <c r="F142" s="6">
        <v>46050.865972222222</v>
      </c>
      <c r="G142" s="6">
        <v>46050.872916666667</v>
      </c>
      <c r="H142" s="6">
        <v>46050.874305555553</v>
      </c>
      <c r="I142">
        <v>0.68</v>
      </c>
      <c r="J142" s="6">
        <v>46050.875</v>
      </c>
      <c r="K142" s="7">
        <f>C143-H142</f>
        <v>2.8472222227719612E-2</v>
      </c>
      <c r="L142">
        <f>HOUR(K142)</f>
        <v>0</v>
      </c>
      <c r="M142">
        <f>MINUTE(K142)</f>
        <v>41</v>
      </c>
      <c r="N142">
        <f>L142*60+M142</f>
        <v>41</v>
      </c>
    </row>
    <row r="143" spans="2:14" hidden="1" x14ac:dyDescent="0.25">
      <c r="B143" t="s">
        <v>30</v>
      </c>
      <c r="C143" s="6">
        <v>46050.902777777781</v>
      </c>
      <c r="D143" s="6">
        <v>46050.90625</v>
      </c>
      <c r="E143" s="6">
        <v>46050.916666666664</v>
      </c>
      <c r="F143" s="6">
        <v>46050.944444444445</v>
      </c>
      <c r="G143" s="6">
        <v>46050.951388888891</v>
      </c>
      <c r="H143" s="6">
        <v>46050.958333333336</v>
      </c>
      <c r="I143">
        <v>1.33</v>
      </c>
      <c r="J143" s="6">
        <v>46050.965277777781</v>
      </c>
      <c r="K143" s="7">
        <f>C144-H143</f>
        <v>-3.7500000005820766E-2</v>
      </c>
      <c r="L143" t="e">
        <f>HOUR(K143)</f>
        <v>#NUM!</v>
      </c>
      <c r="M143" t="e">
        <f>MINUTE(K143)</f>
        <v>#NUM!</v>
      </c>
      <c r="N143" t="e">
        <f>L143*60+M143</f>
        <v>#NUM!</v>
      </c>
    </row>
    <row r="144" spans="2:14" hidden="1" x14ac:dyDescent="0.25">
      <c r="B144" t="s">
        <v>30</v>
      </c>
      <c r="C144" s="6">
        <v>46050.92083333333</v>
      </c>
      <c r="D144" s="6">
        <v>46050.927777777775</v>
      </c>
      <c r="E144" s="6">
        <v>46050.934027777781</v>
      </c>
      <c r="F144" s="6">
        <v>46050.965277777781</v>
      </c>
      <c r="G144" s="6">
        <v>46050.96875</v>
      </c>
      <c r="H144" s="6">
        <v>46050.972222222219</v>
      </c>
      <c r="I144">
        <v>1.23</v>
      </c>
      <c r="J144" s="6">
        <v>46050.979166666664</v>
      </c>
      <c r="K144" s="7">
        <f>C145-H144</f>
        <v>-3.4722222189884633E-3</v>
      </c>
      <c r="L144" t="e">
        <f>HOUR(K144)</f>
        <v>#NUM!</v>
      </c>
      <c r="M144" t="e">
        <f>MINUTE(K144)</f>
        <v>#NUM!</v>
      </c>
      <c r="N144" t="e">
        <f>L144*60+M144</f>
        <v>#NUM!</v>
      </c>
    </row>
    <row r="145" spans="2:14" hidden="1" x14ac:dyDescent="0.25">
      <c r="B145" t="s">
        <v>30</v>
      </c>
      <c r="C145" s="6">
        <v>46050.96875</v>
      </c>
      <c r="D145" s="6">
        <v>46050.979166666664</v>
      </c>
      <c r="E145" s="6">
        <v>46051</v>
      </c>
      <c r="F145" s="6">
        <v>46051.084722222222</v>
      </c>
      <c r="G145" s="6">
        <v>46051.091666666667</v>
      </c>
      <c r="H145" s="6">
        <v>46051.09375</v>
      </c>
      <c r="I145">
        <v>3</v>
      </c>
      <c r="J145" s="6">
        <v>46051.100694444445</v>
      </c>
      <c r="K145" s="7">
        <f>C146-H145</f>
        <v>-6.5972222218988463E-2</v>
      </c>
      <c r="L145" t="e">
        <f>HOUR(K145)</f>
        <v>#NUM!</v>
      </c>
      <c r="M145" t="e">
        <f>MINUTE(K145)</f>
        <v>#NUM!</v>
      </c>
      <c r="N145" t="e">
        <f>L145*60+M145</f>
        <v>#NUM!</v>
      </c>
    </row>
    <row r="146" spans="2:14" x14ac:dyDescent="0.25">
      <c r="B146" t="s">
        <v>30</v>
      </c>
      <c r="C146" s="6">
        <v>46051.027777777781</v>
      </c>
      <c r="D146" s="6">
        <v>46051.038194444445</v>
      </c>
      <c r="E146" s="6">
        <v>46051.055555555555</v>
      </c>
      <c r="F146" s="6">
        <v>46051.079861111109</v>
      </c>
      <c r="G146" s="6">
        <v>46051.083333333336</v>
      </c>
      <c r="H146" s="6">
        <v>46051.09375</v>
      </c>
      <c r="I146">
        <v>1.58</v>
      </c>
      <c r="J146" s="6">
        <v>46051.100694444445</v>
      </c>
      <c r="K146" s="7">
        <f>C147-H146</f>
        <v>0.19791666666424135</v>
      </c>
      <c r="L146">
        <f>HOUR(K146)</f>
        <v>4</v>
      </c>
      <c r="M146">
        <f>MINUTE(K146)</f>
        <v>45</v>
      </c>
      <c r="N146">
        <f>L146*60+M146</f>
        <v>285</v>
      </c>
    </row>
    <row r="147" spans="2:14" x14ac:dyDescent="0.25">
      <c r="B147" t="s">
        <v>30</v>
      </c>
      <c r="C147" s="6">
        <v>46051.291666666664</v>
      </c>
      <c r="D147" s="6">
        <v>46051.322916666664</v>
      </c>
      <c r="E147" s="6">
        <v>46051.340277777781</v>
      </c>
      <c r="F147" s="6">
        <v>46051.418055555558</v>
      </c>
      <c r="G147" s="6">
        <v>46051.420138888891</v>
      </c>
      <c r="H147" s="6">
        <v>46051.430555555555</v>
      </c>
      <c r="I147">
        <v>3.33</v>
      </c>
      <c r="J147" s="6">
        <v>46051.434027777781</v>
      </c>
      <c r="K147" s="7">
        <f>C148-H147</f>
        <v>0.12152777778101154</v>
      </c>
      <c r="L147">
        <f>HOUR(K147)</f>
        <v>2</v>
      </c>
      <c r="M147">
        <f>MINUTE(K147)</f>
        <v>55</v>
      </c>
      <c r="N147">
        <f>L147*60+M147</f>
        <v>175</v>
      </c>
    </row>
    <row r="148" spans="2:14" x14ac:dyDescent="0.25">
      <c r="B148" t="s">
        <v>30</v>
      </c>
      <c r="C148" s="6">
        <v>46051.552083333336</v>
      </c>
      <c r="D148" s="6">
        <v>46051.559027777781</v>
      </c>
      <c r="E148" s="6">
        <v>46051.5625</v>
      </c>
      <c r="F148" s="6">
        <v>46051.576388888891</v>
      </c>
      <c r="G148" s="6">
        <v>46051.583333333336</v>
      </c>
      <c r="H148" s="6">
        <v>46051.586805555555</v>
      </c>
      <c r="I148">
        <v>0.83</v>
      </c>
      <c r="J148" s="6">
        <v>46051.590277777781</v>
      </c>
      <c r="K148" s="7">
        <f>C149-H148</f>
        <v>0.10069444444525288</v>
      </c>
      <c r="L148">
        <f>HOUR(K148)</f>
        <v>2</v>
      </c>
      <c r="M148">
        <f>MINUTE(K148)</f>
        <v>25</v>
      </c>
      <c r="N148">
        <f>L148*60+M148</f>
        <v>145</v>
      </c>
    </row>
    <row r="149" spans="2:14" hidden="1" x14ac:dyDescent="0.25">
      <c r="B149" t="s">
        <v>30</v>
      </c>
      <c r="C149" s="6">
        <v>46051.6875</v>
      </c>
      <c r="D149" s="6">
        <v>46051.694444444445</v>
      </c>
      <c r="E149" s="6">
        <v>46051.704861111109</v>
      </c>
      <c r="F149" s="6">
        <v>46051.708333333336</v>
      </c>
      <c r="G149" s="6">
        <v>46051.715277777781</v>
      </c>
      <c r="H149" s="6">
        <v>46051.854166666664</v>
      </c>
      <c r="I149">
        <v>4</v>
      </c>
      <c r="J149" s="6">
        <v>46051.857638888891</v>
      </c>
      <c r="K149" s="7">
        <f>C150-H149</f>
        <v>-7.2916666664241347E-2</v>
      </c>
      <c r="L149" t="e">
        <f>HOUR(K149)</f>
        <v>#NUM!</v>
      </c>
      <c r="M149" t="e">
        <f>MINUTE(K149)</f>
        <v>#NUM!</v>
      </c>
      <c r="N149" t="e">
        <f>L149*60+M149</f>
        <v>#NUM!</v>
      </c>
    </row>
    <row r="150" spans="2:14" x14ac:dyDescent="0.25">
      <c r="B150" t="s">
        <v>30</v>
      </c>
      <c r="C150" s="6">
        <v>46051.78125</v>
      </c>
      <c r="D150" s="6">
        <v>46051.784722222219</v>
      </c>
      <c r="E150" s="6">
        <v>46051.791666666664</v>
      </c>
      <c r="F150" s="6">
        <v>46051.795138888891</v>
      </c>
      <c r="G150" s="6">
        <v>46051.805555555555</v>
      </c>
      <c r="H150" s="6">
        <v>46051.8125</v>
      </c>
      <c r="I150">
        <v>0.75</v>
      </c>
      <c r="J150" s="6">
        <v>46051.819444444445</v>
      </c>
      <c r="K150" s="7">
        <f>C151-H150</f>
        <v>0.31666666666569654</v>
      </c>
      <c r="L150">
        <f>HOUR(K150)</f>
        <v>7</v>
      </c>
      <c r="M150">
        <f>MINUTE(K150)</f>
        <v>36</v>
      </c>
      <c r="N150">
        <f>L150*60+M150</f>
        <v>456</v>
      </c>
    </row>
    <row r="151" spans="2:14" x14ac:dyDescent="0.25">
      <c r="B151" t="s">
        <v>30</v>
      </c>
      <c r="C151" s="6">
        <v>46052.129166666666</v>
      </c>
      <c r="D151" s="6">
        <v>46052.142361111109</v>
      </c>
      <c r="E151" s="6">
        <v>46052.15625</v>
      </c>
      <c r="F151" s="6">
        <v>46052.207638888889</v>
      </c>
      <c r="G151" s="6">
        <v>46052.208333333336</v>
      </c>
      <c r="H151" s="6">
        <v>46052.215277777781</v>
      </c>
      <c r="I151">
        <v>2.0699999999999998</v>
      </c>
      <c r="J151" s="6">
        <v>46052.21875</v>
      </c>
      <c r="K151" s="7">
        <f>C152-H151</f>
        <v>7.6388888883229811E-2</v>
      </c>
      <c r="L151">
        <f>HOUR(K151)</f>
        <v>1</v>
      </c>
      <c r="M151">
        <f>MINUTE(K151)</f>
        <v>50</v>
      </c>
      <c r="N151">
        <f>L151*60+M151</f>
        <v>110</v>
      </c>
    </row>
    <row r="152" spans="2:14" hidden="1" x14ac:dyDescent="0.25">
      <c r="B152" t="s">
        <v>30</v>
      </c>
      <c r="C152" s="6">
        <v>46052.291666666664</v>
      </c>
      <c r="D152" s="6">
        <v>46052.350694444445</v>
      </c>
      <c r="E152" s="6">
        <v>46052.385416666664</v>
      </c>
      <c r="F152" s="6">
        <v>46052.482638888891</v>
      </c>
      <c r="G152" s="6">
        <v>46052.506944444445</v>
      </c>
      <c r="H152" s="6">
        <v>46052.520833333336</v>
      </c>
      <c r="I152">
        <v>5.5</v>
      </c>
      <c r="J152" s="6">
        <v>46052.527777777781</v>
      </c>
      <c r="K152" s="7">
        <f>C153-H152</f>
        <v>-0.10625000000436557</v>
      </c>
      <c r="L152" t="e">
        <f>HOUR(K152)</f>
        <v>#NUM!</v>
      </c>
      <c r="M152" t="e">
        <f>MINUTE(K152)</f>
        <v>#NUM!</v>
      </c>
      <c r="N152" t="e">
        <f>L152*60+M152</f>
        <v>#NUM!</v>
      </c>
    </row>
    <row r="153" spans="2:14" hidden="1" x14ac:dyDescent="0.25">
      <c r="B153" t="s">
        <v>30</v>
      </c>
      <c r="C153" s="6">
        <v>46052.414583333331</v>
      </c>
      <c r="D153" s="6">
        <v>46052.415277777778</v>
      </c>
      <c r="E153" s="6">
        <v>46052.454861111109</v>
      </c>
      <c r="F153" s="6">
        <v>46052.541666666664</v>
      </c>
      <c r="G153" s="6">
        <v>46052.670138888891</v>
      </c>
      <c r="H153" s="6">
        <v>46052.673611111109</v>
      </c>
      <c r="I153">
        <v>6.22</v>
      </c>
      <c r="J153" s="6">
        <v>46052.680555555555</v>
      </c>
      <c r="K153" s="7">
        <f>C154-H153</f>
        <v>-8.2638888889050577E-2</v>
      </c>
      <c r="L153" t="e">
        <f>HOUR(K153)</f>
        <v>#NUM!</v>
      </c>
      <c r="M153" t="e">
        <f>MINUTE(K153)</f>
        <v>#NUM!</v>
      </c>
      <c r="N153" t="e">
        <f>L153*60+M153</f>
        <v>#NUM!</v>
      </c>
    </row>
    <row r="154" spans="2:14" hidden="1" x14ac:dyDescent="0.25">
      <c r="B154" t="s">
        <v>30</v>
      </c>
      <c r="C154" s="6">
        <v>46052.59097222222</v>
      </c>
      <c r="D154" s="6">
        <v>46052.591666666667</v>
      </c>
      <c r="E154" s="6">
        <v>46052.614583333336</v>
      </c>
      <c r="F154" s="6">
        <v>46052.649305555555</v>
      </c>
      <c r="G154" s="6">
        <v>46052.666666666664</v>
      </c>
      <c r="H154" s="6">
        <v>46052.670138888891</v>
      </c>
      <c r="I154">
        <v>1.9</v>
      </c>
      <c r="J154" s="6">
        <v>46052.67083333333</v>
      </c>
      <c r="K154" s="7">
        <f>C155-H154</f>
        <v>-7.5694444443797693E-2</v>
      </c>
      <c r="L154" t="e">
        <f>HOUR(K154)</f>
        <v>#NUM!</v>
      </c>
      <c r="M154" t="e">
        <f>MINUTE(K154)</f>
        <v>#NUM!</v>
      </c>
      <c r="N154" t="e">
        <f>L154*60+M154</f>
        <v>#NUM!</v>
      </c>
    </row>
    <row r="155" spans="2:14" hidden="1" x14ac:dyDescent="0.25">
      <c r="B155" t="s">
        <v>30</v>
      </c>
      <c r="C155" s="6">
        <v>46052.594444444447</v>
      </c>
      <c r="D155" s="6">
        <v>46052.611111111109</v>
      </c>
      <c r="E155" s="6">
        <v>46052.694444444445</v>
      </c>
      <c r="F155" s="6">
        <v>46052.774305555555</v>
      </c>
      <c r="G155" s="6">
        <v>46052.791666666664</v>
      </c>
      <c r="H155" s="6">
        <v>46052.857638888891</v>
      </c>
      <c r="I155">
        <v>6.32</v>
      </c>
      <c r="J155" s="6">
        <v>46052.864583333336</v>
      </c>
      <c r="K155" s="7">
        <f>C156-H155</f>
        <v>-0.25347222222626442</v>
      </c>
      <c r="L155" t="e">
        <f>HOUR(K155)</f>
        <v>#NUM!</v>
      </c>
      <c r="M155" t="e">
        <f>MINUTE(K155)</f>
        <v>#NUM!</v>
      </c>
      <c r="N155" t="e">
        <f>L155*60+M155</f>
        <v>#NUM!</v>
      </c>
    </row>
    <row r="156" spans="2:14" x14ac:dyDescent="0.25">
      <c r="B156" t="s">
        <v>30</v>
      </c>
      <c r="C156" s="6">
        <v>46052.604166666664</v>
      </c>
      <c r="D156" s="6">
        <v>46052.631944444445</v>
      </c>
      <c r="E156" s="6">
        <v>46052.666666666664</v>
      </c>
      <c r="F156" s="6">
        <v>46052.68472222222</v>
      </c>
      <c r="G156" s="6">
        <v>46052.691666666666</v>
      </c>
      <c r="H156" s="6">
        <v>46052.708333333336</v>
      </c>
      <c r="I156">
        <v>2.5</v>
      </c>
      <c r="J156" s="6">
        <v>46052.715277777781</v>
      </c>
      <c r="K156" s="7">
        <f>C157-H156</f>
        <v>1.9444444442342501E-2</v>
      </c>
      <c r="L156">
        <f>HOUR(K156)</f>
        <v>0</v>
      </c>
      <c r="M156">
        <f>MINUTE(K156)</f>
        <v>28</v>
      </c>
      <c r="N156">
        <f>L156*60+M156</f>
        <v>28</v>
      </c>
    </row>
    <row r="157" spans="2:14" x14ac:dyDescent="0.25">
      <c r="B157" t="s">
        <v>30</v>
      </c>
      <c r="C157" s="6">
        <v>46052.727777777778</v>
      </c>
      <c r="D157" s="6">
        <v>46052.729166666664</v>
      </c>
      <c r="E157" s="6">
        <v>46052.75</v>
      </c>
      <c r="F157" s="6">
        <v>46052.815972222219</v>
      </c>
      <c r="G157" s="6">
        <v>46052.816666666666</v>
      </c>
      <c r="H157" s="6">
        <v>46052.822916666664</v>
      </c>
      <c r="I157">
        <v>2.2799999999999998</v>
      </c>
      <c r="J157" s="6">
        <v>46052.829861111109</v>
      </c>
      <c r="K157" s="7">
        <f>C158-H157</f>
        <v>1.7361111116770189E-2</v>
      </c>
      <c r="L157">
        <f>HOUR(K157)</f>
        <v>0</v>
      </c>
      <c r="M157">
        <f>MINUTE(K157)</f>
        <v>25</v>
      </c>
      <c r="N157">
        <f>L157*60+M157</f>
        <v>25</v>
      </c>
    </row>
    <row r="158" spans="2:14" x14ac:dyDescent="0.25">
      <c r="B158" t="s">
        <v>30</v>
      </c>
      <c r="C158" s="6">
        <v>46052.840277777781</v>
      </c>
      <c r="D158" s="6">
        <v>46052.847222222219</v>
      </c>
      <c r="E158" s="6">
        <v>46052.868055555555</v>
      </c>
      <c r="F158" s="6">
        <v>46052.923611111109</v>
      </c>
      <c r="G158" s="6">
        <v>46052.930555555555</v>
      </c>
      <c r="H158" s="6">
        <v>46052.9375</v>
      </c>
      <c r="I158">
        <v>2.33</v>
      </c>
      <c r="J158" s="6">
        <v>46052.944444444445</v>
      </c>
      <c r="K158" s="7">
        <f>C159-H158</f>
        <v>2.7777777781011537E-2</v>
      </c>
      <c r="L158">
        <f>HOUR(K158)</f>
        <v>0</v>
      </c>
      <c r="M158">
        <f>MINUTE(K158)</f>
        <v>40</v>
      </c>
      <c r="N158">
        <f>L158*60+M158</f>
        <v>40</v>
      </c>
    </row>
    <row r="159" spans="2:14" x14ac:dyDescent="0.25">
      <c r="B159" t="s">
        <v>30</v>
      </c>
      <c r="C159" s="6">
        <v>46052.965277777781</v>
      </c>
      <c r="D159" s="6">
        <v>46052.972222222219</v>
      </c>
      <c r="E159" s="6">
        <v>46052.979166666664</v>
      </c>
      <c r="F159" s="6">
        <v>46053.006944444445</v>
      </c>
      <c r="G159" s="6">
        <v>46053.020833333336</v>
      </c>
      <c r="H159" s="6">
        <v>46053.024305555555</v>
      </c>
      <c r="I159">
        <v>1.42</v>
      </c>
      <c r="J159" s="6">
        <v>46053.027777777781</v>
      </c>
      <c r="K159" s="7">
        <f>C160-H159</f>
        <v>0.41666666666424135</v>
      </c>
      <c r="L159">
        <f>HOUR(K159)</f>
        <v>10</v>
      </c>
      <c r="M159">
        <f>MINUTE(K159)</f>
        <v>0</v>
      </c>
      <c r="N159">
        <f>L159*60+M159</f>
        <v>600</v>
      </c>
    </row>
    <row r="160" spans="2:14" x14ac:dyDescent="0.25">
      <c r="B160" t="s">
        <v>30</v>
      </c>
      <c r="C160" s="6">
        <v>46053.440972222219</v>
      </c>
      <c r="D160" s="6">
        <v>46053.447916666664</v>
      </c>
      <c r="E160" s="6">
        <v>46053.489583333336</v>
      </c>
      <c r="F160" s="6">
        <v>46053.534722222219</v>
      </c>
      <c r="G160" s="6">
        <v>46053.541666666664</v>
      </c>
      <c r="H160" s="6">
        <v>46053.5625</v>
      </c>
      <c r="I160">
        <v>2.92</v>
      </c>
      <c r="J160" s="6">
        <v>46053.569444444445</v>
      </c>
      <c r="K160" s="7">
        <f>C161-H160</f>
        <v>0.17361111110949423</v>
      </c>
      <c r="L160">
        <f>HOUR(K160)</f>
        <v>4</v>
      </c>
      <c r="M160">
        <f>MINUTE(K160)</f>
        <v>10</v>
      </c>
      <c r="N160">
        <f>L160*60+M160</f>
        <v>250</v>
      </c>
    </row>
    <row r="161" spans="2:14" x14ac:dyDescent="0.25">
      <c r="B161" t="s">
        <v>30</v>
      </c>
      <c r="C161" s="6">
        <v>46053.736111111109</v>
      </c>
      <c r="D161" s="6">
        <v>46053.75</v>
      </c>
      <c r="E161" s="6">
        <v>46053.770833333336</v>
      </c>
      <c r="F161" s="6">
        <v>46053.798611111109</v>
      </c>
      <c r="G161" s="6">
        <v>46053.819444444445</v>
      </c>
      <c r="H161" s="6">
        <v>46053.856249999997</v>
      </c>
      <c r="I161">
        <v>2.87</v>
      </c>
      <c r="J161" s="6">
        <v>46053.863194444442</v>
      </c>
      <c r="K161" s="7">
        <f>C162-H161</f>
        <v>0.49791666666715173</v>
      </c>
      <c r="L161">
        <f>HOUR(K161)</f>
        <v>11</v>
      </c>
      <c r="M161">
        <f>MINUTE(K161)</f>
        <v>57</v>
      </c>
      <c r="N161">
        <f>L161*60+M161</f>
        <v>717</v>
      </c>
    </row>
    <row r="162" spans="2:14" x14ac:dyDescent="0.25">
      <c r="B162" t="s">
        <v>30</v>
      </c>
      <c r="C162" s="6">
        <v>46054.354166666664</v>
      </c>
      <c r="D162" s="6">
        <v>46054.357638888891</v>
      </c>
      <c r="E162" s="6">
        <v>46054.375</v>
      </c>
      <c r="F162" s="6">
        <v>46054.402777777781</v>
      </c>
      <c r="G162" s="6">
        <v>46054.40625</v>
      </c>
      <c r="H162" s="6">
        <v>46054.413194444445</v>
      </c>
      <c r="I162">
        <v>1.42</v>
      </c>
      <c r="J162" s="6">
        <v>46054.420138888891</v>
      </c>
      <c r="K162" s="7">
        <f>C163-H162</f>
        <v>4.5138888890505768E-2</v>
      </c>
      <c r="L162">
        <f>HOUR(K162)</f>
        <v>1</v>
      </c>
      <c r="M162">
        <f>MINUTE(K162)</f>
        <v>5</v>
      </c>
      <c r="N162">
        <f>L162*60+M162</f>
        <v>65</v>
      </c>
    </row>
    <row r="163" spans="2:14" hidden="1" x14ac:dyDescent="0.25">
      <c r="B163" t="s">
        <v>30</v>
      </c>
      <c r="C163" s="6">
        <v>46054.458333333336</v>
      </c>
      <c r="D163" s="6">
        <v>46054.472222222219</v>
      </c>
      <c r="E163" s="6">
        <v>46054.506944444445</v>
      </c>
      <c r="F163" s="6">
        <v>46054.541666666664</v>
      </c>
      <c r="G163" s="6">
        <v>46054.548611111109</v>
      </c>
      <c r="H163" s="6">
        <v>46054.701388888891</v>
      </c>
      <c r="I163">
        <v>5.83</v>
      </c>
      <c r="J163" s="6">
        <v>46054.708333333336</v>
      </c>
      <c r="K163" s="7">
        <f>C164-H163</f>
        <v>-0.14236111110949423</v>
      </c>
      <c r="L163" t="e">
        <f>HOUR(K163)</f>
        <v>#NUM!</v>
      </c>
      <c r="M163" t="e">
        <f>MINUTE(K163)</f>
        <v>#NUM!</v>
      </c>
      <c r="N163" t="e">
        <f>L163*60+M163</f>
        <v>#NUM!</v>
      </c>
    </row>
    <row r="164" spans="2:14" hidden="1" x14ac:dyDescent="0.25">
      <c r="B164" t="s">
        <v>30</v>
      </c>
      <c r="C164" s="6">
        <v>46054.559027777781</v>
      </c>
      <c r="D164" s="6">
        <v>46054.5625</v>
      </c>
      <c r="E164" s="6">
        <v>46054.569444444445</v>
      </c>
      <c r="F164" s="6">
        <v>46054.642361111109</v>
      </c>
      <c r="G164" s="6">
        <v>46054.645833333336</v>
      </c>
      <c r="H164" s="6">
        <v>46054.652777777781</v>
      </c>
      <c r="I164">
        <v>2.25</v>
      </c>
      <c r="J164" s="6">
        <v>46054.659722222219</v>
      </c>
      <c r="K164" s="7">
        <f>C165-H164</f>
        <v>4.8611111051286571E-3</v>
      </c>
      <c r="L164">
        <f>HOUR(K164)</f>
        <v>0</v>
      </c>
      <c r="M164">
        <f>MINUTE(K164)</f>
        <v>7</v>
      </c>
      <c r="N164">
        <f>L164*60+M164</f>
        <v>7</v>
      </c>
    </row>
    <row r="165" spans="2:14" x14ac:dyDescent="0.25">
      <c r="B165" t="s">
        <v>30</v>
      </c>
      <c r="C165" s="6">
        <v>46054.657638888886</v>
      </c>
      <c r="D165" s="6">
        <v>46054.663194444445</v>
      </c>
      <c r="E165" s="6">
        <v>46054.684027777781</v>
      </c>
      <c r="F165" s="6">
        <v>46054.739583333336</v>
      </c>
      <c r="G165" s="6">
        <v>46054.75</v>
      </c>
      <c r="H165" s="6">
        <v>46054.756944444445</v>
      </c>
      <c r="I165">
        <v>2.38</v>
      </c>
      <c r="J165" s="6">
        <v>46054.760416666664</v>
      </c>
      <c r="K165" s="7">
        <f>C166-H165</f>
        <v>0.20069444444379769</v>
      </c>
      <c r="L165">
        <f>HOUR(K165)</f>
        <v>4</v>
      </c>
      <c r="M165">
        <f>MINUTE(K165)</f>
        <v>49</v>
      </c>
      <c r="N165">
        <f>L165*60+M165</f>
        <v>289</v>
      </c>
    </row>
    <row r="166" spans="2:14" x14ac:dyDescent="0.25">
      <c r="B166" t="s">
        <v>30</v>
      </c>
      <c r="C166" s="6">
        <v>46054.957638888889</v>
      </c>
      <c r="D166" s="6">
        <v>46054.958333333336</v>
      </c>
      <c r="E166" s="6">
        <v>46054.959027777775</v>
      </c>
      <c r="F166" s="6">
        <v>46054.965277777781</v>
      </c>
      <c r="G166" s="6">
        <v>46054.972222222219</v>
      </c>
      <c r="H166" s="6">
        <v>46054.973611111112</v>
      </c>
      <c r="I166">
        <v>0.38</v>
      </c>
      <c r="J166" s="6">
        <v>46054.980555555558</v>
      </c>
      <c r="K166" s="7">
        <f>C167-H166</f>
        <v>5.4166666668606922E-2</v>
      </c>
      <c r="L166">
        <f>HOUR(K166)</f>
        <v>1</v>
      </c>
      <c r="M166">
        <f>MINUTE(K166)</f>
        <v>18</v>
      </c>
      <c r="N166">
        <f>L166*60+M166</f>
        <v>78</v>
      </c>
    </row>
    <row r="167" spans="2:14" x14ac:dyDescent="0.25">
      <c r="B167" t="s">
        <v>30</v>
      </c>
      <c r="C167" s="6">
        <v>46055.027777777781</v>
      </c>
      <c r="D167" s="6">
        <v>46055.034722222219</v>
      </c>
      <c r="E167" s="6">
        <v>46055.052083333336</v>
      </c>
      <c r="F167" s="6">
        <v>46055.111111111109</v>
      </c>
      <c r="G167" s="6">
        <v>46055.131944444445</v>
      </c>
      <c r="H167" s="6">
        <v>46055.138888888891</v>
      </c>
      <c r="I167">
        <v>2.67</v>
      </c>
      <c r="J167" s="6">
        <v>46055.142361111109</v>
      </c>
      <c r="K167" s="7">
        <f>C168-H167</f>
        <v>0.15277777777373558</v>
      </c>
      <c r="L167">
        <f>HOUR(K167)</f>
        <v>3</v>
      </c>
      <c r="M167">
        <f>MINUTE(K167)</f>
        <v>40</v>
      </c>
      <c r="N167">
        <f>L167*60+M167</f>
        <v>220</v>
      </c>
    </row>
    <row r="168" spans="2:14" x14ac:dyDescent="0.25">
      <c r="B168" t="s">
        <v>30</v>
      </c>
      <c r="C168" s="6">
        <v>46055.291666666664</v>
      </c>
      <c r="D168" s="6">
        <v>46055.336805555555</v>
      </c>
      <c r="E168" s="6">
        <v>46055.357638888891</v>
      </c>
      <c r="F168" s="6">
        <v>46055.416666666664</v>
      </c>
      <c r="G168" s="6">
        <v>46055.423611111109</v>
      </c>
      <c r="H168" s="6">
        <v>46055.430555555555</v>
      </c>
      <c r="I168">
        <v>3.33</v>
      </c>
      <c r="J168" s="6">
        <v>46055.4375</v>
      </c>
      <c r="K168" s="7">
        <f>C169-H168</f>
        <v>4.8611111109494232E-2</v>
      </c>
      <c r="L168">
        <f>HOUR(K168)</f>
        <v>1</v>
      </c>
      <c r="M168">
        <f>MINUTE(K168)</f>
        <v>10</v>
      </c>
      <c r="N168">
        <f>L168*60+M168</f>
        <v>70</v>
      </c>
    </row>
    <row r="169" spans="2:14" x14ac:dyDescent="0.25">
      <c r="B169" t="s">
        <v>30</v>
      </c>
      <c r="C169" s="6">
        <v>46055.479166666664</v>
      </c>
      <c r="D169" s="6">
        <v>46055.493055555555</v>
      </c>
      <c r="E169" s="6">
        <v>46055.5</v>
      </c>
      <c r="F169" s="6">
        <v>46055.510416666664</v>
      </c>
      <c r="G169" s="6">
        <v>46055.513888888891</v>
      </c>
      <c r="H169" s="6">
        <v>46055.517361111109</v>
      </c>
      <c r="I169">
        <v>0.92</v>
      </c>
      <c r="J169" s="6">
        <v>46055.520833333336</v>
      </c>
      <c r="K169" s="7">
        <f>C170-H169</f>
        <v>3.8194444445252884E-2</v>
      </c>
      <c r="L169">
        <f>HOUR(K169)</f>
        <v>0</v>
      </c>
      <c r="M169">
        <f>MINUTE(K169)</f>
        <v>55</v>
      </c>
      <c r="N169">
        <f>L169*60+M169</f>
        <v>55</v>
      </c>
    </row>
    <row r="170" spans="2:14" hidden="1" x14ac:dyDescent="0.25">
      <c r="B170" t="s">
        <v>30</v>
      </c>
      <c r="C170" s="6">
        <v>46055.555555555555</v>
      </c>
      <c r="D170" s="6">
        <v>46055.569444444445</v>
      </c>
      <c r="E170" s="6">
        <v>46055.576388888891</v>
      </c>
      <c r="F170" s="6">
        <v>46055.715277777781</v>
      </c>
      <c r="G170" s="6">
        <v>46055.722222222219</v>
      </c>
      <c r="H170" s="6">
        <v>46055.739583333336</v>
      </c>
      <c r="I170">
        <v>4.42</v>
      </c>
      <c r="J170" s="6">
        <v>46055.740277777775</v>
      </c>
      <c r="K170" s="7">
        <f>C171-H170</f>
        <v>-6.25E-2</v>
      </c>
      <c r="L170" t="e">
        <f>HOUR(K170)</f>
        <v>#NUM!</v>
      </c>
      <c r="M170" t="e">
        <f>MINUTE(K170)</f>
        <v>#NUM!</v>
      </c>
      <c r="N170" t="e">
        <f>L170*60+M170</f>
        <v>#NUM!</v>
      </c>
    </row>
    <row r="171" spans="2:14" hidden="1" x14ac:dyDescent="0.25">
      <c r="B171" t="s">
        <v>30</v>
      </c>
      <c r="C171" s="6">
        <v>46055.677083333336</v>
      </c>
      <c r="D171" s="6">
        <v>46055.680555555555</v>
      </c>
      <c r="E171" s="6">
        <v>46055.701388888891</v>
      </c>
      <c r="F171" s="6">
        <v>46055.791666666664</v>
      </c>
      <c r="G171" s="6">
        <v>46055.798611111109</v>
      </c>
      <c r="H171" s="6">
        <v>46055.805555555555</v>
      </c>
      <c r="I171">
        <v>3.08</v>
      </c>
      <c r="J171" s="6">
        <v>46055.806944444441</v>
      </c>
      <c r="K171" s="7">
        <f>C172-H171</f>
        <v>-8.8888888887595385E-2</v>
      </c>
      <c r="L171" t="e">
        <f>HOUR(K171)</f>
        <v>#NUM!</v>
      </c>
      <c r="M171" t="e">
        <f>MINUTE(K171)</f>
        <v>#NUM!</v>
      </c>
      <c r="N171" t="e">
        <f>L171*60+M171</f>
        <v>#NUM!</v>
      </c>
    </row>
    <row r="172" spans="2:14" hidden="1" x14ac:dyDescent="0.25">
      <c r="B172" t="s">
        <v>30</v>
      </c>
      <c r="C172" s="6">
        <v>46055.716666666667</v>
      </c>
      <c r="D172" s="6">
        <v>46055.723611111112</v>
      </c>
      <c r="E172" s="6">
        <v>46055.743055555555</v>
      </c>
      <c r="F172" s="6">
        <v>46055.759722222225</v>
      </c>
      <c r="G172" s="6">
        <v>46055.76666666667</v>
      </c>
      <c r="H172" s="6">
        <v>46055.769444444442</v>
      </c>
      <c r="I172">
        <v>1.27</v>
      </c>
      <c r="J172" s="6">
        <v>46055.776388888888</v>
      </c>
      <c r="K172" s="7">
        <f>C173-H172</f>
        <v>-3.3333333332848269E-2</v>
      </c>
      <c r="L172" t="e">
        <f>HOUR(K172)</f>
        <v>#NUM!</v>
      </c>
      <c r="M172" t="e">
        <f>MINUTE(K172)</f>
        <v>#NUM!</v>
      </c>
      <c r="N172" t="e">
        <f>L172*60+M172</f>
        <v>#NUM!</v>
      </c>
    </row>
    <row r="173" spans="2:14" x14ac:dyDescent="0.25">
      <c r="B173" t="s">
        <v>30</v>
      </c>
      <c r="C173" s="6">
        <v>46055.736111111109</v>
      </c>
      <c r="D173" s="6">
        <v>46055.746527777781</v>
      </c>
      <c r="E173" s="6">
        <v>46055.756944444445</v>
      </c>
      <c r="F173" s="6">
        <v>46055.805555555555</v>
      </c>
      <c r="G173" s="6">
        <v>46055.8125</v>
      </c>
      <c r="H173" s="6">
        <v>46055.829861111109</v>
      </c>
      <c r="I173">
        <v>2.25</v>
      </c>
      <c r="J173" s="6">
        <v>46055.836805555555</v>
      </c>
      <c r="K173" s="7">
        <f>C174-H173</f>
        <v>6.5972222226264421E-2</v>
      </c>
      <c r="L173">
        <f>HOUR(K173)</f>
        <v>1</v>
      </c>
      <c r="M173">
        <f>MINUTE(K173)</f>
        <v>35</v>
      </c>
      <c r="N173">
        <f>L173*60+M173</f>
        <v>95</v>
      </c>
    </row>
    <row r="174" spans="2:14" x14ac:dyDescent="0.25">
      <c r="B174" t="s">
        <v>30</v>
      </c>
      <c r="C174" s="6">
        <v>46055.895833333336</v>
      </c>
      <c r="D174" s="6">
        <v>46055.897222222222</v>
      </c>
      <c r="E174" s="6">
        <v>46055.909722222219</v>
      </c>
      <c r="F174" s="6">
        <v>46055.930555555555</v>
      </c>
      <c r="G174" s="6">
        <v>46055.9375</v>
      </c>
      <c r="H174" s="6">
        <v>46055.940972222219</v>
      </c>
      <c r="I174">
        <v>1.08</v>
      </c>
      <c r="J174" s="6">
        <v>46055.947916666664</v>
      </c>
      <c r="K174" s="7">
        <f>C175-H174</f>
        <v>0.34375</v>
      </c>
      <c r="L174">
        <f>HOUR(K174)</f>
        <v>8</v>
      </c>
      <c r="M174">
        <f>MINUTE(K174)</f>
        <v>15</v>
      </c>
      <c r="N174">
        <f>L174*60+M174</f>
        <v>495</v>
      </c>
    </row>
    <row r="175" spans="2:14" x14ac:dyDescent="0.25">
      <c r="B175" t="s">
        <v>30</v>
      </c>
      <c r="C175" s="6">
        <v>46056.284722222219</v>
      </c>
      <c r="D175" s="6">
        <v>46056.329861111109</v>
      </c>
      <c r="E175" s="6">
        <v>46056.361111111109</v>
      </c>
      <c r="F175" s="6">
        <v>46056.444444444445</v>
      </c>
      <c r="G175" s="6">
        <v>46056.472222222219</v>
      </c>
      <c r="H175" s="6">
        <v>46056.475694444445</v>
      </c>
      <c r="I175">
        <v>4.58</v>
      </c>
      <c r="J175" s="6">
        <v>46056.482638888891</v>
      </c>
      <c r="K175" s="7">
        <f>C176-H175</f>
        <v>1.3888888890505768E-2</v>
      </c>
      <c r="L175">
        <f>HOUR(K175)</f>
        <v>0</v>
      </c>
      <c r="M175">
        <f>MINUTE(K175)</f>
        <v>20</v>
      </c>
      <c r="N175">
        <f>L175*60+M175</f>
        <v>20</v>
      </c>
    </row>
    <row r="176" spans="2:14" hidden="1" x14ac:dyDescent="0.25">
      <c r="B176" t="s">
        <v>30</v>
      </c>
      <c r="C176" s="6">
        <v>46056.489583333336</v>
      </c>
      <c r="D176" s="6">
        <v>46056.524305555555</v>
      </c>
      <c r="E176" s="6">
        <v>46056.527777777781</v>
      </c>
      <c r="F176" s="6">
        <v>46056.534722222219</v>
      </c>
      <c r="G176" s="6">
        <v>46056.538194444445</v>
      </c>
      <c r="H176" s="6">
        <v>46056.541666666664</v>
      </c>
      <c r="I176">
        <v>1.25</v>
      </c>
      <c r="J176" s="6">
        <v>46056.548611111109</v>
      </c>
      <c r="K176" s="7">
        <f>C177-H176</f>
        <v>-6.9444444452528842E-3</v>
      </c>
      <c r="L176" t="e">
        <f>HOUR(K176)</f>
        <v>#NUM!</v>
      </c>
      <c r="M176" t="e">
        <f>MINUTE(K176)</f>
        <v>#NUM!</v>
      </c>
      <c r="N176" t="e">
        <f>L176*60+M176</f>
        <v>#NUM!</v>
      </c>
    </row>
    <row r="177" spans="2:14" hidden="1" x14ac:dyDescent="0.25">
      <c r="B177" t="s">
        <v>30</v>
      </c>
      <c r="C177" s="6">
        <v>46056.534722222219</v>
      </c>
      <c r="D177" s="6">
        <v>46056.545138888891</v>
      </c>
      <c r="E177" s="6">
        <v>46056.614583333336</v>
      </c>
      <c r="F177" s="6">
        <v>46056.666666666664</v>
      </c>
      <c r="G177" s="6">
        <v>46056.729166666664</v>
      </c>
      <c r="H177" s="6">
        <v>46056.732638888891</v>
      </c>
      <c r="I177">
        <v>4.75</v>
      </c>
      <c r="J177" s="6">
        <v>46056.736111111109</v>
      </c>
      <c r="K177" s="7">
        <f>C178-H177</f>
        <v>-0.14930555555474712</v>
      </c>
      <c r="L177" t="e">
        <f>HOUR(K177)</f>
        <v>#NUM!</v>
      </c>
      <c r="M177" t="e">
        <f>MINUTE(K177)</f>
        <v>#NUM!</v>
      </c>
      <c r="N177" t="e">
        <f>L177*60+M177</f>
        <v>#NUM!</v>
      </c>
    </row>
    <row r="178" spans="2:14" x14ac:dyDescent="0.25">
      <c r="B178" t="s">
        <v>30</v>
      </c>
      <c r="C178" s="6">
        <v>46056.583333333336</v>
      </c>
      <c r="D178" s="6">
        <v>46056.59375</v>
      </c>
      <c r="E178" s="6">
        <v>46056.604166666664</v>
      </c>
      <c r="F178" s="6">
        <v>46056.645833333336</v>
      </c>
      <c r="G178" s="6">
        <v>46056.652777777781</v>
      </c>
      <c r="H178" s="6">
        <v>46056.666666666664</v>
      </c>
      <c r="I178">
        <v>2</v>
      </c>
      <c r="J178" s="6">
        <v>46056.673611111109</v>
      </c>
      <c r="K178" s="7">
        <f>C179-H178</f>
        <v>5.2083333335758653E-2</v>
      </c>
      <c r="L178">
        <f>HOUR(K178)</f>
        <v>1</v>
      </c>
      <c r="M178">
        <f>MINUTE(K178)</f>
        <v>15</v>
      </c>
      <c r="N178">
        <f>L178*60+M178</f>
        <v>75</v>
      </c>
    </row>
    <row r="179" spans="2:14" x14ac:dyDescent="0.25">
      <c r="B179" t="s">
        <v>30</v>
      </c>
      <c r="C179" s="6">
        <v>46056.71875</v>
      </c>
      <c r="D179" s="6">
        <v>46056.729166666664</v>
      </c>
      <c r="E179" s="6">
        <v>46056.770833333336</v>
      </c>
      <c r="F179" s="6">
        <v>46056.791666666664</v>
      </c>
      <c r="G179" s="6">
        <v>46056.795138888891</v>
      </c>
      <c r="H179" s="6">
        <v>46056.805555555555</v>
      </c>
      <c r="I179">
        <v>2.08</v>
      </c>
      <c r="J179" s="6">
        <v>46056.8125</v>
      </c>
      <c r="K179" s="7">
        <f>C180-H179</f>
        <v>9.0277777781011537E-2</v>
      </c>
      <c r="L179">
        <f>HOUR(K179)</f>
        <v>2</v>
      </c>
      <c r="M179">
        <f>MINUTE(K179)</f>
        <v>10</v>
      </c>
      <c r="N179">
        <f>L179*60+M179</f>
        <v>130</v>
      </c>
    </row>
    <row r="180" spans="2:14" hidden="1" x14ac:dyDescent="0.25">
      <c r="B180" t="s">
        <v>30</v>
      </c>
      <c r="C180" s="6">
        <v>46056.895833333336</v>
      </c>
      <c r="D180" s="6">
        <v>46056.899305555555</v>
      </c>
      <c r="E180" s="6">
        <v>46056.909722222219</v>
      </c>
      <c r="F180" s="6">
        <v>46056.920138888891</v>
      </c>
      <c r="G180" s="6">
        <v>46056.923611111109</v>
      </c>
      <c r="H180" s="6">
        <v>46056.925694444442</v>
      </c>
      <c r="I180">
        <v>0.72</v>
      </c>
      <c r="J180" s="6">
        <v>46056.932638888888</v>
      </c>
      <c r="K180" s="7">
        <f>C181-H180</f>
        <v>-1.5972222223354038E-2</v>
      </c>
      <c r="L180" t="e">
        <f>HOUR(K180)</f>
        <v>#NUM!</v>
      </c>
      <c r="M180" t="e">
        <f>MINUTE(K180)</f>
        <v>#NUM!</v>
      </c>
      <c r="N180" t="e">
        <f>L180*60+M180</f>
        <v>#NUM!</v>
      </c>
    </row>
    <row r="181" spans="2:14" hidden="1" x14ac:dyDescent="0.25">
      <c r="B181" t="s">
        <v>30</v>
      </c>
      <c r="C181" s="6">
        <v>46056.909722222219</v>
      </c>
      <c r="D181" s="6">
        <v>46056.916666666664</v>
      </c>
      <c r="E181" s="6">
        <v>46056.927083333336</v>
      </c>
      <c r="F181" s="6">
        <v>46056.9375</v>
      </c>
      <c r="G181" s="6">
        <v>46057.045138888891</v>
      </c>
      <c r="H181" s="6">
        <v>46057.048611111109</v>
      </c>
      <c r="I181">
        <v>3.33</v>
      </c>
      <c r="J181" s="6">
        <v>46057.055555555555</v>
      </c>
      <c r="K181" s="7">
        <f>C182-H181</f>
        <v>-0.13888888889050577</v>
      </c>
      <c r="L181" t="e">
        <f>HOUR(K181)</f>
        <v>#NUM!</v>
      </c>
      <c r="M181" t="e">
        <f>MINUTE(K181)</f>
        <v>#NUM!</v>
      </c>
      <c r="N181" t="e">
        <f>L181*60+M181</f>
        <v>#NUM!</v>
      </c>
    </row>
    <row r="182" spans="2:14" hidden="1" x14ac:dyDescent="0.25">
      <c r="B182" t="s">
        <v>30</v>
      </c>
      <c r="C182" s="6">
        <v>46056.909722222219</v>
      </c>
      <c r="D182" s="6">
        <v>46056.916666666664</v>
      </c>
      <c r="E182" s="6">
        <v>46056.927083333336</v>
      </c>
      <c r="F182" s="6">
        <v>46056.9375</v>
      </c>
      <c r="G182" s="6">
        <v>46057.045138888891</v>
      </c>
      <c r="H182" s="6">
        <v>46057.048611111109</v>
      </c>
      <c r="I182">
        <v>3.33</v>
      </c>
      <c r="J182" s="6">
        <v>46057.055555555555</v>
      </c>
      <c r="K182" s="7">
        <f>C183-H182</f>
        <v>-9.1666666667151731E-2</v>
      </c>
      <c r="L182" t="e">
        <f>HOUR(K182)</f>
        <v>#NUM!</v>
      </c>
      <c r="M182" t="e">
        <f>MINUTE(K182)</f>
        <v>#NUM!</v>
      </c>
      <c r="N182" t="e">
        <f>L182*60+M182</f>
        <v>#NUM!</v>
      </c>
    </row>
    <row r="183" spans="2:14" x14ac:dyDescent="0.25">
      <c r="B183" t="s">
        <v>30</v>
      </c>
      <c r="C183" s="6">
        <v>46056.956944444442</v>
      </c>
      <c r="D183" s="6">
        <v>46056.958333333336</v>
      </c>
      <c r="E183" s="6">
        <v>46056.961805555555</v>
      </c>
      <c r="F183" s="6">
        <v>46056.975694444445</v>
      </c>
      <c r="G183" s="6">
        <v>46056.979166666664</v>
      </c>
      <c r="H183" s="6">
        <v>46056.980555555558</v>
      </c>
      <c r="I183">
        <v>0.56999999999999995</v>
      </c>
      <c r="J183" s="6">
        <v>46056.982638888891</v>
      </c>
      <c r="K183" s="7">
        <f>C184-H183</f>
        <v>0.31111111110658385</v>
      </c>
      <c r="L183">
        <f>HOUR(K183)</f>
        <v>7</v>
      </c>
      <c r="M183">
        <f>MINUTE(K183)</f>
        <v>28</v>
      </c>
      <c r="N183">
        <f>L183*60+M183</f>
        <v>448</v>
      </c>
    </row>
    <row r="184" spans="2:14" hidden="1" x14ac:dyDescent="0.25">
      <c r="B184" t="s">
        <v>30</v>
      </c>
      <c r="C184" s="6">
        <v>46057.291666666664</v>
      </c>
      <c r="D184" s="6">
        <v>46057.340277777781</v>
      </c>
      <c r="E184" s="6">
        <v>46057.361111111109</v>
      </c>
      <c r="F184" s="6">
        <v>46057.402777777781</v>
      </c>
      <c r="G184" s="6">
        <v>46057.409722222219</v>
      </c>
      <c r="H184" s="6">
        <v>46057.413194444445</v>
      </c>
      <c r="I184">
        <v>2.92</v>
      </c>
      <c r="J184" s="6">
        <v>46057.420138888891</v>
      </c>
      <c r="K184" s="7">
        <f>C185-H184</f>
        <v>-0.12152777778101154</v>
      </c>
      <c r="L184" t="e">
        <f>HOUR(K184)</f>
        <v>#NUM!</v>
      </c>
      <c r="M184" t="e">
        <f>MINUTE(K184)</f>
        <v>#NUM!</v>
      </c>
      <c r="N184" t="e">
        <f>L184*60+M184</f>
        <v>#NUM!</v>
      </c>
    </row>
    <row r="185" spans="2:14" x14ac:dyDescent="0.25">
      <c r="B185" t="s">
        <v>30</v>
      </c>
      <c r="C185" s="6">
        <v>46057.291666666664</v>
      </c>
      <c r="D185" s="6">
        <v>46057.322916666664</v>
      </c>
      <c r="E185" s="6">
        <v>46057.347222222219</v>
      </c>
      <c r="F185" s="6">
        <v>46057.427083333336</v>
      </c>
      <c r="G185" s="6">
        <v>46057.434027777781</v>
      </c>
      <c r="H185" s="6">
        <v>46057.4375</v>
      </c>
      <c r="I185">
        <v>3.5</v>
      </c>
      <c r="J185" s="6">
        <v>46057.444444444445</v>
      </c>
      <c r="K185" s="7">
        <f>C186-H185</f>
        <v>1.2499999997089617E-2</v>
      </c>
      <c r="L185">
        <f>HOUR(K185)</f>
        <v>0</v>
      </c>
      <c r="M185">
        <f>MINUTE(K185)</f>
        <v>18</v>
      </c>
      <c r="N185">
        <f>L185*60+M185</f>
        <v>18</v>
      </c>
    </row>
    <row r="186" spans="2:14" x14ac:dyDescent="0.25">
      <c r="B186" t="s">
        <v>30</v>
      </c>
      <c r="C186" s="6">
        <v>46057.45</v>
      </c>
      <c r="D186" s="6">
        <v>46057.451388888891</v>
      </c>
      <c r="E186" s="6">
        <v>46057.458333333336</v>
      </c>
      <c r="F186" s="6">
        <v>46057.50277777778</v>
      </c>
      <c r="G186" s="6">
        <v>46057.569444444445</v>
      </c>
      <c r="H186" s="6">
        <v>46057.572916666664</v>
      </c>
      <c r="I186">
        <v>2.95</v>
      </c>
      <c r="J186" s="6">
        <v>46057.576388888891</v>
      </c>
      <c r="K186" s="7">
        <f>C187-H186</f>
        <v>3.125E-2</v>
      </c>
      <c r="L186">
        <f>HOUR(K186)</f>
        <v>0</v>
      </c>
      <c r="M186">
        <f>MINUTE(K186)</f>
        <v>45</v>
      </c>
      <c r="N186">
        <f>L186*60+M186</f>
        <v>45</v>
      </c>
    </row>
    <row r="187" spans="2:14" hidden="1" x14ac:dyDescent="0.25">
      <c r="B187" t="s">
        <v>30</v>
      </c>
      <c r="C187" s="6">
        <v>46057.604166666664</v>
      </c>
      <c r="D187" s="6">
        <v>46057.614583333336</v>
      </c>
      <c r="E187" s="6">
        <v>46057.625</v>
      </c>
      <c r="F187" s="6">
        <v>46057.642361111109</v>
      </c>
      <c r="G187" s="6">
        <v>46057.649305555555</v>
      </c>
      <c r="H187" s="6">
        <v>46057.650694444441</v>
      </c>
      <c r="I187">
        <v>1.1200000000000001</v>
      </c>
      <c r="J187" s="6">
        <v>46057.652083333334</v>
      </c>
      <c r="K187" s="7">
        <f>C188-H187</f>
        <v>-3.9583333331393078E-2</v>
      </c>
      <c r="L187" t="e">
        <f>HOUR(K187)</f>
        <v>#NUM!</v>
      </c>
      <c r="M187" t="e">
        <f>MINUTE(K187)</f>
        <v>#NUM!</v>
      </c>
      <c r="N187" t="e">
        <f>L187*60+M187</f>
        <v>#NUM!</v>
      </c>
    </row>
    <row r="188" spans="2:14" x14ac:dyDescent="0.25">
      <c r="B188" t="s">
        <v>30</v>
      </c>
      <c r="C188" s="6">
        <v>46057.611111111109</v>
      </c>
      <c r="D188" s="6">
        <v>46057.625</v>
      </c>
      <c r="E188" s="6">
        <v>46057.638888888891</v>
      </c>
      <c r="F188" s="6">
        <v>46057.659722222219</v>
      </c>
      <c r="G188" s="6">
        <v>46057.660416666666</v>
      </c>
      <c r="H188" s="6">
        <v>46057.661111111112</v>
      </c>
      <c r="I188">
        <v>1.2</v>
      </c>
      <c r="J188" s="6">
        <v>46057.668055555558</v>
      </c>
      <c r="K188" s="7">
        <f>C189-H188</f>
        <v>0.79652777777664596</v>
      </c>
      <c r="L188">
        <f>HOUR(K188)</f>
        <v>19</v>
      </c>
      <c r="M188">
        <f>MINUTE(K188)</f>
        <v>7</v>
      </c>
      <c r="N188">
        <f>L188*60+M188</f>
        <v>1147</v>
      </c>
    </row>
    <row r="189" spans="2:14" hidden="1" x14ac:dyDescent="0.25">
      <c r="B189" t="s">
        <v>30</v>
      </c>
      <c r="C189" s="6">
        <v>46058.457638888889</v>
      </c>
      <c r="D189" s="6">
        <v>46058.489583333336</v>
      </c>
      <c r="E189" s="6">
        <v>46058.503472222219</v>
      </c>
      <c r="F189" s="6">
        <v>46058.583333333336</v>
      </c>
      <c r="G189" s="6">
        <v>46058.590277777781</v>
      </c>
      <c r="H189" s="6">
        <v>46058.763888888891</v>
      </c>
      <c r="I189">
        <v>7.35</v>
      </c>
      <c r="J189" s="6">
        <v>46058.770833333336</v>
      </c>
      <c r="K189" s="7">
        <f>C190-H189</f>
        <v>-0.20833333333575865</v>
      </c>
      <c r="L189" t="e">
        <f>HOUR(K189)</f>
        <v>#NUM!</v>
      </c>
      <c r="M189" t="e">
        <f>MINUTE(K189)</f>
        <v>#NUM!</v>
      </c>
      <c r="N189" t="e">
        <f>L189*60+M189</f>
        <v>#NUM!</v>
      </c>
    </row>
    <row r="190" spans="2:14" x14ac:dyDescent="0.25">
      <c r="B190" t="s">
        <v>30</v>
      </c>
      <c r="C190" s="6">
        <v>46058.555555555555</v>
      </c>
      <c r="D190" s="6">
        <v>46058.5625</v>
      </c>
      <c r="E190" s="6">
        <v>46058.565972222219</v>
      </c>
      <c r="F190" s="6">
        <v>46058.583333333336</v>
      </c>
      <c r="G190" s="6">
        <v>46058.586805555555</v>
      </c>
      <c r="H190" s="6">
        <v>46058.588888888888</v>
      </c>
      <c r="I190">
        <v>0.8</v>
      </c>
      <c r="J190" s="6">
        <v>46058.595833333333</v>
      </c>
      <c r="K190" s="7">
        <f>C191-H190</f>
        <v>8.1250000002910383E-2</v>
      </c>
      <c r="L190">
        <f>HOUR(K190)</f>
        <v>1</v>
      </c>
      <c r="M190">
        <f>MINUTE(K190)</f>
        <v>57</v>
      </c>
      <c r="N190">
        <f>L190*60+M190</f>
        <v>117</v>
      </c>
    </row>
    <row r="191" spans="2:14" x14ac:dyDescent="0.25">
      <c r="B191" t="s">
        <v>30</v>
      </c>
      <c r="C191" s="6">
        <v>46058.670138888891</v>
      </c>
      <c r="D191" s="6">
        <v>46058.677083333336</v>
      </c>
      <c r="E191" s="6">
        <v>46058.715277777781</v>
      </c>
      <c r="F191" s="6">
        <v>46058.861111111109</v>
      </c>
      <c r="G191" s="6">
        <v>46058.868055555555</v>
      </c>
      <c r="H191" s="6">
        <v>46058.875</v>
      </c>
      <c r="I191">
        <v>4.92</v>
      </c>
      <c r="J191" s="6">
        <v>46058.881944444445</v>
      </c>
      <c r="K191" s="7">
        <f>C192-H191</f>
        <v>8.3333333335758653E-2</v>
      </c>
      <c r="L191">
        <f>HOUR(K191)</f>
        <v>2</v>
      </c>
      <c r="M191">
        <f>MINUTE(K191)</f>
        <v>0</v>
      </c>
      <c r="N191">
        <f>L191*60+M191</f>
        <v>120</v>
      </c>
    </row>
    <row r="192" spans="2:14" x14ac:dyDescent="0.25">
      <c r="B192" t="s">
        <v>30</v>
      </c>
      <c r="C192" s="6">
        <v>46058.958333333336</v>
      </c>
      <c r="D192" s="6">
        <v>46058.965277777781</v>
      </c>
      <c r="E192" s="6">
        <v>46058.975694444445</v>
      </c>
      <c r="F192" s="6">
        <v>46058.989583333336</v>
      </c>
      <c r="G192" s="6">
        <v>46058.993055555555</v>
      </c>
      <c r="H192" s="6">
        <v>46058.996527777781</v>
      </c>
      <c r="I192">
        <v>0.92</v>
      </c>
      <c r="J192" s="6">
        <v>46059</v>
      </c>
      <c r="K192" s="7">
        <f>C193-H192</f>
        <v>1.7361111109494232E-2</v>
      </c>
      <c r="L192">
        <f>HOUR(K192)</f>
        <v>0</v>
      </c>
      <c r="M192">
        <f>MINUTE(K192)</f>
        <v>25</v>
      </c>
      <c r="N192">
        <f>L192*60+M192</f>
        <v>25</v>
      </c>
    </row>
    <row r="193" spans="2:14" hidden="1" x14ac:dyDescent="0.25">
      <c r="B193" t="s">
        <v>30</v>
      </c>
      <c r="C193" s="6">
        <v>46059.013888888891</v>
      </c>
      <c r="D193" s="6">
        <v>46059.020833333336</v>
      </c>
      <c r="E193" s="6">
        <v>46059.03125</v>
      </c>
      <c r="F193" s="6">
        <v>46059.09375</v>
      </c>
      <c r="G193" s="6">
        <v>46059.100694444445</v>
      </c>
      <c r="H193" s="6">
        <v>46059.708333333336</v>
      </c>
      <c r="I193">
        <v>16.670000000000002</v>
      </c>
      <c r="J193" s="6">
        <v>46059.715277777781</v>
      </c>
      <c r="K193" s="7">
        <f>C194-H193</f>
        <v>-0.375</v>
      </c>
      <c r="L193" t="e">
        <f>HOUR(K193)</f>
        <v>#NUM!</v>
      </c>
      <c r="M193" t="e">
        <f>MINUTE(K193)</f>
        <v>#NUM!</v>
      </c>
      <c r="N193" t="e">
        <f>L193*60+M193</f>
        <v>#NUM!</v>
      </c>
    </row>
    <row r="194" spans="2:14" hidden="1" x14ac:dyDescent="0.25">
      <c r="B194" t="s">
        <v>30</v>
      </c>
      <c r="C194" s="6">
        <v>46059.333333333336</v>
      </c>
      <c r="D194" s="6">
        <v>46059.340277777781</v>
      </c>
      <c r="E194" s="6">
        <v>46059.354166666664</v>
      </c>
      <c r="F194" s="6">
        <v>46059.496527777781</v>
      </c>
      <c r="G194" s="6">
        <v>46059.527777777781</v>
      </c>
      <c r="H194" s="6">
        <v>46059.53125</v>
      </c>
      <c r="I194">
        <v>4.75</v>
      </c>
      <c r="J194" s="6">
        <v>46059.531944444447</v>
      </c>
      <c r="K194" s="7">
        <f>C195-H194</f>
        <v>-0.14097222222335404</v>
      </c>
      <c r="L194" t="e">
        <f>HOUR(K194)</f>
        <v>#NUM!</v>
      </c>
      <c r="M194" t="e">
        <f>MINUTE(K194)</f>
        <v>#NUM!</v>
      </c>
      <c r="N194" t="e">
        <f>L194*60+M194</f>
        <v>#NUM!</v>
      </c>
    </row>
    <row r="195" spans="2:14" hidden="1" x14ac:dyDescent="0.25">
      <c r="B195" t="s">
        <v>30</v>
      </c>
      <c r="C195" s="6">
        <v>46059.390277777777</v>
      </c>
      <c r="D195" s="6">
        <v>46059.390972222223</v>
      </c>
      <c r="E195" s="6">
        <v>46059.409722222219</v>
      </c>
      <c r="F195" s="6">
        <v>46059.423611111109</v>
      </c>
      <c r="G195" s="6">
        <v>46059.652777777781</v>
      </c>
      <c r="H195" s="6">
        <v>46059.65625</v>
      </c>
      <c r="I195">
        <v>6.38</v>
      </c>
      <c r="J195" s="6">
        <v>46059.659722222219</v>
      </c>
      <c r="K195" s="7">
        <f>C196-H195</f>
        <v>-8.3333333335758653E-2</v>
      </c>
      <c r="L195" t="e">
        <f>HOUR(K195)</f>
        <v>#NUM!</v>
      </c>
      <c r="M195" t="e">
        <f>MINUTE(K195)</f>
        <v>#NUM!</v>
      </c>
      <c r="N195" t="e">
        <f>L195*60+M195</f>
        <v>#NUM!</v>
      </c>
    </row>
    <row r="196" spans="2:14" hidden="1" x14ac:dyDescent="0.25">
      <c r="B196" t="s">
        <v>30</v>
      </c>
      <c r="C196" s="6">
        <v>46059.572916666664</v>
      </c>
      <c r="D196" s="6">
        <v>46059.579861111109</v>
      </c>
      <c r="E196" s="6">
        <v>46059.638888888891</v>
      </c>
      <c r="F196" s="6">
        <v>46059.697222222225</v>
      </c>
      <c r="G196" s="6">
        <v>46059.70416666667</v>
      </c>
      <c r="H196" s="6">
        <v>46059.71875</v>
      </c>
      <c r="I196">
        <v>3.5</v>
      </c>
      <c r="J196" s="6">
        <v>46059.725694444445</v>
      </c>
      <c r="K196" s="7">
        <f>C197-H196</f>
        <v>-0.14583333333575865</v>
      </c>
      <c r="L196" t="e">
        <f>HOUR(K196)</f>
        <v>#NUM!</v>
      </c>
      <c r="M196" t="e">
        <f>MINUTE(K196)</f>
        <v>#NUM!</v>
      </c>
      <c r="N196" t="e">
        <f>L196*60+M196</f>
        <v>#NUM!</v>
      </c>
    </row>
    <row r="197" spans="2:14" x14ac:dyDescent="0.25">
      <c r="B197" t="s">
        <v>30</v>
      </c>
      <c r="C197" s="6">
        <v>46059.572916666664</v>
      </c>
      <c r="D197" s="6">
        <v>46059.579861111109</v>
      </c>
      <c r="E197" s="6">
        <v>46059.638888888891</v>
      </c>
      <c r="F197" s="6">
        <v>46059.697222222225</v>
      </c>
      <c r="G197" s="6">
        <v>46059.70416666667</v>
      </c>
      <c r="H197" s="6">
        <v>46059.71875</v>
      </c>
      <c r="I197">
        <v>3.5</v>
      </c>
      <c r="J197" s="6">
        <v>46059.725694444445</v>
      </c>
      <c r="K197" s="7">
        <f>C198-H197</f>
        <v>1.0416666664241347E-2</v>
      </c>
      <c r="L197">
        <f>HOUR(K197)</f>
        <v>0</v>
      </c>
      <c r="M197">
        <f>MINUTE(K197)</f>
        <v>15</v>
      </c>
      <c r="N197">
        <f>L197*60+M197</f>
        <v>15</v>
      </c>
    </row>
    <row r="198" spans="2:14" hidden="1" x14ac:dyDescent="0.25">
      <c r="B198" t="s">
        <v>30</v>
      </c>
      <c r="C198" s="6">
        <v>46059.729166666664</v>
      </c>
      <c r="D198" s="6">
        <v>46059.736111111109</v>
      </c>
      <c r="E198" s="6">
        <v>46059.770833333336</v>
      </c>
      <c r="F198" s="6">
        <v>46059.87222222222</v>
      </c>
      <c r="G198" s="6">
        <v>46059.879166666666</v>
      </c>
      <c r="H198" s="6">
        <v>46059.881944444445</v>
      </c>
      <c r="I198">
        <v>3.67</v>
      </c>
      <c r="J198" s="6">
        <v>46059.888888888891</v>
      </c>
      <c r="K198" s="7">
        <f>C199-H198</f>
        <v>-1.0416666664241347E-2</v>
      </c>
      <c r="L198" t="e">
        <f>HOUR(K198)</f>
        <v>#NUM!</v>
      </c>
      <c r="M198" t="e">
        <f>MINUTE(K198)</f>
        <v>#NUM!</v>
      </c>
      <c r="N198" t="e">
        <f>L198*60+M198</f>
        <v>#NUM!</v>
      </c>
    </row>
    <row r="199" spans="2:14" x14ac:dyDescent="0.25">
      <c r="B199" t="s">
        <v>30</v>
      </c>
      <c r="C199" s="6">
        <v>46059.871527777781</v>
      </c>
      <c r="D199" s="6">
        <v>46059.881944444445</v>
      </c>
      <c r="E199" s="6">
        <v>46059.899305555555</v>
      </c>
      <c r="F199" s="6">
        <v>46059.979166666664</v>
      </c>
      <c r="G199" s="6">
        <v>46059.982638888891</v>
      </c>
      <c r="H199" s="6">
        <v>46059.989583333336</v>
      </c>
      <c r="I199">
        <v>2.83</v>
      </c>
      <c r="J199" s="6">
        <v>46059.996527777781</v>
      </c>
      <c r="K199" s="7">
        <f>C200-H199</f>
        <v>0.44444444444525288</v>
      </c>
      <c r="L199">
        <f>HOUR(K199)</f>
        <v>10</v>
      </c>
      <c r="M199">
        <f>MINUTE(K199)</f>
        <v>40</v>
      </c>
      <c r="N199">
        <f>L199*60+M199</f>
        <v>640</v>
      </c>
    </row>
    <row r="200" spans="2:14" x14ac:dyDescent="0.25">
      <c r="B200" t="s">
        <v>30</v>
      </c>
      <c r="C200" s="6">
        <v>46060.434027777781</v>
      </c>
      <c r="D200" s="6">
        <v>46060.4375</v>
      </c>
      <c r="E200" s="6">
        <v>46060.465277777781</v>
      </c>
      <c r="F200" s="6">
        <v>46060.486111111109</v>
      </c>
      <c r="G200" s="6">
        <v>46060.493055555555</v>
      </c>
      <c r="H200" s="6">
        <v>46060.5</v>
      </c>
      <c r="I200">
        <v>1.58</v>
      </c>
      <c r="J200" s="6">
        <v>46060.503472222219</v>
      </c>
      <c r="K200" s="7">
        <f>C201-H200</f>
        <v>0.14375000000291038</v>
      </c>
      <c r="L200">
        <f>HOUR(K200)</f>
        <v>3</v>
      </c>
      <c r="M200">
        <f>MINUTE(K200)</f>
        <v>27</v>
      </c>
      <c r="N200">
        <f>L200*60+M200</f>
        <v>207</v>
      </c>
    </row>
    <row r="201" spans="2:14" hidden="1" x14ac:dyDescent="0.25">
      <c r="B201" t="s">
        <v>30</v>
      </c>
      <c r="C201" s="6">
        <v>46060.643750000003</v>
      </c>
      <c r="D201" s="6">
        <v>46060.645833333336</v>
      </c>
      <c r="E201" s="6">
        <v>46060.664583333331</v>
      </c>
      <c r="F201" s="6">
        <v>46060.725694444445</v>
      </c>
      <c r="G201" s="6">
        <v>46060.756944444445</v>
      </c>
      <c r="H201" s="6">
        <v>46060.760416666664</v>
      </c>
      <c r="I201">
        <v>2.8</v>
      </c>
      <c r="J201" s="6">
        <v>46060.767361111109</v>
      </c>
      <c r="K201" s="7">
        <f>C202-H201</f>
        <v>-0.10763888888322981</v>
      </c>
      <c r="L201" t="e">
        <f>HOUR(K201)</f>
        <v>#NUM!</v>
      </c>
      <c r="M201" t="e">
        <f>MINUTE(K201)</f>
        <v>#NUM!</v>
      </c>
      <c r="N201" t="e">
        <f>L201*60+M201</f>
        <v>#NUM!</v>
      </c>
    </row>
    <row r="202" spans="2:14" x14ac:dyDescent="0.25">
      <c r="B202" t="s">
        <v>30</v>
      </c>
      <c r="C202" s="6">
        <v>46060.652777777781</v>
      </c>
      <c r="D202" s="6">
        <v>46060.659722222219</v>
      </c>
      <c r="E202" s="6">
        <v>46060.692361111112</v>
      </c>
      <c r="F202" s="6">
        <v>46060.729166666664</v>
      </c>
      <c r="G202" s="6">
        <v>46060.736111111109</v>
      </c>
      <c r="H202" s="6">
        <v>46060.763888888891</v>
      </c>
      <c r="I202">
        <v>2.67</v>
      </c>
      <c r="J202" s="6">
        <v>46060.770833333336</v>
      </c>
      <c r="K202" s="7">
        <f>C203-H202</f>
        <v>5.2083333328482695E-2</v>
      </c>
      <c r="L202">
        <f>HOUR(K202)</f>
        <v>1</v>
      </c>
      <c r="M202">
        <f>MINUTE(K202)</f>
        <v>15</v>
      </c>
      <c r="N202">
        <f>L202*60+M202</f>
        <v>75</v>
      </c>
    </row>
    <row r="203" spans="2:14" x14ac:dyDescent="0.25">
      <c r="B203" t="s">
        <v>30</v>
      </c>
      <c r="C203" s="6">
        <v>46060.815972222219</v>
      </c>
      <c r="D203" s="6">
        <v>46060.819444444445</v>
      </c>
      <c r="E203" s="6">
        <v>46060.822916666664</v>
      </c>
      <c r="F203" s="6">
        <v>46060.89166666667</v>
      </c>
      <c r="G203" s="6">
        <v>46060.898611111108</v>
      </c>
      <c r="H203" s="6">
        <v>46060.902777777781</v>
      </c>
      <c r="I203">
        <v>2.08</v>
      </c>
      <c r="J203" s="6">
        <v>46060.909722222219</v>
      </c>
      <c r="K203" s="7">
        <f>C204-H203</f>
        <v>1.3888888883229811E-2</v>
      </c>
      <c r="L203">
        <f>HOUR(K203)</f>
        <v>0</v>
      </c>
      <c r="M203">
        <f>MINUTE(K203)</f>
        <v>20</v>
      </c>
      <c r="N203">
        <f>L203*60+M203</f>
        <v>20</v>
      </c>
    </row>
    <row r="204" spans="2:14" x14ac:dyDescent="0.25">
      <c r="B204" t="s">
        <v>30</v>
      </c>
      <c r="C204" s="6">
        <v>46060.916666666664</v>
      </c>
      <c r="D204" s="6">
        <v>46060.930555555555</v>
      </c>
      <c r="E204" s="6">
        <v>46060.940972222219</v>
      </c>
      <c r="F204" s="6">
        <v>46060.963888888888</v>
      </c>
      <c r="G204" s="6">
        <v>46060.970833333333</v>
      </c>
      <c r="H204" s="6">
        <v>46060.986111111109</v>
      </c>
      <c r="I204">
        <v>1.67</v>
      </c>
      <c r="J204" s="6">
        <v>46060.993055555555</v>
      </c>
      <c r="K204" s="7">
        <f>C205-H204</f>
        <v>6.5972222226264421E-2</v>
      </c>
      <c r="L204">
        <f>HOUR(K204)</f>
        <v>1</v>
      </c>
      <c r="M204">
        <f>MINUTE(K204)</f>
        <v>35</v>
      </c>
      <c r="N204">
        <f>L204*60+M204</f>
        <v>95</v>
      </c>
    </row>
    <row r="205" spans="2:14" x14ac:dyDescent="0.25">
      <c r="B205" t="s">
        <v>30</v>
      </c>
      <c r="C205" s="6">
        <v>46061.052083333336</v>
      </c>
      <c r="D205" s="6">
        <v>46061.069444444445</v>
      </c>
      <c r="E205" s="6">
        <v>46061.083333333336</v>
      </c>
      <c r="F205" s="6">
        <v>46061.097222222219</v>
      </c>
      <c r="G205" s="6">
        <v>46061.100694444445</v>
      </c>
      <c r="H205" s="6">
        <v>46061.102083333331</v>
      </c>
      <c r="I205">
        <v>1.2</v>
      </c>
      <c r="J205" s="6">
        <v>46061.104166666664</v>
      </c>
      <c r="K205" s="7">
        <f>C206-H205</f>
        <v>0.24166666666860692</v>
      </c>
      <c r="L205">
        <f>HOUR(K205)</f>
        <v>5</v>
      </c>
      <c r="M205">
        <f>MINUTE(K205)</f>
        <v>48</v>
      </c>
      <c r="N205">
        <f>L205*60+M205</f>
        <v>348</v>
      </c>
    </row>
    <row r="206" spans="2:14" x14ac:dyDescent="0.25">
      <c r="B206" t="s">
        <v>30</v>
      </c>
      <c r="C206" s="6">
        <v>46061.34375</v>
      </c>
      <c r="D206" s="6">
        <v>46061.357638888891</v>
      </c>
      <c r="E206" s="6">
        <v>46061.364583333336</v>
      </c>
      <c r="F206" s="6">
        <v>46061.388888888891</v>
      </c>
      <c r="G206" s="6">
        <v>46061.392361111109</v>
      </c>
      <c r="H206" s="6">
        <v>46061.395833333336</v>
      </c>
      <c r="I206">
        <v>1.25</v>
      </c>
      <c r="J206" s="6">
        <v>46061.402777777781</v>
      </c>
      <c r="K206" s="7">
        <f>C207-H206</f>
        <v>7.0833333331393078E-2</v>
      </c>
      <c r="L206">
        <f>HOUR(K206)</f>
        <v>1</v>
      </c>
      <c r="M206">
        <f>MINUTE(K206)</f>
        <v>42</v>
      </c>
      <c r="N206">
        <f>L206*60+M206</f>
        <v>102</v>
      </c>
    </row>
    <row r="207" spans="2:14" x14ac:dyDescent="0.25">
      <c r="B207" t="s">
        <v>30</v>
      </c>
      <c r="C207" s="6">
        <v>46061.466666666667</v>
      </c>
      <c r="D207" s="6">
        <v>46061.470138888886</v>
      </c>
      <c r="E207" s="6">
        <v>46061.479166666664</v>
      </c>
      <c r="F207" s="6">
        <v>46061.506944444445</v>
      </c>
      <c r="G207" s="6">
        <v>46061.513888888891</v>
      </c>
      <c r="H207" s="6">
        <v>46061.520833333336</v>
      </c>
      <c r="I207">
        <v>1.3</v>
      </c>
      <c r="J207" s="6">
        <v>46061.527777777781</v>
      </c>
      <c r="K207" s="7">
        <f>C208-H207</f>
        <v>0.11111111110949423</v>
      </c>
      <c r="L207">
        <f>HOUR(K207)</f>
        <v>2</v>
      </c>
      <c r="M207">
        <f>MINUTE(K207)</f>
        <v>40</v>
      </c>
      <c r="N207">
        <f>L207*60+M207</f>
        <v>160</v>
      </c>
    </row>
    <row r="208" spans="2:14" x14ac:dyDescent="0.25">
      <c r="B208" t="s">
        <v>30</v>
      </c>
      <c r="C208" s="6">
        <v>46061.631944444445</v>
      </c>
      <c r="D208" s="6">
        <v>46061.645833333336</v>
      </c>
      <c r="E208" s="6">
        <v>46061.65625</v>
      </c>
      <c r="F208" s="6">
        <v>46061.666666666664</v>
      </c>
      <c r="G208" s="6">
        <v>46061.673611111109</v>
      </c>
      <c r="H208" s="6">
        <v>46061.680555555555</v>
      </c>
      <c r="I208">
        <v>1.17</v>
      </c>
      <c r="J208" s="6">
        <v>46061.6875</v>
      </c>
      <c r="K208" s="7">
        <f>C209-H208</f>
        <v>0.16319444444525288</v>
      </c>
      <c r="L208">
        <f>HOUR(K208)</f>
        <v>3</v>
      </c>
      <c r="M208">
        <f>MINUTE(K208)</f>
        <v>55</v>
      </c>
      <c r="N208">
        <f>L208*60+M208</f>
        <v>235</v>
      </c>
    </row>
    <row r="209" spans="2:14" x14ac:dyDescent="0.25">
      <c r="B209" t="s">
        <v>30</v>
      </c>
      <c r="C209" s="6">
        <v>46061.84375</v>
      </c>
      <c r="D209" s="6">
        <v>46061.847222222219</v>
      </c>
      <c r="E209" s="6">
        <v>46061.854166666664</v>
      </c>
      <c r="F209" s="6">
        <v>46061.872916666667</v>
      </c>
      <c r="G209" s="6">
        <v>46061.879861111112</v>
      </c>
      <c r="H209" s="6">
        <v>46061.888888888891</v>
      </c>
      <c r="I209">
        <v>1.08</v>
      </c>
      <c r="J209" s="6">
        <v>46061.895833333336</v>
      </c>
      <c r="K209" s="7">
        <f>C210-H209</f>
        <v>2.7083333334303461E-2</v>
      </c>
      <c r="L209">
        <f>HOUR(K209)</f>
        <v>0</v>
      </c>
      <c r="M209">
        <f>MINUTE(K209)</f>
        <v>39</v>
      </c>
      <c r="N209">
        <f>L209*60+M209</f>
        <v>39</v>
      </c>
    </row>
    <row r="210" spans="2:14" x14ac:dyDescent="0.25">
      <c r="B210" t="s">
        <v>30</v>
      </c>
      <c r="C210" s="6">
        <v>46061.915972222225</v>
      </c>
      <c r="D210" s="6">
        <v>46061.927083333336</v>
      </c>
      <c r="E210" s="6">
        <v>46061.9375</v>
      </c>
      <c r="F210" s="6">
        <v>46061.949305555558</v>
      </c>
      <c r="G210" s="6">
        <v>46061.952777777777</v>
      </c>
      <c r="H210" s="6">
        <v>46061.958333333336</v>
      </c>
      <c r="I210">
        <v>1.02</v>
      </c>
      <c r="J210" s="6">
        <v>46061.965277777781</v>
      </c>
      <c r="K210" s="7">
        <f>C211-H210</f>
        <v>6.9444444445252884E-2</v>
      </c>
      <c r="L210">
        <f>HOUR(K210)</f>
        <v>1</v>
      </c>
      <c r="M210">
        <f>MINUTE(K210)</f>
        <v>40</v>
      </c>
      <c r="N210">
        <f>L210*60+M210</f>
        <v>100</v>
      </c>
    </row>
    <row r="211" spans="2:14" x14ac:dyDescent="0.25">
      <c r="B211" t="s">
        <v>30</v>
      </c>
      <c r="C211" s="6">
        <v>46062.027777777781</v>
      </c>
      <c r="D211" s="6">
        <v>46062.034722222219</v>
      </c>
      <c r="E211" s="6">
        <v>46062.041666666664</v>
      </c>
      <c r="F211" s="6">
        <v>46062.048611111109</v>
      </c>
      <c r="G211" s="6">
        <v>46062.055555555555</v>
      </c>
      <c r="H211" s="6">
        <v>46062.059027777781</v>
      </c>
      <c r="I211">
        <v>0.75</v>
      </c>
      <c r="J211" s="6">
        <v>46062.061111111114</v>
      </c>
      <c r="K211" s="7">
        <f>C212-H211</f>
        <v>0.22569444443797693</v>
      </c>
      <c r="L211">
        <f>HOUR(K211)</f>
        <v>5</v>
      </c>
      <c r="M211">
        <f>MINUTE(K211)</f>
        <v>25</v>
      </c>
      <c r="N211">
        <f>L211*60+M211</f>
        <v>325</v>
      </c>
    </row>
    <row r="212" spans="2:14" x14ac:dyDescent="0.25">
      <c r="B212" t="s">
        <v>30</v>
      </c>
      <c r="C212" s="6">
        <v>46062.284722222219</v>
      </c>
      <c r="D212" s="6">
        <v>46062.326388888891</v>
      </c>
      <c r="E212" s="6">
        <v>46062.357638888891</v>
      </c>
      <c r="F212" s="6">
        <v>46062.427083333336</v>
      </c>
      <c r="G212" s="6">
        <v>46062.493055555555</v>
      </c>
      <c r="H212" s="6">
        <v>46062.503472222219</v>
      </c>
      <c r="I212">
        <v>5.25</v>
      </c>
      <c r="J212" s="6">
        <v>46062.510416666664</v>
      </c>
      <c r="K212" s="7">
        <f>C213-H212</f>
        <v>2.0833333335758653E-2</v>
      </c>
      <c r="L212">
        <f>HOUR(K212)</f>
        <v>0</v>
      </c>
      <c r="M212">
        <f>MINUTE(K212)</f>
        <v>30</v>
      </c>
      <c r="N212">
        <f>L212*60+M212</f>
        <v>30</v>
      </c>
    </row>
    <row r="213" spans="2:14" hidden="1" x14ac:dyDescent="0.25">
      <c r="B213" t="s">
        <v>30</v>
      </c>
      <c r="C213" s="6">
        <v>46062.524305555555</v>
      </c>
      <c r="D213" s="6">
        <v>46062.545138888891</v>
      </c>
      <c r="E213" s="6">
        <v>46062.618055555555</v>
      </c>
      <c r="F213" s="6">
        <v>46062.763888888891</v>
      </c>
      <c r="G213" s="6">
        <v>46062.791666666664</v>
      </c>
      <c r="H213" s="6">
        <v>46062.798611111109</v>
      </c>
      <c r="I213">
        <v>6.58</v>
      </c>
      <c r="J213" s="6">
        <v>46062.805555555555</v>
      </c>
      <c r="K213" s="7">
        <f>C214-H213</f>
        <v>-9.0277777773735579E-2</v>
      </c>
      <c r="L213" t="e">
        <f>HOUR(K213)</f>
        <v>#NUM!</v>
      </c>
      <c r="M213" t="e">
        <f>MINUTE(K213)</f>
        <v>#NUM!</v>
      </c>
      <c r="N213" t="e">
        <f>L213*60+M213</f>
        <v>#NUM!</v>
      </c>
    </row>
    <row r="214" spans="2:14" x14ac:dyDescent="0.25">
      <c r="B214" t="s">
        <v>30</v>
      </c>
      <c r="C214" s="6">
        <v>46062.708333333336</v>
      </c>
      <c r="D214" s="6">
        <v>46062.71875</v>
      </c>
      <c r="E214" s="6">
        <v>46062.729166666664</v>
      </c>
      <c r="F214" s="6">
        <v>46062.736111111109</v>
      </c>
      <c r="G214" s="6">
        <v>46062.857638888891</v>
      </c>
      <c r="H214" s="6">
        <v>46062.861111111109</v>
      </c>
      <c r="I214">
        <v>3.67</v>
      </c>
      <c r="J214" s="6">
        <v>46062.864583333336</v>
      </c>
      <c r="K214" s="7">
        <f>C215-H214</f>
        <v>3.888888889196096E-2</v>
      </c>
      <c r="L214">
        <f>HOUR(K214)</f>
        <v>0</v>
      </c>
      <c r="M214">
        <f>MINUTE(K214)</f>
        <v>56</v>
      </c>
      <c r="N214">
        <f>L214*60+M214</f>
        <v>56</v>
      </c>
    </row>
    <row r="215" spans="2:14" x14ac:dyDescent="0.25">
      <c r="B215" t="s">
        <v>30</v>
      </c>
      <c r="C215" s="6">
        <v>46062.9</v>
      </c>
      <c r="D215" s="6">
        <v>46062.906944444447</v>
      </c>
      <c r="E215" s="6">
        <v>46062.909722222219</v>
      </c>
      <c r="F215" s="6">
        <v>46062.958333333336</v>
      </c>
      <c r="G215" s="6">
        <v>46062.965277777781</v>
      </c>
      <c r="H215" s="6">
        <v>46062.979166666664</v>
      </c>
      <c r="I215">
        <v>1.9</v>
      </c>
      <c r="J215" s="6">
        <v>46062.986111111109</v>
      </c>
      <c r="K215" s="7">
        <f>C216-H215</f>
        <v>0.3125</v>
      </c>
      <c r="L215">
        <f>HOUR(K215)</f>
        <v>7</v>
      </c>
      <c r="M215">
        <f>MINUTE(K215)</f>
        <v>30</v>
      </c>
      <c r="N215">
        <f>L215*60+M215</f>
        <v>450</v>
      </c>
    </row>
    <row r="216" spans="2:14" x14ac:dyDescent="0.25">
      <c r="B216" t="s">
        <v>30</v>
      </c>
      <c r="C216" s="6">
        <v>46063.291666666664</v>
      </c>
      <c r="D216" s="6">
        <v>46063.326388888891</v>
      </c>
      <c r="E216" s="6">
        <v>46063.333333333336</v>
      </c>
      <c r="F216" s="6">
        <v>46063.361805555556</v>
      </c>
      <c r="G216" s="6">
        <v>46063.368750000001</v>
      </c>
      <c r="H216" s="6">
        <v>46063.409722222219</v>
      </c>
      <c r="I216">
        <v>2.83</v>
      </c>
      <c r="J216" s="6">
        <v>46063.416666666664</v>
      </c>
      <c r="K216" s="7">
        <f>C217-H216</f>
        <v>1.3888888890505768E-2</v>
      </c>
      <c r="L216">
        <f>HOUR(K216)</f>
        <v>0</v>
      </c>
      <c r="M216">
        <f>MINUTE(K216)</f>
        <v>20</v>
      </c>
      <c r="N216">
        <f>L216*60+M216</f>
        <v>20</v>
      </c>
    </row>
    <row r="217" spans="2:14" hidden="1" x14ac:dyDescent="0.25">
      <c r="B217" t="s">
        <v>30</v>
      </c>
      <c r="C217" s="6">
        <v>46063.423611111109</v>
      </c>
      <c r="D217" s="6">
        <v>46063.440972222219</v>
      </c>
      <c r="E217" s="6">
        <v>46063.447916666664</v>
      </c>
      <c r="F217" s="6">
        <v>46063.469444444447</v>
      </c>
      <c r="G217" s="6">
        <v>46063.476388888892</v>
      </c>
      <c r="H217" s="6">
        <v>46063.5</v>
      </c>
      <c r="I217">
        <v>1.83</v>
      </c>
      <c r="J217" s="6">
        <v>46063.506944444445</v>
      </c>
      <c r="K217" s="7">
        <f>C218-H217</f>
        <v>-3.125E-2</v>
      </c>
      <c r="L217" t="e">
        <f>HOUR(K217)</f>
        <v>#NUM!</v>
      </c>
      <c r="M217" t="e">
        <f>MINUTE(K217)</f>
        <v>#NUM!</v>
      </c>
      <c r="N217" t="e">
        <f>L217*60+M217</f>
        <v>#NUM!</v>
      </c>
    </row>
    <row r="218" spans="2:14" hidden="1" x14ac:dyDescent="0.25">
      <c r="B218" t="s">
        <v>30</v>
      </c>
      <c r="C218" s="6">
        <v>46063.46875</v>
      </c>
      <c r="D218" s="6">
        <v>46063.479166666664</v>
      </c>
      <c r="E218" s="6">
        <v>46063.5</v>
      </c>
      <c r="F218" s="6">
        <v>46063.627083333333</v>
      </c>
      <c r="G218" s="6">
        <v>46063.645833333336</v>
      </c>
      <c r="H218" s="6">
        <v>46063.652777777781</v>
      </c>
      <c r="I218">
        <v>4.42</v>
      </c>
      <c r="J218" s="6">
        <v>46063.659722222219</v>
      </c>
      <c r="K218" s="7">
        <f>C219-H218</f>
        <v>-0.16666666667151731</v>
      </c>
      <c r="L218" t="e">
        <f>HOUR(K218)</f>
        <v>#NUM!</v>
      </c>
      <c r="M218" t="e">
        <f>MINUTE(K218)</f>
        <v>#NUM!</v>
      </c>
      <c r="N218" t="e">
        <f>L218*60+M218</f>
        <v>#NUM!</v>
      </c>
    </row>
    <row r="219" spans="2:14" x14ac:dyDescent="0.25">
      <c r="B219" t="s">
        <v>30</v>
      </c>
      <c r="C219" s="6">
        <v>46063.486111111109</v>
      </c>
      <c r="D219" s="6">
        <v>46063.486805555556</v>
      </c>
      <c r="E219" s="6">
        <v>46063.487500000003</v>
      </c>
      <c r="F219" s="6">
        <v>46063.488194444442</v>
      </c>
      <c r="G219" s="6">
        <v>46063.488888888889</v>
      </c>
      <c r="H219" s="6">
        <v>46063.489583333336</v>
      </c>
      <c r="I219">
        <v>0.08</v>
      </c>
      <c r="J219" s="6">
        <v>46063.496527777781</v>
      </c>
      <c r="K219" s="7">
        <f>C220-H219</f>
        <v>5.9027777773735579E-2</v>
      </c>
      <c r="L219">
        <f>HOUR(K219)</f>
        <v>1</v>
      </c>
      <c r="M219">
        <f>MINUTE(K219)</f>
        <v>25</v>
      </c>
      <c r="N219">
        <f>L219*60+M219</f>
        <v>85</v>
      </c>
    </row>
    <row r="220" spans="2:14" hidden="1" x14ac:dyDescent="0.25">
      <c r="B220" t="s">
        <v>30</v>
      </c>
      <c r="C220" s="6">
        <v>46063.548611111109</v>
      </c>
      <c r="D220" s="6">
        <v>46063.576388888891</v>
      </c>
      <c r="E220" s="6">
        <v>46063.579861111109</v>
      </c>
      <c r="F220" s="6">
        <v>46063.652777777781</v>
      </c>
      <c r="G220" s="6">
        <v>46063.659722222219</v>
      </c>
      <c r="H220" s="6">
        <v>46063.666666666664</v>
      </c>
      <c r="I220">
        <v>2.83</v>
      </c>
      <c r="J220" s="6">
        <v>46063.673611111109</v>
      </c>
      <c r="K220" s="7">
        <f>C221-H220</f>
        <v>-7.9861111109494232E-2</v>
      </c>
      <c r="L220" t="e">
        <f>HOUR(K220)</f>
        <v>#NUM!</v>
      </c>
      <c r="M220" t="e">
        <f>MINUTE(K220)</f>
        <v>#NUM!</v>
      </c>
      <c r="N220" t="e">
        <f>L220*60+M220</f>
        <v>#NUM!</v>
      </c>
    </row>
    <row r="221" spans="2:14" hidden="1" x14ac:dyDescent="0.25">
      <c r="B221" t="s">
        <v>30</v>
      </c>
      <c r="C221" s="6">
        <v>46063.586805555555</v>
      </c>
      <c r="D221" s="6">
        <v>46063.59375</v>
      </c>
      <c r="E221" s="6">
        <v>46063.629861111112</v>
      </c>
      <c r="F221" s="6">
        <v>46063.754861111112</v>
      </c>
      <c r="G221" s="6">
        <v>46063.761805555558</v>
      </c>
      <c r="H221" s="6">
        <v>46063.767361111109</v>
      </c>
      <c r="I221">
        <v>4.33</v>
      </c>
      <c r="J221" s="6">
        <v>46063.774305555555</v>
      </c>
      <c r="K221" s="7">
        <f>C222-H221</f>
        <v>-7.6388888890505768E-2</v>
      </c>
      <c r="L221" t="e">
        <f>HOUR(K221)</f>
        <v>#NUM!</v>
      </c>
      <c r="M221" t="e">
        <f>MINUTE(K221)</f>
        <v>#NUM!</v>
      </c>
      <c r="N221" t="e">
        <f>L221*60+M221</f>
        <v>#NUM!</v>
      </c>
    </row>
    <row r="222" spans="2:14" x14ac:dyDescent="0.25">
      <c r="B222" t="s">
        <v>30</v>
      </c>
      <c r="C222" s="6">
        <v>46063.690972222219</v>
      </c>
      <c r="D222" s="6">
        <v>46063.694444444445</v>
      </c>
      <c r="E222" s="6">
        <v>46063.708333333336</v>
      </c>
      <c r="F222" s="6">
        <v>46063.75</v>
      </c>
      <c r="G222" s="6">
        <v>46063.750694444447</v>
      </c>
      <c r="H222" s="6">
        <v>46063.751388888886</v>
      </c>
      <c r="I222">
        <v>1.45</v>
      </c>
      <c r="J222" s="6">
        <v>46063.758333333331</v>
      </c>
      <c r="K222" s="7">
        <f>C223-H222</f>
        <v>9.2361111113859806E-2</v>
      </c>
      <c r="L222">
        <f>HOUR(K222)</f>
        <v>2</v>
      </c>
      <c r="M222">
        <f>MINUTE(K222)</f>
        <v>13</v>
      </c>
      <c r="N222">
        <f>L222*60+M222</f>
        <v>133</v>
      </c>
    </row>
    <row r="223" spans="2:14" x14ac:dyDescent="0.25">
      <c r="B223" t="s">
        <v>30</v>
      </c>
      <c r="C223" s="6">
        <v>46063.84375</v>
      </c>
      <c r="D223" s="6">
        <v>46063.854166666664</v>
      </c>
      <c r="E223" s="6">
        <v>46063.864583333336</v>
      </c>
      <c r="F223" s="6">
        <v>46063.954861111109</v>
      </c>
      <c r="G223" s="6">
        <v>46063.965277777781</v>
      </c>
      <c r="H223" s="6">
        <v>46063.975694444445</v>
      </c>
      <c r="I223">
        <v>3.17</v>
      </c>
      <c r="J223" s="6">
        <v>46063.982638888891</v>
      </c>
      <c r="K223" s="7">
        <f>C224-H223</f>
        <v>0.53819444444525288</v>
      </c>
      <c r="L223">
        <f>HOUR(K223)</f>
        <v>12</v>
      </c>
      <c r="M223">
        <f>MINUTE(K223)</f>
        <v>55</v>
      </c>
      <c r="N223">
        <f>L223*60+M223</f>
        <v>775</v>
      </c>
    </row>
    <row r="224" spans="2:14" x14ac:dyDescent="0.25">
      <c r="B224" t="s">
        <v>30</v>
      </c>
      <c r="C224" s="6">
        <v>46064.513888888891</v>
      </c>
      <c r="D224" s="6">
        <v>46064.520833333336</v>
      </c>
      <c r="E224" s="6">
        <v>46064.548611111109</v>
      </c>
      <c r="F224" s="6">
        <v>46064.635416666664</v>
      </c>
      <c r="G224" s="6">
        <v>46064.642361111109</v>
      </c>
      <c r="H224" s="6">
        <v>46064.652777777781</v>
      </c>
      <c r="I224">
        <v>3.33</v>
      </c>
      <c r="J224" s="6">
        <v>46064.659722222219</v>
      </c>
      <c r="K224" s="7">
        <f>C225-H224</f>
        <v>3.2638888886140194E-2</v>
      </c>
      <c r="L224">
        <f>HOUR(K224)</f>
        <v>0</v>
      </c>
      <c r="M224">
        <f>MINUTE(K224)</f>
        <v>47</v>
      </c>
      <c r="N224">
        <f>L224*60+M224</f>
        <v>47</v>
      </c>
    </row>
    <row r="225" spans="2:14" hidden="1" x14ac:dyDescent="0.25">
      <c r="B225" t="s">
        <v>30</v>
      </c>
      <c r="C225" s="6">
        <v>46064.685416666667</v>
      </c>
      <c r="D225" s="6">
        <v>46064.701388888891</v>
      </c>
      <c r="E225" s="6">
        <v>46064.725694444445</v>
      </c>
      <c r="F225" s="6">
        <v>46064.753472222219</v>
      </c>
      <c r="G225" s="6">
        <v>46064.760416666664</v>
      </c>
      <c r="H225" s="6">
        <v>46064.767361111109</v>
      </c>
      <c r="I225">
        <v>1.97</v>
      </c>
      <c r="J225" s="6">
        <v>46064.774305555555</v>
      </c>
      <c r="K225" s="7">
        <f>C226-H225</f>
        <v>-6.5972222218988463E-2</v>
      </c>
      <c r="L225" t="e">
        <f>HOUR(K225)</f>
        <v>#NUM!</v>
      </c>
      <c r="M225" t="e">
        <f>MINUTE(K225)</f>
        <v>#NUM!</v>
      </c>
      <c r="N225" t="e">
        <f>L225*60+M225</f>
        <v>#NUM!</v>
      </c>
    </row>
    <row r="226" spans="2:14" hidden="1" x14ac:dyDescent="0.25">
      <c r="B226" t="s">
        <v>30</v>
      </c>
      <c r="C226" s="6">
        <v>46064.701388888891</v>
      </c>
      <c r="D226" s="6">
        <v>46064.708333333336</v>
      </c>
      <c r="E226" s="6">
        <v>46064.71875</v>
      </c>
      <c r="F226" s="6">
        <v>46064.781944444447</v>
      </c>
      <c r="G226" s="6">
        <v>46064.833333333336</v>
      </c>
      <c r="H226" s="6">
        <v>46064.840277777781</v>
      </c>
      <c r="I226">
        <v>3.33</v>
      </c>
      <c r="J226" s="6">
        <v>46064.84375</v>
      </c>
      <c r="K226" s="7">
        <f>C227-H226</f>
        <v>6.9444444379769266E-3</v>
      </c>
      <c r="L226">
        <f>HOUR(K226)</f>
        <v>0</v>
      </c>
      <c r="M226">
        <f>MINUTE(K226)</f>
        <v>10</v>
      </c>
      <c r="N226">
        <f>L226*60+M226</f>
        <v>10</v>
      </c>
    </row>
    <row r="227" spans="2:14" x14ac:dyDescent="0.25">
      <c r="B227" t="s">
        <v>30</v>
      </c>
      <c r="C227" s="6">
        <v>46064.847222222219</v>
      </c>
      <c r="D227" s="6">
        <v>46064.854166666664</v>
      </c>
      <c r="E227" s="6">
        <v>46064.864583333336</v>
      </c>
      <c r="F227" s="6">
        <v>46064.923611111109</v>
      </c>
      <c r="G227" s="6">
        <v>46064.930555555555</v>
      </c>
      <c r="H227" s="6">
        <v>46064.931944444441</v>
      </c>
      <c r="I227">
        <v>2.0299999999999998</v>
      </c>
      <c r="J227" s="6">
        <v>46064.934027777781</v>
      </c>
      <c r="K227" s="7">
        <f>C228-H227</f>
        <v>2.1527777782466728E-2</v>
      </c>
      <c r="L227">
        <f>HOUR(K227)</f>
        <v>0</v>
      </c>
      <c r="M227">
        <f>MINUTE(K227)</f>
        <v>31</v>
      </c>
      <c r="N227">
        <f>L227*60+M227</f>
        <v>31</v>
      </c>
    </row>
    <row r="228" spans="2:14" x14ac:dyDescent="0.25">
      <c r="B228" t="s">
        <v>30</v>
      </c>
      <c r="C228" s="6">
        <v>46064.953472222223</v>
      </c>
      <c r="D228" s="6">
        <v>46064.958333333336</v>
      </c>
      <c r="E228" s="6">
        <v>46064.965277777781</v>
      </c>
      <c r="F228" s="6">
        <v>46064.975694444445</v>
      </c>
      <c r="G228" s="6">
        <v>46065.027777777781</v>
      </c>
      <c r="H228" s="6">
        <v>46065.034722222219</v>
      </c>
      <c r="I228">
        <v>1.95</v>
      </c>
      <c r="J228" s="6">
        <v>46065.041666666664</v>
      </c>
      <c r="K228" s="7">
        <f>C229-H228</f>
        <v>0.25694444444525288</v>
      </c>
      <c r="L228">
        <f>HOUR(K228)</f>
        <v>6</v>
      </c>
      <c r="M228">
        <f>MINUTE(K228)</f>
        <v>10</v>
      </c>
      <c r="N228">
        <f>L228*60+M228</f>
        <v>370</v>
      </c>
    </row>
    <row r="229" spans="2:14" hidden="1" x14ac:dyDescent="0.25">
      <c r="B229" t="s">
        <v>30</v>
      </c>
      <c r="C229" s="6">
        <v>46065.291666666664</v>
      </c>
      <c r="D229" s="6">
        <v>46065.333333333336</v>
      </c>
      <c r="E229" s="6">
        <v>46065.347222222219</v>
      </c>
      <c r="F229" s="6">
        <v>46065.418749999997</v>
      </c>
      <c r="G229" s="6">
        <v>46065.423611111109</v>
      </c>
      <c r="H229" s="6">
        <v>46065.430555555555</v>
      </c>
      <c r="I229">
        <v>3.33</v>
      </c>
      <c r="J229" s="6">
        <v>46065.4375</v>
      </c>
      <c r="K229" s="7">
        <f>C230-H229</f>
        <v>-9.7222222248092294E-3</v>
      </c>
      <c r="L229" t="e">
        <f>HOUR(K229)</f>
        <v>#NUM!</v>
      </c>
      <c r="M229" t="e">
        <f>MINUTE(K229)</f>
        <v>#NUM!</v>
      </c>
      <c r="N229" t="e">
        <f>L229*60+M229</f>
        <v>#NUM!</v>
      </c>
    </row>
    <row r="230" spans="2:14" x14ac:dyDescent="0.25">
      <c r="B230" t="s">
        <v>30</v>
      </c>
      <c r="C230" s="6">
        <v>46065.42083333333</v>
      </c>
      <c r="D230" s="6">
        <v>46065.422222222223</v>
      </c>
      <c r="E230" s="6">
        <v>46065.427083333336</v>
      </c>
      <c r="F230" s="6">
        <v>46065.436111111114</v>
      </c>
      <c r="G230" s="6">
        <v>46065.4375</v>
      </c>
      <c r="H230" s="6">
        <v>46065.438888888886</v>
      </c>
      <c r="I230">
        <v>0.43</v>
      </c>
      <c r="J230" s="6">
        <v>46065.440972222219</v>
      </c>
      <c r="K230" s="7">
        <f>C231-H230</f>
        <v>5.0694444449618459E-2</v>
      </c>
      <c r="L230">
        <f>HOUR(K230)</f>
        <v>1</v>
      </c>
      <c r="M230">
        <f>MINUTE(K230)</f>
        <v>13</v>
      </c>
      <c r="N230">
        <f>L230*60+M230</f>
        <v>73</v>
      </c>
    </row>
    <row r="231" spans="2:14" hidden="1" x14ac:dyDescent="0.25">
      <c r="B231" t="s">
        <v>30</v>
      </c>
      <c r="C231" s="6">
        <v>46065.489583333336</v>
      </c>
      <c r="D231" s="6">
        <v>46065.493055555555</v>
      </c>
      <c r="E231" s="6">
        <v>46065.49722222222</v>
      </c>
      <c r="F231" s="6">
        <v>46065.580555555556</v>
      </c>
      <c r="G231" s="6">
        <v>46065.587500000001</v>
      </c>
      <c r="H231" s="6">
        <v>46065.822916666664</v>
      </c>
      <c r="I231">
        <v>8</v>
      </c>
      <c r="J231" s="6">
        <v>46065.829861111109</v>
      </c>
      <c r="K231" s="7">
        <f>C232-H231</f>
        <v>-0.32986111110949423</v>
      </c>
      <c r="L231" t="e">
        <f>HOUR(K231)</f>
        <v>#NUM!</v>
      </c>
      <c r="M231" t="e">
        <f>MINUTE(K231)</f>
        <v>#NUM!</v>
      </c>
      <c r="N231" t="e">
        <f>L231*60+M231</f>
        <v>#NUM!</v>
      </c>
    </row>
    <row r="232" spans="2:14" x14ac:dyDescent="0.25">
      <c r="B232" t="s">
        <v>30</v>
      </c>
      <c r="C232" s="6">
        <v>46065.493055555555</v>
      </c>
      <c r="D232" s="6">
        <v>46065.5</v>
      </c>
      <c r="E232" s="6">
        <v>46065.506944444445</v>
      </c>
      <c r="F232" s="6">
        <v>46065.520833333336</v>
      </c>
      <c r="G232" s="6">
        <v>46065.527777777781</v>
      </c>
      <c r="H232" s="6">
        <v>46065.53125</v>
      </c>
      <c r="I232">
        <v>0.92</v>
      </c>
      <c r="J232" s="6">
        <v>46065.538194444445</v>
      </c>
      <c r="K232" s="7">
        <f>C233-H232</f>
        <v>4.5138888890505768E-2</v>
      </c>
      <c r="L232">
        <f>HOUR(K232)</f>
        <v>1</v>
      </c>
      <c r="M232">
        <f>MINUTE(K232)</f>
        <v>5</v>
      </c>
      <c r="N232">
        <f>L232*60+M232</f>
        <v>65</v>
      </c>
    </row>
    <row r="233" spans="2:14" hidden="1" x14ac:dyDescent="0.25">
      <c r="B233" t="s">
        <v>30</v>
      </c>
      <c r="C233" s="6">
        <v>46065.576388888891</v>
      </c>
      <c r="D233" s="6">
        <v>46065.583333333336</v>
      </c>
      <c r="E233" s="6">
        <v>46065.599999999999</v>
      </c>
      <c r="F233" s="6">
        <v>46065.683333333334</v>
      </c>
      <c r="G233" s="6">
        <v>46065.690972222219</v>
      </c>
      <c r="H233" s="6">
        <v>46065.697916666664</v>
      </c>
      <c r="I233">
        <v>2.92</v>
      </c>
      <c r="J233" s="6">
        <v>46065.704861111109</v>
      </c>
      <c r="K233" s="7">
        <f>C234-H233</f>
        <v>-0.10763888888322981</v>
      </c>
      <c r="L233" t="e">
        <f>HOUR(K233)</f>
        <v>#NUM!</v>
      </c>
      <c r="M233" t="e">
        <f>MINUTE(K233)</f>
        <v>#NUM!</v>
      </c>
      <c r="N233" t="e">
        <f>L233*60+M233</f>
        <v>#NUM!</v>
      </c>
    </row>
    <row r="234" spans="2:14" x14ac:dyDescent="0.25">
      <c r="B234" t="s">
        <v>30</v>
      </c>
      <c r="C234" s="6">
        <v>46065.590277777781</v>
      </c>
      <c r="D234" s="6">
        <v>46065.597222222219</v>
      </c>
      <c r="E234" s="6">
        <v>46065.631944444445</v>
      </c>
      <c r="F234" s="6">
        <v>46065.819444444445</v>
      </c>
      <c r="G234" s="6">
        <v>46065.826388888891</v>
      </c>
      <c r="H234" s="6">
        <v>46065.829861111109</v>
      </c>
      <c r="I234">
        <v>5.75</v>
      </c>
      <c r="J234" s="6">
        <v>46065.836805555555</v>
      </c>
      <c r="K234" s="7">
        <f>C235-H234</f>
        <v>5.2083333335758653E-2</v>
      </c>
      <c r="L234">
        <f>HOUR(K234)</f>
        <v>1</v>
      </c>
      <c r="M234">
        <f>MINUTE(K234)</f>
        <v>15</v>
      </c>
      <c r="N234">
        <f>L234*60+M234</f>
        <v>75</v>
      </c>
    </row>
    <row r="235" spans="2:14" x14ac:dyDescent="0.25">
      <c r="B235" t="s">
        <v>30</v>
      </c>
      <c r="C235" s="6">
        <v>46065.881944444445</v>
      </c>
      <c r="D235" s="6">
        <v>46065.888888888891</v>
      </c>
      <c r="E235" s="6">
        <v>46065.895833333336</v>
      </c>
      <c r="F235" s="6">
        <v>46065.90625</v>
      </c>
      <c r="G235" s="6">
        <v>46065.923611111109</v>
      </c>
      <c r="H235" s="6">
        <v>46065.928472222222</v>
      </c>
      <c r="I235">
        <v>1.1200000000000001</v>
      </c>
      <c r="J235" s="6">
        <v>46065.929166666669</v>
      </c>
      <c r="K235" s="7">
        <f>C236-H235</f>
        <v>0.49513888888759539</v>
      </c>
      <c r="L235">
        <f>HOUR(K235)</f>
        <v>11</v>
      </c>
      <c r="M235">
        <f>MINUTE(K235)</f>
        <v>53</v>
      </c>
      <c r="N235">
        <f>L235*60+M235</f>
        <v>713</v>
      </c>
    </row>
    <row r="236" spans="2:14" x14ac:dyDescent="0.25">
      <c r="B236" t="s">
        <v>30</v>
      </c>
      <c r="C236" s="6">
        <v>46066.423611111109</v>
      </c>
      <c r="D236" s="6">
        <v>46066.4375</v>
      </c>
      <c r="E236" s="6">
        <v>46066.46875</v>
      </c>
      <c r="F236" s="6">
        <v>46066.583333333336</v>
      </c>
      <c r="G236" s="6">
        <v>46066.590277777781</v>
      </c>
      <c r="H236" s="6">
        <v>46066.604166666664</v>
      </c>
      <c r="I236">
        <v>4.33</v>
      </c>
      <c r="J236" s="6">
        <v>46066.611111111109</v>
      </c>
      <c r="K236" s="7">
        <f>C237-H236</f>
        <v>4.1666666671517305E-2</v>
      </c>
      <c r="L236">
        <f>HOUR(K236)</f>
        <v>1</v>
      </c>
      <c r="M236">
        <f>MINUTE(K236)</f>
        <v>0</v>
      </c>
      <c r="N236">
        <f>L236*60+M236</f>
        <v>60</v>
      </c>
    </row>
    <row r="237" spans="2:14" hidden="1" x14ac:dyDescent="0.25">
      <c r="B237" t="s">
        <v>30</v>
      </c>
      <c r="C237" s="6">
        <v>46066.645833333336</v>
      </c>
      <c r="D237" s="6">
        <v>46066.65625</v>
      </c>
      <c r="E237" s="6">
        <v>46066.680555555555</v>
      </c>
      <c r="F237" s="6">
        <v>46066.902777777781</v>
      </c>
      <c r="G237" s="6">
        <v>46066.90625</v>
      </c>
      <c r="H237" s="6">
        <v>46066.909722222219</v>
      </c>
      <c r="I237">
        <v>6.33</v>
      </c>
      <c r="J237" s="6">
        <v>46066.913194444445</v>
      </c>
      <c r="K237" s="7">
        <f>C238-H237</f>
        <v>-0.23611111110949423</v>
      </c>
      <c r="L237" t="e">
        <f>HOUR(K237)</f>
        <v>#NUM!</v>
      </c>
      <c r="M237" t="e">
        <f>MINUTE(K237)</f>
        <v>#NUM!</v>
      </c>
      <c r="N237" t="e">
        <f>L237*60+M237</f>
        <v>#NUM!</v>
      </c>
    </row>
    <row r="238" spans="2:14" x14ac:dyDescent="0.25">
      <c r="B238" t="s">
        <v>30</v>
      </c>
      <c r="C238" s="6">
        <v>46066.673611111109</v>
      </c>
      <c r="D238" s="6">
        <v>46066.677083333336</v>
      </c>
      <c r="E238" s="6">
        <v>46066.694444444445</v>
      </c>
      <c r="F238" s="6">
        <v>46066.818055555559</v>
      </c>
      <c r="G238" s="6">
        <v>46066.824999999997</v>
      </c>
      <c r="H238" s="6">
        <v>46066.836805555555</v>
      </c>
      <c r="I238">
        <v>3.92</v>
      </c>
      <c r="J238" s="6">
        <v>46066.84375</v>
      </c>
      <c r="K238" s="7">
        <f>C239-H238</f>
        <v>6.5972222226264421E-2</v>
      </c>
      <c r="L238">
        <f>HOUR(K238)</f>
        <v>1</v>
      </c>
      <c r="M238">
        <f>MINUTE(K238)</f>
        <v>35</v>
      </c>
      <c r="N238">
        <f>L238*60+M238</f>
        <v>95</v>
      </c>
    </row>
    <row r="239" spans="2:14" x14ac:dyDescent="0.25">
      <c r="B239" t="s">
        <v>30</v>
      </c>
      <c r="C239" s="6">
        <v>46066.902777777781</v>
      </c>
      <c r="D239" s="6">
        <v>46066.909722222219</v>
      </c>
      <c r="E239" s="6">
        <v>46066.916666666664</v>
      </c>
      <c r="F239" s="6">
        <v>46066.965277777781</v>
      </c>
      <c r="G239" s="6">
        <v>46066.966666666667</v>
      </c>
      <c r="H239" s="6">
        <v>46066.96875</v>
      </c>
      <c r="I239">
        <v>1.58</v>
      </c>
      <c r="J239" s="6">
        <v>46066.975694444445</v>
      </c>
      <c r="K239" s="7">
        <f>C240-H239</f>
        <v>0.48958333333575865</v>
      </c>
      <c r="L239">
        <f>HOUR(K239)</f>
        <v>11</v>
      </c>
      <c r="M239">
        <f>MINUTE(K239)</f>
        <v>45</v>
      </c>
      <c r="N239">
        <f>L239*60+M239</f>
        <v>705</v>
      </c>
    </row>
    <row r="240" spans="2:14" hidden="1" x14ac:dyDescent="0.25">
      <c r="B240" t="s">
        <v>30</v>
      </c>
      <c r="C240" s="6">
        <v>46067.458333333336</v>
      </c>
      <c r="D240" s="6">
        <v>46067.465277777781</v>
      </c>
      <c r="E240" s="6">
        <v>46067.479166666664</v>
      </c>
      <c r="F240" s="6">
        <v>46067.510416666664</v>
      </c>
      <c r="G240" s="6">
        <v>46067.517361111109</v>
      </c>
      <c r="H240" s="6">
        <v>46067.527777777781</v>
      </c>
      <c r="I240">
        <v>1.67</v>
      </c>
      <c r="J240" s="6">
        <v>46067.534722222219</v>
      </c>
      <c r="K240" s="7">
        <f>C241-H240</f>
        <v>-6.9444444452528842E-3</v>
      </c>
      <c r="L240" t="e">
        <f>HOUR(K240)</f>
        <v>#NUM!</v>
      </c>
      <c r="M240" t="e">
        <f>MINUTE(K240)</f>
        <v>#NUM!</v>
      </c>
      <c r="N240" t="e">
        <f>L240*60+M240</f>
        <v>#NUM!</v>
      </c>
    </row>
    <row r="241" spans="2:14" x14ac:dyDescent="0.25">
      <c r="B241" t="s">
        <v>30</v>
      </c>
      <c r="C241" s="6">
        <v>46067.520833333336</v>
      </c>
      <c r="D241" s="6">
        <v>46067.53125</v>
      </c>
      <c r="E241" s="6">
        <v>46067.534722222219</v>
      </c>
      <c r="F241" s="6">
        <v>46067.545138888891</v>
      </c>
      <c r="G241" s="6">
        <v>46067.552083333336</v>
      </c>
      <c r="H241" s="6">
        <v>46067.555555555555</v>
      </c>
      <c r="I241">
        <v>0.83</v>
      </c>
      <c r="J241" s="6">
        <v>46067.5625</v>
      </c>
      <c r="K241" s="7">
        <f>C242-H241</f>
        <v>5.5555555554747116E-2</v>
      </c>
      <c r="L241">
        <f>HOUR(K241)</f>
        <v>1</v>
      </c>
      <c r="M241">
        <f>MINUTE(K241)</f>
        <v>20</v>
      </c>
      <c r="N241">
        <f>L241*60+M241</f>
        <v>80</v>
      </c>
    </row>
    <row r="242" spans="2:14" hidden="1" x14ac:dyDescent="0.25">
      <c r="B242" t="s">
        <v>30</v>
      </c>
      <c r="C242" s="6">
        <v>46067.611111111109</v>
      </c>
      <c r="D242" s="6">
        <v>46067.618055555555</v>
      </c>
      <c r="E242" s="6">
        <v>46067.628472222219</v>
      </c>
      <c r="F242" s="6">
        <v>46067.722222222219</v>
      </c>
      <c r="G242" s="6">
        <v>46067.729166666664</v>
      </c>
      <c r="H242" s="6">
        <v>46067.770833333336</v>
      </c>
      <c r="I242">
        <v>3.83</v>
      </c>
      <c r="J242" s="6">
        <v>46067.774305555555</v>
      </c>
      <c r="K242" s="7">
        <f>C243-H242</f>
        <v>-7.9861111116770189E-2</v>
      </c>
      <c r="L242" t="e">
        <f>HOUR(K242)</f>
        <v>#NUM!</v>
      </c>
      <c r="M242" t="e">
        <f>MINUTE(K242)</f>
        <v>#NUM!</v>
      </c>
      <c r="N242" t="e">
        <f>L242*60+M242</f>
        <v>#NUM!</v>
      </c>
    </row>
    <row r="243" spans="2:14" hidden="1" x14ac:dyDescent="0.25">
      <c r="B243" t="s">
        <v>30</v>
      </c>
      <c r="C243" s="6">
        <v>46067.690972222219</v>
      </c>
      <c r="D243" s="6">
        <v>46067.708333333336</v>
      </c>
      <c r="E243" s="6">
        <v>46067.722916666666</v>
      </c>
      <c r="F243" s="6">
        <v>46067.791666666664</v>
      </c>
      <c r="G243" s="6">
        <v>46067.798611111109</v>
      </c>
      <c r="H243" s="6">
        <v>46067.8125</v>
      </c>
      <c r="I243">
        <v>2.92</v>
      </c>
      <c r="J243" s="6">
        <v>46067.819444444445</v>
      </c>
      <c r="K243" s="7">
        <f>C244-H243</f>
        <v>-0.10416666666424135</v>
      </c>
      <c r="L243" t="e">
        <f>HOUR(K243)</f>
        <v>#NUM!</v>
      </c>
      <c r="M243" t="e">
        <f>MINUTE(K243)</f>
        <v>#NUM!</v>
      </c>
      <c r="N243" t="e">
        <f>L243*60+M243</f>
        <v>#NUM!</v>
      </c>
    </row>
    <row r="244" spans="2:14" x14ac:dyDescent="0.25">
      <c r="B244" t="s">
        <v>30</v>
      </c>
      <c r="C244" s="6">
        <v>46067.708333333336</v>
      </c>
      <c r="D244" s="6">
        <v>46067.725694444445</v>
      </c>
      <c r="E244" s="6">
        <v>46067.730555555558</v>
      </c>
      <c r="F244" s="6">
        <v>46067.744444444441</v>
      </c>
      <c r="G244" s="6">
        <v>46067.751388888886</v>
      </c>
      <c r="H244" s="6">
        <v>46067.763888888891</v>
      </c>
      <c r="I244">
        <v>1.33</v>
      </c>
      <c r="J244" s="6">
        <v>46067.772222222222</v>
      </c>
      <c r="K244" s="7">
        <f>C245-H244</f>
        <v>4.5138888890505768E-2</v>
      </c>
      <c r="L244">
        <f>HOUR(K244)</f>
        <v>1</v>
      </c>
      <c r="M244">
        <f>MINUTE(K244)</f>
        <v>5</v>
      </c>
      <c r="N244">
        <f>L244*60+M244</f>
        <v>65</v>
      </c>
    </row>
    <row r="245" spans="2:14" x14ac:dyDescent="0.25">
      <c r="B245" t="s">
        <v>30</v>
      </c>
      <c r="C245" s="6">
        <v>46067.809027777781</v>
      </c>
      <c r="D245" s="6">
        <v>46067.819444444445</v>
      </c>
      <c r="E245" s="6">
        <v>46067.826388888891</v>
      </c>
      <c r="F245" s="6">
        <v>46067.868055555555</v>
      </c>
      <c r="G245" s="6">
        <v>46067.871527777781</v>
      </c>
      <c r="H245" s="6">
        <v>46067.874305555553</v>
      </c>
      <c r="I245">
        <v>1.57</v>
      </c>
      <c r="J245" s="6">
        <v>46067.881249999999</v>
      </c>
      <c r="K245" s="7">
        <f>C246-H245</f>
        <v>1.4583333337213844E-2</v>
      </c>
      <c r="L245">
        <f>HOUR(K245)</f>
        <v>0</v>
      </c>
      <c r="M245">
        <f>MINUTE(K245)</f>
        <v>21</v>
      </c>
      <c r="N245">
        <f>L245*60+M245</f>
        <v>21</v>
      </c>
    </row>
    <row r="246" spans="2:14" x14ac:dyDescent="0.25">
      <c r="B246" t="s">
        <v>30</v>
      </c>
      <c r="C246" s="6">
        <v>46067.888888888891</v>
      </c>
      <c r="D246" s="6">
        <v>46067.895833333336</v>
      </c>
      <c r="E246" s="6">
        <v>46067.90625</v>
      </c>
      <c r="F246" s="6">
        <v>46067.942361111112</v>
      </c>
      <c r="G246" s="6">
        <v>46067.949305555558</v>
      </c>
      <c r="H246" s="6">
        <v>46067.951388888891</v>
      </c>
      <c r="I246">
        <v>1.5</v>
      </c>
      <c r="J246" s="6">
        <v>46067.954861111109</v>
      </c>
      <c r="K246" s="7">
        <f>C247-H246</f>
        <v>7.9861111109494232E-2</v>
      </c>
      <c r="L246">
        <f>HOUR(K246)</f>
        <v>1</v>
      </c>
      <c r="M246">
        <f>MINUTE(K246)</f>
        <v>55</v>
      </c>
      <c r="N246">
        <f>L246*60+M246</f>
        <v>115</v>
      </c>
    </row>
    <row r="247" spans="2:14" x14ac:dyDescent="0.25">
      <c r="B247" t="s">
        <v>30</v>
      </c>
      <c r="C247" s="6">
        <v>46068.03125</v>
      </c>
      <c r="D247" s="6">
        <v>46068.038194444445</v>
      </c>
      <c r="E247" s="6">
        <v>46068.048611111109</v>
      </c>
      <c r="F247" s="6">
        <v>46068.083333333336</v>
      </c>
      <c r="G247" s="6">
        <v>46068.090277777781</v>
      </c>
      <c r="H247" s="6">
        <v>46068.09375</v>
      </c>
      <c r="I247">
        <v>1.5</v>
      </c>
      <c r="J247" s="6">
        <v>46068.094444444447</v>
      </c>
      <c r="K247" s="7">
        <f>C248-H247</f>
        <v>0.32291666666424135</v>
      </c>
      <c r="L247">
        <f>HOUR(K247)</f>
        <v>7</v>
      </c>
      <c r="M247">
        <f>MINUTE(K247)</f>
        <v>45</v>
      </c>
      <c r="N247">
        <f>L247*60+M247</f>
        <v>465</v>
      </c>
    </row>
    <row r="248" spans="2:14" hidden="1" x14ac:dyDescent="0.25">
      <c r="B248" t="s">
        <v>30</v>
      </c>
      <c r="C248" s="6">
        <v>46068.416666666664</v>
      </c>
      <c r="D248" s="6">
        <v>46068.423611111109</v>
      </c>
      <c r="E248" s="6">
        <v>46068.46875</v>
      </c>
      <c r="F248" s="6">
        <v>46068.555555555555</v>
      </c>
      <c r="G248" s="6">
        <v>46068.569444444445</v>
      </c>
      <c r="H248" s="6">
        <v>46068.756944444445</v>
      </c>
      <c r="I248">
        <v>8.17</v>
      </c>
      <c r="J248" s="6">
        <v>46068.760416666664</v>
      </c>
      <c r="K248" s="7">
        <f>C249-H248</f>
        <v>-0.28125</v>
      </c>
      <c r="L248" t="e">
        <f>HOUR(K248)</f>
        <v>#NUM!</v>
      </c>
      <c r="M248" t="e">
        <f>MINUTE(K248)</f>
        <v>#NUM!</v>
      </c>
      <c r="N248" t="e">
        <f>L248*60+M248</f>
        <v>#NUM!</v>
      </c>
    </row>
    <row r="249" spans="2:14" x14ac:dyDescent="0.25">
      <c r="B249" t="s">
        <v>30</v>
      </c>
      <c r="C249" s="6">
        <v>46068.475694444445</v>
      </c>
      <c r="D249" s="6">
        <v>46068.482638888891</v>
      </c>
      <c r="E249" s="6">
        <v>46068.489583333336</v>
      </c>
      <c r="F249" s="6">
        <v>46068.520833333336</v>
      </c>
      <c r="G249" s="6">
        <v>46068.524305555555</v>
      </c>
      <c r="H249" s="6">
        <v>46068.527777777781</v>
      </c>
      <c r="I249">
        <v>1.25</v>
      </c>
      <c r="J249" s="6">
        <v>46068.53125</v>
      </c>
      <c r="K249" s="7">
        <f>C250-H249</f>
        <v>0.30902777777373558</v>
      </c>
      <c r="L249">
        <f>HOUR(K249)</f>
        <v>7</v>
      </c>
      <c r="M249">
        <f>MINUTE(K249)</f>
        <v>25</v>
      </c>
      <c r="N249">
        <f>L249*60+M249</f>
        <v>445</v>
      </c>
    </row>
    <row r="250" spans="2:14" hidden="1" x14ac:dyDescent="0.25">
      <c r="B250" t="s">
        <v>30</v>
      </c>
      <c r="C250" s="6">
        <v>46068.836805555555</v>
      </c>
      <c r="D250" s="6">
        <v>46068.840277777781</v>
      </c>
      <c r="E250" s="6">
        <v>46068.854166666664</v>
      </c>
      <c r="F250" s="6">
        <v>46068.875</v>
      </c>
      <c r="G250" s="6">
        <v>46068.895833333336</v>
      </c>
      <c r="H250" s="6">
        <v>46068.896527777775</v>
      </c>
      <c r="I250">
        <v>1.43</v>
      </c>
      <c r="J250" s="6">
        <v>46068.90347222222</v>
      </c>
      <c r="K250" s="7">
        <f>C251-H250</f>
        <v>-2.8472222220443655E-2</v>
      </c>
      <c r="L250" t="e">
        <f>HOUR(K250)</f>
        <v>#NUM!</v>
      </c>
      <c r="M250" t="e">
        <f>MINUTE(K250)</f>
        <v>#NUM!</v>
      </c>
      <c r="N250" t="e">
        <f>L250*60+M250</f>
        <v>#NUM!</v>
      </c>
    </row>
    <row r="251" spans="2:14" hidden="1" x14ac:dyDescent="0.25">
      <c r="B251" t="s">
        <v>30</v>
      </c>
      <c r="C251" s="6">
        <v>46068.868055555555</v>
      </c>
      <c r="D251" s="6">
        <v>46068.871527777781</v>
      </c>
      <c r="E251" s="6">
        <v>46068.875</v>
      </c>
      <c r="F251" s="6">
        <v>46068.909722222219</v>
      </c>
      <c r="G251" s="6">
        <v>46068.916666666664</v>
      </c>
      <c r="H251" s="6">
        <v>46069.1875</v>
      </c>
      <c r="I251">
        <v>7.67</v>
      </c>
      <c r="J251" s="6">
        <v>46069.188888888886</v>
      </c>
      <c r="K251" s="7">
        <f>C252-H251</f>
        <v>-0.21180555555474712</v>
      </c>
      <c r="L251" t="e">
        <f>HOUR(K251)</f>
        <v>#NUM!</v>
      </c>
      <c r="M251" t="e">
        <f>MINUTE(K251)</f>
        <v>#NUM!</v>
      </c>
      <c r="N251" t="e">
        <f>L251*60+M251</f>
        <v>#NUM!</v>
      </c>
    </row>
    <row r="252" spans="2:14" hidden="1" x14ac:dyDescent="0.25">
      <c r="B252" t="s">
        <v>30</v>
      </c>
      <c r="C252" s="6">
        <v>46068.975694444445</v>
      </c>
      <c r="D252" s="6">
        <v>46068.979166666664</v>
      </c>
      <c r="E252" s="6">
        <v>46068.986111111109</v>
      </c>
      <c r="F252" s="6">
        <v>46069.013888888891</v>
      </c>
      <c r="G252" s="6">
        <v>46069.020833333336</v>
      </c>
      <c r="H252" s="6">
        <v>46069.024305555555</v>
      </c>
      <c r="I252">
        <v>1.17</v>
      </c>
      <c r="J252" s="6">
        <v>46069.027777777781</v>
      </c>
      <c r="K252" s="7">
        <f>C253-H252</f>
        <v>0</v>
      </c>
      <c r="L252">
        <f>HOUR(K252)</f>
        <v>0</v>
      </c>
      <c r="M252">
        <f>MINUTE(K252)</f>
        <v>0</v>
      </c>
      <c r="N252">
        <f>L252*60+M252</f>
        <v>0</v>
      </c>
    </row>
    <row r="253" spans="2:14" x14ac:dyDescent="0.25">
      <c r="B253" t="s">
        <v>30</v>
      </c>
      <c r="C253" s="6">
        <v>46069.024305555555</v>
      </c>
      <c r="D253" s="6">
        <v>46069.027777777781</v>
      </c>
      <c r="E253" s="6">
        <v>46069.03125</v>
      </c>
      <c r="F253" s="6">
        <v>46069.069444444445</v>
      </c>
      <c r="G253" s="6">
        <v>46069.072916666664</v>
      </c>
      <c r="H253" s="6">
        <v>46069.076388888891</v>
      </c>
      <c r="I253">
        <v>1.25</v>
      </c>
      <c r="J253" s="6">
        <v>46069.079861111109</v>
      </c>
      <c r="K253" s="7">
        <f>C254-H253</f>
        <v>1.5277777776645962E-2</v>
      </c>
      <c r="L253">
        <f>HOUR(K253)</f>
        <v>0</v>
      </c>
      <c r="M253">
        <f>MINUTE(K253)</f>
        <v>22</v>
      </c>
      <c r="N253">
        <f>L253*60+M253</f>
        <v>22</v>
      </c>
    </row>
    <row r="254" spans="2:14" x14ac:dyDescent="0.25">
      <c r="B254" t="s">
        <v>30</v>
      </c>
      <c r="C254" s="6">
        <v>46069.091666666667</v>
      </c>
      <c r="D254" s="6">
        <v>46069.097222222219</v>
      </c>
      <c r="E254" s="6">
        <v>46069.125</v>
      </c>
      <c r="F254" s="6">
        <v>46069.140277777777</v>
      </c>
      <c r="G254" s="6">
        <v>46069.159722222219</v>
      </c>
      <c r="H254" s="6">
        <v>46069.166666666664</v>
      </c>
      <c r="I254">
        <v>1.8</v>
      </c>
      <c r="J254" s="6">
        <v>46069.170138888891</v>
      </c>
      <c r="K254" s="7">
        <f>C255-H254</f>
        <v>0.16666666667151731</v>
      </c>
      <c r="L254">
        <f>HOUR(K254)</f>
        <v>4</v>
      </c>
      <c r="M254">
        <f>MINUTE(K254)</f>
        <v>0</v>
      </c>
      <c r="N254">
        <f>L254*60+M254</f>
        <v>240</v>
      </c>
    </row>
    <row r="255" spans="2:14" hidden="1" x14ac:dyDescent="0.25">
      <c r="B255" t="s">
        <v>30</v>
      </c>
      <c r="C255" s="6">
        <v>46069.333333333336</v>
      </c>
      <c r="D255" s="6">
        <v>46069.340277777781</v>
      </c>
      <c r="E255" s="6">
        <v>46069.361111111109</v>
      </c>
      <c r="F255" s="6">
        <v>46069.440972222219</v>
      </c>
      <c r="G255" s="6">
        <v>46069.447916666664</v>
      </c>
      <c r="H255" s="6">
        <v>46069.465277777781</v>
      </c>
      <c r="I255">
        <v>3.17</v>
      </c>
      <c r="J255" s="6">
        <v>46069.472222222219</v>
      </c>
      <c r="K255" s="7">
        <f>C256-H255</f>
        <v>-7.9861111116770189E-2</v>
      </c>
      <c r="L255" t="e">
        <f>HOUR(K255)</f>
        <v>#NUM!</v>
      </c>
      <c r="M255" t="e">
        <f>MINUTE(K255)</f>
        <v>#NUM!</v>
      </c>
      <c r="N255" t="e">
        <f>L255*60+M255</f>
        <v>#NUM!</v>
      </c>
    </row>
    <row r="256" spans="2:14" hidden="1" x14ac:dyDescent="0.25">
      <c r="B256" t="s">
        <v>30</v>
      </c>
      <c r="C256" s="6">
        <v>46069.385416666664</v>
      </c>
      <c r="D256" s="6">
        <v>46069.395833333336</v>
      </c>
      <c r="E256" s="6">
        <v>46069.40625</v>
      </c>
      <c r="F256" s="6">
        <v>46069.427083333336</v>
      </c>
      <c r="G256" s="6">
        <v>46069.429861111108</v>
      </c>
      <c r="H256" s="6">
        <v>46069.431250000001</v>
      </c>
      <c r="I256">
        <v>1.1000000000000001</v>
      </c>
      <c r="J256" s="6">
        <v>46069.438194444447</v>
      </c>
      <c r="K256" s="7">
        <f>C257-H256</f>
        <v>-1.8055555556202307E-2</v>
      </c>
      <c r="L256" t="e">
        <f>HOUR(K256)</f>
        <v>#NUM!</v>
      </c>
      <c r="M256" t="e">
        <f>MINUTE(K256)</f>
        <v>#NUM!</v>
      </c>
      <c r="N256" t="e">
        <f>L256*60+M256</f>
        <v>#NUM!</v>
      </c>
    </row>
    <row r="257" spans="2:14" hidden="1" x14ac:dyDescent="0.25">
      <c r="B257" t="s">
        <v>30</v>
      </c>
      <c r="C257" s="6">
        <v>46069.413194444445</v>
      </c>
      <c r="D257" s="6">
        <v>46069.4375</v>
      </c>
      <c r="E257" s="6">
        <v>46069.447916666664</v>
      </c>
      <c r="F257" s="6">
        <v>46069.520833333336</v>
      </c>
      <c r="G257" s="6">
        <v>46069.521527777775</v>
      </c>
      <c r="H257" s="6">
        <v>46069.522222222222</v>
      </c>
      <c r="I257">
        <v>2.62</v>
      </c>
      <c r="J257" s="6">
        <v>46069.522916666669</v>
      </c>
      <c r="K257" s="7">
        <f>C258-H257</f>
        <v>-3.6111111112404615E-2</v>
      </c>
      <c r="L257" t="e">
        <f>HOUR(K257)</f>
        <v>#NUM!</v>
      </c>
      <c r="M257" t="e">
        <f>MINUTE(K257)</f>
        <v>#NUM!</v>
      </c>
      <c r="N257" t="e">
        <f>L257*60+M257</f>
        <v>#NUM!</v>
      </c>
    </row>
    <row r="258" spans="2:14" x14ac:dyDescent="0.25">
      <c r="B258" t="s">
        <v>30</v>
      </c>
      <c r="C258" s="6">
        <v>46069.486111111109</v>
      </c>
      <c r="D258" s="6">
        <v>46069.5</v>
      </c>
      <c r="E258" s="6">
        <v>46069.513888888891</v>
      </c>
      <c r="F258" s="6">
        <v>46069.599305555559</v>
      </c>
      <c r="G258" s="6">
        <v>46069.666666666664</v>
      </c>
      <c r="H258" s="6">
        <v>46069.6875</v>
      </c>
      <c r="I258">
        <v>4.83</v>
      </c>
      <c r="J258" s="6">
        <v>46069.694444444445</v>
      </c>
      <c r="K258" s="7">
        <f>C259-H258</f>
        <v>4.5138888890505768E-2</v>
      </c>
      <c r="L258">
        <f>HOUR(K258)</f>
        <v>1</v>
      </c>
      <c r="M258">
        <f>MINUTE(K258)</f>
        <v>5</v>
      </c>
      <c r="N258">
        <f>L258*60+M258</f>
        <v>65</v>
      </c>
    </row>
    <row r="259" spans="2:14" x14ac:dyDescent="0.25">
      <c r="B259" t="s">
        <v>30</v>
      </c>
      <c r="C259" s="6">
        <v>46069.732638888891</v>
      </c>
      <c r="D259" s="6">
        <v>46069.743055555555</v>
      </c>
      <c r="E259" s="6">
        <v>46069.75</v>
      </c>
      <c r="F259" s="6">
        <v>46069.79791666667</v>
      </c>
      <c r="G259" s="6">
        <v>46069.804861111108</v>
      </c>
      <c r="H259" s="6">
        <v>46069.840277777781</v>
      </c>
      <c r="I259">
        <v>2.58</v>
      </c>
      <c r="J259" s="6">
        <v>46069.847222222219</v>
      </c>
      <c r="K259" s="7">
        <f>C260-H259</f>
        <v>5.9027777773735579E-2</v>
      </c>
      <c r="L259">
        <f>HOUR(K259)</f>
        <v>1</v>
      </c>
      <c r="M259">
        <f>MINUTE(K259)</f>
        <v>25</v>
      </c>
      <c r="N259">
        <f>L259*60+M259</f>
        <v>85</v>
      </c>
    </row>
    <row r="260" spans="2:14" hidden="1" x14ac:dyDescent="0.25">
      <c r="B260" t="s">
        <v>30</v>
      </c>
      <c r="C260" s="6">
        <v>46069.899305555555</v>
      </c>
      <c r="D260" s="6">
        <v>46069.90625</v>
      </c>
      <c r="E260" s="6">
        <v>46069.927083333336</v>
      </c>
      <c r="F260" s="6">
        <v>46069.961805555555</v>
      </c>
      <c r="G260" s="6">
        <v>46069.96875</v>
      </c>
      <c r="H260" s="6">
        <v>46069.979166666664</v>
      </c>
      <c r="I260">
        <v>1.92</v>
      </c>
      <c r="J260" s="6">
        <v>46069.979861111111</v>
      </c>
      <c r="K260" s="7">
        <f>C261-H260</f>
        <v>-7.4305555550381541E-2</v>
      </c>
      <c r="L260" t="e">
        <f>HOUR(K260)</f>
        <v>#NUM!</v>
      </c>
      <c r="M260" t="e">
        <f>MINUTE(K260)</f>
        <v>#NUM!</v>
      </c>
      <c r="N260" t="e">
        <f>L260*60+M260</f>
        <v>#NUM!</v>
      </c>
    </row>
    <row r="261" spans="2:14" x14ac:dyDescent="0.25">
      <c r="B261" t="s">
        <v>30</v>
      </c>
      <c r="C261" s="6">
        <v>46069.904861111114</v>
      </c>
      <c r="D261" s="6">
        <v>46069.90625</v>
      </c>
      <c r="E261" s="6">
        <v>46069.909722222219</v>
      </c>
      <c r="F261" s="6">
        <v>46069.968055555553</v>
      </c>
      <c r="G261" s="6">
        <v>46069.979166666664</v>
      </c>
      <c r="H261" s="6">
        <v>46070.003472222219</v>
      </c>
      <c r="I261">
        <v>2.37</v>
      </c>
      <c r="J261" s="6">
        <v>46070.010416666664</v>
      </c>
      <c r="K261" s="7">
        <f>C262-H261</f>
        <v>0.28819444444525288</v>
      </c>
      <c r="L261">
        <f>HOUR(K261)</f>
        <v>6</v>
      </c>
      <c r="M261">
        <f>MINUTE(K261)</f>
        <v>55</v>
      </c>
      <c r="N261">
        <f>L261*60+M261</f>
        <v>415</v>
      </c>
    </row>
    <row r="262" spans="2:14" x14ac:dyDescent="0.25">
      <c r="B262" t="s">
        <v>30</v>
      </c>
      <c r="C262" s="6">
        <v>46070.291666666664</v>
      </c>
      <c r="D262" s="6">
        <v>46070.333333333336</v>
      </c>
      <c r="E262" s="6">
        <v>46070.375</v>
      </c>
      <c r="F262" s="6">
        <v>46070.458333333336</v>
      </c>
      <c r="G262" s="6">
        <v>46070.472222222219</v>
      </c>
      <c r="H262" s="6">
        <v>46070.479166666664</v>
      </c>
      <c r="I262">
        <v>4.5</v>
      </c>
      <c r="J262" s="6">
        <v>46070.486111111109</v>
      </c>
      <c r="K262" s="7">
        <f>C263-H262</f>
        <v>1.7361111116770189E-2</v>
      </c>
      <c r="L262">
        <f>HOUR(K262)</f>
        <v>0</v>
      </c>
      <c r="M262">
        <f>MINUTE(K262)</f>
        <v>25</v>
      </c>
      <c r="N262">
        <f>L262*60+M262</f>
        <v>25</v>
      </c>
    </row>
    <row r="263" spans="2:14" hidden="1" x14ac:dyDescent="0.25">
      <c r="B263" t="s">
        <v>30</v>
      </c>
      <c r="C263" s="6">
        <v>46070.496527777781</v>
      </c>
      <c r="D263" s="6">
        <v>46070.503472222219</v>
      </c>
      <c r="E263" s="6">
        <v>46070.513888888891</v>
      </c>
      <c r="F263" s="6">
        <v>46070.555555555555</v>
      </c>
      <c r="G263" s="6">
        <v>46070.5625</v>
      </c>
      <c r="H263" s="6">
        <v>46070.586805555555</v>
      </c>
      <c r="I263">
        <v>2.17</v>
      </c>
      <c r="J263" s="6">
        <v>46070.59375</v>
      </c>
      <c r="K263" s="7">
        <f>C264-H263</f>
        <v>-7.9861111109494232E-2</v>
      </c>
      <c r="L263" t="e">
        <f>HOUR(K263)</f>
        <v>#NUM!</v>
      </c>
      <c r="M263" t="e">
        <f>MINUTE(K263)</f>
        <v>#NUM!</v>
      </c>
      <c r="N263" t="e">
        <f>L263*60+M263</f>
        <v>#NUM!</v>
      </c>
    </row>
    <row r="264" spans="2:14" x14ac:dyDescent="0.25">
      <c r="B264" t="s">
        <v>30</v>
      </c>
      <c r="C264" s="6">
        <v>46070.506944444445</v>
      </c>
      <c r="D264" s="6">
        <v>46070.513888888891</v>
      </c>
      <c r="E264" s="6">
        <v>46070.541666666664</v>
      </c>
      <c r="F264" s="6">
        <v>46070.597222222219</v>
      </c>
      <c r="G264" s="6">
        <v>46070.604166666664</v>
      </c>
      <c r="H264" s="6">
        <v>46070.607638888891</v>
      </c>
      <c r="I264">
        <v>2.42</v>
      </c>
      <c r="J264" s="6">
        <v>46070.60833333333</v>
      </c>
      <c r="K264" s="7">
        <f>C265-H264</f>
        <v>1.3888888890505768E-2</v>
      </c>
      <c r="L264">
        <f>HOUR(K264)</f>
        <v>0</v>
      </c>
      <c r="M264">
        <f>MINUTE(K264)</f>
        <v>20</v>
      </c>
      <c r="N264">
        <f>L264*60+M264</f>
        <v>20</v>
      </c>
    </row>
    <row r="265" spans="2:14" x14ac:dyDescent="0.25">
      <c r="B265" t="s">
        <v>30</v>
      </c>
      <c r="C265" s="6">
        <v>46070.621527777781</v>
      </c>
      <c r="D265" s="6">
        <v>46070.635416666664</v>
      </c>
      <c r="E265" s="6">
        <v>46070.659722222219</v>
      </c>
      <c r="F265" s="6">
        <v>46070.694444444445</v>
      </c>
      <c r="G265" s="6">
        <v>46070.701388888891</v>
      </c>
      <c r="H265" s="6">
        <v>46070.708333333336</v>
      </c>
      <c r="I265">
        <v>2.08</v>
      </c>
      <c r="J265" s="6">
        <v>46070.715277777781</v>
      </c>
      <c r="K265" s="7">
        <f>C266-H265</f>
        <v>0.21527777777373558</v>
      </c>
      <c r="L265">
        <f>HOUR(K265)</f>
        <v>5</v>
      </c>
      <c r="M265">
        <f>MINUTE(K265)</f>
        <v>10</v>
      </c>
      <c r="N265">
        <f>L265*60+M265</f>
        <v>310</v>
      </c>
    </row>
    <row r="266" spans="2:14" hidden="1" x14ac:dyDescent="0.25">
      <c r="B266" t="s">
        <v>30</v>
      </c>
      <c r="C266" s="6">
        <v>46070.923611111109</v>
      </c>
      <c r="D266" s="6">
        <v>46070.927083333336</v>
      </c>
      <c r="E266" s="6">
        <v>46070.940972222219</v>
      </c>
      <c r="F266" s="6">
        <v>46070.990972222222</v>
      </c>
      <c r="G266" s="6">
        <v>46070.997916666667</v>
      </c>
      <c r="H266" s="6">
        <v>46071.006944444445</v>
      </c>
      <c r="I266">
        <v>2</v>
      </c>
      <c r="J266" s="6">
        <v>46071.013888888891</v>
      </c>
      <c r="K266" s="7">
        <f>C267-H266</f>
        <v>-8.3333333335758653E-2</v>
      </c>
      <c r="L266" t="e">
        <f>HOUR(K266)</f>
        <v>#NUM!</v>
      </c>
      <c r="M266" t="e">
        <f>MINUTE(K266)</f>
        <v>#NUM!</v>
      </c>
      <c r="N266" t="e">
        <f>L266*60+M266</f>
        <v>#NUM!</v>
      </c>
    </row>
    <row r="267" spans="2:14" x14ac:dyDescent="0.25">
      <c r="B267" t="s">
        <v>30</v>
      </c>
      <c r="C267" s="6">
        <v>46070.923611111109</v>
      </c>
      <c r="D267" s="6">
        <v>46070.951388888891</v>
      </c>
      <c r="E267" s="6">
        <v>46070.979166666664</v>
      </c>
      <c r="F267" s="6">
        <v>46071.027777777781</v>
      </c>
      <c r="G267" s="6">
        <v>46071.034722222219</v>
      </c>
      <c r="H267" s="6">
        <v>46071.048611111109</v>
      </c>
      <c r="I267">
        <v>3</v>
      </c>
      <c r="J267" s="6">
        <v>46071.052083333336</v>
      </c>
      <c r="K267" s="7">
        <f>C268-H267</f>
        <v>0.27916666666715173</v>
      </c>
      <c r="L267">
        <f>HOUR(K267)</f>
        <v>6</v>
      </c>
      <c r="M267">
        <f>MINUTE(K267)</f>
        <v>42</v>
      </c>
      <c r="N267">
        <f>L267*60+M267</f>
        <v>402</v>
      </c>
    </row>
    <row r="268" spans="2:14" hidden="1" x14ac:dyDescent="0.25">
      <c r="B268" t="s">
        <v>30</v>
      </c>
      <c r="C268" s="6">
        <v>46071.327777777777</v>
      </c>
      <c r="D268" s="6">
        <v>46071.334722222222</v>
      </c>
      <c r="E268" s="6">
        <v>46071.354166666664</v>
      </c>
      <c r="F268" s="6">
        <v>46071.361111111109</v>
      </c>
      <c r="G268" s="6">
        <v>46071.375</v>
      </c>
      <c r="H268" s="6">
        <v>46071.597222222219</v>
      </c>
      <c r="I268">
        <v>6.47</v>
      </c>
      <c r="J268" s="6">
        <v>46071.604166666664</v>
      </c>
      <c r="K268" s="7">
        <f>C269-H268</f>
        <v>-0.11805555555474712</v>
      </c>
      <c r="L268" t="e">
        <f>HOUR(K268)</f>
        <v>#NUM!</v>
      </c>
      <c r="M268" t="e">
        <f>MINUTE(K268)</f>
        <v>#NUM!</v>
      </c>
      <c r="N268" t="e">
        <f>L268*60+M268</f>
        <v>#NUM!</v>
      </c>
    </row>
    <row r="269" spans="2:14" hidden="1" x14ac:dyDescent="0.25">
      <c r="B269" t="s">
        <v>30</v>
      </c>
      <c r="C269" s="6">
        <v>46071.479166666664</v>
      </c>
      <c r="D269" s="6">
        <v>46071.489583333336</v>
      </c>
      <c r="E269" s="6">
        <v>46071.53402777778</v>
      </c>
      <c r="F269" s="6">
        <v>46071.65902777778</v>
      </c>
      <c r="G269" s="6">
        <v>46071.665972222225</v>
      </c>
      <c r="H269" s="6">
        <v>46071.673611111109</v>
      </c>
      <c r="I269">
        <v>4.67</v>
      </c>
      <c r="J269" s="6">
        <v>46071.680555555555</v>
      </c>
      <c r="K269" s="7">
        <f>C270-H269</f>
        <v>-3.4722222189884633E-3</v>
      </c>
      <c r="L269" t="e">
        <f>HOUR(K269)</f>
        <v>#NUM!</v>
      </c>
      <c r="M269" t="e">
        <f>MINUTE(K269)</f>
        <v>#NUM!</v>
      </c>
      <c r="N269" t="e">
        <f>L269*60+M269</f>
        <v>#NUM!</v>
      </c>
    </row>
    <row r="270" spans="2:14" x14ac:dyDescent="0.25">
      <c r="B270" t="s">
        <v>30</v>
      </c>
      <c r="C270" s="6">
        <v>46071.670138888891</v>
      </c>
      <c r="D270" s="6">
        <v>46071.673611111109</v>
      </c>
      <c r="E270" s="6">
        <v>46071.677083333336</v>
      </c>
      <c r="F270" s="6">
        <v>46071.677777777775</v>
      </c>
      <c r="G270" s="6">
        <v>46071.678472222222</v>
      </c>
      <c r="H270" s="6">
        <v>46071.679166666669</v>
      </c>
      <c r="I270">
        <v>0.22</v>
      </c>
      <c r="J270" s="6">
        <v>46071.679861111108</v>
      </c>
      <c r="K270" s="7">
        <f>C271-H270</f>
        <v>0.71319444444088731</v>
      </c>
      <c r="L270">
        <f>HOUR(K270)</f>
        <v>17</v>
      </c>
      <c r="M270">
        <f>MINUTE(K270)</f>
        <v>7</v>
      </c>
      <c r="N270">
        <f>L270*60+M270</f>
        <v>1027</v>
      </c>
    </row>
    <row r="271" spans="2:14" hidden="1" x14ac:dyDescent="0.25">
      <c r="B271" t="s">
        <v>30</v>
      </c>
      <c r="C271" s="6">
        <v>46072.392361111109</v>
      </c>
      <c r="D271" s="6">
        <v>46072.402777777781</v>
      </c>
      <c r="E271" s="6">
        <v>46072.427083333336</v>
      </c>
      <c r="F271" s="6">
        <v>46072.451388888891</v>
      </c>
      <c r="G271" s="6">
        <v>46072.458333333336</v>
      </c>
      <c r="H271" s="6">
        <v>46072.461805555555</v>
      </c>
      <c r="I271">
        <v>1.67</v>
      </c>
      <c r="J271" s="6">
        <v>46072.465277777781</v>
      </c>
      <c r="K271" s="7">
        <f>C272-H271</f>
        <v>-2.0833333335758653E-2</v>
      </c>
      <c r="L271" t="e">
        <f>HOUR(K271)</f>
        <v>#NUM!</v>
      </c>
      <c r="M271" t="e">
        <f>MINUTE(K271)</f>
        <v>#NUM!</v>
      </c>
      <c r="N271" t="e">
        <f>L271*60+M271</f>
        <v>#NUM!</v>
      </c>
    </row>
    <row r="272" spans="2:14" x14ac:dyDescent="0.25">
      <c r="B272" t="s">
        <v>30</v>
      </c>
      <c r="C272" s="6">
        <v>46072.440972222219</v>
      </c>
      <c r="D272" s="6">
        <v>46072.472222222219</v>
      </c>
      <c r="E272" s="6">
        <v>46072.475694444445</v>
      </c>
      <c r="F272" s="6">
        <v>46072.486111111109</v>
      </c>
      <c r="G272" s="6">
        <v>46072.489583333336</v>
      </c>
      <c r="H272" s="6">
        <v>46072.534722222219</v>
      </c>
      <c r="I272">
        <v>2.25</v>
      </c>
      <c r="J272" s="6">
        <v>46072.541666666664</v>
      </c>
      <c r="K272" s="7">
        <f>C273-H272</f>
        <v>0.79166666667151731</v>
      </c>
      <c r="L272">
        <f>HOUR(K272)</f>
        <v>19</v>
      </c>
      <c r="M272">
        <f>MINUTE(K272)</f>
        <v>0</v>
      </c>
      <c r="N272">
        <f>L272*60+M272</f>
        <v>1140</v>
      </c>
    </row>
    <row r="273" spans="2:14" x14ac:dyDescent="0.25">
      <c r="B273" t="s">
        <v>30</v>
      </c>
      <c r="C273" s="6">
        <v>46073.326388888891</v>
      </c>
      <c r="D273" s="6">
        <v>46073.336805555555</v>
      </c>
      <c r="E273" s="6">
        <v>46073.388888888891</v>
      </c>
      <c r="F273" s="6">
        <v>46073.458333333336</v>
      </c>
      <c r="G273" s="6">
        <v>46073.465277777781</v>
      </c>
      <c r="H273" s="6">
        <v>46073.479166666664</v>
      </c>
      <c r="I273">
        <v>3.67</v>
      </c>
      <c r="J273" s="6">
        <v>46073.486111111109</v>
      </c>
      <c r="K273" s="7">
        <f>C274-H273</f>
        <v>3.4722222226264421E-2</v>
      </c>
      <c r="L273">
        <f>HOUR(K273)</f>
        <v>0</v>
      </c>
      <c r="M273">
        <f>MINUTE(K273)</f>
        <v>50</v>
      </c>
      <c r="N273">
        <f>L273*60+M273</f>
        <v>50</v>
      </c>
    </row>
    <row r="274" spans="2:14" hidden="1" x14ac:dyDescent="0.25">
      <c r="B274" t="s">
        <v>30</v>
      </c>
      <c r="C274" s="6">
        <v>46073.513888888891</v>
      </c>
      <c r="D274" s="6">
        <v>46073.548611111109</v>
      </c>
      <c r="E274" s="6">
        <v>46073.572916666664</v>
      </c>
      <c r="F274" s="6">
        <v>46073.637499999997</v>
      </c>
      <c r="G274" s="6">
        <v>46073.644444444442</v>
      </c>
      <c r="H274" s="6">
        <v>46073.659722222219</v>
      </c>
      <c r="I274">
        <v>3.5</v>
      </c>
      <c r="J274" s="6">
        <v>46073.666666666664</v>
      </c>
      <c r="K274" s="7">
        <f>C275-H274</f>
        <v>-0.10416666666424135</v>
      </c>
      <c r="L274" t="e">
        <f>HOUR(K274)</f>
        <v>#NUM!</v>
      </c>
      <c r="M274" t="e">
        <f>MINUTE(K274)</f>
        <v>#NUM!</v>
      </c>
      <c r="N274" t="e">
        <f>L274*60+M274</f>
        <v>#NUM!</v>
      </c>
    </row>
    <row r="275" spans="2:14" hidden="1" x14ac:dyDescent="0.25">
      <c r="B275" t="s">
        <v>30</v>
      </c>
      <c r="C275" s="6">
        <v>46073.555555555555</v>
      </c>
      <c r="D275" s="6">
        <v>46073.569444444445</v>
      </c>
      <c r="E275" s="6">
        <v>46073.604166666664</v>
      </c>
      <c r="F275" s="6">
        <v>46073.833333333336</v>
      </c>
      <c r="G275" s="6">
        <v>46073.840277777781</v>
      </c>
      <c r="H275" s="6">
        <v>46073.868055555555</v>
      </c>
      <c r="I275">
        <v>7.5</v>
      </c>
      <c r="J275" s="6">
        <v>46073.875</v>
      </c>
      <c r="K275" s="7">
        <f>C276-H275</f>
        <v>-0.23958333333575865</v>
      </c>
      <c r="L275" t="e">
        <f>HOUR(K275)</f>
        <v>#NUM!</v>
      </c>
      <c r="M275" t="e">
        <f>MINUTE(K275)</f>
        <v>#NUM!</v>
      </c>
      <c r="N275" t="e">
        <f>L275*60+M275</f>
        <v>#NUM!</v>
      </c>
    </row>
    <row r="276" spans="2:14" x14ac:dyDescent="0.25">
      <c r="B276" t="s">
        <v>30</v>
      </c>
      <c r="C276" s="6">
        <v>46073.628472222219</v>
      </c>
      <c r="D276" s="6">
        <v>46073.631944444445</v>
      </c>
      <c r="E276" s="6">
        <v>46073.635416666664</v>
      </c>
      <c r="F276" s="6">
        <v>46073.642361111109</v>
      </c>
      <c r="G276" s="6">
        <v>46073.643055555556</v>
      </c>
      <c r="H276" s="6">
        <v>46073.643750000003</v>
      </c>
      <c r="I276">
        <v>0.37</v>
      </c>
      <c r="J276" s="6">
        <v>46073.644444444442</v>
      </c>
      <c r="K276" s="7">
        <f>C277-H276</f>
        <v>5.6249999994179234E-2</v>
      </c>
      <c r="L276">
        <f>HOUR(K276)</f>
        <v>1</v>
      </c>
      <c r="M276">
        <f>MINUTE(K276)</f>
        <v>21</v>
      </c>
      <c r="N276">
        <f>L276*60+M276</f>
        <v>81</v>
      </c>
    </row>
    <row r="277" spans="2:14" x14ac:dyDescent="0.25">
      <c r="B277" t="s">
        <v>30</v>
      </c>
      <c r="C277" s="6">
        <v>46073.7</v>
      </c>
      <c r="D277" s="6">
        <v>46073.706944444442</v>
      </c>
      <c r="E277" s="6">
        <v>46073.739583333336</v>
      </c>
      <c r="F277" s="6">
        <v>46073.800694444442</v>
      </c>
      <c r="G277" s="6">
        <v>46073.807638888888</v>
      </c>
      <c r="H277" s="6">
        <v>46073.815972222219</v>
      </c>
      <c r="I277">
        <v>2.78</v>
      </c>
      <c r="J277" s="6">
        <v>46073.822916666664</v>
      </c>
      <c r="K277" s="7">
        <f>C278-H277</f>
        <v>1.8750000002910383E-2</v>
      </c>
      <c r="L277">
        <f>HOUR(K277)</f>
        <v>0</v>
      </c>
      <c r="M277">
        <f>MINUTE(K277)</f>
        <v>27</v>
      </c>
      <c r="N277">
        <f>L277*60+M277</f>
        <v>27</v>
      </c>
    </row>
    <row r="278" spans="2:14" hidden="1" x14ac:dyDescent="0.25">
      <c r="B278" t="s">
        <v>30</v>
      </c>
      <c r="C278" s="6">
        <v>46073.834722222222</v>
      </c>
      <c r="D278" s="6">
        <v>46073.847222222219</v>
      </c>
      <c r="E278" s="6">
        <v>46073.861111111109</v>
      </c>
      <c r="F278" s="6">
        <v>46073.944444444445</v>
      </c>
      <c r="G278" s="6">
        <v>46073.947916666664</v>
      </c>
      <c r="H278" s="6">
        <v>46073.948611111111</v>
      </c>
      <c r="I278">
        <v>2.73</v>
      </c>
      <c r="J278" s="6">
        <v>46073.955555555556</v>
      </c>
      <c r="K278" s="7">
        <f>C279-H278</f>
        <v>-6.3194444446708076E-2</v>
      </c>
      <c r="L278" t="e">
        <f>HOUR(K278)</f>
        <v>#NUM!</v>
      </c>
      <c r="M278" t="e">
        <f>MINUTE(K278)</f>
        <v>#NUM!</v>
      </c>
      <c r="N278" t="e">
        <f>L278*60+M278</f>
        <v>#NUM!</v>
      </c>
    </row>
    <row r="279" spans="2:14" hidden="1" x14ac:dyDescent="0.25">
      <c r="B279" t="s">
        <v>30</v>
      </c>
      <c r="C279" s="6">
        <v>46073.885416666664</v>
      </c>
      <c r="D279" s="6">
        <v>46073.892361111109</v>
      </c>
      <c r="E279" s="6">
        <v>46073.916666666664</v>
      </c>
      <c r="F279" s="6">
        <v>46074.006944444445</v>
      </c>
      <c r="G279" s="6">
        <v>46074.013888888891</v>
      </c>
      <c r="H279" s="6">
        <v>46074.017361111109</v>
      </c>
      <c r="I279">
        <v>3.17</v>
      </c>
      <c r="J279" s="6">
        <v>46074.024305555555</v>
      </c>
      <c r="K279" s="7">
        <f>C280-H279</f>
        <v>-3.3333333332848269E-2</v>
      </c>
      <c r="L279" t="e">
        <f>HOUR(K279)</f>
        <v>#NUM!</v>
      </c>
      <c r="M279" t="e">
        <f>MINUTE(K279)</f>
        <v>#NUM!</v>
      </c>
      <c r="N279" t="e">
        <f>L279*60+M279</f>
        <v>#NUM!</v>
      </c>
    </row>
    <row r="280" spans="2:14" x14ac:dyDescent="0.25">
      <c r="B280" t="s">
        <v>30</v>
      </c>
      <c r="C280" s="6">
        <v>46073.984027777777</v>
      </c>
      <c r="D280" s="6">
        <v>46073.986111111109</v>
      </c>
      <c r="E280" s="6">
        <v>46073.996527777781</v>
      </c>
      <c r="F280" s="6">
        <v>46074.013888888891</v>
      </c>
      <c r="G280" s="6">
        <v>46074.017361111109</v>
      </c>
      <c r="H280" s="6">
        <v>46074.020833333336</v>
      </c>
      <c r="I280">
        <v>0.88</v>
      </c>
      <c r="J280" s="6">
        <v>46074.027777777781</v>
      </c>
      <c r="K280" s="7">
        <f>C281-H280</f>
        <v>0.40972222221898846</v>
      </c>
      <c r="L280">
        <f>HOUR(K280)</f>
        <v>9</v>
      </c>
      <c r="M280">
        <f>MINUTE(K280)</f>
        <v>50</v>
      </c>
      <c r="N280">
        <f>L280*60+M280</f>
        <v>590</v>
      </c>
    </row>
    <row r="281" spans="2:14" x14ac:dyDescent="0.25">
      <c r="B281" t="s">
        <v>30</v>
      </c>
      <c r="C281" s="6">
        <v>46074.430555555555</v>
      </c>
      <c r="D281" s="6">
        <v>46074.451388888891</v>
      </c>
      <c r="E281" s="6">
        <v>46074.465277777781</v>
      </c>
      <c r="F281" s="6">
        <v>46074.555555555555</v>
      </c>
      <c r="G281" s="6">
        <v>46074.5625</v>
      </c>
      <c r="H281" s="6">
        <v>46074.604166666664</v>
      </c>
      <c r="I281">
        <v>4.17</v>
      </c>
      <c r="J281" s="6">
        <v>46074.611111111109</v>
      </c>
      <c r="K281" s="7">
        <f>C282-H281</f>
        <v>0.20833333333575865</v>
      </c>
      <c r="L281">
        <f>HOUR(K281)</f>
        <v>5</v>
      </c>
      <c r="M281">
        <f>MINUTE(K281)</f>
        <v>0</v>
      </c>
      <c r="N281">
        <f>L281*60+M281</f>
        <v>300</v>
      </c>
    </row>
    <row r="282" spans="2:14" hidden="1" x14ac:dyDescent="0.25">
      <c r="B282" t="s">
        <v>30</v>
      </c>
      <c r="C282" s="6">
        <v>46074.8125</v>
      </c>
      <c r="D282" s="6">
        <v>46074.819444444445</v>
      </c>
      <c r="E282" s="6">
        <v>46074.84375</v>
      </c>
      <c r="F282" s="6">
        <v>46074.933333333334</v>
      </c>
      <c r="G282" s="6">
        <v>46074.9375</v>
      </c>
      <c r="H282" s="6">
        <v>46074.941666666666</v>
      </c>
      <c r="I282">
        <v>3.1</v>
      </c>
      <c r="J282" s="6">
        <v>46074.948611111111</v>
      </c>
      <c r="K282" s="7">
        <f>C283-H282</f>
        <v>-4.2361111110949423E-2</v>
      </c>
      <c r="L282" t="e">
        <f>HOUR(K282)</f>
        <v>#NUM!</v>
      </c>
      <c r="M282" t="e">
        <f>MINUTE(K282)</f>
        <v>#NUM!</v>
      </c>
      <c r="N282" t="e">
        <f>L282*60+M282</f>
        <v>#NUM!</v>
      </c>
    </row>
    <row r="283" spans="2:14" x14ac:dyDescent="0.25">
      <c r="B283" t="s">
        <v>30</v>
      </c>
      <c r="C283" s="6">
        <v>46074.899305555555</v>
      </c>
      <c r="D283" s="6">
        <v>46074.90625</v>
      </c>
      <c r="E283" s="6">
        <v>46074.930555555555</v>
      </c>
      <c r="F283" s="6">
        <v>46074.973611111112</v>
      </c>
      <c r="G283" s="6">
        <v>46074.982638888891</v>
      </c>
      <c r="H283" s="6">
        <v>46074.986111111109</v>
      </c>
      <c r="I283">
        <v>2.08</v>
      </c>
      <c r="J283" s="6">
        <v>46074.986805555556</v>
      </c>
      <c r="K283" s="7">
        <f>C284-H283</f>
        <v>0.4375</v>
      </c>
      <c r="L283">
        <f>HOUR(K283)</f>
        <v>10</v>
      </c>
      <c r="M283">
        <f>MINUTE(K283)</f>
        <v>30</v>
      </c>
      <c r="N283">
        <f>L283*60+M283</f>
        <v>630</v>
      </c>
    </row>
    <row r="284" spans="2:14" x14ac:dyDescent="0.25">
      <c r="B284" t="s">
        <v>30</v>
      </c>
      <c r="C284" s="6">
        <v>46075.423611111109</v>
      </c>
      <c r="D284" s="6">
        <v>46075.427083333336</v>
      </c>
      <c r="E284" s="6">
        <v>46075.430555555555</v>
      </c>
      <c r="F284" s="6">
        <v>46075.4375</v>
      </c>
      <c r="G284" s="6">
        <v>46075.444444444445</v>
      </c>
      <c r="H284" s="6">
        <v>46075.445138888892</v>
      </c>
      <c r="I284">
        <v>0.52</v>
      </c>
      <c r="J284" s="6">
        <v>46075.445833333331</v>
      </c>
      <c r="K284" s="7">
        <f>C285-H284</f>
        <v>3.4027777772280388E-2</v>
      </c>
      <c r="L284">
        <f>HOUR(K284)</f>
        <v>0</v>
      </c>
      <c r="M284">
        <f>MINUTE(K284)</f>
        <v>49</v>
      </c>
      <c r="N284">
        <f>L284*60+M284</f>
        <v>49</v>
      </c>
    </row>
    <row r="285" spans="2:14" x14ac:dyDescent="0.25">
      <c r="B285" t="s">
        <v>30</v>
      </c>
      <c r="C285" s="6">
        <v>46075.479166666664</v>
      </c>
      <c r="D285" s="6">
        <v>46075.489583333336</v>
      </c>
      <c r="E285" s="6">
        <v>46075.5</v>
      </c>
      <c r="F285" s="6">
        <v>46075.505555555559</v>
      </c>
      <c r="G285" s="6">
        <v>46075.506944444445</v>
      </c>
      <c r="H285" s="6">
        <v>46075.524305555555</v>
      </c>
      <c r="I285">
        <v>1.08</v>
      </c>
      <c r="J285" s="6">
        <v>46075.53125</v>
      </c>
      <c r="K285" s="7">
        <f>C286-H285</f>
        <v>0.37152777778101154</v>
      </c>
      <c r="L285">
        <f>HOUR(K285)</f>
        <v>8</v>
      </c>
      <c r="M285">
        <f>MINUTE(K285)</f>
        <v>55</v>
      </c>
      <c r="N285">
        <f>L285*60+M285</f>
        <v>535</v>
      </c>
    </row>
    <row r="286" spans="2:14" x14ac:dyDescent="0.25">
      <c r="B286" t="s">
        <v>30</v>
      </c>
      <c r="C286" s="6">
        <v>46075.895833333336</v>
      </c>
      <c r="D286" s="6">
        <v>46075.902777777781</v>
      </c>
      <c r="E286" s="6">
        <v>46075.90625</v>
      </c>
      <c r="F286" s="6">
        <v>46075.979166666664</v>
      </c>
      <c r="G286" s="6">
        <v>46075.979861111111</v>
      </c>
      <c r="H286" s="6">
        <v>46075.980555555558</v>
      </c>
      <c r="I286">
        <v>2.0299999999999998</v>
      </c>
      <c r="J286" s="6">
        <v>46075.981249999997</v>
      </c>
      <c r="K286" s="7">
        <f>C287-H286</f>
        <v>0.35763888888322981</v>
      </c>
      <c r="L286">
        <f>HOUR(K286)</f>
        <v>8</v>
      </c>
      <c r="M286">
        <f>MINUTE(K286)</f>
        <v>35</v>
      </c>
      <c r="N286">
        <f>L286*60+M286</f>
        <v>515</v>
      </c>
    </row>
    <row r="287" spans="2:14" hidden="1" x14ac:dyDescent="0.25">
      <c r="B287" t="s">
        <v>30</v>
      </c>
      <c r="C287" s="6">
        <v>46076.338194444441</v>
      </c>
      <c r="D287" s="6">
        <v>46076.34375</v>
      </c>
      <c r="E287" s="6">
        <v>46076.378472222219</v>
      </c>
      <c r="F287" s="6">
        <v>46076.423611111109</v>
      </c>
      <c r="G287" s="6">
        <v>46076.430555555555</v>
      </c>
      <c r="H287" s="6">
        <v>46076.440972222219</v>
      </c>
      <c r="I287">
        <v>2.4700000000000002</v>
      </c>
      <c r="J287" s="6">
        <v>46076.447916666664</v>
      </c>
      <c r="K287" s="7">
        <f>C288-H287</f>
        <v>-6.4583333332848269E-2</v>
      </c>
      <c r="L287" t="e">
        <f>HOUR(K287)</f>
        <v>#NUM!</v>
      </c>
      <c r="M287" t="e">
        <f>MINUTE(K287)</f>
        <v>#NUM!</v>
      </c>
      <c r="N287" t="e">
        <f>L287*60+M287</f>
        <v>#NUM!</v>
      </c>
    </row>
    <row r="288" spans="2:14" x14ac:dyDescent="0.25">
      <c r="B288" t="s">
        <v>30</v>
      </c>
      <c r="C288" s="6">
        <v>46076.376388888886</v>
      </c>
      <c r="D288" s="6">
        <v>46076.388888888891</v>
      </c>
      <c r="E288" s="6">
        <v>46076.40625</v>
      </c>
      <c r="F288" s="6">
        <v>46076.489583333336</v>
      </c>
      <c r="G288" s="6">
        <v>46076.5</v>
      </c>
      <c r="H288" s="6">
        <v>46076.600694444445</v>
      </c>
      <c r="I288">
        <v>5.38</v>
      </c>
      <c r="J288" s="6">
        <v>46076.601388888892</v>
      </c>
      <c r="K288" s="7">
        <f>C289-H288</f>
        <v>2.0833333335758653E-2</v>
      </c>
      <c r="L288">
        <f>HOUR(K288)</f>
        <v>0</v>
      </c>
      <c r="M288">
        <f>MINUTE(K288)</f>
        <v>30</v>
      </c>
      <c r="N288">
        <f>L288*60+M288</f>
        <v>30</v>
      </c>
    </row>
    <row r="289" spans="2:14" x14ac:dyDescent="0.25">
      <c r="B289" t="s">
        <v>30</v>
      </c>
      <c r="C289" s="6">
        <v>46076.621527777781</v>
      </c>
      <c r="D289" s="6">
        <v>46076.638888888891</v>
      </c>
      <c r="E289" s="6">
        <v>46076.663194444445</v>
      </c>
      <c r="F289" s="6">
        <v>46076.677083333336</v>
      </c>
      <c r="G289" s="6">
        <v>46076.697916666664</v>
      </c>
      <c r="H289" s="6">
        <v>46076.75</v>
      </c>
      <c r="I289">
        <v>3.08</v>
      </c>
      <c r="J289" s="6">
        <v>46076.756944444445</v>
      </c>
      <c r="K289" s="7">
        <f>C290-H289</f>
        <v>9.0277777781011537E-2</v>
      </c>
      <c r="L289">
        <f>HOUR(K289)</f>
        <v>2</v>
      </c>
      <c r="M289">
        <f>MINUTE(K289)</f>
        <v>10</v>
      </c>
      <c r="N289">
        <f>L289*60+M289</f>
        <v>130</v>
      </c>
    </row>
    <row r="290" spans="2:14" x14ac:dyDescent="0.25">
      <c r="B290" t="s">
        <v>30</v>
      </c>
      <c r="C290" s="6">
        <v>46076.840277777781</v>
      </c>
      <c r="D290" s="6">
        <v>46076.84375</v>
      </c>
      <c r="E290" s="6">
        <v>46076.850694444445</v>
      </c>
      <c r="F290" s="6">
        <v>46076.893750000003</v>
      </c>
      <c r="G290" s="6">
        <v>46076.900694444441</v>
      </c>
      <c r="H290" s="6">
        <v>46076.90902777778</v>
      </c>
      <c r="I290">
        <v>1.65</v>
      </c>
      <c r="J290" s="6">
        <v>46076.915972222225</v>
      </c>
      <c r="K290" s="7">
        <f>C291-H290</f>
        <v>0.43819444443943212</v>
      </c>
      <c r="L290">
        <f>HOUR(K290)</f>
        <v>10</v>
      </c>
      <c r="M290">
        <f>MINUTE(K290)</f>
        <v>31</v>
      </c>
      <c r="N290">
        <f>L290*60+M290</f>
        <v>631</v>
      </c>
    </row>
    <row r="291" spans="2:14" x14ac:dyDescent="0.25">
      <c r="B291" t="s">
        <v>30</v>
      </c>
      <c r="C291" s="6">
        <v>46077.347222222219</v>
      </c>
      <c r="D291" s="6">
        <v>46077.347916666666</v>
      </c>
      <c r="E291" s="6">
        <v>46077.366666666669</v>
      </c>
      <c r="F291" s="6">
        <v>46077.479166666664</v>
      </c>
      <c r="G291" s="6">
        <v>46077.5</v>
      </c>
      <c r="H291" s="6">
        <v>46077.500694444447</v>
      </c>
      <c r="I291">
        <v>3.68</v>
      </c>
      <c r="J291" s="6">
        <v>46077.503472222219</v>
      </c>
      <c r="K291" s="7">
        <f>C292-H291</f>
        <v>3.0555555553291924E-2</v>
      </c>
      <c r="L291">
        <f>HOUR(K291)</f>
        <v>0</v>
      </c>
      <c r="M291">
        <f>MINUTE(K291)</f>
        <v>44</v>
      </c>
      <c r="N291">
        <f>L291*60+M291</f>
        <v>44</v>
      </c>
    </row>
    <row r="292" spans="2:14" hidden="1" x14ac:dyDescent="0.25">
      <c r="B292" t="s">
        <v>30</v>
      </c>
      <c r="C292" s="6">
        <v>46077.53125</v>
      </c>
      <c r="D292" s="6">
        <v>46077.541666666664</v>
      </c>
      <c r="E292" s="6">
        <v>46077.569444444445</v>
      </c>
      <c r="F292" s="6">
        <v>46077.64166666667</v>
      </c>
      <c r="G292" s="6">
        <v>46077.648611111108</v>
      </c>
      <c r="H292" s="6">
        <v>46077.652777777781</v>
      </c>
      <c r="I292">
        <v>2.92</v>
      </c>
      <c r="J292" s="6">
        <v>46077.659722222219</v>
      </c>
      <c r="K292" s="7">
        <f>C293-H292</f>
        <v>-0.10416666667151731</v>
      </c>
      <c r="L292" t="e">
        <f>HOUR(K292)</f>
        <v>#NUM!</v>
      </c>
      <c r="M292" t="e">
        <f>MINUTE(K292)</f>
        <v>#NUM!</v>
      </c>
      <c r="N292" t="e">
        <f>L292*60+M292</f>
        <v>#NUM!</v>
      </c>
    </row>
    <row r="293" spans="2:14" x14ac:dyDescent="0.25">
      <c r="B293" t="s">
        <v>30</v>
      </c>
      <c r="C293" s="6">
        <v>46077.548611111109</v>
      </c>
      <c r="D293" s="6">
        <v>46077.555555555555</v>
      </c>
      <c r="E293" s="6">
        <v>46077.576388888891</v>
      </c>
      <c r="F293" s="6">
        <v>46077.614583333336</v>
      </c>
      <c r="G293" s="6">
        <v>46077.621527777781</v>
      </c>
      <c r="H293" s="6">
        <v>46077.62222222222</v>
      </c>
      <c r="I293">
        <v>1.77</v>
      </c>
      <c r="J293" s="6">
        <v>46077.625</v>
      </c>
      <c r="K293" s="7">
        <f>C294-H293</f>
        <v>3.7499999998544808E-2</v>
      </c>
      <c r="L293">
        <f>HOUR(K293)</f>
        <v>0</v>
      </c>
      <c r="M293">
        <f>MINUTE(K293)</f>
        <v>54</v>
      </c>
      <c r="N293">
        <f>L293*60+M293</f>
        <v>54</v>
      </c>
    </row>
    <row r="294" spans="2:14" hidden="1" x14ac:dyDescent="0.25">
      <c r="B294" t="s">
        <v>30</v>
      </c>
      <c r="C294" s="6">
        <v>46077.659722222219</v>
      </c>
      <c r="D294" s="6">
        <v>46077.666666666664</v>
      </c>
      <c r="E294" s="6">
        <v>46077.708333333336</v>
      </c>
      <c r="F294" s="6">
        <v>46077.763888888891</v>
      </c>
      <c r="G294" s="6">
        <v>46077.767361111109</v>
      </c>
      <c r="H294" s="6">
        <v>46077.770833333336</v>
      </c>
      <c r="I294">
        <v>2.67</v>
      </c>
      <c r="J294" s="6">
        <v>46077.777777777781</v>
      </c>
      <c r="K294" s="7">
        <f>C295-H294</f>
        <v>-8.6805555554747116E-2</v>
      </c>
      <c r="L294" t="e">
        <f>HOUR(K294)</f>
        <v>#NUM!</v>
      </c>
      <c r="M294" t="e">
        <f>MINUTE(K294)</f>
        <v>#NUM!</v>
      </c>
      <c r="N294" t="e">
        <f>L294*60+M294</f>
        <v>#NUM!</v>
      </c>
    </row>
    <row r="295" spans="2:14" hidden="1" x14ac:dyDescent="0.25">
      <c r="B295" t="s">
        <v>30</v>
      </c>
      <c r="C295" s="6">
        <v>46077.684027777781</v>
      </c>
      <c r="D295" s="6">
        <v>46077.701388888891</v>
      </c>
      <c r="E295" s="6">
        <v>46077.736111111109</v>
      </c>
      <c r="F295" s="6">
        <v>46077.857638888891</v>
      </c>
      <c r="G295" s="6">
        <v>46077.861111111109</v>
      </c>
      <c r="H295" s="6">
        <v>46077.871527777781</v>
      </c>
      <c r="I295">
        <v>4.5</v>
      </c>
      <c r="J295" s="6">
        <v>46077.878472222219</v>
      </c>
      <c r="K295" s="7">
        <f>C296-H295</f>
        <v>-0.11458333333575865</v>
      </c>
      <c r="L295" t="e">
        <f>HOUR(K295)</f>
        <v>#NUM!</v>
      </c>
      <c r="M295" t="e">
        <f>MINUTE(K295)</f>
        <v>#NUM!</v>
      </c>
      <c r="N295" t="e">
        <f>L295*60+M295</f>
        <v>#NUM!</v>
      </c>
    </row>
    <row r="296" spans="2:14" x14ac:dyDescent="0.25">
      <c r="B296" t="s">
        <v>30</v>
      </c>
      <c r="C296" s="6">
        <v>46077.756944444445</v>
      </c>
      <c r="D296" s="6">
        <v>46077.763888888891</v>
      </c>
      <c r="E296" s="6">
        <v>46077.770833333336</v>
      </c>
      <c r="F296" s="6">
        <v>46077.805555555555</v>
      </c>
      <c r="G296" s="6">
        <v>46077.809027777781</v>
      </c>
      <c r="H296" s="6">
        <v>46077.8125</v>
      </c>
      <c r="I296">
        <v>1.33</v>
      </c>
      <c r="J296" s="6">
        <v>46077.813194444447</v>
      </c>
      <c r="K296" s="7">
        <f>C297-H296</f>
        <v>0.10347222222480923</v>
      </c>
      <c r="L296">
        <f>HOUR(K296)</f>
        <v>2</v>
      </c>
      <c r="M296">
        <f>MINUTE(K296)</f>
        <v>29</v>
      </c>
      <c r="N296">
        <f>L296*60+M296</f>
        <v>149</v>
      </c>
    </row>
    <row r="297" spans="2:14" x14ac:dyDescent="0.25">
      <c r="B297" t="s">
        <v>30</v>
      </c>
      <c r="C297" s="6">
        <v>46077.915972222225</v>
      </c>
      <c r="D297" s="6">
        <v>46077.927083333336</v>
      </c>
      <c r="E297" s="6">
        <v>46077.9375</v>
      </c>
      <c r="F297" s="6">
        <v>46078.03125</v>
      </c>
      <c r="G297" s="6">
        <v>46078.038194444445</v>
      </c>
      <c r="H297" s="6">
        <v>46078.045138888891</v>
      </c>
      <c r="I297">
        <v>3.1</v>
      </c>
      <c r="J297" s="6">
        <v>46078.052083333336</v>
      </c>
      <c r="K297" s="7">
        <f>C298-H297</f>
        <v>0.43958333333284827</v>
      </c>
      <c r="L297">
        <f>HOUR(K297)</f>
        <v>10</v>
      </c>
      <c r="M297">
        <f>MINUTE(K297)</f>
        <v>33</v>
      </c>
      <c r="N297">
        <f>L297*60+M297</f>
        <v>633</v>
      </c>
    </row>
    <row r="298" spans="2:14" x14ac:dyDescent="0.25">
      <c r="B298" t="s">
        <v>30</v>
      </c>
      <c r="C298" s="6">
        <v>46078.484722222223</v>
      </c>
      <c r="D298" s="6">
        <v>46078.486111111109</v>
      </c>
      <c r="E298" s="6">
        <v>46078.506944444445</v>
      </c>
      <c r="F298" s="6">
        <v>46078.576388888891</v>
      </c>
      <c r="G298" s="6">
        <v>46078.635416666664</v>
      </c>
      <c r="H298" s="6">
        <v>46078.638888888891</v>
      </c>
      <c r="I298">
        <v>3.7</v>
      </c>
      <c r="J298" s="6">
        <v>46078.645833333336</v>
      </c>
      <c r="K298" s="7">
        <f>C299-H298</f>
        <v>3.4722222218988463E-2</v>
      </c>
      <c r="L298">
        <f>HOUR(K298)</f>
        <v>0</v>
      </c>
      <c r="M298">
        <f>MINUTE(K298)</f>
        <v>50</v>
      </c>
      <c r="N298">
        <f>L298*60+M298</f>
        <v>50</v>
      </c>
    </row>
    <row r="299" spans="2:14" hidden="1" x14ac:dyDescent="0.25">
      <c r="B299" t="s">
        <v>30</v>
      </c>
      <c r="C299" s="6">
        <v>46078.673611111109</v>
      </c>
      <c r="D299" s="6">
        <v>46078.677083333336</v>
      </c>
      <c r="E299" s="6">
        <v>46078.697916666664</v>
      </c>
      <c r="F299" s="6">
        <v>46078.736111111109</v>
      </c>
      <c r="G299" s="6">
        <v>46078.75</v>
      </c>
      <c r="H299" s="6">
        <v>46078.760416666664</v>
      </c>
      <c r="I299">
        <v>2.08</v>
      </c>
      <c r="J299" s="6">
        <v>46078.761111111111</v>
      </c>
      <c r="K299" s="7">
        <f>C300-H299</f>
        <v>-1.0416666664241347E-2</v>
      </c>
      <c r="L299" t="e">
        <f>HOUR(K299)</f>
        <v>#NUM!</v>
      </c>
      <c r="M299" t="e">
        <f>MINUTE(K299)</f>
        <v>#NUM!</v>
      </c>
      <c r="N299" t="e">
        <f>L299*60+M299</f>
        <v>#NUM!</v>
      </c>
    </row>
    <row r="300" spans="2:14" x14ac:dyDescent="0.25">
      <c r="B300" t="s">
        <v>30</v>
      </c>
      <c r="C300" s="6">
        <v>46078.75</v>
      </c>
      <c r="D300" s="6">
        <v>46078.770833333336</v>
      </c>
      <c r="E300" s="6">
        <v>46078.774305555555</v>
      </c>
      <c r="F300" s="6">
        <v>46078.791666666664</v>
      </c>
      <c r="G300" s="6">
        <v>46078.792361111111</v>
      </c>
      <c r="H300" s="6">
        <v>46078.805555555555</v>
      </c>
      <c r="I300">
        <v>1.33</v>
      </c>
      <c r="J300" s="6">
        <v>46078.8125</v>
      </c>
      <c r="K300" s="7">
        <f>C301-H300</f>
        <v>7.6388888890505768E-2</v>
      </c>
      <c r="L300">
        <f>HOUR(K300)</f>
        <v>1</v>
      </c>
      <c r="M300">
        <f>MINUTE(K300)</f>
        <v>50</v>
      </c>
      <c r="N300">
        <f>L300*60+M300</f>
        <v>110</v>
      </c>
    </row>
    <row r="301" spans="2:14" x14ac:dyDescent="0.25">
      <c r="B301" t="s">
        <v>30</v>
      </c>
      <c r="C301" s="6">
        <v>46078.881944444445</v>
      </c>
      <c r="D301" s="6">
        <v>46078.888888888891</v>
      </c>
      <c r="E301" s="6">
        <v>46078.90625</v>
      </c>
      <c r="F301" s="6">
        <v>46078.975694444445</v>
      </c>
      <c r="G301" s="6">
        <v>46078.982638888891</v>
      </c>
      <c r="H301" s="6">
        <v>46078.98333333333</v>
      </c>
      <c r="I301">
        <v>2.4300000000000002</v>
      </c>
      <c r="J301" s="6">
        <v>46078.984027777777</v>
      </c>
      <c r="K301" s="7">
        <f>C302-H301</f>
        <v>0.30833333333430346</v>
      </c>
      <c r="L301">
        <f>HOUR(K301)</f>
        <v>7</v>
      </c>
      <c r="M301">
        <f>MINUTE(K301)</f>
        <v>24</v>
      </c>
      <c r="N301">
        <f>L301*60+M301</f>
        <v>444</v>
      </c>
    </row>
    <row r="302" spans="2:14" x14ac:dyDescent="0.25">
      <c r="B302" t="s">
        <v>30</v>
      </c>
      <c r="C302" s="6">
        <v>46079.291666666664</v>
      </c>
      <c r="D302" s="6">
        <v>46079.326388888891</v>
      </c>
      <c r="E302" s="6">
        <v>46079.336805555555</v>
      </c>
      <c r="F302" s="6">
        <v>46079.364583333336</v>
      </c>
      <c r="G302" s="6">
        <v>46079.371527777781</v>
      </c>
      <c r="H302" s="6">
        <v>46079.37222222222</v>
      </c>
      <c r="I302">
        <v>1.93</v>
      </c>
      <c r="J302" s="6">
        <v>46079.379166666666</v>
      </c>
      <c r="K302" s="7">
        <f>C303-H302</f>
        <v>4.4444444443797693E-2</v>
      </c>
      <c r="L302">
        <f>HOUR(K302)</f>
        <v>1</v>
      </c>
      <c r="M302">
        <f>MINUTE(K302)</f>
        <v>4</v>
      </c>
      <c r="N302">
        <f>L302*60+M302</f>
        <v>64</v>
      </c>
    </row>
    <row r="303" spans="2:14" hidden="1" x14ac:dyDescent="0.25">
      <c r="B303" t="s">
        <v>30</v>
      </c>
      <c r="C303" s="6">
        <v>46079.416666666664</v>
      </c>
      <c r="D303" s="6">
        <v>46079.423611111109</v>
      </c>
      <c r="E303" s="6">
        <v>46079.451388888891</v>
      </c>
      <c r="F303" s="6">
        <v>46079.5625</v>
      </c>
      <c r="G303" s="6">
        <v>46079.569444444445</v>
      </c>
      <c r="H303" s="6">
        <v>46079.570138888892</v>
      </c>
      <c r="I303">
        <v>3.68</v>
      </c>
      <c r="J303" s="6">
        <v>46079.572916666664</v>
      </c>
      <c r="K303" s="7">
        <f>C304-H303</f>
        <v>-1.1111111110949423E-2</v>
      </c>
      <c r="L303" t="e">
        <f>HOUR(K303)</f>
        <v>#NUM!</v>
      </c>
      <c r="M303" t="e">
        <f>MINUTE(K303)</f>
        <v>#NUM!</v>
      </c>
      <c r="N303" t="e">
        <f>L303*60+M303</f>
        <v>#NUM!</v>
      </c>
    </row>
    <row r="304" spans="2:14" hidden="1" x14ac:dyDescent="0.25">
      <c r="B304" t="s">
        <v>30</v>
      </c>
      <c r="C304" s="6">
        <v>46079.559027777781</v>
      </c>
      <c r="D304" s="6">
        <v>46079.569444444445</v>
      </c>
      <c r="E304" s="6">
        <v>46079.590277777781</v>
      </c>
      <c r="F304" s="6">
        <v>46079.680555555555</v>
      </c>
      <c r="G304" s="6">
        <v>46079.6875</v>
      </c>
      <c r="H304" s="6">
        <v>46079.694444444445</v>
      </c>
      <c r="I304">
        <v>3.25</v>
      </c>
      <c r="J304" s="6">
        <v>46079.701388888891</v>
      </c>
      <c r="K304" s="7">
        <f>C305-H304</f>
        <v>-5.2083333335758653E-2</v>
      </c>
      <c r="L304" t="e">
        <f>HOUR(K304)</f>
        <v>#NUM!</v>
      </c>
      <c r="M304" t="e">
        <f>MINUTE(K304)</f>
        <v>#NUM!</v>
      </c>
      <c r="N304" t="e">
        <f>L304*60+M304</f>
        <v>#NUM!</v>
      </c>
    </row>
    <row r="305" spans="2:14" x14ac:dyDescent="0.25">
      <c r="B305" t="s">
        <v>30</v>
      </c>
      <c r="C305" s="6">
        <v>46079.642361111109</v>
      </c>
      <c r="D305" s="6">
        <v>46079.649305555555</v>
      </c>
      <c r="E305" s="6">
        <v>46079.701388888891</v>
      </c>
      <c r="F305" s="6">
        <v>46079.70208333333</v>
      </c>
      <c r="G305" s="6">
        <v>46079.702777777777</v>
      </c>
      <c r="H305" s="6">
        <v>46079.703472222223</v>
      </c>
      <c r="I305">
        <v>1.47</v>
      </c>
      <c r="J305" s="6">
        <v>46079.710416666669</v>
      </c>
      <c r="K305" s="7">
        <f>C306-H305</f>
        <v>8.333333331393078E-3</v>
      </c>
      <c r="L305">
        <f>HOUR(K305)</f>
        <v>0</v>
      </c>
      <c r="M305">
        <f>MINUTE(K305)</f>
        <v>12</v>
      </c>
      <c r="N305">
        <f>L305*60+M305</f>
        <v>12</v>
      </c>
    </row>
    <row r="306" spans="2:14" x14ac:dyDescent="0.25">
      <c r="B306" t="s">
        <v>30</v>
      </c>
      <c r="C306" s="6">
        <v>46079.711805555555</v>
      </c>
      <c r="D306" s="6">
        <v>46079.715277777781</v>
      </c>
      <c r="E306" s="6">
        <v>46079.71875</v>
      </c>
      <c r="F306" s="6">
        <v>46079.729166666664</v>
      </c>
      <c r="G306" s="6">
        <v>46079.732638888891</v>
      </c>
      <c r="H306" s="6">
        <v>46079.736111111109</v>
      </c>
      <c r="I306">
        <v>0.57999999999999996</v>
      </c>
      <c r="J306" s="6">
        <v>46079.739583333336</v>
      </c>
      <c r="K306" s="7">
        <f>C307-H306</f>
        <v>3.8194444445252884E-2</v>
      </c>
      <c r="L306">
        <f>HOUR(K306)</f>
        <v>0</v>
      </c>
      <c r="M306">
        <f>MINUTE(K306)</f>
        <v>55</v>
      </c>
      <c r="N306">
        <f>L306*60+M306</f>
        <v>55</v>
      </c>
    </row>
    <row r="307" spans="2:14" x14ac:dyDescent="0.25">
      <c r="B307" t="s">
        <v>30</v>
      </c>
      <c r="C307" s="6">
        <v>46079.774305555555</v>
      </c>
      <c r="D307" s="6">
        <v>46079.78125</v>
      </c>
      <c r="E307" s="6">
        <v>46079.784722222219</v>
      </c>
      <c r="F307" s="6">
        <v>46079.8125</v>
      </c>
      <c r="G307" s="6">
        <v>46079.815972222219</v>
      </c>
      <c r="H307" s="6">
        <v>46079.822916666664</v>
      </c>
      <c r="I307">
        <v>1.17</v>
      </c>
      <c r="J307" s="6">
        <v>46079.829861111109</v>
      </c>
      <c r="K307" s="7">
        <f>C308-H307</f>
        <v>1.0173611111167702</v>
      </c>
      <c r="L307">
        <f>HOUR(K307)</f>
        <v>0</v>
      </c>
      <c r="M307">
        <f>MINUTE(K307)</f>
        <v>25</v>
      </c>
      <c r="N307">
        <f>L307*60+M307</f>
        <v>25</v>
      </c>
    </row>
    <row r="308" spans="2:14" hidden="1" x14ac:dyDescent="0.25">
      <c r="B308" t="s">
        <v>30</v>
      </c>
      <c r="C308" s="6">
        <v>46080.840277777781</v>
      </c>
      <c r="D308" s="6">
        <v>46080.847222222219</v>
      </c>
      <c r="E308" s="6">
        <v>46080.854166666664</v>
      </c>
      <c r="F308" s="6">
        <v>46080.979166666664</v>
      </c>
      <c r="G308" s="6">
        <v>46081.006944444445</v>
      </c>
      <c r="H308" s="6">
        <v>46081.013888888891</v>
      </c>
      <c r="I308">
        <v>4.17</v>
      </c>
      <c r="J308" s="6">
        <v>46081.020833333336</v>
      </c>
      <c r="K308" s="7">
        <f>C309-H308</f>
        <v>-6.9444444445252884E-2</v>
      </c>
      <c r="L308" t="e">
        <f>HOUR(K308)</f>
        <v>#NUM!</v>
      </c>
      <c r="M308" t="e">
        <f>MINUTE(K308)</f>
        <v>#NUM!</v>
      </c>
      <c r="N308" t="e">
        <f>L308*60+M308</f>
        <v>#NUM!</v>
      </c>
    </row>
    <row r="309" spans="2:14" x14ac:dyDescent="0.25">
      <c r="B309" t="s">
        <v>30</v>
      </c>
      <c r="C309" s="6">
        <v>46080.944444444445</v>
      </c>
      <c r="D309" s="6">
        <v>46080.958333333336</v>
      </c>
      <c r="E309" s="6">
        <v>46080.972222222219</v>
      </c>
      <c r="F309" s="6">
        <v>46081</v>
      </c>
      <c r="G309" s="6">
        <v>46081.003472222219</v>
      </c>
      <c r="H309" s="6">
        <v>46081.006944444445</v>
      </c>
      <c r="I309">
        <v>1.5</v>
      </c>
      <c r="J309" s="6">
        <v>46081.013888888891</v>
      </c>
      <c r="K309" s="7">
        <f>C310-H309</f>
        <v>0.21180555555474712</v>
      </c>
      <c r="L309">
        <f>HOUR(K309)</f>
        <v>5</v>
      </c>
      <c r="M309">
        <f>MINUTE(K309)</f>
        <v>5</v>
      </c>
      <c r="N309">
        <f>L309*60+M309</f>
        <v>305</v>
      </c>
    </row>
    <row r="310" spans="2:14" x14ac:dyDescent="0.25">
      <c r="B310" t="s">
        <v>30</v>
      </c>
      <c r="C310" s="6">
        <v>46081.21875</v>
      </c>
      <c r="D310" s="6">
        <v>46081.239583333336</v>
      </c>
      <c r="E310" s="6">
        <v>46081.25</v>
      </c>
      <c r="F310" s="6">
        <v>46081.293055555558</v>
      </c>
      <c r="G310" s="6">
        <v>46081.333333333336</v>
      </c>
      <c r="H310" s="6">
        <v>46081.340277777781</v>
      </c>
      <c r="I310">
        <v>2.92</v>
      </c>
      <c r="J310" s="6">
        <v>46081.347222222219</v>
      </c>
      <c r="K310" s="7">
        <f>C311-H310</f>
        <v>1.0416666664241347E-2</v>
      </c>
      <c r="L310">
        <f>HOUR(K310)</f>
        <v>0</v>
      </c>
      <c r="M310">
        <f>MINUTE(K310)</f>
        <v>15</v>
      </c>
      <c r="N310">
        <f>L310*60+M310</f>
        <v>15</v>
      </c>
    </row>
    <row r="311" spans="2:14" hidden="1" x14ac:dyDescent="0.25">
      <c r="B311" t="s">
        <v>30</v>
      </c>
      <c r="C311" s="6">
        <v>46081.350694444445</v>
      </c>
      <c r="D311" s="6">
        <v>46081.357638888891</v>
      </c>
      <c r="E311" s="6">
        <v>46081.35833333333</v>
      </c>
      <c r="F311" s="6">
        <v>46081.416666666664</v>
      </c>
      <c r="G311" s="6">
        <v>46081.423611111109</v>
      </c>
      <c r="H311" s="6">
        <v>46081.427083333336</v>
      </c>
      <c r="I311">
        <v>1.83</v>
      </c>
      <c r="J311" s="6">
        <v>46081.434027777781</v>
      </c>
      <c r="K311" s="7">
        <f>C312-H311</f>
        <v>-3.4722222226264421E-2</v>
      </c>
      <c r="L311" t="e">
        <f>HOUR(K311)</f>
        <v>#NUM!</v>
      </c>
      <c r="M311" t="e">
        <f>MINUTE(K311)</f>
        <v>#NUM!</v>
      </c>
      <c r="N311" t="e">
        <f>L311*60+M311</f>
        <v>#NUM!</v>
      </c>
    </row>
    <row r="312" spans="2:14" x14ac:dyDescent="0.25">
      <c r="B312" t="s">
        <v>30</v>
      </c>
      <c r="C312" s="6">
        <v>46081.392361111109</v>
      </c>
      <c r="D312" s="6">
        <v>46081.399305555555</v>
      </c>
      <c r="E312" s="6">
        <v>46081.402777777781</v>
      </c>
      <c r="F312" s="6">
        <v>46081.486111111109</v>
      </c>
      <c r="G312" s="6">
        <v>46081.493055555555</v>
      </c>
      <c r="H312" s="6">
        <v>46081.5</v>
      </c>
      <c r="I312">
        <v>2.58</v>
      </c>
      <c r="J312" s="6">
        <v>46081.506944444445</v>
      </c>
      <c r="K312" s="7">
        <f>C313-H312</f>
        <v>0.12152777778101154</v>
      </c>
      <c r="L312">
        <f>HOUR(K312)</f>
        <v>2</v>
      </c>
      <c r="M312">
        <f>MINUTE(K312)</f>
        <v>55</v>
      </c>
      <c r="N312">
        <f>L312*60+M312</f>
        <v>175</v>
      </c>
    </row>
    <row r="313" spans="2:14" x14ac:dyDescent="0.25">
      <c r="B313" t="s">
        <v>30</v>
      </c>
      <c r="C313" s="6">
        <v>46081.621527777781</v>
      </c>
      <c r="D313" s="6">
        <v>46081.631944444445</v>
      </c>
      <c r="E313" s="6">
        <v>46081.635416666664</v>
      </c>
      <c r="F313" s="6">
        <v>46081.652777777781</v>
      </c>
      <c r="G313" s="6">
        <v>46081.65625</v>
      </c>
      <c r="H313" s="6">
        <v>46081.656944444447</v>
      </c>
      <c r="I313">
        <v>0.85</v>
      </c>
      <c r="J313" s="6">
        <v>46081.659722222219</v>
      </c>
      <c r="K313" s="7">
        <f>C314-H313</f>
        <v>2.361111110803904E-2</v>
      </c>
      <c r="L313">
        <f>HOUR(K313)</f>
        <v>0</v>
      </c>
      <c r="M313">
        <f>MINUTE(K313)</f>
        <v>34</v>
      </c>
      <c r="N313">
        <f>L313*60+M313</f>
        <v>34</v>
      </c>
    </row>
    <row r="314" spans="2:14" x14ac:dyDescent="0.25">
      <c r="B314" t="s">
        <v>30</v>
      </c>
      <c r="C314" s="6">
        <v>46081.680555555555</v>
      </c>
      <c r="D314" s="6">
        <v>46081.684027777781</v>
      </c>
      <c r="E314" s="6">
        <v>46081.690972222219</v>
      </c>
      <c r="F314" s="6">
        <v>46081.736111111109</v>
      </c>
      <c r="G314" s="6">
        <v>46081.743055555555</v>
      </c>
      <c r="H314" s="6">
        <v>46081.75</v>
      </c>
      <c r="I314">
        <v>1.67</v>
      </c>
      <c r="J314" s="6">
        <v>46081.756944444445</v>
      </c>
      <c r="K314" s="7">
        <f>C315-H314</f>
        <v>6.3888888886140194E-2</v>
      </c>
      <c r="L314">
        <f>HOUR(K314)</f>
        <v>1</v>
      </c>
      <c r="M314">
        <f>MINUTE(K314)</f>
        <v>32</v>
      </c>
      <c r="N314">
        <f>L314*60+M314</f>
        <v>92</v>
      </c>
    </row>
    <row r="315" spans="2:14" x14ac:dyDescent="0.25">
      <c r="B315" t="s">
        <v>30</v>
      </c>
      <c r="C315" s="6">
        <v>46081.813888888886</v>
      </c>
      <c r="D315" s="6">
        <v>46081.815972222219</v>
      </c>
      <c r="E315" s="6">
        <v>46081.819444444445</v>
      </c>
      <c r="F315" s="6">
        <v>46081.843055555553</v>
      </c>
      <c r="G315" s="6">
        <v>46081.847222222219</v>
      </c>
      <c r="H315" s="6">
        <v>46081.850694444445</v>
      </c>
      <c r="I315">
        <v>0.88</v>
      </c>
      <c r="J315" s="6">
        <v>46081.854166666664</v>
      </c>
      <c r="K315" s="7">
        <f>C316-H315</f>
        <v>0.13055555555183673</v>
      </c>
      <c r="L315">
        <f>HOUR(K315)</f>
        <v>3</v>
      </c>
      <c r="M315">
        <f>MINUTE(K315)</f>
        <v>8</v>
      </c>
      <c r="N315">
        <f>L315*60+M315</f>
        <v>188</v>
      </c>
    </row>
    <row r="316" spans="2:14" hidden="1" x14ac:dyDescent="0.25">
      <c r="B316" t="s">
        <v>30</v>
      </c>
      <c r="C316" s="6">
        <v>46081.981249999997</v>
      </c>
      <c r="D316" s="6">
        <v>46081.993055555555</v>
      </c>
      <c r="E316" s="6">
        <v>46082.013888888891</v>
      </c>
      <c r="F316" s="6">
        <v>46082.063194444447</v>
      </c>
      <c r="G316" s="6">
        <v>46082.065972222219</v>
      </c>
      <c r="H316" s="6">
        <v>46082.068055555559</v>
      </c>
      <c r="I316">
        <v>2.08</v>
      </c>
      <c r="J316" s="6">
        <v>46082.074999999997</v>
      </c>
      <c r="K316" s="7">
        <f>C317-H316</f>
        <v>-5.7638888894871343E-2</v>
      </c>
      <c r="L316" t="e">
        <f>HOUR(K316)</f>
        <v>#NUM!</v>
      </c>
      <c r="M316" t="e">
        <f>MINUTE(K316)</f>
        <v>#NUM!</v>
      </c>
      <c r="N316" t="e">
        <f>L316*60+M316</f>
        <v>#NUM!</v>
      </c>
    </row>
    <row r="317" spans="2:14" x14ac:dyDescent="0.25">
      <c r="B317" t="s">
        <v>30</v>
      </c>
      <c r="C317" s="6">
        <v>46082.010416666664</v>
      </c>
      <c r="D317" s="6">
        <v>46082.017361111109</v>
      </c>
      <c r="E317" s="6">
        <v>46082.041666666664</v>
      </c>
      <c r="F317" s="6">
        <v>46082.065972222219</v>
      </c>
      <c r="G317" s="6">
        <v>46082.069444444445</v>
      </c>
      <c r="H317" s="6">
        <v>46082.070833333331</v>
      </c>
      <c r="I317">
        <v>1.45</v>
      </c>
      <c r="J317" s="6">
        <v>46082.077777777777</v>
      </c>
      <c r="K317" s="7">
        <f>C318-H317</f>
        <v>0.26944444444961846</v>
      </c>
      <c r="L317">
        <f>HOUR(K317)</f>
        <v>6</v>
      </c>
      <c r="M317">
        <f>MINUTE(K317)</f>
        <v>28</v>
      </c>
      <c r="N317">
        <f>L317*60+M317</f>
        <v>388</v>
      </c>
    </row>
    <row r="318" spans="2:14" x14ac:dyDescent="0.25">
      <c r="B318" t="s">
        <v>30</v>
      </c>
      <c r="C318" s="6">
        <v>46082.340277777781</v>
      </c>
      <c r="D318" s="6">
        <v>46082.354166666664</v>
      </c>
      <c r="E318" s="6">
        <v>46082.371527777781</v>
      </c>
      <c r="F318" s="6">
        <v>46082.381944444445</v>
      </c>
      <c r="G318" s="6">
        <v>46082.385416666664</v>
      </c>
      <c r="H318" s="6">
        <v>46082.386111111111</v>
      </c>
      <c r="I318">
        <v>1.1000000000000001</v>
      </c>
      <c r="J318" s="6">
        <v>46082.386805555558</v>
      </c>
      <c r="K318" s="7">
        <f>C319-H318</f>
        <v>0.13819444444379769</v>
      </c>
      <c r="L318">
        <f>HOUR(K318)</f>
        <v>3</v>
      </c>
      <c r="M318">
        <f>MINUTE(K318)</f>
        <v>19</v>
      </c>
      <c r="N318">
        <f>L318*60+M318</f>
        <v>199</v>
      </c>
    </row>
    <row r="319" spans="2:14" x14ac:dyDescent="0.25">
      <c r="B319" t="s">
        <v>30</v>
      </c>
      <c r="C319" s="6">
        <v>46082.524305555555</v>
      </c>
      <c r="D319" s="6">
        <v>46082.538194444445</v>
      </c>
      <c r="E319" s="6">
        <v>46082.541666666664</v>
      </c>
      <c r="F319" s="6">
        <v>46082.555555555555</v>
      </c>
      <c r="G319" s="6">
        <v>46082.557638888888</v>
      </c>
      <c r="H319" s="6">
        <v>46082.559027777781</v>
      </c>
      <c r="I319">
        <v>0.83</v>
      </c>
      <c r="J319" s="6">
        <v>46082.560416666667</v>
      </c>
      <c r="K319" s="7">
        <f>C320-H319</f>
        <v>0.13333333333139308</v>
      </c>
      <c r="L319">
        <f>HOUR(K319)</f>
        <v>3</v>
      </c>
      <c r="M319">
        <f>MINUTE(K319)</f>
        <v>12</v>
      </c>
      <c r="N319">
        <f>L319*60+M319</f>
        <v>192</v>
      </c>
    </row>
    <row r="320" spans="2:14" x14ac:dyDescent="0.25">
      <c r="B320" t="s">
        <v>30</v>
      </c>
      <c r="C320" s="6">
        <v>46082.692361111112</v>
      </c>
      <c r="D320" s="6">
        <v>46082.694444444445</v>
      </c>
      <c r="E320" s="6">
        <v>46082.71875</v>
      </c>
      <c r="F320" s="6">
        <v>46082.759722222225</v>
      </c>
      <c r="G320" s="6">
        <v>46082.760416666664</v>
      </c>
      <c r="H320" s="6">
        <v>46082.761111111111</v>
      </c>
      <c r="I320">
        <v>1.65</v>
      </c>
      <c r="J320" s="6">
        <v>46082.761805555558</v>
      </c>
      <c r="K320" s="7">
        <f>C321-H320</f>
        <v>0.14861111110803904</v>
      </c>
      <c r="L320">
        <f>HOUR(K320)</f>
        <v>3</v>
      </c>
      <c r="M320">
        <f>MINUTE(K320)</f>
        <v>34</v>
      </c>
      <c r="N320">
        <f>L320*60+M320</f>
        <v>214</v>
      </c>
    </row>
    <row r="321" spans="2:14" hidden="1" x14ac:dyDescent="0.25">
      <c r="B321" t="s">
        <v>30</v>
      </c>
      <c r="C321" s="6">
        <v>46082.909722222219</v>
      </c>
      <c r="D321" s="6">
        <v>46082.916666666664</v>
      </c>
      <c r="E321" s="6">
        <v>46082.940972222219</v>
      </c>
      <c r="F321" s="6">
        <v>46083.0625</v>
      </c>
      <c r="G321" s="6">
        <v>46083.069444444445</v>
      </c>
      <c r="H321" s="6">
        <v>46083.076388888891</v>
      </c>
      <c r="I321">
        <v>4</v>
      </c>
      <c r="J321" s="6">
        <v>46083.083333333336</v>
      </c>
      <c r="K321" s="7">
        <f>C322-H321</f>
        <v>-0.16319444444525288</v>
      </c>
      <c r="L321" t="e">
        <f>HOUR(K321)</f>
        <v>#NUM!</v>
      </c>
      <c r="M321" t="e">
        <f>MINUTE(K321)</f>
        <v>#NUM!</v>
      </c>
      <c r="N321" t="e">
        <f>L321*60+M321</f>
        <v>#NUM!</v>
      </c>
    </row>
    <row r="322" spans="2:14" x14ac:dyDescent="0.25">
      <c r="B322" t="s">
        <v>30</v>
      </c>
      <c r="C322" s="6">
        <v>46082.913194444445</v>
      </c>
      <c r="D322" s="6">
        <v>46082.920138888891</v>
      </c>
      <c r="E322" s="6">
        <v>46082.934027777781</v>
      </c>
      <c r="F322" s="6">
        <v>46082.944444444445</v>
      </c>
      <c r="G322" s="6">
        <v>46082.951388888891</v>
      </c>
      <c r="H322" s="6">
        <v>46082.958333333336</v>
      </c>
      <c r="I322">
        <v>1.08</v>
      </c>
      <c r="J322" s="6">
        <v>46082.965277777781</v>
      </c>
      <c r="K322" s="7">
        <f>C323-H322</f>
        <v>2.0833333328482695E-2</v>
      </c>
      <c r="L322">
        <f>HOUR(K322)</f>
        <v>0</v>
      </c>
      <c r="M322">
        <f>MINUTE(K322)</f>
        <v>30</v>
      </c>
      <c r="N322">
        <f>L322*60+M322</f>
        <v>30</v>
      </c>
    </row>
    <row r="323" spans="2:14" x14ac:dyDescent="0.25">
      <c r="B323" t="s">
        <v>30</v>
      </c>
      <c r="C323" s="6">
        <v>46082.979166666664</v>
      </c>
      <c r="D323" s="6">
        <v>46082.986111111109</v>
      </c>
      <c r="E323" s="6">
        <v>46082.986805555556</v>
      </c>
      <c r="F323" s="6">
        <v>46082.989583333336</v>
      </c>
      <c r="G323" s="6">
        <v>46082.993055555555</v>
      </c>
      <c r="H323" s="6">
        <v>46082.996527777781</v>
      </c>
      <c r="I323">
        <v>0.42</v>
      </c>
      <c r="J323" s="6">
        <v>46082.997916666667</v>
      </c>
      <c r="K323" s="7">
        <f>C324-H323</f>
        <v>0.11111111110949423</v>
      </c>
      <c r="L323">
        <f>HOUR(K323)</f>
        <v>2</v>
      </c>
      <c r="M323">
        <f>MINUTE(K323)</f>
        <v>40</v>
      </c>
      <c r="N323">
        <f>L323*60+M323</f>
        <v>160</v>
      </c>
    </row>
    <row r="324" spans="2:14" x14ac:dyDescent="0.25">
      <c r="B324" t="s">
        <v>30</v>
      </c>
      <c r="C324" s="6">
        <v>46083.107638888891</v>
      </c>
      <c r="D324" s="6">
        <v>46083.111111111109</v>
      </c>
      <c r="E324" s="6">
        <v>46083.114583333336</v>
      </c>
      <c r="F324" s="6">
        <v>46083.14166666667</v>
      </c>
      <c r="G324" s="6">
        <v>46083.143750000003</v>
      </c>
      <c r="H324" s="6">
        <v>46083.145138888889</v>
      </c>
      <c r="I324">
        <v>0.9</v>
      </c>
      <c r="J324" s="6">
        <v>46083.152083333334</v>
      </c>
      <c r="K324" s="7">
        <f>C325-H324</f>
        <v>0.14652777777519077</v>
      </c>
      <c r="L324">
        <f>HOUR(K324)</f>
        <v>3</v>
      </c>
      <c r="M324">
        <f>MINUTE(K324)</f>
        <v>31</v>
      </c>
      <c r="N324">
        <f>L324*60+M324</f>
        <v>211</v>
      </c>
    </row>
    <row r="325" spans="2:14" hidden="1" x14ac:dyDescent="0.25">
      <c r="B325" t="s">
        <v>30</v>
      </c>
      <c r="C325" s="6">
        <v>46083.291666666664</v>
      </c>
      <c r="D325" s="6">
        <v>46083.350694444445</v>
      </c>
      <c r="E325" s="6">
        <v>46083.357638888891</v>
      </c>
      <c r="F325" s="6">
        <v>46083.46875</v>
      </c>
      <c r="G325" s="6">
        <v>46083.475694444445</v>
      </c>
      <c r="H325" s="6">
        <v>46083.479166666664</v>
      </c>
      <c r="I325">
        <v>4.5</v>
      </c>
      <c r="J325" s="6">
        <v>46083.486111111109</v>
      </c>
      <c r="K325" s="7">
        <f>C326-H325</f>
        <v>-0.15625</v>
      </c>
      <c r="L325" t="e">
        <f>HOUR(K325)</f>
        <v>#NUM!</v>
      </c>
      <c r="M325" t="e">
        <f>MINUTE(K325)</f>
        <v>#NUM!</v>
      </c>
      <c r="N325" t="e">
        <f>L325*60+M325</f>
        <v>#NUM!</v>
      </c>
    </row>
    <row r="326" spans="2:14" hidden="1" x14ac:dyDescent="0.25">
      <c r="B326" t="s">
        <v>30</v>
      </c>
      <c r="C326" s="6">
        <v>46083.322916666664</v>
      </c>
      <c r="D326" s="6">
        <v>46083.329861111109</v>
      </c>
      <c r="E326" s="6">
        <v>46083.368055555555</v>
      </c>
      <c r="F326" s="6">
        <v>46083.381944444445</v>
      </c>
      <c r="G326" s="6">
        <v>46083.388888888891</v>
      </c>
      <c r="H326" s="6">
        <v>46083.395833333336</v>
      </c>
      <c r="I326">
        <v>1.75</v>
      </c>
      <c r="J326" s="6">
        <v>46083.402777777781</v>
      </c>
      <c r="K326" s="7">
        <f>C327-H326</f>
        <v>-3.125E-2</v>
      </c>
      <c r="L326" t="e">
        <f>HOUR(K326)</f>
        <v>#NUM!</v>
      </c>
      <c r="M326" t="e">
        <f>MINUTE(K326)</f>
        <v>#NUM!</v>
      </c>
      <c r="N326" t="e">
        <f>L326*60+M326</f>
        <v>#NUM!</v>
      </c>
    </row>
    <row r="327" spans="2:14" hidden="1" x14ac:dyDescent="0.25">
      <c r="B327" t="s">
        <v>30</v>
      </c>
      <c r="C327" s="6">
        <v>46083.364583333336</v>
      </c>
      <c r="D327" s="6">
        <v>46083.392361111109</v>
      </c>
      <c r="E327" s="6">
        <v>46083.409722222219</v>
      </c>
      <c r="F327" s="6">
        <v>46083.479166666664</v>
      </c>
      <c r="G327" s="6">
        <v>46083.486111111109</v>
      </c>
      <c r="H327" s="6">
        <v>46083.604166666664</v>
      </c>
      <c r="I327">
        <v>5.75</v>
      </c>
      <c r="J327" s="6">
        <v>46083.611111111109</v>
      </c>
      <c r="K327" s="7">
        <f>C328-H327</f>
        <v>-3.8194444445252884E-2</v>
      </c>
      <c r="L327" t="e">
        <f>HOUR(K327)</f>
        <v>#NUM!</v>
      </c>
      <c r="M327" t="e">
        <f>MINUTE(K327)</f>
        <v>#NUM!</v>
      </c>
      <c r="N327" t="e">
        <f>L327*60+M327</f>
        <v>#NUM!</v>
      </c>
    </row>
    <row r="328" spans="2:14" hidden="1" x14ac:dyDescent="0.25">
      <c r="B328" t="s">
        <v>30</v>
      </c>
      <c r="C328" s="6">
        <v>46083.565972222219</v>
      </c>
      <c r="D328" s="6">
        <v>46083.583333333336</v>
      </c>
      <c r="E328" s="6">
        <v>46083.604166666664</v>
      </c>
      <c r="F328" s="6">
        <v>46083.652777777781</v>
      </c>
      <c r="G328" s="6">
        <v>46083.65347222222</v>
      </c>
      <c r="H328" s="6">
        <v>46083.654166666667</v>
      </c>
      <c r="I328">
        <v>2.12</v>
      </c>
      <c r="J328" s="6">
        <v>46083.661111111112</v>
      </c>
      <c r="K328" s="7">
        <f>C329-H328</f>
        <v>-4.8611111124046147E-3</v>
      </c>
      <c r="L328" t="e">
        <f>HOUR(K328)</f>
        <v>#NUM!</v>
      </c>
      <c r="M328" t="e">
        <f>MINUTE(K328)</f>
        <v>#NUM!</v>
      </c>
      <c r="N328" t="e">
        <f>L328*60+M328</f>
        <v>#NUM!</v>
      </c>
    </row>
    <row r="329" spans="2:14" hidden="1" x14ac:dyDescent="0.25">
      <c r="B329" t="s">
        <v>30</v>
      </c>
      <c r="C329" s="6">
        <v>46083.649305555555</v>
      </c>
      <c r="D329" s="6">
        <v>46083.65625</v>
      </c>
      <c r="E329" s="6">
        <v>46083.656944444447</v>
      </c>
      <c r="F329" s="6">
        <v>46083.708333333336</v>
      </c>
      <c r="G329" s="6">
        <v>46083.715277777781</v>
      </c>
      <c r="H329" s="6">
        <v>46083.739583333336</v>
      </c>
      <c r="I329">
        <v>2.15</v>
      </c>
      <c r="J329" s="6">
        <v>46083.746527777781</v>
      </c>
      <c r="K329" s="7">
        <f>C330-H329</f>
        <v>-1.0416666671517305E-2</v>
      </c>
      <c r="L329" t="e">
        <f>HOUR(K329)</f>
        <v>#NUM!</v>
      </c>
      <c r="M329" t="e">
        <f>MINUTE(K329)</f>
        <v>#NUM!</v>
      </c>
      <c r="N329" t="e">
        <f>L329*60+M329</f>
        <v>#NUM!</v>
      </c>
    </row>
    <row r="330" spans="2:14" hidden="1" x14ac:dyDescent="0.25">
      <c r="B330" t="s">
        <v>30</v>
      </c>
      <c r="C330" s="6">
        <v>46083.729166666664</v>
      </c>
      <c r="D330" s="6">
        <v>46083.736111111109</v>
      </c>
      <c r="E330" s="6">
        <v>46083.75</v>
      </c>
      <c r="F330" s="6">
        <v>46083.770833333336</v>
      </c>
      <c r="G330" s="6">
        <v>46083.777777777781</v>
      </c>
      <c r="H330" s="6">
        <v>46083.77847222222</v>
      </c>
      <c r="I330">
        <v>1.18</v>
      </c>
      <c r="J330" s="6">
        <v>46083.785416666666</v>
      </c>
      <c r="K330" s="7">
        <f>C331-H330</f>
        <v>-8.333333331393078E-3</v>
      </c>
      <c r="L330" t="e">
        <f>HOUR(K330)</f>
        <v>#NUM!</v>
      </c>
      <c r="M330" t="e">
        <f>MINUTE(K330)</f>
        <v>#NUM!</v>
      </c>
      <c r="N330" t="e">
        <f>L330*60+M330</f>
        <v>#NUM!</v>
      </c>
    </row>
    <row r="331" spans="2:14" x14ac:dyDescent="0.25">
      <c r="B331" t="s">
        <v>30</v>
      </c>
      <c r="C331" s="6">
        <v>46083.770138888889</v>
      </c>
      <c r="D331" s="6">
        <v>46083.777777777781</v>
      </c>
      <c r="E331" s="6">
        <v>46083.788194444445</v>
      </c>
      <c r="F331" s="6">
        <v>46083.809027777781</v>
      </c>
      <c r="G331" s="6">
        <v>46083.8125</v>
      </c>
      <c r="H331" s="6">
        <v>46083.813888888886</v>
      </c>
      <c r="I331">
        <v>1.05</v>
      </c>
      <c r="J331" s="6">
        <v>46083.820833333331</v>
      </c>
      <c r="K331" s="7">
        <f>C332-H331</f>
        <v>7.7083333337213844E-2</v>
      </c>
      <c r="L331">
        <f>HOUR(K331)</f>
        <v>1</v>
      </c>
      <c r="M331">
        <f>MINUTE(K331)</f>
        <v>51</v>
      </c>
      <c r="N331">
        <f>L331*60+M331</f>
        <v>111</v>
      </c>
    </row>
    <row r="332" spans="2:14" hidden="1" x14ac:dyDescent="0.25">
      <c r="B332" t="s">
        <v>30</v>
      </c>
      <c r="C332" s="6">
        <v>46083.890972222223</v>
      </c>
      <c r="D332" s="6">
        <v>46083.897916666669</v>
      </c>
      <c r="E332" s="6">
        <v>46083.90347222222</v>
      </c>
      <c r="F332" s="6">
        <v>46083.945138888892</v>
      </c>
      <c r="G332" s="6">
        <v>46083.947222222225</v>
      </c>
      <c r="H332" s="6">
        <v>46083.947916666664</v>
      </c>
      <c r="I332">
        <v>1.37</v>
      </c>
      <c r="J332" s="6">
        <v>46083.954861111109</v>
      </c>
      <c r="K332" s="7">
        <f>C333-H332</f>
        <v>-1.8055555556202307E-2</v>
      </c>
      <c r="L332" t="e">
        <f>HOUR(K332)</f>
        <v>#NUM!</v>
      </c>
      <c r="M332" t="e">
        <f>MINUTE(K332)</f>
        <v>#NUM!</v>
      </c>
      <c r="N332" t="e">
        <f>L332*60+M332</f>
        <v>#NUM!</v>
      </c>
    </row>
    <row r="333" spans="2:14" hidden="1" x14ac:dyDescent="0.25">
      <c r="B333" t="s">
        <v>30</v>
      </c>
      <c r="C333" s="6">
        <v>46083.929861111108</v>
      </c>
      <c r="D333" s="6">
        <v>46083.930555555555</v>
      </c>
      <c r="E333" s="6">
        <v>46083.958333333336</v>
      </c>
      <c r="F333" s="6">
        <v>46084.083333333336</v>
      </c>
      <c r="G333" s="6">
        <v>46084.090277777781</v>
      </c>
      <c r="H333" s="6">
        <v>46084.104166666664</v>
      </c>
      <c r="I333">
        <v>4.18</v>
      </c>
      <c r="J333" s="6">
        <v>46084.111111111109</v>
      </c>
      <c r="K333" s="7">
        <f>C334-H333</f>
        <v>-0.13194444444525288</v>
      </c>
      <c r="L333" t="e">
        <f>HOUR(K333)</f>
        <v>#NUM!</v>
      </c>
      <c r="M333" t="e">
        <f>MINUTE(K333)</f>
        <v>#NUM!</v>
      </c>
      <c r="N333" t="e">
        <f>L333*60+M333</f>
        <v>#NUM!</v>
      </c>
    </row>
    <row r="334" spans="2:14" hidden="1" x14ac:dyDescent="0.25">
      <c r="B334" t="s">
        <v>30</v>
      </c>
      <c r="C334" s="6">
        <v>46083.972222222219</v>
      </c>
      <c r="D334" s="6">
        <v>46083.979166666664</v>
      </c>
      <c r="E334" s="6">
        <v>46083.989583333336</v>
      </c>
      <c r="F334" s="6">
        <v>46084.003472222219</v>
      </c>
      <c r="G334" s="6">
        <v>46084.006944444445</v>
      </c>
      <c r="H334" s="6">
        <v>46084.013888888891</v>
      </c>
      <c r="I334">
        <v>1</v>
      </c>
      <c r="J334" s="6">
        <v>46084.020833333336</v>
      </c>
      <c r="K334" s="7">
        <f>C335-H334</f>
        <v>-1.3888888890505768E-2</v>
      </c>
      <c r="L334" t="e">
        <f>HOUR(K334)</f>
        <v>#NUM!</v>
      </c>
      <c r="M334" t="e">
        <f>MINUTE(K334)</f>
        <v>#NUM!</v>
      </c>
      <c r="N334" t="e">
        <f>L334*60+M334</f>
        <v>#NUM!</v>
      </c>
    </row>
    <row r="335" spans="2:14" x14ac:dyDescent="0.25">
      <c r="B335" t="s">
        <v>30</v>
      </c>
      <c r="C335" s="6">
        <v>46084</v>
      </c>
      <c r="D335" s="6">
        <v>46084.006944444445</v>
      </c>
      <c r="E335" s="6">
        <v>46084.010416666664</v>
      </c>
      <c r="F335" s="6">
        <v>46084.020833333336</v>
      </c>
      <c r="G335" s="6">
        <v>46084.027777777781</v>
      </c>
      <c r="H335" s="6">
        <v>46084.02847222222</v>
      </c>
      <c r="I335">
        <v>0.68</v>
      </c>
      <c r="J335" s="6">
        <v>46084.035416666666</v>
      </c>
      <c r="K335" s="7">
        <f>C336-H335</f>
        <v>1.6666666670062114E-2</v>
      </c>
      <c r="L335">
        <f>HOUR(K335)</f>
        <v>0</v>
      </c>
      <c r="M335">
        <f>MINUTE(K335)</f>
        <v>24</v>
      </c>
      <c r="N335">
        <f>L335*60+M335</f>
        <v>24</v>
      </c>
    </row>
    <row r="336" spans="2:14" x14ac:dyDescent="0.25">
      <c r="B336" t="s">
        <v>30</v>
      </c>
      <c r="C336" s="6">
        <v>46084.045138888891</v>
      </c>
      <c r="D336" s="6">
        <v>46084.052083333336</v>
      </c>
      <c r="E336" s="6">
        <v>46084.076388888891</v>
      </c>
      <c r="F336" s="6">
        <v>46084.111111111109</v>
      </c>
      <c r="G336" s="6">
        <v>46084.118055555555</v>
      </c>
      <c r="H336" s="6">
        <v>46084.125</v>
      </c>
      <c r="I336">
        <v>1.92</v>
      </c>
      <c r="J336" s="6">
        <v>46084.131944444445</v>
      </c>
      <c r="K336" s="7">
        <f>C337-H336</f>
        <v>0.35416666666424135</v>
      </c>
      <c r="L336">
        <f>HOUR(K336)</f>
        <v>8</v>
      </c>
      <c r="M336">
        <f>MINUTE(K336)</f>
        <v>30</v>
      </c>
      <c r="N336">
        <f>L336*60+M336</f>
        <v>510</v>
      </c>
    </row>
    <row r="337" spans="2:14" x14ac:dyDescent="0.25">
      <c r="B337" t="s">
        <v>30</v>
      </c>
      <c r="C337" s="6">
        <v>46084.479166666664</v>
      </c>
      <c r="D337" s="6">
        <v>46084.489583333336</v>
      </c>
      <c r="E337" s="6">
        <v>46084.496527777781</v>
      </c>
      <c r="F337" s="6">
        <v>46084.506944444445</v>
      </c>
      <c r="G337" s="6">
        <v>46084.513888888891</v>
      </c>
      <c r="H337" s="6">
        <v>46084.520833333336</v>
      </c>
      <c r="I337">
        <v>1</v>
      </c>
      <c r="J337" s="6">
        <v>46084.527777777781</v>
      </c>
      <c r="K337" s="7">
        <f>C338-H337</f>
        <v>5.6249999994179234E-2</v>
      </c>
      <c r="L337">
        <f>HOUR(K337)</f>
        <v>1</v>
      </c>
      <c r="M337">
        <f>MINUTE(K337)</f>
        <v>21</v>
      </c>
      <c r="N337">
        <f>L337*60+M337</f>
        <v>81</v>
      </c>
    </row>
    <row r="338" spans="2:14" hidden="1" x14ac:dyDescent="0.25">
      <c r="B338" t="s">
        <v>30</v>
      </c>
      <c r="C338" s="6">
        <v>46084.57708333333</v>
      </c>
      <c r="D338" s="6">
        <v>46084.583333333336</v>
      </c>
      <c r="E338" s="6">
        <v>46084.611111111109</v>
      </c>
      <c r="F338" s="6">
        <v>46084.645833333336</v>
      </c>
      <c r="G338" s="6">
        <v>46084.666666666664</v>
      </c>
      <c r="H338" s="6">
        <v>46084.722222222219</v>
      </c>
      <c r="I338">
        <v>3.48</v>
      </c>
      <c r="J338" s="6">
        <v>46084.729166666664</v>
      </c>
      <c r="K338" s="7">
        <f>C339-H338</f>
        <v>-0.11111111110949423</v>
      </c>
      <c r="L338" t="e">
        <f>HOUR(K338)</f>
        <v>#NUM!</v>
      </c>
      <c r="M338" t="e">
        <f>MINUTE(K338)</f>
        <v>#NUM!</v>
      </c>
      <c r="N338" t="e">
        <f>L338*60+M338</f>
        <v>#NUM!</v>
      </c>
    </row>
    <row r="339" spans="2:14" x14ac:dyDescent="0.25">
      <c r="B339" t="s">
        <v>30</v>
      </c>
      <c r="C339" s="6">
        <v>46084.611111111109</v>
      </c>
      <c r="D339" s="6">
        <v>46084.625</v>
      </c>
      <c r="E339" s="6">
        <v>46084.666666666664</v>
      </c>
      <c r="F339" s="6">
        <v>46084.673611111109</v>
      </c>
      <c r="G339" s="6">
        <v>46084.680555555555</v>
      </c>
      <c r="H339" s="6">
        <v>46084.6875</v>
      </c>
      <c r="I339">
        <v>1.83</v>
      </c>
      <c r="J339" s="6">
        <v>46084.694444444445</v>
      </c>
      <c r="K339" s="7">
        <f>C340-H339</f>
        <v>1.0416666664241347E-2</v>
      </c>
      <c r="L339">
        <f>HOUR(K339)</f>
        <v>0</v>
      </c>
      <c r="M339">
        <f>MINUTE(K339)</f>
        <v>15</v>
      </c>
      <c r="N339">
        <f>L339*60+M339</f>
        <v>15</v>
      </c>
    </row>
    <row r="340" spans="2:14" hidden="1" x14ac:dyDescent="0.25">
      <c r="B340" t="s">
        <v>30</v>
      </c>
      <c r="C340" s="6">
        <v>46084.697916666664</v>
      </c>
      <c r="D340" s="6">
        <v>46084.701388888891</v>
      </c>
      <c r="E340" s="6">
        <v>46084.729166666664</v>
      </c>
      <c r="F340" s="6">
        <v>46084.8125</v>
      </c>
      <c r="G340" s="6">
        <v>46084.819444444445</v>
      </c>
      <c r="H340" s="6">
        <v>46084.854166666664</v>
      </c>
      <c r="I340">
        <v>3.75</v>
      </c>
      <c r="J340" s="6">
        <v>46084.861111111109</v>
      </c>
      <c r="K340" s="7">
        <f>C341-H340</f>
        <v>0</v>
      </c>
      <c r="L340">
        <f>HOUR(K340)</f>
        <v>0</v>
      </c>
      <c r="M340">
        <f>MINUTE(K340)</f>
        <v>0</v>
      </c>
      <c r="N340">
        <f>L340*60+M340</f>
        <v>0</v>
      </c>
    </row>
    <row r="341" spans="2:14" hidden="1" x14ac:dyDescent="0.25">
      <c r="B341" t="s">
        <v>30</v>
      </c>
      <c r="C341" s="6">
        <v>46084.854166666664</v>
      </c>
      <c r="D341" s="6">
        <v>46084.864583333336</v>
      </c>
      <c r="E341" s="6">
        <v>46084.875</v>
      </c>
      <c r="F341" s="6">
        <v>46084.899305555555</v>
      </c>
      <c r="G341" s="6">
        <v>46084.90625</v>
      </c>
      <c r="H341" s="6">
        <v>46084.908333333333</v>
      </c>
      <c r="I341">
        <v>1.3</v>
      </c>
      <c r="J341" s="6">
        <v>46084.913194444445</v>
      </c>
      <c r="K341" s="7">
        <f>C342-H341</f>
        <v>-2.2916666668606922E-2</v>
      </c>
      <c r="L341" t="e">
        <f>HOUR(K341)</f>
        <v>#NUM!</v>
      </c>
      <c r="M341" t="e">
        <f>MINUTE(K341)</f>
        <v>#NUM!</v>
      </c>
      <c r="N341" t="e">
        <f>L341*60+M341</f>
        <v>#NUM!</v>
      </c>
    </row>
    <row r="342" spans="2:14" hidden="1" x14ac:dyDescent="0.25">
      <c r="B342" t="s">
        <v>30</v>
      </c>
      <c r="C342" s="6">
        <v>46084.885416666664</v>
      </c>
      <c r="D342" s="6">
        <v>46084.888888888891</v>
      </c>
      <c r="E342" s="6">
        <v>46084.895833333336</v>
      </c>
      <c r="F342" s="6">
        <v>46084.94027777778</v>
      </c>
      <c r="G342" s="6">
        <v>46084.947222222225</v>
      </c>
      <c r="H342" s="6">
        <v>46084.947916666664</v>
      </c>
      <c r="I342">
        <v>1.5</v>
      </c>
      <c r="J342" s="6">
        <v>46084.954861111109</v>
      </c>
      <c r="K342" s="7">
        <f>C343-H342</f>
        <v>-1.5972222223354038E-2</v>
      </c>
      <c r="L342" t="e">
        <f>HOUR(K342)</f>
        <v>#NUM!</v>
      </c>
      <c r="M342" t="e">
        <f>MINUTE(K342)</f>
        <v>#NUM!</v>
      </c>
      <c r="N342" t="e">
        <f>L342*60+M342</f>
        <v>#NUM!</v>
      </c>
    </row>
    <row r="343" spans="2:14" hidden="1" x14ac:dyDescent="0.25">
      <c r="B343" t="s">
        <v>30</v>
      </c>
      <c r="C343" s="6">
        <v>46084.931944444441</v>
      </c>
      <c r="D343" s="6">
        <v>46084.9375</v>
      </c>
      <c r="E343" s="6">
        <v>46084.965277777781</v>
      </c>
      <c r="F343" s="6">
        <v>46085.0625</v>
      </c>
      <c r="G343" s="6">
        <v>46085.069444444445</v>
      </c>
      <c r="H343" s="6">
        <v>46085.072916666664</v>
      </c>
      <c r="I343">
        <v>3.38</v>
      </c>
      <c r="J343" s="6">
        <v>46085.079861111109</v>
      </c>
      <c r="K343" s="7">
        <f>C344-H343</f>
        <v>-0.10763888888322981</v>
      </c>
      <c r="L343" t="e">
        <f>HOUR(K343)</f>
        <v>#NUM!</v>
      </c>
      <c r="M343" t="e">
        <f>MINUTE(K343)</f>
        <v>#NUM!</v>
      </c>
      <c r="N343" t="e">
        <f>L343*60+M343</f>
        <v>#NUM!</v>
      </c>
    </row>
    <row r="344" spans="2:14" x14ac:dyDescent="0.25">
      <c r="B344" t="s">
        <v>30</v>
      </c>
      <c r="C344" s="6">
        <v>46084.965277777781</v>
      </c>
      <c r="D344" s="6">
        <v>46084.972222222219</v>
      </c>
      <c r="E344" s="6">
        <v>46084.986111111109</v>
      </c>
      <c r="F344" s="6">
        <v>46085.025000000001</v>
      </c>
      <c r="G344" s="6">
        <v>46085.027777777781</v>
      </c>
      <c r="H344" s="6">
        <v>46085.03125</v>
      </c>
      <c r="I344">
        <v>1.58</v>
      </c>
      <c r="J344" s="6">
        <v>46085.038194444445</v>
      </c>
      <c r="K344" s="7">
        <f>C345-H344</f>
        <v>1.0416666664241347E-2</v>
      </c>
      <c r="L344">
        <f>HOUR(K344)</f>
        <v>0</v>
      </c>
      <c r="M344">
        <f>MINUTE(K344)</f>
        <v>15</v>
      </c>
      <c r="N344">
        <f>L344*60+M344</f>
        <v>15</v>
      </c>
    </row>
    <row r="345" spans="2:14" x14ac:dyDescent="0.25">
      <c r="B345" t="s">
        <v>30</v>
      </c>
      <c r="C345" s="6">
        <v>46085.041666666664</v>
      </c>
      <c r="D345" s="6">
        <v>46085.048611111109</v>
      </c>
      <c r="E345" s="6">
        <v>46085.0625</v>
      </c>
      <c r="F345" s="6">
        <v>46085.090277777781</v>
      </c>
      <c r="G345" s="6">
        <v>46085.097222222219</v>
      </c>
      <c r="H345" s="6">
        <v>46085.104166666664</v>
      </c>
      <c r="I345">
        <v>1.5</v>
      </c>
      <c r="J345" s="6">
        <v>46085.111111111109</v>
      </c>
      <c r="K345" s="7">
        <f>C346-H345</f>
        <v>6.9444444445252884E-2</v>
      </c>
      <c r="L345">
        <f>HOUR(K345)</f>
        <v>1</v>
      </c>
      <c r="M345">
        <f>MINUTE(K345)</f>
        <v>40</v>
      </c>
      <c r="N345">
        <f>L345*60+M345</f>
        <v>100</v>
      </c>
    </row>
    <row r="346" spans="2:14" hidden="1" x14ac:dyDescent="0.25">
      <c r="B346" t="s">
        <v>30</v>
      </c>
      <c r="C346" s="6">
        <v>46085.173611111109</v>
      </c>
      <c r="D346" s="6">
        <v>46085.177083333336</v>
      </c>
      <c r="E346" s="6">
        <v>46085.1875</v>
      </c>
      <c r="F346" s="6">
        <v>46085.28125</v>
      </c>
      <c r="G346" s="6">
        <v>46085.288194444445</v>
      </c>
      <c r="H346" s="6">
        <v>46085.371527777781</v>
      </c>
      <c r="I346">
        <v>4.75</v>
      </c>
      <c r="J346" s="6">
        <v>46085.37222222222</v>
      </c>
      <c r="K346" s="7">
        <f>C347-H346</f>
        <v>-7.9861111116770189E-2</v>
      </c>
      <c r="L346" t="e">
        <f>HOUR(K346)</f>
        <v>#NUM!</v>
      </c>
      <c r="M346" t="e">
        <f>MINUTE(K346)</f>
        <v>#NUM!</v>
      </c>
      <c r="N346" t="e">
        <f>L346*60+M346</f>
        <v>#NUM!</v>
      </c>
    </row>
    <row r="347" spans="2:14" hidden="1" x14ac:dyDescent="0.25">
      <c r="B347" t="s">
        <v>30</v>
      </c>
      <c r="C347" s="6">
        <v>46085.291666666664</v>
      </c>
      <c r="D347" s="6">
        <v>46085.333333333336</v>
      </c>
      <c r="E347" s="6">
        <v>46085.354166666664</v>
      </c>
      <c r="F347" s="6">
        <v>46085.451388888891</v>
      </c>
      <c r="G347" s="6">
        <v>46085.458333333336</v>
      </c>
      <c r="H347" s="6">
        <v>46085.465277777781</v>
      </c>
      <c r="I347">
        <v>4.17</v>
      </c>
      <c r="J347" s="6">
        <v>46085.472222222219</v>
      </c>
      <c r="K347" s="7">
        <f>C348-H347</f>
        <v>-4.8611111116770189E-2</v>
      </c>
      <c r="L347" t="e">
        <f>HOUR(K347)</f>
        <v>#NUM!</v>
      </c>
      <c r="M347" t="e">
        <f>MINUTE(K347)</f>
        <v>#NUM!</v>
      </c>
      <c r="N347" t="e">
        <f>L347*60+M347</f>
        <v>#NUM!</v>
      </c>
    </row>
    <row r="348" spans="2:14" x14ac:dyDescent="0.25">
      <c r="B348" t="s">
        <v>30</v>
      </c>
      <c r="C348" s="6">
        <v>46085.416666666664</v>
      </c>
      <c r="D348" s="6">
        <v>46085.430555555555</v>
      </c>
      <c r="E348" s="6">
        <v>46085.440972222219</v>
      </c>
      <c r="F348" s="6">
        <v>46085.468055555553</v>
      </c>
      <c r="G348" s="6">
        <v>46085.472222222219</v>
      </c>
      <c r="H348" s="6">
        <v>46085.472916666666</v>
      </c>
      <c r="I348">
        <v>1.35</v>
      </c>
      <c r="J348" s="6">
        <v>46085.478472222225</v>
      </c>
      <c r="K348" s="7">
        <f>C349-H348</f>
        <v>4.0972222224809229E-2</v>
      </c>
      <c r="L348">
        <f>HOUR(K348)</f>
        <v>0</v>
      </c>
      <c r="M348">
        <f>MINUTE(K348)</f>
        <v>59</v>
      </c>
      <c r="N348">
        <f>L348*60+M348</f>
        <v>59</v>
      </c>
    </row>
    <row r="349" spans="2:14" hidden="1" x14ac:dyDescent="0.25">
      <c r="B349" t="s">
        <v>30</v>
      </c>
      <c r="C349" s="6">
        <v>46085.513888888891</v>
      </c>
      <c r="D349" s="6">
        <v>46085.517361111109</v>
      </c>
      <c r="E349" s="6">
        <v>46085.541666666664</v>
      </c>
      <c r="F349" s="6">
        <v>46085.666666666664</v>
      </c>
      <c r="G349" s="6">
        <v>46085.673611111109</v>
      </c>
      <c r="H349" s="6">
        <v>46085.677083333336</v>
      </c>
      <c r="I349">
        <v>3.92</v>
      </c>
      <c r="J349" s="6">
        <v>46085.684027777781</v>
      </c>
      <c r="K349" s="7">
        <f>C350-H349</f>
        <v>-0.15625</v>
      </c>
      <c r="L349" t="e">
        <f>HOUR(K349)</f>
        <v>#NUM!</v>
      </c>
      <c r="M349" t="e">
        <f>MINUTE(K349)</f>
        <v>#NUM!</v>
      </c>
      <c r="N349" t="e">
        <f>L349*60+M349</f>
        <v>#NUM!</v>
      </c>
    </row>
    <row r="350" spans="2:14" x14ac:dyDescent="0.25">
      <c r="B350" t="s">
        <v>30</v>
      </c>
      <c r="C350" s="6">
        <v>46085.520833333336</v>
      </c>
      <c r="D350" s="6">
        <v>46085.53125</v>
      </c>
      <c r="E350" s="6">
        <v>46085.548611111109</v>
      </c>
      <c r="F350" s="6">
        <v>46085.565972222219</v>
      </c>
      <c r="G350" s="6">
        <v>46085.569444444445</v>
      </c>
      <c r="H350" s="6">
        <v>46085.573611111111</v>
      </c>
      <c r="I350">
        <v>1.27</v>
      </c>
      <c r="J350" s="6">
        <v>46085.580555555556</v>
      </c>
      <c r="K350" s="7">
        <f>C351-H350</f>
        <v>7.2222222224809229E-2</v>
      </c>
      <c r="L350">
        <f>HOUR(K350)</f>
        <v>1</v>
      </c>
      <c r="M350">
        <f>MINUTE(K350)</f>
        <v>44</v>
      </c>
      <c r="N350">
        <f>L350*60+M350</f>
        <v>104</v>
      </c>
    </row>
    <row r="351" spans="2:14" x14ac:dyDescent="0.25">
      <c r="B351" t="s">
        <v>30</v>
      </c>
      <c r="C351" s="6">
        <v>46085.645833333336</v>
      </c>
      <c r="D351" s="6">
        <v>46085.652777777781</v>
      </c>
      <c r="E351" s="6">
        <v>46085.669444444444</v>
      </c>
      <c r="F351" s="6">
        <v>46085.680555555555</v>
      </c>
      <c r="G351" s="6">
        <v>46085.684027777781</v>
      </c>
      <c r="H351" s="6">
        <v>46085.686805555553</v>
      </c>
      <c r="I351">
        <v>0.98</v>
      </c>
      <c r="J351" s="6">
        <v>46085.693749999999</v>
      </c>
      <c r="K351" s="7">
        <f>C352-H351</f>
        <v>0.28888888889196096</v>
      </c>
      <c r="L351">
        <f>HOUR(K351)</f>
        <v>6</v>
      </c>
      <c r="M351">
        <f>MINUTE(K351)</f>
        <v>56</v>
      </c>
      <c r="N351">
        <f>L351*60+M351</f>
        <v>416</v>
      </c>
    </row>
    <row r="352" spans="2:14" x14ac:dyDescent="0.25">
      <c r="B352" t="s">
        <v>30</v>
      </c>
      <c r="C352" s="6">
        <v>46085.975694444445</v>
      </c>
      <c r="D352" s="6">
        <v>46085.979166666664</v>
      </c>
      <c r="E352" s="6">
        <v>46085.993055555555</v>
      </c>
      <c r="F352" s="6">
        <v>46086.03125</v>
      </c>
      <c r="G352" s="6">
        <v>46086.034722222219</v>
      </c>
      <c r="H352" s="6">
        <v>46086.038194444445</v>
      </c>
      <c r="I352">
        <v>1.5</v>
      </c>
      <c r="J352" s="6">
        <v>46086.041666666664</v>
      </c>
      <c r="K352" s="7">
        <f>C353-H352</f>
        <v>0.29513888889050577</v>
      </c>
      <c r="L352">
        <f>HOUR(K352)</f>
        <v>7</v>
      </c>
      <c r="M352">
        <f>MINUTE(K352)</f>
        <v>5</v>
      </c>
      <c r="N352">
        <f>L352*60+M352</f>
        <v>425</v>
      </c>
    </row>
    <row r="353" spans="2:14" x14ac:dyDescent="0.25">
      <c r="B353" t="s">
        <v>30</v>
      </c>
      <c r="C353" s="6">
        <v>46086.333333333336</v>
      </c>
      <c r="D353" s="6">
        <v>46086.34375</v>
      </c>
      <c r="E353" s="6">
        <v>46086.368055555555</v>
      </c>
      <c r="F353" s="6">
        <v>46086.388888888891</v>
      </c>
      <c r="G353" s="6">
        <v>46086.395833333336</v>
      </c>
      <c r="H353" s="6">
        <v>46086.40902777778</v>
      </c>
      <c r="I353">
        <v>1.82</v>
      </c>
      <c r="J353" s="6">
        <v>46086.415972222225</v>
      </c>
      <c r="K353" s="7">
        <f>C354-H353</f>
        <v>6.3194444439432118E-2</v>
      </c>
      <c r="L353">
        <f>HOUR(K353)</f>
        <v>1</v>
      </c>
      <c r="M353">
        <f>MINUTE(K353)</f>
        <v>31</v>
      </c>
      <c r="N353">
        <f>L353*60+M353</f>
        <v>91</v>
      </c>
    </row>
    <row r="354" spans="2:14" x14ac:dyDescent="0.25">
      <c r="B354" t="s">
        <v>30</v>
      </c>
      <c r="C354" s="6">
        <v>46086.472222222219</v>
      </c>
      <c r="D354" s="6">
        <v>46086.479166666664</v>
      </c>
      <c r="E354" s="6">
        <v>46086.493055555555</v>
      </c>
      <c r="F354" s="6">
        <v>46086.53125</v>
      </c>
      <c r="G354" s="6">
        <v>46086.538194444445</v>
      </c>
      <c r="H354" s="6">
        <v>46086.541666666664</v>
      </c>
      <c r="I354">
        <v>1.67</v>
      </c>
      <c r="J354" s="6">
        <v>46086.548611111109</v>
      </c>
      <c r="K354" s="7">
        <f>C355-H354</f>
        <v>3.8194444445252884E-2</v>
      </c>
      <c r="L354">
        <f>HOUR(K354)</f>
        <v>0</v>
      </c>
      <c r="M354">
        <f>MINUTE(K354)</f>
        <v>55</v>
      </c>
      <c r="N354">
        <f>L354*60+M354</f>
        <v>55</v>
      </c>
    </row>
    <row r="355" spans="2:14" hidden="1" x14ac:dyDescent="0.25">
      <c r="B355" t="s">
        <v>30</v>
      </c>
      <c r="C355" s="6">
        <v>46086.579861111109</v>
      </c>
      <c r="D355" s="6">
        <v>46086.586805555555</v>
      </c>
      <c r="E355" s="6">
        <v>46086.611111111109</v>
      </c>
      <c r="F355" s="6">
        <v>46086.723611111112</v>
      </c>
      <c r="G355" s="6">
        <v>46086.730555555558</v>
      </c>
      <c r="H355" s="6">
        <v>46086.732638888891</v>
      </c>
      <c r="I355">
        <v>3.67</v>
      </c>
      <c r="J355" s="6">
        <v>46086.739583333336</v>
      </c>
      <c r="K355" s="7">
        <f>C356-H355</f>
        <v>-9.375E-2</v>
      </c>
      <c r="L355" t="e">
        <f>HOUR(K355)</f>
        <v>#NUM!</v>
      </c>
      <c r="M355" t="e">
        <f>MINUTE(K355)</f>
        <v>#NUM!</v>
      </c>
      <c r="N355" t="e">
        <f>L355*60+M355</f>
        <v>#NUM!</v>
      </c>
    </row>
    <row r="356" spans="2:14" x14ac:dyDescent="0.25">
      <c r="B356" t="s">
        <v>30</v>
      </c>
      <c r="C356" s="6">
        <v>46086.638888888891</v>
      </c>
      <c r="D356" s="6">
        <v>46086.642361111109</v>
      </c>
      <c r="E356" s="6">
        <v>46086.652777777781</v>
      </c>
      <c r="F356" s="6">
        <v>46086.6875</v>
      </c>
      <c r="G356" s="6">
        <v>46086.692361111112</v>
      </c>
      <c r="H356" s="6">
        <v>46086.708333333336</v>
      </c>
      <c r="I356">
        <v>1.67</v>
      </c>
      <c r="J356" s="6">
        <v>46086.713888888888</v>
      </c>
      <c r="K356" s="7">
        <f>C357-H356</f>
        <v>4.9999999995634425E-2</v>
      </c>
      <c r="L356">
        <f>HOUR(K356)</f>
        <v>1</v>
      </c>
      <c r="M356">
        <f>MINUTE(K356)</f>
        <v>12</v>
      </c>
      <c r="N356">
        <f>L356*60+M356</f>
        <v>72</v>
      </c>
    </row>
    <row r="357" spans="2:14" x14ac:dyDescent="0.25">
      <c r="B357" t="s">
        <v>30</v>
      </c>
      <c r="C357" s="6">
        <v>46086.758333333331</v>
      </c>
      <c r="D357" s="6">
        <v>46086.767361111109</v>
      </c>
      <c r="E357" s="6">
        <v>46086.770833333336</v>
      </c>
      <c r="F357" s="6">
        <v>46086.791666666664</v>
      </c>
      <c r="G357" s="6">
        <v>46086.798611111109</v>
      </c>
      <c r="H357" s="6">
        <v>46086.802083333336</v>
      </c>
      <c r="I357">
        <v>1.05</v>
      </c>
      <c r="J357" s="6">
        <v>46086.809027777781</v>
      </c>
      <c r="K357" s="7">
        <f>C358-H357</f>
        <v>6.5972222218988463E-2</v>
      </c>
      <c r="L357">
        <f>HOUR(K357)</f>
        <v>1</v>
      </c>
      <c r="M357">
        <f>MINUTE(K357)</f>
        <v>35</v>
      </c>
      <c r="N357">
        <f>L357*60+M357</f>
        <v>95</v>
      </c>
    </row>
    <row r="358" spans="2:14" x14ac:dyDescent="0.25">
      <c r="B358" t="s">
        <v>30</v>
      </c>
      <c r="C358" s="6">
        <v>46086.868055555555</v>
      </c>
      <c r="D358" s="6">
        <v>46086.881944444445</v>
      </c>
      <c r="E358" s="6">
        <v>46086.902777777781</v>
      </c>
      <c r="F358" s="6">
        <v>46086.949305555558</v>
      </c>
      <c r="G358" s="6">
        <v>46086.95</v>
      </c>
      <c r="H358" s="6">
        <v>46086.950694444444</v>
      </c>
      <c r="I358">
        <v>1.98</v>
      </c>
      <c r="J358" s="6">
        <v>46086.951388888891</v>
      </c>
      <c r="K358" s="7">
        <f>C359-H358</f>
        <v>2.2916666668606922E-2</v>
      </c>
      <c r="L358">
        <f>HOUR(K358)</f>
        <v>0</v>
      </c>
      <c r="M358">
        <f>MINUTE(K358)</f>
        <v>33</v>
      </c>
      <c r="N358">
        <f>L358*60+M358</f>
        <v>33</v>
      </c>
    </row>
    <row r="359" spans="2:14" hidden="1" x14ac:dyDescent="0.25">
      <c r="B359" t="s">
        <v>30</v>
      </c>
      <c r="C359" s="6">
        <v>46086.973611111112</v>
      </c>
      <c r="D359" s="6">
        <v>46086.974305555559</v>
      </c>
      <c r="E359" s="6">
        <v>46086.986111111109</v>
      </c>
      <c r="F359" s="6">
        <v>46087</v>
      </c>
      <c r="G359" s="6">
        <v>46087.006944444445</v>
      </c>
      <c r="H359" s="6">
        <v>46087.009027777778</v>
      </c>
      <c r="I359">
        <v>0.85</v>
      </c>
      <c r="J359" s="6">
        <v>46087.010416666664</v>
      </c>
      <c r="K359" s="7">
        <f>C360-H359</f>
        <v>4.8611111124046147E-3</v>
      </c>
      <c r="L359">
        <f>HOUR(K359)</f>
        <v>0</v>
      </c>
      <c r="M359">
        <f>MINUTE(K359)</f>
        <v>7</v>
      </c>
      <c r="N359">
        <f>L359*60+M359</f>
        <v>7</v>
      </c>
    </row>
    <row r="360" spans="2:14" x14ac:dyDescent="0.25">
      <c r="B360" t="s">
        <v>30</v>
      </c>
      <c r="C360" s="6">
        <v>46087.013888888891</v>
      </c>
      <c r="D360" s="6">
        <v>46087.020833333336</v>
      </c>
      <c r="E360" s="6">
        <v>46087.03125</v>
      </c>
      <c r="F360" s="6">
        <v>46087.076388888891</v>
      </c>
      <c r="G360" s="6">
        <v>46087.078472222223</v>
      </c>
      <c r="H360" s="6">
        <v>46087.081250000003</v>
      </c>
      <c r="I360">
        <v>1.62</v>
      </c>
      <c r="J360" s="6">
        <v>46087.083333333336</v>
      </c>
      <c r="K360" s="7">
        <f>C361-H360</f>
        <v>0.21041666666133096</v>
      </c>
      <c r="L360">
        <f>HOUR(K360)</f>
        <v>5</v>
      </c>
      <c r="M360">
        <f>MINUTE(K360)</f>
        <v>3</v>
      </c>
      <c r="N360">
        <f>L360*60+M360</f>
        <v>303</v>
      </c>
    </row>
    <row r="361" spans="2:14" hidden="1" x14ac:dyDescent="0.25">
      <c r="B361" t="s">
        <v>30</v>
      </c>
      <c r="C361" s="6">
        <v>46087.291666666664</v>
      </c>
      <c r="D361" s="6">
        <v>46087.322916666664</v>
      </c>
      <c r="E361" s="6">
        <v>46087.340277777781</v>
      </c>
      <c r="F361" s="6">
        <v>46087.40625</v>
      </c>
      <c r="G361" s="6">
        <v>46087.413194444445</v>
      </c>
      <c r="H361" s="6">
        <v>46087.416666666664</v>
      </c>
      <c r="I361">
        <v>3</v>
      </c>
      <c r="J361" s="6">
        <v>46087.423611111109</v>
      </c>
      <c r="K361" s="7">
        <f>C362-H361</f>
        <v>-9.375E-2</v>
      </c>
      <c r="L361" t="e">
        <f>HOUR(K361)</f>
        <v>#NUM!</v>
      </c>
      <c r="M361" t="e">
        <f>MINUTE(K361)</f>
        <v>#NUM!</v>
      </c>
      <c r="N361" t="e">
        <f>L361*60+M361</f>
        <v>#NUM!</v>
      </c>
    </row>
    <row r="362" spans="2:14" hidden="1" x14ac:dyDescent="0.25">
      <c r="B362" t="s">
        <v>30</v>
      </c>
      <c r="C362" s="6">
        <v>46087.322916666664</v>
      </c>
      <c r="D362" s="6">
        <v>46087.329861111109</v>
      </c>
      <c r="E362" s="6">
        <v>46087.395833333336</v>
      </c>
      <c r="F362" s="6">
        <v>46087.488888888889</v>
      </c>
      <c r="G362" s="6">
        <v>46087.495833333334</v>
      </c>
      <c r="H362" s="6">
        <v>46087.506944444445</v>
      </c>
      <c r="I362">
        <v>4.42</v>
      </c>
      <c r="J362" s="6">
        <v>46087.513888888891</v>
      </c>
      <c r="K362" s="7">
        <f>C363-H362</f>
        <v>-5.2083333335758653E-2</v>
      </c>
      <c r="L362" t="e">
        <f>HOUR(K362)</f>
        <v>#NUM!</v>
      </c>
      <c r="M362" t="e">
        <f>MINUTE(K362)</f>
        <v>#NUM!</v>
      </c>
      <c r="N362" t="e">
        <f>L362*60+M362</f>
        <v>#NUM!</v>
      </c>
    </row>
    <row r="363" spans="2:14" x14ac:dyDescent="0.25">
      <c r="B363" t="s">
        <v>30</v>
      </c>
      <c r="C363" s="6">
        <v>46087.454861111109</v>
      </c>
      <c r="D363" s="6">
        <v>46087.465277777781</v>
      </c>
      <c r="E363" s="6">
        <v>46087.493055555555</v>
      </c>
      <c r="F363" s="6">
        <v>46087.538194444445</v>
      </c>
      <c r="G363" s="6">
        <v>46087.548611111109</v>
      </c>
      <c r="H363" s="6">
        <v>46087.549305555556</v>
      </c>
      <c r="I363">
        <v>2.27</v>
      </c>
      <c r="J363" s="6">
        <v>46087.55</v>
      </c>
      <c r="K363" s="7">
        <f>C364-H363</f>
        <v>0.23194444444379769</v>
      </c>
      <c r="L363">
        <f>HOUR(K363)</f>
        <v>5</v>
      </c>
      <c r="M363">
        <f>MINUTE(K363)</f>
        <v>34</v>
      </c>
      <c r="N363">
        <f>L363*60+M363</f>
        <v>334</v>
      </c>
    </row>
    <row r="364" spans="2:14" x14ac:dyDescent="0.25">
      <c r="B364" t="s">
        <v>30</v>
      </c>
      <c r="C364" s="6">
        <v>46087.78125</v>
      </c>
      <c r="D364" s="6">
        <v>46087.784722222219</v>
      </c>
      <c r="E364" s="6">
        <v>46087.791666666664</v>
      </c>
      <c r="F364" s="6">
        <v>46087.798611111109</v>
      </c>
      <c r="G364" s="6">
        <v>46087.815972222219</v>
      </c>
      <c r="H364" s="6">
        <v>46087.819444444445</v>
      </c>
      <c r="I364">
        <v>0.92</v>
      </c>
      <c r="J364" s="6">
        <v>46087.822916666664</v>
      </c>
      <c r="K364" s="7">
        <f>C365-H364</f>
        <v>0.61388888888905058</v>
      </c>
      <c r="L364">
        <f>HOUR(K364)</f>
        <v>14</v>
      </c>
      <c r="M364">
        <f>MINUTE(K364)</f>
        <v>44</v>
      </c>
      <c r="N364">
        <f>L364*60+M364</f>
        <v>884</v>
      </c>
    </row>
    <row r="365" spans="2:14" hidden="1" x14ac:dyDescent="0.25">
      <c r="B365" t="s">
        <v>30</v>
      </c>
      <c r="C365" s="6">
        <v>46088.433333333334</v>
      </c>
      <c r="D365" s="6">
        <v>46088.444444444445</v>
      </c>
      <c r="E365" s="6">
        <v>46088.458333333336</v>
      </c>
      <c r="F365" s="6">
        <v>46088.529861111114</v>
      </c>
      <c r="G365" s="6">
        <v>46088.536805555559</v>
      </c>
      <c r="H365" s="6">
        <v>46088.548611111109</v>
      </c>
      <c r="I365">
        <v>2.77</v>
      </c>
      <c r="J365" s="6">
        <v>46088.555555555555</v>
      </c>
      <c r="K365" s="7">
        <f>C366-H365</f>
        <v>-8.6805555554747116E-2</v>
      </c>
      <c r="L365" t="e">
        <f>HOUR(K365)</f>
        <v>#NUM!</v>
      </c>
      <c r="M365" t="e">
        <f>MINUTE(K365)</f>
        <v>#NUM!</v>
      </c>
      <c r="N365" t="e">
        <f>L365*60+M365</f>
        <v>#NUM!</v>
      </c>
    </row>
    <row r="366" spans="2:14" x14ac:dyDescent="0.25">
      <c r="B366" t="s">
        <v>30</v>
      </c>
      <c r="C366" s="6">
        <v>46088.461805555555</v>
      </c>
      <c r="D366" s="6">
        <v>46088.462500000001</v>
      </c>
      <c r="E366" s="6">
        <v>46088.482638888891</v>
      </c>
      <c r="F366" s="6">
        <v>46088.586805555555</v>
      </c>
      <c r="G366" s="6">
        <v>46088.611111111109</v>
      </c>
      <c r="H366" s="6">
        <v>46088.611805555556</v>
      </c>
      <c r="I366">
        <v>3.6</v>
      </c>
      <c r="J366" s="6">
        <v>46088.618750000001</v>
      </c>
      <c r="K366" s="7">
        <f>C367-H366</f>
        <v>6.8749999998544808E-2</v>
      </c>
      <c r="L366">
        <f>HOUR(K366)</f>
        <v>1</v>
      </c>
      <c r="M366">
        <f>MINUTE(K366)</f>
        <v>39</v>
      </c>
      <c r="N366">
        <f>L366*60+M366</f>
        <v>99</v>
      </c>
    </row>
    <row r="367" spans="2:14" hidden="1" x14ac:dyDescent="0.25">
      <c r="B367" t="s">
        <v>30</v>
      </c>
      <c r="C367" s="6">
        <v>46088.680555555555</v>
      </c>
      <c r="D367" s="6">
        <v>46088.6875</v>
      </c>
      <c r="E367" s="6">
        <v>46088.689583333333</v>
      </c>
      <c r="F367" s="6">
        <v>46088.694444444445</v>
      </c>
      <c r="G367" s="6">
        <v>46088.701388888891</v>
      </c>
      <c r="H367" s="6">
        <v>46088.704861111109</v>
      </c>
      <c r="I367">
        <v>0.57999999999999996</v>
      </c>
      <c r="J367" s="6">
        <v>46088.708333333336</v>
      </c>
      <c r="K367" s="7">
        <f>C368-H367</f>
        <v>-3.4722222189884633E-3</v>
      </c>
      <c r="L367" t="e">
        <f>HOUR(K367)</f>
        <v>#NUM!</v>
      </c>
      <c r="M367" t="e">
        <f>MINUTE(K367)</f>
        <v>#NUM!</v>
      </c>
      <c r="N367" t="e">
        <f>L367*60+M367</f>
        <v>#NUM!</v>
      </c>
    </row>
    <row r="368" spans="2:14" x14ac:dyDescent="0.25">
      <c r="B368" t="s">
        <v>30</v>
      </c>
      <c r="C368" s="6">
        <v>46088.701388888891</v>
      </c>
      <c r="D368" s="6">
        <v>46088.71875</v>
      </c>
      <c r="E368" s="6">
        <v>46088.739583333336</v>
      </c>
      <c r="F368" s="6">
        <v>46088.78125</v>
      </c>
      <c r="G368" s="6">
        <v>46088.784722222219</v>
      </c>
      <c r="H368" s="6">
        <v>46088.791666666664</v>
      </c>
      <c r="I368">
        <v>2.17</v>
      </c>
      <c r="J368" s="6">
        <v>46088.798611111109</v>
      </c>
      <c r="K368" s="7">
        <f>C369-H368</f>
        <v>4.8611111116770189E-2</v>
      </c>
      <c r="L368">
        <f>HOUR(K368)</f>
        <v>1</v>
      </c>
      <c r="M368">
        <f>MINUTE(K368)</f>
        <v>10</v>
      </c>
      <c r="N368">
        <f>L368*60+M368</f>
        <v>70</v>
      </c>
    </row>
    <row r="369" spans="2:14" hidden="1" x14ac:dyDescent="0.25">
      <c r="B369" t="s">
        <v>30</v>
      </c>
      <c r="C369" s="6">
        <v>46088.840277777781</v>
      </c>
      <c r="D369" s="6">
        <v>46088.854166666664</v>
      </c>
      <c r="E369" s="6">
        <v>46088.857638888891</v>
      </c>
      <c r="F369" s="6">
        <v>46088.870833333334</v>
      </c>
      <c r="G369" s="6">
        <v>46088.875</v>
      </c>
      <c r="H369" s="6">
        <v>46088.880555555559</v>
      </c>
      <c r="I369">
        <v>0.97</v>
      </c>
      <c r="J369" s="6">
        <v>46088.881944444445</v>
      </c>
      <c r="K369" s="7">
        <f>C370-H369</f>
        <v>-1.9444444449618459E-2</v>
      </c>
      <c r="L369" t="e">
        <f>HOUR(K369)</f>
        <v>#NUM!</v>
      </c>
      <c r="M369" t="e">
        <f>MINUTE(K369)</f>
        <v>#NUM!</v>
      </c>
      <c r="N369" t="e">
        <f>L369*60+M369</f>
        <v>#NUM!</v>
      </c>
    </row>
    <row r="370" spans="2:14" x14ac:dyDescent="0.25">
      <c r="B370" t="s">
        <v>30</v>
      </c>
      <c r="C370" s="6">
        <v>46088.861111111109</v>
      </c>
      <c r="D370" s="6">
        <v>46088.868055555555</v>
      </c>
      <c r="E370" s="6">
        <v>46088.875</v>
      </c>
      <c r="F370" s="6">
        <v>46088.895833333336</v>
      </c>
      <c r="G370" s="6">
        <v>46088.899305555555</v>
      </c>
      <c r="H370" s="6">
        <v>46088.902777777781</v>
      </c>
      <c r="I370">
        <v>1</v>
      </c>
      <c r="J370" s="6">
        <v>46088.904166666667</v>
      </c>
      <c r="K370" s="7">
        <f>C371-H370</f>
        <v>5.5555555554747116E-2</v>
      </c>
      <c r="L370">
        <f>HOUR(K370)</f>
        <v>1</v>
      </c>
      <c r="M370">
        <f>MINUTE(K370)</f>
        <v>20</v>
      </c>
      <c r="N370">
        <f>L370*60+M370</f>
        <v>80</v>
      </c>
    </row>
    <row r="371" spans="2:14" x14ac:dyDescent="0.25">
      <c r="B371" t="s">
        <v>30</v>
      </c>
      <c r="C371" s="6">
        <v>46088.958333333336</v>
      </c>
      <c r="D371" s="6">
        <v>46088.96875</v>
      </c>
      <c r="E371" s="6">
        <v>46088.979166666664</v>
      </c>
      <c r="F371" s="6">
        <v>46089.0625</v>
      </c>
      <c r="G371" s="6">
        <v>46089.069444444445</v>
      </c>
      <c r="H371" s="6">
        <v>46089.083333333336</v>
      </c>
      <c r="I371">
        <v>3</v>
      </c>
      <c r="J371" s="6">
        <v>46089.090277777781</v>
      </c>
      <c r="K371" s="7">
        <f>C372-H371</f>
        <v>0.26041666666424135</v>
      </c>
      <c r="L371">
        <f>HOUR(K371)</f>
        <v>6</v>
      </c>
      <c r="M371">
        <f>MINUTE(K371)</f>
        <v>15</v>
      </c>
      <c r="N371">
        <f>L371*60+M371</f>
        <v>375</v>
      </c>
    </row>
    <row r="372" spans="2:14" x14ac:dyDescent="0.25">
      <c r="B372" t="s">
        <v>30</v>
      </c>
      <c r="C372" s="6">
        <v>46089.34375</v>
      </c>
      <c r="D372" s="6">
        <v>46089.357638888891</v>
      </c>
      <c r="E372" s="6">
        <v>46089.375</v>
      </c>
      <c r="F372" s="6">
        <v>46089.506944444445</v>
      </c>
      <c r="G372" s="6">
        <v>46089.513888888891</v>
      </c>
      <c r="H372" s="6">
        <v>46090.006944444445</v>
      </c>
      <c r="I372">
        <v>15.92</v>
      </c>
      <c r="J372" s="6">
        <v>46090.013888888891</v>
      </c>
      <c r="K372" s="7">
        <f>C373-H372</f>
        <v>0.44652777777810115</v>
      </c>
      <c r="L372">
        <f>HOUR(K372)</f>
        <v>10</v>
      </c>
      <c r="M372">
        <f>MINUTE(K372)</f>
        <v>43</v>
      </c>
      <c r="N372">
        <f>L372*60+M372</f>
        <v>643</v>
      </c>
    </row>
    <row r="373" spans="2:14" x14ac:dyDescent="0.25">
      <c r="B373" t="s">
        <v>30</v>
      </c>
      <c r="C373" s="6">
        <v>46090.453472222223</v>
      </c>
      <c r="D373" s="6">
        <v>46090.461805555555</v>
      </c>
      <c r="E373" s="6">
        <v>46090.472222222219</v>
      </c>
      <c r="F373" s="6">
        <v>46090.559027777781</v>
      </c>
      <c r="G373" s="6">
        <v>46090.569444444445</v>
      </c>
      <c r="H373" s="6">
        <v>46090.570138888892</v>
      </c>
      <c r="I373">
        <v>2.8</v>
      </c>
      <c r="J373" s="6">
        <v>46090.570833333331</v>
      </c>
      <c r="K373" s="7">
        <f>C374-H373</f>
        <v>5.1388888889050577E-2</v>
      </c>
      <c r="L373">
        <f>HOUR(K373)</f>
        <v>1</v>
      </c>
      <c r="M373">
        <f>MINUTE(K373)</f>
        <v>14</v>
      </c>
      <c r="N373">
        <f>L373*60+M373</f>
        <v>74</v>
      </c>
    </row>
    <row r="374" spans="2:14" hidden="1" x14ac:dyDescent="0.25">
      <c r="B374" t="s">
        <v>30</v>
      </c>
      <c r="C374" s="6">
        <v>46090.621527777781</v>
      </c>
      <c r="D374" s="6">
        <v>46090.635416666664</v>
      </c>
      <c r="E374" s="6">
        <v>46090.645833333336</v>
      </c>
      <c r="F374" s="6">
        <v>46090.666666666664</v>
      </c>
      <c r="G374" s="6">
        <v>46090.670138888891</v>
      </c>
      <c r="H374" s="6">
        <v>46090.6875</v>
      </c>
      <c r="I374">
        <v>1.58</v>
      </c>
      <c r="J374" s="6">
        <v>46090.690972222219</v>
      </c>
      <c r="K374" s="7">
        <f>C375-H374</f>
        <v>-3.4722222189884633E-3</v>
      </c>
      <c r="L374" t="e">
        <f>HOUR(K374)</f>
        <v>#NUM!</v>
      </c>
      <c r="M374" t="e">
        <f>MINUTE(K374)</f>
        <v>#NUM!</v>
      </c>
      <c r="N374" t="e">
        <f>L374*60+M374</f>
        <v>#NUM!</v>
      </c>
    </row>
    <row r="375" spans="2:14" hidden="1" x14ac:dyDescent="0.25">
      <c r="B375" t="s">
        <v>30</v>
      </c>
      <c r="C375" s="6">
        <v>46090.684027777781</v>
      </c>
      <c r="D375" s="6">
        <v>46090.694444444445</v>
      </c>
      <c r="E375" s="6">
        <v>46090.715277777781</v>
      </c>
      <c r="F375" s="6">
        <v>46090.725694444445</v>
      </c>
      <c r="G375" s="6">
        <v>46090.739583333336</v>
      </c>
      <c r="H375" s="6">
        <v>46090.746527777781</v>
      </c>
      <c r="I375">
        <v>1.5</v>
      </c>
      <c r="J375" s="6">
        <v>46090.74722222222</v>
      </c>
      <c r="K375" s="7">
        <f>C376-H375</f>
        <v>-2.0833333335758653E-2</v>
      </c>
      <c r="L375" t="e">
        <f>HOUR(K375)</f>
        <v>#NUM!</v>
      </c>
      <c r="M375" t="e">
        <f>MINUTE(K375)</f>
        <v>#NUM!</v>
      </c>
      <c r="N375" t="e">
        <f>L375*60+M375</f>
        <v>#NUM!</v>
      </c>
    </row>
    <row r="376" spans="2:14" x14ac:dyDescent="0.25">
      <c r="B376" t="s">
        <v>30</v>
      </c>
      <c r="C376" s="6">
        <v>46090.725694444445</v>
      </c>
      <c r="D376" s="6">
        <v>46090.736111111109</v>
      </c>
      <c r="E376" s="6">
        <v>46090.743055555555</v>
      </c>
      <c r="F376" s="6">
        <v>46090.761805555558</v>
      </c>
      <c r="G376" s="6">
        <v>46090.763888888891</v>
      </c>
      <c r="H376" s="6">
        <v>46090.770833333336</v>
      </c>
      <c r="I376">
        <v>1.08</v>
      </c>
      <c r="J376" s="6">
        <v>46090.777777777781</v>
      </c>
      <c r="K376" s="7">
        <f>C377-H376</f>
        <v>5.5555555554747116E-2</v>
      </c>
      <c r="L376">
        <f>HOUR(K376)</f>
        <v>1</v>
      </c>
      <c r="M376">
        <f>MINUTE(K376)</f>
        <v>20</v>
      </c>
      <c r="N376">
        <f>L376*60+M376</f>
        <v>80</v>
      </c>
    </row>
    <row r="377" spans="2:14" x14ac:dyDescent="0.25">
      <c r="B377" t="s">
        <v>30</v>
      </c>
      <c r="C377" s="6">
        <v>46090.826388888891</v>
      </c>
      <c r="D377" s="6">
        <v>46090.833333333336</v>
      </c>
      <c r="E377" s="6">
        <v>46090.840277777781</v>
      </c>
      <c r="F377" s="6">
        <v>46090.869444444441</v>
      </c>
      <c r="G377" s="6">
        <v>46090.876388888886</v>
      </c>
      <c r="H377" s="6">
        <v>46090.885416666664</v>
      </c>
      <c r="I377">
        <v>1.42</v>
      </c>
      <c r="J377" s="6">
        <v>46090.892361111109</v>
      </c>
      <c r="K377" s="7">
        <f>C378-H377</f>
        <v>0.40625</v>
      </c>
      <c r="L377">
        <f>HOUR(K377)</f>
        <v>9</v>
      </c>
      <c r="M377">
        <f>MINUTE(K377)</f>
        <v>45</v>
      </c>
      <c r="N377">
        <f>L377*60+M377</f>
        <v>585</v>
      </c>
    </row>
    <row r="378" spans="2:14" hidden="1" x14ac:dyDescent="0.25">
      <c r="B378" t="s">
        <v>30</v>
      </c>
      <c r="C378" s="6">
        <v>46091.291666666664</v>
      </c>
      <c r="D378" s="6">
        <v>46091.298611111109</v>
      </c>
      <c r="E378" s="6">
        <v>46091.305555555555</v>
      </c>
      <c r="F378" s="6">
        <v>46091.326388888891</v>
      </c>
      <c r="G378" s="6">
        <v>46091.32708333333</v>
      </c>
      <c r="H378" s="6">
        <v>46091.327777777777</v>
      </c>
      <c r="I378">
        <v>0.87</v>
      </c>
      <c r="J378" s="6">
        <v>46091.328472222223</v>
      </c>
      <c r="K378" s="7">
        <f>C379-H378</f>
        <v>-3.6111111112404615E-2</v>
      </c>
      <c r="L378" t="e">
        <f>HOUR(K378)</f>
        <v>#NUM!</v>
      </c>
      <c r="M378" t="e">
        <f>MINUTE(K378)</f>
        <v>#NUM!</v>
      </c>
      <c r="N378" t="e">
        <f>L378*60+M378</f>
        <v>#NUM!</v>
      </c>
    </row>
    <row r="379" spans="2:14" hidden="1" x14ac:dyDescent="0.25">
      <c r="B379" t="s">
        <v>30</v>
      </c>
      <c r="C379" s="6">
        <v>46091.291666666664</v>
      </c>
      <c r="D379" s="6">
        <v>46091.3125</v>
      </c>
      <c r="E379" s="6">
        <v>46091.315972222219</v>
      </c>
      <c r="F379" s="6">
        <v>46091.333333333336</v>
      </c>
      <c r="G379" s="6">
        <v>46091.336805555555</v>
      </c>
      <c r="H379" s="6">
        <v>46091.350694444445</v>
      </c>
      <c r="I379">
        <v>1.42</v>
      </c>
      <c r="J379" s="6">
        <v>46091.357638888891</v>
      </c>
      <c r="K379" s="7">
        <f>C380-H379</f>
        <v>-3.4722222262644209E-3</v>
      </c>
      <c r="L379" t="e">
        <f>HOUR(K379)</f>
        <v>#NUM!</v>
      </c>
      <c r="M379" t="e">
        <f>MINUTE(K379)</f>
        <v>#NUM!</v>
      </c>
      <c r="N379" t="e">
        <f>L379*60+M379</f>
        <v>#NUM!</v>
      </c>
    </row>
    <row r="380" spans="2:14" hidden="1" x14ac:dyDescent="0.25">
      <c r="B380" t="s">
        <v>30</v>
      </c>
      <c r="C380" s="6">
        <v>46091.347222222219</v>
      </c>
      <c r="D380" s="6">
        <v>46091.354166666664</v>
      </c>
      <c r="E380" s="6">
        <v>46091.375</v>
      </c>
      <c r="F380" s="6">
        <v>46091.408333333333</v>
      </c>
      <c r="G380" s="6">
        <v>46091.415277777778</v>
      </c>
      <c r="H380" s="6">
        <v>46091.415972222225</v>
      </c>
      <c r="I380">
        <v>1.65</v>
      </c>
      <c r="J380" s="6">
        <v>46091.42291666667</v>
      </c>
      <c r="K380" s="7">
        <f>C381-H380</f>
        <v>6.9444443943211809E-4</v>
      </c>
      <c r="L380">
        <f>HOUR(K380)</f>
        <v>0</v>
      </c>
      <c r="M380">
        <f>MINUTE(K380)</f>
        <v>1</v>
      </c>
      <c r="N380">
        <f>L380*60+M380</f>
        <v>1</v>
      </c>
    </row>
    <row r="381" spans="2:14" x14ac:dyDescent="0.25">
      <c r="B381" t="s">
        <v>30</v>
      </c>
      <c r="C381" s="6">
        <v>46091.416666666664</v>
      </c>
      <c r="D381" s="6">
        <v>46091.420138888891</v>
      </c>
      <c r="E381" s="6">
        <v>46091.427083333336</v>
      </c>
      <c r="F381" s="6">
        <v>46091.434027777781</v>
      </c>
      <c r="G381" s="6">
        <v>46091.43472222222</v>
      </c>
      <c r="H381" s="6">
        <v>46091.4375</v>
      </c>
      <c r="I381">
        <v>0.5</v>
      </c>
      <c r="J381" s="6">
        <v>46091.451388888891</v>
      </c>
      <c r="K381" s="7">
        <f>C382-H381</f>
        <v>7.2916666664241347E-2</v>
      </c>
      <c r="L381">
        <f>HOUR(K381)</f>
        <v>1</v>
      </c>
      <c r="M381">
        <f>MINUTE(K381)</f>
        <v>45</v>
      </c>
      <c r="N381">
        <f>L381*60+M381</f>
        <v>105</v>
      </c>
    </row>
    <row r="382" spans="2:14" hidden="1" x14ac:dyDescent="0.25">
      <c r="B382" t="s">
        <v>30</v>
      </c>
      <c r="C382" s="6">
        <v>46091.510416666664</v>
      </c>
      <c r="D382" s="6">
        <v>46091.534722222219</v>
      </c>
      <c r="E382" s="6">
        <v>46091.570138888892</v>
      </c>
      <c r="F382" s="6">
        <v>46091.597222222219</v>
      </c>
      <c r="G382" s="6">
        <v>46091.604166666664</v>
      </c>
      <c r="H382" s="6">
        <v>46091.625</v>
      </c>
      <c r="I382">
        <v>2.75</v>
      </c>
      <c r="J382" s="6">
        <v>46091.631944444445</v>
      </c>
      <c r="K382" s="7">
        <f>C383-H382</f>
        <v>-6.25E-2</v>
      </c>
      <c r="L382" t="e">
        <f>HOUR(K382)</f>
        <v>#NUM!</v>
      </c>
      <c r="M382" t="e">
        <f>MINUTE(K382)</f>
        <v>#NUM!</v>
      </c>
      <c r="N382" t="e">
        <f>L382*60+M382</f>
        <v>#NUM!</v>
      </c>
    </row>
    <row r="383" spans="2:14" x14ac:dyDescent="0.25">
      <c r="B383" t="s">
        <v>30</v>
      </c>
      <c r="C383" s="6">
        <v>46091.5625</v>
      </c>
      <c r="D383" s="6">
        <v>46091.565972222219</v>
      </c>
      <c r="E383" s="6">
        <v>46091.59375</v>
      </c>
      <c r="F383" s="6">
        <v>46091.645833333336</v>
      </c>
      <c r="G383" s="6">
        <v>46091.652777777781</v>
      </c>
      <c r="H383" s="6">
        <v>46091.659722222219</v>
      </c>
      <c r="I383">
        <v>2.33</v>
      </c>
      <c r="J383" s="6">
        <v>46091.666666666664</v>
      </c>
      <c r="K383" s="7">
        <f>C384-H383</f>
        <v>0.68402777778101154</v>
      </c>
      <c r="L383">
        <f>HOUR(K383)</f>
        <v>16</v>
      </c>
      <c r="M383">
        <f>MINUTE(K383)</f>
        <v>25</v>
      </c>
      <c r="N383">
        <f>L383*60+M383</f>
        <v>985</v>
      </c>
    </row>
    <row r="384" spans="2:14" x14ac:dyDescent="0.25">
      <c r="B384" t="s">
        <v>30</v>
      </c>
      <c r="C384" s="6">
        <v>46092.34375</v>
      </c>
      <c r="D384" s="6">
        <v>46092.347222222219</v>
      </c>
      <c r="E384" s="6">
        <v>46092.361111111109</v>
      </c>
      <c r="F384" s="6">
        <v>46092.520833333336</v>
      </c>
      <c r="G384" s="6">
        <v>46092.527777777781</v>
      </c>
      <c r="H384" s="6">
        <v>46092.541666666664</v>
      </c>
      <c r="I384">
        <v>4.75</v>
      </c>
      <c r="J384" s="6">
        <v>46092.548611111109</v>
      </c>
      <c r="K384" s="7">
        <f>C385-H384</f>
        <v>5.6944444448163267E-2</v>
      </c>
      <c r="L384">
        <f>HOUR(K384)</f>
        <v>1</v>
      </c>
      <c r="M384">
        <f>MINUTE(K384)</f>
        <v>22</v>
      </c>
      <c r="N384">
        <f>L384*60+M384</f>
        <v>82</v>
      </c>
    </row>
    <row r="385" spans="2:14" x14ac:dyDescent="0.25">
      <c r="B385" t="s">
        <v>30</v>
      </c>
      <c r="C385" s="6">
        <v>46092.598611111112</v>
      </c>
      <c r="D385" s="6">
        <v>46092.620138888888</v>
      </c>
      <c r="E385" s="6">
        <v>46092.621527777781</v>
      </c>
      <c r="F385" s="6">
        <v>46092.631944444445</v>
      </c>
      <c r="G385" s="6">
        <v>46092.632638888892</v>
      </c>
      <c r="H385" s="6">
        <v>46092.649305555555</v>
      </c>
      <c r="I385">
        <v>1.22</v>
      </c>
      <c r="J385" s="6">
        <v>46092.65</v>
      </c>
      <c r="K385" s="7">
        <f>C386-H385</f>
        <v>4.3055555557657499E-2</v>
      </c>
      <c r="L385">
        <f>HOUR(K385)</f>
        <v>1</v>
      </c>
      <c r="M385">
        <f>MINUTE(K385)</f>
        <v>2</v>
      </c>
      <c r="N385">
        <f>L385*60+M385</f>
        <v>62</v>
      </c>
    </row>
    <row r="386" spans="2:14" hidden="1" x14ac:dyDescent="0.25">
      <c r="B386" t="s">
        <v>30</v>
      </c>
      <c r="C386" s="6">
        <v>46092.692361111112</v>
      </c>
      <c r="D386" s="6">
        <v>46092.697916666664</v>
      </c>
      <c r="E386" s="6">
        <v>46092.729166666664</v>
      </c>
      <c r="F386" s="6">
        <v>46092.774305555555</v>
      </c>
      <c r="G386" s="6">
        <v>46092.788194444445</v>
      </c>
      <c r="H386" s="6">
        <v>46092.833333333336</v>
      </c>
      <c r="I386">
        <v>3.38</v>
      </c>
      <c r="J386" s="6">
        <v>46092.840277777781</v>
      </c>
      <c r="K386" s="7">
        <f>C387-H386</f>
        <v>-1.7361111116770189E-2</v>
      </c>
      <c r="L386" t="e">
        <f>HOUR(K386)</f>
        <v>#NUM!</v>
      </c>
      <c r="M386" t="e">
        <f>MINUTE(K386)</f>
        <v>#NUM!</v>
      </c>
      <c r="N386" t="e">
        <f>L386*60+M386</f>
        <v>#NUM!</v>
      </c>
    </row>
    <row r="387" spans="2:14" hidden="1" x14ac:dyDescent="0.25">
      <c r="B387" t="s">
        <v>30</v>
      </c>
      <c r="C387" s="6">
        <v>46092.815972222219</v>
      </c>
      <c r="D387" s="6">
        <v>46092.829861111109</v>
      </c>
      <c r="E387" s="6">
        <v>46092.84375</v>
      </c>
      <c r="F387" s="6">
        <v>46092.923611111109</v>
      </c>
      <c r="G387" s="6">
        <v>46092.927083333336</v>
      </c>
      <c r="H387" s="6">
        <v>46092.930555555555</v>
      </c>
      <c r="I387">
        <v>2.75</v>
      </c>
      <c r="J387" s="6">
        <v>46092.9375</v>
      </c>
      <c r="K387" s="7">
        <f>C388-H387</f>
        <v>-6.9444444445252884E-2</v>
      </c>
      <c r="L387" t="e">
        <f>HOUR(K387)</f>
        <v>#NUM!</v>
      </c>
      <c r="M387" t="e">
        <f>MINUTE(K387)</f>
        <v>#NUM!</v>
      </c>
      <c r="N387" t="e">
        <f>L387*60+M387</f>
        <v>#NUM!</v>
      </c>
    </row>
    <row r="388" spans="2:14" hidden="1" x14ac:dyDescent="0.25">
      <c r="B388" t="s">
        <v>30</v>
      </c>
      <c r="C388" s="6">
        <v>46092.861111111109</v>
      </c>
      <c r="D388" s="6">
        <v>46092.868055555555</v>
      </c>
      <c r="E388" s="6">
        <v>46092.885416666664</v>
      </c>
      <c r="F388" s="6">
        <v>46092.993055555555</v>
      </c>
      <c r="G388" s="6">
        <v>46093</v>
      </c>
      <c r="H388" s="6">
        <v>46093.006944444445</v>
      </c>
      <c r="I388">
        <v>3.5</v>
      </c>
      <c r="J388" s="6">
        <v>46093.013888888891</v>
      </c>
      <c r="K388" s="7">
        <f>C389-H388</f>
        <v>-0.12847222222626442</v>
      </c>
      <c r="L388" t="e">
        <f>HOUR(K388)</f>
        <v>#NUM!</v>
      </c>
      <c r="M388" t="e">
        <f>MINUTE(K388)</f>
        <v>#NUM!</v>
      </c>
      <c r="N388" t="e">
        <f>L388*60+M388</f>
        <v>#NUM!</v>
      </c>
    </row>
    <row r="389" spans="2:14" hidden="1" x14ac:dyDescent="0.25">
      <c r="B389" t="s">
        <v>30</v>
      </c>
      <c r="C389" s="6">
        <v>46092.878472222219</v>
      </c>
      <c r="D389" s="6">
        <v>46092.881944444445</v>
      </c>
      <c r="E389" s="6">
        <v>46092.916666666664</v>
      </c>
      <c r="F389" s="6">
        <v>46092.9375</v>
      </c>
      <c r="G389" s="6">
        <v>46092.944444444445</v>
      </c>
      <c r="H389" s="6">
        <v>46092.945138888892</v>
      </c>
      <c r="I389">
        <v>1.6</v>
      </c>
      <c r="J389" s="6">
        <v>46092.95208333333</v>
      </c>
      <c r="K389" s="7">
        <f>C390-H389</f>
        <v>-7.6388888919609599E-3</v>
      </c>
      <c r="L389" t="e">
        <f>HOUR(K389)</f>
        <v>#NUM!</v>
      </c>
      <c r="M389" t="e">
        <f>MINUTE(K389)</f>
        <v>#NUM!</v>
      </c>
      <c r="N389" t="e">
        <f>L389*60+M389</f>
        <v>#NUM!</v>
      </c>
    </row>
    <row r="390" spans="2:14" hidden="1" x14ac:dyDescent="0.25">
      <c r="B390" t="s">
        <v>30</v>
      </c>
      <c r="C390" s="6">
        <v>46092.9375</v>
      </c>
      <c r="D390" s="6">
        <v>46092.947916666664</v>
      </c>
      <c r="E390" s="6">
        <v>46092.958333333336</v>
      </c>
      <c r="F390" s="6">
        <v>46093.020833333336</v>
      </c>
      <c r="G390" s="6">
        <v>46093.027777777781</v>
      </c>
      <c r="H390" s="6">
        <v>46093.604166666664</v>
      </c>
      <c r="I390">
        <v>16</v>
      </c>
      <c r="J390" s="6">
        <v>46093.611111111109</v>
      </c>
      <c r="K390" s="7">
        <f>C391-H390</f>
        <v>-0.66666666666424135</v>
      </c>
      <c r="L390" t="e">
        <f>HOUR(K390)</f>
        <v>#NUM!</v>
      </c>
      <c r="M390" t="e">
        <f>MINUTE(K390)</f>
        <v>#NUM!</v>
      </c>
      <c r="N390" t="e">
        <f>L390*60+M390</f>
        <v>#NUM!</v>
      </c>
    </row>
    <row r="391" spans="2:14" hidden="1" x14ac:dyDescent="0.25">
      <c r="B391" t="s">
        <v>30</v>
      </c>
      <c r="C391" s="6">
        <v>46092.9375</v>
      </c>
      <c r="D391" s="6">
        <v>46092.947916666664</v>
      </c>
      <c r="E391" s="6">
        <v>46092.958333333336</v>
      </c>
      <c r="F391" s="6">
        <v>46093.020833333336</v>
      </c>
      <c r="G391" s="6">
        <v>46093.027777777781</v>
      </c>
      <c r="H391" s="6">
        <v>46093.604166666664</v>
      </c>
      <c r="I391">
        <v>16</v>
      </c>
      <c r="J391" s="6">
        <v>46093.611111111109</v>
      </c>
      <c r="K391" s="7">
        <f>C392-H391</f>
        <v>-0.3125</v>
      </c>
      <c r="L391" t="e">
        <f>HOUR(K391)</f>
        <v>#NUM!</v>
      </c>
      <c r="M391" t="e">
        <f>MINUTE(K391)</f>
        <v>#NUM!</v>
      </c>
      <c r="N391" t="e">
        <f>L391*60+M391</f>
        <v>#NUM!</v>
      </c>
    </row>
    <row r="392" spans="2:14" x14ac:dyDescent="0.25">
      <c r="B392" t="s">
        <v>30</v>
      </c>
      <c r="C392" s="6">
        <v>46093.291666666664</v>
      </c>
      <c r="D392" s="6">
        <v>46093.298611111109</v>
      </c>
      <c r="E392" s="6">
        <v>46093.305555555555</v>
      </c>
      <c r="F392" s="6">
        <v>46093.332638888889</v>
      </c>
      <c r="G392" s="6">
        <v>46093.339583333334</v>
      </c>
      <c r="H392" s="6">
        <v>46093.341666666667</v>
      </c>
      <c r="I392">
        <v>1.2</v>
      </c>
      <c r="J392" s="6">
        <v>46093.348611111112</v>
      </c>
      <c r="K392" s="7">
        <f>C393-H392</f>
        <v>1.9444444442342501E-2</v>
      </c>
      <c r="L392">
        <f>HOUR(K392)</f>
        <v>0</v>
      </c>
      <c r="M392">
        <f>MINUTE(K392)</f>
        <v>28</v>
      </c>
      <c r="N392">
        <f>L392*60+M392</f>
        <v>28</v>
      </c>
    </row>
    <row r="393" spans="2:14" hidden="1" x14ac:dyDescent="0.25">
      <c r="B393" t="s">
        <v>30</v>
      </c>
      <c r="C393" s="6">
        <v>46093.361111111109</v>
      </c>
      <c r="D393" s="6">
        <v>46093.381944444445</v>
      </c>
      <c r="E393" s="6">
        <v>46093.392361111109</v>
      </c>
      <c r="F393" s="6">
        <v>46093.416666666664</v>
      </c>
      <c r="G393" s="6">
        <v>46093.417361111111</v>
      </c>
      <c r="H393" s="6">
        <v>46093.418055555558</v>
      </c>
      <c r="I393">
        <v>1.37</v>
      </c>
      <c r="J393" s="6">
        <v>46093.425000000003</v>
      </c>
      <c r="K393" s="7">
        <f>C394-H393</f>
        <v>2.0833333328482695E-3</v>
      </c>
      <c r="L393">
        <f>HOUR(K393)</f>
        <v>0</v>
      </c>
      <c r="M393">
        <f>MINUTE(K393)</f>
        <v>3</v>
      </c>
      <c r="N393">
        <f>L393*60+M393</f>
        <v>3</v>
      </c>
    </row>
    <row r="394" spans="2:14" hidden="1" x14ac:dyDescent="0.25">
      <c r="B394" t="s">
        <v>30</v>
      </c>
      <c r="C394" s="6">
        <v>46093.420138888891</v>
      </c>
      <c r="D394" s="6">
        <v>46093.427083333336</v>
      </c>
      <c r="E394" s="6">
        <v>46093.447916666664</v>
      </c>
      <c r="F394" s="6">
        <v>46093.47152777778</v>
      </c>
      <c r="G394" s="6">
        <v>46093.478472222225</v>
      </c>
      <c r="H394" s="6">
        <v>46093.482638888891</v>
      </c>
      <c r="I394">
        <v>1.5</v>
      </c>
      <c r="J394" s="6">
        <v>46093.489583333336</v>
      </c>
      <c r="K394" s="7">
        <f>C395-H394</f>
        <v>-3.125E-2</v>
      </c>
      <c r="L394" t="e">
        <f>HOUR(K394)</f>
        <v>#NUM!</v>
      </c>
      <c r="M394" t="e">
        <f>MINUTE(K394)</f>
        <v>#NUM!</v>
      </c>
      <c r="N394" t="e">
        <f>L394*60+M394</f>
        <v>#NUM!</v>
      </c>
    </row>
    <row r="395" spans="2:14" x14ac:dyDescent="0.25">
      <c r="B395" t="s">
        <v>30</v>
      </c>
      <c r="C395" s="6">
        <v>46093.451388888891</v>
      </c>
      <c r="D395" s="6">
        <v>46093.465277777781</v>
      </c>
      <c r="E395" s="6">
        <v>46093.482638888891</v>
      </c>
      <c r="F395" s="6">
        <v>46093.53125</v>
      </c>
      <c r="G395" s="6">
        <v>46093.538194444445</v>
      </c>
      <c r="H395" s="6">
        <v>46093.541666666664</v>
      </c>
      <c r="I395">
        <v>2.17</v>
      </c>
      <c r="J395" s="6">
        <v>46093.542361111111</v>
      </c>
      <c r="K395" s="7">
        <f>C396-H395</f>
        <v>0.11111111111677019</v>
      </c>
      <c r="L395">
        <f>HOUR(K395)</f>
        <v>2</v>
      </c>
      <c r="M395">
        <f>MINUTE(K395)</f>
        <v>40</v>
      </c>
      <c r="N395">
        <f>L395*60+M395</f>
        <v>160</v>
      </c>
    </row>
    <row r="396" spans="2:14" x14ac:dyDescent="0.25">
      <c r="B396" t="s">
        <v>30</v>
      </c>
      <c r="C396" s="6">
        <v>46093.652777777781</v>
      </c>
      <c r="D396" s="6">
        <v>46093.659722222219</v>
      </c>
      <c r="E396" s="6">
        <v>46093.708333333336</v>
      </c>
      <c r="F396" s="6">
        <v>46093.739583333336</v>
      </c>
      <c r="G396" s="6">
        <v>46093.756944444445</v>
      </c>
      <c r="H396" s="6">
        <v>46093.770833333336</v>
      </c>
      <c r="I396">
        <v>2.83</v>
      </c>
      <c r="J396" s="6">
        <v>46093.777777777781</v>
      </c>
      <c r="K396" s="7">
        <f>C397-H396</f>
        <v>0.71527777777373558</v>
      </c>
      <c r="L396">
        <f>HOUR(K396)</f>
        <v>17</v>
      </c>
      <c r="M396">
        <f>MINUTE(K396)</f>
        <v>10</v>
      </c>
      <c r="N396">
        <f>L396*60+M396</f>
        <v>1030</v>
      </c>
    </row>
    <row r="397" spans="2:14" hidden="1" x14ac:dyDescent="0.25">
      <c r="B397" t="s">
        <v>30</v>
      </c>
      <c r="C397" s="6">
        <v>46094.486111111109</v>
      </c>
      <c r="D397" s="6">
        <v>46094.51458333333</v>
      </c>
      <c r="E397" s="6">
        <v>46094.585416666669</v>
      </c>
      <c r="F397" s="6">
        <v>46094.740972222222</v>
      </c>
      <c r="G397" s="6">
        <v>46094.791666666664</v>
      </c>
      <c r="H397" s="6">
        <v>46094.875</v>
      </c>
      <c r="I397">
        <v>9.33</v>
      </c>
      <c r="J397" s="6">
        <v>46094.881944444445</v>
      </c>
      <c r="K397" s="7">
        <f>C398-H397</f>
        <v>-0.31736111111240461</v>
      </c>
      <c r="L397" t="e">
        <f>HOUR(K397)</f>
        <v>#NUM!</v>
      </c>
      <c r="M397" t="e">
        <f>MINUTE(K397)</f>
        <v>#NUM!</v>
      </c>
      <c r="N397" t="e">
        <f>L397*60+M397</f>
        <v>#NUM!</v>
      </c>
    </row>
    <row r="398" spans="2:14" hidden="1" x14ac:dyDescent="0.25">
      <c r="B398" t="s">
        <v>30</v>
      </c>
      <c r="C398" s="6">
        <v>46094.557638888888</v>
      </c>
      <c r="D398" s="6">
        <v>46094.5625</v>
      </c>
      <c r="E398" s="6">
        <v>46094.576388888891</v>
      </c>
      <c r="F398" s="6">
        <v>46094.672222222223</v>
      </c>
      <c r="G398" s="6">
        <v>46094.680555555555</v>
      </c>
      <c r="H398" s="6">
        <v>46094.704861111109</v>
      </c>
      <c r="I398">
        <v>3.53</v>
      </c>
      <c r="J398" s="6">
        <v>46094.708333333336</v>
      </c>
      <c r="K398" s="7">
        <f>C399-H398</f>
        <v>-9.7222222218988463E-2</v>
      </c>
      <c r="L398" t="e">
        <f>HOUR(K398)</f>
        <v>#NUM!</v>
      </c>
      <c r="M398" t="e">
        <f>MINUTE(K398)</f>
        <v>#NUM!</v>
      </c>
      <c r="N398" t="e">
        <f>L398*60+M398</f>
        <v>#NUM!</v>
      </c>
    </row>
    <row r="399" spans="2:14" hidden="1" x14ac:dyDescent="0.25">
      <c r="B399" t="s">
        <v>30</v>
      </c>
      <c r="C399" s="6">
        <v>46094.607638888891</v>
      </c>
      <c r="D399" s="6">
        <v>46094.611111111109</v>
      </c>
      <c r="E399" s="6">
        <v>46094.614583333336</v>
      </c>
      <c r="F399" s="6">
        <v>46094.618055555555</v>
      </c>
      <c r="G399" s="6">
        <v>46094.625</v>
      </c>
      <c r="H399" s="6">
        <v>46094.628472222219</v>
      </c>
      <c r="I399">
        <v>0.5</v>
      </c>
      <c r="J399" s="6">
        <v>46094.635416666664</v>
      </c>
      <c r="K399" s="7">
        <f>C400-H399</f>
        <v>0</v>
      </c>
      <c r="L399">
        <f>HOUR(K399)</f>
        <v>0</v>
      </c>
      <c r="M399">
        <f>MINUTE(K399)</f>
        <v>0</v>
      </c>
      <c r="N399">
        <f>L399*60+M399</f>
        <v>0</v>
      </c>
    </row>
    <row r="400" spans="2:14" hidden="1" x14ac:dyDescent="0.25">
      <c r="B400" t="s">
        <v>30</v>
      </c>
      <c r="C400" s="6">
        <v>46094.628472222219</v>
      </c>
      <c r="D400" s="6">
        <v>46094.629166666666</v>
      </c>
      <c r="E400" s="6">
        <v>46094.65625</v>
      </c>
      <c r="F400" s="6">
        <v>46094.711805555555</v>
      </c>
      <c r="G400" s="6">
        <v>46094.760416666664</v>
      </c>
      <c r="H400" s="6">
        <v>46094.763888888891</v>
      </c>
      <c r="I400">
        <v>3.25</v>
      </c>
      <c r="J400" s="6">
        <v>46094.76458333333</v>
      </c>
      <c r="K400" s="7">
        <f>C401-H400</f>
        <v>-4.8611111109494232E-2</v>
      </c>
      <c r="L400" t="e">
        <f>HOUR(K400)</f>
        <v>#NUM!</v>
      </c>
      <c r="M400" t="e">
        <f>MINUTE(K400)</f>
        <v>#NUM!</v>
      </c>
      <c r="N400" t="e">
        <f>L400*60+M400</f>
        <v>#NUM!</v>
      </c>
    </row>
    <row r="401" spans="2:14" x14ac:dyDescent="0.25">
      <c r="B401" t="s">
        <v>30</v>
      </c>
      <c r="C401" s="6">
        <v>46094.715277777781</v>
      </c>
      <c r="D401" s="6">
        <v>46094.71875</v>
      </c>
      <c r="E401" s="6">
        <v>46094.722222222219</v>
      </c>
      <c r="F401" s="6">
        <v>46094.805555555555</v>
      </c>
      <c r="G401" s="6">
        <v>46094.8125</v>
      </c>
      <c r="H401" s="6">
        <v>46094.833333333336</v>
      </c>
      <c r="I401">
        <v>2.83</v>
      </c>
      <c r="J401" s="6">
        <v>46094.840277777781</v>
      </c>
      <c r="K401" s="7">
        <f>C402-H401</f>
        <v>5.5555555554747116E-2</v>
      </c>
      <c r="L401">
        <f>HOUR(K401)</f>
        <v>1</v>
      </c>
      <c r="M401">
        <f>MINUTE(K401)</f>
        <v>20</v>
      </c>
      <c r="N401">
        <f>L401*60+M401</f>
        <v>80</v>
      </c>
    </row>
    <row r="402" spans="2:14" hidden="1" x14ac:dyDescent="0.25">
      <c r="B402" t="s">
        <v>30</v>
      </c>
      <c r="C402" s="6">
        <v>46094.888888888891</v>
      </c>
      <c r="D402" s="6">
        <v>46094.895833333336</v>
      </c>
      <c r="E402" s="6">
        <v>46094.909722222219</v>
      </c>
      <c r="F402" s="6">
        <v>46094.9375</v>
      </c>
      <c r="G402" s="6">
        <v>46094.944444444445</v>
      </c>
      <c r="H402" s="6">
        <v>46094.947916666664</v>
      </c>
      <c r="I402">
        <v>1.42</v>
      </c>
      <c r="J402" s="6">
        <v>46094.954861111109</v>
      </c>
      <c r="K402" s="7">
        <f>C403-H402</f>
        <v>-1.3888888883229811E-2</v>
      </c>
      <c r="L402" t="e">
        <f>HOUR(K402)</f>
        <v>#NUM!</v>
      </c>
      <c r="M402" t="e">
        <f>MINUTE(K402)</f>
        <v>#NUM!</v>
      </c>
      <c r="N402" t="e">
        <f>L402*60+M402</f>
        <v>#NUM!</v>
      </c>
    </row>
    <row r="403" spans="2:14" x14ac:dyDescent="0.25">
      <c r="B403" t="s">
        <v>30</v>
      </c>
      <c r="C403" s="6">
        <v>46094.934027777781</v>
      </c>
      <c r="D403" s="6">
        <v>46094.940972222219</v>
      </c>
      <c r="E403" s="6">
        <v>46094.951388888891</v>
      </c>
      <c r="F403" s="6">
        <v>46094.972222222219</v>
      </c>
      <c r="G403" s="6">
        <v>46094.975694444445</v>
      </c>
      <c r="H403" s="6">
        <v>46094.979166666664</v>
      </c>
      <c r="I403">
        <v>1.08</v>
      </c>
      <c r="J403" s="6">
        <v>46094.986111111109</v>
      </c>
      <c r="K403" s="7">
        <f>C404-H403</f>
        <v>1.1805555557657499E-2</v>
      </c>
      <c r="L403">
        <f>HOUR(K403)</f>
        <v>0</v>
      </c>
      <c r="M403">
        <f>MINUTE(K403)</f>
        <v>17</v>
      </c>
      <c r="N403">
        <f>L403*60+M403</f>
        <v>17</v>
      </c>
    </row>
    <row r="404" spans="2:14" x14ac:dyDescent="0.25">
      <c r="B404" t="s">
        <v>30</v>
      </c>
      <c r="C404" s="6">
        <v>46094.990972222222</v>
      </c>
      <c r="D404" s="6">
        <v>46094.996527777781</v>
      </c>
      <c r="E404" s="6">
        <v>46095.003472222219</v>
      </c>
      <c r="F404" s="6">
        <v>46095.118055555555</v>
      </c>
      <c r="G404" s="6">
        <v>46095.135416666664</v>
      </c>
      <c r="H404" s="6">
        <v>46095.138888888891</v>
      </c>
      <c r="I404">
        <v>3.55</v>
      </c>
      <c r="J404" s="6">
        <v>46095.145833333336</v>
      </c>
      <c r="K404" s="7">
        <f>C405-H404</f>
        <v>0.21527777777373558</v>
      </c>
      <c r="L404">
        <f>HOUR(K404)</f>
        <v>5</v>
      </c>
      <c r="M404">
        <f>MINUTE(K404)</f>
        <v>10</v>
      </c>
      <c r="N404">
        <f>L404*60+M404</f>
        <v>310</v>
      </c>
    </row>
    <row r="405" spans="2:14" hidden="1" x14ac:dyDescent="0.25">
      <c r="B405" t="s">
        <v>30</v>
      </c>
      <c r="C405" s="6">
        <v>46095.354166666664</v>
      </c>
      <c r="D405" s="6">
        <v>46095.357638888891</v>
      </c>
      <c r="E405" s="6">
        <v>46095.368055555555</v>
      </c>
      <c r="F405" s="6">
        <v>46095.444444444445</v>
      </c>
      <c r="G405" s="6">
        <v>46095.451388888891</v>
      </c>
      <c r="H405" s="6">
        <v>46095.572916666664</v>
      </c>
      <c r="I405">
        <v>5.25</v>
      </c>
      <c r="J405" s="6">
        <v>46095.579861111109</v>
      </c>
      <c r="K405" s="7">
        <f>C406-H405</f>
        <v>3.4722222262644209E-3</v>
      </c>
      <c r="L405">
        <f>HOUR(K405)</f>
        <v>0</v>
      </c>
      <c r="M405">
        <f>MINUTE(K405)</f>
        <v>5</v>
      </c>
      <c r="N405">
        <f>L405*60+M405</f>
        <v>5</v>
      </c>
    </row>
    <row r="406" spans="2:14" hidden="1" x14ac:dyDescent="0.25">
      <c r="B406" t="s">
        <v>30</v>
      </c>
      <c r="C406" s="6">
        <v>46095.576388888891</v>
      </c>
      <c r="D406" s="6">
        <v>46095.586805555555</v>
      </c>
      <c r="E406" s="6">
        <v>46095.590277777781</v>
      </c>
      <c r="F406" s="6">
        <v>46095.646527777775</v>
      </c>
      <c r="G406" s="6">
        <v>46095.65347222222</v>
      </c>
      <c r="H406" s="6">
        <v>46095.663194444445</v>
      </c>
      <c r="I406">
        <v>2.08</v>
      </c>
      <c r="J406" s="6">
        <v>46095.670138888891</v>
      </c>
      <c r="K406" s="7">
        <f>C407-H406</f>
        <v>-4.8611111109494232E-2</v>
      </c>
      <c r="L406" t="e">
        <f>HOUR(K406)</f>
        <v>#NUM!</v>
      </c>
      <c r="M406" t="e">
        <f>MINUTE(K406)</f>
        <v>#NUM!</v>
      </c>
      <c r="N406" t="e">
        <f>L406*60+M406</f>
        <v>#NUM!</v>
      </c>
    </row>
    <row r="407" spans="2:14" hidden="1" x14ac:dyDescent="0.25">
      <c r="B407" t="s">
        <v>30</v>
      </c>
      <c r="C407" s="6">
        <v>46095.614583333336</v>
      </c>
      <c r="D407" s="6">
        <v>46095.628472222219</v>
      </c>
      <c r="E407" s="6">
        <v>46095.642361111109</v>
      </c>
      <c r="F407" s="6">
        <v>46095.663194444445</v>
      </c>
      <c r="G407" s="6">
        <v>46095.666666666664</v>
      </c>
      <c r="H407" s="6">
        <v>46095.670138888891</v>
      </c>
      <c r="I407">
        <v>1.33</v>
      </c>
      <c r="J407" s="6">
        <v>46095.677083333336</v>
      </c>
      <c r="K407" s="7">
        <f>C408-H407</f>
        <v>-1.3888888890505768E-2</v>
      </c>
      <c r="L407" t="e">
        <f>HOUR(K407)</f>
        <v>#NUM!</v>
      </c>
      <c r="M407" t="e">
        <f>MINUTE(K407)</f>
        <v>#NUM!</v>
      </c>
      <c r="N407" t="e">
        <f>L407*60+M407</f>
        <v>#NUM!</v>
      </c>
    </row>
    <row r="408" spans="2:14" x14ac:dyDescent="0.25">
      <c r="B408" t="s">
        <v>30</v>
      </c>
      <c r="C408" s="6">
        <v>46095.65625</v>
      </c>
      <c r="D408" s="6">
        <v>46095.663194444445</v>
      </c>
      <c r="E408" s="6">
        <v>46095.673611111109</v>
      </c>
      <c r="F408" s="6">
        <v>46095.72152777778</v>
      </c>
      <c r="G408" s="6">
        <v>46095.743055555555</v>
      </c>
      <c r="H408" s="6">
        <v>46095.746527777781</v>
      </c>
      <c r="I408">
        <v>2.17</v>
      </c>
      <c r="J408" s="6">
        <v>46095.753472222219</v>
      </c>
      <c r="K408" s="7">
        <f>C409-H408</f>
        <v>0.24513888888759539</v>
      </c>
      <c r="L408">
        <f>HOUR(K408)</f>
        <v>5</v>
      </c>
      <c r="M408">
        <f>MINUTE(K408)</f>
        <v>53</v>
      </c>
      <c r="N408">
        <f>L408*60+M408</f>
        <v>353</v>
      </c>
    </row>
    <row r="409" spans="2:14" x14ac:dyDescent="0.25">
      <c r="B409" t="s">
        <v>30</v>
      </c>
      <c r="C409" s="6">
        <v>46095.991666666669</v>
      </c>
      <c r="D409" s="6">
        <v>46095.999305555553</v>
      </c>
      <c r="E409" s="6">
        <v>46096.013888888891</v>
      </c>
      <c r="F409" s="6">
        <v>46096.069444444445</v>
      </c>
      <c r="G409" s="6">
        <v>46096.072916666664</v>
      </c>
      <c r="H409" s="6">
        <v>46096.076388888891</v>
      </c>
      <c r="I409">
        <v>2.0299999999999998</v>
      </c>
      <c r="J409" s="6">
        <v>46096.07708333333</v>
      </c>
      <c r="K409" s="7">
        <f>C410-H409</f>
        <v>0.28819444444525288</v>
      </c>
      <c r="L409">
        <f>HOUR(K409)</f>
        <v>6</v>
      </c>
      <c r="M409">
        <f>MINUTE(K409)</f>
        <v>55</v>
      </c>
      <c r="N409">
        <f>L409*60+M409</f>
        <v>415</v>
      </c>
    </row>
    <row r="410" spans="2:14" x14ac:dyDescent="0.25">
      <c r="B410" t="s">
        <v>30</v>
      </c>
      <c r="C410" s="6">
        <v>46096.364583333336</v>
      </c>
      <c r="D410" s="6">
        <v>46096.385416666664</v>
      </c>
      <c r="E410" s="6">
        <v>46096.395833333336</v>
      </c>
      <c r="F410" s="6">
        <v>46096.461111111108</v>
      </c>
      <c r="G410" s="6">
        <v>46096.463888888888</v>
      </c>
      <c r="H410" s="6">
        <v>46096.465277777781</v>
      </c>
      <c r="I410">
        <v>2.42</v>
      </c>
      <c r="J410" s="6">
        <v>46096.472222222219</v>
      </c>
      <c r="K410" s="7">
        <f>C411-H410</f>
        <v>1.7361111109494232E-2</v>
      </c>
      <c r="L410">
        <f>HOUR(K410)</f>
        <v>0</v>
      </c>
      <c r="M410">
        <f>MINUTE(K410)</f>
        <v>25</v>
      </c>
      <c r="N410">
        <f>L410*60+M410</f>
        <v>25</v>
      </c>
    </row>
    <row r="411" spans="2:14" x14ac:dyDescent="0.25">
      <c r="B411" t="s">
        <v>30</v>
      </c>
      <c r="C411" s="6">
        <v>46096.482638888891</v>
      </c>
      <c r="D411" s="6">
        <v>46096.496527777781</v>
      </c>
      <c r="E411" s="6">
        <v>46096.506944444445</v>
      </c>
      <c r="F411" s="6">
        <v>46096.555555555555</v>
      </c>
      <c r="G411" s="6">
        <v>46096.556250000001</v>
      </c>
      <c r="H411" s="6">
        <v>46096.558333333334</v>
      </c>
      <c r="I411">
        <v>1.82</v>
      </c>
      <c r="J411" s="6">
        <v>46096.56527777778</v>
      </c>
      <c r="K411" s="7">
        <f>C412-H411</f>
        <v>8.7500000001455192E-2</v>
      </c>
      <c r="L411">
        <f>HOUR(K411)</f>
        <v>2</v>
      </c>
      <c r="M411">
        <f>MINUTE(K411)</f>
        <v>6</v>
      </c>
      <c r="N411">
        <f>L411*60+M411</f>
        <v>126</v>
      </c>
    </row>
    <row r="412" spans="2:14" x14ac:dyDescent="0.25">
      <c r="B412" t="s">
        <v>30</v>
      </c>
      <c r="C412" s="6">
        <v>46096.645833333336</v>
      </c>
      <c r="D412" s="6">
        <v>46096.652777777781</v>
      </c>
      <c r="E412" s="6">
        <v>46096.661805555559</v>
      </c>
      <c r="F412" s="6">
        <v>46096.75</v>
      </c>
      <c r="G412" s="6">
        <v>46096.756944444445</v>
      </c>
      <c r="H412" s="6">
        <v>46096.758333333331</v>
      </c>
      <c r="I412">
        <v>2.7</v>
      </c>
      <c r="J412" s="6">
        <v>46096.765277777777</v>
      </c>
      <c r="K412" s="7">
        <f>C413-H412</f>
        <v>0.17916666666860692</v>
      </c>
      <c r="L412">
        <f>HOUR(K412)</f>
        <v>4</v>
      </c>
      <c r="M412">
        <f>MINUTE(K412)</f>
        <v>18</v>
      </c>
      <c r="N412">
        <f>L412*60+M412</f>
        <v>258</v>
      </c>
    </row>
    <row r="413" spans="2:14" hidden="1" x14ac:dyDescent="0.25">
      <c r="B413" t="s">
        <v>30</v>
      </c>
      <c r="C413" s="6">
        <v>46096.9375</v>
      </c>
      <c r="D413" s="6">
        <v>46096.947916666664</v>
      </c>
      <c r="E413" s="6">
        <v>46096.958333333336</v>
      </c>
      <c r="F413" s="6">
        <v>46097.01666666667</v>
      </c>
      <c r="G413" s="6">
        <v>46097.023611111108</v>
      </c>
      <c r="H413" s="6">
        <v>46097.041666666664</v>
      </c>
      <c r="I413">
        <v>2.5</v>
      </c>
      <c r="J413" s="6">
        <v>46097.048611111109</v>
      </c>
      <c r="K413" s="7">
        <f>C414-H413</f>
        <v>0</v>
      </c>
      <c r="L413">
        <f>HOUR(K413)</f>
        <v>0</v>
      </c>
      <c r="M413">
        <f>MINUTE(K413)</f>
        <v>0</v>
      </c>
      <c r="N413">
        <f>L413*60+M413</f>
        <v>0</v>
      </c>
    </row>
    <row r="414" spans="2:14" x14ac:dyDescent="0.25">
      <c r="B414" t="s">
        <v>30</v>
      </c>
      <c r="C414" s="6">
        <v>46097.041666666664</v>
      </c>
      <c r="D414" s="6">
        <v>46097.048611111109</v>
      </c>
      <c r="E414" s="6">
        <v>46097.052083333336</v>
      </c>
      <c r="F414" s="6">
        <v>46097.083333333336</v>
      </c>
      <c r="G414" s="6">
        <v>46097.090277777781</v>
      </c>
      <c r="H414" s="6">
        <v>46097.091666666667</v>
      </c>
      <c r="I414">
        <v>1.2</v>
      </c>
      <c r="J414" s="6">
        <v>46097.093055555553</v>
      </c>
      <c r="K414" s="7">
        <f>C415-H414</f>
        <v>0.24166666666860692</v>
      </c>
      <c r="L414">
        <f>HOUR(K414)</f>
        <v>5</v>
      </c>
      <c r="M414">
        <f>MINUTE(K414)</f>
        <v>48</v>
      </c>
      <c r="N414">
        <f>L414*60+M414</f>
        <v>348</v>
      </c>
    </row>
    <row r="415" spans="2:14" x14ac:dyDescent="0.25">
      <c r="B415" t="s">
        <v>30</v>
      </c>
      <c r="C415" s="6">
        <v>46097.333333333336</v>
      </c>
      <c r="D415" s="6">
        <v>46097.347222222219</v>
      </c>
      <c r="E415" s="6">
        <v>46097.361111111109</v>
      </c>
      <c r="F415" s="6">
        <v>46097.395833333336</v>
      </c>
      <c r="G415" s="6">
        <v>46097.402777777781</v>
      </c>
      <c r="H415" s="6">
        <v>46097.420138888891</v>
      </c>
      <c r="I415">
        <v>2.08</v>
      </c>
      <c r="J415" s="6">
        <v>46097.427083333336</v>
      </c>
      <c r="K415" s="7">
        <f>C416-H415</f>
        <v>2.7777777773735579E-2</v>
      </c>
      <c r="L415">
        <f>HOUR(K415)</f>
        <v>0</v>
      </c>
      <c r="M415">
        <f>MINUTE(K415)</f>
        <v>40</v>
      </c>
      <c r="N415">
        <f>L415*60+M415</f>
        <v>40</v>
      </c>
    </row>
    <row r="416" spans="2:14" x14ac:dyDescent="0.25">
      <c r="B416" t="s">
        <v>30</v>
      </c>
      <c r="C416" s="6">
        <v>46097.447916666664</v>
      </c>
      <c r="D416" s="6">
        <v>46097.458333333336</v>
      </c>
      <c r="E416" s="6">
        <v>46097.475694444445</v>
      </c>
      <c r="F416" s="6">
        <v>46097.535416666666</v>
      </c>
      <c r="G416" s="6">
        <v>46097.542361111111</v>
      </c>
      <c r="H416" s="6">
        <v>46097.548611111109</v>
      </c>
      <c r="I416">
        <v>2.42</v>
      </c>
      <c r="J416" s="6">
        <v>46097.555555555555</v>
      </c>
      <c r="K416" s="7">
        <f>C417-H416</f>
        <v>5.5555555554747116E-2</v>
      </c>
      <c r="L416">
        <f>HOUR(K416)</f>
        <v>1</v>
      </c>
      <c r="M416">
        <f>MINUTE(K416)</f>
        <v>20</v>
      </c>
      <c r="N416">
        <f>L416*60+M416</f>
        <v>80</v>
      </c>
    </row>
    <row r="417" spans="2:14" hidden="1" x14ac:dyDescent="0.25">
      <c r="B417" t="s">
        <v>30</v>
      </c>
      <c r="C417" s="6">
        <v>46097.604166666664</v>
      </c>
      <c r="D417" s="6">
        <v>46097.611111111109</v>
      </c>
      <c r="E417" s="6">
        <v>46097.635416666664</v>
      </c>
      <c r="F417" s="6">
        <v>46097.697222222225</v>
      </c>
      <c r="G417" s="6">
        <v>46097.715277777781</v>
      </c>
      <c r="H417" s="6">
        <v>46097.722222222219</v>
      </c>
      <c r="I417">
        <v>2.83</v>
      </c>
      <c r="J417" s="6">
        <v>46097.729166666664</v>
      </c>
      <c r="K417" s="7">
        <f>C418-H417</f>
        <v>0</v>
      </c>
      <c r="L417">
        <f>HOUR(K417)</f>
        <v>0</v>
      </c>
      <c r="M417">
        <f>MINUTE(K417)</f>
        <v>0</v>
      </c>
      <c r="N417">
        <f>L417*60+M417</f>
        <v>0</v>
      </c>
    </row>
    <row r="418" spans="2:14" hidden="1" x14ac:dyDescent="0.25">
      <c r="B418" t="s">
        <v>30</v>
      </c>
      <c r="C418" s="6">
        <v>46097.722222222219</v>
      </c>
      <c r="D418" s="6">
        <v>46097.729166666664</v>
      </c>
      <c r="E418" s="6">
        <v>46097.75</v>
      </c>
      <c r="F418" s="6">
        <v>46097.786111111112</v>
      </c>
      <c r="G418" s="6">
        <v>46097.795138888891</v>
      </c>
      <c r="H418" s="6">
        <v>46097.79583333333</v>
      </c>
      <c r="I418">
        <v>1.77</v>
      </c>
      <c r="J418" s="6">
        <v>46097.796527777777</v>
      </c>
      <c r="K418" s="7">
        <f>C419-H418</f>
        <v>-3.8888888884685002E-2</v>
      </c>
      <c r="L418" t="e">
        <f>HOUR(K418)</f>
        <v>#NUM!</v>
      </c>
      <c r="M418" t="e">
        <f>MINUTE(K418)</f>
        <v>#NUM!</v>
      </c>
      <c r="N418" t="e">
        <f>L418*60+M418</f>
        <v>#NUM!</v>
      </c>
    </row>
    <row r="419" spans="2:14" x14ac:dyDescent="0.25">
      <c r="B419" t="s">
        <v>30</v>
      </c>
      <c r="C419" s="6">
        <v>46097.756944444445</v>
      </c>
      <c r="D419" s="6">
        <v>46097.760416666664</v>
      </c>
      <c r="E419" s="6">
        <v>46097.763888888891</v>
      </c>
      <c r="F419" s="6">
        <v>46097.770833333336</v>
      </c>
      <c r="G419" s="6">
        <v>46097.772222222222</v>
      </c>
      <c r="H419" s="6">
        <v>46097.774305555555</v>
      </c>
      <c r="I419">
        <v>0.42</v>
      </c>
      <c r="J419" s="6">
        <v>46097.775694444441</v>
      </c>
      <c r="K419" s="7">
        <f>C420-H419</f>
        <v>7.6388888890505768E-2</v>
      </c>
      <c r="L419">
        <f>HOUR(K419)</f>
        <v>1</v>
      </c>
      <c r="M419">
        <f>MINUTE(K419)</f>
        <v>50</v>
      </c>
      <c r="N419">
        <f>L419*60+M419</f>
        <v>110</v>
      </c>
    </row>
    <row r="420" spans="2:14" x14ac:dyDescent="0.25">
      <c r="B420" t="s">
        <v>30</v>
      </c>
      <c r="C420" s="6">
        <v>46097.850694444445</v>
      </c>
      <c r="D420" s="6">
        <v>46097.855555555558</v>
      </c>
      <c r="E420" s="6">
        <v>46097.864583333336</v>
      </c>
      <c r="F420" s="6">
        <v>46097.888888888891</v>
      </c>
      <c r="G420" s="6">
        <v>46097.895833333336</v>
      </c>
      <c r="H420" s="6">
        <v>46097.897222222222</v>
      </c>
      <c r="I420">
        <v>1.1200000000000001</v>
      </c>
      <c r="J420" s="6">
        <v>46097.904166666667</v>
      </c>
      <c r="K420" s="7">
        <f>C421-H420</f>
        <v>0.41874999999708962</v>
      </c>
      <c r="L420">
        <f>HOUR(K420)</f>
        <v>10</v>
      </c>
      <c r="M420">
        <f>MINUTE(K420)</f>
        <v>3</v>
      </c>
      <c r="N420">
        <f>L420*60+M420</f>
        <v>603</v>
      </c>
    </row>
    <row r="421" spans="2:14" x14ac:dyDescent="0.25">
      <c r="B421" t="s">
        <v>30</v>
      </c>
      <c r="C421" s="6">
        <v>46098.315972222219</v>
      </c>
      <c r="D421" s="6">
        <v>46098.322916666664</v>
      </c>
      <c r="E421" s="6">
        <v>46098.333333333336</v>
      </c>
      <c r="F421" s="6">
        <v>46098.340277777781</v>
      </c>
      <c r="G421" s="6">
        <v>46098.354166666664</v>
      </c>
      <c r="H421" s="6">
        <v>46098.357638888891</v>
      </c>
      <c r="I421">
        <v>1</v>
      </c>
      <c r="J421" s="6">
        <v>46098.364583333336</v>
      </c>
      <c r="K421" s="7">
        <f>C422-H421</f>
        <v>2.7777777773735579E-2</v>
      </c>
      <c r="L421">
        <f>HOUR(K421)</f>
        <v>0</v>
      </c>
      <c r="M421">
        <f>MINUTE(K421)</f>
        <v>40</v>
      </c>
      <c r="N421">
        <f>L421*60+M421</f>
        <v>40</v>
      </c>
    </row>
    <row r="422" spans="2:14" hidden="1" x14ac:dyDescent="0.25">
      <c r="B422" t="s">
        <v>30</v>
      </c>
      <c r="C422" s="6">
        <v>46098.385416666664</v>
      </c>
      <c r="D422" s="6">
        <v>46098.388888888891</v>
      </c>
      <c r="E422" s="6">
        <v>46098.416666666664</v>
      </c>
      <c r="F422" s="6">
        <v>46098.513888888891</v>
      </c>
      <c r="G422" s="6">
        <v>46098.520833333336</v>
      </c>
      <c r="H422" s="6">
        <v>46098.875</v>
      </c>
      <c r="I422">
        <v>11.75</v>
      </c>
      <c r="J422" s="6">
        <v>46098.881944444445</v>
      </c>
      <c r="K422" s="7">
        <f>C423-H422</f>
        <v>-0.36458333333575865</v>
      </c>
      <c r="L422" t="e">
        <f>HOUR(K422)</f>
        <v>#NUM!</v>
      </c>
      <c r="M422" t="e">
        <f>MINUTE(K422)</f>
        <v>#NUM!</v>
      </c>
      <c r="N422" t="e">
        <f>L422*60+M422</f>
        <v>#NUM!</v>
      </c>
    </row>
    <row r="423" spans="2:14" hidden="1" x14ac:dyDescent="0.25">
      <c r="B423" t="s">
        <v>30</v>
      </c>
      <c r="C423" s="6">
        <v>46098.510416666664</v>
      </c>
      <c r="D423" s="6">
        <v>46098.517361111109</v>
      </c>
      <c r="E423" s="6">
        <v>46098.527777777781</v>
      </c>
      <c r="F423" s="6">
        <v>46098.611805555556</v>
      </c>
      <c r="G423" s="6">
        <v>46098.666666666664</v>
      </c>
      <c r="H423" s="6">
        <v>46098.753472222219</v>
      </c>
      <c r="I423">
        <v>5.83</v>
      </c>
      <c r="J423" s="6">
        <v>46098.760416666664</v>
      </c>
      <c r="K423" s="7">
        <f>C424-H423</f>
        <v>-0.21527777777373558</v>
      </c>
      <c r="L423" t="e">
        <f>HOUR(K423)</f>
        <v>#NUM!</v>
      </c>
      <c r="M423" t="e">
        <f>MINUTE(K423)</f>
        <v>#NUM!</v>
      </c>
      <c r="N423" t="e">
        <f>L423*60+M423</f>
        <v>#NUM!</v>
      </c>
    </row>
    <row r="424" spans="2:14" x14ac:dyDescent="0.25">
      <c r="B424" t="s">
        <v>30</v>
      </c>
      <c r="C424" s="6">
        <v>46098.538194444445</v>
      </c>
      <c r="D424" s="6">
        <v>46098.539583333331</v>
      </c>
      <c r="E424" s="6">
        <v>46098.541666666664</v>
      </c>
      <c r="F424" s="6">
        <v>46098.590277777781</v>
      </c>
      <c r="G424" s="6">
        <v>46098.642361111109</v>
      </c>
      <c r="H424" s="6">
        <v>46098.645833333336</v>
      </c>
      <c r="I424">
        <v>2.58</v>
      </c>
      <c r="J424" s="6">
        <v>46098.652777777781</v>
      </c>
      <c r="K424" s="7">
        <f>C425-H424</f>
        <v>3.125E-2</v>
      </c>
      <c r="L424">
        <f>HOUR(K424)</f>
        <v>0</v>
      </c>
      <c r="M424">
        <f>MINUTE(K424)</f>
        <v>45</v>
      </c>
      <c r="N424">
        <f>L424*60+M424</f>
        <v>45</v>
      </c>
    </row>
    <row r="425" spans="2:14" x14ac:dyDescent="0.25">
      <c r="B425" t="s">
        <v>30</v>
      </c>
      <c r="C425" s="6">
        <v>46098.677083333336</v>
      </c>
      <c r="D425" s="6">
        <v>46098.680555555555</v>
      </c>
      <c r="E425" s="6">
        <v>46098.694444444445</v>
      </c>
      <c r="F425" s="6">
        <v>46098.819444444445</v>
      </c>
      <c r="G425" s="6">
        <v>46098.840277777781</v>
      </c>
      <c r="H425" s="6">
        <v>46098.847222222219</v>
      </c>
      <c r="I425">
        <v>4.08</v>
      </c>
      <c r="J425" s="6">
        <v>46098.854166666664</v>
      </c>
      <c r="K425" s="7">
        <f>C426-H425</f>
        <v>0.10416666667151731</v>
      </c>
      <c r="L425">
        <f>HOUR(K425)</f>
        <v>2</v>
      </c>
      <c r="M425">
        <f>MINUTE(K425)</f>
        <v>30</v>
      </c>
      <c r="N425">
        <f>L425*60+M425</f>
        <v>150</v>
      </c>
    </row>
    <row r="426" spans="2:14" hidden="1" x14ac:dyDescent="0.25">
      <c r="B426" t="s">
        <v>30</v>
      </c>
      <c r="C426" s="6">
        <v>46098.951388888891</v>
      </c>
      <c r="D426" s="6">
        <v>46098.961805555555</v>
      </c>
      <c r="E426" s="6">
        <v>46098.982638888891</v>
      </c>
      <c r="F426" s="6">
        <v>46099.083333333336</v>
      </c>
      <c r="G426" s="6">
        <v>46099.086805555555</v>
      </c>
      <c r="H426" s="6">
        <v>46099.090277777781</v>
      </c>
      <c r="I426">
        <v>3.33</v>
      </c>
      <c r="J426" s="6">
        <v>46099.09375</v>
      </c>
      <c r="K426" s="7">
        <f>C427-H426</f>
        <v>-0.13888888889050577</v>
      </c>
      <c r="L426" t="e">
        <f>HOUR(K426)</f>
        <v>#NUM!</v>
      </c>
      <c r="M426" t="e">
        <f>MINUTE(K426)</f>
        <v>#NUM!</v>
      </c>
      <c r="N426" t="e">
        <f>L426*60+M426</f>
        <v>#NUM!</v>
      </c>
    </row>
    <row r="427" spans="2:14" x14ac:dyDescent="0.25">
      <c r="B427" t="s">
        <v>30</v>
      </c>
      <c r="C427" s="6">
        <v>46098.951388888891</v>
      </c>
      <c r="D427" s="6">
        <v>46098.958333333336</v>
      </c>
      <c r="E427" s="6">
        <v>46098.989583333336</v>
      </c>
      <c r="F427" s="6">
        <v>46099.044444444444</v>
      </c>
      <c r="G427" s="6">
        <v>46099.046527777777</v>
      </c>
      <c r="H427" s="6">
        <v>46099.048611111109</v>
      </c>
      <c r="I427">
        <v>2.33</v>
      </c>
      <c r="J427" s="6">
        <v>46099.052083333336</v>
      </c>
      <c r="K427" s="7">
        <f>C428-H427</f>
        <v>0.12847222222626442</v>
      </c>
      <c r="L427">
        <f>HOUR(K427)</f>
        <v>3</v>
      </c>
      <c r="M427">
        <f>MINUTE(K427)</f>
        <v>5</v>
      </c>
      <c r="N427">
        <f>L427*60+M427</f>
        <v>185</v>
      </c>
    </row>
    <row r="428" spans="2:14" x14ac:dyDescent="0.25">
      <c r="B428" t="s">
        <v>30</v>
      </c>
      <c r="C428" s="6">
        <v>46099.177083333336</v>
      </c>
      <c r="D428" s="6">
        <v>46099.184027777781</v>
      </c>
      <c r="E428" s="6">
        <v>46099.1875</v>
      </c>
      <c r="F428" s="6">
        <v>46099.194444444445</v>
      </c>
      <c r="G428" s="6">
        <v>46099.195833333331</v>
      </c>
      <c r="H428" s="6">
        <v>46099.197916666664</v>
      </c>
      <c r="I428">
        <v>0.75</v>
      </c>
      <c r="J428" s="6">
        <v>46099.198611111111</v>
      </c>
      <c r="K428" s="7">
        <f>C429-H428</f>
        <v>9.0277777781011537E-2</v>
      </c>
      <c r="L428">
        <f>HOUR(K428)</f>
        <v>2</v>
      </c>
      <c r="M428">
        <f>MINUTE(K428)</f>
        <v>10</v>
      </c>
      <c r="N428">
        <f>L428*60+M428</f>
        <v>130</v>
      </c>
    </row>
    <row r="429" spans="2:14" hidden="1" x14ac:dyDescent="0.25">
      <c r="B429" t="s">
        <v>30</v>
      </c>
      <c r="C429" s="6">
        <v>46099.288194444445</v>
      </c>
      <c r="D429" s="6">
        <v>46099.319444444445</v>
      </c>
      <c r="E429" s="6">
        <v>46099.354166666664</v>
      </c>
      <c r="F429" s="6">
        <v>46099.40625</v>
      </c>
      <c r="G429" s="6">
        <v>46099.416666666664</v>
      </c>
      <c r="H429" s="6">
        <v>46099.423611111109</v>
      </c>
      <c r="I429">
        <v>3.25</v>
      </c>
      <c r="J429" s="6">
        <v>46099.424305555556</v>
      </c>
      <c r="K429" s="7">
        <f>C430-H429</f>
        <v>-0.10416666666424135</v>
      </c>
      <c r="L429" t="e">
        <f>HOUR(K429)</f>
        <v>#NUM!</v>
      </c>
      <c r="M429" t="e">
        <f>MINUTE(K429)</f>
        <v>#NUM!</v>
      </c>
      <c r="N429" t="e">
        <f>L429*60+M429</f>
        <v>#NUM!</v>
      </c>
    </row>
    <row r="430" spans="2:14" hidden="1" x14ac:dyDescent="0.25">
      <c r="B430" t="s">
        <v>30</v>
      </c>
      <c r="C430" s="6">
        <v>46099.319444444445</v>
      </c>
      <c r="D430" s="6">
        <v>46099.326388888891</v>
      </c>
      <c r="E430" s="6">
        <v>46099.329861111109</v>
      </c>
      <c r="F430" s="6">
        <v>46099.388888888891</v>
      </c>
      <c r="G430" s="6">
        <v>46099.395833333336</v>
      </c>
      <c r="H430" s="6">
        <v>46099.402777777781</v>
      </c>
      <c r="I430">
        <v>2</v>
      </c>
      <c r="J430" s="6">
        <v>46099.409722222219</v>
      </c>
      <c r="K430" s="7">
        <f>C431-H430</f>
        <v>-7.9861111116770189E-2</v>
      </c>
      <c r="L430" t="e">
        <f>HOUR(K430)</f>
        <v>#NUM!</v>
      </c>
      <c r="M430" t="e">
        <f>MINUTE(K430)</f>
        <v>#NUM!</v>
      </c>
      <c r="N430" t="e">
        <f>L430*60+M430</f>
        <v>#NUM!</v>
      </c>
    </row>
    <row r="431" spans="2:14" x14ac:dyDescent="0.25">
      <c r="B431" t="s">
        <v>30</v>
      </c>
      <c r="C431" s="6">
        <v>46099.322916666664</v>
      </c>
      <c r="D431" s="6">
        <v>46099.329861111109</v>
      </c>
      <c r="E431" s="6">
        <v>46099.34375</v>
      </c>
      <c r="F431" s="6">
        <v>46099.385416666664</v>
      </c>
      <c r="G431" s="6">
        <v>46099.392361111109</v>
      </c>
      <c r="H431" s="6">
        <v>46099.40625</v>
      </c>
      <c r="I431">
        <v>2</v>
      </c>
      <c r="J431" s="6">
        <v>46099.413194444445</v>
      </c>
      <c r="K431" s="7">
        <f>C432-H431</f>
        <v>2.7777777781011537E-2</v>
      </c>
      <c r="L431">
        <f>HOUR(K431)</f>
        <v>0</v>
      </c>
      <c r="M431">
        <f>MINUTE(K431)</f>
        <v>40</v>
      </c>
      <c r="N431">
        <f>L431*60+M431</f>
        <v>40</v>
      </c>
    </row>
    <row r="432" spans="2:14" x14ac:dyDescent="0.25">
      <c r="B432" t="s">
        <v>30</v>
      </c>
      <c r="C432" s="6">
        <v>46099.434027777781</v>
      </c>
      <c r="D432" s="6">
        <v>46099.444444444445</v>
      </c>
      <c r="E432" s="6">
        <v>46099.461805555555</v>
      </c>
      <c r="F432" s="6">
        <v>46099.479166666664</v>
      </c>
      <c r="G432" s="6">
        <v>46099.482638888891</v>
      </c>
      <c r="H432" s="6">
        <v>46099.486111111109</v>
      </c>
      <c r="I432">
        <v>1.25</v>
      </c>
      <c r="J432" s="6">
        <v>46099.493055555555</v>
      </c>
      <c r="K432" s="7">
        <f>C433-H432</f>
        <v>3.6111111112404615E-2</v>
      </c>
      <c r="L432">
        <f>HOUR(K432)</f>
        <v>0</v>
      </c>
      <c r="M432">
        <f>MINUTE(K432)</f>
        <v>52</v>
      </c>
      <c r="N432">
        <f>L432*60+M432</f>
        <v>52</v>
      </c>
    </row>
    <row r="433" spans="2:14" x14ac:dyDescent="0.25">
      <c r="B433" t="s">
        <v>30</v>
      </c>
      <c r="C433" s="6">
        <v>46099.522222222222</v>
      </c>
      <c r="D433" s="6">
        <v>46099.527777777781</v>
      </c>
      <c r="E433" s="6">
        <v>46099.534722222219</v>
      </c>
      <c r="F433" s="6">
        <v>46099.570138888892</v>
      </c>
      <c r="G433" s="6">
        <v>46099.571527777778</v>
      </c>
      <c r="H433" s="6">
        <v>46099.572916666664</v>
      </c>
      <c r="I433">
        <v>1.22</v>
      </c>
      <c r="J433" s="6">
        <v>46099.579861111109</v>
      </c>
      <c r="K433" s="7">
        <f>C434-H433</f>
        <v>6.5972222226264421E-2</v>
      </c>
      <c r="L433">
        <f>HOUR(K433)</f>
        <v>1</v>
      </c>
      <c r="M433">
        <f>MINUTE(K433)</f>
        <v>35</v>
      </c>
      <c r="N433">
        <f>L433*60+M433</f>
        <v>95</v>
      </c>
    </row>
    <row r="434" spans="2:14" x14ac:dyDescent="0.25">
      <c r="B434" t="s">
        <v>30</v>
      </c>
      <c r="C434" s="6">
        <v>46099.638888888891</v>
      </c>
      <c r="D434" s="6">
        <v>46099.680555555555</v>
      </c>
      <c r="E434" s="6">
        <v>46099.694444444445</v>
      </c>
      <c r="F434" s="6">
        <v>46099.729166666664</v>
      </c>
      <c r="G434" s="6">
        <v>46099.736111111109</v>
      </c>
      <c r="H434" s="6">
        <v>46099.743055555555</v>
      </c>
      <c r="I434">
        <v>2.5</v>
      </c>
      <c r="J434" s="6">
        <v>46099.75</v>
      </c>
      <c r="K434" s="7">
        <f>C435-H434</f>
        <v>0.10069444444525288</v>
      </c>
      <c r="L434">
        <f>HOUR(K434)</f>
        <v>2</v>
      </c>
      <c r="M434">
        <f>MINUTE(K434)</f>
        <v>25</v>
      </c>
      <c r="N434">
        <f>L434*60+M434</f>
        <v>145</v>
      </c>
    </row>
    <row r="435" spans="2:14" x14ac:dyDescent="0.25">
      <c r="B435" t="s">
        <v>30</v>
      </c>
      <c r="C435" s="6">
        <v>46099.84375</v>
      </c>
      <c r="D435" s="6">
        <v>46099.864583333336</v>
      </c>
      <c r="E435" s="6">
        <v>46099.875</v>
      </c>
      <c r="F435" s="6">
        <v>46099.888888888891</v>
      </c>
      <c r="G435" s="6">
        <v>46099.895833333336</v>
      </c>
      <c r="H435" s="6">
        <v>46099.896527777775</v>
      </c>
      <c r="I435">
        <v>1.27</v>
      </c>
      <c r="J435" s="6">
        <v>46099.90347222222</v>
      </c>
      <c r="K435" s="7">
        <f>C436-H435</f>
        <v>0.42638888888905058</v>
      </c>
      <c r="L435">
        <f>HOUR(K435)</f>
        <v>10</v>
      </c>
      <c r="M435">
        <f>MINUTE(K435)</f>
        <v>14</v>
      </c>
      <c r="N435">
        <f>L435*60+M435</f>
        <v>614</v>
      </c>
    </row>
    <row r="436" spans="2:14" x14ac:dyDescent="0.25">
      <c r="B436" t="s">
        <v>30</v>
      </c>
      <c r="C436" s="6">
        <v>46100.322916666664</v>
      </c>
      <c r="D436" s="6">
        <v>46100.326388888891</v>
      </c>
      <c r="E436" s="6">
        <v>46100.354166666664</v>
      </c>
      <c r="F436" s="6">
        <v>46100.392361111109</v>
      </c>
      <c r="G436" s="6">
        <v>46100.399305555555</v>
      </c>
      <c r="H436" s="6">
        <v>46100.416666666664</v>
      </c>
      <c r="I436">
        <v>2.25</v>
      </c>
      <c r="J436" s="6">
        <v>46100.423611111109</v>
      </c>
      <c r="K436" s="7">
        <f>C437-H436</f>
        <v>2.5694444448163267E-2</v>
      </c>
      <c r="L436">
        <f>HOUR(K436)</f>
        <v>0</v>
      </c>
      <c r="M436">
        <f>MINUTE(K436)</f>
        <v>37</v>
      </c>
      <c r="N436">
        <f>L436*60+M436</f>
        <v>37</v>
      </c>
    </row>
    <row r="437" spans="2:14" hidden="1" x14ac:dyDescent="0.25">
      <c r="B437" t="s">
        <v>30</v>
      </c>
      <c r="C437" s="6">
        <v>46100.442361111112</v>
      </c>
      <c r="D437" s="6">
        <v>46100.454861111109</v>
      </c>
      <c r="E437" s="6">
        <v>46100.472222222219</v>
      </c>
      <c r="F437" s="6">
        <v>46100.534722222219</v>
      </c>
      <c r="G437" s="6">
        <v>46100.552083333336</v>
      </c>
      <c r="H437" s="6">
        <v>46100.552777777775</v>
      </c>
      <c r="I437">
        <v>2.65</v>
      </c>
      <c r="J437" s="6">
        <v>46100.553472222222</v>
      </c>
      <c r="K437" s="7">
        <f>C438-H437</f>
        <v>-9.7916666665696539E-2</v>
      </c>
      <c r="L437" t="e">
        <f>HOUR(K437)</f>
        <v>#NUM!</v>
      </c>
      <c r="M437" t="e">
        <f>MINUTE(K437)</f>
        <v>#NUM!</v>
      </c>
      <c r="N437" t="e">
        <f>L437*60+M437</f>
        <v>#NUM!</v>
      </c>
    </row>
    <row r="438" spans="2:14" hidden="1" x14ac:dyDescent="0.25">
      <c r="B438" t="s">
        <v>30</v>
      </c>
      <c r="C438" s="6">
        <v>46100.454861111109</v>
      </c>
      <c r="D438" s="6">
        <v>46100.461805555555</v>
      </c>
      <c r="E438" s="6">
        <v>46100.46875</v>
      </c>
      <c r="F438" s="6">
        <v>46100.505555555559</v>
      </c>
      <c r="G438" s="6">
        <v>46100.506944444445</v>
      </c>
      <c r="H438" s="6">
        <v>46100.510416666664</v>
      </c>
      <c r="I438">
        <v>1.33</v>
      </c>
      <c r="J438" s="6">
        <v>46100.517361111109</v>
      </c>
      <c r="K438" s="7">
        <f>C439-H438</f>
        <v>-1.7361111109494232E-2</v>
      </c>
      <c r="L438" t="e">
        <f>HOUR(K438)</f>
        <v>#NUM!</v>
      </c>
      <c r="M438" t="e">
        <f>MINUTE(K438)</f>
        <v>#NUM!</v>
      </c>
      <c r="N438" t="e">
        <f>L438*60+M438</f>
        <v>#NUM!</v>
      </c>
    </row>
    <row r="439" spans="2:14" hidden="1" x14ac:dyDescent="0.25">
      <c r="B439" t="s">
        <v>30</v>
      </c>
      <c r="C439" s="6">
        <v>46100.493055555555</v>
      </c>
      <c r="D439" s="6">
        <v>46100.520833333336</v>
      </c>
      <c r="E439" s="6">
        <v>46100.583333333336</v>
      </c>
      <c r="F439" s="6">
        <v>46100.666666666664</v>
      </c>
      <c r="G439" s="6">
        <v>46100.6875</v>
      </c>
      <c r="H439" s="6">
        <v>46100.697916666664</v>
      </c>
      <c r="I439">
        <v>4.92</v>
      </c>
      <c r="J439" s="6">
        <v>46100.698611111111</v>
      </c>
      <c r="K439" s="7">
        <f>C440-H439</f>
        <v>-4.1666666664241347E-2</v>
      </c>
      <c r="L439" t="e">
        <f>HOUR(K439)</f>
        <v>#NUM!</v>
      </c>
      <c r="M439" t="e">
        <f>MINUTE(K439)</f>
        <v>#NUM!</v>
      </c>
      <c r="N439" t="e">
        <f>L439*60+M439</f>
        <v>#NUM!</v>
      </c>
    </row>
    <row r="440" spans="2:14" hidden="1" x14ac:dyDescent="0.25">
      <c r="B440" t="s">
        <v>30</v>
      </c>
      <c r="C440" s="6">
        <v>46100.65625</v>
      </c>
      <c r="D440" s="6">
        <v>46100.666666666664</v>
      </c>
      <c r="E440" s="6">
        <v>46100.677083333336</v>
      </c>
      <c r="F440" s="6">
        <v>46100.760416666664</v>
      </c>
      <c r="G440" s="6">
        <v>46100.767361111109</v>
      </c>
      <c r="H440" s="6">
        <v>46100.770833333336</v>
      </c>
      <c r="I440">
        <v>2.75</v>
      </c>
      <c r="J440" s="6">
        <v>46100.772222222222</v>
      </c>
      <c r="K440" s="7">
        <f>C441-H440</f>
        <v>-5.5555555554747116E-2</v>
      </c>
      <c r="L440" t="e">
        <f>HOUR(K440)</f>
        <v>#NUM!</v>
      </c>
      <c r="M440" t="e">
        <f>MINUTE(K440)</f>
        <v>#NUM!</v>
      </c>
      <c r="N440" t="e">
        <f>L440*60+M440</f>
        <v>#NUM!</v>
      </c>
    </row>
    <row r="441" spans="2:14" x14ac:dyDescent="0.25">
      <c r="B441" t="s">
        <v>30</v>
      </c>
      <c r="C441" s="6">
        <v>46100.715277777781</v>
      </c>
      <c r="D441" s="6">
        <v>46100.725694444445</v>
      </c>
      <c r="E441" s="6">
        <v>46100.73541666667</v>
      </c>
      <c r="F441" s="6">
        <v>46100.757638888892</v>
      </c>
      <c r="G441" s="6">
        <v>46100.762499999997</v>
      </c>
      <c r="H441" s="6">
        <v>46100.767361111109</v>
      </c>
      <c r="I441">
        <v>1.25</v>
      </c>
      <c r="J441" s="6">
        <v>46100.773611111108</v>
      </c>
      <c r="K441" s="7">
        <f>C442-H441</f>
        <v>0.52430555555474712</v>
      </c>
      <c r="L441">
        <f>HOUR(K441)</f>
        <v>12</v>
      </c>
      <c r="M441">
        <f>MINUTE(K441)</f>
        <v>35</v>
      </c>
      <c r="N441">
        <f>L441*60+M441</f>
        <v>755</v>
      </c>
    </row>
    <row r="442" spans="2:14" hidden="1" x14ac:dyDescent="0.25">
      <c r="B442" t="s">
        <v>30</v>
      </c>
      <c r="C442" s="6">
        <v>46101.291666666664</v>
      </c>
      <c r="D442" s="6">
        <v>46101.329861111109</v>
      </c>
      <c r="E442" s="6">
        <v>46101.388888888891</v>
      </c>
      <c r="F442" s="6">
        <v>46101.611111111109</v>
      </c>
      <c r="G442" s="6">
        <v>46101.635416666664</v>
      </c>
      <c r="H442" s="6">
        <v>46101.645833333336</v>
      </c>
      <c r="I442">
        <v>8.5</v>
      </c>
      <c r="J442" s="6">
        <v>46101.652777777781</v>
      </c>
      <c r="K442" s="7">
        <f>C443-H442</f>
        <v>-0.3125</v>
      </c>
      <c r="L442" t="e">
        <f>HOUR(K442)</f>
        <v>#NUM!</v>
      </c>
      <c r="M442" t="e">
        <f>MINUTE(K442)</f>
        <v>#NUM!</v>
      </c>
      <c r="N442" t="e">
        <f>L442*60+M442</f>
        <v>#NUM!</v>
      </c>
    </row>
    <row r="443" spans="2:14" x14ac:dyDescent="0.25">
      <c r="B443" t="s">
        <v>30</v>
      </c>
      <c r="C443" s="6">
        <v>46101.333333333336</v>
      </c>
      <c r="D443" s="6">
        <v>46101.340277777781</v>
      </c>
      <c r="E443" s="6">
        <v>46101.347222222219</v>
      </c>
      <c r="F443" s="6">
        <v>46101.427083333336</v>
      </c>
      <c r="G443" s="6">
        <v>46101.434027777781</v>
      </c>
      <c r="H443" s="6">
        <v>46101.4375</v>
      </c>
      <c r="I443">
        <v>2.5</v>
      </c>
      <c r="J443" s="6">
        <v>46101.444444444445</v>
      </c>
      <c r="K443" s="7">
        <f>C444-H443</f>
        <v>0.90972222221898846</v>
      </c>
      <c r="L443">
        <f>HOUR(K443)</f>
        <v>21</v>
      </c>
      <c r="M443">
        <f>MINUTE(K443)</f>
        <v>50</v>
      </c>
      <c r="N443">
        <f>L443*60+M443</f>
        <v>1310</v>
      </c>
    </row>
    <row r="444" spans="2:14" x14ac:dyDescent="0.25">
      <c r="B444" t="s">
        <v>30</v>
      </c>
      <c r="C444" s="6">
        <v>46102.347222222219</v>
      </c>
      <c r="D444" s="6">
        <v>46102.357638888891</v>
      </c>
      <c r="E444" s="6">
        <v>46102.363194444442</v>
      </c>
      <c r="F444" s="6">
        <v>46102.39166666667</v>
      </c>
      <c r="G444" s="6">
        <v>46102.398611111108</v>
      </c>
      <c r="H444" s="6">
        <v>46102.402777777781</v>
      </c>
      <c r="I444">
        <v>1.33</v>
      </c>
      <c r="J444" s="6">
        <v>46102.409722222219</v>
      </c>
      <c r="K444" s="7">
        <f>C445-H444</f>
        <v>7.1527777778101154E-2</v>
      </c>
      <c r="L444">
        <f>HOUR(K444)</f>
        <v>1</v>
      </c>
      <c r="M444">
        <f>MINUTE(K444)</f>
        <v>43</v>
      </c>
      <c r="N444">
        <f>L444*60+M444</f>
        <v>103</v>
      </c>
    </row>
    <row r="445" spans="2:14" hidden="1" x14ac:dyDescent="0.25">
      <c r="B445" t="s">
        <v>30</v>
      </c>
      <c r="C445" s="6">
        <v>46102.474305555559</v>
      </c>
      <c r="D445" s="6">
        <v>46102.5</v>
      </c>
      <c r="E445" s="6">
        <v>46102.524305555555</v>
      </c>
      <c r="F445" s="6">
        <v>46102.583333333336</v>
      </c>
      <c r="G445" s="6">
        <v>46102.597222222219</v>
      </c>
      <c r="H445" s="6">
        <v>46102.604166666664</v>
      </c>
      <c r="I445">
        <v>3.12</v>
      </c>
      <c r="J445" s="6">
        <v>46102.604861111111</v>
      </c>
      <c r="K445" s="7">
        <f>C446-H445</f>
        <v>-9.1666666667151731E-2</v>
      </c>
      <c r="L445" t="e">
        <f>HOUR(K445)</f>
        <v>#NUM!</v>
      </c>
      <c r="M445" t="e">
        <f>MINUTE(K445)</f>
        <v>#NUM!</v>
      </c>
      <c r="N445" t="e">
        <f>L445*60+M445</f>
        <v>#NUM!</v>
      </c>
    </row>
    <row r="446" spans="2:14" x14ac:dyDescent="0.25">
      <c r="B446" t="s">
        <v>30</v>
      </c>
      <c r="C446" s="6">
        <v>46102.512499999997</v>
      </c>
      <c r="D446" s="6">
        <v>46102.513888888891</v>
      </c>
      <c r="E446" s="6">
        <v>46102.524305555555</v>
      </c>
      <c r="F446" s="6">
        <v>46102.552083333336</v>
      </c>
      <c r="G446" s="6">
        <v>46102.5625</v>
      </c>
      <c r="H446" s="6">
        <v>46102.565972222219</v>
      </c>
      <c r="I446">
        <v>1.28</v>
      </c>
      <c r="J446" s="6">
        <v>46102.572916666664</v>
      </c>
      <c r="K446" s="7">
        <f>C447-H446</f>
        <v>5.5555555562023073E-2</v>
      </c>
      <c r="L446">
        <f>HOUR(K446)</f>
        <v>1</v>
      </c>
      <c r="M446">
        <f>MINUTE(K446)</f>
        <v>20</v>
      </c>
      <c r="N446">
        <f>L446*60+M446</f>
        <v>80</v>
      </c>
    </row>
    <row r="447" spans="2:14" hidden="1" x14ac:dyDescent="0.25">
      <c r="B447" t="s">
        <v>30</v>
      </c>
      <c r="C447" s="6">
        <v>46102.621527777781</v>
      </c>
      <c r="D447" s="6">
        <v>46102.628472222219</v>
      </c>
      <c r="E447" s="6">
        <v>46102.642361111109</v>
      </c>
      <c r="F447" s="6">
        <v>46102.708333333336</v>
      </c>
      <c r="G447" s="6">
        <v>46102.711805555555</v>
      </c>
      <c r="H447" s="6">
        <v>46102.715277777781</v>
      </c>
      <c r="I447">
        <v>2.25</v>
      </c>
      <c r="J447" s="6">
        <v>46102.722222222219</v>
      </c>
      <c r="K447" s="7">
        <f>C448-H447</f>
        <v>-1.0416666671517305E-2</v>
      </c>
      <c r="L447" t="e">
        <f>HOUR(K447)</f>
        <v>#NUM!</v>
      </c>
      <c r="M447" t="e">
        <f>MINUTE(K447)</f>
        <v>#NUM!</v>
      </c>
      <c r="N447" t="e">
        <f>L447*60+M447</f>
        <v>#NUM!</v>
      </c>
    </row>
    <row r="448" spans="2:14" x14ac:dyDescent="0.25">
      <c r="B448" t="s">
        <v>30</v>
      </c>
      <c r="C448" s="6">
        <v>46102.704861111109</v>
      </c>
      <c r="D448" s="6">
        <v>46102.711805555555</v>
      </c>
      <c r="E448" s="6">
        <v>46102.722222222219</v>
      </c>
      <c r="F448" s="6">
        <v>46102.753472222219</v>
      </c>
      <c r="G448" s="6">
        <v>46102.760416666664</v>
      </c>
      <c r="H448" s="6">
        <v>46102.763888888891</v>
      </c>
      <c r="I448">
        <v>1.42</v>
      </c>
      <c r="J448" s="6">
        <v>46102.770833333336</v>
      </c>
      <c r="K448" s="7">
        <f>C449-H448</f>
        <v>0.10416666666424135</v>
      </c>
      <c r="L448">
        <f>HOUR(K448)</f>
        <v>2</v>
      </c>
      <c r="M448">
        <f>MINUTE(K448)</f>
        <v>30</v>
      </c>
      <c r="N448">
        <f>L448*60+M448</f>
        <v>150</v>
      </c>
    </row>
    <row r="449" spans="2:14" x14ac:dyDescent="0.25">
      <c r="B449" t="s">
        <v>30</v>
      </c>
      <c r="C449" s="6">
        <v>46102.868055555555</v>
      </c>
      <c r="D449" s="6">
        <v>46102.875</v>
      </c>
      <c r="E449" s="6">
        <v>46102.888888888891</v>
      </c>
      <c r="F449" s="6">
        <v>46102.927083333336</v>
      </c>
      <c r="G449" s="6">
        <v>46102.930555555555</v>
      </c>
      <c r="H449" s="6">
        <v>46102.934027777781</v>
      </c>
      <c r="I449">
        <v>1.58</v>
      </c>
      <c r="J449" s="6">
        <v>46102.9375</v>
      </c>
      <c r="K449" s="7">
        <f>C450-H449</f>
        <v>5.2083333328482695E-2</v>
      </c>
      <c r="L449">
        <f>HOUR(K449)</f>
        <v>1</v>
      </c>
      <c r="M449">
        <f>MINUTE(K449)</f>
        <v>15</v>
      </c>
      <c r="N449">
        <f>L449*60+M449</f>
        <v>75</v>
      </c>
    </row>
    <row r="450" spans="2:14" hidden="1" x14ac:dyDescent="0.25">
      <c r="B450" t="s">
        <v>30</v>
      </c>
      <c r="C450" s="6">
        <v>46102.986111111109</v>
      </c>
      <c r="D450" s="6">
        <v>46102.989583333336</v>
      </c>
      <c r="E450" s="6">
        <v>46103</v>
      </c>
      <c r="F450" s="6">
        <v>46103.036111111112</v>
      </c>
      <c r="G450" s="6">
        <v>46103.036805555559</v>
      </c>
      <c r="H450" s="6">
        <v>46103.037499999999</v>
      </c>
      <c r="I450">
        <v>1.23</v>
      </c>
      <c r="J450" s="6">
        <v>46103.038194444445</v>
      </c>
      <c r="K450" s="7">
        <f>C451-H450</f>
        <v>-1.6666666662786156E-2</v>
      </c>
      <c r="L450" t="e">
        <f>HOUR(K450)</f>
        <v>#NUM!</v>
      </c>
      <c r="M450" t="e">
        <f>MINUTE(K450)</f>
        <v>#NUM!</v>
      </c>
      <c r="N450" t="e">
        <f>L450*60+M450</f>
        <v>#NUM!</v>
      </c>
    </row>
    <row r="451" spans="2:14" hidden="1" x14ac:dyDescent="0.25">
      <c r="B451" t="s">
        <v>30</v>
      </c>
      <c r="C451" s="6">
        <v>46103.020833333336</v>
      </c>
      <c r="D451" s="6">
        <v>46103.024305555555</v>
      </c>
      <c r="E451" s="6">
        <v>46103.041666666664</v>
      </c>
      <c r="F451" s="6">
        <v>46103.10833333333</v>
      </c>
      <c r="G451" s="6">
        <v>46103.125</v>
      </c>
      <c r="H451" s="6">
        <v>46103.135416666664</v>
      </c>
      <c r="I451">
        <v>2.75</v>
      </c>
      <c r="J451" s="6">
        <v>46103.142361111109</v>
      </c>
      <c r="K451" s="7">
        <f>C452-H451</f>
        <v>-7.9861111109494232E-2</v>
      </c>
      <c r="L451" t="e">
        <f>HOUR(K451)</f>
        <v>#NUM!</v>
      </c>
      <c r="M451" t="e">
        <f>MINUTE(K451)</f>
        <v>#NUM!</v>
      </c>
      <c r="N451" t="e">
        <f>L451*60+M451</f>
        <v>#NUM!</v>
      </c>
    </row>
    <row r="452" spans="2:14" x14ac:dyDescent="0.25">
      <c r="B452" t="s">
        <v>30</v>
      </c>
      <c r="C452" s="6">
        <v>46103.055555555555</v>
      </c>
      <c r="D452" s="6">
        <v>46103.0625</v>
      </c>
      <c r="E452" s="6">
        <v>46103.076388888891</v>
      </c>
      <c r="F452" s="6">
        <v>46103.145833333336</v>
      </c>
      <c r="G452" s="6">
        <v>46103.152777777781</v>
      </c>
      <c r="H452" s="6">
        <v>46103.159722222219</v>
      </c>
      <c r="I452">
        <v>2.5</v>
      </c>
      <c r="J452" s="6">
        <v>46103.166666666664</v>
      </c>
      <c r="K452" s="7">
        <f>C453-H452</f>
        <v>0.25694444444525288</v>
      </c>
      <c r="L452">
        <f>HOUR(K452)</f>
        <v>6</v>
      </c>
      <c r="M452">
        <f>MINUTE(K452)</f>
        <v>10</v>
      </c>
      <c r="N452">
        <f>L452*60+M452</f>
        <v>370</v>
      </c>
    </row>
    <row r="453" spans="2:14" hidden="1" x14ac:dyDescent="0.25">
      <c r="B453" t="s">
        <v>30</v>
      </c>
      <c r="C453" s="6">
        <v>46103.416666666664</v>
      </c>
      <c r="D453" s="6">
        <v>46103.423611111109</v>
      </c>
      <c r="E453" s="6">
        <v>46103.427083333336</v>
      </c>
      <c r="F453" s="6">
        <v>46103.444444444445</v>
      </c>
      <c r="G453" s="6">
        <v>46103.447916666664</v>
      </c>
      <c r="H453" s="6">
        <v>46103.458333333336</v>
      </c>
      <c r="I453">
        <v>1</v>
      </c>
      <c r="J453" s="6">
        <v>46103.465277777781</v>
      </c>
      <c r="K453" s="7">
        <f>C454-H453</f>
        <v>-3.4722222262644209E-3</v>
      </c>
      <c r="L453" t="e">
        <f>HOUR(K453)</f>
        <v>#NUM!</v>
      </c>
      <c r="M453" t="e">
        <f>MINUTE(K453)</f>
        <v>#NUM!</v>
      </c>
      <c r="N453" t="e">
        <f>L453*60+M453</f>
        <v>#NUM!</v>
      </c>
    </row>
    <row r="454" spans="2:14" x14ac:dyDescent="0.25">
      <c r="B454" t="s">
        <v>30</v>
      </c>
      <c r="C454" s="6">
        <v>46103.454861111109</v>
      </c>
      <c r="D454" s="6">
        <v>46103.475694444445</v>
      </c>
      <c r="E454" s="6">
        <v>46103.479166666664</v>
      </c>
      <c r="F454" s="6">
        <v>46103.5</v>
      </c>
      <c r="G454" s="6">
        <v>46103.506944444445</v>
      </c>
      <c r="H454" s="6">
        <v>46103.507638888892</v>
      </c>
      <c r="I454">
        <v>1.27</v>
      </c>
      <c r="J454" s="6">
        <v>46103.508333333331</v>
      </c>
      <c r="K454" s="7">
        <f>C455-H454</f>
        <v>0.14513888888905058</v>
      </c>
      <c r="L454">
        <f>HOUR(K454)</f>
        <v>3</v>
      </c>
      <c r="M454">
        <f>MINUTE(K454)</f>
        <v>29</v>
      </c>
      <c r="N454">
        <f>L454*60+M454</f>
        <v>209</v>
      </c>
    </row>
    <row r="455" spans="2:14" hidden="1" x14ac:dyDescent="0.25">
      <c r="B455" t="s">
        <v>30</v>
      </c>
      <c r="C455" s="6">
        <v>46103.652777777781</v>
      </c>
      <c r="D455" s="6">
        <v>46103.65625</v>
      </c>
      <c r="E455" s="6">
        <v>46103.659722222219</v>
      </c>
      <c r="F455" s="6">
        <v>46103.684027777781</v>
      </c>
      <c r="G455" s="6">
        <v>46103.690972222219</v>
      </c>
      <c r="H455" s="6">
        <v>46103.694444444445</v>
      </c>
      <c r="I455">
        <v>1</v>
      </c>
      <c r="J455" s="6">
        <v>46103.701388888891</v>
      </c>
      <c r="K455" s="7">
        <f>C456-H455</f>
        <v>-3.125E-2</v>
      </c>
      <c r="L455" t="e">
        <f>HOUR(K455)</f>
        <v>#NUM!</v>
      </c>
      <c r="M455" t="e">
        <f>MINUTE(K455)</f>
        <v>#NUM!</v>
      </c>
      <c r="N455" t="e">
        <f>L455*60+M455</f>
        <v>#NUM!</v>
      </c>
    </row>
    <row r="456" spans="2:14" x14ac:dyDescent="0.25">
      <c r="B456" t="s">
        <v>30</v>
      </c>
      <c r="C456" s="6">
        <v>46103.663194444445</v>
      </c>
      <c r="D456" s="6">
        <v>46103.677083333336</v>
      </c>
      <c r="E456" s="6">
        <v>46103.690972222219</v>
      </c>
      <c r="F456" s="6">
        <v>46103.711805555555</v>
      </c>
      <c r="G456" s="6">
        <v>46103.71875</v>
      </c>
      <c r="H456" s="6">
        <v>46103.732638888891</v>
      </c>
      <c r="I456">
        <v>1.67</v>
      </c>
      <c r="J456" s="6">
        <v>46103.739583333336</v>
      </c>
      <c r="K456" s="7">
        <f>C457-H456</f>
        <v>8.5416666668606922E-2</v>
      </c>
      <c r="L456">
        <f>HOUR(K456)</f>
        <v>2</v>
      </c>
      <c r="M456">
        <f>MINUTE(K456)</f>
        <v>3</v>
      </c>
      <c r="N456">
        <f>L456*60+M456</f>
        <v>123</v>
      </c>
    </row>
    <row r="457" spans="2:14" x14ac:dyDescent="0.25">
      <c r="B457" t="s">
        <v>30</v>
      </c>
      <c r="C457" s="6">
        <v>46103.818055555559</v>
      </c>
      <c r="D457" s="6">
        <v>46103.824999999997</v>
      </c>
      <c r="E457" s="6">
        <v>46103.833333333336</v>
      </c>
      <c r="F457" s="6">
        <v>46103.881944444445</v>
      </c>
      <c r="G457" s="6">
        <v>46103.885416666664</v>
      </c>
      <c r="H457" s="6">
        <v>46103.895833333336</v>
      </c>
      <c r="I457">
        <v>1.87</v>
      </c>
      <c r="J457" s="6">
        <v>46103.899305555555</v>
      </c>
      <c r="K457" s="7">
        <f>C458-H457</f>
        <v>0.13680555555038154</v>
      </c>
      <c r="L457">
        <f>HOUR(K457)</f>
        <v>3</v>
      </c>
      <c r="M457">
        <f>MINUTE(K457)</f>
        <v>17</v>
      </c>
      <c r="N457">
        <f>L457*60+M457</f>
        <v>197</v>
      </c>
    </row>
    <row r="458" spans="2:14" x14ac:dyDescent="0.25">
      <c r="B458" t="s">
        <v>30</v>
      </c>
      <c r="C458" s="6">
        <v>46104.032638888886</v>
      </c>
      <c r="D458" s="6">
        <v>46104.041666666664</v>
      </c>
      <c r="E458" s="6">
        <v>46104.052083333336</v>
      </c>
      <c r="F458" s="6">
        <v>46104.086111111108</v>
      </c>
      <c r="G458" s="6">
        <v>46104.093055555553</v>
      </c>
      <c r="H458" s="6">
        <v>46104.097222222219</v>
      </c>
      <c r="I458">
        <v>1.55</v>
      </c>
      <c r="J458" s="6">
        <v>46104.098611111112</v>
      </c>
      <c r="K458" s="7">
        <f>C459-H458</f>
        <v>0.19097222222626442</v>
      </c>
      <c r="L458">
        <f>HOUR(K458)</f>
        <v>4</v>
      </c>
      <c r="M458">
        <f>MINUTE(K458)</f>
        <v>35</v>
      </c>
      <c r="N458">
        <f>L458*60+M458</f>
        <v>275</v>
      </c>
    </row>
    <row r="459" spans="2:14" x14ac:dyDescent="0.25">
      <c r="B459" t="s">
        <v>30</v>
      </c>
      <c r="C459" s="6">
        <v>46104.288194444445</v>
      </c>
      <c r="D459" s="6">
        <v>46104.3125</v>
      </c>
      <c r="E459" s="6">
        <v>46104.329861111109</v>
      </c>
      <c r="F459" s="6">
        <v>46104.412499999999</v>
      </c>
      <c r="G459" s="6">
        <v>46104.423611111109</v>
      </c>
      <c r="H459" s="6">
        <v>46104.4375</v>
      </c>
      <c r="I459">
        <v>3.58</v>
      </c>
      <c r="J459" s="6">
        <v>46104.444444444445</v>
      </c>
      <c r="K459" s="7">
        <f>C460-H459</f>
        <v>4.8611111109494232E-2</v>
      </c>
      <c r="L459">
        <f>HOUR(K459)</f>
        <v>1</v>
      </c>
      <c r="M459">
        <f>MINUTE(K459)</f>
        <v>10</v>
      </c>
      <c r="N459">
        <f>L459*60+M459</f>
        <v>70</v>
      </c>
    </row>
    <row r="460" spans="2:14" x14ac:dyDescent="0.25">
      <c r="B460" t="s">
        <v>30</v>
      </c>
      <c r="C460" s="6">
        <v>46104.486111111109</v>
      </c>
      <c r="D460" s="6">
        <v>46104.5</v>
      </c>
      <c r="E460" s="6">
        <v>46104.513888888891</v>
      </c>
      <c r="F460" s="6">
        <v>46104.543055555558</v>
      </c>
      <c r="G460" s="6">
        <v>46104.55</v>
      </c>
      <c r="H460" s="6">
        <v>46104.552083333336</v>
      </c>
      <c r="I460">
        <v>1.58</v>
      </c>
      <c r="J460" s="6">
        <v>46104.559027777781</v>
      </c>
      <c r="K460" s="7">
        <f>C461-H460</f>
        <v>8.6805555554747116E-2</v>
      </c>
      <c r="L460">
        <f>HOUR(K460)</f>
        <v>2</v>
      </c>
      <c r="M460">
        <f>MINUTE(K460)</f>
        <v>5</v>
      </c>
      <c r="N460">
        <f>L460*60+M460</f>
        <v>125</v>
      </c>
    </row>
    <row r="461" spans="2:14" hidden="1" x14ac:dyDescent="0.25">
      <c r="B461" t="s">
        <v>30</v>
      </c>
      <c r="C461" s="6">
        <v>46104.638888888891</v>
      </c>
      <c r="D461" s="6">
        <v>46104.645833333336</v>
      </c>
      <c r="E461" s="6">
        <v>46104.71875</v>
      </c>
      <c r="F461" s="6">
        <v>46104.739583333336</v>
      </c>
      <c r="G461" s="6">
        <v>46104.763888888891</v>
      </c>
      <c r="H461" s="6">
        <v>46104.791666666664</v>
      </c>
      <c r="I461">
        <v>3.67</v>
      </c>
      <c r="J461" s="6">
        <v>46104.798611111109</v>
      </c>
      <c r="K461" s="7">
        <f>C462-H461</f>
        <v>-3.4722222218988463E-2</v>
      </c>
      <c r="L461" t="e">
        <f>HOUR(K461)</f>
        <v>#NUM!</v>
      </c>
      <c r="M461" t="e">
        <f>MINUTE(K461)</f>
        <v>#NUM!</v>
      </c>
      <c r="N461" t="e">
        <f>L461*60+M461</f>
        <v>#NUM!</v>
      </c>
    </row>
    <row r="462" spans="2:14" hidden="1" x14ac:dyDescent="0.25">
      <c r="B462" t="s">
        <v>30</v>
      </c>
      <c r="C462" s="6">
        <v>46104.756944444445</v>
      </c>
      <c r="D462" s="6">
        <v>46104.770833333336</v>
      </c>
      <c r="E462" s="6">
        <v>46104.78125</v>
      </c>
      <c r="F462" s="6">
        <v>46104.85833333333</v>
      </c>
      <c r="G462" s="6">
        <v>46104.865277777775</v>
      </c>
      <c r="H462" s="6">
        <v>46104.9375</v>
      </c>
      <c r="I462">
        <v>4.33</v>
      </c>
      <c r="J462" s="6">
        <v>46104.938888888886</v>
      </c>
      <c r="K462" s="7">
        <f>C463-H462</f>
        <v>-0.16319444444525288</v>
      </c>
      <c r="L462" t="e">
        <f>HOUR(K462)</f>
        <v>#NUM!</v>
      </c>
      <c r="M462" t="e">
        <f>MINUTE(K462)</f>
        <v>#NUM!</v>
      </c>
      <c r="N462" t="e">
        <f>L462*60+M462</f>
        <v>#NUM!</v>
      </c>
    </row>
    <row r="463" spans="2:14" x14ac:dyDescent="0.25">
      <c r="B463" t="s">
        <v>30</v>
      </c>
      <c r="C463" s="6">
        <v>46104.774305555555</v>
      </c>
      <c r="D463" s="6">
        <v>46104.777777777781</v>
      </c>
      <c r="E463" s="6">
        <v>46104.78125</v>
      </c>
      <c r="F463" s="6">
        <v>46104.805555555555</v>
      </c>
      <c r="G463" s="6">
        <v>46104.826388888891</v>
      </c>
      <c r="H463" s="6">
        <v>46104.833333333336</v>
      </c>
      <c r="I463">
        <v>1.42</v>
      </c>
      <c r="J463" s="6">
        <v>46104.836805555555</v>
      </c>
      <c r="K463" s="7">
        <f>C464-H463</f>
        <v>7.2222222217533272E-2</v>
      </c>
      <c r="L463">
        <f>HOUR(K463)</f>
        <v>1</v>
      </c>
      <c r="M463">
        <f>MINUTE(K463)</f>
        <v>44</v>
      </c>
      <c r="N463">
        <f>L463*60+M463</f>
        <v>104</v>
      </c>
    </row>
    <row r="464" spans="2:14" x14ac:dyDescent="0.25">
      <c r="B464" t="s">
        <v>30</v>
      </c>
      <c r="C464" s="6">
        <v>46104.905555555553</v>
      </c>
      <c r="D464" s="6">
        <v>46104.913194444445</v>
      </c>
      <c r="E464" s="6">
        <v>46104.923611111109</v>
      </c>
      <c r="F464" s="6">
        <v>46104.965277777781</v>
      </c>
      <c r="G464" s="6">
        <v>46104.96875</v>
      </c>
      <c r="H464" s="6">
        <v>46104.969444444447</v>
      </c>
      <c r="I464">
        <v>1.53</v>
      </c>
      <c r="J464" s="6">
        <v>46104.976388888892</v>
      </c>
      <c r="K464" s="7">
        <f>C465-H464</f>
        <v>0.32222222221753327</v>
      </c>
      <c r="L464">
        <f>HOUR(K464)</f>
        <v>7</v>
      </c>
      <c r="M464">
        <f>MINUTE(K464)</f>
        <v>44</v>
      </c>
      <c r="N464">
        <f>L464*60+M464</f>
        <v>464</v>
      </c>
    </row>
    <row r="465" spans="2:14" hidden="1" x14ac:dyDescent="0.25">
      <c r="B465" t="s">
        <v>30</v>
      </c>
      <c r="C465" s="6">
        <v>46105.291666666664</v>
      </c>
      <c r="D465" s="6">
        <v>46105.298611111109</v>
      </c>
      <c r="E465" s="6">
        <v>46105.302083333336</v>
      </c>
      <c r="F465" s="6">
        <v>46105.305555555555</v>
      </c>
      <c r="G465" s="6">
        <v>46105.309027777781</v>
      </c>
      <c r="H465" s="6">
        <v>46105.3125</v>
      </c>
      <c r="I465">
        <v>0.5</v>
      </c>
      <c r="J465" s="6">
        <v>46105.319444444445</v>
      </c>
      <c r="K465" s="7">
        <f>C466-H465</f>
        <v>0</v>
      </c>
      <c r="L465">
        <f>HOUR(K465)</f>
        <v>0</v>
      </c>
      <c r="M465">
        <f>MINUTE(K465)</f>
        <v>0</v>
      </c>
      <c r="N465">
        <f>L465*60+M465</f>
        <v>0</v>
      </c>
    </row>
    <row r="466" spans="2:14" x14ac:dyDescent="0.25">
      <c r="B466" t="s">
        <v>30</v>
      </c>
      <c r="C466" s="6">
        <v>46105.3125</v>
      </c>
      <c r="D466" s="6">
        <v>46105.319444444445</v>
      </c>
      <c r="E466" s="6">
        <v>46105.354166666664</v>
      </c>
      <c r="F466" s="6">
        <v>46105.510416666664</v>
      </c>
      <c r="G466" s="6">
        <v>46105.513888888891</v>
      </c>
      <c r="H466" s="6">
        <v>46105.524305555555</v>
      </c>
      <c r="I466">
        <v>5.08</v>
      </c>
      <c r="J466" s="6">
        <v>46105.53125</v>
      </c>
      <c r="K466" s="7">
        <f>C467-H466</f>
        <v>5.1388888889050577E-2</v>
      </c>
      <c r="L466">
        <f>HOUR(K466)</f>
        <v>1</v>
      </c>
      <c r="M466">
        <f>MINUTE(K466)</f>
        <v>14</v>
      </c>
      <c r="N466">
        <f>L466*60+M466</f>
        <v>74</v>
      </c>
    </row>
    <row r="467" spans="2:14" x14ac:dyDescent="0.25">
      <c r="B467" t="s">
        <v>30</v>
      </c>
      <c r="C467" s="6">
        <v>46105.575694444444</v>
      </c>
      <c r="D467" s="6">
        <v>46105.579861111109</v>
      </c>
      <c r="E467" s="6">
        <v>46105.59375</v>
      </c>
      <c r="F467" s="6">
        <v>46105.625</v>
      </c>
      <c r="G467" s="6">
        <v>46105.631944444445</v>
      </c>
      <c r="H467" s="6">
        <v>46105.638888888891</v>
      </c>
      <c r="I467">
        <v>1.52</v>
      </c>
      <c r="J467" s="6">
        <v>46105.645833333336</v>
      </c>
      <c r="K467" s="7">
        <f>C468-H467</f>
        <v>6.25E-2</v>
      </c>
      <c r="L467">
        <f>HOUR(K467)</f>
        <v>1</v>
      </c>
      <c r="M467">
        <f>MINUTE(K467)</f>
        <v>30</v>
      </c>
      <c r="N467">
        <f>L467*60+M467</f>
        <v>90</v>
      </c>
    </row>
    <row r="468" spans="2:14" hidden="1" x14ac:dyDescent="0.25">
      <c r="B468" t="s">
        <v>30</v>
      </c>
      <c r="C468" s="6">
        <v>46105.701388888891</v>
      </c>
      <c r="D468" s="6">
        <v>46105.729166666664</v>
      </c>
      <c r="E468" s="6">
        <v>46105.763888888891</v>
      </c>
      <c r="F468" s="6">
        <v>46105.880555555559</v>
      </c>
      <c r="G468" s="6">
        <v>46105.887499999997</v>
      </c>
      <c r="H468" s="6">
        <v>46105.888888888891</v>
      </c>
      <c r="I468">
        <v>4.5</v>
      </c>
      <c r="J468" s="6">
        <v>46105.892361111109</v>
      </c>
      <c r="K468" s="7">
        <f>C469-H468</f>
        <v>-0.10763888889050577</v>
      </c>
      <c r="L468" t="e">
        <f>HOUR(K468)</f>
        <v>#NUM!</v>
      </c>
      <c r="M468" t="e">
        <f>MINUTE(K468)</f>
        <v>#NUM!</v>
      </c>
      <c r="N468" t="e">
        <f>L468*60+M468</f>
        <v>#NUM!</v>
      </c>
    </row>
    <row r="469" spans="2:14" x14ac:dyDescent="0.25">
      <c r="B469" t="s">
        <v>30</v>
      </c>
      <c r="C469" s="6">
        <v>46105.78125</v>
      </c>
      <c r="D469" s="6">
        <v>46105.783333333333</v>
      </c>
      <c r="E469" s="6">
        <v>46105.784722222219</v>
      </c>
      <c r="F469" s="6">
        <v>46105.805555555555</v>
      </c>
      <c r="G469" s="6">
        <v>46105.8125</v>
      </c>
      <c r="H469" s="6">
        <v>46105.819444444445</v>
      </c>
      <c r="I469">
        <v>0.92</v>
      </c>
      <c r="J469" s="6">
        <v>46105.826388888891</v>
      </c>
      <c r="K469" s="7">
        <f>C470-H469</f>
        <v>0.50694444444525288</v>
      </c>
      <c r="L469">
        <f>HOUR(K469)</f>
        <v>12</v>
      </c>
      <c r="M469">
        <f>MINUTE(K469)</f>
        <v>10</v>
      </c>
      <c r="N469">
        <f>L469*60+M469</f>
        <v>730</v>
      </c>
    </row>
    <row r="470" spans="2:14" x14ac:dyDescent="0.25">
      <c r="B470" t="s">
        <v>30</v>
      </c>
      <c r="C470" s="6">
        <v>46106.326388888891</v>
      </c>
      <c r="D470" s="6">
        <v>46106.333333333336</v>
      </c>
      <c r="E470" s="6">
        <v>46106.354166666664</v>
      </c>
      <c r="F470" s="6">
        <v>46106.4375</v>
      </c>
      <c r="G470" s="6">
        <v>46106.440972222219</v>
      </c>
      <c r="H470" s="6">
        <v>46106.443055555559</v>
      </c>
      <c r="I470">
        <v>2.8</v>
      </c>
      <c r="J470" s="6">
        <v>46106.45</v>
      </c>
      <c r="K470" s="7">
        <f>C471-H470</f>
        <v>2.9166666659875773E-2</v>
      </c>
      <c r="L470">
        <f>HOUR(K470)</f>
        <v>0</v>
      </c>
      <c r="M470">
        <f>MINUTE(K470)</f>
        <v>42</v>
      </c>
      <c r="N470">
        <f>L470*60+M470</f>
        <v>42</v>
      </c>
    </row>
    <row r="471" spans="2:14" x14ac:dyDescent="0.25">
      <c r="B471" t="s">
        <v>30</v>
      </c>
      <c r="C471" s="6">
        <v>46106.472222222219</v>
      </c>
      <c r="D471" s="6">
        <v>46106.482638888891</v>
      </c>
      <c r="E471" s="6">
        <v>46106.497916666667</v>
      </c>
      <c r="F471" s="6">
        <v>46106.576388888891</v>
      </c>
      <c r="G471" s="6">
        <v>46106.583333333336</v>
      </c>
      <c r="H471" s="6">
        <v>46106.59375</v>
      </c>
      <c r="I471">
        <v>2.92</v>
      </c>
      <c r="J471" s="6">
        <v>46106.600694444445</v>
      </c>
      <c r="K471" s="7">
        <f>C472-H471</f>
        <v>2.4305555554747116E-2</v>
      </c>
      <c r="L471">
        <f>HOUR(K471)</f>
        <v>0</v>
      </c>
      <c r="M471">
        <f>MINUTE(K471)</f>
        <v>35</v>
      </c>
      <c r="N471">
        <f>L471*60+M471</f>
        <v>35</v>
      </c>
    </row>
    <row r="472" spans="2:14" hidden="1" x14ac:dyDescent="0.25">
      <c r="B472" t="s">
        <v>30</v>
      </c>
      <c r="C472" s="6">
        <v>46106.618055555555</v>
      </c>
      <c r="D472" s="6">
        <v>46106.625</v>
      </c>
      <c r="E472" s="6">
        <v>46106.638888888891</v>
      </c>
      <c r="F472" s="6">
        <v>46106.715277777781</v>
      </c>
      <c r="G472" s="6">
        <v>46106.722222222219</v>
      </c>
      <c r="H472" s="6">
        <v>46106.739583333336</v>
      </c>
      <c r="I472">
        <v>2.92</v>
      </c>
      <c r="J472" s="6">
        <v>46106.740277777775</v>
      </c>
      <c r="K472" s="7">
        <f>C473-H472</f>
        <v>-0.11458333333575865</v>
      </c>
      <c r="L472" t="e">
        <f>HOUR(K472)</f>
        <v>#NUM!</v>
      </c>
      <c r="M472" t="e">
        <f>MINUTE(K472)</f>
        <v>#NUM!</v>
      </c>
      <c r="N472" t="e">
        <f>L472*60+M472</f>
        <v>#NUM!</v>
      </c>
    </row>
    <row r="473" spans="2:14" x14ac:dyDescent="0.25">
      <c r="B473" t="s">
        <v>30</v>
      </c>
      <c r="C473" s="6">
        <v>46106.625</v>
      </c>
      <c r="D473" s="6">
        <v>46106.638888888891</v>
      </c>
      <c r="E473" s="6">
        <v>46106.645833333336</v>
      </c>
      <c r="F473" s="6">
        <v>46106.715277777781</v>
      </c>
      <c r="G473" s="6">
        <v>46106.71875</v>
      </c>
      <c r="H473" s="6">
        <v>46106.722222222219</v>
      </c>
      <c r="I473">
        <v>2.33</v>
      </c>
      <c r="J473" s="6">
        <v>46106.729166666664</v>
      </c>
      <c r="K473" s="7">
        <f>C474-H473</f>
        <v>0.15972222222626442</v>
      </c>
      <c r="L473">
        <f>HOUR(K473)</f>
        <v>3</v>
      </c>
      <c r="M473">
        <f>MINUTE(K473)</f>
        <v>50</v>
      </c>
      <c r="N473">
        <f>L473*60+M473</f>
        <v>230</v>
      </c>
    </row>
    <row r="474" spans="2:14" hidden="1" x14ac:dyDescent="0.25">
      <c r="B474" t="s">
        <v>30</v>
      </c>
      <c r="C474" s="6">
        <v>46106.881944444445</v>
      </c>
      <c r="D474" s="6">
        <v>46106.892361111109</v>
      </c>
      <c r="E474" s="6">
        <v>46106.899305555555</v>
      </c>
      <c r="F474" s="6">
        <v>46106.923611111109</v>
      </c>
      <c r="G474" s="6">
        <v>46106.927083333336</v>
      </c>
      <c r="H474" s="6">
        <v>46106.936111111114</v>
      </c>
      <c r="I474">
        <v>1.3</v>
      </c>
      <c r="J474" s="6">
        <v>46106.936805555553</v>
      </c>
      <c r="K474" s="7">
        <f>C475-H474</f>
        <v>-5.4166666668606922E-2</v>
      </c>
      <c r="L474" t="e">
        <f>HOUR(K474)</f>
        <v>#NUM!</v>
      </c>
      <c r="M474" t="e">
        <f>MINUTE(K474)</f>
        <v>#NUM!</v>
      </c>
      <c r="N474" t="e">
        <f>L474*60+M474</f>
        <v>#NUM!</v>
      </c>
    </row>
    <row r="475" spans="2:14" x14ac:dyDescent="0.25">
      <c r="B475" t="s">
        <v>30</v>
      </c>
      <c r="C475" s="6">
        <v>46106.881944444445</v>
      </c>
      <c r="D475" s="6">
        <v>46106.902777777781</v>
      </c>
      <c r="E475" s="6">
        <v>46106.923611111109</v>
      </c>
      <c r="F475" s="6">
        <v>46106.947916666664</v>
      </c>
      <c r="G475" s="6">
        <v>46106.954861111109</v>
      </c>
      <c r="H475" s="6">
        <v>46106.958333333336</v>
      </c>
      <c r="I475">
        <v>1.83</v>
      </c>
      <c r="J475" s="6">
        <v>46106.965277777781</v>
      </c>
      <c r="K475" s="7">
        <f>C476-H475</f>
        <v>2.0138888889050577E-2</v>
      </c>
      <c r="L475">
        <f>HOUR(K475)</f>
        <v>0</v>
      </c>
      <c r="M475">
        <f>MINUTE(K475)</f>
        <v>29</v>
      </c>
      <c r="N475">
        <f>L475*60+M475</f>
        <v>29</v>
      </c>
    </row>
    <row r="476" spans="2:14" x14ac:dyDescent="0.25">
      <c r="B476" t="s">
        <v>30</v>
      </c>
      <c r="C476" s="6">
        <v>46106.978472222225</v>
      </c>
      <c r="D476" s="6">
        <v>46106.979166666664</v>
      </c>
      <c r="E476" s="6">
        <v>46106.989583333336</v>
      </c>
      <c r="F476" s="6">
        <v>46106.999305555553</v>
      </c>
      <c r="G476" s="6">
        <v>46107.006249999999</v>
      </c>
      <c r="H476" s="6">
        <v>46107.010416666664</v>
      </c>
      <c r="I476">
        <v>0.77</v>
      </c>
      <c r="J476" s="6">
        <v>46107.017361111109</v>
      </c>
      <c r="K476" s="7">
        <f>C477-H476</f>
        <v>0.28125</v>
      </c>
      <c r="L476">
        <f>HOUR(K476)</f>
        <v>6</v>
      </c>
      <c r="M476">
        <f>MINUTE(K476)</f>
        <v>45</v>
      </c>
      <c r="N476">
        <f>L476*60+M476</f>
        <v>405</v>
      </c>
    </row>
    <row r="477" spans="2:14" x14ac:dyDescent="0.25">
      <c r="B477" t="s">
        <v>30</v>
      </c>
      <c r="C477" s="6">
        <v>46107.291666666664</v>
      </c>
      <c r="D477" s="6">
        <v>46107.3125</v>
      </c>
      <c r="E477" s="6">
        <v>46107.333333333336</v>
      </c>
      <c r="F477" s="6">
        <v>46107.354166666664</v>
      </c>
      <c r="G477" s="6">
        <v>46107.361111111109</v>
      </c>
      <c r="H477" s="6">
        <v>46107.364583333336</v>
      </c>
      <c r="I477">
        <v>1.75</v>
      </c>
      <c r="J477" s="6">
        <v>46107.371527777781</v>
      </c>
      <c r="K477" s="7">
        <f>C478-H477</f>
        <v>8.333333331393078E-3</v>
      </c>
      <c r="L477">
        <f>HOUR(K477)</f>
        <v>0</v>
      </c>
      <c r="M477">
        <f>MINUTE(K477)</f>
        <v>12</v>
      </c>
      <c r="N477">
        <f>L477*60+M477</f>
        <v>12</v>
      </c>
    </row>
    <row r="478" spans="2:14" hidden="1" x14ac:dyDescent="0.25">
      <c r="B478" t="s">
        <v>30</v>
      </c>
      <c r="C478" s="6">
        <v>46107.372916666667</v>
      </c>
      <c r="D478" s="6">
        <v>46107.373611111114</v>
      </c>
      <c r="E478" s="6">
        <v>46107.375</v>
      </c>
      <c r="F478" s="6">
        <v>46107.376388888886</v>
      </c>
      <c r="G478" s="6">
        <v>46107.377083333333</v>
      </c>
      <c r="H478" s="6">
        <v>46107.385416666664</v>
      </c>
      <c r="I478">
        <v>0.3</v>
      </c>
      <c r="J478" s="6">
        <v>46107.392361111109</v>
      </c>
      <c r="K478" s="7">
        <f>C479-H478</f>
        <v>3.4722222262644209E-3</v>
      </c>
      <c r="L478">
        <f>HOUR(K478)</f>
        <v>0</v>
      </c>
      <c r="M478">
        <f>MINUTE(K478)</f>
        <v>5</v>
      </c>
      <c r="N478">
        <f>L478*60+M478</f>
        <v>5</v>
      </c>
    </row>
    <row r="479" spans="2:14" hidden="1" x14ac:dyDescent="0.25">
      <c r="B479" t="s">
        <v>30</v>
      </c>
      <c r="C479" s="6">
        <v>46107.388888888891</v>
      </c>
      <c r="D479" s="6">
        <v>46107.409722222219</v>
      </c>
      <c r="E479" s="6">
        <v>46107.420138888891</v>
      </c>
      <c r="F479" s="6">
        <v>46107.506944444445</v>
      </c>
      <c r="G479" s="6">
        <v>46107.513888888891</v>
      </c>
      <c r="H479" s="6">
        <v>46107.51458333333</v>
      </c>
      <c r="I479">
        <v>3.02</v>
      </c>
      <c r="J479" s="6">
        <v>46107.517361111109</v>
      </c>
      <c r="K479" s="7">
        <f>C480-H479</f>
        <v>-5.9722222220443655E-2</v>
      </c>
      <c r="L479" t="e">
        <f>HOUR(K479)</f>
        <v>#NUM!</v>
      </c>
      <c r="M479" t="e">
        <f>MINUTE(K479)</f>
        <v>#NUM!</v>
      </c>
      <c r="N479" t="e">
        <f>L479*60+M479</f>
        <v>#NUM!</v>
      </c>
    </row>
    <row r="480" spans="2:14" hidden="1" x14ac:dyDescent="0.25">
      <c r="B480" t="s">
        <v>30</v>
      </c>
      <c r="C480" s="6">
        <v>46107.454861111109</v>
      </c>
      <c r="D480" s="6">
        <v>46107.465277777781</v>
      </c>
      <c r="E480" s="6">
        <v>46107.493055555555</v>
      </c>
      <c r="F480" s="6">
        <v>46107.548611111109</v>
      </c>
      <c r="G480" s="6">
        <v>46107.555555555555</v>
      </c>
      <c r="H480" s="6">
        <v>46107.565972222219</v>
      </c>
      <c r="I480">
        <v>2.67</v>
      </c>
      <c r="J480" s="6">
        <v>46107.566666666666</v>
      </c>
      <c r="K480" s="7">
        <f>C481-H480</f>
        <v>-0.10763888888322981</v>
      </c>
      <c r="L480" t="e">
        <f>HOUR(K480)</f>
        <v>#NUM!</v>
      </c>
      <c r="M480" t="e">
        <f>MINUTE(K480)</f>
        <v>#NUM!</v>
      </c>
      <c r="N480" t="e">
        <f>L480*60+M480</f>
        <v>#NUM!</v>
      </c>
    </row>
    <row r="481" spans="2:14" hidden="1" x14ac:dyDescent="0.25">
      <c r="B481" t="s">
        <v>30</v>
      </c>
      <c r="C481" s="6">
        <v>46107.458333333336</v>
      </c>
      <c r="D481" s="6">
        <v>46107.46875</v>
      </c>
      <c r="E481" s="6">
        <v>46107.475694444445</v>
      </c>
      <c r="F481" s="6">
        <v>46107.659722222219</v>
      </c>
      <c r="G481" s="6">
        <v>46107.666666666664</v>
      </c>
      <c r="H481" s="6">
        <v>46107.668055555558</v>
      </c>
      <c r="I481">
        <v>5.03</v>
      </c>
      <c r="J481" s="6">
        <v>46107.671527777777</v>
      </c>
      <c r="K481" s="7">
        <f>C482-H481</f>
        <v>-0.10208333333866904</v>
      </c>
      <c r="L481" t="e">
        <f>HOUR(K481)</f>
        <v>#NUM!</v>
      </c>
      <c r="M481" t="e">
        <f>MINUTE(K481)</f>
        <v>#NUM!</v>
      </c>
      <c r="N481" t="e">
        <f>L481*60+M481</f>
        <v>#NUM!</v>
      </c>
    </row>
    <row r="482" spans="2:14" x14ac:dyDescent="0.25">
      <c r="B482" t="s">
        <v>30</v>
      </c>
      <c r="C482" s="6">
        <v>46107.565972222219</v>
      </c>
      <c r="D482" s="6">
        <v>46107.572916666664</v>
      </c>
      <c r="E482" s="6">
        <v>46107.583333333336</v>
      </c>
      <c r="F482" s="6">
        <v>46107.625</v>
      </c>
      <c r="G482" s="6">
        <v>46107.631944444445</v>
      </c>
      <c r="H482" s="6">
        <v>46107.635416666664</v>
      </c>
      <c r="I482">
        <v>1.67</v>
      </c>
      <c r="J482" s="6">
        <v>46107.642361111109</v>
      </c>
      <c r="K482" s="7">
        <f>C483-H482</f>
        <v>2.7777777781011537E-2</v>
      </c>
      <c r="L482">
        <f>HOUR(K482)</f>
        <v>0</v>
      </c>
      <c r="M482">
        <f>MINUTE(K482)</f>
        <v>40</v>
      </c>
      <c r="N482">
        <f>L482*60+M482</f>
        <v>40</v>
      </c>
    </row>
    <row r="483" spans="2:14" hidden="1" x14ac:dyDescent="0.25">
      <c r="B483" t="s">
        <v>30</v>
      </c>
      <c r="C483" s="6">
        <v>46107.663194444445</v>
      </c>
      <c r="D483" s="6">
        <v>46107.673611111109</v>
      </c>
      <c r="E483" s="6">
        <v>46107.690972222219</v>
      </c>
      <c r="F483" s="6">
        <v>46107.736111111109</v>
      </c>
      <c r="G483" s="6">
        <v>46107.743055555555</v>
      </c>
      <c r="H483" s="6">
        <v>46107.746527777781</v>
      </c>
      <c r="I483">
        <v>2</v>
      </c>
      <c r="J483" s="6">
        <v>46107.74722222222</v>
      </c>
      <c r="K483" s="7">
        <f>C484-H483</f>
        <v>-3.8194444445252884E-2</v>
      </c>
      <c r="L483" t="e">
        <f>HOUR(K483)</f>
        <v>#NUM!</v>
      </c>
      <c r="M483" t="e">
        <f>MINUTE(K483)</f>
        <v>#NUM!</v>
      </c>
      <c r="N483" t="e">
        <f>L483*60+M483</f>
        <v>#NUM!</v>
      </c>
    </row>
    <row r="484" spans="2:14" x14ac:dyDescent="0.25">
      <c r="B484" t="s">
        <v>30</v>
      </c>
      <c r="C484" s="6">
        <v>46107.708333333336</v>
      </c>
      <c r="D484" s="6">
        <v>46107.715277777781</v>
      </c>
      <c r="E484" s="6">
        <v>46107.736111111109</v>
      </c>
      <c r="F484" s="6">
        <v>46107.774305555555</v>
      </c>
      <c r="G484" s="6">
        <v>46107.777777777781</v>
      </c>
      <c r="H484" s="6">
        <v>46107.78125</v>
      </c>
      <c r="I484">
        <v>1.75</v>
      </c>
      <c r="J484" s="6">
        <v>46107.784722222219</v>
      </c>
      <c r="K484" s="7">
        <f>C485-H484</f>
        <v>0.17708333333575865</v>
      </c>
      <c r="L484">
        <f>HOUR(K484)</f>
        <v>4</v>
      </c>
      <c r="M484">
        <f>MINUTE(K484)</f>
        <v>15</v>
      </c>
      <c r="N484">
        <f>L484*60+M484</f>
        <v>255</v>
      </c>
    </row>
    <row r="485" spans="2:14" x14ac:dyDescent="0.25">
      <c r="B485" t="s">
        <v>30</v>
      </c>
      <c r="C485" s="6">
        <v>46107.958333333336</v>
      </c>
      <c r="D485" s="6">
        <v>46107.961805555555</v>
      </c>
      <c r="E485" s="6">
        <v>46107.965277777781</v>
      </c>
      <c r="F485" s="6">
        <v>46108.020833333336</v>
      </c>
      <c r="G485" s="6">
        <v>46108.027777777781</v>
      </c>
      <c r="H485" s="6">
        <v>46108.03125</v>
      </c>
      <c r="I485">
        <v>1.75</v>
      </c>
      <c r="J485" s="6">
        <v>46108.038194444445</v>
      </c>
      <c r="K485" s="7">
        <f>C486-H485</f>
        <v>0.33680555555474712</v>
      </c>
      <c r="L485">
        <f>HOUR(K485)</f>
        <v>8</v>
      </c>
      <c r="M485">
        <f>MINUTE(K485)</f>
        <v>5</v>
      </c>
      <c r="N485">
        <f>L485*60+M485</f>
        <v>485</v>
      </c>
    </row>
    <row r="486" spans="2:14" hidden="1" x14ac:dyDescent="0.25">
      <c r="B486" t="s">
        <v>30</v>
      </c>
      <c r="C486" s="6">
        <v>46108.368055555555</v>
      </c>
      <c r="D486" s="6">
        <v>46108.371527777781</v>
      </c>
      <c r="E486" s="6">
        <v>46108.384722222225</v>
      </c>
      <c r="F486" s="6">
        <v>46108.541666666664</v>
      </c>
      <c r="G486" s="6">
        <v>46108.545138888891</v>
      </c>
      <c r="H486" s="6">
        <v>46108.572916666664</v>
      </c>
      <c r="I486">
        <v>4.92</v>
      </c>
      <c r="J486" s="6">
        <v>46108.573611111111</v>
      </c>
      <c r="K486" s="7">
        <f>C487-H486</f>
        <v>-0.10902777777664596</v>
      </c>
      <c r="L486" t="e">
        <f>HOUR(K486)</f>
        <v>#NUM!</v>
      </c>
      <c r="M486" t="e">
        <f>MINUTE(K486)</f>
        <v>#NUM!</v>
      </c>
      <c r="N486" t="e">
        <f>L486*60+M486</f>
        <v>#NUM!</v>
      </c>
    </row>
    <row r="487" spans="2:14" hidden="1" x14ac:dyDescent="0.25">
      <c r="B487" t="s">
        <v>30</v>
      </c>
      <c r="C487" s="6">
        <v>46108.463888888888</v>
      </c>
      <c r="D487" s="6">
        <v>46108.46875</v>
      </c>
      <c r="E487" s="6">
        <v>46108.510416666664</v>
      </c>
      <c r="F487" s="6">
        <v>46108.618055555555</v>
      </c>
      <c r="G487" s="6">
        <v>46108.642361111109</v>
      </c>
      <c r="H487" s="6">
        <v>46108.645833333336</v>
      </c>
      <c r="I487">
        <v>4.37</v>
      </c>
      <c r="J487" s="6">
        <v>46108.652777777781</v>
      </c>
      <c r="K487" s="7">
        <f>C488-H487</f>
        <v>-0.15277777778101154</v>
      </c>
      <c r="L487" t="e">
        <f>HOUR(K487)</f>
        <v>#NUM!</v>
      </c>
      <c r="M487" t="e">
        <f>MINUTE(K487)</f>
        <v>#NUM!</v>
      </c>
      <c r="N487" t="e">
        <f>L487*60+M487</f>
        <v>#NUM!</v>
      </c>
    </row>
    <row r="488" spans="2:14" x14ac:dyDescent="0.25">
      <c r="B488" t="s">
        <v>30</v>
      </c>
      <c r="C488" s="6">
        <v>46108.493055555555</v>
      </c>
      <c r="D488" s="6">
        <v>46108.496527777781</v>
      </c>
      <c r="E488" s="6">
        <v>46108.5</v>
      </c>
      <c r="F488" s="6">
        <v>46108.506944444445</v>
      </c>
      <c r="G488" s="6">
        <v>46108.520833333336</v>
      </c>
      <c r="H488" s="6">
        <v>46108.524305555555</v>
      </c>
      <c r="I488">
        <v>0.75</v>
      </c>
      <c r="J488" s="6">
        <v>46108.53125</v>
      </c>
      <c r="K488" s="7">
        <f>C489-H488</f>
        <v>0.11111111110949423</v>
      </c>
      <c r="L488">
        <f>HOUR(K488)</f>
        <v>2</v>
      </c>
      <c r="M488">
        <f>MINUTE(K488)</f>
        <v>40</v>
      </c>
      <c r="N488">
        <f>L488*60+M488</f>
        <v>160</v>
      </c>
    </row>
    <row r="489" spans="2:14" hidden="1" x14ac:dyDescent="0.25">
      <c r="B489" t="s">
        <v>30</v>
      </c>
      <c r="C489" s="6">
        <v>46108.635416666664</v>
      </c>
      <c r="D489" s="6">
        <v>46108.638888888891</v>
      </c>
      <c r="E489" s="6">
        <v>46108.659722222219</v>
      </c>
      <c r="F489" s="6">
        <v>46108.694444444445</v>
      </c>
      <c r="G489" s="6">
        <v>46108.697916666664</v>
      </c>
      <c r="H489" s="6">
        <v>46108.701388888891</v>
      </c>
      <c r="I489">
        <v>1.58</v>
      </c>
      <c r="J489" s="6">
        <v>46108.708333333336</v>
      </c>
      <c r="K489" s="7">
        <f>C490-H489</f>
        <v>-3.4722222226264421E-2</v>
      </c>
      <c r="L489" t="e">
        <f>HOUR(K489)</f>
        <v>#NUM!</v>
      </c>
      <c r="M489" t="e">
        <f>MINUTE(K489)</f>
        <v>#NUM!</v>
      </c>
      <c r="N489" t="e">
        <f>L489*60+M489</f>
        <v>#NUM!</v>
      </c>
    </row>
    <row r="490" spans="2:14" hidden="1" x14ac:dyDescent="0.25">
      <c r="B490" t="s">
        <v>30</v>
      </c>
      <c r="C490" s="6">
        <v>46108.666666666664</v>
      </c>
      <c r="D490" s="6">
        <v>46108.677083333336</v>
      </c>
      <c r="E490" s="6">
        <v>46108.694444444445</v>
      </c>
      <c r="F490" s="6">
        <v>46108.836805555555</v>
      </c>
      <c r="G490" s="6">
        <v>46108.84375</v>
      </c>
      <c r="H490" s="6">
        <v>46108.844444444447</v>
      </c>
      <c r="I490">
        <v>4.2699999999999996</v>
      </c>
      <c r="J490" s="6">
        <v>46108.851388888892</v>
      </c>
      <c r="K490" s="7">
        <f>C491-H490</f>
        <v>-0.14652777778246673</v>
      </c>
      <c r="L490" t="e">
        <f>HOUR(K490)</f>
        <v>#NUM!</v>
      </c>
      <c r="M490" t="e">
        <f>MINUTE(K490)</f>
        <v>#NUM!</v>
      </c>
      <c r="N490" t="e">
        <f>L490*60+M490</f>
        <v>#NUM!</v>
      </c>
    </row>
    <row r="491" spans="2:14" hidden="1" x14ac:dyDescent="0.25">
      <c r="B491" t="s">
        <v>30</v>
      </c>
      <c r="C491" s="6">
        <v>46108.697916666664</v>
      </c>
      <c r="D491" s="6">
        <v>46108.708333333336</v>
      </c>
      <c r="E491" s="6">
        <v>46108.743055555555</v>
      </c>
      <c r="F491" s="6">
        <v>46108.790972222225</v>
      </c>
      <c r="G491" s="6">
        <v>46108.798611111109</v>
      </c>
      <c r="H491" s="6">
        <v>46108.802083333336</v>
      </c>
      <c r="I491">
        <v>2.5</v>
      </c>
      <c r="J491" s="6">
        <v>46108.805555555555</v>
      </c>
      <c r="K491" s="7">
        <f>C492-H491</f>
        <v>-7.9861111116770189E-2</v>
      </c>
      <c r="L491" t="e">
        <f>HOUR(K491)</f>
        <v>#NUM!</v>
      </c>
      <c r="M491" t="e">
        <f>MINUTE(K491)</f>
        <v>#NUM!</v>
      </c>
      <c r="N491" t="e">
        <f>L491*60+M491</f>
        <v>#NUM!</v>
      </c>
    </row>
    <row r="492" spans="2:14" x14ac:dyDescent="0.25">
      <c r="B492" t="s">
        <v>30</v>
      </c>
      <c r="C492" s="6">
        <v>46108.722222222219</v>
      </c>
      <c r="D492" s="6">
        <v>46108.736111111109</v>
      </c>
      <c r="E492" s="6">
        <v>46108.75</v>
      </c>
      <c r="F492" s="6">
        <v>46108.833333333336</v>
      </c>
      <c r="G492" s="6">
        <v>46108.836805555555</v>
      </c>
      <c r="H492" s="6">
        <v>46108.838888888888</v>
      </c>
      <c r="I492">
        <v>2.8</v>
      </c>
      <c r="J492" s="6">
        <v>46108.845833333333</v>
      </c>
      <c r="K492" s="7">
        <f>C493-H492</f>
        <v>2.5694444448163267E-2</v>
      </c>
      <c r="L492">
        <f>HOUR(K492)</f>
        <v>0</v>
      </c>
      <c r="M492">
        <f>MINUTE(K492)</f>
        <v>37</v>
      </c>
      <c r="N492">
        <f>L492*60+M492</f>
        <v>37</v>
      </c>
    </row>
    <row r="493" spans="2:14" hidden="1" x14ac:dyDescent="0.25">
      <c r="B493" t="s">
        <v>30</v>
      </c>
      <c r="C493" s="6">
        <v>46108.864583333336</v>
      </c>
      <c r="D493" s="6">
        <v>46108.871527777781</v>
      </c>
      <c r="E493" s="6">
        <v>46108.875</v>
      </c>
      <c r="F493" s="6">
        <v>46108.888888888891</v>
      </c>
      <c r="G493" s="6">
        <v>46108.892361111109</v>
      </c>
      <c r="H493" s="6">
        <v>46108.895833333336</v>
      </c>
      <c r="I493">
        <v>0.75</v>
      </c>
      <c r="J493" s="6">
        <v>46108.899305555555</v>
      </c>
      <c r="K493" s="7">
        <f>C494-H493</f>
        <v>-6.9444444452528842E-3</v>
      </c>
      <c r="L493" t="e">
        <f>HOUR(K493)</f>
        <v>#NUM!</v>
      </c>
      <c r="M493" t="e">
        <f>MINUTE(K493)</f>
        <v>#NUM!</v>
      </c>
      <c r="N493" t="e">
        <f>L493*60+M493</f>
        <v>#NUM!</v>
      </c>
    </row>
    <row r="494" spans="2:14" hidden="1" x14ac:dyDescent="0.25">
      <c r="B494" t="s">
        <v>30</v>
      </c>
      <c r="C494" s="6">
        <v>46108.888888888891</v>
      </c>
      <c r="D494" s="6">
        <v>46108.899305555555</v>
      </c>
      <c r="E494" s="6">
        <v>46108.920138888891</v>
      </c>
      <c r="F494" s="6">
        <v>46108.972222222219</v>
      </c>
      <c r="G494" s="6">
        <v>46108.982638888891</v>
      </c>
      <c r="H494" s="6">
        <v>46108.989583333336</v>
      </c>
      <c r="I494">
        <v>2.42</v>
      </c>
      <c r="J494" s="6">
        <v>46108.996527777781</v>
      </c>
      <c r="K494" s="7">
        <f>C495-H494</f>
        <v>-3.8194444445252884E-2</v>
      </c>
      <c r="L494" t="e">
        <f>HOUR(K494)</f>
        <v>#NUM!</v>
      </c>
      <c r="M494" t="e">
        <f>MINUTE(K494)</f>
        <v>#NUM!</v>
      </c>
      <c r="N494" t="e">
        <f>L494*60+M494</f>
        <v>#NUM!</v>
      </c>
    </row>
    <row r="495" spans="2:14" hidden="1" x14ac:dyDescent="0.25">
      <c r="B495" t="s">
        <v>30</v>
      </c>
      <c r="C495" s="6">
        <v>46108.951388888891</v>
      </c>
      <c r="D495" s="6">
        <v>46108.958333333336</v>
      </c>
      <c r="E495" s="6">
        <v>46108.96875</v>
      </c>
      <c r="F495" s="6">
        <v>46109.03125</v>
      </c>
      <c r="G495" s="6">
        <v>46109.038194444445</v>
      </c>
      <c r="H495" s="6">
        <v>46109.040972222225</v>
      </c>
      <c r="I495">
        <v>2.15</v>
      </c>
      <c r="J495" s="6">
        <v>46109.04791666667</v>
      </c>
      <c r="K495" s="7">
        <f>C496-H495</f>
        <v>-8.2638888889050577E-2</v>
      </c>
      <c r="L495" t="e">
        <f>HOUR(K495)</f>
        <v>#NUM!</v>
      </c>
      <c r="M495" t="e">
        <f>MINUTE(K495)</f>
        <v>#NUM!</v>
      </c>
      <c r="N495" t="e">
        <f>L495*60+M495</f>
        <v>#NUM!</v>
      </c>
    </row>
    <row r="496" spans="2:14" x14ac:dyDescent="0.25">
      <c r="B496" t="s">
        <v>30</v>
      </c>
      <c r="C496" s="6">
        <v>46108.958333333336</v>
      </c>
      <c r="D496" s="6">
        <v>46108.965277777781</v>
      </c>
      <c r="E496" s="6">
        <v>46108.979166666664</v>
      </c>
      <c r="F496" s="6">
        <v>46108.989583333336</v>
      </c>
      <c r="G496" s="6">
        <v>46108.991666666669</v>
      </c>
      <c r="H496" s="6">
        <v>46108.992361111108</v>
      </c>
      <c r="I496">
        <v>0.82</v>
      </c>
      <c r="J496" s="6">
        <v>46108.993055555555</v>
      </c>
      <c r="K496" s="7">
        <f>C497-H496</f>
        <v>6.6666666672972497E-2</v>
      </c>
      <c r="L496">
        <f>HOUR(K496)</f>
        <v>1</v>
      </c>
      <c r="M496">
        <f>MINUTE(K496)</f>
        <v>36</v>
      </c>
      <c r="N496">
        <f>L496*60+M496</f>
        <v>96</v>
      </c>
    </row>
    <row r="497" spans="2:14" hidden="1" x14ac:dyDescent="0.25">
      <c r="B497" t="s">
        <v>30</v>
      </c>
      <c r="C497" s="6">
        <v>46109.059027777781</v>
      </c>
      <c r="D497" s="6">
        <v>46109.069444444445</v>
      </c>
      <c r="E497" s="6">
        <v>46109.076388888891</v>
      </c>
      <c r="F497" s="6">
        <v>46109.083333333336</v>
      </c>
      <c r="G497" s="6">
        <v>46109.090277777781</v>
      </c>
      <c r="H497" s="6">
        <v>46109.09375</v>
      </c>
      <c r="I497">
        <v>0.83</v>
      </c>
      <c r="J497" s="6">
        <v>46109.100694444445</v>
      </c>
      <c r="K497" s="7">
        <f>C498-H497</f>
        <v>3.4722222189884633E-3</v>
      </c>
      <c r="L497">
        <f>HOUR(K497)</f>
        <v>0</v>
      </c>
      <c r="M497">
        <f>MINUTE(K497)</f>
        <v>5</v>
      </c>
      <c r="N497">
        <f>L497*60+M497</f>
        <v>5</v>
      </c>
    </row>
    <row r="498" spans="2:14" x14ac:dyDescent="0.25">
      <c r="B498" t="s">
        <v>30</v>
      </c>
      <c r="C498" s="6">
        <v>46109.097222222219</v>
      </c>
      <c r="D498" s="6">
        <v>46109.100694444445</v>
      </c>
      <c r="E498" s="6">
        <v>46109.104166666664</v>
      </c>
      <c r="F498" s="6">
        <v>46109.124305555553</v>
      </c>
      <c r="G498" s="6">
        <v>46109.131249999999</v>
      </c>
      <c r="H498" s="6">
        <v>46109.131944444445</v>
      </c>
      <c r="I498">
        <v>0.83</v>
      </c>
      <c r="J498" s="6">
        <v>46109.132638888892</v>
      </c>
      <c r="K498" s="7">
        <f>C499-H498</f>
        <v>0.29166666666424135</v>
      </c>
      <c r="L498">
        <f>HOUR(K498)</f>
        <v>7</v>
      </c>
      <c r="M498">
        <f>MINUTE(K498)</f>
        <v>0</v>
      </c>
      <c r="N498">
        <f>L498*60+M498</f>
        <v>420</v>
      </c>
    </row>
    <row r="499" spans="2:14" x14ac:dyDescent="0.25">
      <c r="B499" t="s">
        <v>30</v>
      </c>
      <c r="C499" s="6">
        <v>46109.423611111109</v>
      </c>
      <c r="D499" s="6">
        <v>46109.430555555555</v>
      </c>
      <c r="E499" s="6">
        <v>46109.454861111109</v>
      </c>
      <c r="F499" s="6">
        <v>46109.525694444441</v>
      </c>
      <c r="G499" s="6">
        <v>46109.532638888886</v>
      </c>
      <c r="H499" s="6">
        <v>46109.59375</v>
      </c>
      <c r="I499">
        <v>4.08</v>
      </c>
      <c r="J499" s="6">
        <v>46109.600694444445</v>
      </c>
      <c r="K499" s="7">
        <f>C500-H499</f>
        <v>9.375E-2</v>
      </c>
      <c r="L499">
        <f>HOUR(K499)</f>
        <v>2</v>
      </c>
      <c r="M499">
        <f>MINUTE(K499)</f>
        <v>15</v>
      </c>
      <c r="N499">
        <f>L499*60+M499</f>
        <v>135</v>
      </c>
    </row>
    <row r="500" spans="2:14" hidden="1" x14ac:dyDescent="0.25">
      <c r="B500" t="s">
        <v>30</v>
      </c>
      <c r="C500" s="6">
        <v>46109.6875</v>
      </c>
      <c r="D500" s="6">
        <v>46109.694444444445</v>
      </c>
      <c r="E500" s="6">
        <v>46109.704861111109</v>
      </c>
      <c r="F500" s="6">
        <v>46109.763194444444</v>
      </c>
      <c r="G500" s="6">
        <v>46109.770138888889</v>
      </c>
      <c r="H500" s="6">
        <v>46109.811805555553</v>
      </c>
      <c r="I500">
        <v>2.98</v>
      </c>
      <c r="J500" s="6">
        <v>46109.818749999999</v>
      </c>
      <c r="K500" s="7">
        <f>C501-H500</f>
        <v>-2.361111110803904E-2</v>
      </c>
      <c r="L500" t="e">
        <f>HOUR(K500)</f>
        <v>#NUM!</v>
      </c>
      <c r="M500" t="e">
        <f>MINUTE(K500)</f>
        <v>#NUM!</v>
      </c>
      <c r="N500" t="e">
        <f>L500*60+M500</f>
        <v>#NUM!</v>
      </c>
    </row>
    <row r="501" spans="2:14" hidden="1" x14ac:dyDescent="0.25">
      <c r="B501" t="s">
        <v>30</v>
      </c>
      <c r="C501" s="6">
        <v>46109.788194444445</v>
      </c>
      <c r="D501" s="6">
        <v>46109.788888888892</v>
      </c>
      <c r="E501" s="6">
        <v>46109.789583333331</v>
      </c>
      <c r="F501" s="6">
        <v>46109.809027777781</v>
      </c>
      <c r="G501" s="6">
        <v>46110.451388888891</v>
      </c>
      <c r="H501" s="6">
        <v>46110.6875</v>
      </c>
      <c r="I501">
        <v>21.58</v>
      </c>
      <c r="J501" s="6">
        <v>46110.688194444447</v>
      </c>
      <c r="K501" s="7">
        <f>C502-H501</f>
        <v>-0.79166666666424135</v>
      </c>
      <c r="L501" t="e">
        <f>HOUR(K501)</f>
        <v>#NUM!</v>
      </c>
      <c r="M501" t="e">
        <f>MINUTE(K501)</f>
        <v>#NUM!</v>
      </c>
      <c r="N501" t="e">
        <f>L501*60+M501</f>
        <v>#NUM!</v>
      </c>
    </row>
    <row r="502" spans="2:14" x14ac:dyDescent="0.25">
      <c r="B502" t="s">
        <v>30</v>
      </c>
      <c r="C502" s="6">
        <v>46109.895833333336</v>
      </c>
      <c r="D502" s="6">
        <v>46109.899305555555</v>
      </c>
      <c r="E502" s="6">
        <v>46109.902777777781</v>
      </c>
      <c r="F502" s="6">
        <v>46109.923611111109</v>
      </c>
      <c r="G502" s="6">
        <v>46109.930555555555</v>
      </c>
      <c r="H502" s="6">
        <v>46109.944444444445</v>
      </c>
      <c r="I502">
        <v>1.17</v>
      </c>
      <c r="J502" s="6">
        <v>46109.947916666664</v>
      </c>
      <c r="K502" s="7">
        <f>C503-H502</f>
        <v>0.42708333333575865</v>
      </c>
      <c r="L502">
        <f>HOUR(K502)</f>
        <v>10</v>
      </c>
      <c r="M502">
        <f>MINUTE(K502)</f>
        <v>15</v>
      </c>
      <c r="N502">
        <f>L502*60+M502</f>
        <v>615</v>
      </c>
    </row>
    <row r="503" spans="2:14" x14ac:dyDescent="0.25">
      <c r="B503" t="s">
        <v>30</v>
      </c>
      <c r="C503" s="6">
        <v>46110.371527777781</v>
      </c>
      <c r="D503" s="6">
        <v>46110.375</v>
      </c>
      <c r="E503" s="6">
        <v>46110.375694444447</v>
      </c>
      <c r="F503" s="6">
        <v>46110.376388888886</v>
      </c>
      <c r="G503" s="6">
        <v>46110.458333333336</v>
      </c>
      <c r="H503" s="6">
        <v>46110.472222222219</v>
      </c>
      <c r="I503">
        <v>2.42</v>
      </c>
      <c r="J503" s="6">
        <v>46110.475694444445</v>
      </c>
      <c r="K503" s="7">
        <f>C504-H503</f>
        <v>0.46527777778101154</v>
      </c>
      <c r="L503">
        <f>HOUR(K503)</f>
        <v>11</v>
      </c>
      <c r="M503">
        <f>MINUTE(K503)</f>
        <v>10</v>
      </c>
      <c r="N503">
        <f>L503*60+M503</f>
        <v>670</v>
      </c>
    </row>
    <row r="504" spans="2:14" x14ac:dyDescent="0.25">
      <c r="B504" t="s">
        <v>30</v>
      </c>
      <c r="C504" s="6">
        <v>46110.9375</v>
      </c>
      <c r="D504" s="6">
        <v>46110.940972222219</v>
      </c>
      <c r="E504" s="6">
        <v>46110.944444444445</v>
      </c>
      <c r="F504" s="6">
        <v>46110.96597222222</v>
      </c>
      <c r="G504" s="6">
        <v>46110.972916666666</v>
      </c>
      <c r="H504" s="6">
        <v>46110.975694444445</v>
      </c>
      <c r="I504">
        <v>0.92</v>
      </c>
      <c r="J504" s="6">
        <v>46110.976388888892</v>
      </c>
      <c r="K504" s="7">
        <f>C505-H504</f>
        <v>4.1666666664241347E-2</v>
      </c>
      <c r="L504">
        <f>HOUR(K504)</f>
        <v>1</v>
      </c>
      <c r="M504">
        <f>MINUTE(K504)</f>
        <v>0</v>
      </c>
      <c r="N504">
        <f>L504*60+M504</f>
        <v>60</v>
      </c>
    </row>
    <row r="505" spans="2:14" hidden="1" x14ac:dyDescent="0.25">
      <c r="B505" t="s">
        <v>30</v>
      </c>
      <c r="C505" s="6">
        <v>46111.017361111109</v>
      </c>
      <c r="D505" s="6">
        <v>46111.020833333336</v>
      </c>
      <c r="E505" s="6">
        <v>46111.027777777781</v>
      </c>
      <c r="F505" s="6">
        <v>46111.051388888889</v>
      </c>
      <c r="G505" s="6">
        <v>46111.055555555555</v>
      </c>
      <c r="H505" s="6">
        <v>46111.056250000001</v>
      </c>
      <c r="I505">
        <v>0.93</v>
      </c>
      <c r="J505" s="6">
        <v>46111.059027777781</v>
      </c>
      <c r="K505" s="7">
        <f>C506-H505</f>
        <v>-7.6388888919609599E-3</v>
      </c>
      <c r="L505" t="e">
        <f>HOUR(K505)</f>
        <v>#NUM!</v>
      </c>
      <c r="M505" t="e">
        <f>MINUTE(K505)</f>
        <v>#NUM!</v>
      </c>
      <c r="N505" t="e">
        <f>L505*60+M505</f>
        <v>#NUM!</v>
      </c>
    </row>
    <row r="506" spans="2:14" hidden="1" x14ac:dyDescent="0.25">
      <c r="B506" t="s">
        <v>30</v>
      </c>
      <c r="C506" s="6">
        <v>46111.048611111109</v>
      </c>
      <c r="D506" s="6">
        <v>46111.055555555555</v>
      </c>
      <c r="E506" s="6">
        <v>46111.0625</v>
      </c>
      <c r="F506" s="6">
        <v>46111.077777777777</v>
      </c>
      <c r="G506" s="6">
        <v>46111.084722222222</v>
      </c>
      <c r="H506" s="6">
        <v>46111.086805555555</v>
      </c>
      <c r="I506">
        <v>0.92</v>
      </c>
      <c r="J506" s="6">
        <v>46111.09375</v>
      </c>
      <c r="K506" s="7">
        <f>C507-H506</f>
        <v>-3.125E-2</v>
      </c>
      <c r="L506" t="e">
        <f>HOUR(K506)</f>
        <v>#NUM!</v>
      </c>
      <c r="M506" t="e">
        <f>MINUTE(K506)</f>
        <v>#NUM!</v>
      </c>
      <c r="N506" t="e">
        <f>L506*60+M506</f>
        <v>#NUM!</v>
      </c>
    </row>
    <row r="507" spans="2:14" hidden="1" x14ac:dyDescent="0.25">
      <c r="B507" t="s">
        <v>30</v>
      </c>
      <c r="C507" s="6">
        <v>46111.055555555555</v>
      </c>
      <c r="D507" s="6">
        <v>46111.059027777781</v>
      </c>
      <c r="E507" s="6">
        <v>46111.0625</v>
      </c>
      <c r="F507" s="6">
        <v>46111.076388888891</v>
      </c>
      <c r="G507" s="6">
        <v>46111.083333333336</v>
      </c>
      <c r="H507" s="6">
        <v>46111.086805555555</v>
      </c>
      <c r="I507">
        <v>0.75</v>
      </c>
      <c r="J507" s="6">
        <v>46111.090277777781</v>
      </c>
      <c r="K507" s="7">
        <f>C508-H507</f>
        <v>3.4722222262644209E-3</v>
      </c>
      <c r="L507">
        <f>HOUR(K507)</f>
        <v>0</v>
      </c>
      <c r="M507">
        <f>MINUTE(K507)</f>
        <v>5</v>
      </c>
      <c r="N507">
        <f>L507*60+M507</f>
        <v>5</v>
      </c>
    </row>
    <row r="508" spans="2:14" hidden="1" x14ac:dyDescent="0.25">
      <c r="B508" t="s">
        <v>30</v>
      </c>
      <c r="C508" s="6">
        <v>46111.090277777781</v>
      </c>
      <c r="D508" s="6">
        <v>46111.09375</v>
      </c>
      <c r="E508" s="6">
        <v>46111.104166666664</v>
      </c>
      <c r="F508" s="6">
        <v>46111.166666666664</v>
      </c>
      <c r="G508" s="6">
        <v>46111.173611111109</v>
      </c>
      <c r="H508" s="6">
        <v>46111.923611111109</v>
      </c>
      <c r="I508">
        <v>20</v>
      </c>
      <c r="J508" s="6">
        <v>46111.930555555555</v>
      </c>
      <c r="K508" s="7">
        <f>C509-H508</f>
        <v>-0.59027777777373558</v>
      </c>
      <c r="L508" t="e">
        <f>HOUR(K508)</f>
        <v>#NUM!</v>
      </c>
      <c r="M508" t="e">
        <f>MINUTE(K508)</f>
        <v>#NUM!</v>
      </c>
      <c r="N508" t="e">
        <f>L508*60+M508</f>
        <v>#NUM!</v>
      </c>
    </row>
    <row r="509" spans="2:14" hidden="1" x14ac:dyDescent="0.25">
      <c r="B509" t="s">
        <v>30</v>
      </c>
      <c r="C509" s="6">
        <v>46111.333333333336</v>
      </c>
      <c r="D509" s="6">
        <v>46111.375</v>
      </c>
      <c r="E509" s="6">
        <v>46111.395833333336</v>
      </c>
      <c r="F509" s="6">
        <v>46111.446527777778</v>
      </c>
      <c r="G509" s="6">
        <v>46111.453472222223</v>
      </c>
      <c r="H509" s="6">
        <v>46111.5</v>
      </c>
      <c r="I509">
        <v>4</v>
      </c>
      <c r="J509" s="6">
        <v>46111.506944444445</v>
      </c>
      <c r="K509" s="7">
        <f>C510-H509</f>
        <v>-6.9444444452528842E-3</v>
      </c>
      <c r="L509" t="e">
        <f>HOUR(K509)</f>
        <v>#NUM!</v>
      </c>
      <c r="M509" t="e">
        <f>MINUTE(K509)</f>
        <v>#NUM!</v>
      </c>
      <c r="N509" t="e">
        <f>L509*60+M509</f>
        <v>#NUM!</v>
      </c>
    </row>
    <row r="510" spans="2:14" hidden="1" x14ac:dyDescent="0.25">
      <c r="B510" t="s">
        <v>30</v>
      </c>
      <c r="C510" s="6">
        <v>46111.493055555555</v>
      </c>
      <c r="D510" s="6">
        <v>46111.506944444445</v>
      </c>
      <c r="E510" s="6">
        <v>46111.541666666664</v>
      </c>
      <c r="F510" s="6">
        <v>46111.759027777778</v>
      </c>
      <c r="G510" s="6">
        <v>46111.765972222223</v>
      </c>
      <c r="H510" s="6">
        <v>46111.833333333336</v>
      </c>
      <c r="I510">
        <v>8.17</v>
      </c>
      <c r="J510" s="6">
        <v>46111.840277777781</v>
      </c>
      <c r="K510" s="7">
        <f>C511-H510</f>
        <v>-0.20833333333575865</v>
      </c>
      <c r="L510" t="e">
        <f>HOUR(K510)</f>
        <v>#NUM!</v>
      </c>
      <c r="M510" t="e">
        <f>MINUTE(K510)</f>
        <v>#NUM!</v>
      </c>
      <c r="N510" t="e">
        <f>L510*60+M510</f>
        <v>#NUM!</v>
      </c>
    </row>
    <row r="511" spans="2:14" x14ac:dyDescent="0.25">
      <c r="B511" t="s">
        <v>30</v>
      </c>
      <c r="C511" s="6">
        <v>46111.625</v>
      </c>
      <c r="D511" s="6">
        <v>46111.631944444445</v>
      </c>
      <c r="E511" s="6">
        <v>46111.638888888891</v>
      </c>
      <c r="F511" s="6">
        <v>46111.659722222219</v>
      </c>
      <c r="G511" s="6">
        <v>46111.666666666664</v>
      </c>
      <c r="H511" s="6">
        <v>46111.680555555555</v>
      </c>
      <c r="I511">
        <v>1.33</v>
      </c>
      <c r="J511" s="6">
        <v>46111.6875</v>
      </c>
      <c r="K511" s="7">
        <f>C512-H511</f>
        <v>9.0277777781011537E-2</v>
      </c>
      <c r="L511">
        <f>HOUR(K511)</f>
        <v>2</v>
      </c>
      <c r="M511">
        <f>MINUTE(K511)</f>
        <v>10</v>
      </c>
      <c r="N511">
        <f>L511*60+M511</f>
        <v>130</v>
      </c>
    </row>
    <row r="512" spans="2:14" x14ac:dyDescent="0.25">
      <c r="B512" t="s">
        <v>30</v>
      </c>
      <c r="C512" s="6">
        <v>46111.770833333336</v>
      </c>
      <c r="D512" s="6">
        <v>46111.774305555555</v>
      </c>
      <c r="E512" s="6">
        <v>46111.777777777781</v>
      </c>
      <c r="F512" s="6">
        <v>46111.781944444447</v>
      </c>
      <c r="G512" s="6">
        <v>46111.784722222219</v>
      </c>
      <c r="H512" s="6">
        <v>46111.788194444445</v>
      </c>
      <c r="I512">
        <v>0.42</v>
      </c>
      <c r="J512" s="6">
        <v>46111.795138888891</v>
      </c>
      <c r="K512" s="7">
        <f>C513-H512</f>
        <v>0.14236111110949423</v>
      </c>
      <c r="L512">
        <f>HOUR(K512)</f>
        <v>3</v>
      </c>
      <c r="M512">
        <f>MINUTE(K512)</f>
        <v>25</v>
      </c>
      <c r="N512">
        <f>L512*60+M512</f>
        <v>205</v>
      </c>
    </row>
    <row r="513" spans="2:14" x14ac:dyDescent="0.25">
      <c r="B513" t="s">
        <v>30</v>
      </c>
      <c r="C513" s="6">
        <v>46111.930555555555</v>
      </c>
      <c r="D513" s="6">
        <v>46111.9375</v>
      </c>
      <c r="E513" s="6">
        <v>46111.947916666664</v>
      </c>
      <c r="F513" s="6">
        <v>46111.965277777781</v>
      </c>
      <c r="G513" s="6">
        <v>46111.96875</v>
      </c>
      <c r="H513" s="6">
        <v>46111.979166666664</v>
      </c>
      <c r="I513">
        <v>1.17</v>
      </c>
      <c r="J513" s="6">
        <v>46111.979861111111</v>
      </c>
      <c r="K513" s="7">
        <f>C514-H513</f>
        <v>0.39722222222189885</v>
      </c>
      <c r="L513">
        <f>HOUR(K513)</f>
        <v>9</v>
      </c>
      <c r="M513">
        <f>MINUTE(K513)</f>
        <v>32</v>
      </c>
      <c r="N513">
        <f>L513*60+M513</f>
        <v>572</v>
      </c>
    </row>
    <row r="514" spans="2:14" x14ac:dyDescent="0.25">
      <c r="B514" t="s">
        <v>30</v>
      </c>
      <c r="C514" s="6">
        <v>46112.376388888886</v>
      </c>
      <c r="D514" s="6">
        <v>46112.385416666664</v>
      </c>
      <c r="E514" s="6">
        <v>46112.387499999997</v>
      </c>
      <c r="F514" s="6">
        <v>46112.390277777777</v>
      </c>
      <c r="G514" s="6">
        <v>46112.390972222223</v>
      </c>
      <c r="H514" s="6">
        <v>46112.392361111109</v>
      </c>
      <c r="I514">
        <v>0.38</v>
      </c>
      <c r="J514" s="6">
        <v>46112.399305555555</v>
      </c>
      <c r="K514" s="7">
        <f>C515-H514</f>
        <v>2.4305555554747116E-2</v>
      </c>
      <c r="L514">
        <f>HOUR(K514)</f>
        <v>0</v>
      </c>
      <c r="M514">
        <f>MINUTE(K514)</f>
        <v>35</v>
      </c>
      <c r="N514">
        <f>L514*60+M514</f>
        <v>35</v>
      </c>
    </row>
    <row r="515" spans="2:14" hidden="1" x14ac:dyDescent="0.25">
      <c r="B515" t="s">
        <v>30</v>
      </c>
      <c r="C515" s="6">
        <v>46112.416666666664</v>
      </c>
      <c r="D515" s="6">
        <v>46112.430555555555</v>
      </c>
      <c r="E515" s="6">
        <v>46112.479166666664</v>
      </c>
      <c r="F515" s="6">
        <v>46112.517361111109</v>
      </c>
      <c r="G515" s="6">
        <v>46112.524305555555</v>
      </c>
      <c r="H515" s="6">
        <v>46112.694444444445</v>
      </c>
      <c r="I515">
        <v>6.67</v>
      </c>
      <c r="J515" s="6">
        <v>46112.701388888891</v>
      </c>
      <c r="K515" s="7">
        <f>C516-H515</f>
        <v>-0.25</v>
      </c>
      <c r="L515" t="e">
        <f>HOUR(K515)</f>
        <v>#NUM!</v>
      </c>
      <c r="M515" t="e">
        <f>MINUTE(K515)</f>
        <v>#NUM!</v>
      </c>
      <c r="N515" t="e">
        <f>L515*60+M515</f>
        <v>#NUM!</v>
      </c>
    </row>
    <row r="516" spans="2:14" hidden="1" x14ac:dyDescent="0.25">
      <c r="B516" t="s">
        <v>30</v>
      </c>
      <c r="C516" s="6">
        <v>46112.444444444445</v>
      </c>
      <c r="D516" s="6">
        <v>46112.458333333336</v>
      </c>
      <c r="E516" s="6">
        <v>46112.479166666664</v>
      </c>
      <c r="F516" s="6">
        <v>46112.631944444445</v>
      </c>
      <c r="G516" s="6">
        <v>46112.638888888891</v>
      </c>
      <c r="H516" s="6">
        <v>46112.645833333336</v>
      </c>
      <c r="I516">
        <v>4.83</v>
      </c>
      <c r="J516" s="6">
        <v>46112.649305555555</v>
      </c>
      <c r="K516" s="7">
        <f>C517-H516</f>
        <v>-4.1666666671517305E-2</v>
      </c>
      <c r="L516" t="e">
        <f>HOUR(K516)</f>
        <v>#NUM!</v>
      </c>
      <c r="M516" t="e">
        <f>MINUTE(K516)</f>
        <v>#NUM!</v>
      </c>
      <c r="N516" t="e">
        <f>L516*60+M516</f>
        <v>#NUM!</v>
      </c>
    </row>
    <row r="517" spans="2:14" hidden="1" x14ac:dyDescent="0.25">
      <c r="B517" t="s">
        <v>30</v>
      </c>
      <c r="C517" s="6">
        <v>46112.604166666664</v>
      </c>
      <c r="D517" s="6">
        <v>46112.607638888891</v>
      </c>
      <c r="E517" s="6">
        <v>46112.668749999997</v>
      </c>
      <c r="F517" s="6">
        <v>46112.760416666664</v>
      </c>
      <c r="G517" s="6">
        <v>46112.767361111109</v>
      </c>
      <c r="H517" s="6">
        <v>46112.777777777781</v>
      </c>
      <c r="I517">
        <v>4.17</v>
      </c>
      <c r="J517" s="6">
        <v>46112.77847222222</v>
      </c>
      <c r="K517" s="7">
        <f>C518-H517</f>
        <v>-9.375E-2</v>
      </c>
      <c r="L517" t="e">
        <f>HOUR(K517)</f>
        <v>#NUM!</v>
      </c>
      <c r="M517" t="e">
        <f>MINUTE(K517)</f>
        <v>#NUM!</v>
      </c>
      <c r="N517" t="e">
        <f>L517*60+M517</f>
        <v>#NUM!</v>
      </c>
    </row>
    <row r="518" spans="2:14" x14ac:dyDescent="0.25">
      <c r="B518" t="s">
        <v>30</v>
      </c>
      <c r="C518" s="6">
        <v>46112.684027777781</v>
      </c>
      <c r="D518" s="6">
        <v>46112.694444444445</v>
      </c>
      <c r="E518" s="6">
        <v>46112.708333333336</v>
      </c>
      <c r="F518" s="6">
        <v>46112.75</v>
      </c>
      <c r="G518" s="6">
        <v>46112.753472222219</v>
      </c>
      <c r="H518" s="6">
        <v>46112.756944444445</v>
      </c>
      <c r="I518">
        <v>1.75</v>
      </c>
      <c r="J518" s="6">
        <v>46112.760416666664</v>
      </c>
      <c r="K518" s="7">
        <f>C519-H518</f>
        <v>9.0277777773735579E-2</v>
      </c>
      <c r="L518">
        <f>HOUR(K518)</f>
        <v>2</v>
      </c>
      <c r="M518">
        <f>MINUTE(K518)</f>
        <v>10</v>
      </c>
      <c r="N518">
        <f>L518*60+M518</f>
        <v>130</v>
      </c>
    </row>
    <row r="519" spans="2:14" x14ac:dyDescent="0.25">
      <c r="B519" t="s">
        <v>30</v>
      </c>
      <c r="C519" s="6">
        <v>46112.847222222219</v>
      </c>
      <c r="D519" s="6">
        <v>46112.850694444445</v>
      </c>
      <c r="E519" s="6">
        <v>46112.861111111109</v>
      </c>
      <c r="F519" s="6">
        <v>46112.877083333333</v>
      </c>
      <c r="G519" s="6">
        <v>46112.878472222219</v>
      </c>
      <c r="H519" s="6">
        <v>46112.881944444445</v>
      </c>
      <c r="I519">
        <v>0.83</v>
      </c>
      <c r="J519" s="6">
        <v>46112.888888888891</v>
      </c>
      <c r="K519" s="7">
        <f>C520-H519</f>
        <v>4.8611111109494232E-2</v>
      </c>
      <c r="L519">
        <f>HOUR(K519)</f>
        <v>1</v>
      </c>
      <c r="M519">
        <f>MINUTE(K519)</f>
        <v>10</v>
      </c>
      <c r="N519">
        <f>L519*60+M519</f>
        <v>70</v>
      </c>
    </row>
    <row r="520" spans="2:14" hidden="1" x14ac:dyDescent="0.25">
      <c r="B520" t="s">
        <v>30</v>
      </c>
      <c r="C520" s="6">
        <v>46112.930555555555</v>
      </c>
      <c r="D520" s="6">
        <v>46112.9375</v>
      </c>
      <c r="E520" s="6">
        <v>46112.951388888891</v>
      </c>
      <c r="F520" s="6">
        <v>46112.95208333333</v>
      </c>
      <c r="G520" s="6">
        <v>46112.955555555556</v>
      </c>
      <c r="H520" s="6">
        <v>46112.958333333336</v>
      </c>
      <c r="I520">
        <v>0.67</v>
      </c>
      <c r="J520" s="6">
        <v>46112.961805555555</v>
      </c>
      <c r="K520" s="7">
        <f t="shared" ref="K516:K522" si="0">C521-H520</f>
        <v>-6.9444444452528842E-3</v>
      </c>
      <c r="L520" t="e">
        <f t="shared" ref="L516:L522" si="1">HOUR(K520)</f>
        <v>#NUM!</v>
      </c>
      <c r="M520" t="e">
        <f t="shared" ref="M516:M522" si="2">MINUTE(K520)</f>
        <v>#NUM!</v>
      </c>
      <c r="N520" t="e">
        <f t="shared" ref="N516:N522" si="3">L520*60+M520</f>
        <v>#NUM!</v>
      </c>
    </row>
    <row r="521" spans="2:14" hidden="1" x14ac:dyDescent="0.25">
      <c r="B521" t="s">
        <v>30</v>
      </c>
      <c r="C521" s="6">
        <v>46112.951388888891</v>
      </c>
      <c r="D521" s="6">
        <v>46112.958333333336</v>
      </c>
      <c r="E521" s="6">
        <v>46112.96875</v>
      </c>
      <c r="F521" s="6">
        <v>46113.041666666664</v>
      </c>
      <c r="G521" s="6">
        <v>46113.048611111109</v>
      </c>
      <c r="H521" s="6">
        <v>46113.05</v>
      </c>
      <c r="I521">
        <v>2.37</v>
      </c>
      <c r="J521" s="6">
        <v>46113.056944444441</v>
      </c>
      <c r="K521" s="7">
        <f t="shared" si="0"/>
        <v>-6.1805555560567882E-2</v>
      </c>
      <c r="L521" t="e">
        <f t="shared" si="1"/>
        <v>#NUM!</v>
      </c>
      <c r="M521" t="e">
        <f t="shared" si="2"/>
        <v>#NUM!</v>
      </c>
      <c r="N521" t="e">
        <f t="shared" si="3"/>
        <v>#NUM!</v>
      </c>
    </row>
    <row r="522" spans="2:14" hidden="1" x14ac:dyDescent="0.25">
      <c r="B522" t="s">
        <v>30</v>
      </c>
      <c r="C522" s="6">
        <v>46112.988194444442</v>
      </c>
      <c r="D522" s="6">
        <v>46112.993055555555</v>
      </c>
      <c r="E522" s="6">
        <v>46113</v>
      </c>
      <c r="F522" s="6">
        <v>46113.041666666664</v>
      </c>
      <c r="G522" s="6">
        <v>46113.048611111109</v>
      </c>
      <c r="H522" s="6">
        <v>46113.05</v>
      </c>
      <c r="I522">
        <v>1.48</v>
      </c>
      <c r="J522" s="6">
        <v>46113.056944444441</v>
      </c>
      <c r="K522" s="7">
        <f t="shared" si="0"/>
        <v>-46113.05</v>
      </c>
      <c r="L522" t="e">
        <f t="shared" si="1"/>
        <v>#NUM!</v>
      </c>
      <c r="M522" t="e">
        <f t="shared" si="2"/>
        <v>#NUM!</v>
      </c>
      <c r="N522" t="e">
        <f t="shared" si="3"/>
        <v>#NUM!</v>
      </c>
    </row>
  </sheetData>
  <autoFilter ref="B2:N522" xr:uid="{4D87A134-D482-4EA3-BEBE-455BE862B422}">
    <filterColumn colId="12">
      <customFilters and="1">
        <customFilter operator="notEqual" val="#NUM!"/>
        <customFilter operator="greaterThan" val="10"/>
      </customFilters>
    </filterColumn>
    <sortState xmlns:xlrd2="http://schemas.microsoft.com/office/spreadsheetml/2017/richdata2" ref="B3:N519">
      <sortCondition ref="C2:C522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ECFF-DD0F-47C4-AFCA-2E558BA65BCF}">
  <sheetPr filterMode="1"/>
  <dimension ref="B2:N211"/>
  <sheetViews>
    <sheetView workbookViewId="0">
      <selection activeCell="P2" sqref="P2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20.28515625" bestFit="1" customWidth="1"/>
    <col min="5" max="5" width="19.28515625" bestFit="1" customWidth="1"/>
    <col min="6" max="6" width="16.5703125" bestFit="1" customWidth="1"/>
    <col min="7" max="7" width="17.7109375" bestFit="1" customWidth="1"/>
    <col min="8" max="8" width="17" bestFit="1" customWidth="1"/>
    <col min="9" max="9" width="4.140625" customWidth="1"/>
    <col min="10" max="10" width="18.28515625" bestFit="1" customWidth="1"/>
    <col min="15" max="15" width="3.85546875" customWidth="1"/>
  </cols>
  <sheetData>
    <row r="2" spans="2:14" x14ac:dyDescent="0.25">
      <c r="B2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t="s">
        <v>27</v>
      </c>
      <c r="J2" s="6" t="s">
        <v>28</v>
      </c>
      <c r="K2" s="8" t="s">
        <v>55</v>
      </c>
      <c r="L2" s="8" t="s">
        <v>39</v>
      </c>
      <c r="M2" s="8" t="s">
        <v>38</v>
      </c>
      <c r="N2" s="12" t="s">
        <v>56</v>
      </c>
    </row>
    <row r="3" spans="2:14" x14ac:dyDescent="0.25">
      <c r="B3" t="s">
        <v>35</v>
      </c>
      <c r="C3" s="6">
        <v>46023.635416666664</v>
      </c>
      <c r="D3" s="6">
        <v>46023.645833333336</v>
      </c>
      <c r="E3" s="6">
        <v>46023.666666666664</v>
      </c>
      <c r="F3" s="6">
        <v>46023.710416666669</v>
      </c>
      <c r="G3" s="6">
        <v>46023.717361111114</v>
      </c>
      <c r="H3" s="6">
        <v>46023.722222222219</v>
      </c>
      <c r="I3">
        <v>2.08</v>
      </c>
      <c r="J3" s="6">
        <v>46023.729166666664</v>
      </c>
      <c r="K3" s="7">
        <f>C4-H3</f>
        <v>0.61458333333575865</v>
      </c>
      <c r="L3">
        <f>HOUR(K3)</f>
        <v>14</v>
      </c>
      <c r="M3">
        <f>MINUTE(K3)</f>
        <v>45</v>
      </c>
      <c r="N3">
        <f>L3*60+M3</f>
        <v>885</v>
      </c>
    </row>
    <row r="4" spans="2:14" x14ac:dyDescent="0.25">
      <c r="B4" t="s">
        <v>35</v>
      </c>
      <c r="C4" s="6">
        <v>46024.336805555555</v>
      </c>
      <c r="D4" s="6">
        <v>46024.347222222219</v>
      </c>
      <c r="E4" s="6">
        <v>46024.349305555559</v>
      </c>
      <c r="F4" s="6">
        <v>46024.355555555558</v>
      </c>
      <c r="G4" s="6">
        <v>46024.361111111109</v>
      </c>
      <c r="H4" s="6">
        <v>46024.377083333333</v>
      </c>
      <c r="I4">
        <v>0.97</v>
      </c>
      <c r="J4" s="6">
        <v>46024.378472222219</v>
      </c>
      <c r="K4" s="7">
        <f t="shared" ref="K4:K67" si="0">C5-H4</f>
        <v>0.18541666666715173</v>
      </c>
      <c r="L4">
        <f t="shared" ref="L4:L67" si="1">HOUR(K4)</f>
        <v>4</v>
      </c>
      <c r="M4">
        <f t="shared" ref="M4:M67" si="2">MINUTE(K4)</f>
        <v>27</v>
      </c>
      <c r="N4">
        <f t="shared" ref="N4:N67" si="3">L4*60+M4</f>
        <v>267</v>
      </c>
    </row>
    <row r="5" spans="2:14" x14ac:dyDescent="0.25">
      <c r="B5" t="s">
        <v>35</v>
      </c>
      <c r="C5" s="6">
        <v>46024.5625</v>
      </c>
      <c r="D5" s="6">
        <v>46024.569444444445</v>
      </c>
      <c r="E5" s="6">
        <v>46024.638888888891</v>
      </c>
      <c r="F5" s="6">
        <v>46024.756944444445</v>
      </c>
      <c r="G5" s="6">
        <v>46024.763888888891</v>
      </c>
      <c r="H5" s="6">
        <v>46024.802777777775</v>
      </c>
      <c r="I5">
        <v>5.77</v>
      </c>
      <c r="J5" s="6">
        <v>46024.805555555555</v>
      </c>
      <c r="K5" s="7">
        <f t="shared" si="0"/>
        <v>0.56597222222626442</v>
      </c>
      <c r="L5">
        <f t="shared" si="1"/>
        <v>13</v>
      </c>
      <c r="M5">
        <f t="shared" si="2"/>
        <v>35</v>
      </c>
      <c r="N5">
        <f t="shared" si="3"/>
        <v>815</v>
      </c>
    </row>
    <row r="6" spans="2:14" x14ac:dyDescent="0.25">
      <c r="B6" t="s">
        <v>35</v>
      </c>
      <c r="C6" s="6">
        <v>46025.368750000001</v>
      </c>
      <c r="D6" s="6">
        <v>46025.375694444447</v>
      </c>
      <c r="E6" s="6">
        <v>46025.402777777781</v>
      </c>
      <c r="F6" s="6">
        <v>46025.694444444445</v>
      </c>
      <c r="G6" s="6">
        <v>46025.701388888891</v>
      </c>
      <c r="H6" s="6">
        <v>46025.729166666664</v>
      </c>
      <c r="I6">
        <v>8.65</v>
      </c>
      <c r="J6" s="6">
        <v>46025.736111111109</v>
      </c>
      <c r="K6" s="7">
        <f t="shared" si="0"/>
        <v>0.61527777778246673</v>
      </c>
      <c r="L6">
        <f t="shared" si="1"/>
        <v>14</v>
      </c>
      <c r="M6">
        <f t="shared" si="2"/>
        <v>46</v>
      </c>
      <c r="N6">
        <f t="shared" si="3"/>
        <v>886</v>
      </c>
    </row>
    <row r="7" spans="2:14" x14ac:dyDescent="0.25">
      <c r="B7" t="s">
        <v>35</v>
      </c>
      <c r="C7" s="6">
        <v>46026.344444444447</v>
      </c>
      <c r="D7" s="6">
        <v>46026.354166666664</v>
      </c>
      <c r="E7" s="6">
        <v>46026.364583333336</v>
      </c>
      <c r="F7" s="6">
        <v>46026.402777777781</v>
      </c>
      <c r="G7" s="6">
        <v>46026.416666666664</v>
      </c>
      <c r="H7" s="6">
        <v>46026.427083333336</v>
      </c>
      <c r="I7">
        <v>1.98</v>
      </c>
      <c r="J7" s="6">
        <v>46026.434027777781</v>
      </c>
      <c r="K7" s="7">
        <f t="shared" si="0"/>
        <v>1.21875</v>
      </c>
      <c r="L7">
        <f t="shared" si="1"/>
        <v>5</v>
      </c>
      <c r="M7">
        <f t="shared" si="2"/>
        <v>15</v>
      </c>
      <c r="N7">
        <f t="shared" si="3"/>
        <v>315</v>
      </c>
    </row>
    <row r="8" spans="2:14" x14ac:dyDescent="0.25">
      <c r="B8" t="s">
        <v>35</v>
      </c>
      <c r="C8" s="6">
        <v>46027.645833333336</v>
      </c>
      <c r="D8" s="6">
        <v>46027.652777777781</v>
      </c>
      <c r="E8" s="6">
        <v>46027.659722222219</v>
      </c>
      <c r="F8" s="6">
        <v>46027.673611111109</v>
      </c>
      <c r="G8" s="6">
        <v>46027.677083333336</v>
      </c>
      <c r="H8" s="6">
        <v>46027.694444444445</v>
      </c>
      <c r="I8">
        <v>1.17</v>
      </c>
      <c r="J8" s="6">
        <v>46027.695833333331</v>
      </c>
      <c r="K8" s="7">
        <f t="shared" si="0"/>
        <v>2.7777777773735579E-2</v>
      </c>
      <c r="L8">
        <f t="shared" si="1"/>
        <v>0</v>
      </c>
      <c r="M8">
        <f t="shared" si="2"/>
        <v>40</v>
      </c>
      <c r="N8">
        <f t="shared" si="3"/>
        <v>40</v>
      </c>
    </row>
    <row r="9" spans="2:14" x14ac:dyDescent="0.25">
      <c r="B9" t="s">
        <v>35</v>
      </c>
      <c r="C9" s="6">
        <v>46027.722222222219</v>
      </c>
      <c r="D9" s="6">
        <v>46027.729166666664</v>
      </c>
      <c r="E9" s="6">
        <v>46027.736111111109</v>
      </c>
      <c r="F9" s="6">
        <v>46027.776388888888</v>
      </c>
      <c r="G9" s="6">
        <v>46027.777777777781</v>
      </c>
      <c r="H9" s="6">
        <v>46027.78125</v>
      </c>
      <c r="I9">
        <v>1.42</v>
      </c>
      <c r="J9" s="6">
        <v>46027.781944444447</v>
      </c>
      <c r="K9" s="7">
        <f t="shared" si="0"/>
        <v>0.11111111110949423</v>
      </c>
      <c r="L9">
        <f t="shared" si="1"/>
        <v>2</v>
      </c>
      <c r="M9">
        <f t="shared" si="2"/>
        <v>40</v>
      </c>
      <c r="N9">
        <f t="shared" si="3"/>
        <v>160</v>
      </c>
    </row>
    <row r="10" spans="2:14" x14ac:dyDescent="0.25">
      <c r="B10" t="s">
        <v>35</v>
      </c>
      <c r="C10" s="6">
        <v>46027.892361111109</v>
      </c>
      <c r="D10" s="6">
        <v>46027.902777777781</v>
      </c>
      <c r="E10" s="6">
        <v>46027.909722222219</v>
      </c>
      <c r="F10" s="6">
        <v>46027.930555555555</v>
      </c>
      <c r="G10" s="6">
        <v>46027.934027777781</v>
      </c>
      <c r="H10" s="6">
        <v>46027.9375</v>
      </c>
      <c r="I10">
        <v>1.08</v>
      </c>
      <c r="J10" s="6">
        <v>46027.939583333333</v>
      </c>
      <c r="K10" s="7">
        <f t="shared" si="0"/>
        <v>0.38749999999708962</v>
      </c>
      <c r="L10">
        <f t="shared" si="1"/>
        <v>9</v>
      </c>
      <c r="M10">
        <f t="shared" si="2"/>
        <v>18</v>
      </c>
      <c r="N10">
        <f t="shared" si="3"/>
        <v>558</v>
      </c>
    </row>
    <row r="11" spans="2:14" hidden="1" x14ac:dyDescent="0.25">
      <c r="B11" t="s">
        <v>35</v>
      </c>
      <c r="C11" s="6">
        <v>46028.324999999997</v>
      </c>
      <c r="D11" s="6">
        <v>46028.331944444442</v>
      </c>
      <c r="E11" s="6">
        <v>46028.333333333336</v>
      </c>
      <c r="F11" s="6">
        <v>46028.338194444441</v>
      </c>
      <c r="G11" s="6">
        <v>46028.339583333334</v>
      </c>
      <c r="H11" s="6">
        <v>46028.340277777781</v>
      </c>
      <c r="I11">
        <v>0.37</v>
      </c>
      <c r="J11" s="6">
        <v>46028.341666666667</v>
      </c>
      <c r="K11" s="7">
        <f t="shared" si="0"/>
        <v>6.9444444379769266E-3</v>
      </c>
      <c r="L11">
        <f t="shared" si="1"/>
        <v>0</v>
      </c>
      <c r="M11">
        <f t="shared" si="2"/>
        <v>10</v>
      </c>
      <c r="N11">
        <f t="shared" si="3"/>
        <v>10</v>
      </c>
    </row>
    <row r="12" spans="2:14" x14ac:dyDescent="0.25">
      <c r="B12" t="s">
        <v>35</v>
      </c>
      <c r="C12" s="6">
        <v>46028.347222222219</v>
      </c>
      <c r="D12" s="6">
        <v>46028.354166666664</v>
      </c>
      <c r="E12" s="6">
        <v>46028.378472222219</v>
      </c>
      <c r="F12" s="6">
        <v>46028.416666666664</v>
      </c>
      <c r="G12" s="6">
        <v>46028.430555555555</v>
      </c>
      <c r="H12" s="6">
        <v>46028.431250000001</v>
      </c>
      <c r="I12">
        <v>2.02</v>
      </c>
      <c r="J12" s="6">
        <v>46028.431944444441</v>
      </c>
      <c r="K12" s="7">
        <f t="shared" si="0"/>
        <v>2.7083333334303461E-2</v>
      </c>
      <c r="L12">
        <f t="shared" si="1"/>
        <v>0</v>
      </c>
      <c r="M12">
        <f t="shared" si="2"/>
        <v>39</v>
      </c>
      <c r="N12">
        <f t="shared" si="3"/>
        <v>39</v>
      </c>
    </row>
    <row r="13" spans="2:14" hidden="1" x14ac:dyDescent="0.25">
      <c r="B13" t="s">
        <v>35</v>
      </c>
      <c r="C13" s="6">
        <v>46028.458333333336</v>
      </c>
      <c r="D13" s="6">
        <v>46028.46875</v>
      </c>
      <c r="E13" s="6">
        <v>46028.489583333336</v>
      </c>
      <c r="F13" s="6">
        <v>46028.513888888891</v>
      </c>
      <c r="G13" s="6">
        <v>46028.517361111109</v>
      </c>
      <c r="H13" s="6">
        <v>46028.520833333336</v>
      </c>
      <c r="I13">
        <v>1.5</v>
      </c>
      <c r="J13" s="6">
        <v>46028.521527777775</v>
      </c>
      <c r="K13" s="7">
        <f t="shared" si="0"/>
        <v>-3.8194444445252884E-2</v>
      </c>
      <c r="L13" t="e">
        <f t="shared" si="1"/>
        <v>#NUM!</v>
      </c>
      <c r="M13" t="e">
        <f t="shared" si="2"/>
        <v>#NUM!</v>
      </c>
      <c r="N13" t="e">
        <f t="shared" si="3"/>
        <v>#NUM!</v>
      </c>
    </row>
    <row r="14" spans="2:14" hidden="1" x14ac:dyDescent="0.25">
      <c r="B14" t="s">
        <v>35</v>
      </c>
      <c r="C14" s="6">
        <v>46028.482638888891</v>
      </c>
      <c r="D14" s="6">
        <v>46028.486111111109</v>
      </c>
      <c r="E14" s="6">
        <v>46028.53125</v>
      </c>
      <c r="F14" s="6">
        <v>46028.659722222219</v>
      </c>
      <c r="G14" s="6">
        <v>46028.666666666664</v>
      </c>
      <c r="H14" s="6">
        <v>46028.670138888891</v>
      </c>
      <c r="I14">
        <v>4.5</v>
      </c>
      <c r="J14" s="6">
        <v>46028.677083333336</v>
      </c>
      <c r="K14" s="7">
        <f t="shared" si="0"/>
        <v>-9.7222222226264421E-2</v>
      </c>
      <c r="L14" t="e">
        <f t="shared" si="1"/>
        <v>#NUM!</v>
      </c>
      <c r="M14" t="e">
        <f t="shared" si="2"/>
        <v>#NUM!</v>
      </c>
      <c r="N14" t="e">
        <f t="shared" si="3"/>
        <v>#NUM!</v>
      </c>
    </row>
    <row r="15" spans="2:14" x14ac:dyDescent="0.25">
      <c r="B15" t="s">
        <v>35</v>
      </c>
      <c r="C15" s="6">
        <v>46028.572916666664</v>
      </c>
      <c r="D15" s="6">
        <v>46028.583333333336</v>
      </c>
      <c r="E15" s="6">
        <v>46028.614583333336</v>
      </c>
      <c r="F15" s="6">
        <v>46028.75</v>
      </c>
      <c r="G15" s="6">
        <v>46028.756944444445</v>
      </c>
      <c r="H15" s="6">
        <v>46028.763888888891</v>
      </c>
      <c r="I15">
        <v>4.58</v>
      </c>
      <c r="J15" s="6">
        <v>46028.770833333336</v>
      </c>
      <c r="K15" s="7">
        <f t="shared" si="0"/>
        <v>0.52777777777373558</v>
      </c>
      <c r="L15">
        <f t="shared" si="1"/>
        <v>12</v>
      </c>
      <c r="M15">
        <f t="shared" si="2"/>
        <v>40</v>
      </c>
      <c r="N15">
        <f t="shared" si="3"/>
        <v>760</v>
      </c>
    </row>
    <row r="16" spans="2:14" x14ac:dyDescent="0.25">
      <c r="B16" t="s">
        <v>35</v>
      </c>
      <c r="C16" s="6">
        <v>46029.291666666664</v>
      </c>
      <c r="D16" s="6">
        <v>46029.322916666664</v>
      </c>
      <c r="E16" s="6">
        <v>46029.347222222219</v>
      </c>
      <c r="F16" s="6">
        <v>46029.414583333331</v>
      </c>
      <c r="G16" s="6">
        <v>46029.421527777777</v>
      </c>
      <c r="H16" s="6">
        <v>46029.423611111109</v>
      </c>
      <c r="I16">
        <v>3.17</v>
      </c>
      <c r="J16" s="6">
        <v>46029.430555555555</v>
      </c>
      <c r="K16" s="7">
        <f t="shared" si="0"/>
        <v>4.8611111109494232E-2</v>
      </c>
      <c r="L16">
        <f t="shared" si="1"/>
        <v>1</v>
      </c>
      <c r="M16">
        <f t="shared" si="2"/>
        <v>10</v>
      </c>
      <c r="N16">
        <f t="shared" si="3"/>
        <v>70</v>
      </c>
    </row>
    <row r="17" spans="2:14" x14ac:dyDescent="0.25">
      <c r="B17" t="s">
        <v>35</v>
      </c>
      <c r="C17" s="6">
        <v>46029.472222222219</v>
      </c>
      <c r="D17" s="6">
        <v>46029.493055555555</v>
      </c>
      <c r="E17" s="6">
        <v>46029.548611111109</v>
      </c>
      <c r="F17" s="6">
        <v>46029.708333333336</v>
      </c>
      <c r="G17" s="6">
        <v>46029.722222222219</v>
      </c>
      <c r="H17" s="6">
        <v>46029.743055555555</v>
      </c>
      <c r="I17">
        <v>6.5</v>
      </c>
      <c r="J17" s="6">
        <v>46029.75</v>
      </c>
      <c r="K17" s="7">
        <f t="shared" si="0"/>
        <v>0.51736111110949423</v>
      </c>
      <c r="L17">
        <f t="shared" si="1"/>
        <v>12</v>
      </c>
      <c r="M17">
        <f t="shared" si="2"/>
        <v>25</v>
      </c>
      <c r="N17">
        <f t="shared" si="3"/>
        <v>745</v>
      </c>
    </row>
    <row r="18" spans="2:14" hidden="1" x14ac:dyDescent="0.25">
      <c r="B18" t="s">
        <v>35</v>
      </c>
      <c r="C18" s="6">
        <v>46030.260416666664</v>
      </c>
      <c r="D18" s="6">
        <v>46030.267361111109</v>
      </c>
      <c r="E18" s="6">
        <v>46030.277777777781</v>
      </c>
      <c r="F18" s="6">
        <v>46030.284722222219</v>
      </c>
      <c r="G18" s="6">
        <v>46030.291666666664</v>
      </c>
      <c r="H18" s="6">
        <v>46030.298611111109</v>
      </c>
      <c r="I18">
        <v>0.92</v>
      </c>
      <c r="J18" s="6">
        <v>46030.305555555555</v>
      </c>
      <c r="K18" s="7">
        <f t="shared" si="0"/>
        <v>-6.9444444452528842E-3</v>
      </c>
      <c r="L18" t="e">
        <f t="shared" si="1"/>
        <v>#NUM!</v>
      </c>
      <c r="M18" t="e">
        <f t="shared" si="2"/>
        <v>#NUM!</v>
      </c>
      <c r="N18" t="e">
        <f t="shared" si="3"/>
        <v>#NUM!</v>
      </c>
    </row>
    <row r="19" spans="2:14" hidden="1" x14ac:dyDescent="0.25">
      <c r="B19" t="s">
        <v>35</v>
      </c>
      <c r="C19" s="6">
        <v>46030.291666666664</v>
      </c>
      <c r="D19" s="6">
        <v>46030.322916666664</v>
      </c>
      <c r="E19" s="6">
        <v>46030.350694444445</v>
      </c>
      <c r="F19" s="6">
        <v>46030.413194444445</v>
      </c>
      <c r="G19" s="6">
        <v>46030.420138888891</v>
      </c>
      <c r="H19" s="6">
        <v>46030.4375</v>
      </c>
      <c r="I19">
        <v>3.5</v>
      </c>
      <c r="J19" s="6">
        <v>46030.438194444447</v>
      </c>
      <c r="K19" s="7">
        <f t="shared" si="0"/>
        <v>-0.11805555555474712</v>
      </c>
      <c r="L19" t="e">
        <f t="shared" si="1"/>
        <v>#NUM!</v>
      </c>
      <c r="M19" t="e">
        <f t="shared" si="2"/>
        <v>#NUM!</v>
      </c>
      <c r="N19" t="e">
        <f t="shared" si="3"/>
        <v>#NUM!</v>
      </c>
    </row>
    <row r="20" spans="2:14" x14ac:dyDescent="0.25">
      <c r="B20" t="s">
        <v>35</v>
      </c>
      <c r="C20" s="6">
        <v>46030.319444444445</v>
      </c>
      <c r="D20" s="6">
        <v>46030.322916666664</v>
      </c>
      <c r="E20" s="6">
        <v>46030.323611111111</v>
      </c>
      <c r="F20" s="6">
        <v>46030.34375</v>
      </c>
      <c r="G20" s="6">
        <v>46030.350694444445</v>
      </c>
      <c r="H20" s="6">
        <v>46030.354166666664</v>
      </c>
      <c r="I20">
        <v>0.83</v>
      </c>
      <c r="J20" s="6">
        <v>46030.355555555558</v>
      </c>
      <c r="K20" s="7">
        <f t="shared" si="0"/>
        <v>1.0208333333357587</v>
      </c>
      <c r="L20">
        <f t="shared" si="1"/>
        <v>0</v>
      </c>
      <c r="M20">
        <f t="shared" si="2"/>
        <v>30</v>
      </c>
      <c r="N20">
        <f t="shared" si="3"/>
        <v>30</v>
      </c>
    </row>
    <row r="21" spans="2:14" x14ac:dyDescent="0.25">
      <c r="B21" t="s">
        <v>35</v>
      </c>
      <c r="C21" s="6">
        <v>46031.375</v>
      </c>
      <c r="D21" s="6">
        <v>46031.381944444445</v>
      </c>
      <c r="E21" s="6">
        <v>46031.395138888889</v>
      </c>
      <c r="F21" s="6">
        <v>46031.436805555553</v>
      </c>
      <c r="G21" s="6">
        <v>46031.458333333336</v>
      </c>
      <c r="H21" s="6">
        <v>46031.472222222219</v>
      </c>
      <c r="I21">
        <v>2.33</v>
      </c>
      <c r="J21" s="6">
        <v>46031.479166666664</v>
      </c>
      <c r="K21" s="7">
        <f t="shared" si="0"/>
        <v>0.21527777778101154</v>
      </c>
      <c r="L21">
        <f t="shared" si="1"/>
        <v>5</v>
      </c>
      <c r="M21">
        <f t="shared" si="2"/>
        <v>10</v>
      </c>
      <c r="N21">
        <f t="shared" si="3"/>
        <v>310</v>
      </c>
    </row>
    <row r="22" spans="2:14" x14ac:dyDescent="0.25">
      <c r="B22" t="s">
        <v>35</v>
      </c>
      <c r="C22" s="6">
        <v>46031.6875</v>
      </c>
      <c r="D22" s="6">
        <v>46031.694444444445</v>
      </c>
      <c r="E22" s="6">
        <v>46031.711805555555</v>
      </c>
      <c r="F22" s="6">
        <v>46031.729166666664</v>
      </c>
      <c r="G22" s="6">
        <v>46031.739583333336</v>
      </c>
      <c r="H22" s="6">
        <v>46031.743055555555</v>
      </c>
      <c r="I22">
        <v>1.33</v>
      </c>
      <c r="J22" s="6">
        <v>46031.746527777781</v>
      </c>
      <c r="K22" s="7">
        <f t="shared" si="0"/>
        <v>0.70208333333721384</v>
      </c>
      <c r="L22">
        <f t="shared" si="1"/>
        <v>16</v>
      </c>
      <c r="M22">
        <f t="shared" si="2"/>
        <v>51</v>
      </c>
      <c r="N22">
        <f t="shared" si="3"/>
        <v>1011</v>
      </c>
    </row>
    <row r="23" spans="2:14" x14ac:dyDescent="0.25">
      <c r="B23" t="s">
        <v>35</v>
      </c>
      <c r="C23" s="6">
        <v>46032.445138888892</v>
      </c>
      <c r="D23" s="6">
        <v>46032.458333333336</v>
      </c>
      <c r="E23" s="6">
        <v>46032.475694444445</v>
      </c>
      <c r="F23" s="6">
        <v>46032.486111111109</v>
      </c>
      <c r="G23" s="6">
        <v>46032.493055555555</v>
      </c>
      <c r="H23" s="6">
        <v>46032.503472222219</v>
      </c>
      <c r="I23">
        <v>1.4</v>
      </c>
      <c r="J23" s="6">
        <v>46032.510416666664</v>
      </c>
      <c r="K23" s="7">
        <f t="shared" si="0"/>
        <v>7.2916666671517305E-2</v>
      </c>
      <c r="L23">
        <f t="shared" si="1"/>
        <v>1</v>
      </c>
      <c r="M23">
        <f t="shared" si="2"/>
        <v>45</v>
      </c>
      <c r="N23">
        <f t="shared" si="3"/>
        <v>105</v>
      </c>
    </row>
    <row r="24" spans="2:14" x14ac:dyDescent="0.25">
      <c r="B24" t="s">
        <v>35</v>
      </c>
      <c r="C24" s="6">
        <v>46032.576388888891</v>
      </c>
      <c r="D24" s="6">
        <v>46032.583333333336</v>
      </c>
      <c r="E24" s="6">
        <v>46032.590277777781</v>
      </c>
      <c r="F24" s="6">
        <v>46032.600694444445</v>
      </c>
      <c r="G24" s="6">
        <v>46032.607638888891</v>
      </c>
      <c r="H24" s="6">
        <v>46032.621527777781</v>
      </c>
      <c r="I24">
        <v>1.08</v>
      </c>
      <c r="J24" s="6">
        <v>46032.628472222219</v>
      </c>
      <c r="K24" s="7">
        <f t="shared" si="0"/>
        <v>7.6388888883229811E-2</v>
      </c>
      <c r="L24">
        <f t="shared" si="1"/>
        <v>1</v>
      </c>
      <c r="M24">
        <f t="shared" si="2"/>
        <v>50</v>
      </c>
      <c r="N24">
        <f t="shared" si="3"/>
        <v>110</v>
      </c>
    </row>
    <row r="25" spans="2:14" x14ac:dyDescent="0.25">
      <c r="B25" t="s">
        <v>35</v>
      </c>
      <c r="C25" s="6">
        <v>46032.697916666664</v>
      </c>
      <c r="D25" s="6">
        <v>46032.711805555555</v>
      </c>
      <c r="E25" s="6">
        <v>46032.722222222219</v>
      </c>
      <c r="F25" s="6">
        <v>46032.75</v>
      </c>
      <c r="G25" s="6">
        <v>46032.756944444445</v>
      </c>
      <c r="H25" s="6">
        <v>46032.763888888891</v>
      </c>
      <c r="I25">
        <v>1.58</v>
      </c>
      <c r="J25" s="6">
        <v>46032.770833333336</v>
      </c>
      <c r="K25" s="7">
        <f t="shared" si="0"/>
        <v>1.1736111111094942</v>
      </c>
      <c r="L25">
        <f t="shared" si="1"/>
        <v>4</v>
      </c>
      <c r="M25">
        <f t="shared" si="2"/>
        <v>10</v>
      </c>
      <c r="N25">
        <f t="shared" si="3"/>
        <v>250</v>
      </c>
    </row>
    <row r="26" spans="2:14" x14ac:dyDescent="0.25">
      <c r="B26" t="s">
        <v>35</v>
      </c>
      <c r="C26" s="6">
        <v>46033.9375</v>
      </c>
      <c r="D26" s="6">
        <v>46033.944444444445</v>
      </c>
      <c r="E26" s="6">
        <v>46033.951388888891</v>
      </c>
      <c r="F26" s="6">
        <v>46033.979166666664</v>
      </c>
      <c r="G26" s="6">
        <v>46033.982638888891</v>
      </c>
      <c r="H26" s="6">
        <v>46033.986111111109</v>
      </c>
      <c r="I26">
        <v>1.17</v>
      </c>
      <c r="J26" s="6">
        <v>46033.989583333336</v>
      </c>
      <c r="K26" s="7">
        <f t="shared" si="0"/>
        <v>0.30555555555474712</v>
      </c>
      <c r="L26">
        <f t="shared" si="1"/>
        <v>7</v>
      </c>
      <c r="M26">
        <f t="shared" si="2"/>
        <v>20</v>
      </c>
      <c r="N26">
        <f t="shared" si="3"/>
        <v>440</v>
      </c>
    </row>
    <row r="27" spans="2:14" x14ac:dyDescent="0.25">
      <c r="B27" t="s">
        <v>35</v>
      </c>
      <c r="C27" s="6">
        <v>46034.291666666664</v>
      </c>
      <c r="D27" s="6">
        <v>46034.329861111109</v>
      </c>
      <c r="E27" s="6">
        <v>46034.357638888891</v>
      </c>
      <c r="F27" s="6">
        <v>46034.397916666669</v>
      </c>
      <c r="G27" s="6">
        <v>46034.402777777781</v>
      </c>
      <c r="H27" s="6">
        <v>46034.430555555555</v>
      </c>
      <c r="I27">
        <v>3.33</v>
      </c>
      <c r="J27" s="6">
        <v>46034.4375</v>
      </c>
      <c r="K27" s="7">
        <f t="shared" si="0"/>
        <v>5.2083333335758653E-2</v>
      </c>
      <c r="L27">
        <f t="shared" si="1"/>
        <v>1</v>
      </c>
      <c r="M27">
        <f t="shared" si="2"/>
        <v>15</v>
      </c>
      <c r="N27">
        <f t="shared" si="3"/>
        <v>75</v>
      </c>
    </row>
    <row r="28" spans="2:14" x14ac:dyDescent="0.25">
      <c r="B28" t="s">
        <v>35</v>
      </c>
      <c r="C28" s="6">
        <v>46034.482638888891</v>
      </c>
      <c r="D28" s="6">
        <v>46034.493055555555</v>
      </c>
      <c r="E28" s="6">
        <v>46034.527777777781</v>
      </c>
      <c r="F28" s="6">
        <v>46034.631944444445</v>
      </c>
      <c r="G28" s="6">
        <v>46034.638888888891</v>
      </c>
      <c r="H28" s="6">
        <v>46034.649305555555</v>
      </c>
      <c r="I28">
        <v>4</v>
      </c>
      <c r="J28" s="6">
        <v>46034.652083333334</v>
      </c>
      <c r="K28" s="7">
        <f t="shared" si="0"/>
        <v>0.77777777778101154</v>
      </c>
      <c r="L28">
        <f t="shared" si="1"/>
        <v>18</v>
      </c>
      <c r="M28">
        <f t="shared" si="2"/>
        <v>40</v>
      </c>
      <c r="N28">
        <f t="shared" si="3"/>
        <v>1120</v>
      </c>
    </row>
    <row r="29" spans="2:14" x14ac:dyDescent="0.25">
      <c r="B29" t="s">
        <v>35</v>
      </c>
      <c r="C29" s="6">
        <v>46035.427083333336</v>
      </c>
      <c r="D29" s="6">
        <v>46035.440972222219</v>
      </c>
      <c r="E29" s="6">
        <v>46035.444444444445</v>
      </c>
      <c r="F29" s="6">
        <v>46035.454861111109</v>
      </c>
      <c r="G29" s="6">
        <v>46035.458333333336</v>
      </c>
      <c r="H29" s="6">
        <v>46035.465277777781</v>
      </c>
      <c r="I29">
        <v>0.92</v>
      </c>
      <c r="J29" s="6">
        <v>46035.472222222219</v>
      </c>
      <c r="K29" s="7">
        <f t="shared" si="0"/>
        <v>6.25E-2</v>
      </c>
      <c r="L29">
        <f t="shared" si="1"/>
        <v>1</v>
      </c>
      <c r="M29">
        <f t="shared" si="2"/>
        <v>30</v>
      </c>
      <c r="N29">
        <f t="shared" si="3"/>
        <v>90</v>
      </c>
    </row>
    <row r="30" spans="2:14" x14ac:dyDescent="0.25">
      <c r="B30" t="s">
        <v>35</v>
      </c>
      <c r="C30" s="6">
        <v>46035.527777777781</v>
      </c>
      <c r="D30" s="6">
        <v>46035.534722222219</v>
      </c>
      <c r="E30" s="6">
        <v>46035.538194444445</v>
      </c>
      <c r="F30" s="6">
        <v>46035.541666666664</v>
      </c>
      <c r="G30" s="6">
        <v>46035.548611111109</v>
      </c>
      <c r="H30" s="6">
        <v>46035.625</v>
      </c>
      <c r="I30">
        <v>2.33</v>
      </c>
      <c r="J30" s="6">
        <v>46035.631944444445</v>
      </c>
      <c r="K30" s="7">
        <f t="shared" si="0"/>
        <v>0.42361111110949423</v>
      </c>
      <c r="L30">
        <f t="shared" si="1"/>
        <v>10</v>
      </c>
      <c r="M30">
        <f t="shared" si="2"/>
        <v>10</v>
      </c>
      <c r="N30">
        <f t="shared" si="3"/>
        <v>610</v>
      </c>
    </row>
    <row r="31" spans="2:14" x14ac:dyDescent="0.25">
      <c r="B31" t="s">
        <v>35</v>
      </c>
      <c r="C31" s="6">
        <v>46036.048611111109</v>
      </c>
      <c r="D31" s="6">
        <v>46036.055555555555</v>
      </c>
      <c r="E31" s="6">
        <v>46036.072916666664</v>
      </c>
      <c r="F31" s="6">
        <v>46036.100694444445</v>
      </c>
      <c r="G31" s="6">
        <v>46036.101388888892</v>
      </c>
      <c r="H31" s="6">
        <v>46036.102083333331</v>
      </c>
      <c r="I31">
        <v>1.28</v>
      </c>
      <c r="J31" s="6">
        <v>46036.102777777778</v>
      </c>
      <c r="K31" s="7">
        <f t="shared" si="0"/>
        <v>0.18958333333284827</v>
      </c>
      <c r="L31">
        <f t="shared" si="1"/>
        <v>4</v>
      </c>
      <c r="M31">
        <f t="shared" si="2"/>
        <v>33</v>
      </c>
      <c r="N31">
        <f t="shared" si="3"/>
        <v>273</v>
      </c>
    </row>
    <row r="32" spans="2:14" x14ac:dyDescent="0.25">
      <c r="B32" t="s">
        <v>35</v>
      </c>
      <c r="C32" s="6">
        <v>46036.291666666664</v>
      </c>
      <c r="D32" s="6">
        <v>46036.326388888891</v>
      </c>
      <c r="E32" s="6">
        <v>46036.361111111109</v>
      </c>
      <c r="F32" s="6">
        <v>46036.420138888891</v>
      </c>
      <c r="G32" s="6">
        <v>46036.423611111109</v>
      </c>
      <c r="H32" s="6">
        <v>46036.4375</v>
      </c>
      <c r="I32">
        <v>3.5</v>
      </c>
      <c r="J32" s="6">
        <v>46036.440972222219</v>
      </c>
      <c r="K32" s="7">
        <f t="shared" si="0"/>
        <v>2.9861111113859806E-2</v>
      </c>
      <c r="L32">
        <f t="shared" si="1"/>
        <v>0</v>
      </c>
      <c r="M32">
        <f t="shared" si="2"/>
        <v>43</v>
      </c>
      <c r="N32">
        <f t="shared" si="3"/>
        <v>43</v>
      </c>
    </row>
    <row r="33" spans="2:14" x14ac:dyDescent="0.25">
      <c r="B33" t="s">
        <v>35</v>
      </c>
      <c r="C33" s="6">
        <v>46036.467361111114</v>
      </c>
      <c r="D33" s="6">
        <v>46036.477777777778</v>
      </c>
      <c r="E33" s="6">
        <v>46036.479166666664</v>
      </c>
      <c r="F33" s="6">
        <v>46036.487500000003</v>
      </c>
      <c r="G33" s="6">
        <v>46036.489583333336</v>
      </c>
      <c r="H33" s="6">
        <v>46036.5</v>
      </c>
      <c r="I33">
        <v>0.78</v>
      </c>
      <c r="J33" s="6">
        <v>46036.501388888886</v>
      </c>
      <c r="K33" s="7">
        <f t="shared" si="0"/>
        <v>4.1666666664241347E-2</v>
      </c>
      <c r="L33">
        <f t="shared" si="1"/>
        <v>1</v>
      </c>
      <c r="M33">
        <f t="shared" si="2"/>
        <v>0</v>
      </c>
      <c r="N33">
        <f t="shared" si="3"/>
        <v>60</v>
      </c>
    </row>
    <row r="34" spans="2:14" x14ac:dyDescent="0.25">
      <c r="B34" t="s">
        <v>35</v>
      </c>
      <c r="C34" s="6">
        <v>46036.541666666664</v>
      </c>
      <c r="D34" s="6">
        <v>46036.545138888891</v>
      </c>
      <c r="E34" s="6">
        <v>46036.548611111109</v>
      </c>
      <c r="F34" s="6">
        <v>46036.576388888891</v>
      </c>
      <c r="G34" s="6">
        <v>46036.583333333336</v>
      </c>
      <c r="H34" s="6">
        <v>46036.590277777781</v>
      </c>
      <c r="I34">
        <v>1.17</v>
      </c>
      <c r="J34" s="6">
        <v>46036.597222222219</v>
      </c>
      <c r="K34" s="7">
        <f t="shared" si="0"/>
        <v>2.7777777773735579E-2</v>
      </c>
      <c r="L34">
        <f t="shared" si="1"/>
        <v>0</v>
      </c>
      <c r="M34">
        <f t="shared" si="2"/>
        <v>40</v>
      </c>
      <c r="N34">
        <f t="shared" si="3"/>
        <v>40</v>
      </c>
    </row>
    <row r="35" spans="2:14" x14ac:dyDescent="0.25">
      <c r="B35" t="s">
        <v>35</v>
      </c>
      <c r="C35" s="6">
        <v>46036.618055555555</v>
      </c>
      <c r="D35" s="6">
        <v>46036.649305555555</v>
      </c>
      <c r="E35" s="6">
        <v>46036.65625</v>
      </c>
      <c r="F35" s="6">
        <v>46036.716666666667</v>
      </c>
      <c r="G35" s="6">
        <v>46036.722222222219</v>
      </c>
      <c r="H35" s="6">
        <v>46036.763888888891</v>
      </c>
      <c r="I35">
        <v>3.5</v>
      </c>
      <c r="J35" s="6">
        <v>46036.767361111109</v>
      </c>
      <c r="K35" s="7">
        <f t="shared" si="0"/>
        <v>0.52777777777373558</v>
      </c>
      <c r="L35">
        <f t="shared" si="1"/>
        <v>12</v>
      </c>
      <c r="M35">
        <f t="shared" si="2"/>
        <v>40</v>
      </c>
      <c r="N35">
        <f t="shared" si="3"/>
        <v>760</v>
      </c>
    </row>
    <row r="36" spans="2:14" x14ac:dyDescent="0.25">
      <c r="B36" t="s">
        <v>35</v>
      </c>
      <c r="C36" s="6">
        <v>46037.291666666664</v>
      </c>
      <c r="D36" s="6">
        <v>46037.3125</v>
      </c>
      <c r="E36" s="6">
        <v>46037.333333333336</v>
      </c>
      <c r="F36" s="6">
        <v>46037.384027777778</v>
      </c>
      <c r="G36" s="6">
        <v>46037.384722222225</v>
      </c>
      <c r="H36" s="6">
        <v>46037.387499999997</v>
      </c>
      <c r="I36">
        <v>2.2999999999999998</v>
      </c>
      <c r="J36" s="6">
        <v>46037.394444444442</v>
      </c>
      <c r="K36" s="7">
        <f t="shared" si="0"/>
        <v>5.0000000002910383E-2</v>
      </c>
      <c r="L36">
        <f t="shared" si="1"/>
        <v>1</v>
      </c>
      <c r="M36">
        <f t="shared" si="2"/>
        <v>12</v>
      </c>
      <c r="N36">
        <f t="shared" si="3"/>
        <v>72</v>
      </c>
    </row>
    <row r="37" spans="2:14" x14ac:dyDescent="0.25">
      <c r="B37" t="s">
        <v>35</v>
      </c>
      <c r="C37" s="6">
        <v>46037.4375</v>
      </c>
      <c r="D37" s="6">
        <v>46037.444444444445</v>
      </c>
      <c r="E37" s="6">
        <v>46037.447916666664</v>
      </c>
      <c r="F37" s="6">
        <v>46037.493055555555</v>
      </c>
      <c r="G37" s="6">
        <v>46037.496527777781</v>
      </c>
      <c r="H37" s="6">
        <v>46037.5</v>
      </c>
      <c r="I37">
        <v>1.5</v>
      </c>
      <c r="J37" s="6">
        <v>46037.506944444445</v>
      </c>
      <c r="K37" s="7">
        <f t="shared" si="0"/>
        <v>4.8611111109494232E-2</v>
      </c>
      <c r="L37">
        <f t="shared" si="1"/>
        <v>1</v>
      </c>
      <c r="M37">
        <f t="shared" si="2"/>
        <v>10</v>
      </c>
      <c r="N37">
        <f t="shared" si="3"/>
        <v>70</v>
      </c>
    </row>
    <row r="38" spans="2:14" x14ac:dyDescent="0.25">
      <c r="B38" t="s">
        <v>35</v>
      </c>
      <c r="C38" s="6">
        <v>46037.548611111109</v>
      </c>
      <c r="D38" s="6">
        <v>46037.555555555555</v>
      </c>
      <c r="E38" s="6">
        <v>46037.583333333336</v>
      </c>
      <c r="F38" s="6">
        <v>46037.604166666664</v>
      </c>
      <c r="G38" s="6">
        <v>46037.611111111109</v>
      </c>
      <c r="H38" s="6">
        <v>46037.666666666664</v>
      </c>
      <c r="I38">
        <v>2.83</v>
      </c>
      <c r="J38" s="6">
        <v>46037.673611111109</v>
      </c>
      <c r="K38" s="7">
        <f t="shared" si="0"/>
        <v>6.25E-2</v>
      </c>
      <c r="L38">
        <f t="shared" si="1"/>
        <v>1</v>
      </c>
      <c r="M38">
        <f t="shared" si="2"/>
        <v>30</v>
      </c>
      <c r="N38">
        <f t="shared" si="3"/>
        <v>90</v>
      </c>
    </row>
    <row r="39" spans="2:14" x14ac:dyDescent="0.25">
      <c r="B39" t="s">
        <v>35</v>
      </c>
      <c r="C39" s="6">
        <v>46037.729166666664</v>
      </c>
      <c r="D39" s="6">
        <v>46037.736111111109</v>
      </c>
      <c r="E39" s="6">
        <v>46037.743055555555</v>
      </c>
      <c r="F39" s="6">
        <v>46037.770833333336</v>
      </c>
      <c r="G39" s="6">
        <v>46037.777777777781</v>
      </c>
      <c r="H39" s="6">
        <v>46037.783333333333</v>
      </c>
      <c r="I39">
        <v>1.3</v>
      </c>
      <c r="J39" s="6">
        <v>46037.790277777778</v>
      </c>
      <c r="K39" s="7">
        <f t="shared" si="0"/>
        <v>0.50833333333139308</v>
      </c>
      <c r="L39">
        <f t="shared" si="1"/>
        <v>12</v>
      </c>
      <c r="M39">
        <f t="shared" si="2"/>
        <v>12</v>
      </c>
      <c r="N39">
        <f t="shared" si="3"/>
        <v>732</v>
      </c>
    </row>
    <row r="40" spans="2:14" x14ac:dyDescent="0.25">
      <c r="B40" t="s">
        <v>35</v>
      </c>
      <c r="C40" s="6">
        <v>46038.291666666664</v>
      </c>
      <c r="D40" s="6">
        <v>46038.322916666664</v>
      </c>
      <c r="E40" s="6">
        <v>46038.385416666664</v>
      </c>
      <c r="F40" s="6">
        <v>46038.489583333336</v>
      </c>
      <c r="G40" s="6">
        <v>46038.496527777781</v>
      </c>
      <c r="H40" s="6">
        <v>46038.506944444445</v>
      </c>
      <c r="I40">
        <v>5.17</v>
      </c>
      <c r="J40" s="6">
        <v>46038.510416666664</v>
      </c>
      <c r="K40" s="7">
        <f t="shared" si="0"/>
        <v>6.5972222218988463E-2</v>
      </c>
      <c r="L40">
        <f t="shared" si="1"/>
        <v>1</v>
      </c>
      <c r="M40">
        <f t="shared" si="2"/>
        <v>35</v>
      </c>
      <c r="N40">
        <f t="shared" si="3"/>
        <v>95</v>
      </c>
    </row>
    <row r="41" spans="2:14" x14ac:dyDescent="0.25">
      <c r="B41" t="s">
        <v>35</v>
      </c>
      <c r="C41" s="6">
        <v>46038.572916666664</v>
      </c>
      <c r="D41" s="6">
        <v>46038.586805555555</v>
      </c>
      <c r="E41" s="6">
        <v>46038.65</v>
      </c>
      <c r="F41" s="6">
        <v>46038.833333333336</v>
      </c>
      <c r="G41" s="6">
        <v>46038.854166666664</v>
      </c>
      <c r="H41" s="6">
        <v>46038.857638888891</v>
      </c>
      <c r="I41">
        <v>6.83</v>
      </c>
      <c r="J41" s="6">
        <v>46038.861111111109</v>
      </c>
      <c r="K41" s="7">
        <f t="shared" si="0"/>
        <v>0.48958333332848269</v>
      </c>
      <c r="L41">
        <f t="shared" si="1"/>
        <v>11</v>
      </c>
      <c r="M41">
        <f t="shared" si="2"/>
        <v>45</v>
      </c>
      <c r="N41">
        <f t="shared" si="3"/>
        <v>705</v>
      </c>
    </row>
    <row r="42" spans="2:14" x14ac:dyDescent="0.25">
      <c r="B42" t="s">
        <v>35</v>
      </c>
      <c r="C42" s="6">
        <v>46039.347222222219</v>
      </c>
      <c r="D42" s="6">
        <v>46039.349305555559</v>
      </c>
      <c r="E42" s="6">
        <v>46039.357638888891</v>
      </c>
      <c r="F42" s="6">
        <v>46039.375</v>
      </c>
      <c r="G42" s="6">
        <v>46039.381944444445</v>
      </c>
      <c r="H42" s="6">
        <v>46039.388888888891</v>
      </c>
      <c r="I42">
        <v>1</v>
      </c>
      <c r="J42" s="6">
        <v>46039.395833333336</v>
      </c>
      <c r="K42" s="7">
        <f t="shared" si="0"/>
        <v>1.0520833333284827</v>
      </c>
      <c r="L42">
        <f t="shared" si="1"/>
        <v>1</v>
      </c>
      <c r="M42">
        <f t="shared" si="2"/>
        <v>15</v>
      </c>
      <c r="N42">
        <f t="shared" si="3"/>
        <v>75</v>
      </c>
    </row>
    <row r="43" spans="2:14" x14ac:dyDescent="0.25">
      <c r="B43" t="s">
        <v>35</v>
      </c>
      <c r="C43" s="6">
        <v>46040.440972222219</v>
      </c>
      <c r="D43" s="6">
        <v>46040.446527777778</v>
      </c>
      <c r="E43" s="6">
        <v>46040.459722222222</v>
      </c>
      <c r="F43" s="6">
        <v>46040.479166666664</v>
      </c>
      <c r="G43" s="6">
        <v>46040.482638888891</v>
      </c>
      <c r="H43" s="6">
        <v>46040.496527777781</v>
      </c>
      <c r="I43">
        <v>1.33</v>
      </c>
      <c r="J43" s="6">
        <v>46040.503472222219</v>
      </c>
      <c r="K43" s="7">
        <f t="shared" si="0"/>
        <v>7.2916666664241347E-2</v>
      </c>
      <c r="L43">
        <f t="shared" si="1"/>
        <v>1</v>
      </c>
      <c r="M43">
        <f t="shared" si="2"/>
        <v>45</v>
      </c>
      <c r="N43">
        <f t="shared" si="3"/>
        <v>105</v>
      </c>
    </row>
    <row r="44" spans="2:14" x14ac:dyDescent="0.25">
      <c r="B44" t="s">
        <v>35</v>
      </c>
      <c r="C44" s="6">
        <v>46040.569444444445</v>
      </c>
      <c r="D44" s="6">
        <v>46040.590277777781</v>
      </c>
      <c r="E44" s="6">
        <v>46040.614583333336</v>
      </c>
      <c r="F44" s="6">
        <v>46040.663194444445</v>
      </c>
      <c r="G44" s="6">
        <v>46040.670138888891</v>
      </c>
      <c r="H44" s="6">
        <v>46040.677083333336</v>
      </c>
      <c r="I44">
        <v>2.58</v>
      </c>
      <c r="J44" s="6">
        <v>46040.684027777781</v>
      </c>
      <c r="K44" s="7">
        <f t="shared" si="0"/>
        <v>0.61458333332848269</v>
      </c>
      <c r="L44">
        <f t="shared" si="1"/>
        <v>14</v>
      </c>
      <c r="M44">
        <f t="shared" si="2"/>
        <v>45</v>
      </c>
      <c r="N44">
        <f t="shared" si="3"/>
        <v>885</v>
      </c>
    </row>
    <row r="45" spans="2:14" x14ac:dyDescent="0.25">
      <c r="B45" t="s">
        <v>35</v>
      </c>
      <c r="C45" s="6">
        <v>46041.291666666664</v>
      </c>
      <c r="D45" s="6">
        <v>46041.333333333336</v>
      </c>
      <c r="E45" s="6">
        <v>46041.354166666664</v>
      </c>
      <c r="F45" s="6">
        <v>46041.534722222219</v>
      </c>
      <c r="G45" s="6">
        <v>46041.541666666664</v>
      </c>
      <c r="H45" s="6">
        <v>46041.555555555555</v>
      </c>
      <c r="I45">
        <v>6.33</v>
      </c>
      <c r="J45" s="6">
        <v>46041.559027777781</v>
      </c>
      <c r="K45" s="7">
        <f t="shared" si="0"/>
        <v>0.73263888889050577</v>
      </c>
      <c r="L45">
        <f t="shared" si="1"/>
        <v>17</v>
      </c>
      <c r="M45">
        <f t="shared" si="2"/>
        <v>35</v>
      </c>
      <c r="N45">
        <f t="shared" si="3"/>
        <v>1055</v>
      </c>
    </row>
    <row r="46" spans="2:14" hidden="1" x14ac:dyDescent="0.25">
      <c r="B46" t="s">
        <v>35</v>
      </c>
      <c r="C46" s="6">
        <v>46042.288194444445</v>
      </c>
      <c r="D46" s="6">
        <v>46042.3125</v>
      </c>
      <c r="E46" s="6">
        <v>46042.347222222219</v>
      </c>
      <c r="F46" s="6">
        <v>46042.430555555555</v>
      </c>
      <c r="G46" s="6">
        <v>46042.434027777781</v>
      </c>
      <c r="H46" s="6">
        <v>46042.444444444445</v>
      </c>
      <c r="I46">
        <v>3.75</v>
      </c>
      <c r="J46" s="6">
        <v>46042.447916666664</v>
      </c>
      <c r="K46" s="7">
        <f t="shared" si="0"/>
        <v>-0.12847222222626442</v>
      </c>
      <c r="L46" t="e">
        <f t="shared" si="1"/>
        <v>#NUM!</v>
      </c>
      <c r="M46" t="e">
        <f t="shared" si="2"/>
        <v>#NUM!</v>
      </c>
      <c r="N46" t="e">
        <f t="shared" si="3"/>
        <v>#NUM!</v>
      </c>
    </row>
    <row r="47" spans="2:14" x14ac:dyDescent="0.25">
      <c r="B47" t="s">
        <v>35</v>
      </c>
      <c r="C47" s="6">
        <v>46042.315972222219</v>
      </c>
      <c r="D47" s="6">
        <v>46042.340277777781</v>
      </c>
      <c r="E47" s="6">
        <v>46042.369444444441</v>
      </c>
      <c r="F47" s="6">
        <v>46042.449305555558</v>
      </c>
      <c r="G47" s="6">
        <v>46042.456944444442</v>
      </c>
      <c r="H47" s="6">
        <v>46042.458333333336</v>
      </c>
      <c r="I47">
        <v>3.42</v>
      </c>
      <c r="J47" s="6">
        <v>46042.461805555555</v>
      </c>
      <c r="K47" s="7">
        <f t="shared" si="0"/>
        <v>2.4305555554747116E-2</v>
      </c>
      <c r="L47">
        <f t="shared" si="1"/>
        <v>0</v>
      </c>
      <c r="M47">
        <f t="shared" si="2"/>
        <v>35</v>
      </c>
      <c r="N47">
        <f t="shared" si="3"/>
        <v>35</v>
      </c>
    </row>
    <row r="48" spans="2:14" x14ac:dyDescent="0.25">
      <c r="B48" t="s">
        <v>35</v>
      </c>
      <c r="C48" s="6">
        <v>46042.482638888891</v>
      </c>
      <c r="D48" s="6">
        <v>46042.5</v>
      </c>
      <c r="E48" s="6">
        <v>46042.541666666664</v>
      </c>
      <c r="F48" s="6">
        <v>46042.611111111109</v>
      </c>
      <c r="G48" s="6">
        <v>46042.625</v>
      </c>
      <c r="H48" s="6">
        <v>46042.635416666664</v>
      </c>
      <c r="I48">
        <v>3.67</v>
      </c>
      <c r="J48" s="6">
        <v>46042.642361111109</v>
      </c>
      <c r="K48" s="7">
        <f t="shared" si="0"/>
        <v>3.4722222226264421E-2</v>
      </c>
      <c r="L48">
        <f t="shared" si="1"/>
        <v>0</v>
      </c>
      <c r="M48">
        <f t="shared" si="2"/>
        <v>50</v>
      </c>
      <c r="N48">
        <f t="shared" si="3"/>
        <v>50</v>
      </c>
    </row>
    <row r="49" spans="2:14" x14ac:dyDescent="0.25">
      <c r="B49" t="s">
        <v>35</v>
      </c>
      <c r="C49" s="6">
        <v>46042.670138888891</v>
      </c>
      <c r="D49" s="6">
        <v>46042.6875</v>
      </c>
      <c r="E49" s="6">
        <v>46042.701388888891</v>
      </c>
      <c r="F49" s="6">
        <v>46042.805555555555</v>
      </c>
      <c r="G49" s="6">
        <v>46042.809027777781</v>
      </c>
      <c r="H49" s="6">
        <v>46042.8125</v>
      </c>
      <c r="I49">
        <v>3.42</v>
      </c>
      <c r="J49" s="6">
        <v>46042.815972222219</v>
      </c>
      <c r="K49" s="7">
        <f t="shared" si="0"/>
        <v>0.47777777777810115</v>
      </c>
      <c r="L49">
        <f t="shared" si="1"/>
        <v>11</v>
      </c>
      <c r="M49">
        <f t="shared" si="2"/>
        <v>28</v>
      </c>
      <c r="N49">
        <f t="shared" si="3"/>
        <v>688</v>
      </c>
    </row>
    <row r="50" spans="2:14" x14ac:dyDescent="0.25">
      <c r="B50" t="s">
        <v>35</v>
      </c>
      <c r="C50" s="6">
        <v>46043.290277777778</v>
      </c>
      <c r="D50" s="6">
        <v>46043.340277777781</v>
      </c>
      <c r="E50" s="6">
        <v>46043.357638888891</v>
      </c>
      <c r="F50" s="6">
        <v>46043.378472222219</v>
      </c>
      <c r="G50" s="6">
        <v>46043.385416666664</v>
      </c>
      <c r="H50" s="6">
        <v>46043.388888888891</v>
      </c>
      <c r="I50">
        <v>2.37</v>
      </c>
      <c r="J50" s="6">
        <v>46043.395833333336</v>
      </c>
      <c r="K50" s="7">
        <f t="shared" si="0"/>
        <v>4.5138888890505768E-2</v>
      </c>
      <c r="L50">
        <f t="shared" si="1"/>
        <v>1</v>
      </c>
      <c r="M50">
        <f t="shared" si="2"/>
        <v>5</v>
      </c>
      <c r="N50">
        <f t="shared" si="3"/>
        <v>65</v>
      </c>
    </row>
    <row r="51" spans="2:14" x14ac:dyDescent="0.25">
      <c r="B51" t="s">
        <v>35</v>
      </c>
      <c r="C51" s="6">
        <v>46043.434027777781</v>
      </c>
      <c r="D51" s="6">
        <v>46043.4375</v>
      </c>
      <c r="E51" s="6">
        <v>46043.472222222219</v>
      </c>
      <c r="F51" s="6">
        <v>46043.506944444445</v>
      </c>
      <c r="G51" s="6">
        <v>46043.513888888891</v>
      </c>
      <c r="H51" s="6">
        <v>46043.520833333336</v>
      </c>
      <c r="I51">
        <v>2.08</v>
      </c>
      <c r="J51" s="6">
        <v>46043.527777777781</v>
      </c>
      <c r="K51" s="7">
        <f t="shared" si="0"/>
        <v>6.25E-2</v>
      </c>
      <c r="L51">
        <f t="shared" si="1"/>
        <v>1</v>
      </c>
      <c r="M51">
        <f t="shared" si="2"/>
        <v>30</v>
      </c>
      <c r="N51">
        <f t="shared" si="3"/>
        <v>90</v>
      </c>
    </row>
    <row r="52" spans="2:14" x14ac:dyDescent="0.25">
      <c r="B52" t="s">
        <v>35</v>
      </c>
      <c r="C52" s="6">
        <v>46043.583333333336</v>
      </c>
      <c r="D52" s="6">
        <v>46043.590277777781</v>
      </c>
      <c r="E52" s="6">
        <v>46043.597222222219</v>
      </c>
      <c r="F52" s="6">
        <v>46043.625</v>
      </c>
      <c r="G52" s="6">
        <v>46043.631944444445</v>
      </c>
      <c r="H52" s="6">
        <v>46043.638888888891</v>
      </c>
      <c r="I52">
        <v>1.33</v>
      </c>
      <c r="J52" s="6">
        <v>46043.645833333336</v>
      </c>
      <c r="K52" s="7">
        <f t="shared" si="0"/>
        <v>0.69444444444525288</v>
      </c>
      <c r="L52">
        <f t="shared" si="1"/>
        <v>16</v>
      </c>
      <c r="M52">
        <f t="shared" si="2"/>
        <v>40</v>
      </c>
      <c r="N52">
        <f t="shared" si="3"/>
        <v>1000</v>
      </c>
    </row>
    <row r="53" spans="2:14" x14ac:dyDescent="0.25">
      <c r="B53" t="s">
        <v>35</v>
      </c>
      <c r="C53" s="6">
        <v>46044.333333333336</v>
      </c>
      <c r="D53" s="6">
        <v>46044.336805555555</v>
      </c>
      <c r="E53" s="6">
        <v>46044.340277777781</v>
      </c>
      <c r="F53" s="6">
        <v>46044.347222222219</v>
      </c>
      <c r="G53" s="6">
        <v>46044.350694444445</v>
      </c>
      <c r="H53" s="6">
        <v>46044.361111111109</v>
      </c>
      <c r="I53">
        <v>0.67</v>
      </c>
      <c r="J53" s="6">
        <v>46044.368055555555</v>
      </c>
      <c r="K53" s="7">
        <f t="shared" si="0"/>
        <v>0.27777777778101154</v>
      </c>
      <c r="L53">
        <f t="shared" si="1"/>
        <v>6</v>
      </c>
      <c r="M53">
        <f t="shared" si="2"/>
        <v>40</v>
      </c>
      <c r="N53">
        <f t="shared" si="3"/>
        <v>400</v>
      </c>
    </row>
    <row r="54" spans="2:14" x14ac:dyDescent="0.25">
      <c r="B54" t="s">
        <v>35</v>
      </c>
      <c r="C54" s="6">
        <v>46044.638888888891</v>
      </c>
      <c r="D54" s="6">
        <v>46044.659722222219</v>
      </c>
      <c r="E54" s="6">
        <v>46044.684027777781</v>
      </c>
      <c r="F54" s="6">
        <v>46044.78402777778</v>
      </c>
      <c r="G54" s="6">
        <v>46044.798611111109</v>
      </c>
      <c r="H54" s="6">
        <v>46044.802083333336</v>
      </c>
      <c r="I54">
        <v>3.92</v>
      </c>
      <c r="J54" s="6">
        <v>46044.809027777781</v>
      </c>
      <c r="K54" s="7">
        <f t="shared" si="0"/>
        <v>0.48958333332848269</v>
      </c>
      <c r="L54">
        <f t="shared" si="1"/>
        <v>11</v>
      </c>
      <c r="M54">
        <f t="shared" si="2"/>
        <v>45</v>
      </c>
      <c r="N54">
        <f t="shared" si="3"/>
        <v>705</v>
      </c>
    </row>
    <row r="55" spans="2:14" x14ac:dyDescent="0.25">
      <c r="B55" t="s">
        <v>35</v>
      </c>
      <c r="C55" s="6">
        <v>46045.291666666664</v>
      </c>
      <c r="D55" s="6">
        <v>46045.333333333336</v>
      </c>
      <c r="E55" s="6">
        <v>46045.375</v>
      </c>
      <c r="F55" s="6">
        <v>46045.63958333333</v>
      </c>
      <c r="G55" s="6">
        <v>46045.694444444445</v>
      </c>
      <c r="H55" s="6">
        <v>46045.701388888891</v>
      </c>
      <c r="I55">
        <v>9.83</v>
      </c>
      <c r="J55" s="6">
        <v>46045.708333333336</v>
      </c>
      <c r="K55" s="7">
        <f t="shared" si="0"/>
        <v>0.28125</v>
      </c>
      <c r="L55">
        <f t="shared" si="1"/>
        <v>6</v>
      </c>
      <c r="M55">
        <f t="shared" si="2"/>
        <v>45</v>
      </c>
      <c r="N55">
        <f t="shared" si="3"/>
        <v>405</v>
      </c>
    </row>
    <row r="56" spans="2:14" x14ac:dyDescent="0.25">
      <c r="B56" t="s">
        <v>35</v>
      </c>
      <c r="C56" s="6">
        <v>46045.982638888891</v>
      </c>
      <c r="D56" s="6">
        <v>46045.98333333333</v>
      </c>
      <c r="E56" s="6">
        <v>46045.986111111109</v>
      </c>
      <c r="F56" s="6">
        <v>46046.065972222219</v>
      </c>
      <c r="G56" s="6">
        <v>46046.732638888891</v>
      </c>
      <c r="H56" s="6">
        <v>46046.736111111109</v>
      </c>
      <c r="I56">
        <v>18.079999999999998</v>
      </c>
      <c r="J56" s="6">
        <v>46046.743055555555</v>
      </c>
      <c r="K56" s="7">
        <f t="shared" si="0"/>
        <v>0.18402777778101154</v>
      </c>
      <c r="L56">
        <f t="shared" si="1"/>
        <v>4</v>
      </c>
      <c r="M56">
        <f t="shared" si="2"/>
        <v>25</v>
      </c>
      <c r="N56">
        <f t="shared" si="3"/>
        <v>265</v>
      </c>
    </row>
    <row r="57" spans="2:14" x14ac:dyDescent="0.25">
      <c r="B57" t="s">
        <v>35</v>
      </c>
      <c r="C57" s="6">
        <v>46046.920138888891</v>
      </c>
      <c r="D57" s="6">
        <v>46046.923611111109</v>
      </c>
      <c r="E57" s="6">
        <v>46046.930555555555</v>
      </c>
      <c r="F57" s="6">
        <v>46046.972222222219</v>
      </c>
      <c r="G57" s="6">
        <v>46046.975694444445</v>
      </c>
      <c r="H57" s="6">
        <v>46046.979166666664</v>
      </c>
      <c r="I57">
        <v>1.42</v>
      </c>
      <c r="J57" s="6">
        <v>46046.982638888891</v>
      </c>
      <c r="K57" s="7">
        <f t="shared" si="0"/>
        <v>0.59375</v>
      </c>
      <c r="L57">
        <f t="shared" si="1"/>
        <v>14</v>
      </c>
      <c r="M57">
        <f t="shared" si="2"/>
        <v>15</v>
      </c>
      <c r="N57">
        <f t="shared" si="3"/>
        <v>855</v>
      </c>
    </row>
    <row r="58" spans="2:14" hidden="1" x14ac:dyDescent="0.25">
      <c r="B58" t="s">
        <v>35</v>
      </c>
      <c r="C58" s="6">
        <v>46047.572916666664</v>
      </c>
      <c r="D58" s="6">
        <v>46047.576388888891</v>
      </c>
      <c r="E58" s="6">
        <v>46047.590277777781</v>
      </c>
      <c r="F58" s="6">
        <v>46047.633333333331</v>
      </c>
      <c r="G58" s="6">
        <v>46047.640277777777</v>
      </c>
      <c r="H58" s="6">
        <v>46047.645833333336</v>
      </c>
      <c r="I58">
        <v>1.75</v>
      </c>
      <c r="J58" s="6">
        <v>46047.652777777781</v>
      </c>
      <c r="K58" s="7">
        <f t="shared" si="0"/>
        <v>0</v>
      </c>
      <c r="L58">
        <f t="shared" si="1"/>
        <v>0</v>
      </c>
      <c r="M58">
        <f t="shared" si="2"/>
        <v>0</v>
      </c>
      <c r="N58">
        <f t="shared" si="3"/>
        <v>0</v>
      </c>
    </row>
    <row r="59" spans="2:14" x14ac:dyDescent="0.25">
      <c r="B59" t="s">
        <v>35</v>
      </c>
      <c r="C59" s="6">
        <v>46047.645833333336</v>
      </c>
      <c r="D59" s="6">
        <v>46047.652777777781</v>
      </c>
      <c r="E59" s="6">
        <v>46047.666666666664</v>
      </c>
      <c r="F59" s="6">
        <v>46047.708333333336</v>
      </c>
      <c r="G59" s="6">
        <v>46047.715277777781</v>
      </c>
      <c r="H59" s="6">
        <v>46047.729166666664</v>
      </c>
      <c r="I59">
        <v>2</v>
      </c>
      <c r="J59" s="6">
        <v>46047.736111111109</v>
      </c>
      <c r="K59" s="7">
        <f t="shared" si="0"/>
        <v>0.64236111111677019</v>
      </c>
      <c r="L59">
        <f t="shared" si="1"/>
        <v>15</v>
      </c>
      <c r="M59">
        <f t="shared" si="2"/>
        <v>25</v>
      </c>
      <c r="N59">
        <f t="shared" si="3"/>
        <v>925</v>
      </c>
    </row>
    <row r="60" spans="2:14" hidden="1" x14ac:dyDescent="0.25">
      <c r="B60" t="s">
        <v>35</v>
      </c>
      <c r="C60" s="6">
        <v>46048.371527777781</v>
      </c>
      <c r="D60" s="6">
        <v>46048.378472222219</v>
      </c>
      <c r="E60" s="6">
        <v>46048.413194444445</v>
      </c>
      <c r="F60" s="6">
        <v>46048.506944444445</v>
      </c>
      <c r="G60" s="6">
        <v>46048.510416666664</v>
      </c>
      <c r="H60" s="6">
        <v>46048.527777777781</v>
      </c>
      <c r="I60">
        <v>3.75</v>
      </c>
      <c r="J60" s="6">
        <v>46048.53125</v>
      </c>
      <c r="K60" s="7">
        <f t="shared" si="0"/>
        <v>-0.11111111111677019</v>
      </c>
      <c r="L60" t="e">
        <f t="shared" si="1"/>
        <v>#NUM!</v>
      </c>
      <c r="M60" t="e">
        <f t="shared" si="2"/>
        <v>#NUM!</v>
      </c>
      <c r="N60" t="e">
        <f t="shared" si="3"/>
        <v>#NUM!</v>
      </c>
    </row>
    <row r="61" spans="2:14" x14ac:dyDescent="0.25">
      <c r="B61" t="s">
        <v>35</v>
      </c>
      <c r="C61" s="6">
        <v>46048.416666666664</v>
      </c>
      <c r="D61" s="6">
        <v>46048.430555555555</v>
      </c>
      <c r="E61" s="6">
        <v>46048.451388888891</v>
      </c>
      <c r="F61" s="6">
        <v>46048.510416666664</v>
      </c>
      <c r="G61" s="6">
        <v>46048.513888888891</v>
      </c>
      <c r="H61" s="6">
        <v>46048.517361111109</v>
      </c>
      <c r="I61">
        <v>2.42</v>
      </c>
      <c r="J61" s="6">
        <v>46048.518750000003</v>
      </c>
      <c r="K61" s="7">
        <f t="shared" si="0"/>
        <v>0.77083333333575865</v>
      </c>
      <c r="L61">
        <f t="shared" si="1"/>
        <v>18</v>
      </c>
      <c r="M61">
        <f t="shared" si="2"/>
        <v>30</v>
      </c>
      <c r="N61">
        <f t="shared" si="3"/>
        <v>1110</v>
      </c>
    </row>
    <row r="62" spans="2:14" x14ac:dyDescent="0.25">
      <c r="B62" t="s">
        <v>35</v>
      </c>
      <c r="C62" s="6">
        <v>46049.288194444445</v>
      </c>
      <c r="D62" s="6">
        <v>46049.347222222219</v>
      </c>
      <c r="E62" s="6">
        <v>46049.354166666664</v>
      </c>
      <c r="F62" s="6">
        <v>46049.378472222219</v>
      </c>
      <c r="G62" s="6">
        <v>46049.385416666664</v>
      </c>
      <c r="H62" s="6">
        <v>46049.43472222222</v>
      </c>
      <c r="I62">
        <v>3.52</v>
      </c>
      <c r="J62" s="6">
        <v>46049.440972222219</v>
      </c>
      <c r="K62" s="7">
        <f t="shared" si="0"/>
        <v>1.0097222222248092</v>
      </c>
      <c r="L62">
        <f t="shared" si="1"/>
        <v>0</v>
      </c>
      <c r="M62">
        <f t="shared" si="2"/>
        <v>14</v>
      </c>
      <c r="N62">
        <f t="shared" si="3"/>
        <v>14</v>
      </c>
    </row>
    <row r="63" spans="2:14" x14ac:dyDescent="0.25">
      <c r="B63" t="s">
        <v>35</v>
      </c>
      <c r="C63" s="6">
        <v>46050.444444444445</v>
      </c>
      <c r="D63" s="6">
        <v>46050.451388888891</v>
      </c>
      <c r="E63" s="6">
        <v>46050.475694444445</v>
      </c>
      <c r="F63" s="6">
        <v>46050.510416666664</v>
      </c>
      <c r="G63" s="6">
        <v>46050.513888888891</v>
      </c>
      <c r="H63" s="6">
        <v>46050.520833333336</v>
      </c>
      <c r="I63">
        <v>1.83</v>
      </c>
      <c r="J63" s="6">
        <v>46050.527777777781</v>
      </c>
      <c r="K63" s="7">
        <f t="shared" si="0"/>
        <v>5.5555555554747116E-2</v>
      </c>
      <c r="L63">
        <f t="shared" si="1"/>
        <v>1</v>
      </c>
      <c r="M63">
        <f t="shared" si="2"/>
        <v>20</v>
      </c>
      <c r="N63">
        <f t="shared" si="3"/>
        <v>80</v>
      </c>
    </row>
    <row r="64" spans="2:14" x14ac:dyDescent="0.25">
      <c r="B64" t="s">
        <v>35</v>
      </c>
      <c r="C64" s="6">
        <v>46050.576388888891</v>
      </c>
      <c r="D64" s="6">
        <v>46050.583333333336</v>
      </c>
      <c r="E64" s="6">
        <v>46050.59375</v>
      </c>
      <c r="F64" s="6">
        <v>46050.625</v>
      </c>
      <c r="G64" s="6">
        <v>46050.631944444445</v>
      </c>
      <c r="H64" s="6">
        <v>46050.635416666664</v>
      </c>
      <c r="I64">
        <v>1.42</v>
      </c>
      <c r="J64" s="6">
        <v>46050.642361111109</v>
      </c>
      <c r="K64" s="7">
        <f t="shared" si="0"/>
        <v>4.8611111116770189E-2</v>
      </c>
      <c r="L64">
        <f t="shared" si="1"/>
        <v>1</v>
      </c>
      <c r="M64">
        <f t="shared" si="2"/>
        <v>10</v>
      </c>
      <c r="N64">
        <f t="shared" si="3"/>
        <v>70</v>
      </c>
    </row>
    <row r="65" spans="2:14" x14ac:dyDescent="0.25">
      <c r="B65" t="s">
        <v>35</v>
      </c>
      <c r="C65" s="6">
        <v>46050.684027777781</v>
      </c>
      <c r="D65" s="6">
        <v>46050.694444444445</v>
      </c>
      <c r="E65" s="6">
        <v>46050.701388888891</v>
      </c>
      <c r="F65" s="6">
        <v>46050.895833333336</v>
      </c>
      <c r="G65" s="6">
        <v>46050.902777777781</v>
      </c>
      <c r="H65" s="6">
        <v>46050.916666666664</v>
      </c>
      <c r="I65">
        <v>5.58</v>
      </c>
      <c r="J65" s="6">
        <v>46050.923611111109</v>
      </c>
      <c r="K65" s="7">
        <f t="shared" si="0"/>
        <v>0.37916666666569654</v>
      </c>
      <c r="L65">
        <f t="shared" si="1"/>
        <v>9</v>
      </c>
      <c r="M65">
        <f t="shared" si="2"/>
        <v>6</v>
      </c>
      <c r="N65">
        <f t="shared" si="3"/>
        <v>546</v>
      </c>
    </row>
    <row r="66" spans="2:14" x14ac:dyDescent="0.25">
      <c r="B66" t="s">
        <v>35</v>
      </c>
      <c r="C66" s="6">
        <v>46051.29583333333</v>
      </c>
      <c r="D66" s="6">
        <v>46051.340277777781</v>
      </c>
      <c r="E66" s="6">
        <v>46051.350694444445</v>
      </c>
      <c r="F66" s="6">
        <v>46051.393750000003</v>
      </c>
      <c r="G66" s="6">
        <v>46051.400694444441</v>
      </c>
      <c r="H66" s="6">
        <v>46051.402777777781</v>
      </c>
      <c r="I66">
        <v>2.57</v>
      </c>
      <c r="J66" s="6">
        <v>46051.404166666667</v>
      </c>
      <c r="K66" s="7">
        <f t="shared" si="0"/>
        <v>6.5972222218988463E-2</v>
      </c>
      <c r="L66">
        <f t="shared" si="1"/>
        <v>1</v>
      </c>
      <c r="M66">
        <f t="shared" si="2"/>
        <v>35</v>
      </c>
      <c r="N66">
        <f t="shared" si="3"/>
        <v>95</v>
      </c>
    </row>
    <row r="67" spans="2:14" hidden="1" x14ac:dyDescent="0.25">
      <c r="B67" t="s">
        <v>35</v>
      </c>
      <c r="C67" s="6">
        <v>46051.46875</v>
      </c>
      <c r="D67" s="6">
        <v>46051.503472222219</v>
      </c>
      <c r="E67" s="6">
        <v>46051.517361111109</v>
      </c>
      <c r="F67" s="6">
        <v>46051.615277777775</v>
      </c>
      <c r="G67" s="6">
        <v>46051.62222222222</v>
      </c>
      <c r="H67" s="6">
        <v>46051.631944444445</v>
      </c>
      <c r="I67">
        <v>3.92</v>
      </c>
      <c r="J67" s="6">
        <v>46051.635416666664</v>
      </c>
      <c r="K67" s="7">
        <f t="shared" si="0"/>
        <v>-8.3333333335758653E-2</v>
      </c>
      <c r="L67" t="e">
        <f t="shared" si="1"/>
        <v>#NUM!</v>
      </c>
      <c r="M67" t="e">
        <f t="shared" si="2"/>
        <v>#NUM!</v>
      </c>
      <c r="N67" t="e">
        <f t="shared" si="3"/>
        <v>#NUM!</v>
      </c>
    </row>
    <row r="68" spans="2:14" x14ac:dyDescent="0.25">
      <c r="B68" t="s">
        <v>35</v>
      </c>
      <c r="C68" s="6">
        <v>46051.548611111109</v>
      </c>
      <c r="D68" s="6">
        <v>46051.555555555555</v>
      </c>
      <c r="E68" s="6">
        <v>46051.5625</v>
      </c>
      <c r="F68" s="6">
        <v>46051.59375</v>
      </c>
      <c r="G68" s="6">
        <v>46051.600694444445</v>
      </c>
      <c r="H68" s="6">
        <v>46051.604166666664</v>
      </c>
      <c r="I68">
        <v>1.33</v>
      </c>
      <c r="J68" s="6">
        <v>46051.611111111109</v>
      </c>
      <c r="K68" s="7">
        <f t="shared" ref="K68:K131" si="4">C69-H68</f>
        <v>0.4375</v>
      </c>
      <c r="L68">
        <f t="shared" ref="L68:L131" si="5">HOUR(K68)</f>
        <v>10</v>
      </c>
      <c r="M68">
        <f t="shared" ref="M68:M131" si="6">MINUTE(K68)</f>
        <v>30</v>
      </c>
      <c r="N68">
        <f t="shared" ref="N68:N131" si="7">L68*60+M68</f>
        <v>630</v>
      </c>
    </row>
    <row r="69" spans="2:14" x14ac:dyDescent="0.25">
      <c r="B69" t="s">
        <v>35</v>
      </c>
      <c r="C69" s="6">
        <v>46052.041666666664</v>
      </c>
      <c r="D69" s="6">
        <v>46052.048611111109</v>
      </c>
      <c r="E69" s="6">
        <v>46052.0625</v>
      </c>
      <c r="F69" s="6">
        <v>46052.097222222219</v>
      </c>
      <c r="G69" s="6">
        <v>46052.098611111112</v>
      </c>
      <c r="H69" s="6">
        <v>46052.1</v>
      </c>
      <c r="I69">
        <v>1.4</v>
      </c>
      <c r="J69" s="6">
        <v>46052.100694444445</v>
      </c>
      <c r="K69" s="7">
        <f t="shared" si="4"/>
        <v>1.3097222222204437</v>
      </c>
      <c r="L69">
        <f t="shared" si="5"/>
        <v>7</v>
      </c>
      <c r="M69">
        <f t="shared" si="6"/>
        <v>26</v>
      </c>
      <c r="N69">
        <f t="shared" si="7"/>
        <v>446</v>
      </c>
    </row>
    <row r="70" spans="2:14" x14ac:dyDescent="0.25">
      <c r="B70" t="s">
        <v>35</v>
      </c>
      <c r="C70" s="6">
        <v>46053.409722222219</v>
      </c>
      <c r="D70" s="6">
        <v>46053.416666666664</v>
      </c>
      <c r="E70" s="6">
        <v>46053.434027777781</v>
      </c>
      <c r="F70" s="6">
        <v>46053.470138888886</v>
      </c>
      <c r="G70" s="6">
        <v>46053.477083333331</v>
      </c>
      <c r="H70" s="6">
        <v>46053.527777777781</v>
      </c>
      <c r="I70">
        <v>2.83</v>
      </c>
      <c r="J70" s="6">
        <v>46053.534722222219</v>
      </c>
      <c r="K70" s="7">
        <f t="shared" si="4"/>
        <v>1.3541666666642413</v>
      </c>
      <c r="L70">
        <f t="shared" si="5"/>
        <v>8</v>
      </c>
      <c r="M70">
        <f t="shared" si="6"/>
        <v>30</v>
      </c>
      <c r="N70">
        <f t="shared" si="7"/>
        <v>510</v>
      </c>
    </row>
    <row r="71" spans="2:14" x14ac:dyDescent="0.25">
      <c r="B71" t="s">
        <v>35</v>
      </c>
      <c r="C71" s="6">
        <v>46054.881944444445</v>
      </c>
      <c r="D71" s="6">
        <v>46054.885416666664</v>
      </c>
      <c r="E71" s="6">
        <v>46054.902777777781</v>
      </c>
      <c r="F71" s="6">
        <v>46054.981249999997</v>
      </c>
      <c r="G71" s="6">
        <v>46055.024305555555</v>
      </c>
      <c r="H71" s="6">
        <v>46055.027777777781</v>
      </c>
      <c r="I71">
        <v>3.5</v>
      </c>
      <c r="J71" s="6">
        <v>46055.034722222219</v>
      </c>
      <c r="K71" s="7">
        <f t="shared" si="4"/>
        <v>0.28472222221898846</v>
      </c>
      <c r="L71">
        <f t="shared" si="5"/>
        <v>6</v>
      </c>
      <c r="M71">
        <f t="shared" si="6"/>
        <v>50</v>
      </c>
      <c r="N71">
        <f t="shared" si="7"/>
        <v>410</v>
      </c>
    </row>
    <row r="72" spans="2:14" x14ac:dyDescent="0.25">
      <c r="B72" t="s">
        <v>35</v>
      </c>
      <c r="C72" s="6">
        <v>46055.3125</v>
      </c>
      <c r="D72" s="6">
        <v>46055.319444444445</v>
      </c>
      <c r="E72" s="6">
        <v>46055.375</v>
      </c>
      <c r="F72" s="6">
        <v>46055.458333333336</v>
      </c>
      <c r="G72" s="6">
        <v>46055.465277777781</v>
      </c>
      <c r="H72" s="6">
        <v>46055.527777777781</v>
      </c>
      <c r="I72">
        <v>5.17</v>
      </c>
      <c r="J72" s="6">
        <v>46055.534722222219</v>
      </c>
      <c r="K72" s="7">
        <f t="shared" si="4"/>
        <v>0.37361111110658385</v>
      </c>
      <c r="L72">
        <f t="shared" si="5"/>
        <v>8</v>
      </c>
      <c r="M72">
        <f t="shared" si="6"/>
        <v>58</v>
      </c>
      <c r="N72">
        <f t="shared" si="7"/>
        <v>538</v>
      </c>
    </row>
    <row r="73" spans="2:14" x14ac:dyDescent="0.25">
      <c r="B73" t="s">
        <v>35</v>
      </c>
      <c r="C73" s="6">
        <v>46055.901388888888</v>
      </c>
      <c r="D73" s="6">
        <v>46055.908333333333</v>
      </c>
      <c r="E73" s="6">
        <v>46055.916666666664</v>
      </c>
      <c r="F73" s="6">
        <v>46055.979166666664</v>
      </c>
      <c r="G73" s="6">
        <v>46055.986111111109</v>
      </c>
      <c r="H73" s="6">
        <v>46055.987500000003</v>
      </c>
      <c r="I73">
        <v>2.0699999999999998</v>
      </c>
      <c r="J73" s="6">
        <v>46055.989583333336</v>
      </c>
      <c r="K73" s="7">
        <f t="shared" si="4"/>
        <v>0.34583333333284827</v>
      </c>
      <c r="L73">
        <f t="shared" si="5"/>
        <v>8</v>
      </c>
      <c r="M73">
        <f t="shared" si="6"/>
        <v>18</v>
      </c>
      <c r="N73">
        <f t="shared" si="7"/>
        <v>498</v>
      </c>
    </row>
    <row r="74" spans="2:14" x14ac:dyDescent="0.25">
      <c r="B74" t="s">
        <v>35</v>
      </c>
      <c r="C74" s="6">
        <v>46056.333333333336</v>
      </c>
      <c r="D74" s="6">
        <v>46056.340277777781</v>
      </c>
      <c r="E74" s="6">
        <v>46056.34375</v>
      </c>
      <c r="F74" s="6">
        <v>46056.371527777781</v>
      </c>
      <c r="G74" s="6">
        <v>46056.375</v>
      </c>
      <c r="H74" s="6">
        <v>46056.376388888886</v>
      </c>
      <c r="I74">
        <v>1.03</v>
      </c>
      <c r="J74" s="6">
        <v>46056.383333333331</v>
      </c>
      <c r="K74" s="7">
        <f t="shared" si="4"/>
        <v>4.0277777778101154E-2</v>
      </c>
      <c r="L74">
        <f t="shared" si="5"/>
        <v>0</v>
      </c>
      <c r="M74">
        <f t="shared" si="6"/>
        <v>58</v>
      </c>
      <c r="N74">
        <f t="shared" si="7"/>
        <v>58</v>
      </c>
    </row>
    <row r="75" spans="2:14" x14ac:dyDescent="0.25">
      <c r="B75" t="s">
        <v>35</v>
      </c>
      <c r="C75" s="6">
        <v>46056.416666666664</v>
      </c>
      <c r="D75" s="6">
        <v>46056.420138888891</v>
      </c>
      <c r="E75" s="6">
        <v>46056.434027777781</v>
      </c>
      <c r="F75" s="6">
        <v>46056.476388888892</v>
      </c>
      <c r="G75" s="6">
        <v>46056.48333333333</v>
      </c>
      <c r="H75" s="6">
        <v>46056.484027777777</v>
      </c>
      <c r="I75">
        <v>1.62</v>
      </c>
      <c r="J75" s="6">
        <v>46056.490972222222</v>
      </c>
      <c r="K75" s="7">
        <f t="shared" si="4"/>
        <v>2.2916666668606922E-2</v>
      </c>
      <c r="L75">
        <f t="shared" si="5"/>
        <v>0</v>
      </c>
      <c r="M75">
        <f t="shared" si="6"/>
        <v>33</v>
      </c>
      <c r="N75">
        <f t="shared" si="7"/>
        <v>33</v>
      </c>
    </row>
    <row r="76" spans="2:14" x14ac:dyDescent="0.25">
      <c r="B76" t="s">
        <v>35</v>
      </c>
      <c r="C76" s="6">
        <v>46056.506944444445</v>
      </c>
      <c r="D76" s="6">
        <v>46056.517361111109</v>
      </c>
      <c r="E76" s="6">
        <v>46056.5625</v>
      </c>
      <c r="F76" s="6">
        <v>46056.677083333336</v>
      </c>
      <c r="G76" s="6">
        <v>46056.684027777781</v>
      </c>
      <c r="H76" s="6">
        <v>46056.704861111109</v>
      </c>
      <c r="I76">
        <v>4.75</v>
      </c>
      <c r="J76" s="6">
        <v>46056.705555555556</v>
      </c>
      <c r="K76" s="7">
        <f t="shared" si="4"/>
        <v>0.74652777778101154</v>
      </c>
      <c r="L76">
        <f t="shared" si="5"/>
        <v>17</v>
      </c>
      <c r="M76">
        <f t="shared" si="6"/>
        <v>55</v>
      </c>
      <c r="N76">
        <f t="shared" si="7"/>
        <v>1075</v>
      </c>
    </row>
    <row r="77" spans="2:14" hidden="1" x14ac:dyDescent="0.25">
      <c r="B77" t="s">
        <v>35</v>
      </c>
      <c r="C77" s="6">
        <v>46057.451388888891</v>
      </c>
      <c r="D77" s="6">
        <v>46057.458333333336</v>
      </c>
      <c r="E77" s="6">
        <v>46057.465277777781</v>
      </c>
      <c r="F77" s="6">
        <v>46057.49722222222</v>
      </c>
      <c r="G77" s="6">
        <v>46057.504166666666</v>
      </c>
      <c r="H77" s="6">
        <v>46057.506944444445</v>
      </c>
      <c r="I77">
        <v>1.33</v>
      </c>
      <c r="J77" s="6">
        <v>46057.513888888891</v>
      </c>
      <c r="K77" s="7">
        <f t="shared" si="4"/>
        <v>-4.1666666664241347E-2</v>
      </c>
      <c r="L77" t="e">
        <f t="shared" si="5"/>
        <v>#NUM!</v>
      </c>
      <c r="M77" t="e">
        <f t="shared" si="6"/>
        <v>#NUM!</v>
      </c>
      <c r="N77" t="e">
        <f t="shared" si="7"/>
        <v>#NUM!</v>
      </c>
    </row>
    <row r="78" spans="2:14" x14ac:dyDescent="0.25">
      <c r="B78" t="s">
        <v>35</v>
      </c>
      <c r="C78" s="6">
        <v>46057.465277777781</v>
      </c>
      <c r="D78" s="6">
        <v>46057.472222222219</v>
      </c>
      <c r="E78" s="6">
        <v>46057.479166666664</v>
      </c>
      <c r="F78" s="6">
        <v>46057.486111111109</v>
      </c>
      <c r="G78" s="6">
        <v>46057.486805555556</v>
      </c>
      <c r="H78" s="6">
        <v>46057.487500000003</v>
      </c>
      <c r="I78">
        <v>0.53</v>
      </c>
      <c r="J78" s="6">
        <v>46057.494444444441</v>
      </c>
      <c r="K78" s="7">
        <f t="shared" si="4"/>
        <v>7.4999999997089617E-2</v>
      </c>
      <c r="L78">
        <f t="shared" si="5"/>
        <v>1</v>
      </c>
      <c r="M78">
        <f t="shared" si="6"/>
        <v>48</v>
      </c>
      <c r="N78">
        <f t="shared" si="7"/>
        <v>108</v>
      </c>
    </row>
    <row r="79" spans="2:14" x14ac:dyDescent="0.25">
      <c r="B79" t="s">
        <v>35</v>
      </c>
      <c r="C79" s="6">
        <v>46057.5625</v>
      </c>
      <c r="D79" s="6">
        <v>46057.572916666664</v>
      </c>
      <c r="E79" s="6">
        <v>46057.59375</v>
      </c>
      <c r="F79" s="6">
        <v>46057.724305555559</v>
      </c>
      <c r="G79" s="6">
        <v>46057.743055555555</v>
      </c>
      <c r="H79" s="6">
        <v>46057.746527777781</v>
      </c>
      <c r="I79">
        <v>4.42</v>
      </c>
      <c r="J79" s="6">
        <v>46057.753472222219</v>
      </c>
      <c r="K79" s="7">
        <f t="shared" si="4"/>
        <v>0.54513888888322981</v>
      </c>
      <c r="L79">
        <f t="shared" si="5"/>
        <v>13</v>
      </c>
      <c r="M79">
        <f t="shared" si="6"/>
        <v>5</v>
      </c>
      <c r="N79">
        <f t="shared" si="7"/>
        <v>785</v>
      </c>
    </row>
    <row r="80" spans="2:14" x14ac:dyDescent="0.25">
      <c r="B80" t="s">
        <v>35</v>
      </c>
      <c r="C80" s="6">
        <v>46058.291666666664</v>
      </c>
      <c r="D80" s="6">
        <v>46058.326388888891</v>
      </c>
      <c r="E80" s="6">
        <v>46058.347222222219</v>
      </c>
      <c r="F80" s="6">
        <v>46058.444444444445</v>
      </c>
      <c r="G80" s="6">
        <v>46058.458333333336</v>
      </c>
      <c r="H80" s="6">
        <v>46058.465277777781</v>
      </c>
      <c r="I80">
        <v>4.17</v>
      </c>
      <c r="J80" s="6">
        <v>46058.466666666667</v>
      </c>
      <c r="K80" s="7">
        <f t="shared" si="4"/>
        <v>2.0833333328482695E-2</v>
      </c>
      <c r="L80">
        <f t="shared" si="5"/>
        <v>0</v>
      </c>
      <c r="M80">
        <f t="shared" si="6"/>
        <v>30</v>
      </c>
      <c r="N80">
        <f t="shared" si="7"/>
        <v>30</v>
      </c>
    </row>
    <row r="81" spans="2:14" x14ac:dyDescent="0.25">
      <c r="B81" t="s">
        <v>35</v>
      </c>
      <c r="C81" s="6">
        <v>46058.486111111109</v>
      </c>
      <c r="D81" s="6">
        <v>46058.503472222219</v>
      </c>
      <c r="E81" s="6">
        <v>46058.53125</v>
      </c>
      <c r="F81" s="6">
        <v>46058.597222222219</v>
      </c>
      <c r="G81" s="6">
        <v>46058.614583333336</v>
      </c>
      <c r="H81" s="6">
        <v>46058.618055555555</v>
      </c>
      <c r="I81">
        <v>3.17</v>
      </c>
      <c r="J81" s="6">
        <v>46058.625</v>
      </c>
      <c r="K81" s="7">
        <f t="shared" si="4"/>
        <v>1.7361111109494232E-2</v>
      </c>
      <c r="L81">
        <f t="shared" si="5"/>
        <v>0</v>
      </c>
      <c r="M81">
        <f t="shared" si="6"/>
        <v>25</v>
      </c>
      <c r="N81">
        <f t="shared" si="7"/>
        <v>25</v>
      </c>
    </row>
    <row r="82" spans="2:14" hidden="1" x14ac:dyDescent="0.25">
      <c r="B82" t="s">
        <v>35</v>
      </c>
      <c r="C82" s="6">
        <v>46058.635416666664</v>
      </c>
      <c r="D82" s="6">
        <v>46058.645833333336</v>
      </c>
      <c r="E82" s="6">
        <v>46058.6875</v>
      </c>
      <c r="F82" s="6">
        <v>46058.791666666664</v>
      </c>
      <c r="G82" s="6">
        <v>46058.809027777781</v>
      </c>
      <c r="H82" s="6">
        <v>46058.815972222219</v>
      </c>
      <c r="I82">
        <v>4.33</v>
      </c>
      <c r="J82" s="6">
        <v>46058.822916666664</v>
      </c>
      <c r="K82" s="7">
        <f t="shared" si="4"/>
        <v>-0.16319444443797693</v>
      </c>
      <c r="L82" t="e">
        <f t="shared" si="5"/>
        <v>#NUM!</v>
      </c>
      <c r="M82" t="e">
        <f t="shared" si="6"/>
        <v>#NUM!</v>
      </c>
      <c r="N82" t="e">
        <f t="shared" si="7"/>
        <v>#NUM!</v>
      </c>
    </row>
    <row r="83" spans="2:14" x14ac:dyDescent="0.25">
      <c r="B83" t="s">
        <v>35</v>
      </c>
      <c r="C83" s="6">
        <v>46058.652777777781</v>
      </c>
      <c r="D83" s="6">
        <v>46058.680555555555</v>
      </c>
      <c r="E83" s="6">
        <v>46058.694444444445</v>
      </c>
      <c r="F83" s="6">
        <v>46058.760416666664</v>
      </c>
      <c r="G83" s="6">
        <v>46058.763888888891</v>
      </c>
      <c r="H83" s="6">
        <v>46058.767361111109</v>
      </c>
      <c r="I83">
        <v>2.75</v>
      </c>
      <c r="J83" s="6">
        <v>46058.770833333336</v>
      </c>
      <c r="K83" s="7">
        <f t="shared" si="4"/>
        <v>0.14236111110949423</v>
      </c>
      <c r="L83">
        <f t="shared" si="5"/>
        <v>3</v>
      </c>
      <c r="M83">
        <f t="shared" si="6"/>
        <v>25</v>
      </c>
      <c r="N83">
        <f t="shared" si="7"/>
        <v>205</v>
      </c>
    </row>
    <row r="84" spans="2:14" x14ac:dyDescent="0.25">
      <c r="B84" t="s">
        <v>35</v>
      </c>
      <c r="C84" s="6">
        <v>46058.909722222219</v>
      </c>
      <c r="D84" s="6">
        <v>46058.920138888891</v>
      </c>
      <c r="E84" s="6">
        <v>46058.936111111114</v>
      </c>
      <c r="F84" s="6">
        <v>46058.96875</v>
      </c>
      <c r="G84" s="6">
        <v>46058.975694444445</v>
      </c>
      <c r="H84" s="6">
        <v>46058.977777777778</v>
      </c>
      <c r="I84">
        <v>1.63</v>
      </c>
      <c r="J84" s="6">
        <v>46058.984722222223</v>
      </c>
      <c r="K84" s="7">
        <f t="shared" si="4"/>
        <v>0.15416666666715173</v>
      </c>
      <c r="L84">
        <f t="shared" si="5"/>
        <v>3</v>
      </c>
      <c r="M84">
        <f t="shared" si="6"/>
        <v>42</v>
      </c>
      <c r="N84">
        <f t="shared" si="7"/>
        <v>222</v>
      </c>
    </row>
    <row r="85" spans="2:14" x14ac:dyDescent="0.25">
      <c r="B85" t="s">
        <v>35</v>
      </c>
      <c r="C85" s="6">
        <v>46059.131944444445</v>
      </c>
      <c r="D85" s="6">
        <v>46059.135416666664</v>
      </c>
      <c r="E85" s="6">
        <v>46059.145833333336</v>
      </c>
      <c r="F85" s="6">
        <v>46059.194444444445</v>
      </c>
      <c r="G85" s="6">
        <v>46059.211805555555</v>
      </c>
      <c r="H85" s="6">
        <v>46059.215277777781</v>
      </c>
      <c r="I85">
        <v>2</v>
      </c>
      <c r="J85" s="6">
        <v>46059.222222222219</v>
      </c>
      <c r="K85" s="7">
        <f t="shared" si="4"/>
        <v>0.26736111110949423</v>
      </c>
      <c r="L85">
        <f t="shared" si="5"/>
        <v>6</v>
      </c>
      <c r="M85">
        <f t="shared" si="6"/>
        <v>25</v>
      </c>
      <c r="N85">
        <f t="shared" si="7"/>
        <v>385</v>
      </c>
    </row>
    <row r="86" spans="2:14" x14ac:dyDescent="0.25">
      <c r="B86" t="s">
        <v>35</v>
      </c>
      <c r="C86" s="6">
        <v>46059.482638888891</v>
      </c>
      <c r="D86" s="6">
        <v>46059.493055555555</v>
      </c>
      <c r="E86" s="6">
        <v>46059.604166666664</v>
      </c>
      <c r="F86" s="6">
        <v>46059.673611111109</v>
      </c>
      <c r="G86" s="6">
        <v>46059.680555555555</v>
      </c>
      <c r="H86" s="6">
        <v>46059.708333333336</v>
      </c>
      <c r="I86">
        <v>5.42</v>
      </c>
      <c r="J86" s="6">
        <v>46059.715277777781</v>
      </c>
      <c r="K86" s="7">
        <f t="shared" si="4"/>
        <v>6.9444444445252884E-2</v>
      </c>
      <c r="L86">
        <f t="shared" si="5"/>
        <v>1</v>
      </c>
      <c r="M86">
        <f t="shared" si="6"/>
        <v>40</v>
      </c>
      <c r="N86">
        <f t="shared" si="7"/>
        <v>100</v>
      </c>
    </row>
    <row r="87" spans="2:14" x14ac:dyDescent="0.25">
      <c r="B87" t="s">
        <v>35</v>
      </c>
      <c r="C87" s="6">
        <v>46059.777777777781</v>
      </c>
      <c r="D87" s="6">
        <v>46059.791666666664</v>
      </c>
      <c r="E87" s="6">
        <v>46059.798611111109</v>
      </c>
      <c r="F87" s="6">
        <v>46059.893055555556</v>
      </c>
      <c r="G87" s="6">
        <v>46059.9</v>
      </c>
      <c r="H87" s="6">
        <v>46059.913194444445</v>
      </c>
      <c r="I87">
        <v>3.25</v>
      </c>
      <c r="J87" s="6">
        <v>46059.916666666664</v>
      </c>
      <c r="K87" s="7">
        <f t="shared" si="4"/>
        <v>4.8611111109494232E-2</v>
      </c>
      <c r="L87">
        <f t="shared" si="5"/>
        <v>1</v>
      </c>
      <c r="M87">
        <f t="shared" si="6"/>
        <v>10</v>
      </c>
      <c r="N87">
        <f t="shared" si="7"/>
        <v>70</v>
      </c>
    </row>
    <row r="88" spans="2:14" x14ac:dyDescent="0.25">
      <c r="B88" t="s">
        <v>35</v>
      </c>
      <c r="C88" s="6">
        <v>46059.961805555555</v>
      </c>
      <c r="D88" s="6">
        <v>46059.962500000001</v>
      </c>
      <c r="E88" s="6">
        <v>46059.96875</v>
      </c>
      <c r="F88" s="6">
        <v>46060.104166666664</v>
      </c>
      <c r="G88" s="6">
        <v>46060.111111111109</v>
      </c>
      <c r="H88" s="6">
        <v>46060.166666666664</v>
      </c>
      <c r="I88">
        <v>4.92</v>
      </c>
      <c r="J88" s="6">
        <v>46060.173611111109</v>
      </c>
      <c r="K88" s="7">
        <f t="shared" si="4"/>
        <v>0.16319444444525288</v>
      </c>
      <c r="L88">
        <f t="shared" si="5"/>
        <v>3</v>
      </c>
      <c r="M88">
        <f t="shared" si="6"/>
        <v>55</v>
      </c>
      <c r="N88">
        <f t="shared" si="7"/>
        <v>235</v>
      </c>
    </row>
    <row r="89" spans="2:14" hidden="1" x14ac:dyDescent="0.25">
      <c r="B89" t="s">
        <v>35</v>
      </c>
      <c r="C89" s="6">
        <v>46060.329861111109</v>
      </c>
      <c r="D89" s="6">
        <v>46060.333333333336</v>
      </c>
      <c r="E89" s="6">
        <v>46060.364583333336</v>
      </c>
      <c r="F89" s="6">
        <v>46060.527777777781</v>
      </c>
      <c r="G89" s="6">
        <v>46060.541666666664</v>
      </c>
      <c r="H89" s="6">
        <v>46060.545138888891</v>
      </c>
      <c r="I89">
        <v>5.17</v>
      </c>
      <c r="J89" s="6">
        <v>46060.548611111109</v>
      </c>
      <c r="K89" s="7">
        <f t="shared" si="4"/>
        <v>-0.15625</v>
      </c>
      <c r="L89" t="e">
        <f t="shared" si="5"/>
        <v>#NUM!</v>
      </c>
      <c r="M89" t="e">
        <f t="shared" si="6"/>
        <v>#NUM!</v>
      </c>
      <c r="N89" t="e">
        <f t="shared" si="7"/>
        <v>#NUM!</v>
      </c>
    </row>
    <row r="90" spans="2:14" hidden="1" x14ac:dyDescent="0.25">
      <c r="B90" t="s">
        <v>35</v>
      </c>
      <c r="C90" s="6">
        <v>46060.388888888891</v>
      </c>
      <c r="D90" s="6">
        <v>46060.392361111109</v>
      </c>
      <c r="E90" s="6">
        <v>46060.399305555555</v>
      </c>
      <c r="F90" s="6">
        <v>46060.5</v>
      </c>
      <c r="G90" s="6">
        <v>46060.506944444445</v>
      </c>
      <c r="H90" s="6">
        <v>46060.527777777781</v>
      </c>
      <c r="I90">
        <v>3.33</v>
      </c>
      <c r="J90" s="6">
        <v>46060.534722222219</v>
      </c>
      <c r="K90" s="7">
        <f t="shared" si="4"/>
        <v>-0.13888888889050577</v>
      </c>
      <c r="L90" t="e">
        <f t="shared" si="5"/>
        <v>#NUM!</v>
      </c>
      <c r="M90" t="e">
        <f t="shared" si="6"/>
        <v>#NUM!</v>
      </c>
      <c r="N90" t="e">
        <f t="shared" si="7"/>
        <v>#NUM!</v>
      </c>
    </row>
    <row r="91" spans="2:14" x14ac:dyDescent="0.25">
      <c r="B91" t="s">
        <v>35</v>
      </c>
      <c r="C91" s="6">
        <v>46060.388888888891</v>
      </c>
      <c r="D91" s="6">
        <v>46060.392361111109</v>
      </c>
      <c r="E91" s="6">
        <v>46060.399305555555</v>
      </c>
      <c r="F91" s="6">
        <v>46060.5</v>
      </c>
      <c r="G91" s="6">
        <v>46060.506944444445</v>
      </c>
      <c r="H91" s="6">
        <v>46060.527777777781</v>
      </c>
      <c r="I91">
        <v>3.33</v>
      </c>
      <c r="J91" s="6">
        <v>46060.534722222219</v>
      </c>
      <c r="K91" s="7">
        <f t="shared" si="4"/>
        <v>6.9444444437976927E-2</v>
      </c>
      <c r="L91">
        <f t="shared" si="5"/>
        <v>1</v>
      </c>
      <c r="M91">
        <f t="shared" si="6"/>
        <v>40</v>
      </c>
      <c r="N91">
        <f t="shared" si="7"/>
        <v>100</v>
      </c>
    </row>
    <row r="92" spans="2:14" x14ac:dyDescent="0.25">
      <c r="B92" t="s">
        <v>35</v>
      </c>
      <c r="C92" s="6">
        <v>46060.597222222219</v>
      </c>
      <c r="D92" s="6">
        <v>46060.600694444445</v>
      </c>
      <c r="E92" s="6">
        <v>46060.611111111109</v>
      </c>
      <c r="F92" s="6">
        <v>46060.722222222219</v>
      </c>
      <c r="G92" s="6">
        <v>46060.729166666664</v>
      </c>
      <c r="H92" s="6">
        <v>46060.743055555555</v>
      </c>
      <c r="I92">
        <v>3.5</v>
      </c>
      <c r="J92" s="6">
        <v>46060.75</v>
      </c>
      <c r="K92" s="7">
        <f t="shared" si="4"/>
        <v>2.7916666666642413</v>
      </c>
      <c r="L92">
        <f t="shared" si="5"/>
        <v>19</v>
      </c>
      <c r="M92">
        <f t="shared" si="6"/>
        <v>0</v>
      </c>
      <c r="N92">
        <f t="shared" si="7"/>
        <v>1140</v>
      </c>
    </row>
    <row r="93" spans="2:14" x14ac:dyDescent="0.25">
      <c r="B93" t="s">
        <v>35</v>
      </c>
      <c r="C93" s="6">
        <v>46063.534722222219</v>
      </c>
      <c r="D93" s="6">
        <v>46063.552083333336</v>
      </c>
      <c r="E93" s="6">
        <v>46063.565972222219</v>
      </c>
      <c r="F93" s="6">
        <v>46063.621527777781</v>
      </c>
      <c r="G93" s="6">
        <v>46063.625</v>
      </c>
      <c r="H93" s="6">
        <v>46063.625694444447</v>
      </c>
      <c r="I93">
        <v>2.1800000000000002</v>
      </c>
      <c r="J93" s="6">
        <v>46063.626388888886</v>
      </c>
      <c r="K93" s="7">
        <f t="shared" si="4"/>
        <v>4.0972222217533272E-2</v>
      </c>
      <c r="L93">
        <f t="shared" si="5"/>
        <v>0</v>
      </c>
      <c r="M93">
        <f t="shared" si="6"/>
        <v>59</v>
      </c>
      <c r="N93">
        <f t="shared" si="7"/>
        <v>59</v>
      </c>
    </row>
    <row r="94" spans="2:14" x14ac:dyDescent="0.25">
      <c r="B94" t="s">
        <v>35</v>
      </c>
      <c r="C94" s="6">
        <v>46063.666666666664</v>
      </c>
      <c r="D94" s="6">
        <v>46063.673611111109</v>
      </c>
      <c r="E94" s="6">
        <v>46063.6875</v>
      </c>
      <c r="F94" s="6">
        <v>46063.777777777781</v>
      </c>
      <c r="G94" s="6">
        <v>46063.784722222219</v>
      </c>
      <c r="H94" s="6">
        <v>46063.815972222219</v>
      </c>
      <c r="I94">
        <v>3.58</v>
      </c>
      <c r="J94" s="6">
        <v>46063.822916666664</v>
      </c>
      <c r="K94" s="7">
        <f t="shared" si="4"/>
        <v>5.7638888894871343E-2</v>
      </c>
      <c r="L94">
        <f t="shared" si="5"/>
        <v>1</v>
      </c>
      <c r="M94">
        <f t="shared" si="6"/>
        <v>23</v>
      </c>
      <c r="N94">
        <f t="shared" si="7"/>
        <v>83</v>
      </c>
    </row>
    <row r="95" spans="2:14" x14ac:dyDescent="0.25">
      <c r="B95" t="s">
        <v>35</v>
      </c>
      <c r="C95" s="6">
        <v>46063.873611111114</v>
      </c>
      <c r="D95" s="6">
        <v>46063.881944444445</v>
      </c>
      <c r="E95" s="6">
        <v>46063.895833333336</v>
      </c>
      <c r="F95" s="6">
        <v>46063.916666666664</v>
      </c>
      <c r="G95" s="6">
        <v>46063.923611111109</v>
      </c>
      <c r="H95" s="6">
        <v>46063.930555555555</v>
      </c>
      <c r="I95">
        <v>1.37</v>
      </c>
      <c r="J95" s="6">
        <v>46063.9375</v>
      </c>
      <c r="K95" s="7">
        <f t="shared" si="4"/>
        <v>7.2916666664241347E-2</v>
      </c>
      <c r="L95">
        <f t="shared" si="5"/>
        <v>1</v>
      </c>
      <c r="M95">
        <f t="shared" si="6"/>
        <v>45</v>
      </c>
      <c r="N95">
        <f t="shared" si="7"/>
        <v>105</v>
      </c>
    </row>
    <row r="96" spans="2:14" x14ac:dyDescent="0.25">
      <c r="B96" t="s">
        <v>35</v>
      </c>
      <c r="C96" s="6">
        <v>46064.003472222219</v>
      </c>
      <c r="D96" s="6">
        <v>46064.010416666664</v>
      </c>
      <c r="E96" s="6">
        <v>46064.020833333336</v>
      </c>
      <c r="F96" s="6">
        <v>46064.030555555553</v>
      </c>
      <c r="G96" s="6">
        <v>46064.038194444445</v>
      </c>
      <c r="H96" s="6">
        <v>46064.041666666664</v>
      </c>
      <c r="I96">
        <v>0.92</v>
      </c>
      <c r="J96" s="6">
        <v>46064.048611111109</v>
      </c>
      <c r="K96" s="7">
        <f t="shared" si="4"/>
        <v>0.25347222222626442</v>
      </c>
      <c r="L96">
        <f t="shared" si="5"/>
        <v>6</v>
      </c>
      <c r="M96">
        <f t="shared" si="6"/>
        <v>5</v>
      </c>
      <c r="N96">
        <f t="shared" si="7"/>
        <v>365</v>
      </c>
    </row>
    <row r="97" spans="2:14" hidden="1" x14ac:dyDescent="0.25">
      <c r="B97" t="s">
        <v>35</v>
      </c>
      <c r="C97" s="6">
        <v>46064.295138888891</v>
      </c>
      <c r="D97" s="6">
        <v>46064.319444444445</v>
      </c>
      <c r="E97" s="6">
        <v>46064.34375</v>
      </c>
      <c r="F97" s="6">
        <v>46064.440972222219</v>
      </c>
      <c r="G97" s="6">
        <v>46064.447916666664</v>
      </c>
      <c r="H97" s="6">
        <v>46064.451388888891</v>
      </c>
      <c r="I97">
        <v>3.75</v>
      </c>
      <c r="J97" s="6">
        <v>46064.458333333336</v>
      </c>
      <c r="K97" s="7">
        <f t="shared" si="4"/>
        <v>-0.12152777778101154</v>
      </c>
      <c r="L97" t="e">
        <f t="shared" si="5"/>
        <v>#NUM!</v>
      </c>
      <c r="M97" t="e">
        <f t="shared" si="6"/>
        <v>#NUM!</v>
      </c>
      <c r="N97" t="e">
        <f t="shared" si="7"/>
        <v>#NUM!</v>
      </c>
    </row>
    <row r="98" spans="2:14" x14ac:dyDescent="0.25">
      <c r="B98" t="s">
        <v>35</v>
      </c>
      <c r="C98" s="6">
        <v>46064.329861111109</v>
      </c>
      <c r="D98" s="6">
        <v>46064.34375</v>
      </c>
      <c r="E98" s="6">
        <v>46064.354166666664</v>
      </c>
      <c r="F98" s="6">
        <v>46064.385416666664</v>
      </c>
      <c r="G98" s="6">
        <v>46064.392361111109</v>
      </c>
      <c r="H98" s="6">
        <v>46064.402777777781</v>
      </c>
      <c r="I98">
        <v>1.75</v>
      </c>
      <c r="J98" s="6">
        <v>46064.409722222219</v>
      </c>
      <c r="K98" s="7">
        <f t="shared" si="4"/>
        <v>4.722222221607808E-2</v>
      </c>
      <c r="L98">
        <f t="shared" si="5"/>
        <v>1</v>
      </c>
      <c r="M98">
        <f t="shared" si="6"/>
        <v>8</v>
      </c>
      <c r="N98">
        <f t="shared" si="7"/>
        <v>68</v>
      </c>
    </row>
    <row r="99" spans="2:14" x14ac:dyDescent="0.25">
      <c r="B99" t="s">
        <v>35</v>
      </c>
      <c r="C99" s="6">
        <v>46064.45</v>
      </c>
      <c r="D99" s="6">
        <v>46064.465277777781</v>
      </c>
      <c r="E99" s="6">
        <v>46064.486111111109</v>
      </c>
      <c r="F99" s="6">
        <v>46064.506944444445</v>
      </c>
      <c r="G99" s="6">
        <v>46064.513888888891</v>
      </c>
      <c r="H99" s="6">
        <v>46064.652777777781</v>
      </c>
      <c r="I99">
        <v>4.87</v>
      </c>
      <c r="J99" s="6">
        <v>46064.659722222219</v>
      </c>
      <c r="K99" s="7">
        <f t="shared" si="4"/>
        <v>0.64236111110949423</v>
      </c>
      <c r="L99">
        <f t="shared" si="5"/>
        <v>15</v>
      </c>
      <c r="M99">
        <f t="shared" si="6"/>
        <v>25</v>
      </c>
      <c r="N99">
        <f t="shared" si="7"/>
        <v>925</v>
      </c>
    </row>
    <row r="100" spans="2:14" x14ac:dyDescent="0.25">
      <c r="B100" t="s">
        <v>35</v>
      </c>
      <c r="C100" s="6">
        <v>46065.295138888891</v>
      </c>
      <c r="D100" s="6">
        <v>46065.319444444445</v>
      </c>
      <c r="E100" s="6">
        <v>46065.34375</v>
      </c>
      <c r="F100" s="6">
        <v>46065.428472222222</v>
      </c>
      <c r="G100" s="6">
        <v>46065.435416666667</v>
      </c>
      <c r="H100" s="6">
        <v>46065.436111111114</v>
      </c>
      <c r="I100">
        <v>3.38</v>
      </c>
      <c r="J100" s="6">
        <v>46065.443055555559</v>
      </c>
      <c r="K100" s="7">
        <f t="shared" si="4"/>
        <v>5.694444444088731E-2</v>
      </c>
      <c r="L100">
        <f t="shared" si="5"/>
        <v>1</v>
      </c>
      <c r="M100">
        <f t="shared" si="6"/>
        <v>22</v>
      </c>
      <c r="N100">
        <f t="shared" si="7"/>
        <v>82</v>
      </c>
    </row>
    <row r="101" spans="2:14" x14ac:dyDescent="0.25">
      <c r="B101" t="s">
        <v>35</v>
      </c>
      <c r="C101" s="6">
        <v>46065.493055555555</v>
      </c>
      <c r="D101" s="6">
        <v>46065.5</v>
      </c>
      <c r="E101" s="6">
        <v>46065.505555555559</v>
      </c>
      <c r="F101" s="6">
        <v>46065.561111111114</v>
      </c>
      <c r="G101" s="6">
        <v>46065.568055555559</v>
      </c>
      <c r="H101" s="6">
        <v>46065.595138888886</v>
      </c>
      <c r="I101">
        <v>2.4500000000000002</v>
      </c>
      <c r="J101" s="6">
        <v>46065.600694444445</v>
      </c>
      <c r="K101" s="7">
        <f t="shared" si="4"/>
        <v>0.41875000000436557</v>
      </c>
      <c r="L101">
        <f t="shared" si="5"/>
        <v>10</v>
      </c>
      <c r="M101">
        <f t="shared" si="6"/>
        <v>3</v>
      </c>
      <c r="N101">
        <f t="shared" si="7"/>
        <v>603</v>
      </c>
    </row>
    <row r="102" spans="2:14" x14ac:dyDescent="0.25">
      <c r="B102" t="s">
        <v>35</v>
      </c>
      <c r="C102" s="6">
        <v>46066.013888888891</v>
      </c>
      <c r="D102" s="6">
        <v>46066.020833333336</v>
      </c>
      <c r="E102" s="6">
        <v>46066.027777777781</v>
      </c>
      <c r="F102" s="6">
        <v>46066.0625</v>
      </c>
      <c r="G102" s="6">
        <v>46066.065972222219</v>
      </c>
      <c r="H102" s="6">
        <v>46066.068055555559</v>
      </c>
      <c r="I102">
        <v>1.3</v>
      </c>
      <c r="J102" s="6">
        <v>46066.069444444445</v>
      </c>
      <c r="K102" s="7">
        <f t="shared" si="4"/>
        <v>0.22361111110512866</v>
      </c>
      <c r="L102">
        <f t="shared" si="5"/>
        <v>5</v>
      </c>
      <c r="M102">
        <f t="shared" si="6"/>
        <v>22</v>
      </c>
      <c r="N102">
        <f t="shared" si="7"/>
        <v>322</v>
      </c>
    </row>
    <row r="103" spans="2:14" hidden="1" x14ac:dyDescent="0.25">
      <c r="B103" t="s">
        <v>35</v>
      </c>
      <c r="C103" s="6">
        <v>46066.291666666664</v>
      </c>
      <c r="D103" s="6">
        <v>46066.333333333336</v>
      </c>
      <c r="E103" s="6">
        <v>46066.34375</v>
      </c>
      <c r="F103" s="6">
        <v>46066.364583333336</v>
      </c>
      <c r="G103" s="6">
        <v>46066.375</v>
      </c>
      <c r="H103" s="6">
        <v>46066.416666666664</v>
      </c>
      <c r="I103">
        <v>3</v>
      </c>
      <c r="J103" s="6">
        <v>46066.423611111109</v>
      </c>
      <c r="K103" s="7">
        <f t="shared" si="4"/>
        <v>-0.12152777777373558</v>
      </c>
      <c r="L103" t="e">
        <f t="shared" si="5"/>
        <v>#NUM!</v>
      </c>
      <c r="M103" t="e">
        <f t="shared" si="6"/>
        <v>#NUM!</v>
      </c>
      <c r="N103" t="e">
        <f t="shared" si="7"/>
        <v>#NUM!</v>
      </c>
    </row>
    <row r="104" spans="2:14" x14ac:dyDescent="0.25">
      <c r="B104" t="s">
        <v>35</v>
      </c>
      <c r="C104" s="6">
        <v>46066.295138888891</v>
      </c>
      <c r="D104" s="6">
        <v>46066.315972222219</v>
      </c>
      <c r="E104" s="6">
        <v>46066.361111111109</v>
      </c>
      <c r="F104" s="6">
        <v>46066.371527777781</v>
      </c>
      <c r="G104" s="6">
        <v>46066.378472222219</v>
      </c>
      <c r="H104" s="6">
        <v>46066.392361111109</v>
      </c>
      <c r="I104">
        <v>2.33</v>
      </c>
      <c r="J104" s="6">
        <v>46066.399305555555</v>
      </c>
      <c r="K104" s="7">
        <f t="shared" si="4"/>
        <v>8.6805555554747116E-2</v>
      </c>
      <c r="L104">
        <f t="shared" si="5"/>
        <v>2</v>
      </c>
      <c r="M104">
        <f t="shared" si="6"/>
        <v>5</v>
      </c>
      <c r="N104">
        <f t="shared" si="7"/>
        <v>125</v>
      </c>
    </row>
    <row r="105" spans="2:14" x14ac:dyDescent="0.25">
      <c r="B105" t="s">
        <v>35</v>
      </c>
      <c r="C105" s="6">
        <v>46066.479166666664</v>
      </c>
      <c r="D105" s="6">
        <v>46066.489583333336</v>
      </c>
      <c r="E105" s="6">
        <v>46066.524305555555</v>
      </c>
      <c r="F105" s="6">
        <v>46066.583333333336</v>
      </c>
      <c r="G105" s="6">
        <v>46066.59375</v>
      </c>
      <c r="H105" s="6">
        <v>46066.604166666664</v>
      </c>
      <c r="I105">
        <v>3</v>
      </c>
      <c r="J105" s="6">
        <v>46066.611111111109</v>
      </c>
      <c r="K105" s="7">
        <f t="shared" si="4"/>
        <v>3.4722222226264421E-2</v>
      </c>
      <c r="L105">
        <f t="shared" si="5"/>
        <v>0</v>
      </c>
      <c r="M105">
        <f t="shared" si="6"/>
        <v>50</v>
      </c>
      <c r="N105">
        <f t="shared" si="7"/>
        <v>50</v>
      </c>
    </row>
    <row r="106" spans="2:14" hidden="1" x14ac:dyDescent="0.25">
      <c r="B106" t="s">
        <v>35</v>
      </c>
      <c r="C106" s="6">
        <v>46066.638888888891</v>
      </c>
      <c r="D106" s="6">
        <v>46066.645833333336</v>
      </c>
      <c r="E106" s="6">
        <v>46066.652777777781</v>
      </c>
      <c r="F106" s="6">
        <v>46066.71875</v>
      </c>
      <c r="G106" s="6">
        <v>46066.729166666664</v>
      </c>
      <c r="H106" s="6">
        <v>46066.739583333336</v>
      </c>
      <c r="I106">
        <v>2.42</v>
      </c>
      <c r="J106" s="6">
        <v>46066.746527777781</v>
      </c>
      <c r="K106" s="7">
        <f t="shared" si="4"/>
        <v>-8.6805555554747116E-2</v>
      </c>
      <c r="L106" t="e">
        <f t="shared" si="5"/>
        <v>#NUM!</v>
      </c>
      <c r="M106" t="e">
        <f t="shared" si="6"/>
        <v>#NUM!</v>
      </c>
      <c r="N106" t="e">
        <f t="shared" si="7"/>
        <v>#NUM!</v>
      </c>
    </row>
    <row r="107" spans="2:14" x14ac:dyDescent="0.25">
      <c r="B107" t="s">
        <v>35</v>
      </c>
      <c r="C107" s="6">
        <v>46066.652777777781</v>
      </c>
      <c r="D107" s="6">
        <v>46066.673611111109</v>
      </c>
      <c r="E107" s="6">
        <v>46066.690972222219</v>
      </c>
      <c r="F107" s="6">
        <v>46066.815972222219</v>
      </c>
      <c r="G107" s="6">
        <v>46066.822916666664</v>
      </c>
      <c r="H107" s="6">
        <v>46066.826388888891</v>
      </c>
      <c r="I107">
        <v>4.17</v>
      </c>
      <c r="J107" s="6">
        <v>46066.833333333336</v>
      </c>
      <c r="K107" s="7">
        <f t="shared" si="4"/>
        <v>0.40277777777373558</v>
      </c>
      <c r="L107">
        <f t="shared" si="5"/>
        <v>9</v>
      </c>
      <c r="M107">
        <f t="shared" si="6"/>
        <v>40</v>
      </c>
      <c r="N107">
        <f t="shared" si="7"/>
        <v>580</v>
      </c>
    </row>
    <row r="108" spans="2:14" hidden="1" x14ac:dyDescent="0.25">
      <c r="B108" t="s">
        <v>35</v>
      </c>
      <c r="C108" s="6">
        <v>46067.229166666664</v>
      </c>
      <c r="D108" s="6">
        <v>46067.236111111109</v>
      </c>
      <c r="E108" s="6">
        <v>46067.243055555555</v>
      </c>
      <c r="F108" s="6">
        <v>46067.489583333336</v>
      </c>
      <c r="G108" s="6">
        <v>46067.729166666664</v>
      </c>
      <c r="H108" s="6">
        <v>46067.736111111109</v>
      </c>
      <c r="I108">
        <v>12.17</v>
      </c>
      <c r="J108" s="6">
        <v>46067.743055555555</v>
      </c>
      <c r="K108" s="7">
        <f t="shared" si="4"/>
        <v>-0.50694444444525288</v>
      </c>
      <c r="L108" t="e">
        <f t="shared" si="5"/>
        <v>#NUM!</v>
      </c>
      <c r="M108" t="e">
        <f t="shared" si="6"/>
        <v>#NUM!</v>
      </c>
      <c r="N108" t="e">
        <f t="shared" si="7"/>
        <v>#NUM!</v>
      </c>
    </row>
    <row r="109" spans="2:14" x14ac:dyDescent="0.25">
      <c r="B109" t="s">
        <v>35</v>
      </c>
      <c r="C109" s="6">
        <v>46067.229166666664</v>
      </c>
      <c r="D109" s="6">
        <v>46067.236111111109</v>
      </c>
      <c r="E109" s="6">
        <v>46067.243055555555</v>
      </c>
      <c r="F109" s="6">
        <v>46067.489583333336</v>
      </c>
      <c r="G109" s="6">
        <v>46067.729166666664</v>
      </c>
      <c r="H109" s="6">
        <v>46067.736111111109</v>
      </c>
      <c r="I109">
        <v>12.17</v>
      </c>
      <c r="J109" s="6">
        <v>46067.743055555555</v>
      </c>
      <c r="K109" s="7">
        <f t="shared" si="4"/>
        <v>0.62847222222626442</v>
      </c>
      <c r="L109">
        <f t="shared" si="5"/>
        <v>15</v>
      </c>
      <c r="M109">
        <f t="shared" si="6"/>
        <v>5</v>
      </c>
      <c r="N109">
        <f t="shared" si="7"/>
        <v>905</v>
      </c>
    </row>
    <row r="110" spans="2:14" x14ac:dyDescent="0.25">
      <c r="B110" t="s">
        <v>35</v>
      </c>
      <c r="C110" s="6">
        <v>46068.364583333336</v>
      </c>
      <c r="D110" s="6">
        <v>46068.375</v>
      </c>
      <c r="E110" s="6">
        <v>46068.388888888891</v>
      </c>
      <c r="F110" s="6">
        <v>46068.409722222219</v>
      </c>
      <c r="G110" s="6">
        <v>46068.416666666664</v>
      </c>
      <c r="H110" s="6">
        <v>46068.418055555558</v>
      </c>
      <c r="I110">
        <v>1.28</v>
      </c>
      <c r="J110" s="6">
        <v>46068.425000000003</v>
      </c>
      <c r="K110" s="7">
        <f t="shared" si="4"/>
        <v>0.3006944444423425</v>
      </c>
      <c r="L110">
        <f t="shared" si="5"/>
        <v>7</v>
      </c>
      <c r="M110">
        <f t="shared" si="6"/>
        <v>13</v>
      </c>
      <c r="N110">
        <f t="shared" si="7"/>
        <v>433</v>
      </c>
    </row>
    <row r="111" spans="2:14" x14ac:dyDescent="0.25">
      <c r="B111" t="s">
        <v>35</v>
      </c>
      <c r="C111" s="6">
        <v>46068.71875</v>
      </c>
      <c r="D111" s="6">
        <v>46068.722222222219</v>
      </c>
      <c r="E111" s="6">
        <v>46068.746527777781</v>
      </c>
      <c r="F111" s="6">
        <v>46068.763888888891</v>
      </c>
      <c r="G111" s="6">
        <v>46068.767361111109</v>
      </c>
      <c r="H111" s="6">
        <v>46068.770833333336</v>
      </c>
      <c r="I111">
        <v>1.25</v>
      </c>
      <c r="J111" s="6">
        <v>46068.777777777781</v>
      </c>
      <c r="K111" s="7">
        <f t="shared" si="4"/>
        <v>0.84722222221898846</v>
      </c>
      <c r="L111">
        <f t="shared" si="5"/>
        <v>20</v>
      </c>
      <c r="M111">
        <f t="shared" si="6"/>
        <v>20</v>
      </c>
      <c r="N111">
        <f t="shared" si="7"/>
        <v>1220</v>
      </c>
    </row>
    <row r="112" spans="2:14" x14ac:dyDescent="0.25">
      <c r="B112" t="s">
        <v>35</v>
      </c>
      <c r="C112" s="6">
        <v>46069.618055555555</v>
      </c>
      <c r="D112" s="6">
        <v>46069.631944444445</v>
      </c>
      <c r="E112" s="6">
        <v>46069.645833333336</v>
      </c>
      <c r="F112" s="6">
        <v>46069.729166666664</v>
      </c>
      <c r="G112" s="6">
        <v>46069.732638888891</v>
      </c>
      <c r="H112" s="6">
        <v>46069.736111111109</v>
      </c>
      <c r="I112">
        <v>2.83</v>
      </c>
      <c r="J112" s="6">
        <v>46069.739583333336</v>
      </c>
      <c r="K112" s="7">
        <f t="shared" si="4"/>
        <v>0.82986111110949423</v>
      </c>
      <c r="L112">
        <f t="shared" si="5"/>
        <v>19</v>
      </c>
      <c r="M112">
        <f t="shared" si="6"/>
        <v>55</v>
      </c>
      <c r="N112">
        <f t="shared" si="7"/>
        <v>1195</v>
      </c>
    </row>
    <row r="113" spans="2:14" x14ac:dyDescent="0.25">
      <c r="B113" t="s">
        <v>35</v>
      </c>
      <c r="C113" s="6">
        <v>46070.565972222219</v>
      </c>
      <c r="D113" s="6">
        <v>46070.583333333336</v>
      </c>
      <c r="E113" s="6">
        <v>46070.618055555555</v>
      </c>
      <c r="F113" s="6">
        <v>46070.729166666664</v>
      </c>
      <c r="G113" s="6">
        <v>46070.743055555555</v>
      </c>
      <c r="H113" s="6">
        <v>46070.753472222219</v>
      </c>
      <c r="I113">
        <v>4.5</v>
      </c>
      <c r="J113" s="6">
        <v>46070.756944444445</v>
      </c>
      <c r="K113" s="7">
        <f t="shared" si="4"/>
        <v>0.64236111111677019</v>
      </c>
      <c r="L113">
        <f t="shared" si="5"/>
        <v>15</v>
      </c>
      <c r="M113">
        <f t="shared" si="6"/>
        <v>25</v>
      </c>
      <c r="N113">
        <f t="shared" si="7"/>
        <v>925</v>
      </c>
    </row>
    <row r="114" spans="2:14" x14ac:dyDescent="0.25">
      <c r="B114" t="s">
        <v>35</v>
      </c>
      <c r="C114" s="6">
        <v>46071.395833333336</v>
      </c>
      <c r="D114" s="6">
        <v>46071.416666666664</v>
      </c>
      <c r="E114" s="6">
        <v>46071.423611111109</v>
      </c>
      <c r="F114" s="6">
        <v>46071.429861111108</v>
      </c>
      <c r="G114" s="6">
        <v>46071.431944444441</v>
      </c>
      <c r="H114" s="6">
        <v>46071.4375</v>
      </c>
      <c r="I114">
        <v>1</v>
      </c>
      <c r="J114" s="6">
        <v>46071.444444444445</v>
      </c>
      <c r="K114" s="7">
        <f t="shared" si="4"/>
        <v>0.90972222221898846</v>
      </c>
      <c r="L114">
        <f t="shared" si="5"/>
        <v>21</v>
      </c>
      <c r="M114">
        <f t="shared" si="6"/>
        <v>50</v>
      </c>
      <c r="N114">
        <f t="shared" si="7"/>
        <v>1310</v>
      </c>
    </row>
    <row r="115" spans="2:14" x14ac:dyDescent="0.25">
      <c r="B115" t="s">
        <v>35</v>
      </c>
      <c r="C115" s="6">
        <v>46072.347222222219</v>
      </c>
      <c r="D115" s="6">
        <v>46072.354166666664</v>
      </c>
      <c r="E115" s="6">
        <v>46072.368055555555</v>
      </c>
      <c r="F115" s="6">
        <v>46072.4375</v>
      </c>
      <c r="G115" s="6">
        <v>46072.444444444445</v>
      </c>
      <c r="H115" s="6">
        <v>46072.451388888891</v>
      </c>
      <c r="I115">
        <v>2.5</v>
      </c>
      <c r="J115" s="6">
        <v>46072.458333333336</v>
      </c>
      <c r="K115" s="7">
        <f t="shared" si="4"/>
        <v>6.25E-2</v>
      </c>
      <c r="L115">
        <f t="shared" si="5"/>
        <v>1</v>
      </c>
      <c r="M115">
        <f t="shared" si="6"/>
        <v>30</v>
      </c>
      <c r="N115">
        <f t="shared" si="7"/>
        <v>90</v>
      </c>
    </row>
    <row r="116" spans="2:14" x14ac:dyDescent="0.25">
      <c r="B116" t="s">
        <v>35</v>
      </c>
      <c r="C116" s="6">
        <v>46072.513888888891</v>
      </c>
      <c r="D116" s="6">
        <v>46072.520833333336</v>
      </c>
      <c r="E116" s="6">
        <v>46072.541666666664</v>
      </c>
      <c r="F116" s="6">
        <v>46072.604166666664</v>
      </c>
      <c r="G116" s="6">
        <v>46072.611111111109</v>
      </c>
      <c r="H116" s="6">
        <v>46072.621527777781</v>
      </c>
      <c r="I116">
        <v>2.58</v>
      </c>
      <c r="J116" s="6">
        <v>46072.62222222222</v>
      </c>
      <c r="K116" s="7">
        <f t="shared" si="4"/>
        <v>5.9027777773735579E-2</v>
      </c>
      <c r="L116">
        <f t="shared" si="5"/>
        <v>1</v>
      </c>
      <c r="M116">
        <f t="shared" si="6"/>
        <v>25</v>
      </c>
      <c r="N116">
        <f t="shared" si="7"/>
        <v>85</v>
      </c>
    </row>
    <row r="117" spans="2:14" x14ac:dyDescent="0.25">
      <c r="B117" t="s">
        <v>35</v>
      </c>
      <c r="C117" s="6">
        <v>46072.680555555555</v>
      </c>
      <c r="D117" s="6">
        <v>46072.690972222219</v>
      </c>
      <c r="E117" s="6">
        <v>46072.701388888891</v>
      </c>
      <c r="F117" s="6">
        <v>46072.767361111109</v>
      </c>
      <c r="G117" s="6">
        <v>46072.770833333336</v>
      </c>
      <c r="H117" s="6">
        <v>46072.774305555555</v>
      </c>
      <c r="I117">
        <v>2.25</v>
      </c>
      <c r="J117" s="6">
        <v>46072.776388888888</v>
      </c>
      <c r="K117" s="7">
        <f t="shared" si="4"/>
        <v>0.51736111110949423</v>
      </c>
      <c r="L117">
        <f t="shared" si="5"/>
        <v>12</v>
      </c>
      <c r="M117">
        <f t="shared" si="6"/>
        <v>25</v>
      </c>
      <c r="N117">
        <f t="shared" si="7"/>
        <v>745</v>
      </c>
    </row>
    <row r="118" spans="2:14" x14ac:dyDescent="0.25">
      <c r="B118" t="s">
        <v>35</v>
      </c>
      <c r="C118" s="6">
        <v>46073.291666666664</v>
      </c>
      <c r="D118" s="6">
        <v>46073.333333333336</v>
      </c>
      <c r="E118" s="6">
        <v>46073.340277777781</v>
      </c>
      <c r="F118" s="6">
        <v>46073.364583333336</v>
      </c>
      <c r="G118" s="6">
        <v>46073.371527777781</v>
      </c>
      <c r="H118" s="6">
        <v>46073.375</v>
      </c>
      <c r="I118">
        <v>2</v>
      </c>
      <c r="J118" s="6">
        <v>46073.381944444445</v>
      </c>
      <c r="K118" s="7">
        <f t="shared" si="4"/>
        <v>0.33333333333575865</v>
      </c>
      <c r="L118">
        <f t="shared" si="5"/>
        <v>8</v>
      </c>
      <c r="M118">
        <f t="shared" si="6"/>
        <v>0</v>
      </c>
      <c r="N118">
        <f t="shared" si="7"/>
        <v>480</v>
      </c>
    </row>
    <row r="119" spans="2:14" x14ac:dyDescent="0.25">
      <c r="B119" t="s">
        <v>35</v>
      </c>
      <c r="C119" s="6">
        <v>46073.708333333336</v>
      </c>
      <c r="D119" s="6">
        <v>46073.722222222219</v>
      </c>
      <c r="E119" s="6">
        <v>46073.736111111109</v>
      </c>
      <c r="F119" s="6">
        <v>46073.798611111109</v>
      </c>
      <c r="G119" s="6">
        <v>46073.8125</v>
      </c>
      <c r="H119" s="6">
        <v>46073.819444444445</v>
      </c>
      <c r="I119">
        <v>2.67</v>
      </c>
      <c r="J119" s="6">
        <v>46073.822916666664</v>
      </c>
      <c r="K119" s="7">
        <f t="shared" si="4"/>
        <v>0.55902777777373558</v>
      </c>
      <c r="L119">
        <f t="shared" si="5"/>
        <v>13</v>
      </c>
      <c r="M119">
        <f t="shared" si="6"/>
        <v>25</v>
      </c>
      <c r="N119">
        <f t="shared" si="7"/>
        <v>805</v>
      </c>
    </row>
    <row r="120" spans="2:14" x14ac:dyDescent="0.25">
      <c r="B120" t="s">
        <v>35</v>
      </c>
      <c r="C120" s="6">
        <v>46074.378472222219</v>
      </c>
      <c r="D120" s="6">
        <v>46074.385416666664</v>
      </c>
      <c r="E120" s="6">
        <v>46074.388888888891</v>
      </c>
      <c r="F120" s="6">
        <v>46074.399305555555</v>
      </c>
      <c r="G120" s="6">
        <v>46074.402777777781</v>
      </c>
      <c r="H120" s="6">
        <v>46074.40347222222</v>
      </c>
      <c r="I120">
        <v>0.6</v>
      </c>
      <c r="J120" s="6">
        <v>46074.404166666667</v>
      </c>
      <c r="K120" s="7">
        <f t="shared" si="4"/>
        <v>0.12430555556056788</v>
      </c>
      <c r="L120">
        <f t="shared" si="5"/>
        <v>2</v>
      </c>
      <c r="M120">
        <f t="shared" si="6"/>
        <v>59</v>
      </c>
      <c r="N120">
        <f t="shared" si="7"/>
        <v>179</v>
      </c>
    </row>
    <row r="121" spans="2:14" x14ac:dyDescent="0.25">
      <c r="B121" t="s">
        <v>35</v>
      </c>
      <c r="C121" s="6">
        <v>46074.527777777781</v>
      </c>
      <c r="D121" s="6">
        <v>46074.534722222219</v>
      </c>
      <c r="E121" s="6">
        <v>46074.545138888891</v>
      </c>
      <c r="F121" s="6">
        <v>46074.548611111109</v>
      </c>
      <c r="G121" s="6">
        <v>46074.559027777781</v>
      </c>
      <c r="H121" s="6">
        <v>46074.5625</v>
      </c>
      <c r="I121">
        <v>0.83</v>
      </c>
      <c r="J121" s="6">
        <v>46074.569444444445</v>
      </c>
      <c r="K121" s="7">
        <f t="shared" si="4"/>
        <v>0.10416666666424135</v>
      </c>
      <c r="L121">
        <f t="shared" si="5"/>
        <v>2</v>
      </c>
      <c r="M121">
        <f t="shared" si="6"/>
        <v>30</v>
      </c>
      <c r="N121">
        <f t="shared" si="7"/>
        <v>150</v>
      </c>
    </row>
    <row r="122" spans="2:14" hidden="1" x14ac:dyDescent="0.25">
      <c r="B122" t="s">
        <v>35</v>
      </c>
      <c r="C122" s="6">
        <v>46074.666666666664</v>
      </c>
      <c r="D122" s="6">
        <v>46074.677083333336</v>
      </c>
      <c r="E122" s="6">
        <v>46074.715277777781</v>
      </c>
      <c r="F122" s="6">
        <v>46074.822916666664</v>
      </c>
      <c r="G122" s="6">
        <v>46074.833333333336</v>
      </c>
      <c r="H122" s="6">
        <v>46075.5625</v>
      </c>
      <c r="I122">
        <v>21.5</v>
      </c>
      <c r="J122" s="6">
        <v>46075.565972222219</v>
      </c>
      <c r="K122" s="7">
        <f t="shared" si="4"/>
        <v>-0.22222222221898846</v>
      </c>
      <c r="L122" t="e">
        <f t="shared" si="5"/>
        <v>#NUM!</v>
      </c>
      <c r="M122" t="e">
        <f t="shared" si="6"/>
        <v>#NUM!</v>
      </c>
      <c r="N122" t="e">
        <f t="shared" si="7"/>
        <v>#NUM!</v>
      </c>
    </row>
    <row r="123" spans="2:14" x14ac:dyDescent="0.25">
      <c r="B123" t="s">
        <v>35</v>
      </c>
      <c r="C123" s="6">
        <v>46075.340277777781</v>
      </c>
      <c r="D123" s="6">
        <v>46075.354166666664</v>
      </c>
      <c r="E123" s="6">
        <v>46075.395833333336</v>
      </c>
      <c r="F123" s="6">
        <v>46075.436111111114</v>
      </c>
      <c r="G123" s="6">
        <v>46075.44027777778</v>
      </c>
      <c r="H123" s="6">
        <v>46075.440972222219</v>
      </c>
      <c r="I123">
        <v>2.42</v>
      </c>
      <c r="J123" s="6">
        <v>46075.447916666664</v>
      </c>
      <c r="K123" s="7">
        <f t="shared" si="4"/>
        <v>0.85069444444525288</v>
      </c>
      <c r="L123">
        <f t="shared" si="5"/>
        <v>20</v>
      </c>
      <c r="M123">
        <f t="shared" si="6"/>
        <v>25</v>
      </c>
      <c r="N123">
        <f t="shared" si="7"/>
        <v>1225</v>
      </c>
    </row>
    <row r="124" spans="2:14" x14ac:dyDescent="0.25">
      <c r="B124" t="s">
        <v>35</v>
      </c>
      <c r="C124" s="6">
        <v>46076.291666666664</v>
      </c>
      <c r="D124" s="6">
        <v>46076.326388888891</v>
      </c>
      <c r="E124" s="6">
        <v>46076.354166666664</v>
      </c>
      <c r="F124" s="6">
        <v>46076.443749999999</v>
      </c>
      <c r="G124" s="6">
        <v>46076.451388888891</v>
      </c>
      <c r="H124" s="6">
        <v>46076.458333333336</v>
      </c>
      <c r="I124">
        <v>4</v>
      </c>
      <c r="J124" s="6">
        <v>46076.461805555555</v>
      </c>
      <c r="K124" s="7">
        <f t="shared" si="4"/>
        <v>4.8611111109494232E-2</v>
      </c>
      <c r="L124">
        <f t="shared" si="5"/>
        <v>1</v>
      </c>
      <c r="M124">
        <f t="shared" si="6"/>
        <v>10</v>
      </c>
      <c r="N124">
        <f t="shared" si="7"/>
        <v>70</v>
      </c>
    </row>
    <row r="125" spans="2:14" x14ac:dyDescent="0.25">
      <c r="B125" t="s">
        <v>35</v>
      </c>
      <c r="C125" s="6">
        <v>46076.506944444445</v>
      </c>
      <c r="D125" s="6">
        <v>46076.53125</v>
      </c>
      <c r="E125" s="6">
        <v>46076.543749999997</v>
      </c>
      <c r="F125" s="6">
        <v>46076.67083333333</v>
      </c>
      <c r="G125" s="6">
        <v>46076.704861111109</v>
      </c>
      <c r="H125" s="6">
        <v>46076.708333333336</v>
      </c>
      <c r="I125">
        <v>4.83</v>
      </c>
      <c r="J125" s="6">
        <v>46076.715277777781</v>
      </c>
      <c r="K125" s="7">
        <f t="shared" si="4"/>
        <v>5.2083333328482695E-2</v>
      </c>
      <c r="L125">
        <f t="shared" si="5"/>
        <v>1</v>
      </c>
      <c r="M125">
        <f t="shared" si="6"/>
        <v>15</v>
      </c>
      <c r="N125">
        <f t="shared" si="7"/>
        <v>75</v>
      </c>
    </row>
    <row r="126" spans="2:14" x14ac:dyDescent="0.25">
      <c r="B126" t="s">
        <v>35</v>
      </c>
      <c r="C126" s="6">
        <v>46076.760416666664</v>
      </c>
      <c r="D126" s="6">
        <v>46076.767361111109</v>
      </c>
      <c r="E126" s="6">
        <v>46076.770833333336</v>
      </c>
      <c r="F126" s="6">
        <v>46076.78125</v>
      </c>
      <c r="G126" s="6">
        <v>46076.788194444445</v>
      </c>
      <c r="H126" s="6">
        <v>46076.791666666664</v>
      </c>
      <c r="I126">
        <v>0.75</v>
      </c>
      <c r="J126" s="6">
        <v>46076.795138888891</v>
      </c>
      <c r="K126" s="7">
        <f t="shared" si="4"/>
        <v>1.4965277777810115</v>
      </c>
      <c r="L126">
        <f t="shared" si="5"/>
        <v>11</v>
      </c>
      <c r="M126">
        <f t="shared" si="6"/>
        <v>55</v>
      </c>
      <c r="N126">
        <f t="shared" si="7"/>
        <v>715</v>
      </c>
    </row>
    <row r="127" spans="2:14" x14ac:dyDescent="0.25">
      <c r="B127" t="s">
        <v>35</v>
      </c>
      <c r="C127" s="6">
        <v>46078.288194444445</v>
      </c>
      <c r="D127" s="6">
        <v>46078.322916666664</v>
      </c>
      <c r="E127" s="6">
        <v>46078.345138888886</v>
      </c>
      <c r="F127" s="6">
        <v>46078.361111111109</v>
      </c>
      <c r="G127" s="6">
        <v>46078.368055555555</v>
      </c>
      <c r="H127" s="6">
        <v>46078.380555555559</v>
      </c>
      <c r="I127">
        <v>2.2200000000000002</v>
      </c>
      <c r="J127" s="6">
        <v>46078.381944444445</v>
      </c>
      <c r="K127" s="7">
        <f t="shared" si="4"/>
        <v>1.5881944444408873</v>
      </c>
      <c r="L127">
        <f t="shared" si="5"/>
        <v>14</v>
      </c>
      <c r="M127">
        <f t="shared" si="6"/>
        <v>7</v>
      </c>
      <c r="N127">
        <f t="shared" si="7"/>
        <v>847</v>
      </c>
    </row>
    <row r="128" spans="2:14" x14ac:dyDescent="0.25">
      <c r="B128" t="s">
        <v>35</v>
      </c>
      <c r="C128" s="6">
        <v>46079.96875</v>
      </c>
      <c r="D128" s="6">
        <v>46079.972222222219</v>
      </c>
      <c r="E128" s="6">
        <v>46079.986111111109</v>
      </c>
      <c r="F128" s="6">
        <v>46080.020833333336</v>
      </c>
      <c r="G128" s="6">
        <v>46080.027777777781</v>
      </c>
      <c r="H128" s="6">
        <v>46080.03125</v>
      </c>
      <c r="I128">
        <v>1.5</v>
      </c>
      <c r="J128" s="6">
        <v>46080.031944444447</v>
      </c>
      <c r="K128" s="7">
        <f t="shared" si="4"/>
        <v>0.29166666666424135</v>
      </c>
      <c r="L128">
        <f t="shared" si="5"/>
        <v>7</v>
      </c>
      <c r="M128">
        <f t="shared" si="6"/>
        <v>0</v>
      </c>
      <c r="N128">
        <f t="shared" si="7"/>
        <v>420</v>
      </c>
    </row>
    <row r="129" spans="2:14" hidden="1" x14ac:dyDescent="0.25">
      <c r="B129" t="s">
        <v>35</v>
      </c>
      <c r="C129" s="6">
        <v>46080.322916666664</v>
      </c>
      <c r="D129" s="6">
        <v>46080.333333333336</v>
      </c>
      <c r="E129" s="6">
        <v>46080.375</v>
      </c>
      <c r="F129" s="6">
        <v>46080.597222222219</v>
      </c>
      <c r="G129" s="6">
        <v>46080.694444444445</v>
      </c>
      <c r="H129" s="6">
        <v>46080.701388888891</v>
      </c>
      <c r="I129">
        <v>9.08</v>
      </c>
      <c r="J129" s="6">
        <v>46080.708333333336</v>
      </c>
      <c r="K129" s="7">
        <f t="shared" si="4"/>
        <v>-0.125</v>
      </c>
      <c r="L129" t="e">
        <f t="shared" si="5"/>
        <v>#NUM!</v>
      </c>
      <c r="M129" t="e">
        <f t="shared" si="6"/>
        <v>#NUM!</v>
      </c>
      <c r="N129" t="e">
        <f t="shared" si="7"/>
        <v>#NUM!</v>
      </c>
    </row>
    <row r="130" spans="2:14" x14ac:dyDescent="0.25">
      <c r="B130" t="s">
        <v>35</v>
      </c>
      <c r="C130" s="6">
        <v>46080.576388888891</v>
      </c>
      <c r="D130" s="6">
        <v>46080.600694444445</v>
      </c>
      <c r="E130" s="6">
        <v>46080.684027777781</v>
      </c>
      <c r="F130" s="6">
        <v>46080.824999999997</v>
      </c>
      <c r="G130" s="6">
        <v>46080.895833333336</v>
      </c>
      <c r="H130" s="6">
        <v>46080.90625</v>
      </c>
      <c r="I130">
        <v>7.92</v>
      </c>
      <c r="J130" s="6">
        <v>46080.913194444445</v>
      </c>
      <c r="K130" s="7">
        <f t="shared" si="4"/>
        <v>0.51736111110949423</v>
      </c>
      <c r="L130">
        <f t="shared" si="5"/>
        <v>12</v>
      </c>
      <c r="M130">
        <f t="shared" si="6"/>
        <v>25</v>
      </c>
      <c r="N130">
        <f t="shared" si="7"/>
        <v>745</v>
      </c>
    </row>
    <row r="131" spans="2:14" x14ac:dyDescent="0.25">
      <c r="B131" t="s">
        <v>35</v>
      </c>
      <c r="C131" s="6">
        <v>46081.423611111109</v>
      </c>
      <c r="D131" s="6">
        <v>46081.430555555555</v>
      </c>
      <c r="E131" s="6">
        <v>46081.4375</v>
      </c>
      <c r="F131" s="6">
        <v>46081.480555555558</v>
      </c>
      <c r="G131" s="6">
        <v>46081.482638888891</v>
      </c>
      <c r="H131" s="6">
        <v>46081.486111111109</v>
      </c>
      <c r="I131">
        <v>1.5</v>
      </c>
      <c r="J131" s="6">
        <v>46081.493055555555</v>
      </c>
      <c r="K131" s="7">
        <f t="shared" si="4"/>
        <v>2.0833333335758653E-2</v>
      </c>
      <c r="L131">
        <f t="shared" si="5"/>
        <v>0</v>
      </c>
      <c r="M131">
        <f t="shared" si="6"/>
        <v>30</v>
      </c>
      <c r="N131">
        <f t="shared" si="7"/>
        <v>30</v>
      </c>
    </row>
    <row r="132" spans="2:14" x14ac:dyDescent="0.25">
      <c r="B132" t="s">
        <v>35</v>
      </c>
      <c r="C132" s="6">
        <v>46081.506944444445</v>
      </c>
      <c r="D132" s="6">
        <v>46081.513888888891</v>
      </c>
      <c r="E132" s="6">
        <v>46081.538194444445</v>
      </c>
      <c r="F132" s="6">
        <v>46081.822916666664</v>
      </c>
      <c r="G132" s="6">
        <v>46081.833333333336</v>
      </c>
      <c r="H132" s="6">
        <v>46081.861111111109</v>
      </c>
      <c r="I132">
        <v>8.5</v>
      </c>
      <c r="J132" s="6">
        <v>46081.862500000003</v>
      </c>
      <c r="K132" s="7">
        <f t="shared" ref="K132:K195" si="8">C133-H132</f>
        <v>0.54861111110949423</v>
      </c>
      <c r="L132">
        <f t="shared" ref="L132:L195" si="9">HOUR(K132)</f>
        <v>13</v>
      </c>
      <c r="M132">
        <f t="shared" ref="M132:M195" si="10">MINUTE(K132)</f>
        <v>10</v>
      </c>
      <c r="N132">
        <f t="shared" ref="N132:N195" si="11">L132*60+M132</f>
        <v>790</v>
      </c>
    </row>
    <row r="133" spans="2:14" x14ac:dyDescent="0.25">
      <c r="B133" t="s">
        <v>35</v>
      </c>
      <c r="C133" s="6">
        <v>46082.409722222219</v>
      </c>
      <c r="D133" s="6">
        <v>46082.416666666664</v>
      </c>
      <c r="E133" s="6">
        <v>46082.427083333336</v>
      </c>
      <c r="F133" s="6">
        <v>46082.444444444445</v>
      </c>
      <c r="G133" s="6">
        <v>46082.451388888891</v>
      </c>
      <c r="H133" s="6">
        <v>46082.454861111109</v>
      </c>
      <c r="I133">
        <v>1.08</v>
      </c>
      <c r="J133" s="6">
        <v>46082.458333333336</v>
      </c>
      <c r="K133" s="7">
        <f t="shared" si="8"/>
        <v>0.16458333333139308</v>
      </c>
      <c r="L133">
        <f t="shared" si="9"/>
        <v>3</v>
      </c>
      <c r="M133">
        <f t="shared" si="10"/>
        <v>57</v>
      </c>
      <c r="N133">
        <f t="shared" si="11"/>
        <v>237</v>
      </c>
    </row>
    <row r="134" spans="2:14" x14ac:dyDescent="0.25">
      <c r="B134" t="s">
        <v>35</v>
      </c>
      <c r="C134" s="6">
        <v>46082.619444444441</v>
      </c>
      <c r="D134" s="6">
        <v>46082.625</v>
      </c>
      <c r="E134" s="6">
        <v>46082.631944444445</v>
      </c>
      <c r="F134" s="6">
        <v>46082.638888888891</v>
      </c>
      <c r="G134" s="6">
        <v>46082.645833333336</v>
      </c>
      <c r="H134" s="6">
        <v>46082.652777777781</v>
      </c>
      <c r="I134">
        <v>0.8</v>
      </c>
      <c r="J134" s="6">
        <v>46082.659722222219</v>
      </c>
      <c r="K134" s="7">
        <f t="shared" si="8"/>
        <v>0.63888888888322981</v>
      </c>
      <c r="L134">
        <f t="shared" si="9"/>
        <v>15</v>
      </c>
      <c r="M134">
        <f t="shared" si="10"/>
        <v>20</v>
      </c>
      <c r="N134">
        <f t="shared" si="11"/>
        <v>920</v>
      </c>
    </row>
    <row r="135" spans="2:14" x14ac:dyDescent="0.25">
      <c r="B135" t="s">
        <v>35</v>
      </c>
      <c r="C135" s="6">
        <v>46083.291666666664</v>
      </c>
      <c r="D135" s="6">
        <v>46083.326388888891</v>
      </c>
      <c r="E135" s="6">
        <v>46083.347222222219</v>
      </c>
      <c r="F135" s="6">
        <v>46083.416666666664</v>
      </c>
      <c r="G135" s="6">
        <v>46083.423611111109</v>
      </c>
      <c r="H135" s="6">
        <v>46083.442361111112</v>
      </c>
      <c r="I135">
        <v>3.62</v>
      </c>
      <c r="J135" s="6">
        <v>46083.443749999999</v>
      </c>
      <c r="K135" s="7">
        <f t="shared" si="8"/>
        <v>0.87708333333284827</v>
      </c>
      <c r="L135">
        <f t="shared" si="9"/>
        <v>21</v>
      </c>
      <c r="M135">
        <f t="shared" si="10"/>
        <v>3</v>
      </c>
      <c r="N135">
        <f t="shared" si="11"/>
        <v>1263</v>
      </c>
    </row>
    <row r="136" spans="2:14" x14ac:dyDescent="0.25">
      <c r="B136" t="s">
        <v>35</v>
      </c>
      <c r="C136" s="6">
        <v>46084.319444444445</v>
      </c>
      <c r="D136" s="6">
        <v>46084.329861111109</v>
      </c>
      <c r="E136" s="6">
        <v>46084.361111111109</v>
      </c>
      <c r="F136" s="6">
        <v>46084.381944444445</v>
      </c>
      <c r="G136" s="6">
        <v>46084.395833333336</v>
      </c>
      <c r="H136" s="6">
        <v>46084.40625</v>
      </c>
      <c r="I136">
        <v>2.08</v>
      </c>
      <c r="J136" s="6">
        <v>46084.409722222219</v>
      </c>
      <c r="K136" s="7">
        <f t="shared" si="8"/>
        <v>0.23958333333575865</v>
      </c>
      <c r="L136">
        <f t="shared" si="9"/>
        <v>5</v>
      </c>
      <c r="M136">
        <f t="shared" si="10"/>
        <v>45</v>
      </c>
      <c r="N136">
        <f t="shared" si="11"/>
        <v>345</v>
      </c>
    </row>
    <row r="137" spans="2:14" x14ac:dyDescent="0.25">
      <c r="B137" t="s">
        <v>35</v>
      </c>
      <c r="C137" s="6">
        <v>46084.645833333336</v>
      </c>
      <c r="D137" s="6">
        <v>46084.655555555553</v>
      </c>
      <c r="E137" s="6">
        <v>46084.680555555555</v>
      </c>
      <c r="F137" s="6">
        <v>46084.80972222222</v>
      </c>
      <c r="G137" s="6">
        <v>46084.810416666667</v>
      </c>
      <c r="H137" s="6">
        <v>46084.811111111114</v>
      </c>
      <c r="I137">
        <v>3.97</v>
      </c>
      <c r="J137" s="6">
        <v>46084.818055555559</v>
      </c>
      <c r="K137" s="7">
        <f t="shared" si="8"/>
        <v>0.80694444444088731</v>
      </c>
      <c r="L137">
        <f t="shared" si="9"/>
        <v>19</v>
      </c>
      <c r="M137">
        <f t="shared" si="10"/>
        <v>22</v>
      </c>
      <c r="N137">
        <f t="shared" si="11"/>
        <v>1162</v>
      </c>
    </row>
    <row r="138" spans="2:14" x14ac:dyDescent="0.25">
      <c r="B138" t="s">
        <v>35</v>
      </c>
      <c r="C138" s="6">
        <v>46085.618055555555</v>
      </c>
      <c r="D138" s="6">
        <v>46085.625</v>
      </c>
      <c r="E138" s="6">
        <v>46085.631944444445</v>
      </c>
      <c r="F138" s="6">
        <v>46085.640277777777</v>
      </c>
      <c r="G138" s="6">
        <v>46085.647222222222</v>
      </c>
      <c r="H138" s="6">
        <v>46085.65625</v>
      </c>
      <c r="I138">
        <v>0.92</v>
      </c>
      <c r="J138" s="6">
        <v>46085.663194444445</v>
      </c>
      <c r="K138" s="7">
        <f t="shared" si="8"/>
        <v>0.63194444444525288</v>
      </c>
      <c r="L138">
        <f t="shared" si="9"/>
        <v>15</v>
      </c>
      <c r="M138">
        <f t="shared" si="10"/>
        <v>10</v>
      </c>
      <c r="N138">
        <f t="shared" si="11"/>
        <v>910</v>
      </c>
    </row>
    <row r="139" spans="2:14" x14ac:dyDescent="0.25">
      <c r="B139" t="s">
        <v>35</v>
      </c>
      <c r="C139" s="6">
        <v>46086.288194444445</v>
      </c>
      <c r="D139" s="6">
        <v>46086.3125</v>
      </c>
      <c r="E139" s="6">
        <v>46086.333333333336</v>
      </c>
      <c r="F139" s="6">
        <v>46086.427083333336</v>
      </c>
      <c r="G139" s="6">
        <v>46086.434027777781</v>
      </c>
      <c r="H139" s="6">
        <v>46086.4375</v>
      </c>
      <c r="I139">
        <v>3.58</v>
      </c>
      <c r="J139" s="6">
        <v>46086.444444444445</v>
      </c>
      <c r="K139" s="7">
        <f t="shared" si="8"/>
        <v>0.85416666666424135</v>
      </c>
      <c r="L139">
        <f t="shared" si="9"/>
        <v>20</v>
      </c>
      <c r="M139">
        <f t="shared" si="10"/>
        <v>30</v>
      </c>
      <c r="N139">
        <f t="shared" si="11"/>
        <v>1230</v>
      </c>
    </row>
    <row r="140" spans="2:14" x14ac:dyDescent="0.25">
      <c r="B140" t="s">
        <v>35</v>
      </c>
      <c r="C140" s="6">
        <v>46087.291666666664</v>
      </c>
      <c r="D140" s="6">
        <v>46087.340277777781</v>
      </c>
      <c r="E140" s="6">
        <v>46087.371527777781</v>
      </c>
      <c r="F140" s="6">
        <v>46087.493055555555</v>
      </c>
      <c r="G140" s="6">
        <v>46087.496527777781</v>
      </c>
      <c r="H140" s="6">
        <v>46087.520833333336</v>
      </c>
      <c r="I140">
        <v>5.5</v>
      </c>
      <c r="J140" s="6">
        <v>46087.521527777775</v>
      </c>
      <c r="K140" s="7">
        <f t="shared" si="8"/>
        <v>0.90625</v>
      </c>
      <c r="L140">
        <f t="shared" si="9"/>
        <v>21</v>
      </c>
      <c r="M140">
        <f t="shared" si="10"/>
        <v>45</v>
      </c>
      <c r="N140">
        <f t="shared" si="11"/>
        <v>1305</v>
      </c>
    </row>
    <row r="141" spans="2:14" x14ac:dyDescent="0.25">
      <c r="B141" t="s">
        <v>35</v>
      </c>
      <c r="C141" s="6">
        <v>46088.427083333336</v>
      </c>
      <c r="D141" s="6">
        <v>46088.479166666664</v>
      </c>
      <c r="E141" s="6">
        <v>46088.482638888891</v>
      </c>
      <c r="F141" s="6">
        <v>46088.520833333336</v>
      </c>
      <c r="G141" s="6">
        <v>46088.524305555555</v>
      </c>
      <c r="H141" s="6">
        <v>46088.534722222219</v>
      </c>
      <c r="I141">
        <v>2.58</v>
      </c>
      <c r="J141" s="6">
        <v>46088.541666666664</v>
      </c>
      <c r="K141" s="7">
        <f t="shared" si="8"/>
        <v>0.14236111111677019</v>
      </c>
      <c r="L141">
        <f t="shared" si="9"/>
        <v>3</v>
      </c>
      <c r="M141">
        <f t="shared" si="10"/>
        <v>25</v>
      </c>
      <c r="N141">
        <f t="shared" si="11"/>
        <v>205</v>
      </c>
    </row>
    <row r="142" spans="2:14" x14ac:dyDescent="0.25">
      <c r="B142" t="s">
        <v>35</v>
      </c>
      <c r="C142" s="6">
        <v>46088.677083333336</v>
      </c>
      <c r="D142" s="6">
        <v>46088.6875</v>
      </c>
      <c r="E142" s="6">
        <v>46088.701388888891</v>
      </c>
      <c r="F142" s="6">
        <v>46088.736111111109</v>
      </c>
      <c r="G142" s="6">
        <v>46088.743055555555</v>
      </c>
      <c r="H142" s="6">
        <v>46088.760416666664</v>
      </c>
      <c r="I142">
        <v>2</v>
      </c>
      <c r="J142" s="6">
        <v>46088.761111111111</v>
      </c>
      <c r="K142" s="7">
        <f t="shared" si="8"/>
        <v>0.58680555555474712</v>
      </c>
      <c r="L142">
        <f t="shared" si="9"/>
        <v>14</v>
      </c>
      <c r="M142">
        <f t="shared" si="10"/>
        <v>5</v>
      </c>
      <c r="N142">
        <f t="shared" si="11"/>
        <v>845</v>
      </c>
    </row>
    <row r="143" spans="2:14" x14ac:dyDescent="0.25">
      <c r="B143" t="s">
        <v>35</v>
      </c>
      <c r="C143" s="6">
        <v>46089.347222222219</v>
      </c>
      <c r="D143" s="6">
        <v>46089.354166666664</v>
      </c>
      <c r="E143" s="6">
        <v>46089.385416666664</v>
      </c>
      <c r="F143" s="6">
        <v>46089.513888888891</v>
      </c>
      <c r="G143" s="6">
        <v>46089.520833333336</v>
      </c>
      <c r="H143" s="6">
        <v>46089.527777777781</v>
      </c>
      <c r="I143">
        <v>4.33</v>
      </c>
      <c r="J143" s="6">
        <v>46089.52847222222</v>
      </c>
      <c r="K143" s="7">
        <f t="shared" si="8"/>
        <v>0.16319444443797693</v>
      </c>
      <c r="L143">
        <f t="shared" si="9"/>
        <v>3</v>
      </c>
      <c r="M143">
        <f t="shared" si="10"/>
        <v>55</v>
      </c>
      <c r="N143">
        <f t="shared" si="11"/>
        <v>235</v>
      </c>
    </row>
    <row r="144" spans="2:14" x14ac:dyDescent="0.25">
      <c r="B144" t="s">
        <v>35</v>
      </c>
      <c r="C144" s="6">
        <v>46089.690972222219</v>
      </c>
      <c r="D144" s="6">
        <v>46089.701388888891</v>
      </c>
      <c r="E144" s="6">
        <v>46089.715277777781</v>
      </c>
      <c r="F144" s="6">
        <v>46089.802083333336</v>
      </c>
      <c r="G144" s="6">
        <v>46089.809027777781</v>
      </c>
      <c r="H144" s="6">
        <v>46089.927083333336</v>
      </c>
      <c r="I144">
        <v>5.67</v>
      </c>
      <c r="J144" s="6">
        <v>46089.934027777781</v>
      </c>
      <c r="K144" s="7">
        <f t="shared" si="8"/>
        <v>0.14583333332848269</v>
      </c>
      <c r="L144">
        <f t="shared" si="9"/>
        <v>3</v>
      </c>
      <c r="M144">
        <f t="shared" si="10"/>
        <v>30</v>
      </c>
      <c r="N144">
        <f t="shared" si="11"/>
        <v>210</v>
      </c>
    </row>
    <row r="145" spans="2:14" x14ac:dyDescent="0.25">
      <c r="B145" t="s">
        <v>35</v>
      </c>
      <c r="C145" s="6">
        <v>46090.072916666664</v>
      </c>
      <c r="D145" s="6">
        <v>46090.079861111109</v>
      </c>
      <c r="E145" s="6">
        <v>46090.09375</v>
      </c>
      <c r="F145" s="6">
        <v>46090.133333333331</v>
      </c>
      <c r="G145" s="6">
        <v>46090.140277777777</v>
      </c>
      <c r="H145" s="6">
        <v>46090.152777777781</v>
      </c>
      <c r="I145">
        <v>1.92</v>
      </c>
      <c r="J145" s="6">
        <v>46090.159722222219</v>
      </c>
      <c r="K145" s="7">
        <f t="shared" si="8"/>
        <v>0.13888888888322981</v>
      </c>
      <c r="L145">
        <f t="shared" si="9"/>
        <v>3</v>
      </c>
      <c r="M145">
        <f t="shared" si="10"/>
        <v>20</v>
      </c>
      <c r="N145">
        <f t="shared" si="11"/>
        <v>200</v>
      </c>
    </row>
    <row r="146" spans="2:14" hidden="1" x14ac:dyDescent="0.25">
      <c r="B146" t="s">
        <v>35</v>
      </c>
      <c r="C146" s="6">
        <v>46090.291666666664</v>
      </c>
      <c r="D146" s="6">
        <v>46090.333333333336</v>
      </c>
      <c r="E146" s="6">
        <v>46090.381944444445</v>
      </c>
      <c r="F146" s="6">
        <v>46090.475694444445</v>
      </c>
      <c r="G146" s="6">
        <v>46090.486111111109</v>
      </c>
      <c r="H146" s="6">
        <v>46090.5</v>
      </c>
      <c r="I146">
        <v>5</v>
      </c>
      <c r="J146" s="6">
        <v>46090.503472222219</v>
      </c>
      <c r="K146" s="7">
        <f t="shared" si="8"/>
        <v>-0.20833333333575865</v>
      </c>
      <c r="L146" t="e">
        <f t="shared" si="9"/>
        <v>#NUM!</v>
      </c>
      <c r="M146" t="e">
        <f t="shared" si="10"/>
        <v>#NUM!</v>
      </c>
      <c r="N146" t="e">
        <f t="shared" si="11"/>
        <v>#NUM!</v>
      </c>
    </row>
    <row r="147" spans="2:14" hidden="1" x14ac:dyDescent="0.25">
      <c r="B147" t="s">
        <v>35</v>
      </c>
      <c r="C147" s="6">
        <v>46090.291666666664</v>
      </c>
      <c r="D147" s="6">
        <v>46090.329861111109</v>
      </c>
      <c r="E147" s="6">
        <v>46090.347222222219</v>
      </c>
      <c r="F147" s="6">
        <v>46090.40625</v>
      </c>
      <c r="G147" s="6">
        <v>46090.423611111109</v>
      </c>
      <c r="H147" s="6">
        <v>46090.645833333336</v>
      </c>
      <c r="I147">
        <v>8.5</v>
      </c>
      <c r="J147" s="6">
        <v>46090.652777777781</v>
      </c>
      <c r="K147" s="7">
        <f t="shared" si="8"/>
        <v>-0.35416666667151731</v>
      </c>
      <c r="L147" t="e">
        <f t="shared" si="9"/>
        <v>#NUM!</v>
      </c>
      <c r="M147" t="e">
        <f t="shared" si="10"/>
        <v>#NUM!</v>
      </c>
      <c r="N147" t="e">
        <f t="shared" si="11"/>
        <v>#NUM!</v>
      </c>
    </row>
    <row r="148" spans="2:14" hidden="1" x14ac:dyDescent="0.25">
      <c r="B148" t="s">
        <v>35</v>
      </c>
      <c r="C148" s="6">
        <v>46090.291666666664</v>
      </c>
      <c r="D148" s="6">
        <v>46090.333333333336</v>
      </c>
      <c r="E148" s="6">
        <v>46090.375</v>
      </c>
      <c r="F148" s="6">
        <v>46090.423611111109</v>
      </c>
      <c r="G148" s="6">
        <v>46090.424305555556</v>
      </c>
      <c r="H148" s="6">
        <v>46090.444444444445</v>
      </c>
      <c r="I148">
        <v>3.67</v>
      </c>
      <c r="J148" s="6">
        <v>46090.445138888892</v>
      </c>
      <c r="K148" s="7">
        <f t="shared" si="8"/>
        <v>-0.11805555555474712</v>
      </c>
      <c r="L148" t="e">
        <f t="shared" si="9"/>
        <v>#NUM!</v>
      </c>
      <c r="M148" t="e">
        <f t="shared" si="10"/>
        <v>#NUM!</v>
      </c>
      <c r="N148" t="e">
        <f t="shared" si="11"/>
        <v>#NUM!</v>
      </c>
    </row>
    <row r="149" spans="2:14" x14ac:dyDescent="0.25">
      <c r="B149" t="s">
        <v>35</v>
      </c>
      <c r="C149" s="6">
        <v>46090.326388888891</v>
      </c>
      <c r="D149" s="6">
        <v>46090.333333333336</v>
      </c>
      <c r="E149" s="6">
        <v>46090.34375</v>
      </c>
      <c r="F149" s="6">
        <v>46090.375</v>
      </c>
      <c r="G149" s="6">
        <v>46090.388888888891</v>
      </c>
      <c r="H149" s="6">
        <v>46090.416666666664</v>
      </c>
      <c r="I149">
        <v>2.17</v>
      </c>
      <c r="J149" s="6">
        <v>46090.429166666669</v>
      </c>
      <c r="K149" s="7">
        <f t="shared" si="8"/>
        <v>7.6388888890505768E-2</v>
      </c>
      <c r="L149">
        <f t="shared" si="9"/>
        <v>1</v>
      </c>
      <c r="M149">
        <f t="shared" si="10"/>
        <v>50</v>
      </c>
      <c r="N149">
        <f t="shared" si="11"/>
        <v>110</v>
      </c>
    </row>
    <row r="150" spans="2:14" hidden="1" x14ac:dyDescent="0.25">
      <c r="B150" t="s">
        <v>35</v>
      </c>
      <c r="C150" s="6">
        <v>46090.493055555555</v>
      </c>
      <c r="D150" s="6">
        <v>46090.5</v>
      </c>
      <c r="E150" s="6">
        <v>46090.520833333336</v>
      </c>
      <c r="F150" s="6">
        <v>46090.555555555555</v>
      </c>
      <c r="G150" s="6">
        <v>46090.5625</v>
      </c>
      <c r="H150" s="6">
        <v>46090.565972222219</v>
      </c>
      <c r="I150">
        <v>1.75</v>
      </c>
      <c r="J150" s="6">
        <v>46090.572916666664</v>
      </c>
      <c r="K150" s="7">
        <f t="shared" si="8"/>
        <v>-2.4305555554747116E-2</v>
      </c>
      <c r="L150" t="e">
        <f t="shared" si="9"/>
        <v>#NUM!</v>
      </c>
      <c r="M150" t="e">
        <f t="shared" si="10"/>
        <v>#NUM!</v>
      </c>
      <c r="N150" t="e">
        <f t="shared" si="11"/>
        <v>#NUM!</v>
      </c>
    </row>
    <row r="151" spans="2:14" x14ac:dyDescent="0.25">
      <c r="B151" t="s">
        <v>35</v>
      </c>
      <c r="C151" s="6">
        <v>46090.541666666664</v>
      </c>
      <c r="D151" s="6">
        <v>46090.5625</v>
      </c>
      <c r="E151" s="6">
        <v>46090.597222222219</v>
      </c>
      <c r="F151" s="6">
        <v>46090.649305555555</v>
      </c>
      <c r="G151" s="6">
        <v>46090.666666666664</v>
      </c>
      <c r="H151" s="6">
        <v>46090.701388888891</v>
      </c>
      <c r="I151">
        <v>3.83</v>
      </c>
      <c r="J151" s="6">
        <v>46090.702777777777</v>
      </c>
      <c r="K151" s="7">
        <f t="shared" si="8"/>
        <v>0.59027777777373558</v>
      </c>
      <c r="L151">
        <f t="shared" si="9"/>
        <v>14</v>
      </c>
      <c r="M151">
        <f t="shared" si="10"/>
        <v>10</v>
      </c>
      <c r="N151">
        <f t="shared" si="11"/>
        <v>850</v>
      </c>
    </row>
    <row r="152" spans="2:14" x14ac:dyDescent="0.25">
      <c r="B152" t="s">
        <v>35</v>
      </c>
      <c r="C152" s="6">
        <v>46091.291666666664</v>
      </c>
      <c r="D152" s="6">
        <v>46091.3125</v>
      </c>
      <c r="E152" s="6">
        <v>46091.333333333336</v>
      </c>
      <c r="F152" s="6">
        <v>46091.46875</v>
      </c>
      <c r="G152" s="6">
        <v>46091.475694444445</v>
      </c>
      <c r="H152" s="6">
        <v>46091.486111111109</v>
      </c>
      <c r="I152">
        <v>4.67</v>
      </c>
      <c r="J152" s="6">
        <v>46091.486805555556</v>
      </c>
      <c r="K152" s="7">
        <f t="shared" si="8"/>
        <v>0.14930555555474712</v>
      </c>
      <c r="L152">
        <f t="shared" si="9"/>
        <v>3</v>
      </c>
      <c r="M152">
        <f t="shared" si="10"/>
        <v>35</v>
      </c>
      <c r="N152">
        <f t="shared" si="11"/>
        <v>215</v>
      </c>
    </row>
    <row r="153" spans="2:14" x14ac:dyDescent="0.25">
      <c r="B153" t="s">
        <v>35</v>
      </c>
      <c r="C153" s="6">
        <v>46091.635416666664</v>
      </c>
      <c r="D153" s="6">
        <v>46091.642361111109</v>
      </c>
      <c r="E153" s="6">
        <v>46091.666666666664</v>
      </c>
      <c r="F153" s="6">
        <v>46091.751388888886</v>
      </c>
      <c r="G153" s="6">
        <v>46091.753472222219</v>
      </c>
      <c r="H153" s="6">
        <v>46091.754166666666</v>
      </c>
      <c r="I153">
        <v>2.85</v>
      </c>
      <c r="J153" s="6">
        <v>46091.754861111112</v>
      </c>
      <c r="K153" s="7">
        <f t="shared" si="8"/>
        <v>0.33263888888905058</v>
      </c>
      <c r="L153">
        <f t="shared" si="9"/>
        <v>7</v>
      </c>
      <c r="M153">
        <f t="shared" si="10"/>
        <v>59</v>
      </c>
      <c r="N153">
        <f t="shared" si="11"/>
        <v>479</v>
      </c>
    </row>
    <row r="154" spans="2:14" x14ac:dyDescent="0.25">
      <c r="B154" t="s">
        <v>35</v>
      </c>
      <c r="C154" s="6">
        <v>46092.086805555555</v>
      </c>
      <c r="D154" s="6">
        <v>46092.090277777781</v>
      </c>
      <c r="E154" s="6">
        <v>46092.09375</v>
      </c>
      <c r="F154" s="6">
        <v>46092.145833333336</v>
      </c>
      <c r="G154" s="6">
        <v>46092.152777777781</v>
      </c>
      <c r="H154" s="6">
        <v>46092.15625</v>
      </c>
      <c r="I154">
        <v>1.67</v>
      </c>
      <c r="J154" s="6">
        <v>46092.156944444447</v>
      </c>
      <c r="K154" s="7">
        <f t="shared" si="8"/>
        <v>0.13541666666424135</v>
      </c>
      <c r="L154">
        <f t="shared" si="9"/>
        <v>3</v>
      </c>
      <c r="M154">
        <f t="shared" si="10"/>
        <v>15</v>
      </c>
      <c r="N154">
        <f t="shared" si="11"/>
        <v>195</v>
      </c>
    </row>
    <row r="155" spans="2:14" x14ac:dyDescent="0.25">
      <c r="B155" t="s">
        <v>35</v>
      </c>
      <c r="C155" s="6">
        <v>46092.291666666664</v>
      </c>
      <c r="D155" s="6">
        <v>46092.322916666664</v>
      </c>
      <c r="E155" s="6">
        <v>46092.333333333336</v>
      </c>
      <c r="F155" s="6">
        <v>46092.395833333336</v>
      </c>
      <c r="G155" s="6">
        <v>46092.402777777781</v>
      </c>
      <c r="H155" s="6">
        <v>46092.444444444445</v>
      </c>
      <c r="I155">
        <v>3.67</v>
      </c>
      <c r="J155" s="6">
        <v>46092.445138888892</v>
      </c>
      <c r="K155" s="7">
        <f t="shared" si="8"/>
        <v>3.8194444445252884E-2</v>
      </c>
      <c r="L155">
        <f t="shared" si="9"/>
        <v>0</v>
      </c>
      <c r="M155">
        <f t="shared" si="10"/>
        <v>55</v>
      </c>
      <c r="N155">
        <f t="shared" si="11"/>
        <v>55</v>
      </c>
    </row>
    <row r="156" spans="2:14" x14ac:dyDescent="0.25">
      <c r="B156" t="s">
        <v>35</v>
      </c>
      <c r="C156" s="6">
        <v>46092.482638888891</v>
      </c>
      <c r="D156" s="6">
        <v>46092.489583333336</v>
      </c>
      <c r="E156" s="6">
        <v>46092.520833333336</v>
      </c>
      <c r="F156" s="6">
        <v>46092.597222222219</v>
      </c>
      <c r="G156" s="6">
        <v>46092.708333333336</v>
      </c>
      <c r="H156" s="6">
        <v>46092.743055555555</v>
      </c>
      <c r="I156">
        <v>6.25</v>
      </c>
      <c r="J156" s="6">
        <v>46092.744444444441</v>
      </c>
      <c r="K156" s="7">
        <f t="shared" si="8"/>
        <v>0.54861111110949423</v>
      </c>
      <c r="L156">
        <f t="shared" si="9"/>
        <v>13</v>
      </c>
      <c r="M156">
        <f t="shared" si="10"/>
        <v>10</v>
      </c>
      <c r="N156">
        <f t="shared" si="11"/>
        <v>790</v>
      </c>
    </row>
    <row r="157" spans="2:14" x14ac:dyDescent="0.25">
      <c r="B157" t="s">
        <v>35</v>
      </c>
      <c r="C157" s="6">
        <v>46093.291666666664</v>
      </c>
      <c r="D157" s="6">
        <v>46093.3125</v>
      </c>
      <c r="E157" s="6">
        <v>46093.326388888891</v>
      </c>
      <c r="F157" s="6">
        <v>46093.427083333336</v>
      </c>
      <c r="G157" s="6">
        <v>46093.434027777781</v>
      </c>
      <c r="H157" s="6">
        <v>46093.440972222219</v>
      </c>
      <c r="I157">
        <v>3.58</v>
      </c>
      <c r="J157" s="6">
        <v>46093.441666666666</v>
      </c>
      <c r="K157" s="7">
        <f t="shared" si="8"/>
        <v>8.3333333335758653E-2</v>
      </c>
      <c r="L157">
        <f t="shared" si="9"/>
        <v>2</v>
      </c>
      <c r="M157">
        <f t="shared" si="10"/>
        <v>0</v>
      </c>
      <c r="N157">
        <f t="shared" si="11"/>
        <v>120</v>
      </c>
    </row>
    <row r="158" spans="2:14" hidden="1" x14ac:dyDescent="0.25">
      <c r="B158" t="s">
        <v>35</v>
      </c>
      <c r="C158" s="6">
        <v>46093.524305555555</v>
      </c>
      <c r="D158" s="6">
        <v>46093.538194444445</v>
      </c>
      <c r="E158" s="6">
        <v>46093.552083333336</v>
      </c>
      <c r="F158" s="6">
        <v>46093.614583333336</v>
      </c>
      <c r="G158" s="6">
        <v>46093.631944444445</v>
      </c>
      <c r="H158" s="6">
        <v>46093.649305555555</v>
      </c>
      <c r="I158">
        <v>3</v>
      </c>
      <c r="J158" s="6">
        <v>46093.65</v>
      </c>
      <c r="K158" s="7">
        <f t="shared" si="8"/>
        <v>-5.9027777773735579E-2</v>
      </c>
      <c r="L158" t="e">
        <f t="shared" si="9"/>
        <v>#NUM!</v>
      </c>
      <c r="M158" t="e">
        <f t="shared" si="10"/>
        <v>#NUM!</v>
      </c>
      <c r="N158" t="e">
        <f t="shared" si="11"/>
        <v>#NUM!</v>
      </c>
    </row>
    <row r="159" spans="2:14" hidden="1" x14ac:dyDescent="0.25">
      <c r="B159" t="s">
        <v>35</v>
      </c>
      <c r="C159" s="6">
        <v>46093.590277777781</v>
      </c>
      <c r="D159" s="6">
        <v>46093.604166666664</v>
      </c>
      <c r="E159" s="6">
        <v>46093.652777777781</v>
      </c>
      <c r="F159" s="6">
        <v>46093.78125</v>
      </c>
      <c r="G159" s="6">
        <v>46093.798611111109</v>
      </c>
      <c r="H159" s="6">
        <v>46093.833333333336</v>
      </c>
      <c r="I159">
        <v>5.83</v>
      </c>
      <c r="J159" s="6">
        <v>46093.834027777775</v>
      </c>
      <c r="K159" s="7">
        <f t="shared" si="8"/>
        <v>-0.15625</v>
      </c>
      <c r="L159" t="e">
        <f t="shared" si="9"/>
        <v>#NUM!</v>
      </c>
      <c r="M159" t="e">
        <f t="shared" si="10"/>
        <v>#NUM!</v>
      </c>
      <c r="N159" t="e">
        <f t="shared" si="11"/>
        <v>#NUM!</v>
      </c>
    </row>
    <row r="160" spans="2:14" x14ac:dyDescent="0.25">
      <c r="B160" t="s">
        <v>35</v>
      </c>
      <c r="C160" s="6">
        <v>46093.677083333336</v>
      </c>
      <c r="D160" s="6">
        <v>46093.690972222219</v>
      </c>
      <c r="E160" s="6">
        <v>46093.715277777781</v>
      </c>
      <c r="F160" s="6">
        <v>46093.760416666664</v>
      </c>
      <c r="G160" s="6">
        <v>46093.767361111109</v>
      </c>
      <c r="H160" s="6">
        <v>46093.770833333336</v>
      </c>
      <c r="I160">
        <v>2.25</v>
      </c>
      <c r="J160" s="6">
        <v>46093.777777777781</v>
      </c>
      <c r="K160" s="7">
        <f t="shared" si="8"/>
        <v>0.52083333332848269</v>
      </c>
      <c r="L160">
        <f t="shared" si="9"/>
        <v>12</v>
      </c>
      <c r="M160">
        <f t="shared" si="10"/>
        <v>30</v>
      </c>
      <c r="N160">
        <f t="shared" si="11"/>
        <v>750</v>
      </c>
    </row>
    <row r="161" spans="2:14" x14ac:dyDescent="0.25">
      <c r="B161" t="s">
        <v>35</v>
      </c>
      <c r="C161" s="6">
        <v>46094.291666666664</v>
      </c>
      <c r="D161" s="6">
        <v>46094.305555555555</v>
      </c>
      <c r="E161" s="6">
        <v>46094.34375</v>
      </c>
      <c r="F161" s="6">
        <v>46094.447916666664</v>
      </c>
      <c r="G161" s="6">
        <v>46094.461805555555</v>
      </c>
      <c r="H161" s="6">
        <v>46094.479166666664</v>
      </c>
      <c r="I161">
        <v>4.5</v>
      </c>
      <c r="J161" s="6">
        <v>46094.480555555558</v>
      </c>
      <c r="K161" s="7">
        <f t="shared" si="8"/>
        <v>9.375E-2</v>
      </c>
      <c r="L161">
        <f t="shared" si="9"/>
        <v>2</v>
      </c>
      <c r="M161">
        <f t="shared" si="10"/>
        <v>15</v>
      </c>
      <c r="N161">
        <f t="shared" si="11"/>
        <v>135</v>
      </c>
    </row>
    <row r="162" spans="2:14" x14ac:dyDescent="0.25">
      <c r="B162" t="s">
        <v>35</v>
      </c>
      <c r="C162" s="6">
        <v>46094.572916666664</v>
      </c>
      <c r="D162" s="6">
        <v>46094.590277777781</v>
      </c>
      <c r="E162" s="6">
        <v>46094.607638888891</v>
      </c>
      <c r="F162" s="6">
        <v>46094.652777777781</v>
      </c>
      <c r="G162" s="6">
        <v>46094.666666666664</v>
      </c>
      <c r="H162" s="6">
        <v>46094.670138888891</v>
      </c>
      <c r="I162">
        <v>2.33</v>
      </c>
      <c r="J162" s="6">
        <v>46094.671527777777</v>
      </c>
      <c r="K162" s="7">
        <f t="shared" si="8"/>
        <v>4.1666666664241347E-2</v>
      </c>
      <c r="L162">
        <f t="shared" si="9"/>
        <v>1</v>
      </c>
      <c r="M162">
        <f t="shared" si="10"/>
        <v>0</v>
      </c>
      <c r="N162">
        <f t="shared" si="11"/>
        <v>60</v>
      </c>
    </row>
    <row r="163" spans="2:14" x14ac:dyDescent="0.25">
      <c r="B163" t="s">
        <v>35</v>
      </c>
      <c r="C163" s="6">
        <v>46094.711805555555</v>
      </c>
      <c r="D163" s="6">
        <v>46094.722222222219</v>
      </c>
      <c r="E163" s="6">
        <v>46094.743055555555</v>
      </c>
      <c r="F163" s="6">
        <v>46094.977777777778</v>
      </c>
      <c r="G163" s="6">
        <v>46094.982638888891</v>
      </c>
      <c r="H163" s="6">
        <v>46094.986111111109</v>
      </c>
      <c r="I163">
        <v>6.58</v>
      </c>
      <c r="J163" s="6">
        <v>46094.993055555555</v>
      </c>
      <c r="K163" s="7">
        <f t="shared" si="8"/>
        <v>0.36666666666860692</v>
      </c>
      <c r="L163">
        <f t="shared" si="9"/>
        <v>8</v>
      </c>
      <c r="M163">
        <f t="shared" si="10"/>
        <v>48</v>
      </c>
      <c r="N163">
        <f t="shared" si="11"/>
        <v>528</v>
      </c>
    </row>
    <row r="164" spans="2:14" x14ac:dyDescent="0.25">
      <c r="B164" t="s">
        <v>35</v>
      </c>
      <c r="C164" s="6">
        <v>46095.352777777778</v>
      </c>
      <c r="D164" s="6">
        <v>46095.354166666664</v>
      </c>
      <c r="E164" s="6">
        <v>46095.375</v>
      </c>
      <c r="F164" s="6">
        <v>46095.434027777781</v>
      </c>
      <c r="G164" s="6">
        <v>46095.444444444445</v>
      </c>
      <c r="H164" s="6">
        <v>46095.450694444444</v>
      </c>
      <c r="I164">
        <v>2.35</v>
      </c>
      <c r="J164" s="6">
        <v>46095.451388888891</v>
      </c>
      <c r="K164" s="7">
        <f t="shared" si="8"/>
        <v>0.26111111111094942</v>
      </c>
      <c r="L164">
        <f t="shared" si="9"/>
        <v>6</v>
      </c>
      <c r="M164">
        <f t="shared" si="10"/>
        <v>16</v>
      </c>
      <c r="N164">
        <f t="shared" si="11"/>
        <v>376</v>
      </c>
    </row>
    <row r="165" spans="2:14" x14ac:dyDescent="0.25">
      <c r="B165" t="s">
        <v>35</v>
      </c>
      <c r="C165" s="6">
        <v>46095.711805555555</v>
      </c>
      <c r="D165" s="6">
        <v>46095.722222222219</v>
      </c>
      <c r="E165" s="6">
        <v>46095.746527777781</v>
      </c>
      <c r="F165" s="6">
        <v>46095.786805555559</v>
      </c>
      <c r="G165" s="6">
        <v>46095.798611111109</v>
      </c>
      <c r="H165" s="6">
        <v>46095.815972222219</v>
      </c>
      <c r="I165">
        <v>2.5</v>
      </c>
      <c r="J165" s="6">
        <v>46095.822916666664</v>
      </c>
      <c r="K165" s="7">
        <f t="shared" si="8"/>
        <v>0.62152777778101154</v>
      </c>
      <c r="L165">
        <f t="shared" si="9"/>
        <v>14</v>
      </c>
      <c r="M165">
        <f t="shared" si="10"/>
        <v>55</v>
      </c>
      <c r="N165">
        <f t="shared" si="11"/>
        <v>895</v>
      </c>
    </row>
    <row r="166" spans="2:14" x14ac:dyDescent="0.25">
      <c r="B166" t="s">
        <v>35</v>
      </c>
      <c r="C166" s="6">
        <v>46096.4375</v>
      </c>
      <c r="D166" s="6">
        <v>46096.451388888891</v>
      </c>
      <c r="E166" s="6">
        <v>46096.46875</v>
      </c>
      <c r="F166" s="6">
        <v>46096.484722222223</v>
      </c>
      <c r="G166" s="6">
        <v>46096.486111111109</v>
      </c>
      <c r="H166" s="6">
        <v>46096.496527777781</v>
      </c>
      <c r="I166">
        <v>1.42</v>
      </c>
      <c r="J166" s="6">
        <v>46096.497916666667</v>
      </c>
      <c r="K166" s="7">
        <f t="shared" si="8"/>
        <v>0.79861111110949423</v>
      </c>
      <c r="L166">
        <f t="shared" si="9"/>
        <v>19</v>
      </c>
      <c r="M166">
        <f t="shared" si="10"/>
        <v>10</v>
      </c>
      <c r="N166">
        <f t="shared" si="11"/>
        <v>1150</v>
      </c>
    </row>
    <row r="167" spans="2:14" x14ac:dyDescent="0.25">
      <c r="B167" t="s">
        <v>35</v>
      </c>
      <c r="C167" s="6">
        <v>46097.295138888891</v>
      </c>
      <c r="D167" s="6">
        <v>46097.319444444445</v>
      </c>
      <c r="E167" s="6">
        <v>46097.34375</v>
      </c>
      <c r="F167" s="6">
        <v>46097.427083333336</v>
      </c>
      <c r="G167" s="6">
        <v>46097.434027777781</v>
      </c>
      <c r="H167" s="6">
        <v>46097.4375</v>
      </c>
      <c r="I167">
        <v>3.42</v>
      </c>
      <c r="J167" s="6">
        <v>46097.444444444445</v>
      </c>
      <c r="K167" s="7">
        <f t="shared" si="8"/>
        <v>2.7777777781011537E-2</v>
      </c>
      <c r="L167">
        <f t="shared" si="9"/>
        <v>0</v>
      </c>
      <c r="M167">
        <f t="shared" si="10"/>
        <v>40</v>
      </c>
      <c r="N167">
        <f t="shared" si="11"/>
        <v>40</v>
      </c>
    </row>
    <row r="168" spans="2:14" x14ac:dyDescent="0.25">
      <c r="B168" t="s">
        <v>35</v>
      </c>
      <c r="C168" s="6">
        <v>46097.465277777781</v>
      </c>
      <c r="D168" s="6">
        <v>46097.472222222219</v>
      </c>
      <c r="E168" s="6">
        <v>46097.493055555555</v>
      </c>
      <c r="F168" s="6">
        <v>46097.53125</v>
      </c>
      <c r="G168" s="6">
        <v>46097.534722222219</v>
      </c>
      <c r="H168" s="6">
        <v>46097.548611111109</v>
      </c>
      <c r="I168">
        <v>2</v>
      </c>
      <c r="J168" s="6">
        <v>46097.549305555556</v>
      </c>
      <c r="K168" s="7">
        <f t="shared" si="8"/>
        <v>4.1666666671517305E-2</v>
      </c>
      <c r="L168">
        <f t="shared" si="9"/>
        <v>1</v>
      </c>
      <c r="M168">
        <f t="shared" si="10"/>
        <v>0</v>
      </c>
      <c r="N168">
        <f t="shared" si="11"/>
        <v>60</v>
      </c>
    </row>
    <row r="169" spans="2:14" x14ac:dyDescent="0.25">
      <c r="B169" t="s">
        <v>35</v>
      </c>
      <c r="C169" s="6">
        <v>46097.590277777781</v>
      </c>
      <c r="D169" s="6">
        <v>46097.600694444445</v>
      </c>
      <c r="E169" s="6">
        <v>46097.614583333336</v>
      </c>
      <c r="F169" s="6">
        <v>46097.69027777778</v>
      </c>
      <c r="G169" s="6">
        <v>46097.694444444445</v>
      </c>
      <c r="H169" s="6">
        <v>46097.697916666664</v>
      </c>
      <c r="I169">
        <v>2.58</v>
      </c>
      <c r="J169" s="6">
        <v>46097.701388888891</v>
      </c>
      <c r="K169" s="7">
        <f t="shared" si="8"/>
        <v>5.2083333335758653E-2</v>
      </c>
      <c r="L169">
        <f t="shared" si="9"/>
        <v>1</v>
      </c>
      <c r="M169">
        <f t="shared" si="10"/>
        <v>15</v>
      </c>
      <c r="N169">
        <f t="shared" si="11"/>
        <v>75</v>
      </c>
    </row>
    <row r="170" spans="2:14" x14ac:dyDescent="0.25">
      <c r="B170" t="s">
        <v>35</v>
      </c>
      <c r="C170" s="6">
        <v>46097.75</v>
      </c>
      <c r="D170" s="6">
        <v>46097.756944444445</v>
      </c>
      <c r="E170" s="6">
        <v>46097.758333333331</v>
      </c>
      <c r="F170" s="6">
        <v>46097.76458333333</v>
      </c>
      <c r="G170" s="6">
        <v>46097.771527777775</v>
      </c>
      <c r="H170" s="6">
        <v>46097.774305555555</v>
      </c>
      <c r="I170">
        <v>0.57999999999999996</v>
      </c>
      <c r="J170" s="6">
        <v>46097.775000000001</v>
      </c>
      <c r="K170" s="7">
        <f t="shared" si="8"/>
        <v>0.15972222222626442</v>
      </c>
      <c r="L170">
        <f t="shared" si="9"/>
        <v>3</v>
      </c>
      <c r="M170">
        <f t="shared" si="10"/>
        <v>50</v>
      </c>
      <c r="N170">
        <f t="shared" si="11"/>
        <v>230</v>
      </c>
    </row>
    <row r="171" spans="2:14" x14ac:dyDescent="0.25">
      <c r="B171" t="s">
        <v>35</v>
      </c>
      <c r="C171" s="6">
        <v>46097.934027777781</v>
      </c>
      <c r="D171" s="6">
        <v>46097.940972222219</v>
      </c>
      <c r="E171" s="6">
        <v>46097.951388888891</v>
      </c>
      <c r="F171" s="6">
        <v>46097.96875</v>
      </c>
      <c r="G171" s="6">
        <v>46097.975694444445</v>
      </c>
      <c r="H171" s="6">
        <v>46097.982638888891</v>
      </c>
      <c r="I171">
        <v>1.17</v>
      </c>
      <c r="J171" s="6">
        <v>46097.98333333333</v>
      </c>
      <c r="K171" s="7">
        <f t="shared" si="8"/>
        <v>0.34722222221898846</v>
      </c>
      <c r="L171">
        <f t="shared" si="9"/>
        <v>8</v>
      </c>
      <c r="M171">
        <f t="shared" si="10"/>
        <v>20</v>
      </c>
      <c r="N171">
        <f t="shared" si="11"/>
        <v>500</v>
      </c>
    </row>
    <row r="172" spans="2:14" hidden="1" x14ac:dyDescent="0.25">
      <c r="B172" t="s">
        <v>35</v>
      </c>
      <c r="C172" s="6">
        <v>46098.329861111109</v>
      </c>
      <c r="D172" s="6">
        <v>46098.333333333336</v>
      </c>
      <c r="E172" s="6">
        <v>46098.364583333336</v>
      </c>
      <c r="F172" s="6">
        <v>46098.440972222219</v>
      </c>
      <c r="G172" s="6">
        <v>46098.451388888891</v>
      </c>
      <c r="H172" s="6">
        <v>46098.46875</v>
      </c>
      <c r="I172">
        <v>3.33</v>
      </c>
      <c r="J172" s="6">
        <v>46098.469444444447</v>
      </c>
      <c r="K172" s="7">
        <f t="shared" si="8"/>
        <v>-5.5555555554747116E-2</v>
      </c>
      <c r="L172" t="e">
        <f t="shared" si="9"/>
        <v>#NUM!</v>
      </c>
      <c r="M172" t="e">
        <f t="shared" si="10"/>
        <v>#NUM!</v>
      </c>
      <c r="N172" t="e">
        <f t="shared" si="11"/>
        <v>#NUM!</v>
      </c>
    </row>
    <row r="173" spans="2:14" x14ac:dyDescent="0.25">
      <c r="B173" t="s">
        <v>35</v>
      </c>
      <c r="C173" s="6">
        <v>46098.413194444445</v>
      </c>
      <c r="D173" s="6">
        <v>46098.416666666664</v>
      </c>
      <c r="E173" s="6">
        <v>46098.423611111109</v>
      </c>
      <c r="F173" s="6">
        <v>46098.430555555555</v>
      </c>
      <c r="G173" s="6">
        <v>46098.4375</v>
      </c>
      <c r="H173" s="6">
        <v>46098.440972222219</v>
      </c>
      <c r="I173">
        <v>0.67</v>
      </c>
      <c r="J173" s="6">
        <v>46098.445138888892</v>
      </c>
      <c r="K173" s="7">
        <f t="shared" si="8"/>
        <v>7.2916666671517305E-2</v>
      </c>
      <c r="L173">
        <f t="shared" si="9"/>
        <v>1</v>
      </c>
      <c r="M173">
        <f t="shared" si="10"/>
        <v>45</v>
      </c>
      <c r="N173">
        <f t="shared" si="11"/>
        <v>105</v>
      </c>
    </row>
    <row r="174" spans="2:14" x14ac:dyDescent="0.25">
      <c r="B174" t="s">
        <v>35</v>
      </c>
      <c r="C174" s="6">
        <v>46098.513888888891</v>
      </c>
      <c r="D174" s="6">
        <v>46098.520833333336</v>
      </c>
      <c r="E174" s="6">
        <v>46098.5625</v>
      </c>
      <c r="F174" s="6">
        <v>46098.715277777781</v>
      </c>
      <c r="G174" s="6">
        <v>46098.722222222219</v>
      </c>
      <c r="H174" s="6">
        <v>46098.725694444445</v>
      </c>
      <c r="I174">
        <v>5.08</v>
      </c>
      <c r="J174" s="6">
        <v>46098.727083333331</v>
      </c>
      <c r="K174" s="7">
        <f t="shared" si="8"/>
        <v>3.8194444445252884E-2</v>
      </c>
      <c r="L174">
        <f t="shared" si="9"/>
        <v>0</v>
      </c>
      <c r="M174">
        <f t="shared" si="10"/>
        <v>55</v>
      </c>
      <c r="N174">
        <f t="shared" si="11"/>
        <v>55</v>
      </c>
    </row>
    <row r="175" spans="2:14" x14ac:dyDescent="0.25">
      <c r="B175" t="s">
        <v>35</v>
      </c>
      <c r="C175" s="6">
        <v>46098.763888888891</v>
      </c>
      <c r="D175" s="6">
        <v>46098.770833333336</v>
      </c>
      <c r="E175" s="6">
        <v>46098.79791666667</v>
      </c>
      <c r="F175" s="6">
        <v>46098.863194444442</v>
      </c>
      <c r="G175" s="6">
        <v>46098.870138888888</v>
      </c>
      <c r="H175" s="6">
        <v>46098.881944444445</v>
      </c>
      <c r="I175">
        <v>2.83</v>
      </c>
      <c r="J175" s="6">
        <v>46098.888888888891</v>
      </c>
      <c r="K175" s="7">
        <f t="shared" si="8"/>
        <v>0.40972222221898846</v>
      </c>
      <c r="L175">
        <f t="shared" si="9"/>
        <v>9</v>
      </c>
      <c r="M175">
        <f t="shared" si="10"/>
        <v>50</v>
      </c>
      <c r="N175">
        <f t="shared" si="11"/>
        <v>590</v>
      </c>
    </row>
    <row r="176" spans="2:14" x14ac:dyDescent="0.25">
      <c r="B176" t="s">
        <v>35</v>
      </c>
      <c r="C176" s="6">
        <v>46099.291666666664</v>
      </c>
      <c r="D176" s="6">
        <v>46099.326388888891</v>
      </c>
      <c r="E176" s="6">
        <v>46099.364583333336</v>
      </c>
      <c r="F176" s="6">
        <v>46099.520833333336</v>
      </c>
      <c r="G176" s="6">
        <v>46099.527777777781</v>
      </c>
      <c r="H176" s="6">
        <v>46099.548611111109</v>
      </c>
      <c r="I176">
        <v>6.17</v>
      </c>
      <c r="J176" s="6">
        <v>46099.549305555556</v>
      </c>
      <c r="K176" s="7">
        <f t="shared" si="8"/>
        <v>3.8194444445252884E-2</v>
      </c>
      <c r="L176">
        <f t="shared" si="9"/>
        <v>0</v>
      </c>
      <c r="M176">
        <f t="shared" si="10"/>
        <v>55</v>
      </c>
      <c r="N176">
        <f t="shared" si="11"/>
        <v>55</v>
      </c>
    </row>
    <row r="177" spans="2:14" hidden="1" x14ac:dyDescent="0.25">
      <c r="B177" t="s">
        <v>35</v>
      </c>
      <c r="C177" s="6">
        <v>46099.586805555555</v>
      </c>
      <c r="D177" s="6">
        <v>46099.59375</v>
      </c>
      <c r="E177" s="6">
        <v>46099.621527777781</v>
      </c>
      <c r="F177" s="6">
        <v>46099.708333333336</v>
      </c>
      <c r="G177" s="6">
        <v>46099.715277777781</v>
      </c>
      <c r="H177" s="6">
        <v>46099.729166666664</v>
      </c>
      <c r="I177">
        <v>3.42</v>
      </c>
      <c r="J177" s="6">
        <v>46099.729861111111</v>
      </c>
      <c r="K177" s="7">
        <f t="shared" si="8"/>
        <v>-4.8611111051286571E-3</v>
      </c>
      <c r="L177" t="e">
        <f t="shared" si="9"/>
        <v>#NUM!</v>
      </c>
      <c r="M177" t="e">
        <f t="shared" si="10"/>
        <v>#NUM!</v>
      </c>
      <c r="N177" t="e">
        <f t="shared" si="11"/>
        <v>#NUM!</v>
      </c>
    </row>
    <row r="178" spans="2:14" x14ac:dyDescent="0.25">
      <c r="B178" t="s">
        <v>35</v>
      </c>
      <c r="C178" s="6">
        <v>46099.724305555559</v>
      </c>
      <c r="D178" s="6">
        <v>46099.725694444445</v>
      </c>
      <c r="E178" s="6">
        <v>46099.729166666664</v>
      </c>
      <c r="F178" s="6">
        <v>46099.802083333336</v>
      </c>
      <c r="G178" s="6">
        <v>46099.809027777781</v>
      </c>
      <c r="H178" s="6">
        <v>46099.8125</v>
      </c>
      <c r="I178">
        <v>2.12</v>
      </c>
      <c r="J178" s="6">
        <v>46099.819444444445</v>
      </c>
      <c r="K178" s="7">
        <f t="shared" si="8"/>
        <v>9.7222222218988463E-2</v>
      </c>
      <c r="L178">
        <f t="shared" si="9"/>
        <v>2</v>
      </c>
      <c r="M178">
        <f t="shared" si="10"/>
        <v>20</v>
      </c>
      <c r="N178">
        <f t="shared" si="11"/>
        <v>140</v>
      </c>
    </row>
    <row r="179" spans="2:14" x14ac:dyDescent="0.25">
      <c r="B179" t="s">
        <v>35</v>
      </c>
      <c r="C179" s="6">
        <v>46099.909722222219</v>
      </c>
      <c r="D179" s="6">
        <v>46099.920138888891</v>
      </c>
      <c r="E179" s="6">
        <v>46099.9375</v>
      </c>
      <c r="F179" s="6">
        <v>46099.979166666664</v>
      </c>
      <c r="G179" s="6">
        <v>46099.986111111109</v>
      </c>
      <c r="H179" s="6">
        <v>46099.987500000003</v>
      </c>
      <c r="I179">
        <v>1.87</v>
      </c>
      <c r="J179" s="6">
        <v>46099.988194444442</v>
      </c>
      <c r="K179" s="7">
        <f t="shared" si="8"/>
        <v>0.3006944444423425</v>
      </c>
      <c r="L179">
        <f t="shared" si="9"/>
        <v>7</v>
      </c>
      <c r="M179">
        <f t="shared" si="10"/>
        <v>13</v>
      </c>
      <c r="N179">
        <f t="shared" si="11"/>
        <v>433</v>
      </c>
    </row>
    <row r="180" spans="2:14" hidden="1" x14ac:dyDescent="0.25">
      <c r="B180" t="s">
        <v>35</v>
      </c>
      <c r="C180" s="6">
        <v>46100.288194444445</v>
      </c>
      <c r="D180" s="6">
        <v>46100.302083333336</v>
      </c>
      <c r="E180" s="6">
        <v>46100.319444444445</v>
      </c>
      <c r="F180" s="6">
        <v>46100.397222222222</v>
      </c>
      <c r="G180" s="6">
        <v>46100.404166666667</v>
      </c>
      <c r="H180" s="6">
        <v>46100.411111111112</v>
      </c>
      <c r="I180">
        <v>2.95</v>
      </c>
      <c r="J180" s="6">
        <v>46100.418055555558</v>
      </c>
      <c r="K180" s="7">
        <f t="shared" si="8"/>
        <v>-9.5138888893416151E-2</v>
      </c>
      <c r="L180" t="e">
        <f t="shared" si="9"/>
        <v>#NUM!</v>
      </c>
      <c r="M180" t="e">
        <f t="shared" si="10"/>
        <v>#NUM!</v>
      </c>
      <c r="N180" t="e">
        <f t="shared" si="11"/>
        <v>#NUM!</v>
      </c>
    </row>
    <row r="181" spans="2:14" x14ac:dyDescent="0.25">
      <c r="B181" t="s">
        <v>35</v>
      </c>
      <c r="C181" s="6">
        <v>46100.315972222219</v>
      </c>
      <c r="D181" s="6">
        <v>46100.322916666664</v>
      </c>
      <c r="E181" s="6">
        <v>46100.354166666664</v>
      </c>
      <c r="F181" s="6">
        <v>46100.458333333336</v>
      </c>
      <c r="G181" s="6">
        <v>46100.46875</v>
      </c>
      <c r="H181" s="6">
        <v>46100.479166666664</v>
      </c>
      <c r="I181">
        <v>3.92</v>
      </c>
      <c r="J181" s="6">
        <v>46100.479861111111</v>
      </c>
      <c r="K181" s="7">
        <f t="shared" si="8"/>
        <v>9.0277777781011537E-2</v>
      </c>
      <c r="L181">
        <f t="shared" si="9"/>
        <v>2</v>
      </c>
      <c r="M181">
        <f t="shared" si="10"/>
        <v>10</v>
      </c>
      <c r="N181">
        <f t="shared" si="11"/>
        <v>130</v>
      </c>
    </row>
    <row r="182" spans="2:14" x14ac:dyDescent="0.25">
      <c r="B182" t="s">
        <v>35</v>
      </c>
      <c r="C182" s="6">
        <v>46100.569444444445</v>
      </c>
      <c r="D182" s="6">
        <v>46100.588194444441</v>
      </c>
      <c r="E182" s="6">
        <v>46100.625</v>
      </c>
      <c r="F182" s="6">
        <v>46100.745833333334</v>
      </c>
      <c r="G182" s="6">
        <v>46100.791666666664</v>
      </c>
      <c r="H182" s="6">
        <v>46100.8125</v>
      </c>
      <c r="I182">
        <v>5.83</v>
      </c>
      <c r="J182" s="6">
        <v>46100.819444444445</v>
      </c>
      <c r="K182" s="7">
        <f t="shared" si="8"/>
        <v>0.51041666666424135</v>
      </c>
      <c r="L182">
        <f t="shared" si="9"/>
        <v>12</v>
      </c>
      <c r="M182">
        <f t="shared" si="10"/>
        <v>15</v>
      </c>
      <c r="N182">
        <f t="shared" si="11"/>
        <v>735</v>
      </c>
    </row>
    <row r="183" spans="2:14" x14ac:dyDescent="0.25">
      <c r="B183" t="s">
        <v>35</v>
      </c>
      <c r="C183" s="6">
        <v>46101.322916666664</v>
      </c>
      <c r="D183" s="6">
        <v>46101.336805555555</v>
      </c>
      <c r="E183" s="6">
        <v>46101.354166666664</v>
      </c>
      <c r="F183" s="6">
        <v>46101.385416666664</v>
      </c>
      <c r="G183" s="6">
        <v>46101.392361111109</v>
      </c>
      <c r="H183" s="6">
        <v>46101.399305555555</v>
      </c>
      <c r="I183">
        <v>1.83</v>
      </c>
      <c r="J183" s="6">
        <v>46101.40625</v>
      </c>
      <c r="K183" s="7">
        <f t="shared" si="8"/>
        <v>3.8194444445252884E-2</v>
      </c>
      <c r="L183">
        <f t="shared" si="9"/>
        <v>0</v>
      </c>
      <c r="M183">
        <f t="shared" si="10"/>
        <v>55</v>
      </c>
      <c r="N183">
        <f t="shared" si="11"/>
        <v>55</v>
      </c>
    </row>
    <row r="184" spans="2:14" x14ac:dyDescent="0.25">
      <c r="B184" t="s">
        <v>35</v>
      </c>
      <c r="C184" s="6">
        <v>46101.4375</v>
      </c>
      <c r="D184" s="6">
        <v>46101.444444444445</v>
      </c>
      <c r="E184" s="6">
        <v>46101.458333333336</v>
      </c>
      <c r="F184" s="6">
        <v>46101.618055555555</v>
      </c>
      <c r="G184" s="6">
        <v>46101.625</v>
      </c>
      <c r="H184" s="6">
        <v>46101.638888888891</v>
      </c>
      <c r="I184">
        <v>4.83</v>
      </c>
      <c r="J184" s="6">
        <v>46101.645833333336</v>
      </c>
      <c r="K184" s="7">
        <f t="shared" si="8"/>
        <v>0.70486111110949423</v>
      </c>
      <c r="L184">
        <f t="shared" si="9"/>
        <v>16</v>
      </c>
      <c r="M184">
        <f t="shared" si="10"/>
        <v>55</v>
      </c>
      <c r="N184">
        <f t="shared" si="11"/>
        <v>1015</v>
      </c>
    </row>
    <row r="185" spans="2:14" x14ac:dyDescent="0.25">
      <c r="B185" t="s">
        <v>35</v>
      </c>
      <c r="C185" s="6">
        <v>46102.34375</v>
      </c>
      <c r="D185" s="6">
        <v>46102.364583333336</v>
      </c>
      <c r="E185" s="6">
        <v>46102.368055555555</v>
      </c>
      <c r="F185" s="6">
        <v>46102.583333333336</v>
      </c>
      <c r="G185" s="6">
        <v>46102.590277777781</v>
      </c>
      <c r="H185" s="6">
        <v>46102.829861111109</v>
      </c>
      <c r="I185">
        <v>11.67</v>
      </c>
      <c r="J185" s="6">
        <v>46102.836805555555</v>
      </c>
      <c r="K185" s="7">
        <f t="shared" si="8"/>
        <v>0.56944444444525288</v>
      </c>
      <c r="L185">
        <f t="shared" si="9"/>
        <v>13</v>
      </c>
      <c r="M185">
        <f t="shared" si="10"/>
        <v>40</v>
      </c>
      <c r="N185">
        <f t="shared" si="11"/>
        <v>820</v>
      </c>
    </row>
    <row r="186" spans="2:14" hidden="1" x14ac:dyDescent="0.25">
      <c r="B186" t="s">
        <v>35</v>
      </c>
      <c r="C186" s="6">
        <v>46103.399305555555</v>
      </c>
      <c r="D186" s="6">
        <v>46103.402777777781</v>
      </c>
      <c r="E186" s="6">
        <v>46103.416666666664</v>
      </c>
      <c r="F186" s="6">
        <v>46103.4375</v>
      </c>
      <c r="G186" s="6">
        <v>46103.444444444445</v>
      </c>
      <c r="H186" s="6">
        <v>46103.447916666664</v>
      </c>
      <c r="I186">
        <v>1.17</v>
      </c>
      <c r="J186" s="6">
        <v>46103.448611111111</v>
      </c>
      <c r="K186" s="7">
        <f t="shared" si="8"/>
        <v>-1.3888888883229811E-2</v>
      </c>
      <c r="L186" t="e">
        <f t="shared" si="9"/>
        <v>#NUM!</v>
      </c>
      <c r="M186" t="e">
        <f t="shared" si="10"/>
        <v>#NUM!</v>
      </c>
      <c r="N186" t="e">
        <f t="shared" si="11"/>
        <v>#NUM!</v>
      </c>
    </row>
    <row r="187" spans="2:14" x14ac:dyDescent="0.25">
      <c r="B187" t="s">
        <v>35</v>
      </c>
      <c r="C187" s="6">
        <v>46103.434027777781</v>
      </c>
      <c r="D187" s="6">
        <v>46103.440972222219</v>
      </c>
      <c r="E187" s="6">
        <v>46103.447916666664</v>
      </c>
      <c r="F187" s="6">
        <v>46103.479166666664</v>
      </c>
      <c r="G187" s="6">
        <v>46103.482638888891</v>
      </c>
      <c r="H187" s="6">
        <v>46103.493055555555</v>
      </c>
      <c r="I187">
        <v>1.42</v>
      </c>
      <c r="J187" s="6">
        <v>46103.5</v>
      </c>
      <c r="K187" s="7">
        <f t="shared" si="8"/>
        <v>9.0277777781011537E-2</v>
      </c>
      <c r="L187">
        <f t="shared" si="9"/>
        <v>2</v>
      </c>
      <c r="M187">
        <f t="shared" si="10"/>
        <v>10</v>
      </c>
      <c r="N187">
        <f t="shared" si="11"/>
        <v>130</v>
      </c>
    </row>
    <row r="188" spans="2:14" x14ac:dyDescent="0.25">
      <c r="B188" t="s">
        <v>35</v>
      </c>
      <c r="C188" s="6">
        <v>46103.583333333336</v>
      </c>
      <c r="D188" s="6">
        <v>46103.590277777781</v>
      </c>
      <c r="E188" s="6">
        <v>46103.600694444445</v>
      </c>
      <c r="F188" s="6">
        <v>46103.625</v>
      </c>
      <c r="G188" s="6">
        <v>46103.631944444445</v>
      </c>
      <c r="H188" s="6">
        <v>46103.635416666664</v>
      </c>
      <c r="I188">
        <v>1.25</v>
      </c>
      <c r="J188" s="6">
        <v>46103.642361111109</v>
      </c>
      <c r="K188" s="7">
        <f t="shared" si="8"/>
        <v>0.10069444444525288</v>
      </c>
      <c r="L188">
        <f t="shared" si="9"/>
        <v>2</v>
      </c>
      <c r="M188">
        <f t="shared" si="10"/>
        <v>25</v>
      </c>
      <c r="N188">
        <f t="shared" si="11"/>
        <v>145</v>
      </c>
    </row>
    <row r="189" spans="2:14" x14ac:dyDescent="0.25">
      <c r="B189" t="s">
        <v>35</v>
      </c>
      <c r="C189" s="6">
        <v>46103.736111111109</v>
      </c>
      <c r="D189" s="6">
        <v>46103.746527777781</v>
      </c>
      <c r="E189" s="6">
        <v>46103.75</v>
      </c>
      <c r="F189" s="6">
        <v>46103.770833333336</v>
      </c>
      <c r="G189" s="6">
        <v>46103.774305555555</v>
      </c>
      <c r="H189" s="6">
        <v>46103.777777777781</v>
      </c>
      <c r="I189">
        <v>1</v>
      </c>
      <c r="J189" s="6">
        <v>46103.78125</v>
      </c>
      <c r="K189" s="7">
        <f t="shared" si="8"/>
        <v>0.19791666666424135</v>
      </c>
      <c r="L189">
        <f t="shared" si="9"/>
        <v>4</v>
      </c>
      <c r="M189">
        <f t="shared" si="10"/>
        <v>45</v>
      </c>
      <c r="N189">
        <f t="shared" si="11"/>
        <v>285</v>
      </c>
    </row>
    <row r="190" spans="2:14" x14ac:dyDescent="0.25">
      <c r="B190" t="s">
        <v>35</v>
      </c>
      <c r="C190" s="6">
        <v>46103.975694444445</v>
      </c>
      <c r="D190" s="6">
        <v>46103.982638888891</v>
      </c>
      <c r="E190" s="6">
        <v>46103.989583333336</v>
      </c>
      <c r="F190" s="6">
        <v>46104.027777777781</v>
      </c>
      <c r="G190" s="6">
        <v>46104.034722222219</v>
      </c>
      <c r="H190" s="6">
        <v>46104.038194444445</v>
      </c>
      <c r="I190">
        <v>1.5</v>
      </c>
      <c r="J190" s="6">
        <v>46104.045138888891</v>
      </c>
      <c r="K190" s="7">
        <f t="shared" si="8"/>
        <v>0.25347222221898846</v>
      </c>
      <c r="L190">
        <f t="shared" si="9"/>
        <v>6</v>
      </c>
      <c r="M190">
        <f t="shared" si="10"/>
        <v>5</v>
      </c>
      <c r="N190">
        <f t="shared" si="11"/>
        <v>365</v>
      </c>
    </row>
    <row r="191" spans="2:14" hidden="1" x14ac:dyDescent="0.25">
      <c r="B191" t="s">
        <v>35</v>
      </c>
      <c r="C191" s="6">
        <v>46104.291666666664</v>
      </c>
      <c r="D191" s="6">
        <v>46104.315972222219</v>
      </c>
      <c r="E191" s="6">
        <v>46104.347222222219</v>
      </c>
      <c r="F191" s="6">
        <v>46104.4375</v>
      </c>
      <c r="G191" s="6">
        <v>46104.444444444445</v>
      </c>
      <c r="H191" s="6">
        <v>46104.447916666664</v>
      </c>
      <c r="I191">
        <v>3.75</v>
      </c>
      <c r="J191" s="6">
        <v>46104.454861111109</v>
      </c>
      <c r="K191" s="7">
        <f t="shared" si="8"/>
        <v>-0.11805555555474712</v>
      </c>
      <c r="L191" t="e">
        <f t="shared" si="9"/>
        <v>#NUM!</v>
      </c>
      <c r="M191" t="e">
        <f t="shared" si="10"/>
        <v>#NUM!</v>
      </c>
      <c r="N191" t="e">
        <f t="shared" si="11"/>
        <v>#NUM!</v>
      </c>
    </row>
    <row r="192" spans="2:14" x14ac:dyDescent="0.25">
      <c r="B192" t="s">
        <v>35</v>
      </c>
      <c r="C192" s="6">
        <v>46104.329861111109</v>
      </c>
      <c r="D192" s="6">
        <v>46104.340277777781</v>
      </c>
      <c r="E192" s="6">
        <v>46104.436111111114</v>
      </c>
      <c r="F192" s="6">
        <v>46104.436805555553</v>
      </c>
      <c r="G192" s="6">
        <v>46104.443749999999</v>
      </c>
      <c r="H192" s="6">
        <v>46104.625</v>
      </c>
      <c r="I192">
        <v>7.08</v>
      </c>
      <c r="J192" s="6">
        <v>46104.631944444445</v>
      </c>
      <c r="K192" s="7">
        <f t="shared" si="8"/>
        <v>0.68055555555474712</v>
      </c>
      <c r="L192">
        <f t="shared" si="9"/>
        <v>16</v>
      </c>
      <c r="M192">
        <f t="shared" si="10"/>
        <v>20</v>
      </c>
      <c r="N192">
        <f t="shared" si="11"/>
        <v>980</v>
      </c>
    </row>
    <row r="193" spans="2:14" x14ac:dyDescent="0.25">
      <c r="B193" t="s">
        <v>35</v>
      </c>
      <c r="C193" s="6">
        <v>46105.305555555555</v>
      </c>
      <c r="D193" s="6">
        <v>46105.315972222219</v>
      </c>
      <c r="E193" s="6">
        <v>46105.333333333336</v>
      </c>
      <c r="F193" s="6">
        <v>46105.357638888891</v>
      </c>
      <c r="G193" s="6">
        <v>46105.364583333336</v>
      </c>
      <c r="H193" s="6">
        <v>46105.375</v>
      </c>
      <c r="I193">
        <v>1.67</v>
      </c>
      <c r="J193" s="6">
        <v>46105.381944444445</v>
      </c>
      <c r="K193" s="7">
        <f t="shared" si="8"/>
        <v>7.6388888890505768E-2</v>
      </c>
      <c r="L193">
        <f t="shared" si="9"/>
        <v>1</v>
      </c>
      <c r="M193">
        <f t="shared" si="10"/>
        <v>50</v>
      </c>
      <c r="N193">
        <f t="shared" si="11"/>
        <v>110</v>
      </c>
    </row>
    <row r="194" spans="2:14" x14ac:dyDescent="0.25">
      <c r="B194" t="s">
        <v>35</v>
      </c>
      <c r="C194" s="6">
        <v>46105.451388888891</v>
      </c>
      <c r="D194" s="6">
        <v>46105.454861111109</v>
      </c>
      <c r="E194" s="6">
        <v>46105.475694444445</v>
      </c>
      <c r="F194" s="6">
        <v>46105.548611111109</v>
      </c>
      <c r="G194" s="6">
        <v>46105.552083333336</v>
      </c>
      <c r="H194" s="6">
        <v>46105.555555555555</v>
      </c>
      <c r="I194">
        <v>2.5</v>
      </c>
      <c r="J194" s="6">
        <v>46105.5625</v>
      </c>
      <c r="K194" s="7">
        <f t="shared" si="8"/>
        <v>9.7222222226264421E-2</v>
      </c>
      <c r="L194">
        <f t="shared" si="9"/>
        <v>2</v>
      </c>
      <c r="M194">
        <f t="shared" si="10"/>
        <v>20</v>
      </c>
      <c r="N194">
        <f t="shared" si="11"/>
        <v>140</v>
      </c>
    </row>
    <row r="195" spans="2:14" x14ac:dyDescent="0.25">
      <c r="B195" t="s">
        <v>35</v>
      </c>
      <c r="C195" s="6">
        <v>46105.652777777781</v>
      </c>
      <c r="D195" s="6">
        <v>46105.659722222219</v>
      </c>
      <c r="E195" s="6">
        <v>46105.680555555555</v>
      </c>
      <c r="F195" s="6">
        <v>46105.770833333336</v>
      </c>
      <c r="G195" s="6">
        <v>46105.774305555555</v>
      </c>
      <c r="H195" s="6">
        <v>46105.777777777781</v>
      </c>
      <c r="I195">
        <v>3</v>
      </c>
      <c r="J195" s="6">
        <v>46105.77847222222</v>
      </c>
      <c r="K195" s="7">
        <f t="shared" si="8"/>
        <v>0.38888888888322981</v>
      </c>
      <c r="L195">
        <f t="shared" si="9"/>
        <v>9</v>
      </c>
      <c r="M195">
        <f t="shared" si="10"/>
        <v>20</v>
      </c>
      <c r="N195">
        <f t="shared" si="11"/>
        <v>560</v>
      </c>
    </row>
    <row r="196" spans="2:14" x14ac:dyDescent="0.25">
      <c r="B196" t="s">
        <v>35</v>
      </c>
      <c r="C196" s="6">
        <v>46106.166666666664</v>
      </c>
      <c r="D196" s="6">
        <v>46106.173611111109</v>
      </c>
      <c r="E196" s="6">
        <v>46106.180555555555</v>
      </c>
      <c r="F196" s="6">
        <v>46106.243055555555</v>
      </c>
      <c r="G196" s="6">
        <v>46106.25</v>
      </c>
      <c r="H196" s="6">
        <v>46106.256944444445</v>
      </c>
      <c r="I196">
        <v>2.17</v>
      </c>
      <c r="J196" s="6">
        <v>46106.263888888891</v>
      </c>
      <c r="K196" s="7">
        <f t="shared" ref="K196:K211" si="12">C197-H196</f>
        <v>3.4722222218988463E-2</v>
      </c>
      <c r="L196">
        <f t="shared" ref="L196:L211" si="13">HOUR(K196)</f>
        <v>0</v>
      </c>
      <c r="M196">
        <f t="shared" ref="M196:M211" si="14">MINUTE(K196)</f>
        <v>50</v>
      </c>
      <c r="N196">
        <f t="shared" ref="N196:N211" si="15">L196*60+M196</f>
        <v>50</v>
      </c>
    </row>
    <row r="197" spans="2:14" x14ac:dyDescent="0.25">
      <c r="B197" t="s">
        <v>35</v>
      </c>
      <c r="C197" s="6">
        <v>46106.291666666664</v>
      </c>
      <c r="D197" s="6">
        <v>46106.322916666664</v>
      </c>
      <c r="E197" s="6">
        <v>46106.375</v>
      </c>
      <c r="F197" s="6">
        <v>46106.451388888891</v>
      </c>
      <c r="G197" s="6">
        <v>46106.465277777781</v>
      </c>
      <c r="H197" s="6">
        <v>46106.46875</v>
      </c>
      <c r="I197">
        <v>4.25</v>
      </c>
      <c r="J197" s="6">
        <v>46106.469444444447</v>
      </c>
      <c r="K197" s="7">
        <f t="shared" si="12"/>
        <v>2.0833333335758653E-2</v>
      </c>
      <c r="L197">
        <f t="shared" si="13"/>
        <v>0</v>
      </c>
      <c r="M197">
        <f t="shared" si="14"/>
        <v>30</v>
      </c>
      <c r="N197">
        <f t="shared" si="15"/>
        <v>30</v>
      </c>
    </row>
    <row r="198" spans="2:14" x14ac:dyDescent="0.25">
      <c r="B198" t="s">
        <v>35</v>
      </c>
      <c r="C198" s="6">
        <v>46106.489583333336</v>
      </c>
      <c r="D198" s="6">
        <v>46106.506944444445</v>
      </c>
      <c r="E198" s="6">
        <v>46106.53125</v>
      </c>
      <c r="F198" s="6">
        <v>46106.552083333336</v>
      </c>
      <c r="G198" s="6">
        <v>46106.559027777781</v>
      </c>
      <c r="H198" s="6">
        <v>46106.569444444445</v>
      </c>
      <c r="I198">
        <v>1.92</v>
      </c>
      <c r="J198" s="6">
        <v>46106.572916666664</v>
      </c>
      <c r="K198" s="7">
        <f t="shared" si="12"/>
        <v>0.16666666666424135</v>
      </c>
      <c r="L198">
        <f t="shared" si="13"/>
        <v>4</v>
      </c>
      <c r="M198">
        <f t="shared" si="14"/>
        <v>0</v>
      </c>
      <c r="N198">
        <f t="shared" si="15"/>
        <v>240</v>
      </c>
    </row>
    <row r="199" spans="2:14" x14ac:dyDescent="0.25">
      <c r="B199" t="s">
        <v>35</v>
      </c>
      <c r="C199" s="6">
        <v>46106.736111111109</v>
      </c>
      <c r="D199" s="6">
        <v>46106.75</v>
      </c>
      <c r="E199" s="6">
        <v>46106.763888888891</v>
      </c>
      <c r="F199" s="6">
        <v>46106.777777777781</v>
      </c>
      <c r="G199" s="6">
        <v>46106.784722222219</v>
      </c>
      <c r="H199" s="6">
        <v>46106.791666666664</v>
      </c>
      <c r="I199">
        <v>1.33</v>
      </c>
      <c r="J199" s="6">
        <v>46106.792361111111</v>
      </c>
      <c r="K199" s="7">
        <f t="shared" si="12"/>
        <v>0.49652777778101154</v>
      </c>
      <c r="L199">
        <f t="shared" si="13"/>
        <v>11</v>
      </c>
      <c r="M199">
        <f t="shared" si="14"/>
        <v>55</v>
      </c>
      <c r="N199">
        <f t="shared" si="15"/>
        <v>715</v>
      </c>
    </row>
    <row r="200" spans="2:14" hidden="1" x14ac:dyDescent="0.25">
      <c r="B200" t="s">
        <v>35</v>
      </c>
      <c r="C200" s="6">
        <v>46107.288194444445</v>
      </c>
      <c r="D200" s="6">
        <v>46107.295138888891</v>
      </c>
      <c r="E200" s="6">
        <v>46107.298611111109</v>
      </c>
      <c r="F200" s="6">
        <v>46107.305555555555</v>
      </c>
      <c r="G200" s="6">
        <v>46107.306250000001</v>
      </c>
      <c r="H200" s="6">
        <v>46107.3125</v>
      </c>
      <c r="I200">
        <v>0.57999999999999996</v>
      </c>
      <c r="J200" s="6">
        <v>46107.313194444447</v>
      </c>
      <c r="K200" s="7">
        <f t="shared" si="12"/>
        <v>-2.0833333335758653E-2</v>
      </c>
      <c r="L200" t="e">
        <f t="shared" si="13"/>
        <v>#NUM!</v>
      </c>
      <c r="M200" t="e">
        <f t="shared" si="14"/>
        <v>#NUM!</v>
      </c>
      <c r="N200" t="e">
        <f t="shared" si="15"/>
        <v>#NUM!</v>
      </c>
    </row>
    <row r="201" spans="2:14" x14ac:dyDescent="0.25">
      <c r="B201" t="s">
        <v>35</v>
      </c>
      <c r="C201" s="6">
        <v>46107.291666666664</v>
      </c>
      <c r="D201" s="6">
        <v>46107.302083333336</v>
      </c>
      <c r="E201" s="6">
        <v>46107.347222222219</v>
      </c>
      <c r="F201" s="6">
        <v>46107.555555555555</v>
      </c>
      <c r="G201" s="6">
        <v>46107.569444444445</v>
      </c>
      <c r="H201" s="6">
        <v>46107.576388888891</v>
      </c>
      <c r="I201">
        <v>6.83</v>
      </c>
      <c r="J201" s="6">
        <v>46107.583333333336</v>
      </c>
      <c r="K201" s="7">
        <f t="shared" si="12"/>
        <v>4.5138888890505768E-2</v>
      </c>
      <c r="L201">
        <f t="shared" si="13"/>
        <v>1</v>
      </c>
      <c r="M201">
        <f t="shared" si="14"/>
        <v>5</v>
      </c>
      <c r="N201">
        <f t="shared" si="15"/>
        <v>65</v>
      </c>
    </row>
    <row r="202" spans="2:14" x14ac:dyDescent="0.25">
      <c r="B202" t="s">
        <v>35</v>
      </c>
      <c r="C202" s="6">
        <v>46107.621527777781</v>
      </c>
      <c r="D202" s="6">
        <v>46107.638888888891</v>
      </c>
      <c r="E202" s="6">
        <v>46107.642361111109</v>
      </c>
      <c r="F202" s="6">
        <v>46107.659722222219</v>
      </c>
      <c r="G202" s="6">
        <v>46107.666666666664</v>
      </c>
      <c r="H202" s="6">
        <v>46107.684027777781</v>
      </c>
      <c r="I202">
        <v>1.5</v>
      </c>
      <c r="J202" s="6">
        <v>46107.68472222222</v>
      </c>
      <c r="K202" s="7">
        <f t="shared" si="12"/>
        <v>5.2083333328482695E-2</v>
      </c>
      <c r="L202">
        <f t="shared" si="13"/>
        <v>1</v>
      </c>
      <c r="M202">
        <f t="shared" si="14"/>
        <v>15</v>
      </c>
      <c r="N202">
        <f t="shared" si="15"/>
        <v>75</v>
      </c>
    </row>
    <row r="203" spans="2:14" x14ac:dyDescent="0.25">
      <c r="B203" t="s">
        <v>35</v>
      </c>
      <c r="C203" s="6">
        <v>46107.736111111109</v>
      </c>
      <c r="D203" s="6">
        <v>46107.743055555555</v>
      </c>
      <c r="E203" s="6">
        <v>46107.756944444445</v>
      </c>
      <c r="F203" s="6">
        <v>46107.802083333336</v>
      </c>
      <c r="G203" s="6">
        <v>46107.805555555555</v>
      </c>
      <c r="H203" s="6">
        <v>46107.806250000001</v>
      </c>
      <c r="I203">
        <v>1.68</v>
      </c>
      <c r="J203" s="6">
        <v>46107.806944444441</v>
      </c>
      <c r="K203" s="7">
        <f t="shared" si="12"/>
        <v>2.0138888889050577E-2</v>
      </c>
      <c r="L203">
        <f t="shared" si="13"/>
        <v>0</v>
      </c>
      <c r="M203">
        <f t="shared" si="14"/>
        <v>29</v>
      </c>
      <c r="N203">
        <f t="shared" si="15"/>
        <v>29</v>
      </c>
    </row>
    <row r="204" spans="2:14" x14ac:dyDescent="0.25">
      <c r="B204" t="s">
        <v>35</v>
      </c>
      <c r="C204" s="6">
        <v>46107.826388888891</v>
      </c>
      <c r="D204" s="6">
        <v>46107.833333333336</v>
      </c>
      <c r="E204" s="6">
        <v>46107.847222222219</v>
      </c>
      <c r="F204" s="6">
        <v>46107.895833333336</v>
      </c>
      <c r="G204" s="6">
        <v>46107.902777777781</v>
      </c>
      <c r="H204" s="6">
        <v>46107.916666666664</v>
      </c>
      <c r="I204">
        <v>2.17</v>
      </c>
      <c r="J204" s="6">
        <v>46107.923611111109</v>
      </c>
      <c r="K204" s="7">
        <f t="shared" si="12"/>
        <v>0.375</v>
      </c>
      <c r="L204">
        <f t="shared" si="13"/>
        <v>9</v>
      </c>
      <c r="M204">
        <f t="shared" si="14"/>
        <v>0</v>
      </c>
      <c r="N204">
        <f t="shared" si="15"/>
        <v>540</v>
      </c>
    </row>
    <row r="205" spans="2:14" x14ac:dyDescent="0.25">
      <c r="B205" t="s">
        <v>35</v>
      </c>
      <c r="C205" s="6">
        <v>46108.291666666664</v>
      </c>
      <c r="D205" s="6">
        <v>46108.3125</v>
      </c>
      <c r="E205" s="6">
        <v>46108.368055555555</v>
      </c>
      <c r="F205" s="6">
        <v>46108.506944444445</v>
      </c>
      <c r="G205" s="6">
        <v>46108.513888888891</v>
      </c>
      <c r="H205" s="6">
        <v>46108.625</v>
      </c>
      <c r="I205">
        <v>8</v>
      </c>
      <c r="J205" s="6">
        <v>46108.627083333333</v>
      </c>
      <c r="K205" s="7">
        <f t="shared" si="12"/>
        <v>0.72916666666424135</v>
      </c>
      <c r="L205">
        <f t="shared" si="13"/>
        <v>17</v>
      </c>
      <c r="M205">
        <f t="shared" si="14"/>
        <v>30</v>
      </c>
      <c r="N205">
        <f t="shared" si="15"/>
        <v>1050</v>
      </c>
    </row>
    <row r="206" spans="2:14" x14ac:dyDescent="0.25">
      <c r="B206" t="s">
        <v>35</v>
      </c>
      <c r="C206" s="6">
        <v>46109.354166666664</v>
      </c>
      <c r="D206" s="6">
        <v>46109.364583333336</v>
      </c>
      <c r="E206" s="6">
        <v>46109.385416666664</v>
      </c>
      <c r="F206" s="6">
        <v>46109.413194444445</v>
      </c>
      <c r="G206" s="6">
        <v>46109.416666666664</v>
      </c>
      <c r="H206" s="6">
        <v>46109.420138888891</v>
      </c>
      <c r="I206">
        <v>1.58</v>
      </c>
      <c r="J206" s="6">
        <v>46109.427083333336</v>
      </c>
      <c r="K206" s="7">
        <f t="shared" si="12"/>
        <v>0.23611111110949423</v>
      </c>
      <c r="L206">
        <f t="shared" si="13"/>
        <v>5</v>
      </c>
      <c r="M206">
        <f t="shared" si="14"/>
        <v>40</v>
      </c>
      <c r="N206">
        <f t="shared" si="15"/>
        <v>340</v>
      </c>
    </row>
    <row r="207" spans="2:14" x14ac:dyDescent="0.25">
      <c r="B207" t="s">
        <v>35</v>
      </c>
      <c r="C207" s="6">
        <v>46109.65625</v>
      </c>
      <c r="D207" s="6">
        <v>46109.656944444447</v>
      </c>
      <c r="E207" s="6">
        <v>46109.663194444445</v>
      </c>
      <c r="F207" s="6">
        <v>46109.736805555556</v>
      </c>
      <c r="G207" s="6">
        <v>46109.739583333336</v>
      </c>
      <c r="H207" s="6">
        <v>46109.740277777775</v>
      </c>
      <c r="I207">
        <v>2.02</v>
      </c>
      <c r="J207" s="6">
        <v>46109.740972222222</v>
      </c>
      <c r="K207" s="7">
        <f t="shared" si="12"/>
        <v>0.38472222222480923</v>
      </c>
      <c r="L207">
        <f t="shared" si="13"/>
        <v>9</v>
      </c>
      <c r="M207">
        <f t="shared" si="14"/>
        <v>14</v>
      </c>
      <c r="N207">
        <f t="shared" si="15"/>
        <v>554</v>
      </c>
    </row>
    <row r="208" spans="2:14" x14ac:dyDescent="0.25">
      <c r="B208" t="s">
        <v>35</v>
      </c>
      <c r="C208" s="6">
        <v>46110.125</v>
      </c>
      <c r="D208" s="6">
        <v>46110.131944444445</v>
      </c>
      <c r="E208" s="6">
        <v>46110.138888888891</v>
      </c>
      <c r="F208" s="6">
        <v>46110.152777777781</v>
      </c>
      <c r="G208" s="6">
        <v>46110.159722222219</v>
      </c>
      <c r="H208" s="6">
        <v>46110.166666666664</v>
      </c>
      <c r="I208">
        <v>1</v>
      </c>
      <c r="J208" s="6">
        <v>46110.173611111109</v>
      </c>
      <c r="K208" s="7">
        <f t="shared" si="12"/>
        <v>1.125</v>
      </c>
      <c r="L208">
        <f t="shared" si="13"/>
        <v>3</v>
      </c>
      <c r="M208">
        <f t="shared" si="14"/>
        <v>0</v>
      </c>
      <c r="N208">
        <f t="shared" si="15"/>
        <v>180</v>
      </c>
    </row>
    <row r="209" spans="2:14" x14ac:dyDescent="0.25">
      <c r="B209" t="s">
        <v>35</v>
      </c>
      <c r="C209" s="6">
        <v>46111.291666666664</v>
      </c>
      <c r="D209" s="6">
        <v>46111.326388888891</v>
      </c>
      <c r="E209" s="6">
        <v>46111.34375</v>
      </c>
      <c r="F209" s="6">
        <v>46111.368055555555</v>
      </c>
      <c r="G209" s="6">
        <v>46111.375</v>
      </c>
      <c r="H209" s="6">
        <v>46111.381944444445</v>
      </c>
      <c r="I209">
        <v>2.17</v>
      </c>
      <c r="J209" s="6">
        <v>46111.382638888892</v>
      </c>
      <c r="K209" s="7">
        <f t="shared" si="12"/>
        <v>3.125E-2</v>
      </c>
      <c r="L209">
        <f t="shared" si="13"/>
        <v>0</v>
      </c>
      <c r="M209">
        <f t="shared" si="14"/>
        <v>45</v>
      </c>
      <c r="N209">
        <f t="shared" si="15"/>
        <v>45</v>
      </c>
    </row>
    <row r="210" spans="2:14" x14ac:dyDescent="0.25">
      <c r="B210" t="s">
        <v>35</v>
      </c>
      <c r="C210" s="6">
        <v>46111.413194444445</v>
      </c>
      <c r="D210" s="6">
        <v>46111.416666666664</v>
      </c>
      <c r="E210" s="6">
        <v>46111.454861111109</v>
      </c>
      <c r="F210" s="6">
        <v>46111.631944444445</v>
      </c>
      <c r="G210" s="6">
        <v>46111.663194444445</v>
      </c>
      <c r="H210" s="6">
        <v>46111.746527777781</v>
      </c>
      <c r="I210">
        <v>8</v>
      </c>
      <c r="J210" s="6">
        <v>46111.74722222222</v>
      </c>
      <c r="K210" s="7">
        <f t="shared" si="12"/>
        <v>2.4305555554747116E-2</v>
      </c>
      <c r="L210">
        <f t="shared" si="13"/>
        <v>0</v>
      </c>
      <c r="M210">
        <f t="shared" si="14"/>
        <v>35</v>
      </c>
      <c r="N210">
        <f t="shared" si="15"/>
        <v>35</v>
      </c>
    </row>
    <row r="211" spans="2:14" hidden="1" x14ac:dyDescent="0.25">
      <c r="B211" t="s">
        <v>35</v>
      </c>
      <c r="C211" s="6">
        <v>46111.770833333336</v>
      </c>
      <c r="D211" s="6">
        <v>46111.774305555555</v>
      </c>
      <c r="E211" s="6">
        <v>46111.784722222219</v>
      </c>
      <c r="F211" s="6">
        <v>46111.804861111108</v>
      </c>
      <c r="G211" s="6">
        <v>46111.833333333336</v>
      </c>
      <c r="H211" s="6">
        <v>46112.541666666664</v>
      </c>
      <c r="I211">
        <v>18.5</v>
      </c>
      <c r="J211" s="6">
        <v>46112.548611111109</v>
      </c>
      <c r="K211" s="7">
        <f t="shared" si="12"/>
        <v>-46112.541666666664</v>
      </c>
      <c r="L211" t="e">
        <f t="shared" si="13"/>
        <v>#NUM!</v>
      </c>
      <c r="M211" t="e">
        <f t="shared" si="14"/>
        <v>#NUM!</v>
      </c>
      <c r="N211" t="e">
        <f t="shared" si="15"/>
        <v>#NUM!</v>
      </c>
    </row>
  </sheetData>
  <autoFilter ref="B2:N211" xr:uid="{3F92ECFF-DD0F-47C4-AFCA-2E558BA65BCF}">
    <filterColumn colId="12">
      <customFilters and="1">
        <customFilter operator="notEqual" val="#NUM!"/>
        <customFilter operator="greaterThan" val="10"/>
      </custom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EC2C-4027-4760-8DB9-05EC368170DC}">
  <sheetPr filterMode="1"/>
  <dimension ref="B2:N197"/>
  <sheetViews>
    <sheetView workbookViewId="0">
      <selection activeCell="P2" sqref="P2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20.28515625" bestFit="1" customWidth="1"/>
    <col min="5" max="5" width="19.28515625" bestFit="1" customWidth="1"/>
    <col min="6" max="6" width="16.5703125" bestFit="1" customWidth="1"/>
    <col min="7" max="7" width="17.7109375" bestFit="1" customWidth="1"/>
    <col min="8" max="8" width="17" bestFit="1" customWidth="1"/>
    <col min="9" max="9" width="6" customWidth="1"/>
    <col min="10" max="10" width="18.28515625" bestFit="1" customWidth="1"/>
    <col min="15" max="15" width="3.28515625" customWidth="1"/>
  </cols>
  <sheetData>
    <row r="2" spans="2:14" x14ac:dyDescent="0.25">
      <c r="B2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t="s">
        <v>27</v>
      </c>
      <c r="J2" s="6" t="s">
        <v>28</v>
      </c>
      <c r="K2" s="8" t="s">
        <v>55</v>
      </c>
      <c r="L2" s="8" t="s">
        <v>39</v>
      </c>
      <c r="M2" s="8" t="s">
        <v>38</v>
      </c>
      <c r="N2" s="12" t="s">
        <v>56</v>
      </c>
    </row>
    <row r="3" spans="2:14" hidden="1" x14ac:dyDescent="0.25">
      <c r="B3" t="s">
        <v>34</v>
      </c>
      <c r="C3" s="6">
        <v>46023.291666666664</v>
      </c>
      <c r="D3" s="6">
        <v>46023.333333333336</v>
      </c>
      <c r="E3" s="6">
        <v>46023.375</v>
      </c>
      <c r="F3" s="6">
        <v>46023.513888888891</v>
      </c>
      <c r="G3" s="6">
        <v>46023.520833333336</v>
      </c>
      <c r="H3" s="6">
        <v>46023.541666666664</v>
      </c>
      <c r="I3">
        <v>6</v>
      </c>
      <c r="J3" s="6">
        <v>46023.548611111109</v>
      </c>
      <c r="K3" s="7">
        <f>C4-H3</f>
        <v>-0.18055555555474712</v>
      </c>
      <c r="L3" t="e">
        <f>HOUR(K3)</f>
        <v>#NUM!</v>
      </c>
      <c r="M3" t="e">
        <f>MINUTE(K3)</f>
        <v>#NUM!</v>
      </c>
      <c r="N3" t="e">
        <f>L3*60+M3</f>
        <v>#NUM!</v>
      </c>
    </row>
    <row r="4" spans="2:14" x14ac:dyDescent="0.25">
      <c r="B4" t="s">
        <v>34</v>
      </c>
      <c r="C4" s="6">
        <v>46023.361111111109</v>
      </c>
      <c r="D4" s="6">
        <v>46023.375</v>
      </c>
      <c r="E4" s="6">
        <v>46023.416666666664</v>
      </c>
      <c r="F4" s="6">
        <v>46023.461805555555</v>
      </c>
      <c r="G4" s="6">
        <v>46023.46875</v>
      </c>
      <c r="H4" s="6">
        <v>46023.5</v>
      </c>
      <c r="I4">
        <v>3.33</v>
      </c>
      <c r="J4" s="6">
        <v>46023.506944444445</v>
      </c>
      <c r="K4" s="7">
        <f t="shared" ref="K4:K67" si="0">C5-H4</f>
        <v>9.0277777781011537E-2</v>
      </c>
      <c r="L4">
        <f t="shared" ref="L4:L67" si="1">HOUR(K4)</f>
        <v>2</v>
      </c>
      <c r="M4">
        <f t="shared" ref="M4:M67" si="2">MINUTE(K4)</f>
        <v>10</v>
      </c>
      <c r="N4">
        <f t="shared" ref="N4:N67" si="3">L4*60+M4</f>
        <v>130</v>
      </c>
    </row>
    <row r="5" spans="2:14" x14ac:dyDescent="0.25">
      <c r="B5" t="s">
        <v>34</v>
      </c>
      <c r="C5" s="6">
        <v>46023.590277777781</v>
      </c>
      <c r="D5" s="6">
        <v>46023.611111111109</v>
      </c>
      <c r="E5" s="6">
        <v>46023.625</v>
      </c>
      <c r="F5" s="6">
        <v>46023.694444444445</v>
      </c>
      <c r="G5" s="6">
        <v>46023.701388888891</v>
      </c>
      <c r="H5" s="6">
        <v>46023.729166666664</v>
      </c>
      <c r="I5">
        <v>3.33</v>
      </c>
      <c r="J5" s="6">
        <v>46023.736111111109</v>
      </c>
      <c r="K5" s="7">
        <f t="shared" si="0"/>
        <v>0.29513888889050577</v>
      </c>
      <c r="L5">
        <f t="shared" si="1"/>
        <v>7</v>
      </c>
      <c r="M5">
        <f t="shared" si="2"/>
        <v>5</v>
      </c>
      <c r="N5">
        <f t="shared" si="3"/>
        <v>425</v>
      </c>
    </row>
    <row r="6" spans="2:14" x14ac:dyDescent="0.25">
      <c r="B6" t="s">
        <v>34</v>
      </c>
      <c r="C6" s="6">
        <v>46024.024305555555</v>
      </c>
      <c r="D6" s="6">
        <v>46024.034722222219</v>
      </c>
      <c r="E6" s="6">
        <v>46024.041666666664</v>
      </c>
      <c r="F6" s="6">
        <v>46024.070833333331</v>
      </c>
      <c r="G6" s="6">
        <v>46024.072916666664</v>
      </c>
      <c r="H6" s="6">
        <v>46024.073611111111</v>
      </c>
      <c r="I6">
        <v>1.18</v>
      </c>
      <c r="J6" s="6">
        <v>46024.080555555556</v>
      </c>
      <c r="K6" s="7">
        <f t="shared" si="0"/>
        <v>0.22152777777955635</v>
      </c>
      <c r="L6">
        <f t="shared" si="1"/>
        <v>5</v>
      </c>
      <c r="M6">
        <f t="shared" si="2"/>
        <v>19</v>
      </c>
      <c r="N6">
        <f t="shared" si="3"/>
        <v>319</v>
      </c>
    </row>
    <row r="7" spans="2:14" hidden="1" x14ac:dyDescent="0.25">
      <c r="B7" t="s">
        <v>34</v>
      </c>
      <c r="C7" s="6">
        <v>46024.295138888891</v>
      </c>
      <c r="D7" s="6">
        <v>46024.361111111109</v>
      </c>
      <c r="E7" s="6">
        <v>46024.444444444445</v>
      </c>
      <c r="F7" s="6">
        <v>46024.552083333336</v>
      </c>
      <c r="G7" s="6">
        <v>46024.559027777781</v>
      </c>
      <c r="H7" s="6">
        <v>46024.576388888891</v>
      </c>
      <c r="I7">
        <v>6.75</v>
      </c>
      <c r="J7" s="6">
        <v>46024.579861111109</v>
      </c>
      <c r="K7" s="7">
        <f t="shared" si="0"/>
        <v>-0.25347222222626442</v>
      </c>
      <c r="L7" t="e">
        <f t="shared" si="1"/>
        <v>#NUM!</v>
      </c>
      <c r="M7" t="e">
        <f t="shared" si="2"/>
        <v>#NUM!</v>
      </c>
      <c r="N7" t="e">
        <f t="shared" si="3"/>
        <v>#NUM!</v>
      </c>
    </row>
    <row r="8" spans="2:14" hidden="1" x14ac:dyDescent="0.25">
      <c r="B8" t="s">
        <v>34</v>
      </c>
      <c r="C8" s="6">
        <v>46024.322916666664</v>
      </c>
      <c r="D8" s="6">
        <v>46024.354166666664</v>
      </c>
      <c r="E8" s="6">
        <v>46024.375</v>
      </c>
      <c r="F8" s="6">
        <v>46024.452777777777</v>
      </c>
      <c r="G8" s="6">
        <v>46024.458333333336</v>
      </c>
      <c r="H8" s="6">
        <v>46024.489583333336</v>
      </c>
      <c r="I8">
        <v>4</v>
      </c>
      <c r="J8" s="6">
        <v>46024.496527777781</v>
      </c>
      <c r="K8" s="7">
        <f t="shared" si="0"/>
        <v>-7.2916666671517305E-2</v>
      </c>
      <c r="L8" t="e">
        <f t="shared" si="1"/>
        <v>#NUM!</v>
      </c>
      <c r="M8" t="e">
        <f t="shared" si="2"/>
        <v>#NUM!</v>
      </c>
      <c r="N8" t="e">
        <f t="shared" si="3"/>
        <v>#NUM!</v>
      </c>
    </row>
    <row r="9" spans="2:14" hidden="1" x14ac:dyDescent="0.25">
      <c r="B9" t="s">
        <v>34</v>
      </c>
      <c r="C9" s="6">
        <v>46024.416666666664</v>
      </c>
      <c r="D9" s="6">
        <v>46024.427083333336</v>
      </c>
      <c r="E9" s="6">
        <v>46024.448611111111</v>
      </c>
      <c r="F9" s="6">
        <v>46024.484722222223</v>
      </c>
      <c r="G9" s="6">
        <v>46024.493055555555</v>
      </c>
      <c r="H9" s="6">
        <v>46024.493750000001</v>
      </c>
      <c r="I9">
        <v>1.85</v>
      </c>
      <c r="J9" s="6">
        <v>46024.495138888888</v>
      </c>
      <c r="K9" s="7">
        <f t="shared" si="0"/>
        <v>-2.8472222220443655E-2</v>
      </c>
      <c r="L9" t="e">
        <f t="shared" si="1"/>
        <v>#NUM!</v>
      </c>
      <c r="M9" t="e">
        <f t="shared" si="2"/>
        <v>#NUM!</v>
      </c>
      <c r="N9" t="e">
        <f t="shared" si="3"/>
        <v>#NUM!</v>
      </c>
    </row>
    <row r="10" spans="2:14" x14ac:dyDescent="0.25">
      <c r="B10" t="s">
        <v>34</v>
      </c>
      <c r="C10" s="6">
        <v>46024.465277777781</v>
      </c>
      <c r="D10" s="6">
        <v>46024.479166666664</v>
      </c>
      <c r="E10" s="6">
        <v>46024.486111111109</v>
      </c>
      <c r="F10" s="6">
        <v>46024.503472222219</v>
      </c>
      <c r="G10" s="6">
        <v>46024.505555555559</v>
      </c>
      <c r="H10" s="6">
        <v>46024.513888888891</v>
      </c>
      <c r="I10">
        <v>1.17</v>
      </c>
      <c r="J10" s="6">
        <v>46024.51458333333</v>
      </c>
      <c r="K10" s="7">
        <f t="shared" si="0"/>
        <v>9.375E-2</v>
      </c>
      <c r="L10">
        <f t="shared" si="1"/>
        <v>2</v>
      </c>
      <c r="M10">
        <f t="shared" si="2"/>
        <v>15</v>
      </c>
      <c r="N10">
        <f t="shared" si="3"/>
        <v>135</v>
      </c>
    </row>
    <row r="11" spans="2:14" x14ac:dyDescent="0.25">
      <c r="B11" t="s">
        <v>34</v>
      </c>
      <c r="C11" s="6">
        <v>46024.607638888891</v>
      </c>
      <c r="D11" s="6">
        <v>46024.618055555555</v>
      </c>
      <c r="E11" s="6">
        <v>46024.645833333336</v>
      </c>
      <c r="F11" s="6">
        <v>46024.776388888888</v>
      </c>
      <c r="G11" s="6">
        <v>46024.815972222219</v>
      </c>
      <c r="H11" s="6">
        <v>46024.819444444445</v>
      </c>
      <c r="I11">
        <v>5.08</v>
      </c>
      <c r="J11" s="6">
        <v>46024.820833333331</v>
      </c>
      <c r="K11" s="7">
        <f t="shared" si="0"/>
        <v>0.69652777777810115</v>
      </c>
      <c r="L11">
        <f t="shared" si="1"/>
        <v>16</v>
      </c>
      <c r="M11">
        <f t="shared" si="2"/>
        <v>43</v>
      </c>
      <c r="N11">
        <f t="shared" si="3"/>
        <v>1003</v>
      </c>
    </row>
    <row r="12" spans="2:14" x14ac:dyDescent="0.25">
      <c r="B12" t="s">
        <v>34</v>
      </c>
      <c r="C12" s="6">
        <v>46025.515972222223</v>
      </c>
      <c r="D12" s="6">
        <v>46025.522916666669</v>
      </c>
      <c r="E12" s="6">
        <v>46025.527083333334</v>
      </c>
      <c r="F12" s="6">
        <v>46025.53402777778</v>
      </c>
      <c r="G12" s="6">
        <v>46025.540972222225</v>
      </c>
      <c r="H12" s="6">
        <v>46025.545138888891</v>
      </c>
      <c r="I12">
        <v>0.68</v>
      </c>
      <c r="J12" s="6">
        <v>46025.552083333336</v>
      </c>
      <c r="K12" s="7">
        <f t="shared" si="0"/>
        <v>0.10763888889050577</v>
      </c>
      <c r="L12">
        <f t="shared" si="1"/>
        <v>2</v>
      </c>
      <c r="M12">
        <f t="shared" si="2"/>
        <v>35</v>
      </c>
      <c r="N12">
        <f t="shared" si="3"/>
        <v>155</v>
      </c>
    </row>
    <row r="13" spans="2:14" x14ac:dyDescent="0.25">
      <c r="B13" t="s">
        <v>34</v>
      </c>
      <c r="C13" s="6">
        <v>46025.652777777781</v>
      </c>
      <c r="D13" s="6">
        <v>46025.659722222219</v>
      </c>
      <c r="E13" s="6">
        <v>46025.673611111109</v>
      </c>
      <c r="F13" s="6">
        <v>46025.708333333336</v>
      </c>
      <c r="G13" s="6">
        <v>46025.715277777781</v>
      </c>
      <c r="H13" s="6">
        <v>46025.729166666664</v>
      </c>
      <c r="I13">
        <v>1.83</v>
      </c>
      <c r="J13" s="6">
        <v>46025.736805555556</v>
      </c>
      <c r="K13" s="7">
        <f t="shared" si="0"/>
        <v>3.125E-2</v>
      </c>
      <c r="L13">
        <f t="shared" si="1"/>
        <v>0</v>
      </c>
      <c r="M13">
        <f t="shared" si="2"/>
        <v>45</v>
      </c>
      <c r="N13">
        <f t="shared" si="3"/>
        <v>45</v>
      </c>
    </row>
    <row r="14" spans="2:14" x14ac:dyDescent="0.25">
      <c r="B14" t="s">
        <v>34</v>
      </c>
      <c r="C14" s="6">
        <v>46025.760416666664</v>
      </c>
      <c r="D14" s="6">
        <v>46025.763888888891</v>
      </c>
      <c r="E14" s="6">
        <v>46025.76666666667</v>
      </c>
      <c r="F14" s="6">
        <v>46025.802083333336</v>
      </c>
      <c r="G14" s="6">
        <v>46025.809027777781</v>
      </c>
      <c r="H14" s="6">
        <v>46025.815972222219</v>
      </c>
      <c r="I14">
        <v>1.33</v>
      </c>
      <c r="J14" s="6">
        <v>46025.822916666664</v>
      </c>
      <c r="K14" s="7">
        <f t="shared" si="0"/>
        <v>0.14583333333575865</v>
      </c>
      <c r="L14">
        <f t="shared" si="1"/>
        <v>3</v>
      </c>
      <c r="M14">
        <f t="shared" si="2"/>
        <v>30</v>
      </c>
      <c r="N14">
        <f t="shared" si="3"/>
        <v>210</v>
      </c>
    </row>
    <row r="15" spans="2:14" x14ac:dyDescent="0.25">
      <c r="B15" t="s">
        <v>34</v>
      </c>
      <c r="C15" s="6">
        <v>46025.961805555555</v>
      </c>
      <c r="D15" s="6">
        <v>46025.972222222219</v>
      </c>
      <c r="E15" s="6">
        <v>46025.979166666664</v>
      </c>
      <c r="F15" s="6">
        <v>46026.038194444445</v>
      </c>
      <c r="G15" s="6">
        <v>46026.045138888891</v>
      </c>
      <c r="H15" s="6">
        <v>46026.048611111109</v>
      </c>
      <c r="I15">
        <v>2.08</v>
      </c>
      <c r="J15" s="6">
        <v>46026.055555555555</v>
      </c>
      <c r="K15" s="7">
        <f t="shared" si="0"/>
        <v>0.3125</v>
      </c>
      <c r="L15">
        <f t="shared" si="1"/>
        <v>7</v>
      </c>
      <c r="M15">
        <f t="shared" si="2"/>
        <v>30</v>
      </c>
      <c r="N15">
        <f t="shared" si="3"/>
        <v>450</v>
      </c>
    </row>
    <row r="16" spans="2:14" x14ac:dyDescent="0.25">
      <c r="B16" t="s">
        <v>34</v>
      </c>
      <c r="C16" s="6">
        <v>46026.361111111109</v>
      </c>
      <c r="D16" s="6">
        <v>46026.381944444445</v>
      </c>
      <c r="E16" s="6">
        <v>46026.399305555555</v>
      </c>
      <c r="F16" s="6">
        <v>46026.473611111112</v>
      </c>
      <c r="G16" s="6">
        <v>46026.480555555558</v>
      </c>
      <c r="H16" s="6">
        <v>46026.489583333336</v>
      </c>
      <c r="I16">
        <v>3.08</v>
      </c>
      <c r="J16" s="6">
        <v>46026.496527777781</v>
      </c>
      <c r="K16" s="7">
        <f t="shared" si="0"/>
        <v>0.19444444444525288</v>
      </c>
      <c r="L16">
        <f t="shared" si="1"/>
        <v>4</v>
      </c>
      <c r="M16">
        <f t="shared" si="2"/>
        <v>40</v>
      </c>
      <c r="N16">
        <f t="shared" si="3"/>
        <v>280</v>
      </c>
    </row>
    <row r="17" spans="2:14" x14ac:dyDescent="0.25">
      <c r="B17" t="s">
        <v>34</v>
      </c>
      <c r="C17" s="6">
        <v>46026.684027777781</v>
      </c>
      <c r="D17" s="6">
        <v>46026.711805555555</v>
      </c>
      <c r="E17" s="6">
        <v>46026.729166666664</v>
      </c>
      <c r="F17" s="6">
        <v>46026.777777777781</v>
      </c>
      <c r="G17" s="6">
        <v>46026.784722222219</v>
      </c>
      <c r="H17" s="6">
        <v>46026.788194444445</v>
      </c>
      <c r="I17">
        <v>2.5</v>
      </c>
      <c r="J17" s="6">
        <v>46026.791666666664</v>
      </c>
      <c r="K17" s="7">
        <f t="shared" si="0"/>
        <v>0.57291666666424135</v>
      </c>
      <c r="L17">
        <f t="shared" si="1"/>
        <v>13</v>
      </c>
      <c r="M17">
        <f t="shared" si="2"/>
        <v>45</v>
      </c>
      <c r="N17">
        <f t="shared" si="3"/>
        <v>825</v>
      </c>
    </row>
    <row r="18" spans="2:14" x14ac:dyDescent="0.25">
      <c r="B18" t="s">
        <v>34</v>
      </c>
      <c r="C18" s="6">
        <v>46027.361111111109</v>
      </c>
      <c r="D18" s="6">
        <v>46027.368055555555</v>
      </c>
      <c r="E18" s="6">
        <v>46027.375</v>
      </c>
      <c r="F18" s="6">
        <v>46027.427083333336</v>
      </c>
      <c r="G18" s="6">
        <v>46027.434027777781</v>
      </c>
      <c r="H18" s="6">
        <v>46027.4375</v>
      </c>
      <c r="I18">
        <v>1.83</v>
      </c>
      <c r="J18" s="6">
        <v>46027.444444444445</v>
      </c>
      <c r="K18" s="7">
        <f t="shared" si="0"/>
        <v>5.5555555554747116E-2</v>
      </c>
      <c r="L18">
        <f t="shared" si="1"/>
        <v>1</v>
      </c>
      <c r="M18">
        <f t="shared" si="2"/>
        <v>20</v>
      </c>
      <c r="N18">
        <f t="shared" si="3"/>
        <v>80</v>
      </c>
    </row>
    <row r="19" spans="2:14" x14ac:dyDescent="0.25">
      <c r="B19" t="s">
        <v>34</v>
      </c>
      <c r="C19" s="6">
        <v>46027.493055555555</v>
      </c>
      <c r="D19" s="6">
        <v>46027.5</v>
      </c>
      <c r="E19" s="6">
        <v>46027.527777777781</v>
      </c>
      <c r="F19" s="6">
        <v>46027.791666666664</v>
      </c>
      <c r="G19" s="6">
        <v>46027.798611111109</v>
      </c>
      <c r="H19" s="6">
        <v>46027.840277777781</v>
      </c>
      <c r="I19">
        <v>8.33</v>
      </c>
      <c r="J19" s="6">
        <v>46027.847222222219</v>
      </c>
      <c r="K19" s="7">
        <f t="shared" si="0"/>
        <v>0.11805555555474712</v>
      </c>
      <c r="L19">
        <f t="shared" si="1"/>
        <v>2</v>
      </c>
      <c r="M19">
        <f t="shared" si="2"/>
        <v>50</v>
      </c>
      <c r="N19">
        <f t="shared" si="3"/>
        <v>170</v>
      </c>
    </row>
    <row r="20" spans="2:14" x14ac:dyDescent="0.25">
      <c r="B20" t="s">
        <v>34</v>
      </c>
      <c r="C20" s="6">
        <v>46027.958333333336</v>
      </c>
      <c r="D20" s="6">
        <v>46027.965277777781</v>
      </c>
      <c r="E20" s="6">
        <v>46027.972222222219</v>
      </c>
      <c r="F20" s="6">
        <v>46027.982638888891</v>
      </c>
      <c r="G20" s="6">
        <v>46027.989583333336</v>
      </c>
      <c r="H20" s="6">
        <v>46027.990277777775</v>
      </c>
      <c r="I20">
        <v>0.77</v>
      </c>
      <c r="J20" s="6">
        <v>46027.990972222222</v>
      </c>
      <c r="K20" s="7">
        <f t="shared" si="0"/>
        <v>2.1527777782466728E-2</v>
      </c>
      <c r="L20">
        <f t="shared" si="1"/>
        <v>0</v>
      </c>
      <c r="M20">
        <f t="shared" si="2"/>
        <v>31</v>
      </c>
      <c r="N20">
        <f t="shared" si="3"/>
        <v>31</v>
      </c>
    </row>
    <row r="21" spans="2:14" hidden="1" x14ac:dyDescent="0.25">
      <c r="B21" t="s">
        <v>34</v>
      </c>
      <c r="C21" s="6">
        <v>46028.011805555558</v>
      </c>
      <c r="D21" s="6">
        <v>46028.017361111109</v>
      </c>
      <c r="E21" s="6">
        <v>46028.020833333336</v>
      </c>
      <c r="F21" s="6">
        <v>46028.104166666664</v>
      </c>
      <c r="G21" s="6">
        <v>46028.166666666664</v>
      </c>
      <c r="H21" s="6">
        <v>46028.5625</v>
      </c>
      <c r="I21">
        <v>13.22</v>
      </c>
      <c r="J21" s="6">
        <v>46028.569444444445</v>
      </c>
      <c r="K21" s="7">
        <f t="shared" si="0"/>
        <v>-0.24305555555474712</v>
      </c>
      <c r="L21" t="e">
        <f t="shared" si="1"/>
        <v>#NUM!</v>
      </c>
      <c r="M21" t="e">
        <f t="shared" si="2"/>
        <v>#NUM!</v>
      </c>
      <c r="N21" t="e">
        <f t="shared" si="3"/>
        <v>#NUM!</v>
      </c>
    </row>
    <row r="22" spans="2:14" x14ac:dyDescent="0.25">
      <c r="B22" t="s">
        <v>34</v>
      </c>
      <c r="C22" s="6">
        <v>46028.319444444445</v>
      </c>
      <c r="D22" s="6">
        <v>46028.340277777781</v>
      </c>
      <c r="E22" s="6">
        <v>46028.361111111109</v>
      </c>
      <c r="F22" s="6">
        <v>46028.371527777781</v>
      </c>
      <c r="G22" s="6">
        <v>46028.385416666664</v>
      </c>
      <c r="H22" s="6">
        <v>46028.425694444442</v>
      </c>
      <c r="I22">
        <v>2.5499999999999998</v>
      </c>
      <c r="J22" s="6">
        <v>46028.426388888889</v>
      </c>
      <c r="K22" s="7">
        <f t="shared" si="0"/>
        <v>0.18263888888759539</v>
      </c>
      <c r="L22">
        <f t="shared" si="1"/>
        <v>4</v>
      </c>
      <c r="M22">
        <f t="shared" si="2"/>
        <v>23</v>
      </c>
      <c r="N22">
        <f t="shared" si="3"/>
        <v>263</v>
      </c>
    </row>
    <row r="23" spans="2:14" x14ac:dyDescent="0.25">
      <c r="B23" t="s">
        <v>34</v>
      </c>
      <c r="C23" s="6">
        <v>46028.60833333333</v>
      </c>
      <c r="D23" s="6">
        <v>46028.611111111109</v>
      </c>
      <c r="E23" s="6">
        <v>46028.642361111109</v>
      </c>
      <c r="F23" s="6">
        <v>46028.652777777781</v>
      </c>
      <c r="G23" s="6">
        <v>46028.659722222219</v>
      </c>
      <c r="H23" s="6">
        <v>46028.666666666664</v>
      </c>
      <c r="I23">
        <v>1.4</v>
      </c>
      <c r="J23" s="6">
        <v>46028.673611111109</v>
      </c>
      <c r="K23" s="7">
        <f t="shared" si="0"/>
        <v>0.61805555555474712</v>
      </c>
      <c r="L23">
        <f t="shared" si="1"/>
        <v>14</v>
      </c>
      <c r="M23">
        <f t="shared" si="2"/>
        <v>50</v>
      </c>
      <c r="N23">
        <f t="shared" si="3"/>
        <v>890</v>
      </c>
    </row>
    <row r="24" spans="2:14" hidden="1" x14ac:dyDescent="0.25">
      <c r="B24" t="s">
        <v>34</v>
      </c>
      <c r="C24" s="6">
        <v>46029.284722222219</v>
      </c>
      <c r="D24" s="6">
        <v>46029.315972222219</v>
      </c>
      <c r="E24" s="6">
        <v>46029.336805555555</v>
      </c>
      <c r="F24" s="6">
        <v>46029.430555555555</v>
      </c>
      <c r="G24" s="6">
        <v>46029.4375</v>
      </c>
      <c r="H24" s="6">
        <v>46029.444444444445</v>
      </c>
      <c r="I24">
        <v>3.83</v>
      </c>
      <c r="J24" s="6">
        <v>46029.451388888891</v>
      </c>
      <c r="K24" s="7">
        <f t="shared" si="0"/>
        <v>-0.15277777778101154</v>
      </c>
      <c r="L24" t="e">
        <f t="shared" si="1"/>
        <v>#NUM!</v>
      </c>
      <c r="M24" t="e">
        <f t="shared" si="2"/>
        <v>#NUM!</v>
      </c>
      <c r="N24" t="e">
        <f t="shared" si="3"/>
        <v>#NUM!</v>
      </c>
    </row>
    <row r="25" spans="2:14" x14ac:dyDescent="0.25">
      <c r="B25" t="s">
        <v>34</v>
      </c>
      <c r="C25" s="6">
        <v>46029.291666666664</v>
      </c>
      <c r="D25" s="6">
        <v>46029.326388888891</v>
      </c>
      <c r="E25" s="6">
        <v>46029.354166666664</v>
      </c>
      <c r="F25" s="6">
        <v>46029.451388888891</v>
      </c>
      <c r="G25" s="6">
        <v>46029.458333333336</v>
      </c>
      <c r="H25" s="6">
        <v>46029.461805555555</v>
      </c>
      <c r="I25">
        <v>4.08</v>
      </c>
      <c r="J25" s="6">
        <v>46029.465277777781</v>
      </c>
      <c r="K25" s="7">
        <f t="shared" si="0"/>
        <v>0.22222222222626442</v>
      </c>
      <c r="L25">
        <f t="shared" si="1"/>
        <v>5</v>
      </c>
      <c r="M25">
        <f t="shared" si="2"/>
        <v>20</v>
      </c>
      <c r="N25">
        <f t="shared" si="3"/>
        <v>320</v>
      </c>
    </row>
    <row r="26" spans="2:14" x14ac:dyDescent="0.25">
      <c r="B26" t="s">
        <v>34</v>
      </c>
      <c r="C26" s="6">
        <v>46029.684027777781</v>
      </c>
      <c r="D26" s="6">
        <v>46029.694444444445</v>
      </c>
      <c r="E26" s="6">
        <v>46029.722222222219</v>
      </c>
      <c r="F26" s="6">
        <v>46029.788194444445</v>
      </c>
      <c r="G26" s="6">
        <v>46029.805555555555</v>
      </c>
      <c r="H26" s="6">
        <v>46029.819444444445</v>
      </c>
      <c r="I26">
        <v>3.25</v>
      </c>
      <c r="J26" s="6">
        <v>46029.826388888891</v>
      </c>
      <c r="K26" s="7">
        <f t="shared" si="0"/>
        <v>0.47222222221898846</v>
      </c>
      <c r="L26">
        <f t="shared" si="1"/>
        <v>11</v>
      </c>
      <c r="M26">
        <f t="shared" si="2"/>
        <v>20</v>
      </c>
      <c r="N26">
        <f t="shared" si="3"/>
        <v>680</v>
      </c>
    </row>
    <row r="27" spans="2:14" x14ac:dyDescent="0.25">
      <c r="B27" t="s">
        <v>34</v>
      </c>
      <c r="C27" s="6">
        <v>46030.291666666664</v>
      </c>
      <c r="D27" s="6">
        <v>46030.322916666664</v>
      </c>
      <c r="E27" s="6">
        <v>46030.368055555555</v>
      </c>
      <c r="F27" s="6">
        <v>46030.470138888886</v>
      </c>
      <c r="G27" s="6">
        <v>46030.479166666664</v>
      </c>
      <c r="H27" s="6">
        <v>46030.482638888891</v>
      </c>
      <c r="I27">
        <v>4.58</v>
      </c>
      <c r="J27" s="6">
        <v>46030.489583333336</v>
      </c>
      <c r="K27" s="7">
        <f t="shared" si="0"/>
        <v>0.80902777777373558</v>
      </c>
      <c r="L27">
        <f t="shared" si="1"/>
        <v>19</v>
      </c>
      <c r="M27">
        <f t="shared" si="2"/>
        <v>25</v>
      </c>
      <c r="N27">
        <f t="shared" si="3"/>
        <v>1165</v>
      </c>
    </row>
    <row r="28" spans="2:14" x14ac:dyDescent="0.25">
      <c r="B28" t="s">
        <v>34</v>
      </c>
      <c r="C28" s="6">
        <v>46031.291666666664</v>
      </c>
      <c r="D28" s="6">
        <v>46031.333333333336</v>
      </c>
      <c r="E28" s="6">
        <v>46031.354166666664</v>
      </c>
      <c r="F28" s="6">
        <v>46031.444444444445</v>
      </c>
      <c r="G28" s="6">
        <v>46031.451388888891</v>
      </c>
      <c r="H28" s="6">
        <v>46031.458333333336</v>
      </c>
      <c r="I28">
        <v>4</v>
      </c>
      <c r="J28" s="6">
        <v>46031.465277777781</v>
      </c>
      <c r="K28" s="7">
        <f t="shared" si="0"/>
        <v>4.5138888883229811E-2</v>
      </c>
      <c r="L28">
        <f t="shared" si="1"/>
        <v>1</v>
      </c>
      <c r="M28">
        <f t="shared" si="2"/>
        <v>5</v>
      </c>
      <c r="N28">
        <f t="shared" si="3"/>
        <v>65</v>
      </c>
    </row>
    <row r="29" spans="2:14" x14ac:dyDescent="0.25">
      <c r="B29" t="s">
        <v>34</v>
      </c>
      <c r="C29" s="6">
        <v>46031.503472222219</v>
      </c>
      <c r="D29" s="6">
        <v>46031.517361111109</v>
      </c>
      <c r="E29" s="6">
        <v>46031.541666666664</v>
      </c>
      <c r="F29" s="6">
        <v>46031.586111111108</v>
      </c>
      <c r="G29" s="6">
        <v>46031.590277777781</v>
      </c>
      <c r="H29" s="6">
        <v>46031.59375</v>
      </c>
      <c r="I29">
        <v>2.17</v>
      </c>
      <c r="J29" s="6">
        <v>46031.600694444445</v>
      </c>
      <c r="K29" s="7">
        <f t="shared" si="0"/>
        <v>3.4722222218988463E-2</v>
      </c>
      <c r="L29">
        <f t="shared" si="1"/>
        <v>0</v>
      </c>
      <c r="M29">
        <f t="shared" si="2"/>
        <v>50</v>
      </c>
      <c r="N29">
        <f t="shared" si="3"/>
        <v>50</v>
      </c>
    </row>
    <row r="30" spans="2:14" x14ac:dyDescent="0.25">
      <c r="B30" t="s">
        <v>34</v>
      </c>
      <c r="C30" s="6">
        <v>46031.628472222219</v>
      </c>
      <c r="D30" s="6">
        <v>46031.635416666664</v>
      </c>
      <c r="E30" s="6">
        <v>46031.636805555558</v>
      </c>
      <c r="F30" s="6">
        <v>46031.659722222219</v>
      </c>
      <c r="G30" s="6">
        <v>46031.666666666664</v>
      </c>
      <c r="H30" s="6">
        <v>46031.677083333336</v>
      </c>
      <c r="I30">
        <v>1.17</v>
      </c>
      <c r="J30" s="6">
        <v>46031.680555555555</v>
      </c>
      <c r="K30" s="7">
        <f t="shared" si="0"/>
        <v>6.5972222218988463E-2</v>
      </c>
      <c r="L30">
        <f t="shared" si="1"/>
        <v>1</v>
      </c>
      <c r="M30">
        <f t="shared" si="2"/>
        <v>35</v>
      </c>
      <c r="N30">
        <f t="shared" si="3"/>
        <v>95</v>
      </c>
    </row>
    <row r="31" spans="2:14" x14ac:dyDescent="0.25">
      <c r="B31" t="s">
        <v>34</v>
      </c>
      <c r="C31" s="6">
        <v>46031.743055555555</v>
      </c>
      <c r="D31" s="6">
        <v>46031.75</v>
      </c>
      <c r="E31" s="6">
        <v>46031.763888888891</v>
      </c>
      <c r="F31" s="6">
        <v>46031.800694444442</v>
      </c>
      <c r="G31" s="6">
        <v>46031.807638888888</v>
      </c>
      <c r="H31" s="6">
        <v>46031.822916666664</v>
      </c>
      <c r="I31">
        <v>1.92</v>
      </c>
      <c r="J31" s="6">
        <v>46031.829861111109</v>
      </c>
      <c r="K31" s="7">
        <f t="shared" si="0"/>
        <v>0.17013888889050577</v>
      </c>
      <c r="L31">
        <f t="shared" si="1"/>
        <v>4</v>
      </c>
      <c r="M31">
        <f t="shared" si="2"/>
        <v>5</v>
      </c>
      <c r="N31">
        <f t="shared" si="3"/>
        <v>245</v>
      </c>
    </row>
    <row r="32" spans="2:14" x14ac:dyDescent="0.25">
      <c r="B32" t="s">
        <v>34</v>
      </c>
      <c r="C32" s="6">
        <v>46031.993055555555</v>
      </c>
      <c r="D32" s="6">
        <v>46031.996527777781</v>
      </c>
      <c r="E32" s="6">
        <v>46032.013888888891</v>
      </c>
      <c r="F32" s="6">
        <v>46032.074305555558</v>
      </c>
      <c r="G32" s="6">
        <v>46032.076388888891</v>
      </c>
      <c r="H32" s="6">
        <v>46032.07708333333</v>
      </c>
      <c r="I32">
        <v>2.02</v>
      </c>
      <c r="J32" s="6">
        <v>46032.077777777777</v>
      </c>
      <c r="K32" s="7">
        <f t="shared" si="0"/>
        <v>0.37777777777955635</v>
      </c>
      <c r="L32">
        <f t="shared" si="1"/>
        <v>9</v>
      </c>
      <c r="M32">
        <f t="shared" si="2"/>
        <v>4</v>
      </c>
      <c r="N32">
        <f t="shared" si="3"/>
        <v>544</v>
      </c>
    </row>
    <row r="33" spans="2:14" x14ac:dyDescent="0.25">
      <c r="B33" t="s">
        <v>34</v>
      </c>
      <c r="C33" s="6">
        <v>46032.454861111109</v>
      </c>
      <c r="D33" s="6">
        <v>46032.465277777781</v>
      </c>
      <c r="E33" s="6">
        <v>46032.479166666664</v>
      </c>
      <c r="F33" s="6">
        <v>46032.5</v>
      </c>
      <c r="G33" s="6">
        <v>46032.510416666664</v>
      </c>
      <c r="H33" s="6">
        <v>46032.517361111109</v>
      </c>
      <c r="I33">
        <v>1.5</v>
      </c>
      <c r="J33" s="6">
        <v>46032.518750000003</v>
      </c>
      <c r="K33" s="7">
        <f t="shared" si="0"/>
        <v>1.375</v>
      </c>
      <c r="L33">
        <f t="shared" si="1"/>
        <v>9</v>
      </c>
      <c r="M33">
        <f t="shared" si="2"/>
        <v>0</v>
      </c>
      <c r="N33">
        <f t="shared" si="3"/>
        <v>540</v>
      </c>
    </row>
    <row r="34" spans="2:14" x14ac:dyDescent="0.25">
      <c r="B34" t="s">
        <v>34</v>
      </c>
      <c r="C34" s="6">
        <v>46033.892361111109</v>
      </c>
      <c r="D34" s="6">
        <v>46033.895833333336</v>
      </c>
      <c r="E34" s="6">
        <v>46033.923611111109</v>
      </c>
      <c r="F34" s="6">
        <v>46033.961805555555</v>
      </c>
      <c r="G34" s="6">
        <v>46033.96875</v>
      </c>
      <c r="H34" s="6">
        <v>46033.969444444447</v>
      </c>
      <c r="I34">
        <v>1.85</v>
      </c>
      <c r="J34" s="6">
        <v>46033.976388888892</v>
      </c>
      <c r="K34" s="7">
        <f t="shared" si="0"/>
        <v>5.8333333334303461E-2</v>
      </c>
      <c r="L34">
        <f t="shared" si="1"/>
        <v>1</v>
      </c>
      <c r="M34">
        <f t="shared" si="2"/>
        <v>24</v>
      </c>
      <c r="N34">
        <f t="shared" si="3"/>
        <v>84</v>
      </c>
    </row>
    <row r="35" spans="2:14" x14ac:dyDescent="0.25">
      <c r="B35" t="s">
        <v>34</v>
      </c>
      <c r="C35" s="6">
        <v>46034.027777777781</v>
      </c>
      <c r="D35" s="6">
        <v>46034.041666666664</v>
      </c>
      <c r="E35" s="6">
        <v>46034.069444444445</v>
      </c>
      <c r="F35" s="6">
        <v>46034.128472222219</v>
      </c>
      <c r="G35" s="6">
        <v>46034.163194444445</v>
      </c>
      <c r="H35" s="6">
        <v>46034.166666666664</v>
      </c>
      <c r="I35">
        <v>3.33</v>
      </c>
      <c r="J35" s="6">
        <v>46034.173611111109</v>
      </c>
      <c r="K35" s="7">
        <f t="shared" si="0"/>
        <v>0.125</v>
      </c>
      <c r="L35">
        <f t="shared" si="1"/>
        <v>3</v>
      </c>
      <c r="M35">
        <f t="shared" si="2"/>
        <v>0</v>
      </c>
      <c r="N35">
        <f t="shared" si="3"/>
        <v>180</v>
      </c>
    </row>
    <row r="36" spans="2:14" x14ac:dyDescent="0.25">
      <c r="B36" t="s">
        <v>34</v>
      </c>
      <c r="C36" s="6">
        <v>46034.291666666664</v>
      </c>
      <c r="D36" s="6">
        <v>46034.333333333336</v>
      </c>
      <c r="E36" s="6">
        <v>46034.34375</v>
      </c>
      <c r="F36" s="6">
        <v>46034.368055555555</v>
      </c>
      <c r="G36" s="6">
        <v>46034.375</v>
      </c>
      <c r="H36" s="6">
        <v>46034.378472222219</v>
      </c>
      <c r="I36">
        <v>2.08</v>
      </c>
      <c r="J36" s="6">
        <v>46034.379166666666</v>
      </c>
      <c r="K36" s="7">
        <f t="shared" si="0"/>
        <v>3.125E-2</v>
      </c>
      <c r="L36">
        <f t="shared" si="1"/>
        <v>0</v>
      </c>
      <c r="M36">
        <f t="shared" si="2"/>
        <v>45</v>
      </c>
      <c r="N36">
        <f t="shared" si="3"/>
        <v>45</v>
      </c>
    </row>
    <row r="37" spans="2:14" x14ac:dyDescent="0.25">
      <c r="B37" t="s">
        <v>34</v>
      </c>
      <c r="C37" s="6">
        <v>46034.409722222219</v>
      </c>
      <c r="D37" s="6">
        <v>46034.416666666664</v>
      </c>
      <c r="E37" s="6">
        <v>46034.434027777781</v>
      </c>
      <c r="F37" s="6">
        <v>46034.479166666664</v>
      </c>
      <c r="G37" s="6">
        <v>46034.486111111109</v>
      </c>
      <c r="H37" s="6">
        <v>46034.493055555555</v>
      </c>
      <c r="I37">
        <v>2</v>
      </c>
      <c r="J37" s="6">
        <v>46034.5</v>
      </c>
      <c r="K37" s="7">
        <f t="shared" si="0"/>
        <v>0.75694444444525288</v>
      </c>
      <c r="L37">
        <f t="shared" si="1"/>
        <v>18</v>
      </c>
      <c r="M37">
        <f t="shared" si="2"/>
        <v>10</v>
      </c>
      <c r="N37">
        <f t="shared" si="3"/>
        <v>1090</v>
      </c>
    </row>
    <row r="38" spans="2:14" x14ac:dyDescent="0.25">
      <c r="B38" t="s">
        <v>34</v>
      </c>
      <c r="C38" s="6">
        <v>46035.25</v>
      </c>
      <c r="D38" s="6">
        <v>46035.267361111109</v>
      </c>
      <c r="E38" s="6">
        <v>46035.270833333336</v>
      </c>
      <c r="F38" s="6">
        <v>46035.277777777781</v>
      </c>
      <c r="G38" s="6">
        <v>46035.284722222219</v>
      </c>
      <c r="H38" s="6">
        <v>46035.288194444445</v>
      </c>
      <c r="I38">
        <v>0.92</v>
      </c>
      <c r="J38" s="6">
        <v>46035.295138888891</v>
      </c>
      <c r="K38" s="7">
        <f t="shared" si="0"/>
        <v>0.29861111110949423</v>
      </c>
      <c r="L38">
        <f t="shared" si="1"/>
        <v>7</v>
      </c>
      <c r="M38">
        <f t="shared" si="2"/>
        <v>10</v>
      </c>
      <c r="N38">
        <f t="shared" si="3"/>
        <v>430</v>
      </c>
    </row>
    <row r="39" spans="2:14" x14ac:dyDescent="0.25">
      <c r="B39" t="s">
        <v>34</v>
      </c>
      <c r="C39" s="6">
        <v>46035.586805555555</v>
      </c>
      <c r="D39" s="6">
        <v>46035.600694444445</v>
      </c>
      <c r="E39" s="6">
        <v>46035.625</v>
      </c>
      <c r="F39" s="6">
        <v>46035.826388888891</v>
      </c>
      <c r="G39" s="6">
        <v>46035.833333333336</v>
      </c>
      <c r="H39" s="6">
        <v>46035.9375</v>
      </c>
      <c r="I39">
        <v>8.42</v>
      </c>
      <c r="J39" s="6">
        <v>46035.944444444445</v>
      </c>
      <c r="K39" s="7">
        <f t="shared" si="0"/>
        <v>0.35416666666424135</v>
      </c>
      <c r="L39">
        <f t="shared" si="1"/>
        <v>8</v>
      </c>
      <c r="M39">
        <f t="shared" si="2"/>
        <v>30</v>
      </c>
      <c r="N39">
        <f t="shared" si="3"/>
        <v>510</v>
      </c>
    </row>
    <row r="40" spans="2:14" x14ac:dyDescent="0.25">
      <c r="B40" t="s">
        <v>34</v>
      </c>
      <c r="C40" s="6">
        <v>46036.291666666664</v>
      </c>
      <c r="D40" s="6">
        <v>46036.333333333336</v>
      </c>
      <c r="E40" s="6">
        <v>46036.350694444445</v>
      </c>
      <c r="F40" s="6">
        <v>46036.476388888892</v>
      </c>
      <c r="G40" s="6">
        <v>46036.48333333333</v>
      </c>
      <c r="H40" s="6">
        <v>46036.5</v>
      </c>
      <c r="I40">
        <v>5</v>
      </c>
      <c r="J40" s="6">
        <v>46036.506944444445</v>
      </c>
      <c r="K40" s="7">
        <f t="shared" si="0"/>
        <v>4.7222222223354038E-2</v>
      </c>
      <c r="L40">
        <f t="shared" si="1"/>
        <v>1</v>
      </c>
      <c r="M40">
        <f t="shared" si="2"/>
        <v>8</v>
      </c>
      <c r="N40">
        <f t="shared" si="3"/>
        <v>68</v>
      </c>
    </row>
    <row r="41" spans="2:14" x14ac:dyDescent="0.25">
      <c r="B41" t="s">
        <v>34</v>
      </c>
      <c r="C41" s="6">
        <v>46036.547222222223</v>
      </c>
      <c r="D41" s="6">
        <v>46036.569444444445</v>
      </c>
      <c r="E41" s="6">
        <v>46036.579861111109</v>
      </c>
      <c r="F41" s="6">
        <v>46036.618055555555</v>
      </c>
      <c r="G41" s="6">
        <v>46036.625</v>
      </c>
      <c r="H41" s="6">
        <v>46036.629861111112</v>
      </c>
      <c r="I41">
        <v>1.98</v>
      </c>
      <c r="J41" s="6">
        <v>46036.636805555558</v>
      </c>
      <c r="K41" s="7">
        <f t="shared" si="0"/>
        <v>0.66180555555183673</v>
      </c>
      <c r="L41">
        <f t="shared" si="1"/>
        <v>15</v>
      </c>
      <c r="M41">
        <f t="shared" si="2"/>
        <v>53</v>
      </c>
      <c r="N41">
        <f t="shared" si="3"/>
        <v>953</v>
      </c>
    </row>
    <row r="42" spans="2:14" x14ac:dyDescent="0.25">
      <c r="B42" t="s">
        <v>34</v>
      </c>
      <c r="C42" s="6">
        <v>46037.291666666664</v>
      </c>
      <c r="D42" s="6">
        <v>46037.326388888891</v>
      </c>
      <c r="E42" s="6">
        <v>46037.354166666664</v>
      </c>
      <c r="F42" s="6">
        <v>46037.4375</v>
      </c>
      <c r="G42" s="6">
        <v>46037.458333333336</v>
      </c>
      <c r="H42" s="6">
        <v>46037.461805555555</v>
      </c>
      <c r="I42">
        <v>4.08</v>
      </c>
      <c r="J42" s="6">
        <v>46037.465277777781</v>
      </c>
      <c r="K42" s="7">
        <f t="shared" si="0"/>
        <v>3.4722222226264421E-2</v>
      </c>
      <c r="L42">
        <f t="shared" si="1"/>
        <v>0</v>
      </c>
      <c r="M42">
        <f t="shared" si="2"/>
        <v>50</v>
      </c>
      <c r="N42">
        <f t="shared" si="3"/>
        <v>50</v>
      </c>
    </row>
    <row r="43" spans="2:14" x14ac:dyDescent="0.25">
      <c r="B43" t="s">
        <v>34</v>
      </c>
      <c r="C43" s="6">
        <v>46037.496527777781</v>
      </c>
      <c r="D43" s="6">
        <v>46037.513888888891</v>
      </c>
      <c r="E43" s="6">
        <v>46037.534722222219</v>
      </c>
      <c r="F43" s="6">
        <v>46037.642361111109</v>
      </c>
      <c r="G43" s="6">
        <v>46037.649305555555</v>
      </c>
      <c r="H43" s="6">
        <v>46037.652777777781</v>
      </c>
      <c r="I43">
        <v>3.75</v>
      </c>
      <c r="J43" s="6">
        <v>46037.65625</v>
      </c>
      <c r="K43" s="7">
        <f t="shared" si="0"/>
        <v>4.722222221607808E-2</v>
      </c>
      <c r="L43">
        <f t="shared" si="1"/>
        <v>1</v>
      </c>
      <c r="M43">
        <f t="shared" si="2"/>
        <v>8</v>
      </c>
      <c r="N43">
        <f t="shared" si="3"/>
        <v>68</v>
      </c>
    </row>
    <row r="44" spans="2:14" x14ac:dyDescent="0.25">
      <c r="B44" t="s">
        <v>34</v>
      </c>
      <c r="C44" s="6">
        <v>46037.7</v>
      </c>
      <c r="D44" s="6">
        <v>46037.708333333336</v>
      </c>
      <c r="E44" s="6">
        <v>46037.722222222219</v>
      </c>
      <c r="F44" s="6">
        <v>46037.810416666667</v>
      </c>
      <c r="G44" s="6">
        <v>46037.817361111112</v>
      </c>
      <c r="H44" s="6">
        <v>46037.834027777775</v>
      </c>
      <c r="I44">
        <v>3.22</v>
      </c>
      <c r="J44" s="6">
        <v>46037.84097222222</v>
      </c>
      <c r="K44" s="7">
        <f t="shared" si="0"/>
        <v>0.22847222222480923</v>
      </c>
      <c r="L44">
        <f t="shared" si="1"/>
        <v>5</v>
      </c>
      <c r="M44">
        <f t="shared" si="2"/>
        <v>29</v>
      </c>
      <c r="N44">
        <f t="shared" si="3"/>
        <v>329</v>
      </c>
    </row>
    <row r="45" spans="2:14" x14ac:dyDescent="0.25">
      <c r="B45" t="s">
        <v>34</v>
      </c>
      <c r="C45" s="6">
        <v>46038.0625</v>
      </c>
      <c r="D45" s="6">
        <v>46038.072916666664</v>
      </c>
      <c r="E45" s="6">
        <v>46038.076388888891</v>
      </c>
      <c r="F45" s="6">
        <v>46038.086805555555</v>
      </c>
      <c r="G45" s="6">
        <v>46038.090277777781</v>
      </c>
      <c r="H45" s="6">
        <v>46038.09375</v>
      </c>
      <c r="I45">
        <v>0.75</v>
      </c>
      <c r="J45" s="6">
        <v>46038.100694444445</v>
      </c>
      <c r="K45" s="7">
        <f t="shared" si="0"/>
        <v>0.19791666666424135</v>
      </c>
      <c r="L45">
        <f t="shared" si="1"/>
        <v>4</v>
      </c>
      <c r="M45">
        <f t="shared" si="2"/>
        <v>45</v>
      </c>
      <c r="N45">
        <f t="shared" si="3"/>
        <v>285</v>
      </c>
    </row>
    <row r="46" spans="2:14" hidden="1" x14ac:dyDescent="0.25">
      <c r="B46" t="s">
        <v>34</v>
      </c>
      <c r="C46" s="6">
        <v>46038.291666666664</v>
      </c>
      <c r="D46" s="6">
        <v>46038.350694444445</v>
      </c>
      <c r="E46" s="6">
        <v>46038.368055555555</v>
      </c>
      <c r="F46" s="6">
        <v>46038.451388888891</v>
      </c>
      <c r="G46" s="6">
        <v>46038.479166666664</v>
      </c>
      <c r="H46" s="6">
        <v>46038.486111111109</v>
      </c>
      <c r="I46">
        <v>4.67</v>
      </c>
      <c r="J46" s="6">
        <v>46038.493055555555</v>
      </c>
      <c r="K46" s="7">
        <f t="shared" si="0"/>
        <v>-0.15625</v>
      </c>
      <c r="L46" t="e">
        <f t="shared" si="1"/>
        <v>#NUM!</v>
      </c>
      <c r="M46" t="e">
        <f t="shared" si="2"/>
        <v>#NUM!</v>
      </c>
      <c r="N46" t="e">
        <f t="shared" si="3"/>
        <v>#NUM!</v>
      </c>
    </row>
    <row r="47" spans="2:14" hidden="1" x14ac:dyDescent="0.25">
      <c r="B47" t="s">
        <v>34</v>
      </c>
      <c r="C47" s="6">
        <v>46038.329861111109</v>
      </c>
      <c r="D47" s="6">
        <v>46038.347222222219</v>
      </c>
      <c r="E47" s="6">
        <v>46038.378472222219</v>
      </c>
      <c r="F47" s="6">
        <v>46038.484027777777</v>
      </c>
      <c r="G47" s="6">
        <v>46038.510416666664</v>
      </c>
      <c r="H47" s="6">
        <v>46038.520833333336</v>
      </c>
      <c r="I47">
        <v>4.58</v>
      </c>
      <c r="J47" s="6">
        <v>46038.527777777781</v>
      </c>
      <c r="K47" s="7">
        <f t="shared" si="0"/>
        <v>-0.19097222222626442</v>
      </c>
      <c r="L47" t="e">
        <f t="shared" si="1"/>
        <v>#NUM!</v>
      </c>
      <c r="M47" t="e">
        <f t="shared" si="2"/>
        <v>#NUM!</v>
      </c>
      <c r="N47" t="e">
        <f t="shared" si="3"/>
        <v>#NUM!</v>
      </c>
    </row>
    <row r="48" spans="2:14" x14ac:dyDescent="0.25">
      <c r="B48" t="s">
        <v>34</v>
      </c>
      <c r="C48" s="6">
        <v>46038.329861111109</v>
      </c>
      <c r="D48" s="6">
        <v>46038.347222222219</v>
      </c>
      <c r="E48" s="6">
        <v>46038.378472222219</v>
      </c>
      <c r="F48" s="6">
        <v>46038.484027777777</v>
      </c>
      <c r="G48" s="6">
        <v>46038.510416666664</v>
      </c>
      <c r="H48" s="6">
        <v>46038.520833333336</v>
      </c>
      <c r="I48">
        <v>4.58</v>
      </c>
      <c r="J48" s="6">
        <v>46038.527777777781</v>
      </c>
      <c r="K48" s="7">
        <f t="shared" si="0"/>
        <v>5.9027777773735579E-2</v>
      </c>
      <c r="L48">
        <f t="shared" si="1"/>
        <v>1</v>
      </c>
      <c r="M48">
        <f t="shared" si="2"/>
        <v>25</v>
      </c>
      <c r="N48">
        <f t="shared" si="3"/>
        <v>85</v>
      </c>
    </row>
    <row r="49" spans="2:14" x14ac:dyDescent="0.25">
      <c r="B49" t="s">
        <v>34</v>
      </c>
      <c r="C49" s="6">
        <v>46038.579861111109</v>
      </c>
      <c r="D49" s="6">
        <v>46038.583333333336</v>
      </c>
      <c r="E49" s="6">
        <v>46038.590277777781</v>
      </c>
      <c r="F49" s="6">
        <v>46038.756944444445</v>
      </c>
      <c r="G49" s="6">
        <v>46038.763888888891</v>
      </c>
      <c r="H49" s="6">
        <v>46038.788194444445</v>
      </c>
      <c r="I49">
        <v>5</v>
      </c>
      <c r="J49" s="6">
        <v>46038.795138888891</v>
      </c>
      <c r="K49" s="7">
        <f t="shared" si="0"/>
        <v>0.70138888889050577</v>
      </c>
      <c r="L49">
        <f t="shared" si="1"/>
        <v>16</v>
      </c>
      <c r="M49">
        <f t="shared" si="2"/>
        <v>50</v>
      </c>
      <c r="N49">
        <f t="shared" si="3"/>
        <v>1010</v>
      </c>
    </row>
    <row r="50" spans="2:14" x14ac:dyDescent="0.25">
      <c r="B50" t="s">
        <v>34</v>
      </c>
      <c r="C50" s="6">
        <v>46039.489583333336</v>
      </c>
      <c r="D50" s="6">
        <v>46039.493055555555</v>
      </c>
      <c r="E50" s="6">
        <v>46039.503472222219</v>
      </c>
      <c r="F50" s="6">
        <v>46039.517361111109</v>
      </c>
      <c r="G50" s="6">
        <v>46039.520833333336</v>
      </c>
      <c r="H50" s="6">
        <v>46039.524305555555</v>
      </c>
      <c r="I50">
        <v>0.83</v>
      </c>
      <c r="J50" s="6">
        <v>46039.527777777781</v>
      </c>
      <c r="K50" s="7">
        <f t="shared" si="0"/>
        <v>0.12152777778101154</v>
      </c>
      <c r="L50">
        <f t="shared" si="1"/>
        <v>2</v>
      </c>
      <c r="M50">
        <f t="shared" si="2"/>
        <v>55</v>
      </c>
      <c r="N50">
        <f t="shared" si="3"/>
        <v>175</v>
      </c>
    </row>
    <row r="51" spans="2:14" x14ac:dyDescent="0.25">
      <c r="B51" t="s">
        <v>34</v>
      </c>
      <c r="C51" s="6">
        <v>46039.645833333336</v>
      </c>
      <c r="D51" s="6">
        <v>46039.652777777781</v>
      </c>
      <c r="E51" s="6">
        <v>46039.659722222219</v>
      </c>
      <c r="F51" s="6">
        <v>46039.722222222219</v>
      </c>
      <c r="G51" s="6">
        <v>46039.729166666664</v>
      </c>
      <c r="H51" s="6">
        <v>46039.732638888891</v>
      </c>
      <c r="I51">
        <v>2.08</v>
      </c>
      <c r="J51" s="6">
        <v>46039.739583333336</v>
      </c>
      <c r="K51" s="7">
        <f t="shared" si="0"/>
        <v>0.13541666666424135</v>
      </c>
      <c r="L51">
        <f t="shared" si="1"/>
        <v>3</v>
      </c>
      <c r="M51">
        <f t="shared" si="2"/>
        <v>15</v>
      </c>
      <c r="N51">
        <f t="shared" si="3"/>
        <v>195</v>
      </c>
    </row>
    <row r="52" spans="2:14" x14ac:dyDescent="0.25">
      <c r="B52" t="s">
        <v>34</v>
      </c>
      <c r="C52" s="6">
        <v>46039.868055555555</v>
      </c>
      <c r="D52" s="6">
        <v>46039.871527777781</v>
      </c>
      <c r="E52" s="6">
        <v>46039.875</v>
      </c>
      <c r="F52" s="6">
        <v>46039.911111111112</v>
      </c>
      <c r="G52" s="6">
        <v>46039.916666666664</v>
      </c>
      <c r="H52" s="6">
        <v>46039.917361111111</v>
      </c>
      <c r="I52">
        <v>1.18</v>
      </c>
      <c r="J52" s="6">
        <v>46039.924305555556</v>
      </c>
      <c r="K52" s="7">
        <f t="shared" si="0"/>
        <v>1.4576388888890506</v>
      </c>
      <c r="L52">
        <f t="shared" si="1"/>
        <v>10</v>
      </c>
      <c r="M52">
        <f t="shared" si="2"/>
        <v>59</v>
      </c>
      <c r="N52">
        <f t="shared" si="3"/>
        <v>659</v>
      </c>
    </row>
    <row r="53" spans="2:14" x14ac:dyDescent="0.25">
      <c r="B53" t="s">
        <v>34</v>
      </c>
      <c r="C53" s="6">
        <v>46041.375</v>
      </c>
      <c r="D53" s="6">
        <v>46041.388888888891</v>
      </c>
      <c r="E53" s="6">
        <v>46041.395833333336</v>
      </c>
      <c r="F53" s="6">
        <v>46041.416666666664</v>
      </c>
      <c r="G53" s="6">
        <v>46041.420138888891</v>
      </c>
      <c r="H53" s="6">
        <v>46041.423611111109</v>
      </c>
      <c r="I53">
        <v>1.17</v>
      </c>
      <c r="J53" s="6">
        <v>46041.430555555555</v>
      </c>
      <c r="K53" s="7">
        <f t="shared" si="0"/>
        <v>6.25E-2</v>
      </c>
      <c r="L53">
        <f t="shared" si="1"/>
        <v>1</v>
      </c>
      <c r="M53">
        <f t="shared" si="2"/>
        <v>30</v>
      </c>
      <c r="N53">
        <f t="shared" si="3"/>
        <v>90</v>
      </c>
    </row>
    <row r="54" spans="2:14" x14ac:dyDescent="0.25">
      <c r="B54" t="s">
        <v>34</v>
      </c>
      <c r="C54" s="6">
        <v>46041.486111111109</v>
      </c>
      <c r="D54" s="6">
        <v>46041.5</v>
      </c>
      <c r="E54" s="6">
        <v>46041.520833333336</v>
      </c>
      <c r="F54" s="6">
        <v>46041.544444444444</v>
      </c>
      <c r="G54" s="6">
        <v>46041.555555555555</v>
      </c>
      <c r="H54" s="6">
        <v>46041.6875</v>
      </c>
      <c r="I54">
        <v>4.83</v>
      </c>
      <c r="J54" s="6">
        <v>46041.694444444445</v>
      </c>
      <c r="K54" s="7">
        <f t="shared" si="0"/>
        <v>0.78055555555329192</v>
      </c>
      <c r="L54">
        <f t="shared" si="1"/>
        <v>18</v>
      </c>
      <c r="M54">
        <f t="shared" si="2"/>
        <v>44</v>
      </c>
      <c r="N54">
        <f t="shared" si="3"/>
        <v>1124</v>
      </c>
    </row>
    <row r="55" spans="2:14" x14ac:dyDescent="0.25">
      <c r="B55" t="s">
        <v>34</v>
      </c>
      <c r="C55" s="6">
        <v>46042.468055555553</v>
      </c>
      <c r="D55" s="6">
        <v>46042.475694444445</v>
      </c>
      <c r="E55" s="6">
        <v>46042.486111111109</v>
      </c>
      <c r="F55" s="6">
        <v>46042.5</v>
      </c>
      <c r="G55" s="6">
        <v>46042.506944444445</v>
      </c>
      <c r="H55" s="6">
        <v>46042.517361111109</v>
      </c>
      <c r="I55">
        <v>1.18</v>
      </c>
      <c r="J55" s="6">
        <v>46042.524305555555</v>
      </c>
      <c r="K55" s="7">
        <f t="shared" si="0"/>
        <v>5.2083333335758653E-2</v>
      </c>
      <c r="L55">
        <f t="shared" si="1"/>
        <v>1</v>
      </c>
      <c r="M55">
        <f t="shared" si="2"/>
        <v>15</v>
      </c>
      <c r="N55">
        <f t="shared" si="3"/>
        <v>75</v>
      </c>
    </row>
    <row r="56" spans="2:14" x14ac:dyDescent="0.25">
      <c r="B56" t="s">
        <v>34</v>
      </c>
      <c r="C56" s="6">
        <v>46042.569444444445</v>
      </c>
      <c r="D56" s="6">
        <v>46042.590277777781</v>
      </c>
      <c r="E56" s="6">
        <v>46042.618055555555</v>
      </c>
      <c r="F56" s="6">
        <v>46042.722222222219</v>
      </c>
      <c r="G56" s="6">
        <v>46042.743055555555</v>
      </c>
      <c r="H56" s="6">
        <v>46042.75</v>
      </c>
      <c r="I56">
        <v>4.33</v>
      </c>
      <c r="J56" s="6">
        <v>46042.753472222219</v>
      </c>
      <c r="K56" s="7">
        <f t="shared" si="0"/>
        <v>0.16319444444525288</v>
      </c>
      <c r="L56">
        <f t="shared" si="1"/>
        <v>3</v>
      </c>
      <c r="M56">
        <f t="shared" si="2"/>
        <v>55</v>
      </c>
      <c r="N56">
        <f t="shared" si="3"/>
        <v>235</v>
      </c>
    </row>
    <row r="57" spans="2:14" x14ac:dyDescent="0.25">
      <c r="B57" t="s">
        <v>34</v>
      </c>
      <c r="C57" s="6">
        <v>46042.913194444445</v>
      </c>
      <c r="D57" s="6">
        <v>46042.916666666664</v>
      </c>
      <c r="E57" s="6">
        <v>46042.923611111109</v>
      </c>
      <c r="F57" s="6">
        <v>46042.972222222219</v>
      </c>
      <c r="G57" s="6">
        <v>46042.993055555555</v>
      </c>
      <c r="H57" s="6">
        <v>46043.715277777781</v>
      </c>
      <c r="I57">
        <v>19.25</v>
      </c>
      <c r="J57" s="6">
        <v>46043.722222222219</v>
      </c>
      <c r="K57" s="7">
        <f t="shared" si="0"/>
        <v>0.57638888888322981</v>
      </c>
      <c r="L57">
        <f t="shared" si="1"/>
        <v>13</v>
      </c>
      <c r="M57">
        <f t="shared" si="2"/>
        <v>50</v>
      </c>
      <c r="N57">
        <f t="shared" si="3"/>
        <v>830</v>
      </c>
    </row>
    <row r="58" spans="2:14" hidden="1" x14ac:dyDescent="0.25">
      <c r="B58" t="s">
        <v>34</v>
      </c>
      <c r="C58" s="6">
        <v>46044.291666666664</v>
      </c>
      <c r="D58" s="6">
        <v>46044.315972222219</v>
      </c>
      <c r="E58" s="6">
        <v>46044.327777777777</v>
      </c>
      <c r="F58" s="6">
        <v>46044.385416666664</v>
      </c>
      <c r="G58" s="6">
        <v>46044.388888888891</v>
      </c>
      <c r="H58" s="6">
        <v>46044.392361111109</v>
      </c>
      <c r="I58">
        <v>2.42</v>
      </c>
      <c r="J58" s="6">
        <v>46044.397222222222</v>
      </c>
      <c r="K58" s="7">
        <f t="shared" si="0"/>
        <v>-3.4722222218988463E-2</v>
      </c>
      <c r="L58" t="e">
        <f t="shared" si="1"/>
        <v>#NUM!</v>
      </c>
      <c r="M58" t="e">
        <f t="shared" si="2"/>
        <v>#NUM!</v>
      </c>
      <c r="N58" t="e">
        <f t="shared" si="3"/>
        <v>#NUM!</v>
      </c>
    </row>
    <row r="59" spans="2:14" hidden="1" x14ac:dyDescent="0.25">
      <c r="B59" t="s">
        <v>34</v>
      </c>
      <c r="C59" s="6">
        <v>46044.357638888891</v>
      </c>
      <c r="D59" s="6">
        <v>46044.364583333336</v>
      </c>
      <c r="E59" s="6">
        <v>46044.378472222219</v>
      </c>
      <c r="F59" s="6">
        <v>46044.486111111109</v>
      </c>
      <c r="G59" s="6">
        <v>46044.493055555555</v>
      </c>
      <c r="H59" s="6">
        <v>46044.506944444445</v>
      </c>
      <c r="I59">
        <v>3.58</v>
      </c>
      <c r="J59" s="6">
        <v>46044.513888888891</v>
      </c>
      <c r="K59" s="7">
        <f t="shared" si="0"/>
        <v>-0.12638888888614019</v>
      </c>
      <c r="L59" t="e">
        <f t="shared" si="1"/>
        <v>#NUM!</v>
      </c>
      <c r="M59" t="e">
        <f t="shared" si="2"/>
        <v>#NUM!</v>
      </c>
      <c r="N59" t="e">
        <f t="shared" si="3"/>
        <v>#NUM!</v>
      </c>
    </row>
    <row r="60" spans="2:14" x14ac:dyDescent="0.25">
      <c r="B60" t="s">
        <v>34</v>
      </c>
      <c r="C60" s="6">
        <v>46044.380555555559</v>
      </c>
      <c r="D60" s="6">
        <v>46044.392361111109</v>
      </c>
      <c r="E60" s="6">
        <v>46044.427083333336</v>
      </c>
      <c r="F60" s="6">
        <v>46044.568749999999</v>
      </c>
      <c r="G60" s="6">
        <v>46044.575694444444</v>
      </c>
      <c r="H60" s="6">
        <v>46044.579861111109</v>
      </c>
      <c r="I60">
        <v>4.78</v>
      </c>
      <c r="J60" s="6">
        <v>46044.586805555555</v>
      </c>
      <c r="K60" s="7">
        <f t="shared" si="0"/>
        <v>0.75347222222626442</v>
      </c>
      <c r="L60">
        <f t="shared" si="1"/>
        <v>18</v>
      </c>
      <c r="M60">
        <f t="shared" si="2"/>
        <v>5</v>
      </c>
      <c r="N60">
        <f t="shared" si="3"/>
        <v>1085</v>
      </c>
    </row>
    <row r="61" spans="2:14" x14ac:dyDescent="0.25">
      <c r="B61" t="s">
        <v>34</v>
      </c>
      <c r="C61" s="6">
        <v>46045.333333333336</v>
      </c>
      <c r="D61" s="6">
        <v>46045.361111111109</v>
      </c>
      <c r="E61" s="6">
        <v>46045.371527777781</v>
      </c>
      <c r="F61" s="6">
        <v>46045.440972222219</v>
      </c>
      <c r="G61" s="6">
        <v>46045.447916666664</v>
      </c>
      <c r="H61" s="6">
        <v>46045.451388888891</v>
      </c>
      <c r="I61">
        <v>2.83</v>
      </c>
      <c r="J61" s="6">
        <v>46045.458333333336</v>
      </c>
      <c r="K61" s="7">
        <f t="shared" si="0"/>
        <v>5.9027777773735579E-2</v>
      </c>
      <c r="L61">
        <f t="shared" si="1"/>
        <v>1</v>
      </c>
      <c r="M61">
        <f t="shared" si="2"/>
        <v>25</v>
      </c>
      <c r="N61">
        <f t="shared" si="3"/>
        <v>85</v>
      </c>
    </row>
    <row r="62" spans="2:14" x14ac:dyDescent="0.25">
      <c r="B62" t="s">
        <v>34</v>
      </c>
      <c r="C62" s="6">
        <v>46045.510416666664</v>
      </c>
      <c r="D62" s="6">
        <v>46045.517361111109</v>
      </c>
      <c r="E62" s="6">
        <v>46045.541666666664</v>
      </c>
      <c r="F62" s="6">
        <v>46045.652777777781</v>
      </c>
      <c r="G62" s="6">
        <v>46045.663194444445</v>
      </c>
      <c r="H62" s="6">
        <v>46045.673611111109</v>
      </c>
      <c r="I62">
        <v>3.92</v>
      </c>
      <c r="J62" s="6">
        <v>46045.680555555555</v>
      </c>
      <c r="K62" s="7">
        <f t="shared" si="0"/>
        <v>0.25694444444525288</v>
      </c>
      <c r="L62">
        <f t="shared" si="1"/>
        <v>6</v>
      </c>
      <c r="M62">
        <f t="shared" si="2"/>
        <v>10</v>
      </c>
      <c r="N62">
        <f t="shared" si="3"/>
        <v>370</v>
      </c>
    </row>
    <row r="63" spans="2:14" x14ac:dyDescent="0.25">
      <c r="B63" t="s">
        <v>34</v>
      </c>
      <c r="C63" s="6">
        <v>46045.930555555555</v>
      </c>
      <c r="D63" s="6">
        <v>46045.934027777781</v>
      </c>
      <c r="E63" s="6">
        <v>46045.940972222219</v>
      </c>
      <c r="F63" s="6">
        <v>46045.951388888891</v>
      </c>
      <c r="G63" s="6">
        <v>46045.954861111109</v>
      </c>
      <c r="H63" s="6">
        <v>46045.958333333336</v>
      </c>
      <c r="I63">
        <v>0.67</v>
      </c>
      <c r="J63" s="6">
        <v>46045.965277777781</v>
      </c>
      <c r="K63" s="7">
        <f t="shared" si="0"/>
        <v>0.10416666666424135</v>
      </c>
      <c r="L63">
        <f t="shared" si="1"/>
        <v>2</v>
      </c>
      <c r="M63">
        <f t="shared" si="2"/>
        <v>30</v>
      </c>
      <c r="N63">
        <f t="shared" si="3"/>
        <v>150</v>
      </c>
    </row>
    <row r="64" spans="2:14" x14ac:dyDescent="0.25">
      <c r="B64" t="s">
        <v>34</v>
      </c>
      <c r="C64" s="6">
        <v>46046.0625</v>
      </c>
      <c r="D64" s="6">
        <v>46046.069444444445</v>
      </c>
      <c r="E64" s="6">
        <v>46046.079861111109</v>
      </c>
      <c r="F64" s="6">
        <v>46046.097222222219</v>
      </c>
      <c r="G64" s="6">
        <v>46046.104166666664</v>
      </c>
      <c r="H64" s="6">
        <v>46046.114583333336</v>
      </c>
      <c r="I64">
        <v>1.25</v>
      </c>
      <c r="J64" s="6">
        <v>46046.121527777781</v>
      </c>
      <c r="K64" s="7">
        <f t="shared" si="0"/>
        <v>0.27777777777373558</v>
      </c>
      <c r="L64">
        <f t="shared" si="1"/>
        <v>6</v>
      </c>
      <c r="M64">
        <f t="shared" si="2"/>
        <v>40</v>
      </c>
      <c r="N64">
        <f t="shared" si="3"/>
        <v>400</v>
      </c>
    </row>
    <row r="65" spans="2:14" x14ac:dyDescent="0.25">
      <c r="B65" t="s">
        <v>34</v>
      </c>
      <c r="C65" s="6">
        <v>46046.392361111109</v>
      </c>
      <c r="D65" s="6">
        <v>46046.402777777781</v>
      </c>
      <c r="E65" s="6">
        <v>46046.423611111109</v>
      </c>
      <c r="F65" s="6">
        <v>46046.472222222219</v>
      </c>
      <c r="G65" s="6">
        <v>46046.479166666664</v>
      </c>
      <c r="H65" s="6">
        <v>46046.493055555555</v>
      </c>
      <c r="I65">
        <v>2.42</v>
      </c>
      <c r="J65" s="6">
        <v>46046.495138888888</v>
      </c>
      <c r="K65" s="7">
        <f t="shared" si="0"/>
        <v>0.86111111110949423</v>
      </c>
      <c r="L65">
        <f t="shared" si="1"/>
        <v>20</v>
      </c>
      <c r="M65">
        <f t="shared" si="2"/>
        <v>40</v>
      </c>
      <c r="N65">
        <f t="shared" si="3"/>
        <v>1240</v>
      </c>
    </row>
    <row r="66" spans="2:14" x14ac:dyDescent="0.25">
      <c r="B66" t="s">
        <v>34</v>
      </c>
      <c r="C66" s="6">
        <v>46047.354166666664</v>
      </c>
      <c r="D66" s="6">
        <v>46047.364583333336</v>
      </c>
      <c r="E66" s="6">
        <v>46047.375</v>
      </c>
      <c r="F66" s="6">
        <v>46047.479166666664</v>
      </c>
      <c r="G66" s="6">
        <v>46047.486111111109</v>
      </c>
      <c r="H66" s="6">
        <v>46047.5</v>
      </c>
      <c r="I66">
        <v>3.5</v>
      </c>
      <c r="J66" s="6">
        <v>46047.506944444445</v>
      </c>
      <c r="K66" s="7">
        <f t="shared" si="0"/>
        <v>0.48263888889050577</v>
      </c>
      <c r="L66">
        <f t="shared" si="1"/>
        <v>11</v>
      </c>
      <c r="M66">
        <f t="shared" si="2"/>
        <v>35</v>
      </c>
      <c r="N66">
        <f t="shared" si="3"/>
        <v>695</v>
      </c>
    </row>
    <row r="67" spans="2:14" x14ac:dyDescent="0.25">
      <c r="B67" t="s">
        <v>34</v>
      </c>
      <c r="C67" s="6">
        <v>46047.982638888891</v>
      </c>
      <c r="D67" s="6">
        <v>46047.986111111109</v>
      </c>
      <c r="E67" s="6">
        <v>46048</v>
      </c>
      <c r="F67" s="6">
        <v>46048.03125</v>
      </c>
      <c r="G67" s="6">
        <v>46048.038194444445</v>
      </c>
      <c r="H67" s="6">
        <v>46048.041666666664</v>
      </c>
      <c r="I67">
        <v>1.42</v>
      </c>
      <c r="J67" s="6">
        <v>46048.048611111109</v>
      </c>
      <c r="K67" s="7">
        <f t="shared" si="0"/>
        <v>0.24305555555474712</v>
      </c>
      <c r="L67">
        <f t="shared" si="1"/>
        <v>5</v>
      </c>
      <c r="M67">
        <f t="shared" si="2"/>
        <v>50</v>
      </c>
      <c r="N67">
        <f t="shared" si="3"/>
        <v>350</v>
      </c>
    </row>
    <row r="68" spans="2:14" hidden="1" x14ac:dyDescent="0.25">
      <c r="B68" t="s">
        <v>34</v>
      </c>
      <c r="C68" s="6">
        <v>46048.284722222219</v>
      </c>
      <c r="D68" s="6">
        <v>46048.319444444445</v>
      </c>
      <c r="E68" s="6">
        <v>46048.368055555555</v>
      </c>
      <c r="F68" s="6">
        <v>46048.604166666664</v>
      </c>
      <c r="G68" s="6">
        <v>46048.611111111109</v>
      </c>
      <c r="H68" s="6">
        <v>46048.618055555555</v>
      </c>
      <c r="I68">
        <v>8</v>
      </c>
      <c r="J68" s="6">
        <v>46048.625</v>
      </c>
      <c r="K68" s="7">
        <f t="shared" ref="K68:K131" si="4">C69-H68</f>
        <v>-0.31944444444525288</v>
      </c>
      <c r="L68" t="e">
        <f t="shared" ref="L68:L131" si="5">HOUR(K68)</f>
        <v>#NUM!</v>
      </c>
      <c r="M68" t="e">
        <f t="shared" ref="M68:M131" si="6">MINUTE(K68)</f>
        <v>#NUM!</v>
      </c>
      <c r="N68" t="e">
        <f t="shared" ref="N68:N131" si="7">L68*60+M68</f>
        <v>#NUM!</v>
      </c>
    </row>
    <row r="69" spans="2:14" x14ac:dyDescent="0.25">
      <c r="B69" t="s">
        <v>34</v>
      </c>
      <c r="C69" s="6">
        <v>46048.298611111109</v>
      </c>
      <c r="D69" s="6">
        <v>46048.333333333336</v>
      </c>
      <c r="E69" s="6">
        <v>46048.354166666664</v>
      </c>
      <c r="F69" s="6">
        <v>46048.375</v>
      </c>
      <c r="G69" s="6">
        <v>46048.375694444447</v>
      </c>
      <c r="H69" s="6">
        <v>46048.395833333336</v>
      </c>
      <c r="I69">
        <v>2.33</v>
      </c>
      <c r="J69" s="6">
        <v>46048.396527777775</v>
      </c>
      <c r="K69" s="7">
        <f t="shared" si="4"/>
        <v>0.89583333332848269</v>
      </c>
      <c r="L69">
        <f t="shared" si="5"/>
        <v>21</v>
      </c>
      <c r="M69">
        <f t="shared" si="6"/>
        <v>30</v>
      </c>
      <c r="N69">
        <f t="shared" si="7"/>
        <v>1290</v>
      </c>
    </row>
    <row r="70" spans="2:14" hidden="1" x14ac:dyDescent="0.25">
      <c r="B70" t="s">
        <v>34</v>
      </c>
      <c r="C70" s="6">
        <v>46049.291666666664</v>
      </c>
      <c r="D70" s="6">
        <v>46049.333333333336</v>
      </c>
      <c r="E70" s="6">
        <v>46049.416666666664</v>
      </c>
      <c r="F70" s="6">
        <v>46049.53125</v>
      </c>
      <c r="G70" s="6">
        <v>46049.538194444445</v>
      </c>
      <c r="H70" s="6">
        <v>46049.541666666664</v>
      </c>
      <c r="I70">
        <v>6</v>
      </c>
      <c r="J70" s="6">
        <v>46049.548611111109</v>
      </c>
      <c r="K70" s="7">
        <f t="shared" si="4"/>
        <v>-6.5972222218988463E-2</v>
      </c>
      <c r="L70" t="e">
        <f t="shared" si="5"/>
        <v>#NUM!</v>
      </c>
      <c r="M70" t="e">
        <f t="shared" si="6"/>
        <v>#NUM!</v>
      </c>
      <c r="N70" t="e">
        <f t="shared" si="7"/>
        <v>#NUM!</v>
      </c>
    </row>
    <row r="71" spans="2:14" x14ac:dyDescent="0.25">
      <c r="B71" t="s">
        <v>34</v>
      </c>
      <c r="C71" s="6">
        <v>46049.475694444445</v>
      </c>
      <c r="D71" s="6">
        <v>46049.482638888891</v>
      </c>
      <c r="E71" s="6">
        <v>46049.511805555558</v>
      </c>
      <c r="F71" s="6">
        <v>46049.650694444441</v>
      </c>
      <c r="G71" s="6">
        <v>46049.708333333336</v>
      </c>
      <c r="H71" s="6">
        <v>46050.395833333336</v>
      </c>
      <c r="I71">
        <v>22.08</v>
      </c>
      <c r="J71" s="6">
        <v>46050.402777777781</v>
      </c>
      <c r="K71" s="7">
        <f t="shared" si="4"/>
        <v>0.89583333332848269</v>
      </c>
      <c r="L71">
        <f t="shared" si="5"/>
        <v>21</v>
      </c>
      <c r="M71">
        <f t="shared" si="6"/>
        <v>30</v>
      </c>
      <c r="N71">
        <f t="shared" si="7"/>
        <v>1290</v>
      </c>
    </row>
    <row r="72" spans="2:14" x14ac:dyDescent="0.25">
      <c r="B72" t="s">
        <v>34</v>
      </c>
      <c r="C72" s="6">
        <v>46051.291666666664</v>
      </c>
      <c r="D72" s="6">
        <v>46051.298611111109</v>
      </c>
      <c r="E72" s="6">
        <v>46051.388888888891</v>
      </c>
      <c r="F72" s="6">
        <v>46051.479166666664</v>
      </c>
      <c r="G72" s="6">
        <v>46051.486111111109</v>
      </c>
      <c r="H72" s="6">
        <v>46051.520833333336</v>
      </c>
      <c r="I72">
        <v>5.5</v>
      </c>
      <c r="J72" s="6">
        <v>46051.527777777781</v>
      </c>
      <c r="K72" s="7">
        <f t="shared" si="4"/>
        <v>8.3333333328482695E-2</v>
      </c>
      <c r="L72">
        <f t="shared" si="5"/>
        <v>2</v>
      </c>
      <c r="M72">
        <f t="shared" si="6"/>
        <v>0</v>
      </c>
      <c r="N72">
        <f t="shared" si="7"/>
        <v>120</v>
      </c>
    </row>
    <row r="73" spans="2:14" hidden="1" x14ac:dyDescent="0.25">
      <c r="B73" t="s">
        <v>34</v>
      </c>
      <c r="C73" s="6">
        <v>46051.604166666664</v>
      </c>
      <c r="D73" s="6">
        <v>46051.618055555555</v>
      </c>
      <c r="E73" s="6">
        <v>46051.631944444445</v>
      </c>
      <c r="F73" s="6">
        <v>46051.708333333336</v>
      </c>
      <c r="G73" s="6">
        <v>46051.715277777781</v>
      </c>
      <c r="H73" s="6">
        <v>46051.805555555555</v>
      </c>
      <c r="I73">
        <v>4.83</v>
      </c>
      <c r="J73" s="6">
        <v>46051.8125</v>
      </c>
      <c r="K73" s="7">
        <f t="shared" si="4"/>
        <v>-0.14583333333575865</v>
      </c>
      <c r="L73" t="e">
        <f t="shared" si="5"/>
        <v>#NUM!</v>
      </c>
      <c r="M73" t="e">
        <f t="shared" si="6"/>
        <v>#NUM!</v>
      </c>
      <c r="N73" t="e">
        <f t="shared" si="7"/>
        <v>#NUM!</v>
      </c>
    </row>
    <row r="74" spans="2:14" x14ac:dyDescent="0.25">
      <c r="B74" t="s">
        <v>34</v>
      </c>
      <c r="C74" s="6">
        <v>46051.659722222219</v>
      </c>
      <c r="D74" s="6">
        <v>46051.666666666664</v>
      </c>
      <c r="E74" s="6">
        <v>46051.680555555555</v>
      </c>
      <c r="F74" s="6">
        <v>46051.715277777781</v>
      </c>
      <c r="G74" s="6">
        <v>46051.722222222219</v>
      </c>
      <c r="H74" s="6">
        <v>46051.729166666664</v>
      </c>
      <c r="I74">
        <v>1.67</v>
      </c>
      <c r="J74" s="6">
        <v>46051.736111111109</v>
      </c>
      <c r="K74" s="7">
        <f t="shared" si="4"/>
        <v>0.25347222222626442</v>
      </c>
      <c r="L74">
        <f t="shared" si="5"/>
        <v>6</v>
      </c>
      <c r="M74">
        <f t="shared" si="6"/>
        <v>5</v>
      </c>
      <c r="N74">
        <f t="shared" si="7"/>
        <v>365</v>
      </c>
    </row>
    <row r="75" spans="2:14" x14ac:dyDescent="0.25">
      <c r="B75" t="s">
        <v>34</v>
      </c>
      <c r="C75" s="6">
        <v>46051.982638888891</v>
      </c>
      <c r="D75" s="6">
        <v>46051.986111111109</v>
      </c>
      <c r="E75" s="6">
        <v>46051.989583333336</v>
      </c>
      <c r="F75" s="6">
        <v>46052.090277777781</v>
      </c>
      <c r="G75" s="6">
        <v>46052.097222222219</v>
      </c>
      <c r="H75" s="6">
        <v>46052.125</v>
      </c>
      <c r="I75">
        <v>3.42</v>
      </c>
      <c r="J75" s="6">
        <v>46052.125694444447</v>
      </c>
      <c r="K75" s="7">
        <f t="shared" si="4"/>
        <v>0.16666666666424135</v>
      </c>
      <c r="L75">
        <f t="shared" si="5"/>
        <v>4</v>
      </c>
      <c r="M75">
        <f t="shared" si="6"/>
        <v>0</v>
      </c>
      <c r="N75">
        <f t="shared" si="7"/>
        <v>240</v>
      </c>
    </row>
    <row r="76" spans="2:14" hidden="1" x14ac:dyDescent="0.25">
      <c r="B76" t="s">
        <v>34</v>
      </c>
      <c r="C76" s="6">
        <v>46052.291666666664</v>
      </c>
      <c r="D76" s="6">
        <v>46052.315972222219</v>
      </c>
      <c r="E76" s="6">
        <v>46052.350694444445</v>
      </c>
      <c r="F76" s="6">
        <v>46052.381944444445</v>
      </c>
      <c r="G76" s="6">
        <v>46052.385416666664</v>
      </c>
      <c r="H76" s="6">
        <v>46052.409722222219</v>
      </c>
      <c r="I76">
        <v>2.83</v>
      </c>
      <c r="J76" s="6">
        <v>46052.410416666666</v>
      </c>
      <c r="K76" s="7">
        <f t="shared" si="4"/>
        <v>-6.5277777772280388E-2</v>
      </c>
      <c r="L76" t="e">
        <f t="shared" si="5"/>
        <v>#NUM!</v>
      </c>
      <c r="M76" t="e">
        <f t="shared" si="6"/>
        <v>#NUM!</v>
      </c>
      <c r="N76" t="e">
        <f t="shared" si="7"/>
        <v>#NUM!</v>
      </c>
    </row>
    <row r="77" spans="2:14" hidden="1" x14ac:dyDescent="0.25">
      <c r="B77" t="s">
        <v>34</v>
      </c>
      <c r="C77" s="6">
        <v>46052.344444444447</v>
      </c>
      <c r="D77" s="6">
        <v>46052.347222222219</v>
      </c>
      <c r="E77" s="6">
        <v>46052.368055555555</v>
      </c>
      <c r="F77" s="6">
        <v>46052.5</v>
      </c>
      <c r="G77" s="6">
        <v>46052.506944444445</v>
      </c>
      <c r="H77" s="6">
        <v>46052.510416666664</v>
      </c>
      <c r="I77">
        <v>3.98</v>
      </c>
      <c r="J77" s="6">
        <v>46052.517361111109</v>
      </c>
      <c r="K77" s="7">
        <f t="shared" si="4"/>
        <v>-5.5555555554747116E-2</v>
      </c>
      <c r="L77" t="e">
        <f t="shared" si="5"/>
        <v>#NUM!</v>
      </c>
      <c r="M77" t="e">
        <f t="shared" si="6"/>
        <v>#NUM!</v>
      </c>
      <c r="N77" t="e">
        <f t="shared" si="7"/>
        <v>#NUM!</v>
      </c>
    </row>
    <row r="78" spans="2:14" x14ac:dyDescent="0.25">
      <c r="B78" t="s">
        <v>34</v>
      </c>
      <c r="C78" s="6">
        <v>46052.454861111109</v>
      </c>
      <c r="D78" s="6">
        <v>46052.461805555555</v>
      </c>
      <c r="E78" s="6">
        <v>46052.479166666664</v>
      </c>
      <c r="F78" s="6">
        <v>46052.541666666664</v>
      </c>
      <c r="G78" s="6">
        <v>46052.555555555555</v>
      </c>
      <c r="H78" s="6">
        <v>46052.5625</v>
      </c>
      <c r="I78">
        <v>2.58</v>
      </c>
      <c r="J78" s="6">
        <v>46052.565972222219</v>
      </c>
      <c r="K78" s="7">
        <f t="shared" si="4"/>
        <v>4.5138888890505768E-2</v>
      </c>
      <c r="L78">
        <f t="shared" si="5"/>
        <v>1</v>
      </c>
      <c r="M78">
        <f t="shared" si="6"/>
        <v>5</v>
      </c>
      <c r="N78">
        <f t="shared" si="7"/>
        <v>65</v>
      </c>
    </row>
    <row r="79" spans="2:14" x14ac:dyDescent="0.25">
      <c r="B79" t="s">
        <v>34</v>
      </c>
      <c r="C79" s="6">
        <v>46052.607638888891</v>
      </c>
      <c r="D79" s="6">
        <v>46052.625</v>
      </c>
      <c r="E79" s="6">
        <v>46052.645833333336</v>
      </c>
      <c r="F79" s="6">
        <v>46052.6875</v>
      </c>
      <c r="G79" s="6">
        <v>46052.694444444445</v>
      </c>
      <c r="H79" s="6">
        <v>46052.746527777781</v>
      </c>
      <c r="I79">
        <v>3.33</v>
      </c>
      <c r="J79" s="6">
        <v>46052.74722222222</v>
      </c>
      <c r="K79" s="7">
        <f t="shared" si="4"/>
        <v>0.62152777777373558</v>
      </c>
      <c r="L79">
        <f t="shared" si="5"/>
        <v>14</v>
      </c>
      <c r="M79">
        <f t="shared" si="6"/>
        <v>55</v>
      </c>
      <c r="N79">
        <f t="shared" si="7"/>
        <v>895</v>
      </c>
    </row>
    <row r="80" spans="2:14" x14ac:dyDescent="0.25">
      <c r="B80" t="s">
        <v>34</v>
      </c>
      <c r="C80" s="6">
        <v>46053.368055555555</v>
      </c>
      <c r="D80" s="6">
        <v>46053.375</v>
      </c>
      <c r="E80" s="6">
        <v>46053.378472222219</v>
      </c>
      <c r="F80" s="6">
        <v>46053.38958333333</v>
      </c>
      <c r="G80" s="6">
        <v>46053.396527777775</v>
      </c>
      <c r="H80" s="6">
        <v>46053.402777777781</v>
      </c>
      <c r="I80">
        <v>0.83</v>
      </c>
      <c r="J80" s="6">
        <v>46053.409722222219</v>
      </c>
      <c r="K80" s="7">
        <f t="shared" si="4"/>
        <v>0.10069444443797693</v>
      </c>
      <c r="L80">
        <f t="shared" si="5"/>
        <v>2</v>
      </c>
      <c r="M80">
        <f t="shared" si="6"/>
        <v>25</v>
      </c>
      <c r="N80">
        <f t="shared" si="7"/>
        <v>145</v>
      </c>
    </row>
    <row r="81" spans="2:14" x14ac:dyDescent="0.25">
      <c r="B81" t="s">
        <v>34</v>
      </c>
      <c r="C81" s="6">
        <v>46053.503472222219</v>
      </c>
      <c r="D81" s="6">
        <v>46053.517361111109</v>
      </c>
      <c r="E81" s="6">
        <v>46053.541666666664</v>
      </c>
      <c r="F81" s="6">
        <v>46053.572916666664</v>
      </c>
      <c r="G81" s="6">
        <v>46053.576388888891</v>
      </c>
      <c r="H81" s="6">
        <v>46053.59375</v>
      </c>
      <c r="I81">
        <v>2.17</v>
      </c>
      <c r="J81" s="6">
        <v>46053.597222222219</v>
      </c>
      <c r="K81" s="7">
        <f t="shared" si="4"/>
        <v>0.40972222221898846</v>
      </c>
      <c r="L81">
        <f t="shared" si="5"/>
        <v>9</v>
      </c>
      <c r="M81">
        <f t="shared" si="6"/>
        <v>50</v>
      </c>
      <c r="N81">
        <f t="shared" si="7"/>
        <v>590</v>
      </c>
    </row>
    <row r="82" spans="2:14" hidden="1" x14ac:dyDescent="0.25">
      <c r="B82" t="s">
        <v>34</v>
      </c>
      <c r="C82" s="6">
        <v>46054.003472222219</v>
      </c>
      <c r="D82" s="6">
        <v>46054.010416666664</v>
      </c>
      <c r="E82" s="6">
        <v>46054.020833333336</v>
      </c>
      <c r="F82" s="6">
        <v>46054.029166666667</v>
      </c>
      <c r="G82" s="6">
        <v>46054.036111111112</v>
      </c>
      <c r="H82" s="6">
        <v>46054.041666666664</v>
      </c>
      <c r="I82">
        <v>0.92</v>
      </c>
      <c r="J82" s="6">
        <v>46054.048611111109</v>
      </c>
      <c r="K82" s="7">
        <f t="shared" si="4"/>
        <v>-2.4305555554747116E-2</v>
      </c>
      <c r="L82" t="e">
        <f t="shared" si="5"/>
        <v>#NUM!</v>
      </c>
      <c r="M82" t="e">
        <f t="shared" si="6"/>
        <v>#NUM!</v>
      </c>
      <c r="N82" t="e">
        <f t="shared" si="7"/>
        <v>#NUM!</v>
      </c>
    </row>
    <row r="83" spans="2:14" x14ac:dyDescent="0.25">
      <c r="B83" t="s">
        <v>34</v>
      </c>
      <c r="C83" s="6">
        <v>46054.017361111109</v>
      </c>
      <c r="D83" s="6">
        <v>46054.020833333336</v>
      </c>
      <c r="E83" s="6">
        <v>46054.027777777781</v>
      </c>
      <c r="F83" s="6">
        <v>46054.048611111109</v>
      </c>
      <c r="G83" s="6">
        <v>46054.052083333336</v>
      </c>
      <c r="H83" s="6">
        <v>46054.054166666669</v>
      </c>
      <c r="I83">
        <v>0.88</v>
      </c>
      <c r="J83" s="6">
        <v>46054.055555555555</v>
      </c>
      <c r="K83" s="7">
        <f t="shared" si="4"/>
        <v>0.20416666666278616</v>
      </c>
      <c r="L83">
        <f t="shared" si="5"/>
        <v>4</v>
      </c>
      <c r="M83">
        <f t="shared" si="6"/>
        <v>54</v>
      </c>
      <c r="N83">
        <f t="shared" si="7"/>
        <v>294</v>
      </c>
    </row>
    <row r="84" spans="2:14" hidden="1" x14ac:dyDescent="0.25">
      <c r="B84" t="s">
        <v>34</v>
      </c>
      <c r="C84" s="6">
        <v>46054.258333333331</v>
      </c>
      <c r="D84" s="6">
        <v>46054.260416666664</v>
      </c>
      <c r="E84" s="6">
        <v>46054.267361111109</v>
      </c>
      <c r="F84" s="6">
        <v>46054.326388888891</v>
      </c>
      <c r="G84" s="6">
        <v>46054.354166666664</v>
      </c>
      <c r="H84" s="6">
        <v>46054.458333333336</v>
      </c>
      <c r="I84">
        <v>4.8</v>
      </c>
      <c r="J84" s="6">
        <v>46054.465277777781</v>
      </c>
      <c r="K84" s="7">
        <f t="shared" si="4"/>
        <v>-3.8194444445252884E-2</v>
      </c>
      <c r="L84" t="e">
        <f t="shared" si="5"/>
        <v>#NUM!</v>
      </c>
      <c r="M84" t="e">
        <f t="shared" si="6"/>
        <v>#NUM!</v>
      </c>
      <c r="N84" t="e">
        <f t="shared" si="7"/>
        <v>#NUM!</v>
      </c>
    </row>
    <row r="85" spans="2:14" x14ac:dyDescent="0.25">
      <c r="B85" t="s">
        <v>34</v>
      </c>
      <c r="C85" s="6">
        <v>46054.420138888891</v>
      </c>
      <c r="D85" s="6">
        <v>46054.434027777781</v>
      </c>
      <c r="E85" s="6">
        <v>46054.451388888891</v>
      </c>
      <c r="F85" s="6">
        <v>46054.465277777781</v>
      </c>
      <c r="G85" s="6">
        <v>46054.472222222219</v>
      </c>
      <c r="H85" s="6">
        <v>46054.475694444445</v>
      </c>
      <c r="I85">
        <v>1.33</v>
      </c>
      <c r="J85" s="6">
        <v>46054.479166666664</v>
      </c>
      <c r="K85" s="7">
        <f t="shared" si="4"/>
        <v>0.26041666666424135</v>
      </c>
      <c r="L85">
        <f t="shared" si="5"/>
        <v>6</v>
      </c>
      <c r="M85">
        <f t="shared" si="6"/>
        <v>15</v>
      </c>
      <c r="N85">
        <f t="shared" si="7"/>
        <v>375</v>
      </c>
    </row>
    <row r="86" spans="2:14" x14ac:dyDescent="0.25">
      <c r="B86" t="s">
        <v>34</v>
      </c>
      <c r="C86" s="6">
        <v>46054.736111111109</v>
      </c>
      <c r="D86" s="6">
        <v>46054.743055555555</v>
      </c>
      <c r="E86" s="6">
        <v>46054.75</v>
      </c>
      <c r="F86" s="6">
        <v>46054.802083333336</v>
      </c>
      <c r="G86" s="6">
        <v>46054.809027777781</v>
      </c>
      <c r="H86" s="6">
        <v>46054.8125</v>
      </c>
      <c r="I86">
        <v>1.83</v>
      </c>
      <c r="J86" s="6">
        <v>46054.819444444445</v>
      </c>
      <c r="K86" s="7">
        <f t="shared" si="4"/>
        <v>0.79236111111094942</v>
      </c>
      <c r="L86">
        <f t="shared" si="5"/>
        <v>19</v>
      </c>
      <c r="M86">
        <f t="shared" si="6"/>
        <v>1</v>
      </c>
      <c r="N86">
        <f t="shared" si="7"/>
        <v>1141</v>
      </c>
    </row>
    <row r="87" spans="2:14" x14ac:dyDescent="0.25">
      <c r="B87" t="s">
        <v>34</v>
      </c>
      <c r="C87" s="6">
        <v>46055.604861111111</v>
      </c>
      <c r="D87" s="6">
        <v>46055.611805555556</v>
      </c>
      <c r="E87" s="6">
        <v>46055.631944444445</v>
      </c>
      <c r="F87" s="6">
        <v>46055.652777777781</v>
      </c>
      <c r="G87" s="6">
        <v>46055.659722222219</v>
      </c>
      <c r="H87" s="6">
        <v>46055.680555555555</v>
      </c>
      <c r="I87">
        <v>1.82</v>
      </c>
      <c r="J87" s="6">
        <v>46055.6875</v>
      </c>
      <c r="K87" s="7">
        <f t="shared" si="4"/>
        <v>0.65416666666715173</v>
      </c>
      <c r="L87">
        <f t="shared" si="5"/>
        <v>15</v>
      </c>
      <c r="M87">
        <f t="shared" si="6"/>
        <v>42</v>
      </c>
      <c r="N87">
        <f t="shared" si="7"/>
        <v>942</v>
      </c>
    </row>
    <row r="88" spans="2:14" x14ac:dyDescent="0.25">
      <c r="B88" t="s">
        <v>34</v>
      </c>
      <c r="C88" s="6">
        <v>46056.334722222222</v>
      </c>
      <c r="D88" s="6">
        <v>46056.34375</v>
      </c>
      <c r="E88" s="6">
        <v>46056.371527777781</v>
      </c>
      <c r="F88" s="6">
        <v>46056.409722222219</v>
      </c>
      <c r="G88" s="6">
        <v>46056.416666666664</v>
      </c>
      <c r="H88" s="6">
        <v>46056.423611111109</v>
      </c>
      <c r="I88">
        <v>2.13</v>
      </c>
      <c r="J88" s="6">
        <v>46056.430555555555</v>
      </c>
      <c r="K88" s="7">
        <f t="shared" si="4"/>
        <v>3.125E-2</v>
      </c>
      <c r="L88">
        <f t="shared" si="5"/>
        <v>0</v>
      </c>
      <c r="M88">
        <f t="shared" si="6"/>
        <v>45</v>
      </c>
      <c r="N88">
        <f t="shared" si="7"/>
        <v>45</v>
      </c>
    </row>
    <row r="89" spans="2:14" x14ac:dyDescent="0.25">
      <c r="B89" t="s">
        <v>34</v>
      </c>
      <c r="C89" s="6">
        <v>46056.454861111109</v>
      </c>
      <c r="D89" s="6">
        <v>46056.461805555555</v>
      </c>
      <c r="E89" s="6">
        <v>46056.472222222219</v>
      </c>
      <c r="F89" s="6">
        <v>46056.493055555555</v>
      </c>
      <c r="G89" s="6">
        <v>46056.5</v>
      </c>
      <c r="H89" s="6">
        <v>46056.506944444445</v>
      </c>
      <c r="I89">
        <v>1.25</v>
      </c>
      <c r="J89" s="6">
        <v>46056.513888888891</v>
      </c>
      <c r="K89" s="7">
        <f t="shared" si="4"/>
        <v>4.8611111109494232E-2</v>
      </c>
      <c r="L89">
        <f t="shared" si="5"/>
        <v>1</v>
      </c>
      <c r="M89">
        <f t="shared" si="6"/>
        <v>10</v>
      </c>
      <c r="N89">
        <f t="shared" si="7"/>
        <v>70</v>
      </c>
    </row>
    <row r="90" spans="2:14" x14ac:dyDescent="0.25">
      <c r="B90" t="s">
        <v>34</v>
      </c>
      <c r="C90" s="6">
        <v>46056.555555555555</v>
      </c>
      <c r="D90" s="6">
        <v>46056.572916666664</v>
      </c>
      <c r="E90" s="6">
        <v>46056.590277777781</v>
      </c>
      <c r="F90" s="6">
        <v>46056.767361111109</v>
      </c>
      <c r="G90" s="6">
        <v>46056.774305555555</v>
      </c>
      <c r="H90" s="6">
        <v>46057.375</v>
      </c>
      <c r="I90">
        <v>19.670000000000002</v>
      </c>
      <c r="J90" s="6">
        <v>46057.381944444445</v>
      </c>
      <c r="K90" s="7">
        <f t="shared" si="4"/>
        <v>0.48680555555620231</v>
      </c>
      <c r="L90">
        <f t="shared" si="5"/>
        <v>11</v>
      </c>
      <c r="M90">
        <f t="shared" si="6"/>
        <v>41</v>
      </c>
      <c r="N90">
        <f t="shared" si="7"/>
        <v>701</v>
      </c>
    </row>
    <row r="91" spans="2:14" x14ac:dyDescent="0.25">
      <c r="B91" t="s">
        <v>34</v>
      </c>
      <c r="C91" s="6">
        <v>46057.861805555556</v>
      </c>
      <c r="D91" s="6">
        <v>46057.868055555555</v>
      </c>
      <c r="E91" s="6">
        <v>46057.885416666664</v>
      </c>
      <c r="F91" s="6">
        <v>46057.895833333336</v>
      </c>
      <c r="G91" s="6">
        <v>46057.902777777781</v>
      </c>
      <c r="H91" s="6">
        <v>46057.90902777778</v>
      </c>
      <c r="I91">
        <v>1.1299999999999999</v>
      </c>
      <c r="J91" s="6">
        <v>46057.909722222219</v>
      </c>
      <c r="K91" s="7">
        <f t="shared" si="4"/>
        <v>6.8055555551836733E-2</v>
      </c>
      <c r="L91">
        <f t="shared" si="5"/>
        <v>1</v>
      </c>
      <c r="M91">
        <f t="shared" si="6"/>
        <v>38</v>
      </c>
      <c r="N91">
        <f t="shared" si="7"/>
        <v>98</v>
      </c>
    </row>
    <row r="92" spans="2:14" x14ac:dyDescent="0.25">
      <c r="B92" t="s">
        <v>34</v>
      </c>
      <c r="C92" s="6">
        <v>46057.977083333331</v>
      </c>
      <c r="D92" s="6">
        <v>46057.979166666664</v>
      </c>
      <c r="E92" s="6">
        <v>46057.980555555558</v>
      </c>
      <c r="F92" s="6">
        <v>46057.998611111114</v>
      </c>
      <c r="G92" s="6">
        <v>46058.005555555559</v>
      </c>
      <c r="H92" s="6">
        <v>46058.006944444445</v>
      </c>
      <c r="I92">
        <v>0.72</v>
      </c>
      <c r="J92" s="6">
        <v>46058.013888888891</v>
      </c>
      <c r="K92" s="7">
        <f t="shared" si="4"/>
        <v>0.29166666666424135</v>
      </c>
      <c r="L92">
        <f t="shared" si="5"/>
        <v>7</v>
      </c>
      <c r="M92">
        <f t="shared" si="6"/>
        <v>0</v>
      </c>
      <c r="N92">
        <f t="shared" si="7"/>
        <v>420</v>
      </c>
    </row>
    <row r="93" spans="2:14" x14ac:dyDescent="0.25">
      <c r="B93" t="s">
        <v>34</v>
      </c>
      <c r="C93" s="6">
        <v>46058.298611111109</v>
      </c>
      <c r="D93" s="6">
        <v>46058.322916666664</v>
      </c>
      <c r="E93" s="6">
        <v>46058.326388888891</v>
      </c>
      <c r="F93" s="6">
        <v>46058.40625</v>
      </c>
      <c r="G93" s="6">
        <v>46058.413194444445</v>
      </c>
      <c r="H93" s="6">
        <v>46058.430555555555</v>
      </c>
      <c r="I93">
        <v>3.17</v>
      </c>
      <c r="J93" s="6">
        <v>46058.434027777781</v>
      </c>
      <c r="K93" s="7">
        <f t="shared" si="4"/>
        <v>4.1666666664241347E-2</v>
      </c>
      <c r="L93">
        <f t="shared" si="5"/>
        <v>1</v>
      </c>
      <c r="M93">
        <f t="shared" si="6"/>
        <v>0</v>
      </c>
      <c r="N93">
        <f t="shared" si="7"/>
        <v>60</v>
      </c>
    </row>
    <row r="94" spans="2:14" x14ac:dyDescent="0.25">
      <c r="B94" t="s">
        <v>34</v>
      </c>
      <c r="C94" s="6">
        <v>46058.472222222219</v>
      </c>
      <c r="D94" s="6">
        <v>46058.482638888891</v>
      </c>
      <c r="E94" s="6">
        <v>46058.506944444445</v>
      </c>
      <c r="F94" s="6">
        <v>46058.579861111109</v>
      </c>
      <c r="G94" s="6">
        <v>46058.586805555555</v>
      </c>
      <c r="H94" s="6">
        <v>46058.600694444445</v>
      </c>
      <c r="I94">
        <v>3.08</v>
      </c>
      <c r="J94" s="6">
        <v>46058.604166666664</v>
      </c>
      <c r="K94" s="7">
        <f t="shared" si="4"/>
        <v>0.73263888889050577</v>
      </c>
      <c r="L94">
        <f t="shared" si="5"/>
        <v>17</v>
      </c>
      <c r="M94">
        <f t="shared" si="6"/>
        <v>35</v>
      </c>
      <c r="N94">
        <f t="shared" si="7"/>
        <v>1055</v>
      </c>
    </row>
    <row r="95" spans="2:14" x14ac:dyDescent="0.25">
      <c r="B95" t="s">
        <v>34</v>
      </c>
      <c r="C95" s="6">
        <v>46059.333333333336</v>
      </c>
      <c r="D95" s="6">
        <v>46059.340277777781</v>
      </c>
      <c r="E95" s="6">
        <v>46059.361111111109</v>
      </c>
      <c r="F95" s="6">
        <v>46059.388888888891</v>
      </c>
      <c r="G95" s="6">
        <v>46059.395833333336</v>
      </c>
      <c r="H95" s="6">
        <v>46059.416666666664</v>
      </c>
      <c r="I95">
        <v>2</v>
      </c>
      <c r="J95" s="6">
        <v>46059.423611111109</v>
      </c>
      <c r="K95" s="7">
        <f t="shared" si="4"/>
        <v>0.70833333333575865</v>
      </c>
      <c r="L95">
        <f t="shared" si="5"/>
        <v>17</v>
      </c>
      <c r="M95">
        <f t="shared" si="6"/>
        <v>0</v>
      </c>
      <c r="N95">
        <f t="shared" si="7"/>
        <v>1020</v>
      </c>
    </row>
    <row r="96" spans="2:14" x14ac:dyDescent="0.25">
      <c r="B96" t="s">
        <v>34</v>
      </c>
      <c r="C96" s="6">
        <v>46060.125</v>
      </c>
      <c r="D96" s="6">
        <v>46060.131944444445</v>
      </c>
      <c r="E96" s="6">
        <v>46060.138888888891</v>
      </c>
      <c r="F96" s="6">
        <v>46060.211111111108</v>
      </c>
      <c r="G96" s="6">
        <v>46060.909722222219</v>
      </c>
      <c r="H96" s="6">
        <v>46060.913194444445</v>
      </c>
      <c r="I96">
        <v>18.920000000000002</v>
      </c>
      <c r="J96" s="6">
        <v>46060.920138888891</v>
      </c>
      <c r="K96" s="7">
        <f t="shared" si="4"/>
        <v>0.64583333333575865</v>
      </c>
      <c r="L96">
        <f t="shared" si="5"/>
        <v>15</v>
      </c>
      <c r="M96">
        <f t="shared" si="6"/>
        <v>30</v>
      </c>
      <c r="N96">
        <f t="shared" si="7"/>
        <v>930</v>
      </c>
    </row>
    <row r="97" spans="2:14" x14ac:dyDescent="0.25">
      <c r="B97" t="s">
        <v>34</v>
      </c>
      <c r="C97" s="6">
        <v>46061.559027777781</v>
      </c>
      <c r="D97" s="6">
        <v>46061.565972222219</v>
      </c>
      <c r="E97" s="6">
        <v>46061.579861111109</v>
      </c>
      <c r="F97" s="6">
        <v>46061.624305555553</v>
      </c>
      <c r="G97" s="6">
        <v>46061.631249999999</v>
      </c>
      <c r="H97" s="6">
        <v>46061.631944444445</v>
      </c>
      <c r="I97">
        <v>1.75</v>
      </c>
      <c r="J97" s="6">
        <v>46061.638888888891</v>
      </c>
      <c r="K97" s="7">
        <f t="shared" si="4"/>
        <v>2.0763888888905058</v>
      </c>
      <c r="L97">
        <f t="shared" si="5"/>
        <v>1</v>
      </c>
      <c r="M97">
        <f t="shared" si="6"/>
        <v>50</v>
      </c>
      <c r="N97">
        <f t="shared" si="7"/>
        <v>110</v>
      </c>
    </row>
    <row r="98" spans="2:14" x14ac:dyDescent="0.25">
      <c r="B98" t="s">
        <v>34</v>
      </c>
      <c r="C98" s="6">
        <v>46063.708333333336</v>
      </c>
      <c r="D98" s="6">
        <v>46063.725694444445</v>
      </c>
      <c r="E98" s="6">
        <v>46063.739583333336</v>
      </c>
      <c r="F98" s="6">
        <v>46063.822916666664</v>
      </c>
      <c r="G98" s="6">
        <v>46063.826388888891</v>
      </c>
      <c r="H98" s="6">
        <v>46063.82916666667</v>
      </c>
      <c r="I98">
        <v>2.9</v>
      </c>
      <c r="J98" s="6">
        <v>46063.836111111108</v>
      </c>
      <c r="K98" s="7">
        <f t="shared" si="4"/>
        <v>0.14097222221607808</v>
      </c>
      <c r="L98">
        <f t="shared" si="5"/>
        <v>3</v>
      </c>
      <c r="M98">
        <f t="shared" si="6"/>
        <v>23</v>
      </c>
      <c r="N98">
        <f t="shared" si="7"/>
        <v>203</v>
      </c>
    </row>
    <row r="99" spans="2:14" x14ac:dyDescent="0.25">
      <c r="B99" t="s">
        <v>34</v>
      </c>
      <c r="C99" s="6">
        <v>46063.970138888886</v>
      </c>
      <c r="D99" s="6">
        <v>46063.975694444445</v>
      </c>
      <c r="E99" s="6">
        <v>46063.982638888891</v>
      </c>
      <c r="F99" s="6">
        <v>46064.072916666664</v>
      </c>
      <c r="G99" s="6">
        <v>46064.076388888891</v>
      </c>
      <c r="H99" s="6">
        <v>46064.083333333336</v>
      </c>
      <c r="I99">
        <v>2.72</v>
      </c>
      <c r="J99" s="6">
        <v>46064.090277777781</v>
      </c>
      <c r="K99" s="7">
        <f t="shared" si="4"/>
        <v>0.20833333332848269</v>
      </c>
      <c r="L99">
        <f t="shared" si="5"/>
        <v>5</v>
      </c>
      <c r="M99">
        <f t="shared" si="6"/>
        <v>0</v>
      </c>
      <c r="N99">
        <f t="shared" si="7"/>
        <v>300</v>
      </c>
    </row>
    <row r="100" spans="2:14" hidden="1" x14ac:dyDescent="0.25">
      <c r="B100" t="s">
        <v>34</v>
      </c>
      <c r="C100" s="6">
        <v>46064.291666666664</v>
      </c>
      <c r="D100" s="6">
        <v>46064.322916666664</v>
      </c>
      <c r="E100" s="6">
        <v>46064.340277777781</v>
      </c>
      <c r="F100" s="6">
        <v>46064.40625</v>
      </c>
      <c r="G100" s="6">
        <v>46064.420138888891</v>
      </c>
      <c r="H100" s="6">
        <v>46064.427083333336</v>
      </c>
      <c r="I100">
        <v>3.25</v>
      </c>
      <c r="J100" s="6">
        <v>46064.430555555555</v>
      </c>
      <c r="K100" s="7">
        <f t="shared" si="4"/>
        <v>-8.6805555554747116E-2</v>
      </c>
      <c r="L100" t="e">
        <f t="shared" si="5"/>
        <v>#NUM!</v>
      </c>
      <c r="M100" t="e">
        <f t="shared" si="6"/>
        <v>#NUM!</v>
      </c>
      <c r="N100" t="e">
        <f t="shared" si="7"/>
        <v>#NUM!</v>
      </c>
    </row>
    <row r="101" spans="2:14" x14ac:dyDescent="0.25">
      <c r="B101" t="s">
        <v>34</v>
      </c>
      <c r="C101" s="6">
        <v>46064.340277777781</v>
      </c>
      <c r="D101" s="6">
        <v>46064.347222222219</v>
      </c>
      <c r="E101" s="6">
        <v>46064.361111111109</v>
      </c>
      <c r="F101" s="6">
        <v>46064.384722222225</v>
      </c>
      <c r="G101" s="6">
        <v>46064.4375</v>
      </c>
      <c r="H101" s="6">
        <v>46064.444444444445</v>
      </c>
      <c r="I101">
        <v>2.5</v>
      </c>
      <c r="J101" s="6">
        <v>46064.445138888892</v>
      </c>
      <c r="K101" s="7">
        <f t="shared" si="4"/>
        <v>1.0416666664241347E-2</v>
      </c>
      <c r="L101">
        <f t="shared" si="5"/>
        <v>0</v>
      </c>
      <c r="M101">
        <f t="shared" si="6"/>
        <v>15</v>
      </c>
      <c r="N101">
        <f t="shared" si="7"/>
        <v>15</v>
      </c>
    </row>
    <row r="102" spans="2:14" x14ac:dyDescent="0.25">
      <c r="B102" t="s">
        <v>34</v>
      </c>
      <c r="C102" s="6">
        <v>46064.454861111109</v>
      </c>
      <c r="D102" s="6">
        <v>46064.479166666664</v>
      </c>
      <c r="E102" s="6">
        <v>46064.53125</v>
      </c>
      <c r="F102" s="6">
        <v>46064.751388888886</v>
      </c>
      <c r="G102" s="6">
        <v>46064.763888888891</v>
      </c>
      <c r="H102" s="6">
        <v>46064.767361111109</v>
      </c>
      <c r="I102">
        <v>7.5</v>
      </c>
      <c r="J102" s="6">
        <v>46064.774305555555</v>
      </c>
      <c r="K102" s="7">
        <f t="shared" si="4"/>
        <v>0.49652777778101154</v>
      </c>
      <c r="L102">
        <f t="shared" si="5"/>
        <v>11</v>
      </c>
      <c r="M102">
        <f t="shared" si="6"/>
        <v>55</v>
      </c>
      <c r="N102">
        <f t="shared" si="7"/>
        <v>715</v>
      </c>
    </row>
    <row r="103" spans="2:14" x14ac:dyDescent="0.25">
      <c r="B103" t="s">
        <v>34</v>
      </c>
      <c r="C103" s="6">
        <v>46065.263888888891</v>
      </c>
      <c r="D103" s="6">
        <v>46065.277777777781</v>
      </c>
      <c r="E103" s="6">
        <v>46065.28125</v>
      </c>
      <c r="F103" s="6">
        <v>46065.298611111109</v>
      </c>
      <c r="G103" s="6">
        <v>46065.305555555555</v>
      </c>
      <c r="H103" s="6">
        <v>46065.3125</v>
      </c>
      <c r="I103">
        <v>1.17</v>
      </c>
      <c r="J103" s="6">
        <v>46065.319444444445</v>
      </c>
      <c r="K103" s="7">
        <f t="shared" si="4"/>
        <v>0.60069444444525288</v>
      </c>
      <c r="L103">
        <f t="shared" si="5"/>
        <v>14</v>
      </c>
      <c r="M103">
        <f t="shared" si="6"/>
        <v>25</v>
      </c>
      <c r="N103">
        <f t="shared" si="7"/>
        <v>865</v>
      </c>
    </row>
    <row r="104" spans="2:14" x14ac:dyDescent="0.25">
      <c r="B104" t="s">
        <v>34</v>
      </c>
      <c r="C104" s="6">
        <v>46065.913194444445</v>
      </c>
      <c r="D104" s="6">
        <v>46065.927083333336</v>
      </c>
      <c r="E104" s="6">
        <v>46065.930555555555</v>
      </c>
      <c r="F104" s="6">
        <v>46065.989583333336</v>
      </c>
      <c r="G104" s="6">
        <v>46065.993055555555</v>
      </c>
      <c r="H104" s="6">
        <v>46065.996527777781</v>
      </c>
      <c r="I104">
        <v>2</v>
      </c>
      <c r="J104" s="6">
        <v>46066.003472222219</v>
      </c>
      <c r="K104" s="7">
        <f t="shared" si="4"/>
        <v>1.367361111108039</v>
      </c>
      <c r="L104">
        <f t="shared" si="5"/>
        <v>8</v>
      </c>
      <c r="M104">
        <f t="shared" si="6"/>
        <v>49</v>
      </c>
      <c r="N104">
        <f t="shared" si="7"/>
        <v>529</v>
      </c>
    </row>
    <row r="105" spans="2:14" x14ac:dyDescent="0.25">
      <c r="B105" t="s">
        <v>34</v>
      </c>
      <c r="C105" s="6">
        <v>46067.363888888889</v>
      </c>
      <c r="D105" s="6">
        <v>46067.370138888888</v>
      </c>
      <c r="E105" s="6">
        <v>46067.381944444445</v>
      </c>
      <c r="F105" s="6">
        <v>46067.414583333331</v>
      </c>
      <c r="G105" s="6">
        <v>46067.421527777777</v>
      </c>
      <c r="H105" s="6">
        <v>46067.423611111109</v>
      </c>
      <c r="I105">
        <v>1.43</v>
      </c>
      <c r="J105" s="6">
        <v>46067.430555555555</v>
      </c>
      <c r="K105" s="7">
        <f t="shared" si="4"/>
        <v>0.64930555555474712</v>
      </c>
      <c r="L105">
        <f t="shared" si="5"/>
        <v>15</v>
      </c>
      <c r="M105">
        <f t="shared" si="6"/>
        <v>35</v>
      </c>
      <c r="N105">
        <f t="shared" si="7"/>
        <v>935</v>
      </c>
    </row>
    <row r="106" spans="2:14" x14ac:dyDescent="0.25">
      <c r="B106" t="s">
        <v>34</v>
      </c>
      <c r="C106" s="6">
        <v>46068.072916666664</v>
      </c>
      <c r="D106" s="6">
        <v>46068.076388888891</v>
      </c>
      <c r="E106" s="6">
        <v>46068.090277777781</v>
      </c>
      <c r="F106" s="6">
        <v>46068.138888888891</v>
      </c>
      <c r="G106" s="6">
        <v>46068.145833333336</v>
      </c>
      <c r="H106" s="6">
        <v>46068.149305555555</v>
      </c>
      <c r="I106">
        <v>1.83</v>
      </c>
      <c r="J106" s="6">
        <v>46068.15625</v>
      </c>
      <c r="K106" s="7">
        <f t="shared" si="4"/>
        <v>0.27430555555474712</v>
      </c>
      <c r="L106">
        <f t="shared" si="5"/>
        <v>6</v>
      </c>
      <c r="M106">
        <f t="shared" si="6"/>
        <v>35</v>
      </c>
      <c r="N106">
        <f t="shared" si="7"/>
        <v>395</v>
      </c>
    </row>
    <row r="107" spans="2:14" x14ac:dyDescent="0.25">
      <c r="B107" t="s">
        <v>34</v>
      </c>
      <c r="C107" s="6">
        <v>46068.423611111109</v>
      </c>
      <c r="D107" s="6">
        <v>46068.434027777781</v>
      </c>
      <c r="E107" s="6">
        <v>46068.454861111109</v>
      </c>
      <c r="F107" s="6">
        <v>46068.482638888891</v>
      </c>
      <c r="G107" s="6">
        <v>46068.489583333336</v>
      </c>
      <c r="H107" s="6">
        <v>46068.493055555555</v>
      </c>
      <c r="I107">
        <v>1.67</v>
      </c>
      <c r="J107" s="6">
        <v>46068.5</v>
      </c>
      <c r="K107" s="7">
        <f t="shared" si="4"/>
        <v>0.70833333333575865</v>
      </c>
      <c r="L107">
        <f t="shared" si="5"/>
        <v>17</v>
      </c>
      <c r="M107">
        <f t="shared" si="6"/>
        <v>0</v>
      </c>
      <c r="N107">
        <f t="shared" si="7"/>
        <v>1020</v>
      </c>
    </row>
    <row r="108" spans="2:14" x14ac:dyDescent="0.25">
      <c r="B108" t="s">
        <v>34</v>
      </c>
      <c r="C108" s="6">
        <v>46069.201388888891</v>
      </c>
      <c r="D108" s="6">
        <v>46069.204861111109</v>
      </c>
      <c r="E108" s="6">
        <v>46069.211805555555</v>
      </c>
      <c r="F108" s="6">
        <v>46069.288194444445</v>
      </c>
      <c r="G108" s="6">
        <v>46069.295138888891</v>
      </c>
      <c r="H108" s="6">
        <v>46069.29583333333</v>
      </c>
      <c r="I108">
        <v>2.27</v>
      </c>
      <c r="J108" s="6">
        <v>46069.302777777775</v>
      </c>
      <c r="K108" s="7">
        <f t="shared" si="4"/>
        <v>1.0500000000029104</v>
      </c>
      <c r="L108">
        <f t="shared" si="5"/>
        <v>1</v>
      </c>
      <c r="M108">
        <f t="shared" si="6"/>
        <v>12</v>
      </c>
      <c r="N108">
        <f t="shared" si="7"/>
        <v>72</v>
      </c>
    </row>
    <row r="109" spans="2:14" x14ac:dyDescent="0.25">
      <c r="B109" t="s">
        <v>34</v>
      </c>
      <c r="C109" s="6">
        <v>46070.345833333333</v>
      </c>
      <c r="D109" s="6">
        <v>46070.353472222225</v>
      </c>
      <c r="E109" s="6">
        <v>46070.371527777781</v>
      </c>
      <c r="F109" s="6">
        <v>46070.4375</v>
      </c>
      <c r="G109" s="6">
        <v>46070.447916666664</v>
      </c>
      <c r="H109" s="6">
        <v>46070.458333333336</v>
      </c>
      <c r="I109">
        <v>2.7</v>
      </c>
      <c r="J109" s="6">
        <v>46070.461805555555</v>
      </c>
      <c r="K109" s="7">
        <f t="shared" si="4"/>
        <v>0.23611111110949423</v>
      </c>
      <c r="L109">
        <f t="shared" si="5"/>
        <v>5</v>
      </c>
      <c r="M109">
        <f t="shared" si="6"/>
        <v>40</v>
      </c>
      <c r="N109">
        <f t="shared" si="7"/>
        <v>340</v>
      </c>
    </row>
    <row r="110" spans="2:14" x14ac:dyDescent="0.25">
      <c r="B110" t="s">
        <v>34</v>
      </c>
      <c r="C110" s="6">
        <v>46070.694444444445</v>
      </c>
      <c r="D110" s="6">
        <v>46070.697916666664</v>
      </c>
      <c r="E110" s="6">
        <v>46070.722222222219</v>
      </c>
      <c r="F110" s="6">
        <v>46070.840277777781</v>
      </c>
      <c r="G110" s="6">
        <v>46070.854166666664</v>
      </c>
      <c r="H110" s="6">
        <v>46070.857638888891</v>
      </c>
      <c r="I110">
        <v>3.92</v>
      </c>
      <c r="J110" s="6">
        <v>46070.864583333336</v>
      </c>
      <c r="K110" s="7">
        <f t="shared" si="4"/>
        <v>0.43402777777373558</v>
      </c>
      <c r="L110">
        <f t="shared" si="5"/>
        <v>10</v>
      </c>
      <c r="M110">
        <f t="shared" si="6"/>
        <v>25</v>
      </c>
      <c r="N110">
        <f t="shared" si="7"/>
        <v>625</v>
      </c>
    </row>
    <row r="111" spans="2:14" hidden="1" x14ac:dyDescent="0.25">
      <c r="B111" t="s">
        <v>34</v>
      </c>
      <c r="C111" s="6">
        <v>46071.291666666664</v>
      </c>
      <c r="D111" s="6">
        <v>46071.322916666664</v>
      </c>
      <c r="E111" s="6">
        <v>46071.347222222219</v>
      </c>
      <c r="F111" s="6">
        <v>46071.368055555555</v>
      </c>
      <c r="G111" s="6">
        <v>46071.375</v>
      </c>
      <c r="H111" s="6">
        <v>46071.378472222219</v>
      </c>
      <c r="I111">
        <v>2.08</v>
      </c>
      <c r="J111" s="6">
        <v>46071.381944444445</v>
      </c>
      <c r="K111" s="7">
        <f t="shared" si="4"/>
        <v>-7.9861111109494232E-2</v>
      </c>
      <c r="L111" t="e">
        <f t="shared" si="5"/>
        <v>#NUM!</v>
      </c>
      <c r="M111" t="e">
        <f t="shared" si="6"/>
        <v>#NUM!</v>
      </c>
      <c r="N111" t="e">
        <f t="shared" si="7"/>
        <v>#NUM!</v>
      </c>
    </row>
    <row r="112" spans="2:14" x14ac:dyDescent="0.25">
      <c r="B112" t="s">
        <v>34</v>
      </c>
      <c r="C112" s="6">
        <v>46071.298611111109</v>
      </c>
      <c r="D112" s="6">
        <v>46071.326388888891</v>
      </c>
      <c r="E112" s="6">
        <v>46071.347222222219</v>
      </c>
      <c r="F112" s="6">
        <v>46071.479166666664</v>
      </c>
      <c r="G112" s="6">
        <v>46071.486111111109</v>
      </c>
      <c r="H112" s="6">
        <v>46071.493055555555</v>
      </c>
      <c r="I112">
        <v>4.67</v>
      </c>
      <c r="J112" s="6">
        <v>46071.5</v>
      </c>
      <c r="K112" s="7">
        <f t="shared" si="4"/>
        <v>0.79166666666424135</v>
      </c>
      <c r="L112">
        <f t="shared" si="5"/>
        <v>19</v>
      </c>
      <c r="M112">
        <f t="shared" si="6"/>
        <v>0</v>
      </c>
      <c r="N112">
        <f t="shared" si="7"/>
        <v>1140</v>
      </c>
    </row>
    <row r="113" spans="2:14" hidden="1" x14ac:dyDescent="0.25">
      <c r="B113" t="s">
        <v>34</v>
      </c>
      <c r="C113" s="6">
        <v>46072.284722222219</v>
      </c>
      <c r="D113" s="6">
        <v>46072.315972222219</v>
      </c>
      <c r="E113" s="6">
        <v>46072.340277777781</v>
      </c>
      <c r="F113" s="6">
        <v>46072.354166666664</v>
      </c>
      <c r="G113" s="6">
        <v>46072.361111111109</v>
      </c>
      <c r="H113" s="6">
        <v>46072.371527777781</v>
      </c>
      <c r="I113">
        <v>2.08</v>
      </c>
      <c r="J113" s="6">
        <v>46072.378472222219</v>
      </c>
      <c r="K113" s="7">
        <f t="shared" si="4"/>
        <v>-7.9861111116770189E-2</v>
      </c>
      <c r="L113" t="e">
        <f t="shared" si="5"/>
        <v>#NUM!</v>
      </c>
      <c r="M113" t="e">
        <f t="shared" si="6"/>
        <v>#NUM!</v>
      </c>
      <c r="N113" t="e">
        <f t="shared" si="7"/>
        <v>#NUM!</v>
      </c>
    </row>
    <row r="114" spans="2:14" x14ac:dyDescent="0.25">
      <c r="B114" t="s">
        <v>34</v>
      </c>
      <c r="C114" s="6">
        <v>46072.291666666664</v>
      </c>
      <c r="D114" s="6">
        <v>46072.319444444445</v>
      </c>
      <c r="E114" s="6">
        <v>46072.371527777781</v>
      </c>
      <c r="F114" s="6">
        <v>46072.461805555555</v>
      </c>
      <c r="G114" s="6">
        <v>46072.46875</v>
      </c>
      <c r="H114" s="6">
        <v>46072.486111111109</v>
      </c>
      <c r="I114">
        <v>4.67</v>
      </c>
      <c r="J114" s="6">
        <v>46072.489583333336</v>
      </c>
      <c r="K114" s="7">
        <f t="shared" si="4"/>
        <v>5.2083333335758653E-2</v>
      </c>
      <c r="L114">
        <f t="shared" si="5"/>
        <v>1</v>
      </c>
      <c r="M114">
        <f t="shared" si="6"/>
        <v>15</v>
      </c>
      <c r="N114">
        <f t="shared" si="7"/>
        <v>75</v>
      </c>
    </row>
    <row r="115" spans="2:14" x14ac:dyDescent="0.25">
      <c r="B115" t="s">
        <v>34</v>
      </c>
      <c r="C115" s="6">
        <v>46072.538194444445</v>
      </c>
      <c r="D115" s="6">
        <v>46072.552083333336</v>
      </c>
      <c r="E115" s="6">
        <v>46072.586805555555</v>
      </c>
      <c r="F115" s="6">
        <v>46072.666666666664</v>
      </c>
      <c r="G115" s="6">
        <v>46072.677083333336</v>
      </c>
      <c r="H115" s="6">
        <v>46072.690972222219</v>
      </c>
      <c r="I115">
        <v>3.67</v>
      </c>
      <c r="J115" s="6">
        <v>46072.697916666664</v>
      </c>
      <c r="K115" s="7">
        <f t="shared" si="4"/>
        <v>1.6909722222262644</v>
      </c>
      <c r="L115">
        <f t="shared" si="5"/>
        <v>16</v>
      </c>
      <c r="M115">
        <f t="shared" si="6"/>
        <v>35</v>
      </c>
      <c r="N115">
        <f t="shared" si="7"/>
        <v>995</v>
      </c>
    </row>
    <row r="116" spans="2:14" x14ac:dyDescent="0.25">
      <c r="B116" t="s">
        <v>34</v>
      </c>
      <c r="C116" s="6">
        <v>46074.381944444445</v>
      </c>
      <c r="D116" s="6">
        <v>46074.399305555555</v>
      </c>
      <c r="E116" s="6">
        <v>46074.423611111109</v>
      </c>
      <c r="F116" s="6">
        <v>46074.440972222219</v>
      </c>
      <c r="G116" s="6">
        <v>46074.444444444445</v>
      </c>
      <c r="H116" s="6">
        <v>46074.447916666664</v>
      </c>
      <c r="I116">
        <v>1.58</v>
      </c>
      <c r="J116" s="6">
        <v>46074.451388888891</v>
      </c>
      <c r="K116" s="7">
        <f t="shared" si="4"/>
        <v>0.13263888889196096</v>
      </c>
      <c r="L116">
        <f t="shared" si="5"/>
        <v>3</v>
      </c>
      <c r="M116">
        <f t="shared" si="6"/>
        <v>11</v>
      </c>
      <c r="N116">
        <f t="shared" si="7"/>
        <v>191</v>
      </c>
    </row>
    <row r="117" spans="2:14" hidden="1" x14ac:dyDescent="0.25">
      <c r="B117" t="s">
        <v>34</v>
      </c>
      <c r="C117" s="6">
        <v>46074.580555555556</v>
      </c>
      <c r="D117" s="6">
        <v>46074.59375</v>
      </c>
      <c r="E117" s="6">
        <v>46074.611111111109</v>
      </c>
      <c r="F117" s="6">
        <v>46074.775694444441</v>
      </c>
      <c r="G117" s="6">
        <v>46074.782638888886</v>
      </c>
      <c r="H117" s="6">
        <v>46074.819444444445</v>
      </c>
      <c r="I117">
        <v>5.73</v>
      </c>
      <c r="J117" s="6">
        <v>46074.826388888891</v>
      </c>
      <c r="K117" s="7">
        <f t="shared" si="4"/>
        <v>-0.14236111110949423</v>
      </c>
      <c r="L117" t="e">
        <f t="shared" si="5"/>
        <v>#NUM!</v>
      </c>
      <c r="M117" t="e">
        <f t="shared" si="6"/>
        <v>#NUM!</v>
      </c>
      <c r="N117" t="e">
        <f t="shared" si="7"/>
        <v>#NUM!</v>
      </c>
    </row>
    <row r="118" spans="2:14" x14ac:dyDescent="0.25">
      <c r="B118" t="s">
        <v>34</v>
      </c>
      <c r="C118" s="6">
        <v>46074.677083333336</v>
      </c>
      <c r="D118" s="6">
        <v>46074.727777777778</v>
      </c>
      <c r="E118" s="6">
        <v>46074.729166666664</v>
      </c>
      <c r="F118" s="6">
        <v>46074.743055555555</v>
      </c>
      <c r="G118" s="6">
        <v>46074.746527777781</v>
      </c>
      <c r="H118" s="6">
        <v>46074.75</v>
      </c>
      <c r="I118">
        <v>1.75</v>
      </c>
      <c r="J118" s="6">
        <v>46074.756944444445</v>
      </c>
      <c r="K118" s="7">
        <f t="shared" si="4"/>
        <v>1.5416666666642413</v>
      </c>
      <c r="L118">
        <f t="shared" si="5"/>
        <v>13</v>
      </c>
      <c r="M118">
        <f t="shared" si="6"/>
        <v>0</v>
      </c>
      <c r="N118">
        <f t="shared" si="7"/>
        <v>780</v>
      </c>
    </row>
    <row r="119" spans="2:14" x14ac:dyDescent="0.25">
      <c r="B119" t="s">
        <v>34</v>
      </c>
      <c r="C119" s="6">
        <v>46076.291666666664</v>
      </c>
      <c r="D119" s="6">
        <v>46076.329861111109</v>
      </c>
      <c r="E119" s="6">
        <v>46076.364583333336</v>
      </c>
      <c r="F119" s="6">
        <v>46076.673611111109</v>
      </c>
      <c r="G119" s="6">
        <v>46076.680555555555</v>
      </c>
      <c r="H119" s="6">
        <v>46076.708333333336</v>
      </c>
      <c r="I119">
        <v>10</v>
      </c>
      <c r="J119" s="6">
        <v>46076.711805555555</v>
      </c>
      <c r="K119" s="7">
        <f t="shared" si="4"/>
        <v>1.7361111109494232E-2</v>
      </c>
      <c r="L119">
        <f t="shared" si="5"/>
        <v>0</v>
      </c>
      <c r="M119">
        <f t="shared" si="6"/>
        <v>25</v>
      </c>
      <c r="N119">
        <f t="shared" si="7"/>
        <v>25</v>
      </c>
    </row>
    <row r="120" spans="2:14" x14ac:dyDescent="0.25">
      <c r="B120" t="s">
        <v>34</v>
      </c>
      <c r="C120" s="6">
        <v>46076.725694444445</v>
      </c>
      <c r="D120" s="6">
        <v>46076.729166666664</v>
      </c>
      <c r="E120" s="6">
        <v>46076.732638888891</v>
      </c>
      <c r="F120" s="6">
        <v>46076.9</v>
      </c>
      <c r="G120" s="6">
        <v>46076.947916666664</v>
      </c>
      <c r="H120" s="6">
        <v>46076.948611111111</v>
      </c>
      <c r="I120">
        <v>5.35</v>
      </c>
      <c r="J120" s="6">
        <v>46076.95</v>
      </c>
      <c r="K120" s="7">
        <f t="shared" si="4"/>
        <v>0.34305555555329192</v>
      </c>
      <c r="L120">
        <f t="shared" si="5"/>
        <v>8</v>
      </c>
      <c r="M120">
        <f t="shared" si="6"/>
        <v>14</v>
      </c>
      <c r="N120">
        <f t="shared" si="7"/>
        <v>494</v>
      </c>
    </row>
    <row r="121" spans="2:14" hidden="1" x14ac:dyDescent="0.25">
      <c r="B121" t="s">
        <v>34</v>
      </c>
      <c r="C121" s="6">
        <v>46077.291666666664</v>
      </c>
      <c r="D121" s="6">
        <v>46077.375</v>
      </c>
      <c r="E121" s="6">
        <v>46077.395833333336</v>
      </c>
      <c r="F121" s="6">
        <v>46077.5625</v>
      </c>
      <c r="G121" s="6">
        <v>46077.569444444445</v>
      </c>
      <c r="H121" s="6">
        <v>46077.576388888891</v>
      </c>
      <c r="I121">
        <v>6.83</v>
      </c>
      <c r="J121" s="6">
        <v>46077.583333333336</v>
      </c>
      <c r="K121" s="7">
        <f t="shared" si="4"/>
        <v>-0.20138888889050577</v>
      </c>
      <c r="L121" t="e">
        <f t="shared" si="5"/>
        <v>#NUM!</v>
      </c>
      <c r="M121" t="e">
        <f t="shared" si="6"/>
        <v>#NUM!</v>
      </c>
      <c r="N121" t="e">
        <f t="shared" si="7"/>
        <v>#NUM!</v>
      </c>
    </row>
    <row r="122" spans="2:14" x14ac:dyDescent="0.25">
      <c r="B122" t="s">
        <v>34</v>
      </c>
      <c r="C122" s="6">
        <v>46077.375</v>
      </c>
      <c r="D122" s="6">
        <v>46077.388888888891</v>
      </c>
      <c r="E122" s="6">
        <v>46077.395833333336</v>
      </c>
      <c r="F122" s="6">
        <v>46077.416666666664</v>
      </c>
      <c r="G122" s="6">
        <v>46077.423611111109</v>
      </c>
      <c r="H122" s="6">
        <v>46077.424305555556</v>
      </c>
      <c r="I122">
        <v>1.18</v>
      </c>
      <c r="J122" s="6">
        <v>46077.425000000003</v>
      </c>
      <c r="K122" s="7">
        <f t="shared" si="4"/>
        <v>0.86736111110803904</v>
      </c>
      <c r="L122">
        <f t="shared" si="5"/>
        <v>20</v>
      </c>
      <c r="M122">
        <f t="shared" si="6"/>
        <v>49</v>
      </c>
      <c r="N122">
        <f t="shared" si="7"/>
        <v>1249</v>
      </c>
    </row>
    <row r="123" spans="2:14" x14ac:dyDescent="0.25">
      <c r="B123" t="s">
        <v>34</v>
      </c>
      <c r="C123" s="6">
        <v>46078.291666666664</v>
      </c>
      <c r="D123" s="6">
        <v>46078.322916666664</v>
      </c>
      <c r="E123" s="6">
        <v>46078.347222222219</v>
      </c>
      <c r="F123" s="6">
        <v>46078.454861111109</v>
      </c>
      <c r="G123" s="6">
        <v>46078.465277777781</v>
      </c>
      <c r="H123" s="6">
        <v>46078.472222222219</v>
      </c>
      <c r="I123">
        <v>4.33</v>
      </c>
      <c r="J123" s="6">
        <v>46078.479166666664</v>
      </c>
      <c r="K123" s="7">
        <f t="shared" si="4"/>
        <v>3.8194444445252884E-2</v>
      </c>
      <c r="L123">
        <f t="shared" si="5"/>
        <v>0</v>
      </c>
      <c r="M123">
        <f t="shared" si="6"/>
        <v>55</v>
      </c>
      <c r="N123">
        <f t="shared" si="7"/>
        <v>55</v>
      </c>
    </row>
    <row r="124" spans="2:14" hidden="1" x14ac:dyDescent="0.25">
      <c r="B124" t="s">
        <v>34</v>
      </c>
      <c r="C124" s="6">
        <v>46078.510416666664</v>
      </c>
      <c r="D124" s="6">
        <v>46078.527777777781</v>
      </c>
      <c r="E124" s="6">
        <v>46078.552083333336</v>
      </c>
      <c r="F124" s="6">
        <v>46078.725694444445</v>
      </c>
      <c r="G124" s="6">
        <v>46078.729166666664</v>
      </c>
      <c r="H124" s="6">
        <v>46078.732638888891</v>
      </c>
      <c r="I124">
        <v>5.33</v>
      </c>
      <c r="J124" s="6">
        <v>46078.736111111109</v>
      </c>
      <c r="K124" s="7">
        <f t="shared" si="4"/>
        <v>-8.6805555554747116E-2</v>
      </c>
      <c r="L124" t="e">
        <f t="shared" si="5"/>
        <v>#NUM!</v>
      </c>
      <c r="M124" t="e">
        <f t="shared" si="6"/>
        <v>#NUM!</v>
      </c>
      <c r="N124" t="e">
        <f t="shared" si="7"/>
        <v>#NUM!</v>
      </c>
    </row>
    <row r="125" spans="2:14" x14ac:dyDescent="0.25">
      <c r="B125" t="s">
        <v>34</v>
      </c>
      <c r="C125" s="6">
        <v>46078.645833333336</v>
      </c>
      <c r="D125" s="6">
        <v>46078.65625</v>
      </c>
      <c r="E125" s="6">
        <v>46078.677083333336</v>
      </c>
      <c r="F125" s="6">
        <v>46078.729166666664</v>
      </c>
      <c r="G125" s="6">
        <v>46078.736111111109</v>
      </c>
      <c r="H125" s="6">
        <v>46078.739583333336</v>
      </c>
      <c r="I125">
        <v>2.25</v>
      </c>
      <c r="J125" s="6">
        <v>46078.746527777781</v>
      </c>
      <c r="K125" s="7">
        <f t="shared" si="4"/>
        <v>0.55208333332848269</v>
      </c>
      <c r="L125">
        <f t="shared" si="5"/>
        <v>13</v>
      </c>
      <c r="M125">
        <f t="shared" si="6"/>
        <v>15</v>
      </c>
      <c r="N125">
        <f t="shared" si="7"/>
        <v>795</v>
      </c>
    </row>
    <row r="126" spans="2:14" hidden="1" x14ac:dyDescent="0.25">
      <c r="B126" t="s">
        <v>34</v>
      </c>
      <c r="C126" s="6">
        <v>46079.291666666664</v>
      </c>
      <c r="D126" s="6">
        <v>46079.319444444445</v>
      </c>
      <c r="E126" s="6">
        <v>46079.333333333336</v>
      </c>
      <c r="F126" s="6">
        <v>46079.5</v>
      </c>
      <c r="G126" s="6">
        <v>46079.506944444445</v>
      </c>
      <c r="H126" s="6">
        <v>46079.510416666664</v>
      </c>
      <c r="I126">
        <v>5.25</v>
      </c>
      <c r="J126" s="6">
        <v>46079.517361111109</v>
      </c>
      <c r="K126" s="7">
        <f t="shared" si="4"/>
        <v>-6.5972222218988463E-2</v>
      </c>
      <c r="L126" t="e">
        <f t="shared" si="5"/>
        <v>#NUM!</v>
      </c>
      <c r="M126" t="e">
        <f t="shared" si="6"/>
        <v>#NUM!</v>
      </c>
      <c r="N126" t="e">
        <f t="shared" si="7"/>
        <v>#NUM!</v>
      </c>
    </row>
    <row r="127" spans="2:14" x14ac:dyDescent="0.25">
      <c r="B127" t="s">
        <v>34</v>
      </c>
      <c r="C127" s="6">
        <v>46079.444444444445</v>
      </c>
      <c r="D127" s="6">
        <v>46079.451388888891</v>
      </c>
      <c r="E127" s="6">
        <v>46079.475694444445</v>
      </c>
      <c r="F127" s="6">
        <v>46079.496527777781</v>
      </c>
      <c r="G127" s="6">
        <v>46079.503472222219</v>
      </c>
      <c r="H127" s="6">
        <v>46079.510416666664</v>
      </c>
      <c r="I127">
        <v>1.58</v>
      </c>
      <c r="J127" s="6">
        <v>46079.517361111109</v>
      </c>
      <c r="K127" s="7">
        <f t="shared" si="4"/>
        <v>0.37847222222626442</v>
      </c>
      <c r="L127">
        <f t="shared" si="5"/>
        <v>9</v>
      </c>
      <c r="M127">
        <f t="shared" si="6"/>
        <v>5</v>
      </c>
      <c r="N127">
        <f t="shared" si="7"/>
        <v>545</v>
      </c>
    </row>
    <row r="128" spans="2:14" x14ac:dyDescent="0.25">
      <c r="B128" t="s">
        <v>34</v>
      </c>
      <c r="C128" s="6">
        <v>46079.888888888891</v>
      </c>
      <c r="D128" s="6">
        <v>46079.902777777781</v>
      </c>
      <c r="E128" s="6">
        <v>46079.916666666664</v>
      </c>
      <c r="F128" s="6">
        <v>46080.006944444445</v>
      </c>
      <c r="G128" s="6">
        <v>46080.013888888891</v>
      </c>
      <c r="H128" s="6">
        <v>46080.020833333336</v>
      </c>
      <c r="I128">
        <v>3.17</v>
      </c>
      <c r="J128" s="6">
        <v>46080.022222222222</v>
      </c>
      <c r="K128" s="7">
        <f t="shared" si="4"/>
        <v>0.26736111110949423</v>
      </c>
      <c r="L128">
        <f t="shared" si="5"/>
        <v>6</v>
      </c>
      <c r="M128">
        <f t="shared" si="6"/>
        <v>25</v>
      </c>
      <c r="N128">
        <f t="shared" si="7"/>
        <v>385</v>
      </c>
    </row>
    <row r="129" spans="2:14" hidden="1" x14ac:dyDescent="0.25">
      <c r="B129" t="s">
        <v>34</v>
      </c>
      <c r="C129" s="6">
        <v>46080.288194444445</v>
      </c>
      <c r="D129" s="6">
        <v>46080.336805555555</v>
      </c>
      <c r="E129" s="6">
        <v>46080.361111111109</v>
      </c>
      <c r="F129" s="6">
        <v>46080.447916666664</v>
      </c>
      <c r="G129" s="6">
        <v>46080.458333333336</v>
      </c>
      <c r="H129" s="6">
        <v>46080.465277777781</v>
      </c>
      <c r="I129">
        <v>4.25</v>
      </c>
      <c r="J129" s="6">
        <v>46080.472222222219</v>
      </c>
      <c r="K129" s="7">
        <f t="shared" si="4"/>
        <v>-0.17361111111677019</v>
      </c>
      <c r="L129" t="e">
        <f t="shared" si="5"/>
        <v>#NUM!</v>
      </c>
      <c r="M129" t="e">
        <f t="shared" si="6"/>
        <v>#NUM!</v>
      </c>
      <c r="N129" t="e">
        <f t="shared" si="7"/>
        <v>#NUM!</v>
      </c>
    </row>
    <row r="130" spans="2:14" x14ac:dyDescent="0.25">
      <c r="B130" t="s">
        <v>34</v>
      </c>
      <c r="C130" s="6">
        <v>46080.291666666664</v>
      </c>
      <c r="D130" s="6">
        <v>46080.326388888891</v>
      </c>
      <c r="E130" s="6">
        <v>46080.385416666664</v>
      </c>
      <c r="F130" s="6">
        <v>46080.586805555555</v>
      </c>
      <c r="G130" s="6">
        <v>46080.604166666664</v>
      </c>
      <c r="H130" s="6">
        <v>46080.614583333336</v>
      </c>
      <c r="I130">
        <v>7.75</v>
      </c>
      <c r="J130" s="6">
        <v>46080.625</v>
      </c>
      <c r="K130" s="7">
        <f t="shared" si="4"/>
        <v>6.5972222218988463E-2</v>
      </c>
      <c r="L130">
        <f t="shared" si="5"/>
        <v>1</v>
      </c>
      <c r="M130">
        <f t="shared" si="6"/>
        <v>35</v>
      </c>
      <c r="N130">
        <f t="shared" si="7"/>
        <v>95</v>
      </c>
    </row>
    <row r="131" spans="2:14" x14ac:dyDescent="0.25">
      <c r="B131" t="s">
        <v>34</v>
      </c>
      <c r="C131" s="6">
        <v>46080.680555555555</v>
      </c>
      <c r="D131" s="6">
        <v>46080.694444444445</v>
      </c>
      <c r="E131" s="6">
        <v>46080.729166666664</v>
      </c>
      <c r="F131" s="6">
        <v>46080.871527777781</v>
      </c>
      <c r="G131" s="6">
        <v>46080.878472222219</v>
      </c>
      <c r="H131" s="6">
        <v>46080.885416666664</v>
      </c>
      <c r="I131">
        <v>4.92</v>
      </c>
      <c r="J131" s="6">
        <v>46080.892361111109</v>
      </c>
      <c r="K131" s="7">
        <f t="shared" si="4"/>
        <v>0.83680555555474712</v>
      </c>
      <c r="L131">
        <f t="shared" si="5"/>
        <v>20</v>
      </c>
      <c r="M131">
        <f t="shared" si="6"/>
        <v>5</v>
      </c>
      <c r="N131">
        <f t="shared" si="7"/>
        <v>1205</v>
      </c>
    </row>
    <row r="132" spans="2:14" x14ac:dyDescent="0.25">
      <c r="B132" t="s">
        <v>34</v>
      </c>
      <c r="C132" s="6">
        <v>46081.722222222219</v>
      </c>
      <c r="D132" s="6">
        <v>46081.725694444445</v>
      </c>
      <c r="E132" s="6">
        <v>46081.729166666664</v>
      </c>
      <c r="F132" s="6">
        <v>46081.75</v>
      </c>
      <c r="G132" s="6">
        <v>46081.756944444445</v>
      </c>
      <c r="H132" s="6">
        <v>46081.763888888891</v>
      </c>
      <c r="I132">
        <v>1</v>
      </c>
      <c r="J132" s="6">
        <v>46081.770833333336</v>
      </c>
      <c r="K132" s="7">
        <f t="shared" ref="K132:K195" si="8">C133-H132</f>
        <v>1.5277777777737356</v>
      </c>
      <c r="L132">
        <f t="shared" ref="L132:L195" si="9">HOUR(K132)</f>
        <v>12</v>
      </c>
      <c r="M132">
        <f t="shared" ref="M132:M195" si="10">MINUTE(K132)</f>
        <v>40</v>
      </c>
      <c r="N132">
        <f t="shared" ref="N132:N195" si="11">L132*60+M132</f>
        <v>760</v>
      </c>
    </row>
    <row r="133" spans="2:14" x14ac:dyDescent="0.25">
      <c r="B133" t="s">
        <v>34</v>
      </c>
      <c r="C133" s="6">
        <v>46083.291666666664</v>
      </c>
      <c r="D133" s="6">
        <v>46083.309027777781</v>
      </c>
      <c r="E133" s="6">
        <v>46083.3125</v>
      </c>
      <c r="F133" s="6">
        <v>46083.34652777778</v>
      </c>
      <c r="G133" s="6">
        <v>46083.357638888891</v>
      </c>
      <c r="H133" s="6">
        <v>46083.385416666664</v>
      </c>
      <c r="I133">
        <v>2.25</v>
      </c>
      <c r="J133" s="6">
        <v>46083.388888888891</v>
      </c>
      <c r="K133" s="7">
        <f t="shared" si="8"/>
        <v>4.5138888890505768E-2</v>
      </c>
      <c r="L133">
        <f t="shared" si="9"/>
        <v>1</v>
      </c>
      <c r="M133">
        <f t="shared" si="10"/>
        <v>5</v>
      </c>
      <c r="N133">
        <f t="shared" si="11"/>
        <v>65</v>
      </c>
    </row>
    <row r="134" spans="2:14" x14ac:dyDescent="0.25">
      <c r="B134" t="s">
        <v>34</v>
      </c>
      <c r="C134" s="6">
        <v>46083.430555555555</v>
      </c>
      <c r="D134" s="6">
        <v>46083.434027777781</v>
      </c>
      <c r="E134" s="6">
        <v>46083.447916666664</v>
      </c>
      <c r="F134" s="6">
        <v>46083.625</v>
      </c>
      <c r="G134" s="6">
        <v>46083.715277777781</v>
      </c>
      <c r="H134" s="6">
        <v>46083.71597222222</v>
      </c>
      <c r="I134">
        <v>6.85</v>
      </c>
      <c r="J134" s="6">
        <v>46083.716666666667</v>
      </c>
      <c r="K134" s="7">
        <f t="shared" si="8"/>
        <v>4.4444444443797693E-2</v>
      </c>
      <c r="L134">
        <f t="shared" si="9"/>
        <v>1</v>
      </c>
      <c r="M134">
        <f t="shared" si="10"/>
        <v>4</v>
      </c>
      <c r="N134">
        <f t="shared" si="11"/>
        <v>64</v>
      </c>
    </row>
    <row r="135" spans="2:14" x14ac:dyDescent="0.25">
      <c r="B135" t="s">
        <v>34</v>
      </c>
      <c r="C135" s="6">
        <v>46083.760416666664</v>
      </c>
      <c r="D135" s="6">
        <v>46083.770833333336</v>
      </c>
      <c r="E135" s="6">
        <v>46083.795138888891</v>
      </c>
      <c r="F135" s="6">
        <v>46083.819444444445</v>
      </c>
      <c r="G135" s="6">
        <v>46083.822916666664</v>
      </c>
      <c r="H135" s="6">
        <v>46083.826388888891</v>
      </c>
      <c r="I135">
        <v>1.58</v>
      </c>
      <c r="J135" s="6">
        <v>46083.833333333336</v>
      </c>
      <c r="K135" s="7">
        <f t="shared" si="8"/>
        <v>0.46527777777373558</v>
      </c>
      <c r="L135">
        <f t="shared" si="9"/>
        <v>11</v>
      </c>
      <c r="M135">
        <f t="shared" si="10"/>
        <v>10</v>
      </c>
      <c r="N135">
        <f t="shared" si="11"/>
        <v>670</v>
      </c>
    </row>
    <row r="136" spans="2:14" x14ac:dyDescent="0.25">
      <c r="B136" t="s">
        <v>34</v>
      </c>
      <c r="C136" s="6">
        <v>46084.291666666664</v>
      </c>
      <c r="D136" s="6">
        <v>46084.333333333336</v>
      </c>
      <c r="E136" s="6">
        <v>46084.35</v>
      </c>
      <c r="F136" s="6">
        <v>46084.506944444445</v>
      </c>
      <c r="G136" s="6">
        <v>46084.520833333336</v>
      </c>
      <c r="H136" s="6">
        <v>46084.527777777781</v>
      </c>
      <c r="I136">
        <v>5.67</v>
      </c>
      <c r="J136" s="6">
        <v>46084.534722222219</v>
      </c>
      <c r="K136" s="7">
        <f t="shared" si="8"/>
        <v>0.21875</v>
      </c>
      <c r="L136">
        <f t="shared" si="9"/>
        <v>5</v>
      </c>
      <c r="M136">
        <f t="shared" si="10"/>
        <v>15</v>
      </c>
      <c r="N136">
        <f t="shared" si="11"/>
        <v>315</v>
      </c>
    </row>
    <row r="137" spans="2:14" x14ac:dyDescent="0.25">
      <c r="B137" t="s">
        <v>34</v>
      </c>
      <c r="C137" s="6">
        <v>46084.746527777781</v>
      </c>
      <c r="D137" s="6">
        <v>46084.756944444445</v>
      </c>
      <c r="E137" s="6">
        <v>46084.788194444445</v>
      </c>
      <c r="F137" s="6">
        <v>46084.9375</v>
      </c>
      <c r="G137" s="6">
        <v>46084.944444444445</v>
      </c>
      <c r="H137" s="6">
        <v>46084.958333333336</v>
      </c>
      <c r="I137">
        <v>5.08</v>
      </c>
      <c r="J137" s="6">
        <v>46084.961805555555</v>
      </c>
      <c r="K137" s="7">
        <f t="shared" si="8"/>
        <v>6.9444444445252884E-2</v>
      </c>
      <c r="L137">
        <f t="shared" si="9"/>
        <v>1</v>
      </c>
      <c r="M137">
        <f t="shared" si="10"/>
        <v>40</v>
      </c>
      <c r="N137">
        <f t="shared" si="11"/>
        <v>100</v>
      </c>
    </row>
    <row r="138" spans="2:14" x14ac:dyDescent="0.25">
      <c r="B138" t="s">
        <v>34</v>
      </c>
      <c r="C138" s="6">
        <v>46085.027777777781</v>
      </c>
      <c r="D138" s="6">
        <v>46085.034722222219</v>
      </c>
      <c r="E138" s="6">
        <v>46085.052083333336</v>
      </c>
      <c r="F138" s="6">
        <v>46085.104166666664</v>
      </c>
      <c r="G138" s="6">
        <v>46085.111111111109</v>
      </c>
      <c r="H138" s="6">
        <v>46085.114583333336</v>
      </c>
      <c r="I138">
        <v>2.08</v>
      </c>
      <c r="J138" s="6">
        <v>46085.121527777781</v>
      </c>
      <c r="K138" s="7">
        <f t="shared" si="8"/>
        <v>0.17708333332848269</v>
      </c>
      <c r="L138">
        <f t="shared" si="9"/>
        <v>4</v>
      </c>
      <c r="M138">
        <f t="shared" si="10"/>
        <v>15</v>
      </c>
      <c r="N138">
        <f t="shared" si="11"/>
        <v>255</v>
      </c>
    </row>
    <row r="139" spans="2:14" hidden="1" x14ac:dyDescent="0.25">
      <c r="B139" t="s">
        <v>34</v>
      </c>
      <c r="C139" s="6">
        <v>46085.291666666664</v>
      </c>
      <c r="D139" s="6">
        <v>46085.315972222219</v>
      </c>
      <c r="E139" s="6">
        <v>46085.326388888891</v>
      </c>
      <c r="F139" s="6">
        <v>46085.420138888891</v>
      </c>
      <c r="G139" s="6">
        <v>46085.4375</v>
      </c>
      <c r="H139" s="6">
        <v>46085.440972222219</v>
      </c>
      <c r="I139">
        <v>3.58</v>
      </c>
      <c r="J139" s="6">
        <v>46085.447916666664</v>
      </c>
      <c r="K139" s="7">
        <f t="shared" si="8"/>
        <v>-0.10416666666424135</v>
      </c>
      <c r="L139" t="e">
        <f t="shared" si="9"/>
        <v>#NUM!</v>
      </c>
      <c r="M139" t="e">
        <f t="shared" si="10"/>
        <v>#NUM!</v>
      </c>
      <c r="N139" t="e">
        <f t="shared" si="11"/>
        <v>#NUM!</v>
      </c>
    </row>
    <row r="140" spans="2:14" x14ac:dyDescent="0.25">
      <c r="B140" t="s">
        <v>34</v>
      </c>
      <c r="C140" s="6">
        <v>46085.336805555555</v>
      </c>
      <c r="D140" s="6">
        <v>46085.340277777781</v>
      </c>
      <c r="E140" s="6">
        <v>46085.347222222219</v>
      </c>
      <c r="F140" s="6">
        <v>46085.385416666664</v>
      </c>
      <c r="G140" s="6">
        <v>46085.392361111109</v>
      </c>
      <c r="H140" s="6">
        <v>46085.395833333336</v>
      </c>
      <c r="I140">
        <v>1.42</v>
      </c>
      <c r="J140" s="6">
        <v>46085.399305555555</v>
      </c>
      <c r="K140" s="7">
        <f t="shared" si="8"/>
        <v>5.9027777773735579E-2</v>
      </c>
      <c r="L140">
        <f t="shared" si="9"/>
        <v>1</v>
      </c>
      <c r="M140">
        <f t="shared" si="10"/>
        <v>25</v>
      </c>
      <c r="N140">
        <f t="shared" si="11"/>
        <v>85</v>
      </c>
    </row>
    <row r="141" spans="2:14" x14ac:dyDescent="0.25">
      <c r="B141" t="s">
        <v>34</v>
      </c>
      <c r="C141" s="6">
        <v>46085.454861111109</v>
      </c>
      <c r="D141" s="6">
        <v>46085.461805555555</v>
      </c>
      <c r="E141" s="6">
        <v>46085.472222222219</v>
      </c>
      <c r="F141" s="6">
        <v>46085.569444444445</v>
      </c>
      <c r="G141" s="6">
        <v>46085.586805555555</v>
      </c>
      <c r="H141" s="6">
        <v>46085.59375</v>
      </c>
      <c r="I141">
        <v>3.33</v>
      </c>
      <c r="J141" s="6">
        <v>46085.594444444447</v>
      </c>
      <c r="K141" s="7">
        <f t="shared" si="8"/>
        <v>0.29583333332993789</v>
      </c>
      <c r="L141">
        <f t="shared" si="9"/>
        <v>7</v>
      </c>
      <c r="M141">
        <f t="shared" si="10"/>
        <v>6</v>
      </c>
      <c r="N141">
        <f t="shared" si="11"/>
        <v>426</v>
      </c>
    </row>
    <row r="142" spans="2:14" x14ac:dyDescent="0.25">
      <c r="B142" t="s">
        <v>34</v>
      </c>
      <c r="C142" s="6">
        <v>46085.88958333333</v>
      </c>
      <c r="D142" s="6">
        <v>46085.902777777781</v>
      </c>
      <c r="E142" s="6">
        <v>46085.909722222219</v>
      </c>
      <c r="F142" s="6">
        <v>46085.947916666664</v>
      </c>
      <c r="G142" s="6">
        <v>46085.948611111111</v>
      </c>
      <c r="H142" s="6">
        <v>46085.949305555558</v>
      </c>
      <c r="I142">
        <v>1.43</v>
      </c>
      <c r="J142" s="6">
        <v>46085.95</v>
      </c>
      <c r="K142" s="7">
        <f t="shared" si="8"/>
        <v>4.9999999995634425E-2</v>
      </c>
      <c r="L142">
        <f t="shared" si="9"/>
        <v>1</v>
      </c>
      <c r="M142">
        <f t="shared" si="10"/>
        <v>12</v>
      </c>
      <c r="N142">
        <f t="shared" si="11"/>
        <v>72</v>
      </c>
    </row>
    <row r="143" spans="2:14" x14ac:dyDescent="0.25">
      <c r="B143" t="s">
        <v>34</v>
      </c>
      <c r="C143" s="6">
        <v>46085.999305555553</v>
      </c>
      <c r="D143" s="6">
        <v>46086.010416666664</v>
      </c>
      <c r="E143" s="6">
        <v>46086.013888888891</v>
      </c>
      <c r="F143" s="6">
        <v>46086.041666666664</v>
      </c>
      <c r="G143" s="6">
        <v>46086.048611111109</v>
      </c>
      <c r="H143" s="6">
        <v>46086.055555555555</v>
      </c>
      <c r="I143">
        <v>1.35</v>
      </c>
      <c r="J143" s="6">
        <v>46086.056250000001</v>
      </c>
      <c r="K143" s="7">
        <f t="shared" si="8"/>
        <v>0.26736111110949423</v>
      </c>
      <c r="L143">
        <f t="shared" si="9"/>
        <v>6</v>
      </c>
      <c r="M143">
        <f t="shared" si="10"/>
        <v>25</v>
      </c>
      <c r="N143">
        <f t="shared" si="11"/>
        <v>385</v>
      </c>
    </row>
    <row r="144" spans="2:14" x14ac:dyDescent="0.25">
      <c r="B144" t="s">
        <v>34</v>
      </c>
      <c r="C144" s="6">
        <v>46086.322916666664</v>
      </c>
      <c r="D144" s="6">
        <v>46086.336805555555</v>
      </c>
      <c r="E144" s="6">
        <v>46086.375</v>
      </c>
      <c r="F144" s="6">
        <v>46086.583333333336</v>
      </c>
      <c r="G144" s="6">
        <v>46086.597222222219</v>
      </c>
      <c r="H144" s="6">
        <v>46086.604166666664</v>
      </c>
      <c r="I144">
        <v>6.75</v>
      </c>
      <c r="J144" s="6">
        <v>46086.605555555558</v>
      </c>
      <c r="K144" s="7">
        <f t="shared" si="8"/>
        <v>0.6875</v>
      </c>
      <c r="L144">
        <f t="shared" si="9"/>
        <v>16</v>
      </c>
      <c r="M144">
        <f t="shared" si="10"/>
        <v>30</v>
      </c>
      <c r="N144">
        <f t="shared" si="11"/>
        <v>990</v>
      </c>
    </row>
    <row r="145" spans="2:14" x14ac:dyDescent="0.25">
      <c r="B145" t="s">
        <v>34</v>
      </c>
      <c r="C145" s="6">
        <v>46087.291666666664</v>
      </c>
      <c r="D145" s="6">
        <v>46087.3125</v>
      </c>
      <c r="E145" s="6">
        <v>46087.34375</v>
      </c>
      <c r="F145" s="6">
        <v>46087.51666666667</v>
      </c>
      <c r="G145" s="6">
        <v>46087.541666666664</v>
      </c>
      <c r="H145" s="6">
        <v>46087.548611111109</v>
      </c>
      <c r="I145">
        <v>6.17</v>
      </c>
      <c r="J145" s="6">
        <v>46087.555555555555</v>
      </c>
      <c r="K145" s="7">
        <f t="shared" si="8"/>
        <v>5.5555555554747116E-2</v>
      </c>
      <c r="L145">
        <f t="shared" si="9"/>
        <v>1</v>
      </c>
      <c r="M145">
        <f t="shared" si="10"/>
        <v>20</v>
      </c>
      <c r="N145">
        <f t="shared" si="11"/>
        <v>80</v>
      </c>
    </row>
    <row r="146" spans="2:14" x14ac:dyDescent="0.25">
      <c r="B146" t="s">
        <v>34</v>
      </c>
      <c r="C146" s="6">
        <v>46087.604166666664</v>
      </c>
      <c r="D146" s="6">
        <v>46087.635416666664</v>
      </c>
      <c r="E146" s="6">
        <v>46087.645833333336</v>
      </c>
      <c r="F146" s="6">
        <v>46087.708333333336</v>
      </c>
      <c r="G146" s="6">
        <v>46087.722222222219</v>
      </c>
      <c r="H146" s="6">
        <v>46087.729166666664</v>
      </c>
      <c r="I146">
        <v>3</v>
      </c>
      <c r="J146" s="6">
        <v>46087.736111111109</v>
      </c>
      <c r="K146" s="7">
        <f t="shared" si="8"/>
        <v>0.88888888889050577</v>
      </c>
      <c r="L146">
        <f t="shared" si="9"/>
        <v>21</v>
      </c>
      <c r="M146">
        <f t="shared" si="10"/>
        <v>20</v>
      </c>
      <c r="N146">
        <f t="shared" si="11"/>
        <v>1280</v>
      </c>
    </row>
    <row r="147" spans="2:14" x14ac:dyDescent="0.25">
      <c r="B147" t="s">
        <v>34</v>
      </c>
      <c r="C147" s="6">
        <v>46088.618055555555</v>
      </c>
      <c r="D147" s="6">
        <v>46088.621527777781</v>
      </c>
      <c r="E147" s="6">
        <v>46088.628472222219</v>
      </c>
      <c r="F147" s="6">
        <v>46088.644444444442</v>
      </c>
      <c r="G147" s="6">
        <v>46088.645833333336</v>
      </c>
      <c r="H147" s="6">
        <v>46088.652777777781</v>
      </c>
      <c r="I147">
        <v>0.83</v>
      </c>
      <c r="J147" s="6">
        <v>46088.659722222219</v>
      </c>
      <c r="K147" s="7">
        <f t="shared" si="8"/>
        <v>0.70833333332848269</v>
      </c>
      <c r="L147">
        <f t="shared" si="9"/>
        <v>17</v>
      </c>
      <c r="M147">
        <f t="shared" si="10"/>
        <v>0</v>
      </c>
      <c r="N147">
        <f t="shared" si="11"/>
        <v>1020</v>
      </c>
    </row>
    <row r="148" spans="2:14" x14ac:dyDescent="0.25">
      <c r="B148" t="s">
        <v>34</v>
      </c>
      <c r="C148" s="6">
        <v>46089.361111111109</v>
      </c>
      <c r="D148" s="6">
        <v>46089.368055555555</v>
      </c>
      <c r="E148" s="6">
        <v>46089.375</v>
      </c>
      <c r="F148" s="6">
        <v>46089.423611111109</v>
      </c>
      <c r="G148" s="6">
        <v>46089.430555555555</v>
      </c>
      <c r="H148" s="6">
        <v>46089.431944444441</v>
      </c>
      <c r="I148">
        <v>1.7</v>
      </c>
      <c r="J148" s="6">
        <v>46089.438888888886</v>
      </c>
      <c r="K148" s="7">
        <f t="shared" si="8"/>
        <v>0.57500000000436557</v>
      </c>
      <c r="L148">
        <f t="shared" si="9"/>
        <v>13</v>
      </c>
      <c r="M148">
        <f t="shared" si="10"/>
        <v>48</v>
      </c>
      <c r="N148">
        <f t="shared" si="11"/>
        <v>828</v>
      </c>
    </row>
    <row r="149" spans="2:14" x14ac:dyDescent="0.25">
      <c r="B149" t="s">
        <v>34</v>
      </c>
      <c r="C149" s="6">
        <v>46090.006944444445</v>
      </c>
      <c r="D149" s="6">
        <v>46090.010416666664</v>
      </c>
      <c r="E149" s="6">
        <v>46090.012499999997</v>
      </c>
      <c r="F149" s="6">
        <v>46090.020833333336</v>
      </c>
      <c r="G149" s="6">
        <v>46090.027777777781</v>
      </c>
      <c r="H149" s="6">
        <v>46090.03125</v>
      </c>
      <c r="I149">
        <v>0.57999999999999996</v>
      </c>
      <c r="J149" s="6">
        <v>46090.038194444445</v>
      </c>
      <c r="K149" s="7">
        <f t="shared" si="8"/>
        <v>0.60069444444525288</v>
      </c>
      <c r="L149">
        <f t="shared" si="9"/>
        <v>14</v>
      </c>
      <c r="M149">
        <f t="shared" si="10"/>
        <v>25</v>
      </c>
      <c r="N149">
        <f t="shared" si="11"/>
        <v>865</v>
      </c>
    </row>
    <row r="150" spans="2:14" x14ac:dyDescent="0.25">
      <c r="B150" t="s">
        <v>34</v>
      </c>
      <c r="C150" s="6">
        <v>46090.631944444445</v>
      </c>
      <c r="D150" s="6">
        <v>46090.638888888891</v>
      </c>
      <c r="E150" s="6">
        <v>46090.652777777781</v>
      </c>
      <c r="F150" s="6">
        <v>46090.71875</v>
      </c>
      <c r="G150" s="6">
        <v>46090.725694444445</v>
      </c>
      <c r="H150" s="6">
        <v>46090.729166666664</v>
      </c>
      <c r="I150">
        <v>2.33</v>
      </c>
      <c r="J150" s="6">
        <v>46090.736111111109</v>
      </c>
      <c r="K150" s="7">
        <f t="shared" si="8"/>
        <v>0.5625</v>
      </c>
      <c r="L150">
        <f t="shared" si="9"/>
        <v>13</v>
      </c>
      <c r="M150">
        <f t="shared" si="10"/>
        <v>30</v>
      </c>
      <c r="N150">
        <f t="shared" si="11"/>
        <v>810</v>
      </c>
    </row>
    <row r="151" spans="2:14" x14ac:dyDescent="0.25">
      <c r="B151" t="s">
        <v>34</v>
      </c>
      <c r="C151" s="6">
        <v>46091.291666666664</v>
      </c>
      <c r="D151" s="6">
        <v>46091.319444444445</v>
      </c>
      <c r="E151" s="6">
        <v>46091.347222222219</v>
      </c>
      <c r="F151" s="6">
        <v>46091.449305555558</v>
      </c>
      <c r="G151" s="6">
        <v>46091.458333333336</v>
      </c>
      <c r="H151" s="6">
        <v>46091.541666666664</v>
      </c>
      <c r="I151">
        <v>6</v>
      </c>
      <c r="J151" s="6">
        <v>46091.548611111109</v>
      </c>
      <c r="K151" s="7">
        <f t="shared" si="8"/>
        <v>0.125</v>
      </c>
      <c r="L151">
        <f t="shared" si="9"/>
        <v>3</v>
      </c>
      <c r="M151">
        <f t="shared" si="10"/>
        <v>0</v>
      </c>
      <c r="N151">
        <f t="shared" si="11"/>
        <v>180</v>
      </c>
    </row>
    <row r="152" spans="2:14" x14ac:dyDescent="0.25">
      <c r="B152" t="s">
        <v>34</v>
      </c>
      <c r="C152" s="6">
        <v>46091.666666666664</v>
      </c>
      <c r="D152" s="6">
        <v>46091.6875</v>
      </c>
      <c r="E152" s="6">
        <v>46091.725694444445</v>
      </c>
      <c r="F152" s="6">
        <v>46091.902777777781</v>
      </c>
      <c r="G152" s="6">
        <v>46091.909722222219</v>
      </c>
      <c r="H152" s="6">
        <v>46091.920138888891</v>
      </c>
      <c r="I152">
        <v>6.08</v>
      </c>
      <c r="J152" s="6">
        <v>46091.927083333336</v>
      </c>
      <c r="K152" s="7">
        <f t="shared" si="8"/>
        <v>1.3715277777737356</v>
      </c>
      <c r="L152">
        <f t="shared" si="9"/>
        <v>8</v>
      </c>
      <c r="M152">
        <f t="shared" si="10"/>
        <v>55</v>
      </c>
      <c r="N152">
        <f t="shared" si="11"/>
        <v>535</v>
      </c>
    </row>
    <row r="153" spans="2:14" x14ac:dyDescent="0.25">
      <c r="B153" t="s">
        <v>34</v>
      </c>
      <c r="C153" s="6">
        <v>46093.291666666664</v>
      </c>
      <c r="D153" s="6">
        <v>46093.315972222219</v>
      </c>
      <c r="E153" s="6">
        <v>46093.326388888891</v>
      </c>
      <c r="F153" s="6">
        <v>46093.416666666664</v>
      </c>
      <c r="G153" s="6">
        <v>46093.423611111109</v>
      </c>
      <c r="H153" s="6">
        <v>46093.427083333336</v>
      </c>
      <c r="I153">
        <v>3.25</v>
      </c>
      <c r="J153" s="6">
        <v>46093.434027777781</v>
      </c>
      <c r="K153" s="7">
        <f t="shared" si="8"/>
        <v>2.4305555554747116E-2</v>
      </c>
      <c r="L153">
        <f t="shared" si="9"/>
        <v>0</v>
      </c>
      <c r="M153">
        <f t="shared" si="10"/>
        <v>35</v>
      </c>
      <c r="N153">
        <f t="shared" si="11"/>
        <v>35</v>
      </c>
    </row>
    <row r="154" spans="2:14" x14ac:dyDescent="0.25">
      <c r="B154" t="s">
        <v>34</v>
      </c>
      <c r="C154" s="6">
        <v>46093.451388888891</v>
      </c>
      <c r="D154" s="6">
        <v>46093.458333333336</v>
      </c>
      <c r="E154" s="6">
        <v>46093.475694444445</v>
      </c>
      <c r="F154" s="6">
        <v>46093.510416666664</v>
      </c>
      <c r="G154" s="6">
        <v>46093.517361111109</v>
      </c>
      <c r="H154" s="6">
        <v>46093.53125</v>
      </c>
      <c r="I154">
        <v>1.92</v>
      </c>
      <c r="J154" s="6">
        <v>46093.538194444445</v>
      </c>
      <c r="K154" s="7">
        <f t="shared" si="8"/>
        <v>0.76388888889050577</v>
      </c>
      <c r="L154">
        <f t="shared" si="9"/>
        <v>18</v>
      </c>
      <c r="M154">
        <f t="shared" si="10"/>
        <v>20</v>
      </c>
      <c r="N154">
        <f t="shared" si="11"/>
        <v>1100</v>
      </c>
    </row>
    <row r="155" spans="2:14" x14ac:dyDescent="0.25">
      <c r="B155" t="s">
        <v>34</v>
      </c>
      <c r="C155" s="6">
        <v>46094.295138888891</v>
      </c>
      <c r="D155" s="6">
        <v>46094.326388888891</v>
      </c>
      <c r="E155" s="6">
        <v>46094.340277777781</v>
      </c>
      <c r="F155" s="6">
        <v>46094.486111111109</v>
      </c>
      <c r="G155" s="6">
        <v>46094.493055555555</v>
      </c>
      <c r="H155" s="6">
        <v>46094.5</v>
      </c>
      <c r="I155">
        <v>4.92</v>
      </c>
      <c r="J155" s="6">
        <v>46094.506944444445</v>
      </c>
      <c r="K155" s="7">
        <f t="shared" si="8"/>
        <v>0.87152777778101154</v>
      </c>
      <c r="L155">
        <f t="shared" si="9"/>
        <v>20</v>
      </c>
      <c r="M155">
        <f t="shared" si="10"/>
        <v>55</v>
      </c>
      <c r="N155">
        <f t="shared" si="11"/>
        <v>1255</v>
      </c>
    </row>
    <row r="156" spans="2:14" x14ac:dyDescent="0.25">
      <c r="B156" t="s">
        <v>34</v>
      </c>
      <c r="C156" s="6">
        <v>46095.371527777781</v>
      </c>
      <c r="D156" s="6">
        <v>46095.375</v>
      </c>
      <c r="E156" s="6">
        <v>46095.40625</v>
      </c>
      <c r="F156" s="6">
        <v>46095.426388888889</v>
      </c>
      <c r="G156" s="6">
        <v>46095.427777777775</v>
      </c>
      <c r="H156" s="6">
        <v>46095.430555555555</v>
      </c>
      <c r="I156">
        <v>1.42</v>
      </c>
      <c r="J156" s="6">
        <v>46095.432638888888</v>
      </c>
      <c r="K156" s="7">
        <f t="shared" si="8"/>
        <v>5.5555555554747116E-2</v>
      </c>
      <c r="L156">
        <f t="shared" si="9"/>
        <v>1</v>
      </c>
      <c r="M156">
        <f t="shared" si="10"/>
        <v>20</v>
      </c>
      <c r="N156">
        <f t="shared" si="11"/>
        <v>80</v>
      </c>
    </row>
    <row r="157" spans="2:14" x14ac:dyDescent="0.25">
      <c r="B157" t="s">
        <v>34</v>
      </c>
      <c r="C157" s="6">
        <v>46095.486111111109</v>
      </c>
      <c r="D157" s="6">
        <v>46095.493055555555</v>
      </c>
      <c r="E157" s="6">
        <v>46095.5</v>
      </c>
      <c r="F157" s="6">
        <v>46095.522916666669</v>
      </c>
      <c r="G157" s="6">
        <v>46095.534722222219</v>
      </c>
      <c r="H157" s="6">
        <v>46095.543055555558</v>
      </c>
      <c r="I157">
        <v>1.37</v>
      </c>
      <c r="J157" s="6">
        <v>46095.55</v>
      </c>
      <c r="K157" s="7">
        <f t="shared" si="8"/>
        <v>0.13749999999708962</v>
      </c>
      <c r="L157">
        <f t="shared" si="9"/>
        <v>3</v>
      </c>
      <c r="M157">
        <f t="shared" si="10"/>
        <v>18</v>
      </c>
      <c r="N157">
        <f t="shared" si="11"/>
        <v>198</v>
      </c>
    </row>
    <row r="158" spans="2:14" x14ac:dyDescent="0.25">
      <c r="B158" t="s">
        <v>34</v>
      </c>
      <c r="C158" s="6">
        <v>46095.680555555555</v>
      </c>
      <c r="D158" s="6">
        <v>46095.684027777781</v>
      </c>
      <c r="E158" s="6">
        <v>46095.6875</v>
      </c>
      <c r="F158" s="6">
        <v>46095.725694444445</v>
      </c>
      <c r="G158" s="6">
        <v>46095.736111111109</v>
      </c>
      <c r="H158" s="6">
        <v>46095.743055555555</v>
      </c>
      <c r="I158">
        <v>1.5</v>
      </c>
      <c r="J158" s="6">
        <v>46095.743750000001</v>
      </c>
      <c r="K158" s="7">
        <f t="shared" si="8"/>
        <v>0.13402777777810115</v>
      </c>
      <c r="L158">
        <f t="shared" si="9"/>
        <v>3</v>
      </c>
      <c r="M158">
        <f t="shared" si="10"/>
        <v>13</v>
      </c>
      <c r="N158">
        <f t="shared" si="11"/>
        <v>193</v>
      </c>
    </row>
    <row r="159" spans="2:14" x14ac:dyDescent="0.25">
      <c r="B159" t="s">
        <v>34</v>
      </c>
      <c r="C159" s="6">
        <v>46095.877083333333</v>
      </c>
      <c r="D159" s="6">
        <v>46095.881944444445</v>
      </c>
      <c r="E159" s="6">
        <v>46095.895833333336</v>
      </c>
      <c r="F159" s="6">
        <v>46095.950694444444</v>
      </c>
      <c r="G159" s="6">
        <v>46095.951388888891</v>
      </c>
      <c r="H159" s="6">
        <v>46095.958333333336</v>
      </c>
      <c r="I159">
        <v>1.95</v>
      </c>
      <c r="J159" s="6">
        <v>46095.959722222222</v>
      </c>
      <c r="K159" s="7">
        <f t="shared" si="8"/>
        <v>0.25694444444525288</v>
      </c>
      <c r="L159">
        <f t="shared" si="9"/>
        <v>6</v>
      </c>
      <c r="M159">
        <f t="shared" si="10"/>
        <v>10</v>
      </c>
      <c r="N159">
        <f t="shared" si="11"/>
        <v>370</v>
      </c>
    </row>
    <row r="160" spans="2:14" hidden="1" x14ac:dyDescent="0.25">
      <c r="B160" t="s">
        <v>34</v>
      </c>
      <c r="C160" s="6">
        <v>46096.215277777781</v>
      </c>
      <c r="D160" s="6">
        <v>46096.216666666667</v>
      </c>
      <c r="E160" s="6">
        <v>46096.236111111109</v>
      </c>
      <c r="F160" s="6">
        <v>46096.326388888891</v>
      </c>
      <c r="G160" s="6">
        <v>46096.333333333336</v>
      </c>
      <c r="H160" s="6">
        <v>46096.458333333336</v>
      </c>
      <c r="I160">
        <v>5.83</v>
      </c>
      <c r="J160" s="6">
        <v>46096.465277777781</v>
      </c>
      <c r="K160" s="7">
        <f t="shared" si="8"/>
        <v>-0.24305555555474712</v>
      </c>
      <c r="L160" t="e">
        <f t="shared" si="9"/>
        <v>#NUM!</v>
      </c>
      <c r="M160" t="e">
        <f t="shared" si="10"/>
        <v>#NUM!</v>
      </c>
      <c r="N160" t="e">
        <f t="shared" si="11"/>
        <v>#NUM!</v>
      </c>
    </row>
    <row r="161" spans="2:14" x14ac:dyDescent="0.25">
      <c r="B161" t="s">
        <v>34</v>
      </c>
      <c r="C161" s="6">
        <v>46096.215277777781</v>
      </c>
      <c r="D161" s="6">
        <v>46096.216666666667</v>
      </c>
      <c r="E161" s="6">
        <v>46096.236111111109</v>
      </c>
      <c r="F161" s="6">
        <v>46096.326388888891</v>
      </c>
      <c r="G161" s="6">
        <v>46096.333333333336</v>
      </c>
      <c r="H161" s="6">
        <v>46096.458333333336</v>
      </c>
      <c r="I161">
        <v>5.83</v>
      </c>
      <c r="J161" s="6">
        <v>46096.465277777781</v>
      </c>
      <c r="K161" s="7">
        <f t="shared" si="8"/>
        <v>0.20833333332848269</v>
      </c>
      <c r="L161">
        <f t="shared" si="9"/>
        <v>5</v>
      </c>
      <c r="M161">
        <f t="shared" si="10"/>
        <v>0</v>
      </c>
      <c r="N161">
        <f t="shared" si="11"/>
        <v>300</v>
      </c>
    </row>
    <row r="162" spans="2:14" x14ac:dyDescent="0.25">
      <c r="B162" t="s">
        <v>34</v>
      </c>
      <c r="C162" s="6">
        <v>46096.666666666664</v>
      </c>
      <c r="D162" s="6">
        <v>46096.678472222222</v>
      </c>
      <c r="E162" s="6">
        <v>46096.681250000001</v>
      </c>
      <c r="F162" s="6">
        <v>46096.716666666667</v>
      </c>
      <c r="G162" s="6">
        <v>46096.720833333333</v>
      </c>
      <c r="H162" s="6">
        <v>46096.75</v>
      </c>
      <c r="I162">
        <v>2</v>
      </c>
      <c r="J162" s="6">
        <v>46096.750694444447</v>
      </c>
      <c r="K162" s="7">
        <f t="shared" si="8"/>
        <v>0.54166666666424135</v>
      </c>
      <c r="L162">
        <f t="shared" si="9"/>
        <v>13</v>
      </c>
      <c r="M162">
        <f t="shared" si="10"/>
        <v>0</v>
      </c>
      <c r="N162">
        <f t="shared" si="11"/>
        <v>780</v>
      </c>
    </row>
    <row r="163" spans="2:14" hidden="1" x14ac:dyDescent="0.25">
      <c r="B163" t="s">
        <v>34</v>
      </c>
      <c r="C163" s="6">
        <v>46097.291666666664</v>
      </c>
      <c r="D163" s="6">
        <v>46097.3125</v>
      </c>
      <c r="E163" s="6">
        <v>46097.333333333336</v>
      </c>
      <c r="F163" s="6">
        <v>46097.404861111114</v>
      </c>
      <c r="G163" s="6">
        <v>46097.411805555559</v>
      </c>
      <c r="H163" s="6">
        <v>46097.413194444445</v>
      </c>
      <c r="I163">
        <v>2.92</v>
      </c>
      <c r="J163" s="6">
        <v>46097.420138888891</v>
      </c>
      <c r="K163" s="7">
        <f t="shared" si="8"/>
        <v>-0.10069444444525288</v>
      </c>
      <c r="L163" t="e">
        <f t="shared" si="9"/>
        <v>#NUM!</v>
      </c>
      <c r="M163" t="e">
        <f t="shared" si="10"/>
        <v>#NUM!</v>
      </c>
      <c r="N163" t="e">
        <f t="shared" si="11"/>
        <v>#NUM!</v>
      </c>
    </row>
    <row r="164" spans="2:14" x14ac:dyDescent="0.25">
      <c r="B164" t="s">
        <v>34</v>
      </c>
      <c r="C164" s="6">
        <v>46097.3125</v>
      </c>
      <c r="D164" s="6">
        <v>46097.329861111109</v>
      </c>
      <c r="E164" s="6">
        <v>46097.350694444445</v>
      </c>
      <c r="F164" s="6">
        <v>46097.409722222219</v>
      </c>
      <c r="G164" s="6">
        <v>46097.416666666664</v>
      </c>
      <c r="H164" s="6">
        <v>46097.423611111109</v>
      </c>
      <c r="I164">
        <v>2.67</v>
      </c>
      <c r="J164" s="6">
        <v>46097.430555555555</v>
      </c>
      <c r="K164" s="7">
        <f t="shared" si="8"/>
        <v>0.21527777778101154</v>
      </c>
      <c r="L164">
        <f t="shared" si="9"/>
        <v>5</v>
      </c>
      <c r="M164">
        <f t="shared" si="10"/>
        <v>10</v>
      </c>
      <c r="N164">
        <f t="shared" si="11"/>
        <v>310</v>
      </c>
    </row>
    <row r="165" spans="2:14" x14ac:dyDescent="0.25">
      <c r="B165" t="s">
        <v>34</v>
      </c>
      <c r="C165" s="6">
        <v>46097.638888888891</v>
      </c>
      <c r="D165" s="6">
        <v>46097.645833333336</v>
      </c>
      <c r="E165" s="6">
        <v>46097.659722222219</v>
      </c>
      <c r="F165" s="6">
        <v>46097.680555555555</v>
      </c>
      <c r="G165" s="6">
        <v>46097.6875</v>
      </c>
      <c r="H165" s="6">
        <v>46097.711805555555</v>
      </c>
      <c r="I165">
        <v>1.75</v>
      </c>
      <c r="J165" s="6">
        <v>46097.715277777781</v>
      </c>
      <c r="K165" s="7">
        <f t="shared" si="8"/>
        <v>1.5798611111094942</v>
      </c>
      <c r="L165">
        <f t="shared" si="9"/>
        <v>13</v>
      </c>
      <c r="M165">
        <f t="shared" si="10"/>
        <v>55</v>
      </c>
      <c r="N165">
        <f t="shared" si="11"/>
        <v>835</v>
      </c>
    </row>
    <row r="166" spans="2:14" x14ac:dyDescent="0.25">
      <c r="B166" t="s">
        <v>34</v>
      </c>
      <c r="C166" s="6">
        <v>46099.291666666664</v>
      </c>
      <c r="D166" s="6">
        <v>46099.3125</v>
      </c>
      <c r="E166" s="6">
        <v>46099.326388888891</v>
      </c>
      <c r="F166" s="6">
        <v>46099.418055555558</v>
      </c>
      <c r="G166" s="6">
        <v>46099.425000000003</v>
      </c>
      <c r="H166" s="6">
        <v>46099.434027777781</v>
      </c>
      <c r="I166">
        <v>3.42</v>
      </c>
      <c r="J166" s="6">
        <v>46099.440972222219</v>
      </c>
      <c r="K166" s="7">
        <f t="shared" si="8"/>
        <v>6.4583333332848269E-2</v>
      </c>
      <c r="L166">
        <f t="shared" si="9"/>
        <v>1</v>
      </c>
      <c r="M166">
        <f t="shared" si="10"/>
        <v>33</v>
      </c>
      <c r="N166">
        <f t="shared" si="11"/>
        <v>93</v>
      </c>
    </row>
    <row r="167" spans="2:14" x14ac:dyDescent="0.25">
      <c r="B167" t="s">
        <v>34</v>
      </c>
      <c r="C167" s="6">
        <v>46099.498611111114</v>
      </c>
      <c r="D167" s="6">
        <v>46099.506944444445</v>
      </c>
      <c r="E167" s="6">
        <v>46099.513888888891</v>
      </c>
      <c r="F167" s="6">
        <v>46099.586111111108</v>
      </c>
      <c r="G167" s="6">
        <v>46099.593055555553</v>
      </c>
      <c r="H167" s="6">
        <v>46099.597222222219</v>
      </c>
      <c r="I167">
        <v>2.37</v>
      </c>
      <c r="J167" s="6">
        <v>46099.604166666664</v>
      </c>
      <c r="K167" s="7">
        <f t="shared" si="8"/>
        <v>2.4305555562023073E-2</v>
      </c>
      <c r="L167">
        <f t="shared" si="9"/>
        <v>0</v>
      </c>
      <c r="M167">
        <f t="shared" si="10"/>
        <v>35</v>
      </c>
      <c r="N167">
        <f t="shared" si="11"/>
        <v>35</v>
      </c>
    </row>
    <row r="168" spans="2:14" hidden="1" x14ac:dyDescent="0.25">
      <c r="B168" t="s">
        <v>34</v>
      </c>
      <c r="C168" s="6">
        <v>46099.621527777781</v>
      </c>
      <c r="D168" s="6">
        <v>46099.628472222219</v>
      </c>
      <c r="E168" s="6">
        <v>46099.642361111109</v>
      </c>
      <c r="F168" s="6">
        <v>46099.666666666664</v>
      </c>
      <c r="G168" s="6">
        <v>46099.673611111109</v>
      </c>
      <c r="H168" s="6">
        <v>46099.677083333336</v>
      </c>
      <c r="I168">
        <v>1.33</v>
      </c>
      <c r="J168" s="6">
        <v>46099.684027777781</v>
      </c>
      <c r="K168" s="7">
        <f t="shared" si="8"/>
        <v>-1.7361111116770189E-2</v>
      </c>
      <c r="L168" t="e">
        <f t="shared" si="9"/>
        <v>#NUM!</v>
      </c>
      <c r="M168" t="e">
        <f t="shared" si="10"/>
        <v>#NUM!</v>
      </c>
      <c r="N168" t="e">
        <f t="shared" si="11"/>
        <v>#NUM!</v>
      </c>
    </row>
    <row r="169" spans="2:14" x14ac:dyDescent="0.25">
      <c r="B169" t="s">
        <v>34</v>
      </c>
      <c r="C169" s="6">
        <v>46099.659722222219</v>
      </c>
      <c r="D169" s="6">
        <v>46099.673611111109</v>
      </c>
      <c r="E169" s="6">
        <v>46099.6875</v>
      </c>
      <c r="F169" s="6">
        <v>46099.84652777778</v>
      </c>
      <c r="G169" s="6">
        <v>46099.853472222225</v>
      </c>
      <c r="H169" s="6">
        <v>46099.857638888891</v>
      </c>
      <c r="I169">
        <v>4.75</v>
      </c>
      <c r="J169" s="6">
        <v>46099.864583333336</v>
      </c>
      <c r="K169" s="7">
        <f t="shared" si="8"/>
        <v>0.44791666666424135</v>
      </c>
      <c r="L169">
        <f t="shared" si="9"/>
        <v>10</v>
      </c>
      <c r="M169">
        <f t="shared" si="10"/>
        <v>45</v>
      </c>
      <c r="N169">
        <f t="shared" si="11"/>
        <v>645</v>
      </c>
    </row>
    <row r="170" spans="2:14" x14ac:dyDescent="0.25">
      <c r="B170" t="s">
        <v>34</v>
      </c>
      <c r="C170" s="6">
        <v>46100.305555555555</v>
      </c>
      <c r="D170" s="6">
        <v>46100.315972222219</v>
      </c>
      <c r="E170" s="6">
        <v>46100.336805555555</v>
      </c>
      <c r="F170" s="6">
        <v>46100.357638888891</v>
      </c>
      <c r="G170" s="6">
        <v>46100.364583333336</v>
      </c>
      <c r="H170" s="6">
        <v>46100.371527777781</v>
      </c>
      <c r="I170">
        <v>1.58</v>
      </c>
      <c r="J170" s="6">
        <v>46100.381944444445</v>
      </c>
      <c r="K170" s="7">
        <f t="shared" si="8"/>
        <v>3.4722222218988463E-2</v>
      </c>
      <c r="L170">
        <f t="shared" si="9"/>
        <v>0</v>
      </c>
      <c r="M170">
        <f t="shared" si="10"/>
        <v>50</v>
      </c>
      <c r="N170">
        <f t="shared" si="11"/>
        <v>50</v>
      </c>
    </row>
    <row r="171" spans="2:14" x14ac:dyDescent="0.25">
      <c r="B171" t="s">
        <v>34</v>
      </c>
      <c r="C171" s="6">
        <v>46100.40625</v>
      </c>
      <c r="D171" s="6">
        <v>46100.413194444445</v>
      </c>
      <c r="E171" s="6">
        <v>46100.444444444445</v>
      </c>
      <c r="F171" s="6">
        <v>46100.517361111109</v>
      </c>
      <c r="G171" s="6">
        <v>46100.527777777781</v>
      </c>
      <c r="H171" s="6">
        <v>46100.541666666664</v>
      </c>
      <c r="I171">
        <v>3.25</v>
      </c>
      <c r="J171" s="6">
        <v>46100.545138888891</v>
      </c>
      <c r="K171" s="7">
        <f t="shared" si="8"/>
        <v>5.5555555554747116E-2</v>
      </c>
      <c r="L171">
        <f t="shared" si="9"/>
        <v>1</v>
      </c>
      <c r="M171">
        <f t="shared" si="10"/>
        <v>20</v>
      </c>
      <c r="N171">
        <f t="shared" si="11"/>
        <v>80</v>
      </c>
    </row>
    <row r="172" spans="2:14" x14ac:dyDescent="0.25">
      <c r="B172" t="s">
        <v>34</v>
      </c>
      <c r="C172" s="6">
        <v>46100.597222222219</v>
      </c>
      <c r="D172" s="6">
        <v>46100.607638888891</v>
      </c>
      <c r="E172" s="6">
        <v>46100.625</v>
      </c>
      <c r="F172" s="6">
        <v>46100.75</v>
      </c>
      <c r="G172" s="6">
        <v>46100.756944444445</v>
      </c>
      <c r="H172" s="6">
        <v>46100.833333333336</v>
      </c>
      <c r="I172">
        <v>5.67</v>
      </c>
      <c r="J172" s="6">
        <v>46100.840277777781</v>
      </c>
      <c r="K172" s="7">
        <f t="shared" si="8"/>
        <v>0.49652777777373558</v>
      </c>
      <c r="L172">
        <f t="shared" si="9"/>
        <v>11</v>
      </c>
      <c r="M172">
        <f t="shared" si="10"/>
        <v>55</v>
      </c>
      <c r="N172">
        <f t="shared" si="11"/>
        <v>715</v>
      </c>
    </row>
    <row r="173" spans="2:14" x14ac:dyDescent="0.25">
      <c r="B173" t="s">
        <v>34</v>
      </c>
      <c r="C173" s="6">
        <v>46101.329861111109</v>
      </c>
      <c r="D173" s="6">
        <v>46101.331250000003</v>
      </c>
      <c r="E173" s="6">
        <v>46101.347222222219</v>
      </c>
      <c r="F173" s="6">
        <v>46101.409722222219</v>
      </c>
      <c r="G173" s="6">
        <v>46101.461805555555</v>
      </c>
      <c r="H173" s="6">
        <v>46101.465277777781</v>
      </c>
      <c r="I173">
        <v>3.25</v>
      </c>
      <c r="J173" s="6">
        <v>46101.472222222219</v>
      </c>
      <c r="K173" s="7">
        <f t="shared" si="8"/>
        <v>2.7777777773735579E-2</v>
      </c>
      <c r="L173">
        <f t="shared" si="9"/>
        <v>0</v>
      </c>
      <c r="M173">
        <f t="shared" si="10"/>
        <v>40</v>
      </c>
      <c r="N173">
        <f t="shared" si="11"/>
        <v>40</v>
      </c>
    </row>
    <row r="174" spans="2:14" x14ac:dyDescent="0.25">
      <c r="B174" t="s">
        <v>34</v>
      </c>
      <c r="C174" s="6">
        <v>46101.493055555555</v>
      </c>
      <c r="D174" s="6">
        <v>46101.5</v>
      </c>
      <c r="E174" s="6">
        <v>46101.506944444445</v>
      </c>
      <c r="F174" s="6">
        <v>46101.604166666664</v>
      </c>
      <c r="G174" s="6">
        <v>46101.611111111109</v>
      </c>
      <c r="H174" s="6">
        <v>46101.612500000003</v>
      </c>
      <c r="I174">
        <v>2.87</v>
      </c>
      <c r="J174" s="6">
        <v>46101.619444444441</v>
      </c>
      <c r="K174" s="7">
        <f t="shared" si="8"/>
        <v>3.6805555551836733E-2</v>
      </c>
      <c r="L174">
        <f t="shared" si="9"/>
        <v>0</v>
      </c>
      <c r="M174">
        <f t="shared" si="10"/>
        <v>53</v>
      </c>
      <c r="N174">
        <f t="shared" si="11"/>
        <v>53</v>
      </c>
    </row>
    <row r="175" spans="2:14" x14ac:dyDescent="0.25">
      <c r="B175" t="s">
        <v>34</v>
      </c>
      <c r="C175" s="6">
        <v>46101.649305555555</v>
      </c>
      <c r="D175" s="6">
        <v>46101.663194444445</v>
      </c>
      <c r="E175" s="6">
        <v>46101.694444444445</v>
      </c>
      <c r="F175" s="6">
        <v>46101.802083333336</v>
      </c>
      <c r="G175" s="6">
        <v>46101.820833333331</v>
      </c>
      <c r="H175" s="6">
        <v>46101.821527777778</v>
      </c>
      <c r="I175">
        <v>4.13</v>
      </c>
      <c r="J175" s="6">
        <v>46101.822222222225</v>
      </c>
      <c r="K175" s="7">
        <f t="shared" si="8"/>
        <v>7.4305555557657499E-2</v>
      </c>
      <c r="L175">
        <f t="shared" si="9"/>
        <v>1</v>
      </c>
      <c r="M175">
        <f t="shared" si="10"/>
        <v>47</v>
      </c>
      <c r="N175">
        <f t="shared" si="11"/>
        <v>107</v>
      </c>
    </row>
    <row r="176" spans="2:14" x14ac:dyDescent="0.25">
      <c r="B176" t="s">
        <v>34</v>
      </c>
      <c r="C176" s="6">
        <v>46101.895833333336</v>
      </c>
      <c r="D176" s="6">
        <v>46101.90625</v>
      </c>
      <c r="E176" s="6">
        <v>46101.916666666664</v>
      </c>
      <c r="F176" s="6">
        <v>46101.948611111111</v>
      </c>
      <c r="G176" s="6">
        <v>46101.955555555556</v>
      </c>
      <c r="H176" s="6">
        <v>46102.263888888891</v>
      </c>
      <c r="I176">
        <v>8.83</v>
      </c>
      <c r="J176" s="6">
        <v>46102.270833333336</v>
      </c>
      <c r="K176" s="7">
        <f t="shared" si="8"/>
        <v>0.19097222221898846</v>
      </c>
      <c r="L176">
        <f t="shared" si="9"/>
        <v>4</v>
      </c>
      <c r="M176">
        <f t="shared" si="10"/>
        <v>35</v>
      </c>
      <c r="N176">
        <f t="shared" si="11"/>
        <v>275</v>
      </c>
    </row>
    <row r="177" spans="2:14" x14ac:dyDescent="0.25">
      <c r="B177" t="s">
        <v>34</v>
      </c>
      <c r="C177" s="6">
        <v>46102.454861111109</v>
      </c>
      <c r="D177" s="6">
        <v>46102.46875</v>
      </c>
      <c r="E177" s="6">
        <v>46102.472222222219</v>
      </c>
      <c r="F177" s="6">
        <v>46102.5</v>
      </c>
      <c r="G177" s="6">
        <v>46102.506944444445</v>
      </c>
      <c r="H177" s="6">
        <v>46102.510416666664</v>
      </c>
      <c r="I177">
        <v>1.33</v>
      </c>
      <c r="J177" s="6">
        <v>46102.513888888891</v>
      </c>
      <c r="K177" s="7">
        <f t="shared" si="8"/>
        <v>9.7222222226264421E-2</v>
      </c>
      <c r="L177">
        <f t="shared" si="9"/>
        <v>2</v>
      </c>
      <c r="M177">
        <f t="shared" si="10"/>
        <v>20</v>
      </c>
      <c r="N177">
        <f t="shared" si="11"/>
        <v>140</v>
      </c>
    </row>
    <row r="178" spans="2:14" x14ac:dyDescent="0.25">
      <c r="B178" t="s">
        <v>34</v>
      </c>
      <c r="C178" s="6">
        <v>46102.607638888891</v>
      </c>
      <c r="D178" s="6">
        <v>46102.618055555555</v>
      </c>
      <c r="E178" s="6">
        <v>46102.631944444445</v>
      </c>
      <c r="F178" s="6">
        <v>46102.65625</v>
      </c>
      <c r="G178" s="6">
        <v>46102.677083333336</v>
      </c>
      <c r="H178" s="6">
        <v>46102.680555555555</v>
      </c>
      <c r="I178">
        <v>1.75</v>
      </c>
      <c r="J178" s="6">
        <v>46102.684027777781</v>
      </c>
      <c r="K178" s="7">
        <f t="shared" si="8"/>
        <v>3.6111111112404615E-2</v>
      </c>
      <c r="L178">
        <f t="shared" si="9"/>
        <v>0</v>
      </c>
      <c r="M178">
        <f t="shared" si="10"/>
        <v>52</v>
      </c>
      <c r="N178">
        <f t="shared" si="11"/>
        <v>52</v>
      </c>
    </row>
    <row r="179" spans="2:14" x14ac:dyDescent="0.25">
      <c r="B179" t="s">
        <v>34</v>
      </c>
      <c r="C179" s="6">
        <v>46102.716666666667</v>
      </c>
      <c r="D179" s="6">
        <v>46102.71875</v>
      </c>
      <c r="E179" s="6">
        <v>46102.732638888891</v>
      </c>
      <c r="F179" s="6">
        <v>46102.756944444445</v>
      </c>
      <c r="G179" s="6">
        <v>46102.763888888891</v>
      </c>
      <c r="H179" s="6">
        <v>46102.765277777777</v>
      </c>
      <c r="I179">
        <v>1.17</v>
      </c>
      <c r="J179" s="6">
        <v>46102.765972222223</v>
      </c>
      <c r="K179" s="7">
        <f t="shared" si="8"/>
        <v>1.8562500000043656</v>
      </c>
      <c r="L179">
        <f t="shared" si="9"/>
        <v>20</v>
      </c>
      <c r="M179">
        <f t="shared" si="10"/>
        <v>33</v>
      </c>
      <c r="N179">
        <f t="shared" si="11"/>
        <v>1233</v>
      </c>
    </row>
    <row r="180" spans="2:14" hidden="1" x14ac:dyDescent="0.25">
      <c r="B180" t="s">
        <v>34</v>
      </c>
      <c r="C180" s="6">
        <v>46104.621527777781</v>
      </c>
      <c r="D180" s="6">
        <v>46104.625</v>
      </c>
      <c r="E180" s="6">
        <v>46104.659722222219</v>
      </c>
      <c r="F180" s="6">
        <v>46104.760416666664</v>
      </c>
      <c r="G180" s="6">
        <v>46104.767361111109</v>
      </c>
      <c r="H180" s="6">
        <v>46104.774305555555</v>
      </c>
      <c r="I180">
        <v>3.67</v>
      </c>
      <c r="J180" s="6">
        <v>46104.78125</v>
      </c>
      <c r="K180" s="7">
        <f t="shared" si="8"/>
        <v>-9.7222222218988463E-2</v>
      </c>
      <c r="L180" t="e">
        <f t="shared" si="9"/>
        <v>#NUM!</v>
      </c>
      <c r="M180" t="e">
        <f t="shared" si="10"/>
        <v>#NUM!</v>
      </c>
      <c r="N180" t="e">
        <f t="shared" si="11"/>
        <v>#NUM!</v>
      </c>
    </row>
    <row r="181" spans="2:14" x14ac:dyDescent="0.25">
      <c r="B181" t="s">
        <v>34</v>
      </c>
      <c r="C181" s="6">
        <v>46104.677083333336</v>
      </c>
      <c r="D181" s="6">
        <v>46104.684027777781</v>
      </c>
      <c r="E181" s="6">
        <v>46104.701388888891</v>
      </c>
      <c r="F181" s="6">
        <v>46104.722222222219</v>
      </c>
      <c r="G181" s="6">
        <v>46104.732638888891</v>
      </c>
      <c r="H181" s="6">
        <v>46104.739583333336</v>
      </c>
      <c r="I181">
        <v>1.5</v>
      </c>
      <c r="J181" s="6">
        <v>46104.746527777781</v>
      </c>
      <c r="K181" s="7">
        <f t="shared" si="8"/>
        <v>0.55208333332848269</v>
      </c>
      <c r="L181">
        <f t="shared" si="9"/>
        <v>13</v>
      </c>
      <c r="M181">
        <f t="shared" si="10"/>
        <v>15</v>
      </c>
      <c r="N181">
        <f t="shared" si="11"/>
        <v>795</v>
      </c>
    </row>
    <row r="182" spans="2:14" x14ac:dyDescent="0.25">
      <c r="B182" t="s">
        <v>34</v>
      </c>
      <c r="C182" s="6">
        <v>46105.291666666664</v>
      </c>
      <c r="D182" s="6">
        <v>46105.309027777781</v>
      </c>
      <c r="E182" s="6">
        <v>46105.326388888891</v>
      </c>
      <c r="F182" s="6">
        <v>46105.451388888891</v>
      </c>
      <c r="G182" s="6">
        <v>46105.458333333336</v>
      </c>
      <c r="H182" s="6">
        <v>46105.461805555555</v>
      </c>
      <c r="I182">
        <v>4.08</v>
      </c>
      <c r="J182" s="6">
        <v>46105.46875</v>
      </c>
      <c r="K182" s="7">
        <f t="shared" si="8"/>
        <v>9.2361111113859806E-2</v>
      </c>
      <c r="L182">
        <f t="shared" si="9"/>
        <v>2</v>
      </c>
      <c r="M182">
        <f t="shared" si="10"/>
        <v>13</v>
      </c>
      <c r="N182">
        <f t="shared" si="11"/>
        <v>133</v>
      </c>
    </row>
    <row r="183" spans="2:14" hidden="1" x14ac:dyDescent="0.25">
      <c r="B183" t="s">
        <v>34</v>
      </c>
      <c r="C183" s="6">
        <v>46105.554166666669</v>
      </c>
      <c r="D183" s="6">
        <v>46105.559027777781</v>
      </c>
      <c r="E183" s="6">
        <v>46105.565972222219</v>
      </c>
      <c r="F183" s="6">
        <v>46105.604166666664</v>
      </c>
      <c r="G183" s="6">
        <v>46105.611111111109</v>
      </c>
      <c r="H183" s="6">
        <v>46105.614583333336</v>
      </c>
      <c r="I183">
        <v>1.45</v>
      </c>
      <c r="J183" s="6">
        <v>46105.621527777781</v>
      </c>
      <c r="K183" s="7">
        <f t="shared" si="8"/>
        <v>-1.7361111116770189E-2</v>
      </c>
      <c r="L183" t="e">
        <f t="shared" si="9"/>
        <v>#NUM!</v>
      </c>
      <c r="M183" t="e">
        <f t="shared" si="10"/>
        <v>#NUM!</v>
      </c>
      <c r="N183" t="e">
        <f t="shared" si="11"/>
        <v>#NUM!</v>
      </c>
    </row>
    <row r="184" spans="2:14" hidden="1" x14ac:dyDescent="0.25">
      <c r="B184" t="s">
        <v>34</v>
      </c>
      <c r="C184" s="6">
        <v>46105.597222222219</v>
      </c>
      <c r="D184" s="6">
        <v>46105.604166666664</v>
      </c>
      <c r="E184" s="6">
        <v>46105.625</v>
      </c>
      <c r="F184" s="6">
        <v>46105.729166666664</v>
      </c>
      <c r="G184" s="6">
        <v>46105.736111111109</v>
      </c>
      <c r="H184" s="6">
        <v>46105.739583333336</v>
      </c>
      <c r="I184">
        <v>3.42</v>
      </c>
      <c r="J184" s="6">
        <v>46105.746527777781</v>
      </c>
      <c r="K184" s="7">
        <f t="shared" si="8"/>
        <v>-8.3333333335758653E-2</v>
      </c>
      <c r="L184" t="e">
        <f t="shared" si="9"/>
        <v>#NUM!</v>
      </c>
      <c r="M184" t="e">
        <f t="shared" si="10"/>
        <v>#NUM!</v>
      </c>
      <c r="N184" t="e">
        <f t="shared" si="11"/>
        <v>#NUM!</v>
      </c>
    </row>
    <row r="185" spans="2:14" x14ac:dyDescent="0.25">
      <c r="B185" t="s">
        <v>34</v>
      </c>
      <c r="C185" s="6">
        <v>46105.65625</v>
      </c>
      <c r="D185" s="6">
        <v>46105.659722222219</v>
      </c>
      <c r="E185" s="6">
        <v>46105.670138888891</v>
      </c>
      <c r="F185" s="6">
        <v>46105.697916666664</v>
      </c>
      <c r="G185" s="6">
        <v>46105.704861111109</v>
      </c>
      <c r="H185" s="6">
        <v>46105.711805555555</v>
      </c>
      <c r="I185">
        <v>1.33</v>
      </c>
      <c r="J185" s="6">
        <v>46105.715277777781</v>
      </c>
      <c r="K185" s="7">
        <f t="shared" si="8"/>
        <v>0.57847222222335404</v>
      </c>
      <c r="L185">
        <f t="shared" si="9"/>
        <v>13</v>
      </c>
      <c r="M185">
        <f t="shared" si="10"/>
        <v>53</v>
      </c>
      <c r="N185">
        <f t="shared" si="11"/>
        <v>833</v>
      </c>
    </row>
    <row r="186" spans="2:14" x14ac:dyDescent="0.25">
      <c r="B186" t="s">
        <v>34</v>
      </c>
      <c r="C186" s="6">
        <v>46106.290277777778</v>
      </c>
      <c r="D186" s="6">
        <v>46106.3125</v>
      </c>
      <c r="E186" s="6">
        <v>46106.336805555555</v>
      </c>
      <c r="F186" s="6">
        <v>46106.559027777781</v>
      </c>
      <c r="G186" s="6">
        <v>46106.5625</v>
      </c>
      <c r="H186" s="6">
        <v>46106.563194444447</v>
      </c>
      <c r="I186">
        <v>6.55</v>
      </c>
      <c r="J186" s="6">
        <v>46106.563888888886</v>
      </c>
      <c r="K186" s="7">
        <f t="shared" si="8"/>
        <v>0.72847222221753327</v>
      </c>
      <c r="L186">
        <f t="shared" si="9"/>
        <v>17</v>
      </c>
      <c r="M186">
        <f t="shared" si="10"/>
        <v>29</v>
      </c>
      <c r="N186">
        <f t="shared" si="11"/>
        <v>1049</v>
      </c>
    </row>
    <row r="187" spans="2:14" hidden="1" x14ac:dyDescent="0.25">
      <c r="B187" t="s">
        <v>34</v>
      </c>
      <c r="C187" s="6">
        <v>46107.291666666664</v>
      </c>
      <c r="D187" s="6">
        <v>46107.315972222219</v>
      </c>
      <c r="E187" s="6">
        <v>46107.322916666664</v>
      </c>
      <c r="F187" s="6">
        <v>46107.381944444445</v>
      </c>
      <c r="G187" s="6">
        <v>46107.388888888891</v>
      </c>
      <c r="H187" s="6">
        <v>46107.392361111109</v>
      </c>
      <c r="I187">
        <v>2.42</v>
      </c>
      <c r="J187" s="6">
        <v>46107.399305555555</v>
      </c>
      <c r="K187" s="7">
        <f t="shared" si="8"/>
        <v>-0.10069444444525288</v>
      </c>
      <c r="L187" t="e">
        <f t="shared" si="9"/>
        <v>#NUM!</v>
      </c>
      <c r="M187" t="e">
        <f t="shared" si="10"/>
        <v>#NUM!</v>
      </c>
      <c r="N187" t="e">
        <f t="shared" si="11"/>
        <v>#NUM!</v>
      </c>
    </row>
    <row r="188" spans="2:14" x14ac:dyDescent="0.25">
      <c r="B188" t="s">
        <v>34</v>
      </c>
      <c r="C188" s="6">
        <v>46107.291666666664</v>
      </c>
      <c r="D188" s="6">
        <v>46107.3125</v>
      </c>
      <c r="E188" s="6">
        <v>46107.375</v>
      </c>
      <c r="F188" s="6">
        <v>46107.409722222219</v>
      </c>
      <c r="G188" s="6">
        <v>46107.413194444445</v>
      </c>
      <c r="H188" s="6">
        <v>46107.415277777778</v>
      </c>
      <c r="I188">
        <v>2.97</v>
      </c>
      <c r="J188" s="6">
        <v>46107.422222222223</v>
      </c>
      <c r="K188" s="7">
        <f t="shared" si="8"/>
        <v>0.45972222222189885</v>
      </c>
      <c r="L188">
        <f t="shared" si="9"/>
        <v>11</v>
      </c>
      <c r="M188">
        <f t="shared" si="10"/>
        <v>2</v>
      </c>
      <c r="N188">
        <f t="shared" si="11"/>
        <v>662</v>
      </c>
    </row>
    <row r="189" spans="2:14" hidden="1" x14ac:dyDescent="0.25">
      <c r="B189" t="s">
        <v>34</v>
      </c>
      <c r="C189" s="6">
        <v>46107.875</v>
      </c>
      <c r="D189" s="6">
        <v>46107.881944444445</v>
      </c>
      <c r="E189" s="6">
        <v>46107.930555555555</v>
      </c>
      <c r="F189" s="6">
        <v>46107.979166666664</v>
      </c>
      <c r="G189" s="6">
        <v>46107.986111111109</v>
      </c>
      <c r="H189" s="6">
        <v>46108.081944444442</v>
      </c>
      <c r="I189">
        <v>4.97</v>
      </c>
      <c r="J189" s="6">
        <v>46108.084027777775</v>
      </c>
      <c r="K189" s="7">
        <f t="shared" si="8"/>
        <v>-0.13749999999708962</v>
      </c>
      <c r="L189" t="e">
        <f t="shared" si="9"/>
        <v>#NUM!</v>
      </c>
      <c r="M189" t="e">
        <f t="shared" si="10"/>
        <v>#NUM!</v>
      </c>
      <c r="N189" t="e">
        <f t="shared" si="11"/>
        <v>#NUM!</v>
      </c>
    </row>
    <row r="190" spans="2:14" x14ac:dyDescent="0.25">
      <c r="B190" t="s">
        <v>34</v>
      </c>
      <c r="C190" s="6">
        <v>46107.944444444445</v>
      </c>
      <c r="D190" s="6">
        <v>46107.947916666664</v>
      </c>
      <c r="E190" s="6">
        <v>46107.954861111109</v>
      </c>
      <c r="F190" s="6">
        <v>46107.958333333336</v>
      </c>
      <c r="G190" s="6">
        <v>46107.965277777781</v>
      </c>
      <c r="H190" s="6">
        <v>46107.970833333333</v>
      </c>
      <c r="I190">
        <v>0.63</v>
      </c>
      <c r="J190" s="6">
        <v>46107.972222222219</v>
      </c>
      <c r="K190" s="7">
        <f t="shared" si="8"/>
        <v>0.32777777777664596</v>
      </c>
      <c r="L190">
        <f t="shared" si="9"/>
        <v>7</v>
      </c>
      <c r="M190">
        <f t="shared" si="10"/>
        <v>52</v>
      </c>
      <c r="N190">
        <f t="shared" si="11"/>
        <v>472</v>
      </c>
    </row>
    <row r="191" spans="2:14" x14ac:dyDescent="0.25">
      <c r="B191" t="s">
        <v>34</v>
      </c>
      <c r="C191" s="6">
        <v>46108.298611111109</v>
      </c>
      <c r="D191" s="6">
        <v>46108.333333333336</v>
      </c>
      <c r="E191" s="6">
        <v>46108.354166666664</v>
      </c>
      <c r="F191" s="6">
        <v>46108.375694444447</v>
      </c>
      <c r="G191" s="6">
        <v>46108.381944444445</v>
      </c>
      <c r="H191" s="6">
        <v>46108.583333333336</v>
      </c>
      <c r="I191">
        <v>6.83</v>
      </c>
      <c r="J191" s="6">
        <v>46108.590277777781</v>
      </c>
      <c r="K191" s="7">
        <f t="shared" si="8"/>
        <v>5.8333333334303461E-2</v>
      </c>
      <c r="L191">
        <f t="shared" si="9"/>
        <v>1</v>
      </c>
      <c r="M191">
        <f t="shared" si="10"/>
        <v>24</v>
      </c>
      <c r="N191">
        <f t="shared" si="11"/>
        <v>84</v>
      </c>
    </row>
    <row r="192" spans="2:14" x14ac:dyDescent="0.25">
      <c r="B192" t="s">
        <v>34</v>
      </c>
      <c r="C192" s="6">
        <v>46108.64166666667</v>
      </c>
      <c r="D192" s="6">
        <v>46108.666666666664</v>
      </c>
      <c r="E192" s="6">
        <v>46108.670138888891</v>
      </c>
      <c r="F192" s="6">
        <v>46108.70208333333</v>
      </c>
      <c r="G192" s="6">
        <v>46108.705555555556</v>
      </c>
      <c r="H192" s="6">
        <v>46108.708333333336</v>
      </c>
      <c r="I192">
        <v>1.6</v>
      </c>
      <c r="J192" s="6">
        <v>46108.711805555555</v>
      </c>
      <c r="K192" s="7">
        <f t="shared" si="8"/>
        <v>2.5833333333284827</v>
      </c>
      <c r="L192">
        <f t="shared" si="9"/>
        <v>14</v>
      </c>
      <c r="M192">
        <f t="shared" si="10"/>
        <v>0</v>
      </c>
      <c r="N192">
        <f t="shared" si="11"/>
        <v>840</v>
      </c>
    </row>
    <row r="193" spans="2:14" x14ac:dyDescent="0.25">
      <c r="B193" t="s">
        <v>34</v>
      </c>
      <c r="C193" s="6">
        <v>46111.291666666664</v>
      </c>
      <c r="D193" s="6">
        <v>46111.326388888891</v>
      </c>
      <c r="E193" s="6">
        <v>46111.336805555555</v>
      </c>
      <c r="F193" s="6">
        <v>46111.353472222225</v>
      </c>
      <c r="G193" s="6">
        <v>46111.354166666664</v>
      </c>
      <c r="H193" s="6">
        <v>46111.357638888891</v>
      </c>
      <c r="I193">
        <v>1.58</v>
      </c>
      <c r="J193" s="6">
        <v>46111.361111111109</v>
      </c>
      <c r="K193" s="7">
        <f t="shared" si="8"/>
        <v>5.9027777773735579E-2</v>
      </c>
      <c r="L193">
        <f t="shared" si="9"/>
        <v>1</v>
      </c>
      <c r="M193">
        <f t="shared" si="10"/>
        <v>25</v>
      </c>
      <c r="N193">
        <f t="shared" si="11"/>
        <v>85</v>
      </c>
    </row>
    <row r="194" spans="2:14" x14ac:dyDescent="0.25">
      <c r="B194" t="s">
        <v>34</v>
      </c>
      <c r="C194" s="6">
        <v>46111.416666666664</v>
      </c>
      <c r="D194" s="6">
        <v>46111.427083333336</v>
      </c>
      <c r="E194" s="6">
        <v>46111.451388888891</v>
      </c>
      <c r="F194" s="6">
        <v>46111.524305555555</v>
      </c>
      <c r="G194" s="6">
        <v>46111.53125</v>
      </c>
      <c r="H194" s="6">
        <v>46111.895833333336</v>
      </c>
      <c r="I194">
        <v>11.5</v>
      </c>
      <c r="J194" s="6">
        <v>46111.896527777775</v>
      </c>
      <c r="K194" s="7">
        <f t="shared" si="8"/>
        <v>0.10486111111094942</v>
      </c>
      <c r="L194">
        <f t="shared" si="9"/>
        <v>2</v>
      </c>
      <c r="M194">
        <f t="shared" si="10"/>
        <v>31</v>
      </c>
      <c r="N194">
        <f t="shared" si="11"/>
        <v>151</v>
      </c>
    </row>
    <row r="195" spans="2:14" x14ac:dyDescent="0.25">
      <c r="B195" t="s">
        <v>34</v>
      </c>
      <c r="C195" s="6">
        <v>46112.000694444447</v>
      </c>
      <c r="D195" s="6">
        <v>46112.006944444445</v>
      </c>
      <c r="E195" s="6">
        <v>46112.013888888891</v>
      </c>
      <c r="F195" s="6">
        <v>46112.03125</v>
      </c>
      <c r="G195" s="6">
        <v>46112.034722222219</v>
      </c>
      <c r="H195" s="6">
        <v>46112.038194444445</v>
      </c>
      <c r="I195">
        <v>0.9</v>
      </c>
      <c r="J195" s="6">
        <v>46112.045138888891</v>
      </c>
      <c r="K195" s="7">
        <f t="shared" si="8"/>
        <v>0.25347222221898846</v>
      </c>
      <c r="L195">
        <f t="shared" si="9"/>
        <v>6</v>
      </c>
      <c r="M195">
        <f t="shared" si="10"/>
        <v>5</v>
      </c>
      <c r="N195">
        <f t="shared" si="11"/>
        <v>365</v>
      </c>
    </row>
    <row r="196" spans="2:14" x14ac:dyDescent="0.25">
      <c r="B196" t="s">
        <v>34</v>
      </c>
      <c r="C196" s="6">
        <v>46112.291666666664</v>
      </c>
      <c r="D196" s="6">
        <v>46112.3125</v>
      </c>
      <c r="E196" s="6">
        <v>46112.333333333336</v>
      </c>
      <c r="F196" s="6">
        <v>46112.424305555556</v>
      </c>
      <c r="G196" s="6">
        <v>46112.427083333336</v>
      </c>
      <c r="H196" s="6">
        <v>46112.4375</v>
      </c>
      <c r="I196">
        <v>3.5</v>
      </c>
      <c r="J196" s="6">
        <v>46112.444444444445</v>
      </c>
      <c r="K196" s="7">
        <f t="shared" ref="K196:K197" si="12">C197-H196</f>
        <v>0.1875</v>
      </c>
      <c r="L196">
        <f t="shared" ref="L196:L197" si="13">HOUR(K196)</f>
        <v>4</v>
      </c>
      <c r="M196">
        <f t="shared" ref="M196:M197" si="14">MINUTE(K196)</f>
        <v>30</v>
      </c>
      <c r="N196">
        <f t="shared" ref="N196:N197" si="15">L196*60+M196</f>
        <v>270</v>
      </c>
    </row>
    <row r="197" spans="2:14" hidden="1" x14ac:dyDescent="0.25">
      <c r="B197" t="s">
        <v>34</v>
      </c>
      <c r="C197" s="6">
        <v>46112.625</v>
      </c>
      <c r="D197" s="6">
        <v>46112.635416666664</v>
      </c>
      <c r="E197" s="6">
        <v>46112.694444444445</v>
      </c>
      <c r="F197" s="6">
        <v>46112.71875</v>
      </c>
      <c r="G197" s="6">
        <v>46112.725694444445</v>
      </c>
      <c r="H197" s="6">
        <v>46112.775694444441</v>
      </c>
      <c r="I197">
        <v>3.62</v>
      </c>
      <c r="J197" s="6">
        <v>46112.777777777781</v>
      </c>
      <c r="K197" s="7">
        <f t="shared" si="12"/>
        <v>-46112.775694444441</v>
      </c>
      <c r="L197" t="e">
        <f t="shared" si="13"/>
        <v>#NUM!</v>
      </c>
      <c r="M197" t="e">
        <f t="shared" si="14"/>
        <v>#NUM!</v>
      </c>
      <c r="N197" t="e">
        <f t="shared" si="15"/>
        <v>#NUM!</v>
      </c>
    </row>
  </sheetData>
  <autoFilter ref="B2:N197" xr:uid="{8710EC2C-4027-4760-8DB9-05EC368170DC}">
    <filterColumn colId="12">
      <customFilters and="1">
        <customFilter operator="notEqual" val="#NUM!"/>
        <customFilter operator="greaterThan" val="10"/>
      </customFilters>
    </filterColumn>
    <sortState xmlns:xlrd2="http://schemas.microsoft.com/office/spreadsheetml/2017/richdata2" ref="B3:N197">
      <sortCondition ref="C2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4036-523A-4F42-B9CF-05032468093C}">
  <sheetPr filterMode="1"/>
  <dimension ref="B2:N50"/>
  <sheetViews>
    <sheetView workbookViewId="0">
      <selection activeCell="P2" sqref="P2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20.28515625" bestFit="1" customWidth="1"/>
    <col min="5" max="5" width="19.28515625" bestFit="1" customWidth="1"/>
    <col min="6" max="6" width="16.5703125" bestFit="1" customWidth="1"/>
    <col min="7" max="7" width="17.7109375" bestFit="1" customWidth="1"/>
    <col min="8" max="8" width="17" bestFit="1" customWidth="1"/>
    <col min="9" max="9" width="5.42578125" customWidth="1"/>
    <col min="10" max="10" width="18.28515625" bestFit="1" customWidth="1"/>
    <col min="15" max="15" width="4.28515625" customWidth="1"/>
  </cols>
  <sheetData>
    <row r="2" spans="2:14" x14ac:dyDescent="0.25">
      <c r="B2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t="s">
        <v>27</v>
      </c>
      <c r="J2" s="6" t="s">
        <v>28</v>
      </c>
      <c r="K2" s="8" t="s">
        <v>55</v>
      </c>
      <c r="L2" s="8" t="s">
        <v>39</v>
      </c>
      <c r="M2" s="8" t="s">
        <v>38</v>
      </c>
      <c r="N2" s="12" t="s">
        <v>56</v>
      </c>
    </row>
    <row r="3" spans="2:14" x14ac:dyDescent="0.25">
      <c r="B3" t="s">
        <v>37</v>
      </c>
      <c r="C3" s="6">
        <v>46028.708333333336</v>
      </c>
      <c r="D3" s="6">
        <v>46028.71875</v>
      </c>
      <c r="E3" s="6">
        <v>46028.725694444445</v>
      </c>
      <c r="F3" s="6">
        <v>46028.788888888892</v>
      </c>
      <c r="G3" s="6">
        <v>46028.791666666664</v>
      </c>
      <c r="H3" s="6">
        <v>46028.805555555555</v>
      </c>
      <c r="I3">
        <v>2.33</v>
      </c>
      <c r="J3" s="6">
        <v>46028.8125</v>
      </c>
      <c r="K3" s="7">
        <f>C4-H3</f>
        <v>1.5347222222262644</v>
      </c>
      <c r="L3">
        <f>HOUR(K3)</f>
        <v>12</v>
      </c>
      <c r="M3">
        <f>MINUTE(K3)</f>
        <v>50</v>
      </c>
      <c r="N3">
        <f>L3*60+M3</f>
        <v>770</v>
      </c>
    </row>
    <row r="4" spans="2:14" hidden="1" x14ac:dyDescent="0.25">
      <c r="B4" t="s">
        <v>37</v>
      </c>
      <c r="C4" s="6">
        <v>46030.340277777781</v>
      </c>
      <c r="D4" s="6">
        <v>46030.361111111109</v>
      </c>
      <c r="E4" s="6">
        <v>46030.375</v>
      </c>
      <c r="F4" s="6">
        <v>46030.447916666664</v>
      </c>
      <c r="G4" s="6">
        <v>46030.451388888891</v>
      </c>
      <c r="H4" s="6">
        <v>46030.465277777781</v>
      </c>
      <c r="I4">
        <v>3</v>
      </c>
      <c r="J4" s="6">
        <v>46030.472222222219</v>
      </c>
      <c r="K4" s="7">
        <f t="shared" ref="K4:K50" si="0">C5-H4</f>
        <v>6.9444444379769266E-3</v>
      </c>
      <c r="L4">
        <f t="shared" ref="L4:L50" si="1">HOUR(K4)</f>
        <v>0</v>
      </c>
      <c r="M4">
        <f t="shared" ref="M4:M50" si="2">MINUTE(K4)</f>
        <v>10</v>
      </c>
      <c r="N4">
        <f t="shared" ref="N4:N50" si="3">L4*60+M4</f>
        <v>10</v>
      </c>
    </row>
    <row r="5" spans="2:14" x14ac:dyDescent="0.25">
      <c r="B5" t="s">
        <v>37</v>
      </c>
      <c r="C5" s="6">
        <v>46030.472222222219</v>
      </c>
      <c r="D5" s="6">
        <v>46030.479166666664</v>
      </c>
      <c r="E5" s="6">
        <v>46030.5</v>
      </c>
      <c r="F5" s="6">
        <v>46030.541666666664</v>
      </c>
      <c r="G5" s="6">
        <v>46030.548611111109</v>
      </c>
      <c r="H5" s="6">
        <v>46030.555555555555</v>
      </c>
      <c r="I5">
        <v>2</v>
      </c>
      <c r="J5" s="6">
        <v>46030.5625</v>
      </c>
      <c r="K5" s="7">
        <f t="shared" si="0"/>
        <v>0.94444444444525288</v>
      </c>
      <c r="L5">
        <f t="shared" si="1"/>
        <v>22</v>
      </c>
      <c r="M5">
        <f t="shared" si="2"/>
        <v>40</v>
      </c>
      <c r="N5">
        <f t="shared" si="3"/>
        <v>1360</v>
      </c>
    </row>
    <row r="6" spans="2:14" x14ac:dyDescent="0.25">
      <c r="B6" t="s">
        <v>37</v>
      </c>
      <c r="C6" s="6">
        <v>46031.5</v>
      </c>
      <c r="D6" s="6">
        <v>46031.513888888891</v>
      </c>
      <c r="E6" s="6">
        <v>46031.530555555553</v>
      </c>
      <c r="F6" s="6">
        <v>46031.613888888889</v>
      </c>
      <c r="G6" s="6">
        <v>46031.621527777781</v>
      </c>
      <c r="H6" s="6">
        <v>46031.62222222222</v>
      </c>
      <c r="I6">
        <v>2.93</v>
      </c>
      <c r="J6" s="6">
        <v>46031.629166666666</v>
      </c>
      <c r="K6" s="7">
        <f t="shared" si="0"/>
        <v>2.4756944444452529</v>
      </c>
      <c r="L6">
        <f t="shared" si="1"/>
        <v>11</v>
      </c>
      <c r="M6">
        <f t="shared" si="2"/>
        <v>25</v>
      </c>
      <c r="N6">
        <f t="shared" si="3"/>
        <v>685</v>
      </c>
    </row>
    <row r="7" spans="2:14" x14ac:dyDescent="0.25">
      <c r="B7" t="s">
        <v>37</v>
      </c>
      <c r="C7" s="6">
        <v>46034.097916666666</v>
      </c>
      <c r="D7" s="6">
        <v>46034.104861111111</v>
      </c>
      <c r="E7" s="6">
        <v>46034.107638888891</v>
      </c>
      <c r="F7" s="6">
        <v>46034.180555555555</v>
      </c>
      <c r="G7" s="6">
        <v>46034.197916666664</v>
      </c>
      <c r="H7" s="6">
        <v>46034.201388888891</v>
      </c>
      <c r="I7">
        <v>2.48</v>
      </c>
      <c r="J7" s="6">
        <v>46034.208333333336</v>
      </c>
      <c r="K7" s="7">
        <f t="shared" si="0"/>
        <v>1.2472222222204437</v>
      </c>
      <c r="L7">
        <f t="shared" si="1"/>
        <v>5</v>
      </c>
      <c r="M7">
        <f t="shared" si="2"/>
        <v>56</v>
      </c>
      <c r="N7">
        <f t="shared" si="3"/>
        <v>356</v>
      </c>
    </row>
    <row r="8" spans="2:14" x14ac:dyDescent="0.25">
      <c r="B8" t="s">
        <v>37</v>
      </c>
      <c r="C8" s="6">
        <v>46035.448611111111</v>
      </c>
      <c r="D8" s="6">
        <v>46035.451388888891</v>
      </c>
      <c r="E8" s="6">
        <v>46035.472222222219</v>
      </c>
      <c r="F8" s="6">
        <v>46035.5625</v>
      </c>
      <c r="G8" s="6">
        <v>46035.618055555555</v>
      </c>
      <c r="H8" s="6">
        <v>46035.621527777781</v>
      </c>
      <c r="I8">
        <v>4.1500000000000004</v>
      </c>
      <c r="J8" s="6">
        <v>46035.628472222219</v>
      </c>
      <c r="K8" s="7">
        <f t="shared" si="0"/>
        <v>0.62847222221898846</v>
      </c>
      <c r="L8">
        <f t="shared" si="1"/>
        <v>15</v>
      </c>
      <c r="M8">
        <f t="shared" si="2"/>
        <v>5</v>
      </c>
      <c r="N8">
        <f t="shared" si="3"/>
        <v>905</v>
      </c>
    </row>
    <row r="9" spans="2:14" x14ac:dyDescent="0.25">
      <c r="B9" t="s">
        <v>37</v>
      </c>
      <c r="C9" s="6">
        <v>46036.25</v>
      </c>
      <c r="D9" s="6">
        <v>46036.263888888891</v>
      </c>
      <c r="E9" s="6">
        <v>46036.277777777781</v>
      </c>
      <c r="F9" s="6">
        <v>46036.318055555559</v>
      </c>
      <c r="G9" s="6">
        <v>46036.324999999997</v>
      </c>
      <c r="H9" s="6">
        <v>46036.344444444447</v>
      </c>
      <c r="I9">
        <v>2.27</v>
      </c>
      <c r="J9" s="6">
        <v>46036.345138888886</v>
      </c>
      <c r="K9" s="7">
        <f t="shared" si="0"/>
        <v>5.9055555555532919</v>
      </c>
      <c r="L9">
        <f t="shared" si="1"/>
        <v>21</v>
      </c>
      <c r="M9">
        <f t="shared" si="2"/>
        <v>44</v>
      </c>
      <c r="N9">
        <f t="shared" si="3"/>
        <v>1304</v>
      </c>
    </row>
    <row r="10" spans="2:14" hidden="1" x14ac:dyDescent="0.25">
      <c r="B10" t="s">
        <v>37</v>
      </c>
      <c r="C10" s="6">
        <v>46042.25</v>
      </c>
      <c r="D10" s="6">
        <v>46042.256944444445</v>
      </c>
      <c r="E10" s="6">
        <v>46042.260416666664</v>
      </c>
      <c r="F10" s="6">
        <v>46042.267361111109</v>
      </c>
      <c r="G10" s="6">
        <v>46042.274305555555</v>
      </c>
      <c r="H10" s="6">
        <v>46042.291666666664</v>
      </c>
      <c r="I10">
        <v>1</v>
      </c>
      <c r="J10" s="6">
        <v>46042.298611111109</v>
      </c>
      <c r="K10" s="7">
        <f t="shared" si="0"/>
        <v>-6.9444444452528842E-3</v>
      </c>
      <c r="L10" t="e">
        <f t="shared" si="1"/>
        <v>#NUM!</v>
      </c>
      <c r="M10" t="e">
        <f t="shared" si="2"/>
        <v>#NUM!</v>
      </c>
      <c r="N10" t="e">
        <f t="shared" si="3"/>
        <v>#NUM!</v>
      </c>
    </row>
    <row r="11" spans="2:14" x14ac:dyDescent="0.25">
      <c r="B11" t="s">
        <v>37</v>
      </c>
      <c r="C11" s="6">
        <v>46042.284722222219</v>
      </c>
      <c r="D11" s="6">
        <v>46042.322916666664</v>
      </c>
      <c r="E11" s="6">
        <v>46042.340277777781</v>
      </c>
      <c r="F11" s="6">
        <v>46042.381944444445</v>
      </c>
      <c r="G11" s="6">
        <v>46042.388888888891</v>
      </c>
      <c r="H11" s="6">
        <v>46042.392361111109</v>
      </c>
      <c r="I11">
        <v>2.58</v>
      </c>
      <c r="J11" s="6">
        <v>46042.395833333336</v>
      </c>
      <c r="K11" s="7">
        <f t="shared" si="0"/>
        <v>1.8993055555547471</v>
      </c>
      <c r="L11">
        <f t="shared" si="1"/>
        <v>21</v>
      </c>
      <c r="M11">
        <f t="shared" si="2"/>
        <v>35</v>
      </c>
      <c r="N11">
        <f t="shared" si="3"/>
        <v>1295</v>
      </c>
    </row>
    <row r="12" spans="2:14" x14ac:dyDescent="0.25">
      <c r="B12" t="s">
        <v>37</v>
      </c>
      <c r="C12" s="6">
        <v>46044.291666666664</v>
      </c>
      <c r="D12" s="6">
        <v>46044.319444444445</v>
      </c>
      <c r="E12" s="6">
        <v>46044.340277777781</v>
      </c>
      <c r="F12" s="6">
        <v>46044.422222222223</v>
      </c>
      <c r="G12" s="6">
        <v>46044.429166666669</v>
      </c>
      <c r="H12" s="6">
        <v>46044.430555555555</v>
      </c>
      <c r="I12">
        <v>3.33</v>
      </c>
      <c r="J12" s="6">
        <v>46044.4375</v>
      </c>
      <c r="K12" s="7">
        <f t="shared" si="0"/>
        <v>0.13194444444525288</v>
      </c>
      <c r="L12">
        <f t="shared" si="1"/>
        <v>3</v>
      </c>
      <c r="M12">
        <f t="shared" si="2"/>
        <v>10</v>
      </c>
      <c r="N12">
        <f t="shared" si="3"/>
        <v>190</v>
      </c>
    </row>
    <row r="13" spans="2:14" x14ac:dyDescent="0.25">
      <c r="B13" t="s">
        <v>37</v>
      </c>
      <c r="C13" s="6">
        <v>46044.5625</v>
      </c>
      <c r="D13" s="6">
        <v>46044.569444444445</v>
      </c>
      <c r="E13" s="6">
        <v>46044.631944444445</v>
      </c>
      <c r="F13" s="6">
        <v>46044.71875</v>
      </c>
      <c r="G13" s="6">
        <v>46044.75</v>
      </c>
      <c r="H13" s="6">
        <v>46044.763888888891</v>
      </c>
      <c r="I13">
        <v>4.83</v>
      </c>
      <c r="J13" s="6">
        <v>46044.770833333336</v>
      </c>
      <c r="K13" s="7">
        <f t="shared" si="0"/>
        <v>0.79513888889050577</v>
      </c>
      <c r="L13">
        <f t="shared" si="1"/>
        <v>19</v>
      </c>
      <c r="M13">
        <f t="shared" si="2"/>
        <v>5</v>
      </c>
      <c r="N13">
        <f t="shared" si="3"/>
        <v>1145</v>
      </c>
    </row>
    <row r="14" spans="2:14" x14ac:dyDescent="0.25">
      <c r="B14" t="s">
        <v>37</v>
      </c>
      <c r="C14" s="6">
        <v>46045.559027777781</v>
      </c>
      <c r="D14" s="6">
        <v>46045.590277777781</v>
      </c>
      <c r="E14" s="6">
        <v>46045.649305555555</v>
      </c>
      <c r="F14" s="6">
        <v>46045.781944444447</v>
      </c>
      <c r="G14" s="6">
        <v>46045.791666666664</v>
      </c>
      <c r="H14" s="6">
        <v>46045.893055555556</v>
      </c>
      <c r="I14">
        <v>8.02</v>
      </c>
      <c r="J14" s="6">
        <v>46045.9</v>
      </c>
      <c r="K14" s="7">
        <f t="shared" si="0"/>
        <v>3.6034722222248092</v>
      </c>
      <c r="L14">
        <f t="shared" si="1"/>
        <v>14</v>
      </c>
      <c r="M14">
        <f t="shared" si="2"/>
        <v>29</v>
      </c>
      <c r="N14">
        <f t="shared" si="3"/>
        <v>869</v>
      </c>
    </row>
    <row r="15" spans="2:14" x14ac:dyDescent="0.25">
      <c r="B15" t="s">
        <v>37</v>
      </c>
      <c r="C15" s="6">
        <v>46049.496527777781</v>
      </c>
      <c r="D15" s="6">
        <v>46049.503472222219</v>
      </c>
      <c r="E15" s="6">
        <v>46049.506944444445</v>
      </c>
      <c r="F15" s="6">
        <v>46049.548611111109</v>
      </c>
      <c r="G15" s="6">
        <v>46049.555555555555</v>
      </c>
      <c r="H15" s="6">
        <v>46049.885416666664</v>
      </c>
      <c r="I15">
        <v>9.33</v>
      </c>
      <c r="J15" s="6">
        <v>46049.892361111109</v>
      </c>
      <c r="K15" s="7">
        <f t="shared" si="0"/>
        <v>0.28125</v>
      </c>
      <c r="L15">
        <f t="shared" si="1"/>
        <v>6</v>
      </c>
      <c r="M15">
        <f t="shared" si="2"/>
        <v>45</v>
      </c>
      <c r="N15">
        <f t="shared" si="3"/>
        <v>405</v>
      </c>
    </row>
    <row r="16" spans="2:14" x14ac:dyDescent="0.25">
      <c r="B16" t="s">
        <v>37</v>
      </c>
      <c r="C16" s="6">
        <v>46050.166666666664</v>
      </c>
      <c r="D16" s="6">
        <v>46050.177083333336</v>
      </c>
      <c r="E16" s="6">
        <v>46050.1875</v>
      </c>
      <c r="F16" s="6">
        <v>46050.21875</v>
      </c>
      <c r="G16" s="6">
        <v>46050.225694444445</v>
      </c>
      <c r="H16" s="6">
        <v>46050.690972222219</v>
      </c>
      <c r="I16">
        <v>12.58</v>
      </c>
      <c r="J16" s="6">
        <v>46050.692361111112</v>
      </c>
      <c r="K16" s="7">
        <f t="shared" si="0"/>
        <v>0.55208333333575865</v>
      </c>
      <c r="L16">
        <f t="shared" si="1"/>
        <v>13</v>
      </c>
      <c r="M16">
        <f t="shared" si="2"/>
        <v>15</v>
      </c>
      <c r="N16">
        <f t="shared" si="3"/>
        <v>795</v>
      </c>
    </row>
    <row r="17" spans="2:14" x14ac:dyDescent="0.25">
      <c r="B17" t="s">
        <v>37</v>
      </c>
      <c r="C17" s="6">
        <v>46051.243055555555</v>
      </c>
      <c r="D17" s="6">
        <v>46051.246527777781</v>
      </c>
      <c r="E17" s="6">
        <v>46051.25</v>
      </c>
      <c r="F17" s="6">
        <v>46051.277777777781</v>
      </c>
      <c r="G17" s="6">
        <v>46051.27847222222</v>
      </c>
      <c r="H17" s="6">
        <v>46051.28125</v>
      </c>
      <c r="I17">
        <v>0.92</v>
      </c>
      <c r="J17" s="6">
        <v>46051.282638888886</v>
      </c>
      <c r="K17" s="7">
        <f t="shared" si="0"/>
        <v>0.88541666666424135</v>
      </c>
      <c r="L17">
        <f t="shared" si="1"/>
        <v>21</v>
      </c>
      <c r="M17">
        <f t="shared" si="2"/>
        <v>15</v>
      </c>
      <c r="N17">
        <f t="shared" si="3"/>
        <v>1275</v>
      </c>
    </row>
    <row r="18" spans="2:14" x14ac:dyDescent="0.25">
      <c r="B18" t="s">
        <v>37</v>
      </c>
      <c r="C18" s="6">
        <v>46052.166666666664</v>
      </c>
      <c r="D18" s="6">
        <v>46052.173611111109</v>
      </c>
      <c r="E18" s="6">
        <v>46052.180555555555</v>
      </c>
      <c r="F18" s="6">
        <v>46052.194444444445</v>
      </c>
      <c r="G18" s="6">
        <v>46052.201388888891</v>
      </c>
      <c r="H18" s="6">
        <v>46052.208333333336</v>
      </c>
      <c r="I18">
        <v>1</v>
      </c>
      <c r="J18" s="6">
        <v>46052.215277777781</v>
      </c>
      <c r="K18" s="7">
        <f t="shared" si="0"/>
        <v>0.125</v>
      </c>
      <c r="L18">
        <f t="shared" si="1"/>
        <v>3</v>
      </c>
      <c r="M18">
        <f t="shared" si="2"/>
        <v>0</v>
      </c>
      <c r="N18">
        <f t="shared" si="3"/>
        <v>180</v>
      </c>
    </row>
    <row r="19" spans="2:14" x14ac:dyDescent="0.25">
      <c r="B19" t="s">
        <v>37</v>
      </c>
      <c r="C19" s="6">
        <v>46052.333333333336</v>
      </c>
      <c r="D19" s="6">
        <v>46052.348611111112</v>
      </c>
      <c r="E19" s="6">
        <v>46052.388888888891</v>
      </c>
      <c r="F19" s="6">
        <v>46052.515277777777</v>
      </c>
      <c r="G19" s="6">
        <v>46052.522222222222</v>
      </c>
      <c r="H19" s="6">
        <v>46052.527777777781</v>
      </c>
      <c r="I19">
        <v>4.67</v>
      </c>
      <c r="J19" s="6">
        <v>46052.534722222219</v>
      </c>
      <c r="K19" s="7">
        <f t="shared" si="0"/>
        <v>2.9305555555547471</v>
      </c>
      <c r="L19">
        <f t="shared" si="1"/>
        <v>22</v>
      </c>
      <c r="M19">
        <f t="shared" si="2"/>
        <v>20</v>
      </c>
      <c r="N19">
        <f t="shared" si="3"/>
        <v>1340</v>
      </c>
    </row>
    <row r="20" spans="2:14" x14ac:dyDescent="0.25">
      <c r="B20" t="s">
        <v>37</v>
      </c>
      <c r="C20" s="6">
        <v>46055.458333333336</v>
      </c>
      <c r="D20" s="6">
        <v>46055.472222222219</v>
      </c>
      <c r="E20" s="6">
        <v>46055.479166666664</v>
      </c>
      <c r="F20" s="6">
        <v>46055.517361111109</v>
      </c>
      <c r="G20" s="6">
        <v>46055.520833333336</v>
      </c>
      <c r="H20" s="6">
        <v>46055.521527777775</v>
      </c>
      <c r="I20">
        <v>1.52</v>
      </c>
      <c r="J20" s="6">
        <v>46055.522222222222</v>
      </c>
      <c r="K20" s="7">
        <f t="shared" si="0"/>
        <v>0.43333333333430346</v>
      </c>
      <c r="L20">
        <f t="shared" si="1"/>
        <v>10</v>
      </c>
      <c r="M20">
        <f t="shared" si="2"/>
        <v>24</v>
      </c>
      <c r="N20">
        <f t="shared" si="3"/>
        <v>624</v>
      </c>
    </row>
    <row r="21" spans="2:14" x14ac:dyDescent="0.25">
      <c r="B21" t="s">
        <v>37</v>
      </c>
      <c r="C21" s="6">
        <v>46055.954861111109</v>
      </c>
      <c r="D21" s="6">
        <v>46055.961805555555</v>
      </c>
      <c r="E21" s="6">
        <v>46055.972222222219</v>
      </c>
      <c r="F21" s="6">
        <v>46056.030555555553</v>
      </c>
      <c r="G21" s="6">
        <v>46056.037499999999</v>
      </c>
      <c r="H21" s="6">
        <v>46056.041666666664</v>
      </c>
      <c r="I21">
        <v>2.08</v>
      </c>
      <c r="J21" s="6">
        <v>46056.048611111109</v>
      </c>
      <c r="K21" s="7">
        <f t="shared" si="0"/>
        <v>7.25</v>
      </c>
      <c r="L21">
        <f t="shared" si="1"/>
        <v>6</v>
      </c>
      <c r="M21">
        <f t="shared" si="2"/>
        <v>0</v>
      </c>
      <c r="N21">
        <f t="shared" si="3"/>
        <v>360</v>
      </c>
    </row>
    <row r="22" spans="2:14" x14ac:dyDescent="0.25">
      <c r="B22" t="s">
        <v>37</v>
      </c>
      <c r="C22" s="6">
        <v>46063.291666666664</v>
      </c>
      <c r="D22" s="6">
        <v>46063.326388888891</v>
      </c>
      <c r="E22" s="6">
        <v>46063.333333333336</v>
      </c>
      <c r="F22" s="6">
        <v>46063.4375</v>
      </c>
      <c r="G22" s="6">
        <v>46063.444444444445</v>
      </c>
      <c r="H22" s="6">
        <v>46063.458333333336</v>
      </c>
      <c r="I22">
        <v>4</v>
      </c>
      <c r="J22" s="6">
        <v>46063.465277777781</v>
      </c>
      <c r="K22" s="7">
        <f t="shared" si="0"/>
        <v>2.1631944444452529</v>
      </c>
      <c r="L22">
        <f t="shared" si="1"/>
        <v>3</v>
      </c>
      <c r="M22">
        <f t="shared" si="2"/>
        <v>55</v>
      </c>
      <c r="N22">
        <f t="shared" si="3"/>
        <v>235</v>
      </c>
    </row>
    <row r="23" spans="2:14" x14ac:dyDescent="0.25">
      <c r="B23" t="s">
        <v>37</v>
      </c>
      <c r="C23" s="6">
        <v>46065.621527777781</v>
      </c>
      <c r="D23" s="6">
        <v>46065.62222222222</v>
      </c>
      <c r="E23" s="6">
        <v>46065.625</v>
      </c>
      <c r="F23" s="6">
        <v>46065.729166666664</v>
      </c>
      <c r="G23" s="6">
        <v>46065.770833333336</v>
      </c>
      <c r="H23" s="6">
        <v>46065.777777777781</v>
      </c>
      <c r="I23">
        <v>3.75</v>
      </c>
      <c r="J23" s="6">
        <v>46065.77847222222</v>
      </c>
      <c r="K23" s="7">
        <f t="shared" si="0"/>
        <v>0.65972222221898846</v>
      </c>
      <c r="L23">
        <f t="shared" si="1"/>
        <v>15</v>
      </c>
      <c r="M23">
        <f t="shared" si="2"/>
        <v>50</v>
      </c>
      <c r="N23">
        <f t="shared" si="3"/>
        <v>950</v>
      </c>
    </row>
    <row r="24" spans="2:14" x14ac:dyDescent="0.25">
      <c r="B24" t="s">
        <v>37</v>
      </c>
      <c r="C24" s="6">
        <v>46066.4375</v>
      </c>
      <c r="D24" s="6">
        <v>46066.444444444445</v>
      </c>
      <c r="E24" s="6">
        <v>46066.472222222219</v>
      </c>
      <c r="F24" s="6">
        <v>46066.527777777781</v>
      </c>
      <c r="G24" s="6">
        <v>46066.614583333336</v>
      </c>
      <c r="H24" s="6">
        <v>46066.618055555555</v>
      </c>
      <c r="I24">
        <v>4.33</v>
      </c>
      <c r="J24" s="6">
        <v>46066.621527777781</v>
      </c>
      <c r="K24" s="7">
        <f t="shared" si="0"/>
        <v>0.85416666666424135</v>
      </c>
      <c r="L24">
        <f t="shared" si="1"/>
        <v>20</v>
      </c>
      <c r="M24">
        <f t="shared" si="2"/>
        <v>30</v>
      </c>
      <c r="N24">
        <f t="shared" si="3"/>
        <v>1230</v>
      </c>
    </row>
    <row r="25" spans="2:14" x14ac:dyDescent="0.25">
      <c r="B25" t="s">
        <v>37</v>
      </c>
      <c r="C25" s="6">
        <v>46067.472222222219</v>
      </c>
      <c r="D25" s="6">
        <v>46067.475694444445</v>
      </c>
      <c r="E25" s="6">
        <v>46067.479166666664</v>
      </c>
      <c r="F25" s="6">
        <v>46067.541666666664</v>
      </c>
      <c r="G25" s="6">
        <v>46067.545138888891</v>
      </c>
      <c r="H25" s="6">
        <v>46067.548611111109</v>
      </c>
      <c r="I25">
        <v>1.83</v>
      </c>
      <c r="J25" s="6">
        <v>46067.552083333336</v>
      </c>
      <c r="K25" s="7">
        <f t="shared" si="0"/>
        <v>1.9791666666715173</v>
      </c>
      <c r="L25">
        <f t="shared" si="1"/>
        <v>23</v>
      </c>
      <c r="M25">
        <f t="shared" si="2"/>
        <v>30</v>
      </c>
      <c r="N25">
        <f t="shared" si="3"/>
        <v>1410</v>
      </c>
    </row>
    <row r="26" spans="2:14" x14ac:dyDescent="0.25">
      <c r="B26" t="s">
        <v>37</v>
      </c>
      <c r="C26" s="6">
        <v>46069.527777777781</v>
      </c>
      <c r="D26" s="6">
        <v>46069.552083333336</v>
      </c>
      <c r="E26" s="6">
        <v>46069.572916666664</v>
      </c>
      <c r="F26" s="6">
        <v>46069.684027777781</v>
      </c>
      <c r="G26" s="6">
        <v>46069.690972222219</v>
      </c>
      <c r="H26" s="6">
        <v>46069.697916666664</v>
      </c>
      <c r="I26">
        <v>4.08</v>
      </c>
      <c r="J26" s="6">
        <v>46069.704861111109</v>
      </c>
      <c r="K26" s="7">
        <f t="shared" si="0"/>
        <v>1.9236111111167702</v>
      </c>
      <c r="L26">
        <f t="shared" si="1"/>
        <v>22</v>
      </c>
      <c r="M26">
        <f t="shared" si="2"/>
        <v>10</v>
      </c>
      <c r="N26">
        <f t="shared" si="3"/>
        <v>1330</v>
      </c>
    </row>
    <row r="27" spans="2:14" x14ac:dyDescent="0.25">
      <c r="B27" t="s">
        <v>37</v>
      </c>
      <c r="C27" s="6">
        <v>46071.621527777781</v>
      </c>
      <c r="D27" s="6">
        <v>46071.635416666664</v>
      </c>
      <c r="E27" s="6">
        <v>46071.645833333336</v>
      </c>
      <c r="F27" s="6">
        <v>46071.708333333336</v>
      </c>
      <c r="G27" s="6">
        <v>46071.715277777781</v>
      </c>
      <c r="H27" s="6">
        <v>46071.722222222219</v>
      </c>
      <c r="I27">
        <v>2.42</v>
      </c>
      <c r="J27" s="6">
        <v>46071.729166666664</v>
      </c>
      <c r="K27" s="7">
        <f t="shared" si="0"/>
        <v>0.78958333333866904</v>
      </c>
      <c r="L27">
        <f t="shared" si="1"/>
        <v>18</v>
      </c>
      <c r="M27">
        <f t="shared" si="2"/>
        <v>57</v>
      </c>
      <c r="N27">
        <f t="shared" si="3"/>
        <v>1137</v>
      </c>
    </row>
    <row r="28" spans="2:14" x14ac:dyDescent="0.25">
      <c r="B28" t="s">
        <v>37</v>
      </c>
      <c r="C28" s="6">
        <v>46072.511805555558</v>
      </c>
      <c r="D28" s="6">
        <v>46072.517361111109</v>
      </c>
      <c r="E28" s="6">
        <v>46072.618055555555</v>
      </c>
      <c r="F28" s="6">
        <v>46072.708333333336</v>
      </c>
      <c r="G28" s="6">
        <v>46072.753472222219</v>
      </c>
      <c r="H28" s="6">
        <v>46072.760416666664</v>
      </c>
      <c r="I28">
        <v>5.97</v>
      </c>
      <c r="J28" s="6">
        <v>46072.767361111109</v>
      </c>
      <c r="K28" s="7">
        <f t="shared" si="0"/>
        <v>0.66319444444525288</v>
      </c>
      <c r="L28">
        <f t="shared" si="1"/>
        <v>15</v>
      </c>
      <c r="M28">
        <f t="shared" si="2"/>
        <v>55</v>
      </c>
      <c r="N28">
        <f t="shared" si="3"/>
        <v>955</v>
      </c>
    </row>
    <row r="29" spans="2:14" x14ac:dyDescent="0.25">
      <c r="B29" t="s">
        <v>37</v>
      </c>
      <c r="C29" s="6">
        <v>46073.423611111109</v>
      </c>
      <c r="D29" s="6">
        <v>46073.4375</v>
      </c>
      <c r="E29" s="6">
        <v>46073.444444444445</v>
      </c>
      <c r="F29" s="6">
        <v>46073.46597222222</v>
      </c>
      <c r="G29" s="6">
        <v>46073.472222222219</v>
      </c>
      <c r="H29" s="6">
        <v>46073.473611111112</v>
      </c>
      <c r="I29">
        <v>1.2</v>
      </c>
      <c r="J29" s="6">
        <v>46073.476388888892</v>
      </c>
      <c r="K29" s="7">
        <f t="shared" si="0"/>
        <v>0.8944444444423425</v>
      </c>
      <c r="L29">
        <f t="shared" si="1"/>
        <v>21</v>
      </c>
      <c r="M29">
        <f t="shared" si="2"/>
        <v>28</v>
      </c>
      <c r="N29">
        <f t="shared" si="3"/>
        <v>1288</v>
      </c>
    </row>
    <row r="30" spans="2:14" x14ac:dyDescent="0.25">
      <c r="B30" t="s">
        <v>37</v>
      </c>
      <c r="C30" s="6">
        <v>46074.368055555555</v>
      </c>
      <c r="D30" s="6">
        <v>46074.385416666664</v>
      </c>
      <c r="E30" s="6">
        <v>46074.395833333336</v>
      </c>
      <c r="F30" s="6">
        <v>46074.427083333336</v>
      </c>
      <c r="G30" s="6">
        <v>46074.434027777781</v>
      </c>
      <c r="H30" s="6">
        <v>46074.4375</v>
      </c>
      <c r="I30">
        <v>1.67</v>
      </c>
      <c r="J30" s="6">
        <v>46074.444444444445</v>
      </c>
      <c r="K30" s="7">
        <f t="shared" si="0"/>
        <v>4.8541666666642413</v>
      </c>
      <c r="L30">
        <f t="shared" si="1"/>
        <v>20</v>
      </c>
      <c r="M30">
        <f t="shared" si="2"/>
        <v>30</v>
      </c>
      <c r="N30">
        <f t="shared" si="3"/>
        <v>1230</v>
      </c>
    </row>
    <row r="31" spans="2:14" x14ac:dyDescent="0.25">
      <c r="B31" t="s">
        <v>37</v>
      </c>
      <c r="C31" s="6">
        <v>46079.291666666664</v>
      </c>
      <c r="D31" s="6">
        <v>46079.326388888891</v>
      </c>
      <c r="E31" s="6">
        <v>46079.354166666664</v>
      </c>
      <c r="F31" s="6">
        <v>46079.388888888891</v>
      </c>
      <c r="G31" s="6">
        <v>46079.395833333336</v>
      </c>
      <c r="H31" s="6">
        <v>46079.409722222219</v>
      </c>
      <c r="I31">
        <v>2.83</v>
      </c>
      <c r="J31" s="6">
        <v>46079.416666666664</v>
      </c>
      <c r="K31" s="7">
        <f t="shared" si="0"/>
        <v>0.21180555556202307</v>
      </c>
      <c r="L31">
        <f t="shared" si="1"/>
        <v>5</v>
      </c>
      <c r="M31">
        <f t="shared" si="2"/>
        <v>5</v>
      </c>
      <c r="N31">
        <f t="shared" si="3"/>
        <v>305</v>
      </c>
    </row>
    <row r="32" spans="2:14" x14ac:dyDescent="0.25">
      <c r="B32" t="s">
        <v>37</v>
      </c>
      <c r="C32" s="6">
        <v>46079.621527777781</v>
      </c>
      <c r="D32" s="6">
        <v>46079.625</v>
      </c>
      <c r="E32" s="6">
        <v>46079.631944444445</v>
      </c>
      <c r="F32" s="6">
        <v>46079.638888888891</v>
      </c>
      <c r="G32" s="6">
        <v>46079.645833333336</v>
      </c>
      <c r="H32" s="6">
        <v>46079.646527777775</v>
      </c>
      <c r="I32">
        <v>0.6</v>
      </c>
      <c r="J32" s="6">
        <v>46079.647222222222</v>
      </c>
      <c r="K32" s="7">
        <f t="shared" si="0"/>
        <v>3.820138888891961</v>
      </c>
      <c r="L32">
        <f t="shared" si="1"/>
        <v>19</v>
      </c>
      <c r="M32">
        <f t="shared" si="2"/>
        <v>41</v>
      </c>
      <c r="N32">
        <f t="shared" si="3"/>
        <v>1181</v>
      </c>
    </row>
    <row r="33" spans="2:14" x14ac:dyDescent="0.25">
      <c r="B33" t="s">
        <v>37</v>
      </c>
      <c r="C33" s="6">
        <v>46083.466666666667</v>
      </c>
      <c r="D33" s="6">
        <v>46083.510416666664</v>
      </c>
      <c r="E33" s="6">
        <v>46083.611111111109</v>
      </c>
      <c r="F33" s="6">
        <v>46083.652777777781</v>
      </c>
      <c r="G33" s="6">
        <v>46083.6875</v>
      </c>
      <c r="H33" s="6">
        <v>46083.729166666664</v>
      </c>
      <c r="I33">
        <v>6.3</v>
      </c>
      <c r="J33" s="6">
        <v>46083.736111111109</v>
      </c>
      <c r="K33" s="7">
        <f t="shared" si="0"/>
        <v>0.61666666666860692</v>
      </c>
      <c r="L33">
        <f t="shared" si="1"/>
        <v>14</v>
      </c>
      <c r="M33">
        <f t="shared" si="2"/>
        <v>48</v>
      </c>
      <c r="N33">
        <f t="shared" si="3"/>
        <v>888</v>
      </c>
    </row>
    <row r="34" spans="2:14" x14ac:dyDescent="0.25">
      <c r="B34" t="s">
        <v>37</v>
      </c>
      <c r="C34" s="6">
        <v>46084.345833333333</v>
      </c>
      <c r="D34" s="6">
        <v>46084.354166666664</v>
      </c>
      <c r="E34" s="6">
        <v>46084.378472222219</v>
      </c>
      <c r="F34" s="6">
        <v>46084.386805555558</v>
      </c>
      <c r="G34" s="6">
        <v>46084.388888888891</v>
      </c>
      <c r="H34" s="6">
        <v>46084.438888888886</v>
      </c>
      <c r="I34">
        <v>2.23</v>
      </c>
      <c r="J34" s="6">
        <v>46084.439583333333</v>
      </c>
      <c r="K34" s="7">
        <f t="shared" si="0"/>
        <v>0.85277777777810115</v>
      </c>
      <c r="L34">
        <f t="shared" si="1"/>
        <v>20</v>
      </c>
      <c r="M34">
        <f t="shared" si="2"/>
        <v>28</v>
      </c>
      <c r="N34">
        <f t="shared" si="3"/>
        <v>1228</v>
      </c>
    </row>
    <row r="35" spans="2:14" x14ac:dyDescent="0.25">
      <c r="B35" t="s">
        <v>37</v>
      </c>
      <c r="C35" s="6">
        <v>46085.291666666664</v>
      </c>
      <c r="D35" s="6">
        <v>46085.333333333336</v>
      </c>
      <c r="E35" s="6">
        <v>46085.354166666664</v>
      </c>
      <c r="F35" s="6">
        <v>46085.4375</v>
      </c>
      <c r="G35" s="6">
        <v>46085.438194444447</v>
      </c>
      <c r="H35" s="6">
        <v>46085.438888888886</v>
      </c>
      <c r="I35">
        <v>3.53</v>
      </c>
      <c r="J35" s="6">
        <v>46085.445833333331</v>
      </c>
      <c r="K35" s="7">
        <f t="shared" si="0"/>
        <v>1.1305555555591127</v>
      </c>
      <c r="L35">
        <f t="shared" si="1"/>
        <v>3</v>
      </c>
      <c r="M35">
        <f t="shared" si="2"/>
        <v>8</v>
      </c>
      <c r="N35">
        <f t="shared" si="3"/>
        <v>188</v>
      </c>
    </row>
    <row r="36" spans="2:14" x14ac:dyDescent="0.25">
      <c r="B36" t="s">
        <v>37</v>
      </c>
      <c r="C36" s="6">
        <v>46086.569444444445</v>
      </c>
      <c r="D36" s="6">
        <v>46086.572916666664</v>
      </c>
      <c r="E36" s="6">
        <v>46086.588888888888</v>
      </c>
      <c r="F36" s="6">
        <v>46086.604166666664</v>
      </c>
      <c r="G36" s="6">
        <v>46086.631944444445</v>
      </c>
      <c r="H36" s="6">
        <v>46086.634027777778</v>
      </c>
      <c r="I36">
        <v>1.55</v>
      </c>
      <c r="J36" s="6">
        <v>46086.634722222225</v>
      </c>
      <c r="K36" s="7">
        <f t="shared" si="0"/>
        <v>3.6111111112404615E-2</v>
      </c>
      <c r="L36">
        <f t="shared" si="1"/>
        <v>0</v>
      </c>
      <c r="M36">
        <f t="shared" si="2"/>
        <v>52</v>
      </c>
      <c r="N36">
        <f t="shared" si="3"/>
        <v>52</v>
      </c>
    </row>
    <row r="37" spans="2:14" x14ac:dyDescent="0.25">
      <c r="B37" t="s">
        <v>37</v>
      </c>
      <c r="C37" s="6">
        <v>46086.670138888891</v>
      </c>
      <c r="D37" s="6">
        <v>46086.680555555555</v>
      </c>
      <c r="E37" s="6">
        <v>46086.684027777781</v>
      </c>
      <c r="F37" s="6">
        <v>46086.690972222219</v>
      </c>
      <c r="G37" s="6">
        <v>46086.722222222219</v>
      </c>
      <c r="H37" s="6">
        <v>46086.729166666664</v>
      </c>
      <c r="I37">
        <v>1.42</v>
      </c>
      <c r="J37" s="6">
        <v>46086.736111111109</v>
      </c>
      <c r="K37" s="7">
        <f t="shared" si="0"/>
        <v>0.61111111111677019</v>
      </c>
      <c r="L37">
        <f t="shared" si="1"/>
        <v>14</v>
      </c>
      <c r="M37">
        <f t="shared" si="2"/>
        <v>40</v>
      </c>
      <c r="N37">
        <f t="shared" si="3"/>
        <v>880</v>
      </c>
    </row>
    <row r="38" spans="2:14" x14ac:dyDescent="0.25">
      <c r="B38" t="s">
        <v>37</v>
      </c>
      <c r="C38" s="6">
        <v>46087.340277777781</v>
      </c>
      <c r="D38" s="6">
        <v>46087.354166666664</v>
      </c>
      <c r="E38" s="6">
        <v>46087.383333333331</v>
      </c>
      <c r="F38" s="6">
        <v>46087.422222222223</v>
      </c>
      <c r="G38" s="6">
        <v>46087.429166666669</v>
      </c>
      <c r="H38" s="6">
        <v>46087.430555555555</v>
      </c>
      <c r="I38">
        <v>2.17</v>
      </c>
      <c r="J38" s="6">
        <v>46087.4375</v>
      </c>
      <c r="K38" s="7">
        <f t="shared" si="0"/>
        <v>6.25E-2</v>
      </c>
      <c r="L38">
        <f t="shared" si="1"/>
        <v>1</v>
      </c>
      <c r="M38">
        <f t="shared" si="2"/>
        <v>30</v>
      </c>
      <c r="N38">
        <f t="shared" si="3"/>
        <v>90</v>
      </c>
    </row>
    <row r="39" spans="2:14" x14ac:dyDescent="0.25">
      <c r="B39" t="s">
        <v>37</v>
      </c>
      <c r="C39" s="6">
        <v>46087.493055555555</v>
      </c>
      <c r="D39" s="6">
        <v>46087.496527777781</v>
      </c>
      <c r="E39" s="6">
        <v>46087.5</v>
      </c>
      <c r="F39" s="6">
        <v>46087.520833333336</v>
      </c>
      <c r="G39" s="6">
        <v>46087.527777777781</v>
      </c>
      <c r="H39" s="6">
        <v>46087.53125</v>
      </c>
      <c r="I39">
        <v>0.92</v>
      </c>
      <c r="J39" s="6">
        <v>46087.538194444445</v>
      </c>
      <c r="K39" s="7">
        <f t="shared" si="0"/>
        <v>5.9027777781011537E-2</v>
      </c>
      <c r="L39">
        <f t="shared" si="1"/>
        <v>1</v>
      </c>
      <c r="M39">
        <f t="shared" si="2"/>
        <v>25</v>
      </c>
      <c r="N39">
        <f t="shared" si="3"/>
        <v>85</v>
      </c>
    </row>
    <row r="40" spans="2:14" x14ac:dyDescent="0.25">
      <c r="B40" t="s">
        <v>37</v>
      </c>
      <c r="C40" s="6">
        <v>46087.590277777781</v>
      </c>
      <c r="D40" s="6">
        <v>46087.59375</v>
      </c>
      <c r="E40" s="6">
        <v>46087.618055555555</v>
      </c>
      <c r="F40" s="6">
        <v>46087.831944444442</v>
      </c>
      <c r="G40" s="6">
        <v>46087.838888888888</v>
      </c>
      <c r="H40" s="6">
        <v>46087.885416666664</v>
      </c>
      <c r="I40">
        <v>7.08</v>
      </c>
      <c r="J40" s="6">
        <v>46087.892361111109</v>
      </c>
      <c r="K40" s="7">
        <f t="shared" si="0"/>
        <v>3.9722222222262644</v>
      </c>
      <c r="L40">
        <f t="shared" si="1"/>
        <v>23</v>
      </c>
      <c r="M40">
        <f t="shared" si="2"/>
        <v>20</v>
      </c>
      <c r="N40">
        <f t="shared" si="3"/>
        <v>1400</v>
      </c>
    </row>
    <row r="41" spans="2:14" x14ac:dyDescent="0.25">
      <c r="B41" t="s">
        <v>37</v>
      </c>
      <c r="C41" s="6">
        <v>46091.857638888891</v>
      </c>
      <c r="D41" s="6">
        <v>46091.864583333336</v>
      </c>
      <c r="E41" s="6">
        <v>46091.875</v>
      </c>
      <c r="F41" s="6">
        <v>46091.895833333336</v>
      </c>
      <c r="G41" s="6">
        <v>46091.902777777781</v>
      </c>
      <c r="H41" s="6">
        <v>46091.916666666664</v>
      </c>
      <c r="I41">
        <v>1.42</v>
      </c>
      <c r="J41" s="6">
        <v>46091.923611111109</v>
      </c>
      <c r="K41" s="7">
        <f t="shared" si="0"/>
        <v>0.64583333333575865</v>
      </c>
      <c r="L41">
        <f t="shared" si="1"/>
        <v>15</v>
      </c>
      <c r="M41">
        <f t="shared" si="2"/>
        <v>30</v>
      </c>
      <c r="N41">
        <f t="shared" si="3"/>
        <v>930</v>
      </c>
    </row>
    <row r="42" spans="2:14" hidden="1" x14ac:dyDescent="0.25">
      <c r="B42" t="s">
        <v>37</v>
      </c>
      <c r="C42" s="6">
        <v>46092.5625</v>
      </c>
      <c r="D42" s="6">
        <v>46092.586805555555</v>
      </c>
      <c r="E42" s="6">
        <v>46092.631944444445</v>
      </c>
      <c r="F42" s="6">
        <v>46092.743055555555</v>
      </c>
      <c r="G42" s="6">
        <v>46092.756944444445</v>
      </c>
      <c r="H42" s="6">
        <v>46092.760416666664</v>
      </c>
      <c r="I42">
        <v>4.75</v>
      </c>
      <c r="J42" s="6">
        <v>46092.767361111109</v>
      </c>
      <c r="K42" s="7">
        <f t="shared" si="0"/>
        <v>-8.6805555554747116E-2</v>
      </c>
      <c r="L42" t="e">
        <f t="shared" si="1"/>
        <v>#NUM!</v>
      </c>
      <c r="M42" t="e">
        <f t="shared" si="2"/>
        <v>#NUM!</v>
      </c>
      <c r="N42" t="e">
        <f t="shared" si="3"/>
        <v>#NUM!</v>
      </c>
    </row>
    <row r="43" spans="2:14" x14ac:dyDescent="0.25">
      <c r="B43" t="s">
        <v>37</v>
      </c>
      <c r="C43" s="6">
        <v>46092.673611111109</v>
      </c>
      <c r="D43" s="6">
        <v>46092.6875</v>
      </c>
      <c r="E43" s="6">
        <v>46092.701388888891</v>
      </c>
      <c r="F43" s="6">
        <v>46092.74722222222</v>
      </c>
      <c r="G43" s="6">
        <v>46092.754166666666</v>
      </c>
      <c r="H43" s="6">
        <v>46092.777083333334</v>
      </c>
      <c r="I43">
        <v>2.48</v>
      </c>
      <c r="J43" s="6">
        <v>46092.779166666667</v>
      </c>
      <c r="K43" s="7">
        <f t="shared" si="0"/>
        <v>0.51458333332993789</v>
      </c>
      <c r="L43">
        <f t="shared" si="1"/>
        <v>12</v>
      </c>
      <c r="M43">
        <f t="shared" si="2"/>
        <v>21</v>
      </c>
      <c r="N43">
        <f t="shared" si="3"/>
        <v>741</v>
      </c>
    </row>
    <row r="44" spans="2:14" x14ac:dyDescent="0.25">
      <c r="B44" t="s">
        <v>37</v>
      </c>
      <c r="C44" s="6">
        <v>46093.291666666664</v>
      </c>
      <c r="D44" s="6">
        <v>46093.3125</v>
      </c>
      <c r="E44" s="6">
        <v>46093.333333333336</v>
      </c>
      <c r="F44" s="6">
        <v>46093.388888888891</v>
      </c>
      <c r="G44" s="6">
        <v>46093.395833333336</v>
      </c>
      <c r="H44" s="6">
        <v>46093.399305555555</v>
      </c>
      <c r="I44">
        <v>2.58</v>
      </c>
      <c r="J44" s="6">
        <v>46093.40625</v>
      </c>
      <c r="K44" s="7">
        <f t="shared" si="0"/>
        <v>4.0902777777810115</v>
      </c>
      <c r="L44">
        <f t="shared" si="1"/>
        <v>2</v>
      </c>
      <c r="M44">
        <f t="shared" si="2"/>
        <v>10</v>
      </c>
      <c r="N44">
        <f t="shared" si="3"/>
        <v>130</v>
      </c>
    </row>
    <row r="45" spans="2:14" x14ac:dyDescent="0.25">
      <c r="B45" t="s">
        <v>37</v>
      </c>
      <c r="C45" s="6">
        <v>46097.489583333336</v>
      </c>
      <c r="D45" s="6">
        <v>46097.5</v>
      </c>
      <c r="E45" s="6">
        <v>46097.513888888891</v>
      </c>
      <c r="F45" s="6">
        <v>46097.538194444445</v>
      </c>
      <c r="G45" s="6">
        <v>46097.545138888891</v>
      </c>
      <c r="H45" s="6">
        <v>46097.552083333336</v>
      </c>
      <c r="I45">
        <v>1.5</v>
      </c>
      <c r="J45" s="6">
        <v>46097.559027777781</v>
      </c>
      <c r="K45" s="7">
        <f t="shared" si="0"/>
        <v>2.4999999994179234E-2</v>
      </c>
      <c r="L45">
        <f t="shared" si="1"/>
        <v>0</v>
      </c>
      <c r="M45">
        <f t="shared" si="2"/>
        <v>36</v>
      </c>
      <c r="N45">
        <f t="shared" si="3"/>
        <v>36</v>
      </c>
    </row>
    <row r="46" spans="2:14" x14ac:dyDescent="0.25">
      <c r="B46" t="s">
        <v>37</v>
      </c>
      <c r="C46" s="6">
        <v>46097.57708333333</v>
      </c>
      <c r="D46" s="6">
        <v>46097.577777777777</v>
      </c>
      <c r="E46" s="6">
        <v>46097.578472222223</v>
      </c>
      <c r="F46" s="6">
        <v>46097.585416666669</v>
      </c>
      <c r="G46" s="6">
        <v>46097.78125</v>
      </c>
      <c r="H46" s="6">
        <v>46097.888888888891</v>
      </c>
      <c r="I46">
        <v>7.48</v>
      </c>
      <c r="J46" s="6">
        <v>46097.895833333336</v>
      </c>
      <c r="K46" s="7">
        <f t="shared" si="0"/>
        <v>1.8958333333284827</v>
      </c>
      <c r="L46">
        <f t="shared" si="1"/>
        <v>21</v>
      </c>
      <c r="M46">
        <f t="shared" si="2"/>
        <v>30</v>
      </c>
      <c r="N46">
        <f t="shared" si="3"/>
        <v>1290</v>
      </c>
    </row>
    <row r="47" spans="2:14" x14ac:dyDescent="0.25">
      <c r="B47" t="s">
        <v>37</v>
      </c>
      <c r="C47" s="6">
        <v>46099.784722222219</v>
      </c>
      <c r="D47" s="6">
        <v>46099.798611111109</v>
      </c>
      <c r="E47" s="6">
        <v>46099.805555555555</v>
      </c>
      <c r="F47" s="6">
        <v>46099.927083333336</v>
      </c>
      <c r="G47" s="6">
        <v>46099.934027777781</v>
      </c>
      <c r="H47" s="6">
        <v>46099.954861111109</v>
      </c>
      <c r="I47">
        <v>4.08</v>
      </c>
      <c r="J47" s="6">
        <v>46099.961805555555</v>
      </c>
      <c r="K47" s="7">
        <f t="shared" si="0"/>
        <v>1.7395833333357587</v>
      </c>
      <c r="L47">
        <f t="shared" si="1"/>
        <v>17</v>
      </c>
      <c r="M47">
        <f t="shared" si="2"/>
        <v>45</v>
      </c>
      <c r="N47">
        <f t="shared" si="3"/>
        <v>1065</v>
      </c>
    </row>
    <row r="48" spans="2:14" x14ac:dyDescent="0.25">
      <c r="B48" t="s">
        <v>37</v>
      </c>
      <c r="C48" s="6">
        <v>46101.694444444445</v>
      </c>
      <c r="D48" s="6">
        <v>46101.708333333336</v>
      </c>
      <c r="E48" s="6">
        <v>46101.729166666664</v>
      </c>
      <c r="F48" s="6">
        <v>46101.788194444445</v>
      </c>
      <c r="G48" s="6">
        <v>46101.819444444445</v>
      </c>
      <c r="H48" s="6">
        <v>46101.861111111109</v>
      </c>
      <c r="I48">
        <v>4</v>
      </c>
      <c r="J48" s="6">
        <v>46101.862500000003</v>
      </c>
      <c r="K48" s="7">
        <f t="shared" si="0"/>
        <v>4.6145833333357587</v>
      </c>
      <c r="L48">
        <f t="shared" si="1"/>
        <v>14</v>
      </c>
      <c r="M48">
        <f t="shared" si="2"/>
        <v>45</v>
      </c>
      <c r="N48">
        <f t="shared" si="3"/>
        <v>885</v>
      </c>
    </row>
    <row r="49" spans="2:14" x14ac:dyDescent="0.25">
      <c r="B49" t="s">
        <v>37</v>
      </c>
      <c r="C49" s="6">
        <v>46106.475694444445</v>
      </c>
      <c r="D49" s="6">
        <v>46106.486111111109</v>
      </c>
      <c r="E49" s="6">
        <v>46106.555555555555</v>
      </c>
      <c r="F49" s="6">
        <v>46106.6875</v>
      </c>
      <c r="G49" s="6">
        <v>46106.736111111109</v>
      </c>
      <c r="H49" s="6">
        <v>46106.753472222219</v>
      </c>
      <c r="I49">
        <v>6.67</v>
      </c>
      <c r="J49" s="6">
        <v>46106.754166666666</v>
      </c>
      <c r="K49" s="7">
        <f t="shared" si="0"/>
        <v>5.7048611111167702</v>
      </c>
      <c r="L49">
        <f t="shared" si="1"/>
        <v>16</v>
      </c>
      <c r="M49">
        <f t="shared" si="2"/>
        <v>55</v>
      </c>
      <c r="N49">
        <f t="shared" si="3"/>
        <v>1015</v>
      </c>
    </row>
    <row r="50" spans="2:14" hidden="1" x14ac:dyDescent="0.25">
      <c r="B50" t="s">
        <v>37</v>
      </c>
      <c r="C50" s="6">
        <v>46112.458333333336</v>
      </c>
      <c r="D50" s="6">
        <v>46112.472222222219</v>
      </c>
      <c r="E50" s="6">
        <v>46112.493055555555</v>
      </c>
      <c r="F50" s="6">
        <v>46112.524305555555</v>
      </c>
      <c r="G50" s="6">
        <v>46112.527777777781</v>
      </c>
      <c r="H50" s="6">
        <v>46112.53125</v>
      </c>
      <c r="I50">
        <v>1.75</v>
      </c>
      <c r="J50" s="6">
        <v>46112.531944444447</v>
      </c>
      <c r="K50" s="7">
        <f t="shared" si="0"/>
        <v>-46112.53125</v>
      </c>
      <c r="L50" t="e">
        <f t="shared" si="1"/>
        <v>#NUM!</v>
      </c>
      <c r="M50" t="e">
        <f t="shared" si="2"/>
        <v>#NUM!</v>
      </c>
      <c r="N50" t="e">
        <f t="shared" si="3"/>
        <v>#NUM!</v>
      </c>
    </row>
  </sheetData>
  <autoFilter ref="B2:N50" xr:uid="{FEF84036-523A-4F42-B9CF-05032468093C}">
    <filterColumn colId="12">
      <customFilters and="1">
        <customFilter operator="notEqual" val="#NUM!"/>
        <customFilter operator="greaterThan" val="10"/>
      </customFilters>
    </filterColumn>
    <sortState xmlns:xlrd2="http://schemas.microsoft.com/office/spreadsheetml/2017/richdata2" ref="B3:N50">
      <sortCondition ref="C2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ECAA-7431-411E-84C8-2B47F75869B0}">
  <sheetPr filterMode="1"/>
  <dimension ref="B2:N156"/>
  <sheetViews>
    <sheetView workbookViewId="0">
      <selection activeCell="P2" sqref="P2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20.28515625" bestFit="1" customWidth="1"/>
    <col min="5" max="5" width="19.28515625" bestFit="1" customWidth="1"/>
    <col min="6" max="6" width="16.5703125" bestFit="1" customWidth="1"/>
    <col min="7" max="7" width="17.7109375" bestFit="1" customWidth="1"/>
    <col min="8" max="8" width="17" bestFit="1" customWidth="1"/>
    <col min="9" max="9" width="5.85546875" customWidth="1"/>
    <col min="10" max="10" width="18.28515625" bestFit="1" customWidth="1"/>
    <col min="15" max="15" width="3.7109375" customWidth="1"/>
  </cols>
  <sheetData>
    <row r="2" spans="2:14" x14ac:dyDescent="0.25">
      <c r="B2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t="s">
        <v>27</v>
      </c>
      <c r="J2" s="6" t="s">
        <v>28</v>
      </c>
      <c r="K2" s="8" t="s">
        <v>55</v>
      </c>
      <c r="L2" s="8" t="s">
        <v>39</v>
      </c>
      <c r="M2" s="8" t="s">
        <v>38</v>
      </c>
      <c r="N2" s="12" t="s">
        <v>56</v>
      </c>
    </row>
    <row r="3" spans="2:14" x14ac:dyDescent="0.25">
      <c r="B3" t="s">
        <v>36</v>
      </c>
      <c r="C3" s="6">
        <v>46023.416666666664</v>
      </c>
      <c r="D3" s="6">
        <v>46023.430555555555</v>
      </c>
      <c r="E3" s="6">
        <v>46023.451388888891</v>
      </c>
      <c r="F3" s="6">
        <v>46023.472222222219</v>
      </c>
      <c r="G3" s="6">
        <v>46023.479166666664</v>
      </c>
      <c r="H3" s="6">
        <v>46023.611111111109</v>
      </c>
      <c r="I3">
        <v>4.67</v>
      </c>
      <c r="J3" s="6">
        <v>46023.618055555555</v>
      </c>
      <c r="K3" s="7">
        <f>C4-H3</f>
        <v>0.97569444444525288</v>
      </c>
      <c r="L3">
        <f>HOUR(K3)</f>
        <v>23</v>
      </c>
      <c r="M3">
        <f>MINUTE(K3)</f>
        <v>25</v>
      </c>
      <c r="N3">
        <f>L3*60+M3</f>
        <v>1405</v>
      </c>
    </row>
    <row r="4" spans="2:14" x14ac:dyDescent="0.25">
      <c r="B4" t="s">
        <v>36</v>
      </c>
      <c r="C4" s="6">
        <v>46024.586805555555</v>
      </c>
      <c r="D4" s="6">
        <v>46024.59375</v>
      </c>
      <c r="E4" s="6">
        <v>46024.607638888891</v>
      </c>
      <c r="F4" s="6">
        <v>46024.65</v>
      </c>
      <c r="G4" s="6">
        <v>46024.656944444447</v>
      </c>
      <c r="H4" s="6">
        <v>46024.666666666664</v>
      </c>
      <c r="I4">
        <v>1.92</v>
      </c>
      <c r="J4" s="6">
        <v>46024.673611111109</v>
      </c>
      <c r="K4" s="7">
        <f t="shared" ref="K4:K67" si="0">C5-H4</f>
        <v>1.0451388888905058</v>
      </c>
      <c r="L4">
        <f t="shared" ref="L4:L67" si="1">HOUR(K4)</f>
        <v>1</v>
      </c>
      <c r="M4">
        <f t="shared" ref="M4:M67" si="2">MINUTE(K4)</f>
        <v>5</v>
      </c>
      <c r="N4">
        <f t="shared" ref="N4:N67" si="3">L4*60+M4</f>
        <v>65</v>
      </c>
    </row>
    <row r="5" spans="2:14" x14ac:dyDescent="0.25">
      <c r="B5" t="s">
        <v>36</v>
      </c>
      <c r="C5" s="6">
        <v>46025.711805555555</v>
      </c>
      <c r="D5" s="6">
        <v>46025.722222222219</v>
      </c>
      <c r="E5" s="6">
        <v>46025.756944444445</v>
      </c>
      <c r="F5" s="6">
        <v>46025.841666666667</v>
      </c>
      <c r="G5" s="6">
        <v>46025.848611111112</v>
      </c>
      <c r="H5" s="6">
        <v>46025.849305555559</v>
      </c>
      <c r="I5">
        <v>3.3</v>
      </c>
      <c r="J5" s="6">
        <v>46025.856249999997</v>
      </c>
      <c r="K5" s="7">
        <f t="shared" si="0"/>
        <v>1.671527777776646</v>
      </c>
      <c r="L5">
        <f t="shared" si="1"/>
        <v>16</v>
      </c>
      <c r="M5">
        <f t="shared" si="2"/>
        <v>7</v>
      </c>
      <c r="N5">
        <f t="shared" si="3"/>
        <v>967</v>
      </c>
    </row>
    <row r="6" spans="2:14" x14ac:dyDescent="0.25">
      <c r="B6" t="s">
        <v>36</v>
      </c>
      <c r="C6" s="6">
        <v>46027.520833333336</v>
      </c>
      <c r="D6" s="6">
        <v>46027.534722222219</v>
      </c>
      <c r="E6" s="6">
        <v>46027.548611111109</v>
      </c>
      <c r="F6" s="6">
        <v>46027.677777777775</v>
      </c>
      <c r="G6" s="6">
        <v>46027.680555555555</v>
      </c>
      <c r="H6" s="6">
        <v>46027.684027777781</v>
      </c>
      <c r="I6">
        <v>3.92</v>
      </c>
      <c r="J6" s="6">
        <v>46027.686111111114</v>
      </c>
      <c r="K6" s="7">
        <f t="shared" si="0"/>
        <v>0.67708333332848269</v>
      </c>
      <c r="L6">
        <f t="shared" si="1"/>
        <v>16</v>
      </c>
      <c r="M6">
        <f t="shared" si="2"/>
        <v>15</v>
      </c>
      <c r="N6">
        <f t="shared" si="3"/>
        <v>975</v>
      </c>
    </row>
    <row r="7" spans="2:14" x14ac:dyDescent="0.25">
      <c r="B7" t="s">
        <v>36</v>
      </c>
      <c r="C7" s="6">
        <v>46028.361111111109</v>
      </c>
      <c r="D7" s="6">
        <v>46028.364583333336</v>
      </c>
      <c r="E7" s="6">
        <v>46028.368055555555</v>
      </c>
      <c r="F7" s="6">
        <v>46028.375</v>
      </c>
      <c r="G7" s="6">
        <v>46028.378472222219</v>
      </c>
      <c r="H7" s="6">
        <v>46028.392361111109</v>
      </c>
      <c r="I7">
        <v>0.75</v>
      </c>
      <c r="J7" s="6">
        <v>46028.395833333336</v>
      </c>
      <c r="K7" s="7">
        <f t="shared" si="0"/>
        <v>0.29166666667151731</v>
      </c>
      <c r="L7">
        <f t="shared" si="1"/>
        <v>7</v>
      </c>
      <c r="M7">
        <f t="shared" si="2"/>
        <v>0</v>
      </c>
      <c r="N7">
        <f t="shared" si="3"/>
        <v>420</v>
      </c>
    </row>
    <row r="8" spans="2:14" x14ac:dyDescent="0.25">
      <c r="B8" t="s">
        <v>36</v>
      </c>
      <c r="C8" s="6">
        <v>46028.684027777781</v>
      </c>
      <c r="D8" s="6">
        <v>46028.690972222219</v>
      </c>
      <c r="E8" s="6">
        <v>46028.701388888891</v>
      </c>
      <c r="F8" s="6">
        <v>46028.711805555555</v>
      </c>
      <c r="G8" s="6">
        <v>46028.715277777781</v>
      </c>
      <c r="H8" s="6">
        <v>46028.725694444445</v>
      </c>
      <c r="I8">
        <v>1</v>
      </c>
      <c r="J8" s="6">
        <v>46028.729166666664</v>
      </c>
      <c r="K8" s="7">
        <f t="shared" si="0"/>
        <v>0.56597222221898846</v>
      </c>
      <c r="L8">
        <f t="shared" si="1"/>
        <v>13</v>
      </c>
      <c r="M8">
        <f t="shared" si="2"/>
        <v>35</v>
      </c>
      <c r="N8">
        <f t="shared" si="3"/>
        <v>815</v>
      </c>
    </row>
    <row r="9" spans="2:14" x14ac:dyDescent="0.25">
      <c r="B9" t="s">
        <v>36</v>
      </c>
      <c r="C9" s="6">
        <v>46029.291666666664</v>
      </c>
      <c r="D9" s="6">
        <v>46029.329861111109</v>
      </c>
      <c r="E9" s="6">
        <v>46029.354166666664</v>
      </c>
      <c r="F9" s="6">
        <v>46029.402777777781</v>
      </c>
      <c r="G9" s="6">
        <v>46029.409722222219</v>
      </c>
      <c r="H9" s="6">
        <v>46029.416666666664</v>
      </c>
      <c r="I9">
        <v>3</v>
      </c>
      <c r="J9" s="6">
        <v>46029.423611111109</v>
      </c>
      <c r="K9" s="7">
        <f t="shared" si="0"/>
        <v>0.15972222222626442</v>
      </c>
      <c r="L9">
        <f t="shared" si="1"/>
        <v>3</v>
      </c>
      <c r="M9">
        <f t="shared" si="2"/>
        <v>50</v>
      </c>
      <c r="N9">
        <f t="shared" si="3"/>
        <v>230</v>
      </c>
    </row>
    <row r="10" spans="2:14" x14ac:dyDescent="0.25">
      <c r="B10" t="s">
        <v>36</v>
      </c>
      <c r="C10" s="6">
        <v>46029.576388888891</v>
      </c>
      <c r="D10" s="6">
        <v>46029.583333333336</v>
      </c>
      <c r="E10" s="6">
        <v>46029.586805555555</v>
      </c>
      <c r="F10" s="6">
        <v>46029.611111111109</v>
      </c>
      <c r="G10" s="6">
        <v>46029.618055555555</v>
      </c>
      <c r="H10" s="6">
        <v>46029.621527777781</v>
      </c>
      <c r="I10">
        <v>1.08</v>
      </c>
      <c r="J10" s="6">
        <v>46029.625</v>
      </c>
      <c r="K10" s="7">
        <f t="shared" si="0"/>
        <v>0.12847222221898846</v>
      </c>
      <c r="L10">
        <f t="shared" si="1"/>
        <v>3</v>
      </c>
      <c r="M10">
        <f t="shared" si="2"/>
        <v>5</v>
      </c>
      <c r="N10">
        <f t="shared" si="3"/>
        <v>185</v>
      </c>
    </row>
    <row r="11" spans="2:14" x14ac:dyDescent="0.25">
      <c r="B11" t="s">
        <v>36</v>
      </c>
      <c r="C11" s="6">
        <v>46029.75</v>
      </c>
      <c r="D11" s="6">
        <v>46029.763888888891</v>
      </c>
      <c r="E11" s="6">
        <v>46029.767361111109</v>
      </c>
      <c r="F11" s="6">
        <v>46029.78125</v>
      </c>
      <c r="G11" s="6">
        <v>46029.784722222219</v>
      </c>
      <c r="H11" s="6">
        <v>46029.791666666664</v>
      </c>
      <c r="I11">
        <v>1</v>
      </c>
      <c r="J11" s="6">
        <v>46029.795138888891</v>
      </c>
      <c r="K11" s="7">
        <f t="shared" si="0"/>
        <v>0.625</v>
      </c>
      <c r="L11">
        <f t="shared" si="1"/>
        <v>15</v>
      </c>
      <c r="M11">
        <f t="shared" si="2"/>
        <v>0</v>
      </c>
      <c r="N11">
        <f t="shared" si="3"/>
        <v>900</v>
      </c>
    </row>
    <row r="12" spans="2:14" x14ac:dyDescent="0.25">
      <c r="B12" t="s">
        <v>36</v>
      </c>
      <c r="C12" s="6">
        <v>46030.416666666664</v>
      </c>
      <c r="D12" s="6">
        <v>46030.430555555555</v>
      </c>
      <c r="E12" s="6">
        <v>46030.4375</v>
      </c>
      <c r="F12" s="6">
        <v>46030.458333333336</v>
      </c>
      <c r="G12" s="6">
        <v>46030.465277777781</v>
      </c>
      <c r="H12" s="6">
        <v>46030.5</v>
      </c>
      <c r="I12">
        <v>2</v>
      </c>
      <c r="J12" s="6">
        <v>46030.501388888886</v>
      </c>
      <c r="K12" s="7">
        <f t="shared" si="0"/>
        <v>0.84375</v>
      </c>
      <c r="L12">
        <f t="shared" si="1"/>
        <v>20</v>
      </c>
      <c r="M12">
        <f t="shared" si="2"/>
        <v>15</v>
      </c>
      <c r="N12">
        <f t="shared" si="3"/>
        <v>1215</v>
      </c>
    </row>
    <row r="13" spans="2:14" x14ac:dyDescent="0.25">
      <c r="B13" t="s">
        <v>36</v>
      </c>
      <c r="C13" s="6">
        <v>46031.34375</v>
      </c>
      <c r="D13" s="6">
        <v>46031.357638888891</v>
      </c>
      <c r="E13" s="6">
        <v>46031.399305555555</v>
      </c>
      <c r="F13" s="6">
        <v>46031.461805555555</v>
      </c>
      <c r="G13" s="6">
        <v>46031.479166666664</v>
      </c>
      <c r="H13" s="6">
        <v>46031.486111111109</v>
      </c>
      <c r="I13">
        <v>3.42</v>
      </c>
      <c r="J13" s="6">
        <v>46031.493055555555</v>
      </c>
      <c r="K13" s="7">
        <f t="shared" si="0"/>
        <v>5.2083333335758653E-2</v>
      </c>
      <c r="L13">
        <f t="shared" si="1"/>
        <v>1</v>
      </c>
      <c r="M13">
        <f t="shared" si="2"/>
        <v>15</v>
      </c>
      <c r="N13">
        <f t="shared" si="3"/>
        <v>75</v>
      </c>
    </row>
    <row r="14" spans="2:14" x14ac:dyDescent="0.25">
      <c r="B14" t="s">
        <v>36</v>
      </c>
      <c r="C14" s="6">
        <v>46031.538194444445</v>
      </c>
      <c r="D14" s="6">
        <v>46031.545138888891</v>
      </c>
      <c r="E14" s="6">
        <v>46031.552083333336</v>
      </c>
      <c r="F14" s="6">
        <v>46031.569444444445</v>
      </c>
      <c r="G14" s="6">
        <v>46031.572916666664</v>
      </c>
      <c r="H14" s="6">
        <v>46031.576388888891</v>
      </c>
      <c r="I14">
        <v>0.92</v>
      </c>
      <c r="J14" s="6">
        <v>46031.583333333336</v>
      </c>
      <c r="K14" s="7">
        <f t="shared" si="0"/>
        <v>6.25E-2</v>
      </c>
      <c r="L14">
        <f t="shared" si="1"/>
        <v>1</v>
      </c>
      <c r="M14">
        <f t="shared" si="2"/>
        <v>30</v>
      </c>
      <c r="N14">
        <f t="shared" si="3"/>
        <v>90</v>
      </c>
    </row>
    <row r="15" spans="2:14" x14ac:dyDescent="0.25">
      <c r="B15" t="s">
        <v>36</v>
      </c>
      <c r="C15" s="6">
        <v>46031.638888888891</v>
      </c>
      <c r="D15" s="6">
        <v>46031.645833333336</v>
      </c>
      <c r="E15" s="6">
        <v>46031.666666666664</v>
      </c>
      <c r="F15" s="6">
        <v>46031.75</v>
      </c>
      <c r="G15" s="6">
        <v>46031.756944444445</v>
      </c>
      <c r="H15" s="6">
        <v>46031.763888888891</v>
      </c>
      <c r="I15">
        <v>3</v>
      </c>
      <c r="J15" s="6">
        <v>46031.770833333336</v>
      </c>
      <c r="K15" s="7">
        <f t="shared" si="0"/>
        <v>0.125</v>
      </c>
      <c r="L15">
        <f t="shared" si="1"/>
        <v>3</v>
      </c>
      <c r="M15">
        <f t="shared" si="2"/>
        <v>0</v>
      </c>
      <c r="N15">
        <f t="shared" si="3"/>
        <v>180</v>
      </c>
    </row>
    <row r="16" spans="2:14" x14ac:dyDescent="0.25">
      <c r="B16" t="s">
        <v>36</v>
      </c>
      <c r="C16" s="6">
        <v>46031.888888888891</v>
      </c>
      <c r="D16" s="6">
        <v>46031.909722222219</v>
      </c>
      <c r="E16" s="6">
        <v>46031.923611111109</v>
      </c>
      <c r="F16" s="6">
        <v>46031.982638888891</v>
      </c>
      <c r="G16" s="6">
        <v>46031.984722222223</v>
      </c>
      <c r="H16" s="6">
        <v>46031.989583333336</v>
      </c>
      <c r="I16">
        <v>2.42</v>
      </c>
      <c r="J16" s="6">
        <v>46031.990972222222</v>
      </c>
      <c r="K16" s="7">
        <f t="shared" si="0"/>
        <v>1.4652777777737356</v>
      </c>
      <c r="L16">
        <f t="shared" si="1"/>
        <v>11</v>
      </c>
      <c r="M16">
        <f t="shared" si="2"/>
        <v>10</v>
      </c>
      <c r="N16">
        <f t="shared" si="3"/>
        <v>670</v>
      </c>
    </row>
    <row r="17" spans="2:14" x14ac:dyDescent="0.25">
      <c r="B17" t="s">
        <v>36</v>
      </c>
      <c r="C17" s="6">
        <v>46033.454861111109</v>
      </c>
      <c r="D17" s="6">
        <v>46033.465277777781</v>
      </c>
      <c r="E17" s="6">
        <v>46033.479166666664</v>
      </c>
      <c r="F17" s="6">
        <v>46033.527777777781</v>
      </c>
      <c r="G17" s="6">
        <v>46033.534722222219</v>
      </c>
      <c r="H17" s="6">
        <v>46033.548611111109</v>
      </c>
      <c r="I17">
        <v>2.25</v>
      </c>
      <c r="J17" s="6">
        <v>46033.555555555555</v>
      </c>
      <c r="K17" s="7">
        <f t="shared" si="0"/>
        <v>0.41666666667151731</v>
      </c>
      <c r="L17">
        <f t="shared" si="1"/>
        <v>10</v>
      </c>
      <c r="M17">
        <f t="shared" si="2"/>
        <v>0</v>
      </c>
      <c r="N17">
        <f t="shared" si="3"/>
        <v>600</v>
      </c>
    </row>
    <row r="18" spans="2:14" x14ac:dyDescent="0.25">
      <c r="B18" t="s">
        <v>36</v>
      </c>
      <c r="C18" s="6">
        <v>46033.965277777781</v>
      </c>
      <c r="D18" s="6">
        <v>46033.96875</v>
      </c>
      <c r="E18" s="6">
        <v>46033.972222222219</v>
      </c>
      <c r="F18" s="6">
        <v>46033.979166666664</v>
      </c>
      <c r="G18" s="6">
        <v>46033.986111111109</v>
      </c>
      <c r="H18" s="6">
        <v>46033.993055555555</v>
      </c>
      <c r="I18">
        <v>0.67</v>
      </c>
      <c r="J18" s="6">
        <v>46034</v>
      </c>
      <c r="K18" s="7">
        <f t="shared" si="0"/>
        <v>0.47569444444525288</v>
      </c>
      <c r="L18">
        <f t="shared" si="1"/>
        <v>11</v>
      </c>
      <c r="M18">
        <f t="shared" si="2"/>
        <v>25</v>
      </c>
      <c r="N18">
        <f t="shared" si="3"/>
        <v>685</v>
      </c>
    </row>
    <row r="19" spans="2:14" x14ac:dyDescent="0.25">
      <c r="B19" t="s">
        <v>36</v>
      </c>
      <c r="C19" s="6">
        <v>46034.46875</v>
      </c>
      <c r="D19" s="6">
        <v>46034.482638888891</v>
      </c>
      <c r="E19" s="6">
        <v>46034.5</v>
      </c>
      <c r="F19" s="6">
        <v>46034.534722222219</v>
      </c>
      <c r="G19" s="6">
        <v>46034.541666666664</v>
      </c>
      <c r="H19" s="6">
        <v>46034.545138888891</v>
      </c>
      <c r="I19">
        <v>1.83</v>
      </c>
      <c r="J19" s="6">
        <v>46034.552083333336</v>
      </c>
      <c r="K19" s="7">
        <f t="shared" si="0"/>
        <v>0.14930555555474712</v>
      </c>
      <c r="L19">
        <f t="shared" si="1"/>
        <v>3</v>
      </c>
      <c r="M19">
        <f t="shared" si="2"/>
        <v>35</v>
      </c>
      <c r="N19">
        <f t="shared" si="3"/>
        <v>215</v>
      </c>
    </row>
    <row r="20" spans="2:14" x14ac:dyDescent="0.25">
      <c r="B20" t="s">
        <v>36</v>
      </c>
      <c r="C20" s="6">
        <v>46034.694444444445</v>
      </c>
      <c r="D20" s="6">
        <v>46034.711805555555</v>
      </c>
      <c r="E20" s="6">
        <v>46034.715277777781</v>
      </c>
      <c r="F20" s="6">
        <v>46034.722222222219</v>
      </c>
      <c r="G20" s="6">
        <v>46034.725694444445</v>
      </c>
      <c r="H20" s="6">
        <v>46034.732638888891</v>
      </c>
      <c r="I20">
        <v>0.92</v>
      </c>
      <c r="J20" s="6">
        <v>46034.734027777777</v>
      </c>
      <c r="K20" s="7">
        <f t="shared" si="0"/>
        <v>0.53819444444525288</v>
      </c>
      <c r="L20">
        <f t="shared" si="1"/>
        <v>12</v>
      </c>
      <c r="M20">
        <f t="shared" si="2"/>
        <v>55</v>
      </c>
      <c r="N20">
        <f t="shared" si="3"/>
        <v>775</v>
      </c>
    </row>
    <row r="21" spans="2:14" hidden="1" x14ac:dyDescent="0.25">
      <c r="B21" t="s">
        <v>36</v>
      </c>
      <c r="C21" s="6">
        <v>46035.270833333336</v>
      </c>
      <c r="D21" s="6">
        <v>46035.305555555555</v>
      </c>
      <c r="E21" s="6">
        <v>46035.319444444445</v>
      </c>
      <c r="F21" s="6">
        <v>46035.34375</v>
      </c>
      <c r="G21" s="6">
        <v>46035.347222222219</v>
      </c>
      <c r="H21" s="6">
        <v>46035.364583333336</v>
      </c>
      <c r="I21">
        <v>2.25</v>
      </c>
      <c r="J21" s="6">
        <v>46035.371527777781</v>
      </c>
      <c r="K21" s="7">
        <f t="shared" si="0"/>
        <v>-4.7222222223354038E-2</v>
      </c>
      <c r="L21" t="e">
        <f t="shared" si="1"/>
        <v>#NUM!</v>
      </c>
      <c r="M21" t="e">
        <f t="shared" si="2"/>
        <v>#NUM!</v>
      </c>
      <c r="N21" t="e">
        <f t="shared" si="3"/>
        <v>#NUM!</v>
      </c>
    </row>
    <row r="22" spans="2:14" x14ac:dyDescent="0.25">
      <c r="B22" t="s">
        <v>36</v>
      </c>
      <c r="C22" s="6">
        <v>46035.317361111112</v>
      </c>
      <c r="D22" s="6">
        <v>46035.324305555558</v>
      </c>
      <c r="E22" s="6">
        <v>46035.333333333336</v>
      </c>
      <c r="F22" s="6">
        <v>46035.354166666664</v>
      </c>
      <c r="G22" s="6">
        <v>46035.357638888891</v>
      </c>
      <c r="H22" s="6">
        <v>46035.35833333333</v>
      </c>
      <c r="I22">
        <v>0.98</v>
      </c>
      <c r="J22" s="6">
        <v>46035.365277777775</v>
      </c>
      <c r="K22" s="7">
        <f t="shared" si="0"/>
        <v>4.444444445107365E-2</v>
      </c>
      <c r="L22">
        <f t="shared" si="1"/>
        <v>1</v>
      </c>
      <c r="M22">
        <f t="shared" si="2"/>
        <v>4</v>
      </c>
      <c r="N22">
        <f t="shared" si="3"/>
        <v>64</v>
      </c>
    </row>
    <row r="23" spans="2:14" x14ac:dyDescent="0.25">
      <c r="B23" t="s">
        <v>36</v>
      </c>
      <c r="C23" s="6">
        <v>46035.402777777781</v>
      </c>
      <c r="D23" s="6">
        <v>46035.423611111109</v>
      </c>
      <c r="E23" s="6">
        <v>46035.430555555555</v>
      </c>
      <c r="F23" s="6">
        <v>46035.475694444445</v>
      </c>
      <c r="G23" s="6">
        <v>46035.482638888891</v>
      </c>
      <c r="H23" s="6">
        <v>46035.493055555555</v>
      </c>
      <c r="I23">
        <v>2.17</v>
      </c>
      <c r="J23" s="6">
        <v>46035.5</v>
      </c>
      <c r="K23" s="7">
        <f t="shared" si="0"/>
        <v>5.5555555554747116E-2</v>
      </c>
      <c r="L23">
        <f t="shared" si="1"/>
        <v>1</v>
      </c>
      <c r="M23">
        <f t="shared" si="2"/>
        <v>20</v>
      </c>
      <c r="N23">
        <f t="shared" si="3"/>
        <v>80</v>
      </c>
    </row>
    <row r="24" spans="2:14" x14ac:dyDescent="0.25">
      <c r="B24" t="s">
        <v>36</v>
      </c>
      <c r="C24" s="6">
        <v>46035.548611111109</v>
      </c>
      <c r="D24" s="6">
        <v>46035.5625</v>
      </c>
      <c r="E24" s="6">
        <v>46035.576388888891</v>
      </c>
      <c r="F24" s="6">
        <v>46035.590277777781</v>
      </c>
      <c r="G24" s="6">
        <v>46035.59097222222</v>
      </c>
      <c r="H24" s="6">
        <v>46035.604166666664</v>
      </c>
      <c r="I24">
        <v>1.33</v>
      </c>
      <c r="J24" s="6">
        <v>46035.605555555558</v>
      </c>
      <c r="K24" s="7">
        <f t="shared" si="0"/>
        <v>4.8611111116770189E-2</v>
      </c>
      <c r="L24">
        <f t="shared" si="1"/>
        <v>1</v>
      </c>
      <c r="M24">
        <f t="shared" si="2"/>
        <v>10</v>
      </c>
      <c r="N24">
        <f t="shared" si="3"/>
        <v>70</v>
      </c>
    </row>
    <row r="25" spans="2:14" x14ac:dyDescent="0.25">
      <c r="B25" t="s">
        <v>36</v>
      </c>
      <c r="C25" s="6">
        <v>46035.652777777781</v>
      </c>
      <c r="D25" s="6">
        <v>46035.659722222219</v>
      </c>
      <c r="E25" s="6">
        <v>46035.680555555555</v>
      </c>
      <c r="F25" s="6">
        <v>46035.6875</v>
      </c>
      <c r="G25" s="6">
        <v>46035.694444444445</v>
      </c>
      <c r="H25" s="6">
        <v>46035.695833333331</v>
      </c>
      <c r="I25">
        <v>1.03</v>
      </c>
      <c r="J25" s="6">
        <v>46035.697916666664</v>
      </c>
      <c r="K25" s="7">
        <f t="shared" si="0"/>
        <v>0.59930555555911269</v>
      </c>
      <c r="L25">
        <f t="shared" si="1"/>
        <v>14</v>
      </c>
      <c r="M25">
        <f t="shared" si="2"/>
        <v>23</v>
      </c>
      <c r="N25">
        <f t="shared" si="3"/>
        <v>863</v>
      </c>
    </row>
    <row r="26" spans="2:14" x14ac:dyDescent="0.25">
      <c r="B26" t="s">
        <v>36</v>
      </c>
      <c r="C26" s="6">
        <v>46036.295138888891</v>
      </c>
      <c r="D26" s="6">
        <v>46036.302083333336</v>
      </c>
      <c r="E26" s="6">
        <v>46036.340277777781</v>
      </c>
      <c r="F26" s="6">
        <v>46036.4</v>
      </c>
      <c r="G26" s="6">
        <v>46036.402777777781</v>
      </c>
      <c r="H26" s="6">
        <v>46036.409722222219</v>
      </c>
      <c r="I26">
        <v>2.75</v>
      </c>
      <c r="J26" s="6">
        <v>46036.416666666664</v>
      </c>
      <c r="K26" s="7">
        <f t="shared" si="0"/>
        <v>0.88194444444525288</v>
      </c>
      <c r="L26">
        <f t="shared" si="1"/>
        <v>21</v>
      </c>
      <c r="M26">
        <f t="shared" si="2"/>
        <v>10</v>
      </c>
      <c r="N26">
        <f t="shared" si="3"/>
        <v>1270</v>
      </c>
    </row>
    <row r="27" spans="2:14" x14ac:dyDescent="0.25">
      <c r="B27" t="s">
        <v>36</v>
      </c>
      <c r="C27" s="6">
        <v>46037.291666666664</v>
      </c>
      <c r="D27" s="6">
        <v>46037.354166666664</v>
      </c>
      <c r="E27" s="6">
        <v>46037.375</v>
      </c>
      <c r="F27" s="6">
        <v>46037.46875</v>
      </c>
      <c r="G27" s="6">
        <v>46037.472222222219</v>
      </c>
      <c r="H27" s="6">
        <v>46037.482638888891</v>
      </c>
      <c r="I27">
        <v>4.58</v>
      </c>
      <c r="J27" s="6">
        <v>46037.489583333336</v>
      </c>
      <c r="K27" s="7">
        <f t="shared" si="0"/>
        <v>6.9444444445252884E-2</v>
      </c>
      <c r="L27">
        <f t="shared" si="1"/>
        <v>1</v>
      </c>
      <c r="M27">
        <f t="shared" si="2"/>
        <v>40</v>
      </c>
      <c r="N27">
        <f t="shared" si="3"/>
        <v>100</v>
      </c>
    </row>
    <row r="28" spans="2:14" x14ac:dyDescent="0.25">
      <c r="B28" t="s">
        <v>36</v>
      </c>
      <c r="C28" s="6">
        <v>46037.552083333336</v>
      </c>
      <c r="D28" s="6">
        <v>46037.555555555555</v>
      </c>
      <c r="E28" s="6">
        <v>46037.597222222219</v>
      </c>
      <c r="F28" s="6">
        <v>46037.736111111109</v>
      </c>
      <c r="G28" s="6">
        <v>46037.739583333336</v>
      </c>
      <c r="H28" s="6">
        <v>46037.756944444445</v>
      </c>
      <c r="I28">
        <v>4.92</v>
      </c>
      <c r="J28" s="6">
        <v>46037.763888888891</v>
      </c>
      <c r="K28" s="7">
        <f t="shared" si="0"/>
        <v>0.57638888889050577</v>
      </c>
      <c r="L28">
        <f t="shared" si="1"/>
        <v>13</v>
      </c>
      <c r="M28">
        <f t="shared" si="2"/>
        <v>50</v>
      </c>
      <c r="N28">
        <f t="shared" si="3"/>
        <v>830</v>
      </c>
    </row>
    <row r="29" spans="2:14" x14ac:dyDescent="0.25">
      <c r="B29" t="s">
        <v>36</v>
      </c>
      <c r="C29" s="6">
        <v>46038.333333333336</v>
      </c>
      <c r="D29" s="6">
        <v>46038.340277777781</v>
      </c>
      <c r="E29" s="6">
        <v>46038.416666666664</v>
      </c>
      <c r="F29" s="6">
        <v>46038.459027777775</v>
      </c>
      <c r="G29" s="6">
        <v>46038.5</v>
      </c>
      <c r="H29" s="6">
        <v>46038.534722222219</v>
      </c>
      <c r="I29">
        <v>4.83</v>
      </c>
      <c r="J29" s="6">
        <v>46038.541666666664</v>
      </c>
      <c r="K29" s="7">
        <f t="shared" si="0"/>
        <v>2.7569444444452529</v>
      </c>
      <c r="L29">
        <f t="shared" si="1"/>
        <v>18</v>
      </c>
      <c r="M29">
        <f t="shared" si="2"/>
        <v>10</v>
      </c>
      <c r="N29">
        <f t="shared" si="3"/>
        <v>1090</v>
      </c>
    </row>
    <row r="30" spans="2:14" hidden="1" x14ac:dyDescent="0.25">
      <c r="B30" t="s">
        <v>36</v>
      </c>
      <c r="C30" s="6">
        <v>46041.291666666664</v>
      </c>
      <c r="D30" s="6">
        <v>46041.354166666664</v>
      </c>
      <c r="E30" s="6">
        <v>46041.381944444445</v>
      </c>
      <c r="F30" s="6">
        <v>46041.5</v>
      </c>
      <c r="G30" s="6">
        <v>46041.506944444445</v>
      </c>
      <c r="H30" s="6">
        <v>46041.520833333336</v>
      </c>
      <c r="I30">
        <v>5.5</v>
      </c>
      <c r="J30" s="6">
        <v>46041.527777777781</v>
      </c>
      <c r="K30" s="7">
        <f t="shared" si="0"/>
        <v>-2.0833333335758653E-2</v>
      </c>
      <c r="L30" t="e">
        <f t="shared" si="1"/>
        <v>#NUM!</v>
      </c>
      <c r="M30" t="e">
        <f t="shared" si="2"/>
        <v>#NUM!</v>
      </c>
      <c r="N30" t="e">
        <f t="shared" si="3"/>
        <v>#NUM!</v>
      </c>
    </row>
    <row r="31" spans="2:14" x14ac:dyDescent="0.25">
      <c r="B31" t="s">
        <v>36</v>
      </c>
      <c r="C31" s="6">
        <v>46041.5</v>
      </c>
      <c r="D31" s="6">
        <v>46041.506944444445</v>
      </c>
      <c r="E31" s="6">
        <v>46041.520833333336</v>
      </c>
      <c r="F31" s="6">
        <v>46041.558333333334</v>
      </c>
      <c r="G31" s="6">
        <v>46041.56527777778</v>
      </c>
      <c r="H31" s="6">
        <v>46041.569444444445</v>
      </c>
      <c r="I31">
        <v>1.67</v>
      </c>
      <c r="J31" s="6">
        <v>46041.576388888891</v>
      </c>
      <c r="K31" s="7">
        <f t="shared" si="0"/>
        <v>1.0416666664241347E-2</v>
      </c>
      <c r="L31">
        <f t="shared" si="1"/>
        <v>0</v>
      </c>
      <c r="M31">
        <f t="shared" si="2"/>
        <v>15</v>
      </c>
      <c r="N31">
        <f t="shared" si="3"/>
        <v>15</v>
      </c>
    </row>
    <row r="32" spans="2:14" hidden="1" x14ac:dyDescent="0.25">
      <c r="B32" t="s">
        <v>36</v>
      </c>
      <c r="C32" s="6">
        <v>46041.579861111109</v>
      </c>
      <c r="D32" s="6">
        <v>46041.586805555555</v>
      </c>
      <c r="E32" s="6">
        <v>46041.6875</v>
      </c>
      <c r="F32" s="6">
        <v>46041.847222222219</v>
      </c>
      <c r="G32" s="6">
        <v>46041.854166666664</v>
      </c>
      <c r="H32" s="6">
        <v>46041.859027777777</v>
      </c>
      <c r="I32">
        <v>6.7</v>
      </c>
      <c r="J32" s="6">
        <v>46041.865972222222</v>
      </c>
      <c r="K32" s="7">
        <f t="shared" si="0"/>
        <v>-0.27916666666715173</v>
      </c>
      <c r="L32" t="e">
        <f t="shared" si="1"/>
        <v>#NUM!</v>
      </c>
      <c r="M32" t="e">
        <f t="shared" si="2"/>
        <v>#NUM!</v>
      </c>
      <c r="N32" t="e">
        <f t="shared" si="3"/>
        <v>#NUM!</v>
      </c>
    </row>
    <row r="33" spans="2:14" x14ac:dyDescent="0.25">
      <c r="B33" t="s">
        <v>36</v>
      </c>
      <c r="C33" s="6">
        <v>46041.579861111109</v>
      </c>
      <c r="D33" s="6">
        <v>46041.586805555555</v>
      </c>
      <c r="E33" s="6">
        <v>46041.6875</v>
      </c>
      <c r="F33" s="6">
        <v>46041.847222222219</v>
      </c>
      <c r="G33" s="6">
        <v>46041.854166666664</v>
      </c>
      <c r="H33" s="6">
        <v>46041.859027777777</v>
      </c>
      <c r="I33">
        <v>6.7</v>
      </c>
      <c r="J33" s="6">
        <v>46041.865972222222</v>
      </c>
      <c r="K33" s="7">
        <f t="shared" si="0"/>
        <v>0.83541666666860692</v>
      </c>
      <c r="L33">
        <f t="shared" si="1"/>
        <v>20</v>
      </c>
      <c r="M33">
        <f t="shared" si="2"/>
        <v>3</v>
      </c>
      <c r="N33">
        <f t="shared" si="3"/>
        <v>1203</v>
      </c>
    </row>
    <row r="34" spans="2:14" x14ac:dyDescent="0.25">
      <c r="B34" t="s">
        <v>36</v>
      </c>
      <c r="C34" s="6">
        <v>46042.694444444445</v>
      </c>
      <c r="D34" s="6">
        <v>46042.706250000003</v>
      </c>
      <c r="E34" s="6">
        <v>46042.765277777777</v>
      </c>
      <c r="F34" s="6">
        <v>46042.856249999997</v>
      </c>
      <c r="G34" s="6">
        <v>46042.864583333336</v>
      </c>
      <c r="H34" s="6">
        <v>46042.875</v>
      </c>
      <c r="I34">
        <v>4.33</v>
      </c>
      <c r="J34" s="6">
        <v>46042.881944444445</v>
      </c>
      <c r="K34" s="7">
        <f t="shared" si="0"/>
        <v>9.7222222218988463E-2</v>
      </c>
      <c r="L34">
        <f t="shared" si="1"/>
        <v>2</v>
      </c>
      <c r="M34">
        <f t="shared" si="2"/>
        <v>20</v>
      </c>
      <c r="N34">
        <f t="shared" si="3"/>
        <v>140</v>
      </c>
    </row>
    <row r="35" spans="2:14" x14ac:dyDescent="0.25">
      <c r="B35" t="s">
        <v>36</v>
      </c>
      <c r="C35" s="6">
        <v>46042.972222222219</v>
      </c>
      <c r="D35" s="6">
        <v>46042.979166666664</v>
      </c>
      <c r="E35" s="6">
        <v>46042.989583333336</v>
      </c>
      <c r="F35" s="6">
        <v>46043.0625</v>
      </c>
      <c r="G35" s="6">
        <v>46043.090277777781</v>
      </c>
      <c r="H35" s="6">
        <v>46043.416666666664</v>
      </c>
      <c r="I35">
        <v>10.67</v>
      </c>
      <c r="J35" s="6">
        <v>46043.423611111109</v>
      </c>
      <c r="K35" s="7">
        <f t="shared" si="0"/>
        <v>3.125E-2</v>
      </c>
      <c r="L35">
        <f t="shared" si="1"/>
        <v>0</v>
      </c>
      <c r="M35">
        <f t="shared" si="2"/>
        <v>45</v>
      </c>
      <c r="N35">
        <f t="shared" si="3"/>
        <v>45</v>
      </c>
    </row>
    <row r="36" spans="2:14" x14ac:dyDescent="0.25">
      <c r="B36" t="s">
        <v>36</v>
      </c>
      <c r="C36" s="6">
        <v>46043.447916666664</v>
      </c>
      <c r="D36" s="6">
        <v>46043.454861111109</v>
      </c>
      <c r="E36" s="6">
        <v>46043.46875</v>
      </c>
      <c r="F36" s="6">
        <v>46043.534722222219</v>
      </c>
      <c r="G36" s="6">
        <v>46043.538194444445</v>
      </c>
      <c r="H36" s="6">
        <v>46043.545138888891</v>
      </c>
      <c r="I36">
        <v>2.33</v>
      </c>
      <c r="J36" s="6">
        <v>46043.552083333336</v>
      </c>
      <c r="K36" s="7">
        <f t="shared" si="0"/>
        <v>5.5555555554747116E-2</v>
      </c>
      <c r="L36">
        <f t="shared" si="1"/>
        <v>1</v>
      </c>
      <c r="M36">
        <f t="shared" si="2"/>
        <v>20</v>
      </c>
      <c r="N36">
        <f t="shared" si="3"/>
        <v>80</v>
      </c>
    </row>
    <row r="37" spans="2:14" x14ac:dyDescent="0.25">
      <c r="B37" t="s">
        <v>36</v>
      </c>
      <c r="C37" s="6">
        <v>46043.600694444445</v>
      </c>
      <c r="D37" s="6">
        <v>46043.604166666664</v>
      </c>
      <c r="E37" s="6">
        <v>46043.638888888891</v>
      </c>
      <c r="F37" s="6">
        <v>46043.71875</v>
      </c>
      <c r="G37" s="6">
        <v>46043.725694444445</v>
      </c>
      <c r="H37" s="6">
        <v>46043.729166666664</v>
      </c>
      <c r="I37">
        <v>3.08</v>
      </c>
      <c r="J37" s="6">
        <v>46043.736111111109</v>
      </c>
      <c r="K37" s="7">
        <f t="shared" si="0"/>
        <v>0.88888888889050577</v>
      </c>
      <c r="L37">
        <f t="shared" si="1"/>
        <v>21</v>
      </c>
      <c r="M37">
        <f t="shared" si="2"/>
        <v>20</v>
      </c>
      <c r="N37">
        <f t="shared" si="3"/>
        <v>1280</v>
      </c>
    </row>
    <row r="38" spans="2:14" x14ac:dyDescent="0.25">
      <c r="B38" t="s">
        <v>36</v>
      </c>
      <c r="C38" s="6">
        <v>46044.618055555555</v>
      </c>
      <c r="D38" s="6">
        <v>46044.621527777781</v>
      </c>
      <c r="E38" s="6">
        <v>46044.652777777781</v>
      </c>
      <c r="F38" s="6">
        <v>46044.708333333336</v>
      </c>
      <c r="G38" s="6">
        <v>46044.71875</v>
      </c>
      <c r="H38" s="6">
        <v>46044.756944444445</v>
      </c>
      <c r="I38">
        <v>3.33</v>
      </c>
      <c r="J38" s="6">
        <v>46044.760416666664</v>
      </c>
      <c r="K38" s="7">
        <f t="shared" si="0"/>
        <v>0.53472222221898846</v>
      </c>
      <c r="L38">
        <f t="shared" si="1"/>
        <v>12</v>
      </c>
      <c r="M38">
        <f t="shared" si="2"/>
        <v>50</v>
      </c>
      <c r="N38">
        <f t="shared" si="3"/>
        <v>770</v>
      </c>
    </row>
    <row r="39" spans="2:14" hidden="1" x14ac:dyDescent="0.25">
      <c r="B39" t="s">
        <v>36</v>
      </c>
      <c r="C39" s="6">
        <v>46045.291666666664</v>
      </c>
      <c r="D39" s="6">
        <v>46045.326388888891</v>
      </c>
      <c r="E39" s="6">
        <v>46045.356944444444</v>
      </c>
      <c r="F39" s="6">
        <v>46045.440972222219</v>
      </c>
      <c r="G39" s="6">
        <v>46045.447916666664</v>
      </c>
      <c r="H39" s="6">
        <v>46045.451388888891</v>
      </c>
      <c r="I39">
        <v>3.83</v>
      </c>
      <c r="J39" s="6">
        <v>46045.458333333336</v>
      </c>
      <c r="K39" s="7">
        <f t="shared" si="0"/>
        <v>-7.6388888890505768E-2</v>
      </c>
      <c r="L39" t="e">
        <f t="shared" si="1"/>
        <v>#NUM!</v>
      </c>
      <c r="M39" t="e">
        <f t="shared" si="2"/>
        <v>#NUM!</v>
      </c>
      <c r="N39" t="e">
        <f t="shared" si="3"/>
        <v>#NUM!</v>
      </c>
    </row>
    <row r="40" spans="2:14" hidden="1" x14ac:dyDescent="0.25">
      <c r="B40" t="s">
        <v>36</v>
      </c>
      <c r="C40" s="6">
        <v>46045.375</v>
      </c>
      <c r="D40" s="6">
        <v>46045.381944444445</v>
      </c>
      <c r="E40" s="6">
        <v>46045.385416666664</v>
      </c>
      <c r="F40" s="6">
        <v>46045.520833333336</v>
      </c>
      <c r="G40" s="6">
        <v>46045.527777777781</v>
      </c>
      <c r="H40" s="6">
        <v>46045.541666666664</v>
      </c>
      <c r="I40">
        <v>4</v>
      </c>
      <c r="J40" s="6">
        <v>46045.548611111109</v>
      </c>
      <c r="K40" s="7">
        <f t="shared" si="0"/>
        <v>-4.8611111109494232E-2</v>
      </c>
      <c r="L40" t="e">
        <f t="shared" si="1"/>
        <v>#NUM!</v>
      </c>
      <c r="M40" t="e">
        <f t="shared" si="2"/>
        <v>#NUM!</v>
      </c>
      <c r="N40" t="e">
        <f t="shared" si="3"/>
        <v>#NUM!</v>
      </c>
    </row>
    <row r="41" spans="2:14" x14ac:dyDescent="0.25">
      <c r="B41" t="s">
        <v>36</v>
      </c>
      <c r="C41" s="6">
        <v>46045.493055555555</v>
      </c>
      <c r="D41" s="6">
        <v>46045.524305555555</v>
      </c>
      <c r="E41" s="6">
        <v>46045.548611111109</v>
      </c>
      <c r="F41" s="6">
        <v>46045.621527777781</v>
      </c>
      <c r="G41" s="6">
        <v>46045.628472222219</v>
      </c>
      <c r="H41" s="6">
        <v>46045.645833333336</v>
      </c>
      <c r="I41">
        <v>3.67</v>
      </c>
      <c r="J41" s="6">
        <v>46045.652777777781</v>
      </c>
      <c r="K41" s="7">
        <f t="shared" si="0"/>
        <v>9.375E-2</v>
      </c>
      <c r="L41">
        <f t="shared" si="1"/>
        <v>2</v>
      </c>
      <c r="M41">
        <f t="shared" si="2"/>
        <v>15</v>
      </c>
      <c r="N41">
        <f t="shared" si="3"/>
        <v>135</v>
      </c>
    </row>
    <row r="42" spans="2:14" x14ac:dyDescent="0.25">
      <c r="B42" t="s">
        <v>36</v>
      </c>
      <c r="C42" s="6">
        <v>46045.739583333336</v>
      </c>
      <c r="D42" s="6">
        <v>46045.770833333336</v>
      </c>
      <c r="E42" s="6">
        <v>46045.777777777781</v>
      </c>
      <c r="F42" s="6">
        <v>46045.805555555555</v>
      </c>
      <c r="G42" s="6">
        <v>46045.8125</v>
      </c>
      <c r="H42" s="6">
        <v>46045.833333333336</v>
      </c>
      <c r="I42">
        <v>2.25</v>
      </c>
      <c r="J42" s="6">
        <v>46045.840277777781</v>
      </c>
      <c r="K42" s="7">
        <f t="shared" si="0"/>
        <v>0.87152777777373558</v>
      </c>
      <c r="L42">
        <f t="shared" si="1"/>
        <v>20</v>
      </c>
      <c r="M42">
        <f t="shared" si="2"/>
        <v>55</v>
      </c>
      <c r="N42">
        <f t="shared" si="3"/>
        <v>1255</v>
      </c>
    </row>
    <row r="43" spans="2:14" x14ac:dyDescent="0.25">
      <c r="B43" t="s">
        <v>36</v>
      </c>
      <c r="C43" s="6">
        <v>46046.704861111109</v>
      </c>
      <c r="D43" s="6">
        <v>46046.711805555555</v>
      </c>
      <c r="E43" s="6">
        <v>46046.715277777781</v>
      </c>
      <c r="F43" s="6">
        <v>46046.719444444447</v>
      </c>
      <c r="G43" s="6">
        <v>46046.722222222219</v>
      </c>
      <c r="H43" s="6">
        <v>46046.725694444445</v>
      </c>
      <c r="I43">
        <v>0.5</v>
      </c>
      <c r="J43" s="6">
        <v>46046.727777777778</v>
      </c>
      <c r="K43" s="7">
        <f t="shared" si="0"/>
        <v>1.5729166666642413</v>
      </c>
      <c r="L43">
        <f t="shared" si="1"/>
        <v>13</v>
      </c>
      <c r="M43">
        <f t="shared" si="2"/>
        <v>45</v>
      </c>
      <c r="N43">
        <f t="shared" si="3"/>
        <v>825</v>
      </c>
    </row>
    <row r="44" spans="2:14" x14ac:dyDescent="0.25">
      <c r="B44" t="s">
        <v>36</v>
      </c>
      <c r="C44" s="6">
        <v>46048.298611111109</v>
      </c>
      <c r="D44" s="6">
        <v>46048.340277777781</v>
      </c>
      <c r="E44" s="6">
        <v>46048.368055555555</v>
      </c>
      <c r="F44" s="6">
        <v>46048.375</v>
      </c>
      <c r="G44" s="6">
        <v>46048.381944444445</v>
      </c>
      <c r="H44" s="6">
        <v>46048.409722222219</v>
      </c>
      <c r="I44">
        <v>2.67</v>
      </c>
      <c r="J44" s="6">
        <v>46048.416666666664</v>
      </c>
      <c r="K44" s="7">
        <f t="shared" si="0"/>
        <v>0.88194444444525288</v>
      </c>
      <c r="L44">
        <f t="shared" si="1"/>
        <v>21</v>
      </c>
      <c r="M44">
        <f t="shared" si="2"/>
        <v>10</v>
      </c>
      <c r="N44">
        <f t="shared" si="3"/>
        <v>1270</v>
      </c>
    </row>
    <row r="45" spans="2:14" x14ac:dyDescent="0.25">
      <c r="B45" t="s">
        <v>36</v>
      </c>
      <c r="C45" s="6">
        <v>46049.291666666664</v>
      </c>
      <c r="D45" s="6">
        <v>46049.319444444445</v>
      </c>
      <c r="E45" s="6">
        <v>46049.34375</v>
      </c>
      <c r="F45" s="6">
        <v>46049.46875</v>
      </c>
      <c r="G45" s="6">
        <v>46049.475694444445</v>
      </c>
      <c r="H45" s="6">
        <v>46049.486111111109</v>
      </c>
      <c r="I45">
        <v>4.67</v>
      </c>
      <c r="J45" s="6">
        <v>46049.493055555555</v>
      </c>
      <c r="K45" s="7">
        <f t="shared" si="0"/>
        <v>0.17361111110949423</v>
      </c>
      <c r="L45">
        <f t="shared" si="1"/>
        <v>4</v>
      </c>
      <c r="M45">
        <f t="shared" si="2"/>
        <v>10</v>
      </c>
      <c r="N45">
        <f t="shared" si="3"/>
        <v>250</v>
      </c>
    </row>
    <row r="46" spans="2:14" x14ac:dyDescent="0.25">
      <c r="B46" t="s">
        <v>36</v>
      </c>
      <c r="C46" s="6">
        <v>46049.659722222219</v>
      </c>
      <c r="D46" s="6">
        <v>46049.670138888891</v>
      </c>
      <c r="E46" s="6">
        <v>46049.680555555555</v>
      </c>
      <c r="F46" s="6">
        <v>46049.740277777775</v>
      </c>
      <c r="G46" s="6">
        <v>46049.74722222222</v>
      </c>
      <c r="H46" s="6">
        <v>46049.774305555555</v>
      </c>
      <c r="I46">
        <v>2.75</v>
      </c>
      <c r="J46" s="6">
        <v>46049.777777777781</v>
      </c>
      <c r="K46" s="7">
        <f t="shared" si="0"/>
        <v>0.90277777778101154</v>
      </c>
      <c r="L46">
        <f t="shared" si="1"/>
        <v>21</v>
      </c>
      <c r="M46">
        <f t="shared" si="2"/>
        <v>40</v>
      </c>
      <c r="N46">
        <f t="shared" si="3"/>
        <v>1300</v>
      </c>
    </row>
    <row r="47" spans="2:14" hidden="1" x14ac:dyDescent="0.25">
      <c r="B47" t="s">
        <v>36</v>
      </c>
      <c r="C47" s="6">
        <v>46050.677083333336</v>
      </c>
      <c r="D47" s="6">
        <v>46050.694444444445</v>
      </c>
      <c r="E47" s="6">
        <v>46050.708333333336</v>
      </c>
      <c r="F47" s="6">
        <v>46050.772222222222</v>
      </c>
      <c r="G47" s="6">
        <v>46050.779166666667</v>
      </c>
      <c r="H47" s="6">
        <v>46050.784722222219</v>
      </c>
      <c r="I47">
        <v>2.58</v>
      </c>
      <c r="J47" s="6">
        <v>46050.788194444445</v>
      </c>
      <c r="K47" s="7">
        <f t="shared" si="0"/>
        <v>-6.25E-2</v>
      </c>
      <c r="L47" t="e">
        <f t="shared" si="1"/>
        <v>#NUM!</v>
      </c>
      <c r="M47" t="e">
        <f t="shared" si="2"/>
        <v>#NUM!</v>
      </c>
      <c r="N47" t="e">
        <f t="shared" si="3"/>
        <v>#NUM!</v>
      </c>
    </row>
    <row r="48" spans="2:14" x14ac:dyDescent="0.25">
      <c r="B48" t="s">
        <v>36</v>
      </c>
      <c r="C48" s="6">
        <v>46050.722222222219</v>
      </c>
      <c r="D48" s="6">
        <v>46050.732638888891</v>
      </c>
      <c r="E48" s="6">
        <v>46050.75</v>
      </c>
      <c r="F48" s="6">
        <v>46050.770833333336</v>
      </c>
      <c r="G48" s="6">
        <v>46050.774305555555</v>
      </c>
      <c r="H48" s="6">
        <v>46050.78125</v>
      </c>
      <c r="I48">
        <v>1.42</v>
      </c>
      <c r="J48" s="6">
        <v>46050.781944444447</v>
      </c>
      <c r="K48" s="7">
        <f t="shared" si="0"/>
        <v>0.51041666666424135</v>
      </c>
      <c r="L48">
        <f t="shared" si="1"/>
        <v>12</v>
      </c>
      <c r="M48">
        <f t="shared" si="2"/>
        <v>15</v>
      </c>
      <c r="N48">
        <f t="shared" si="3"/>
        <v>735</v>
      </c>
    </row>
    <row r="49" spans="2:14" x14ac:dyDescent="0.25">
      <c r="B49" t="s">
        <v>36</v>
      </c>
      <c r="C49" s="6">
        <v>46051.291666666664</v>
      </c>
      <c r="D49" s="6">
        <v>46051.34375</v>
      </c>
      <c r="E49" s="6">
        <v>46051.368055555555</v>
      </c>
      <c r="F49" s="6">
        <v>46051.472222222219</v>
      </c>
      <c r="G49" s="6">
        <v>46051.479166666664</v>
      </c>
      <c r="H49" s="6">
        <v>46051.486111111109</v>
      </c>
      <c r="I49">
        <v>4.67</v>
      </c>
      <c r="J49" s="6">
        <v>46051.493055555555</v>
      </c>
      <c r="K49" s="7">
        <f t="shared" si="0"/>
        <v>4.5138888890505768E-2</v>
      </c>
      <c r="L49">
        <f t="shared" si="1"/>
        <v>1</v>
      </c>
      <c r="M49">
        <f t="shared" si="2"/>
        <v>5</v>
      </c>
      <c r="N49">
        <f t="shared" si="3"/>
        <v>65</v>
      </c>
    </row>
    <row r="50" spans="2:14" x14ac:dyDescent="0.25">
      <c r="B50" t="s">
        <v>36</v>
      </c>
      <c r="C50" s="6">
        <v>46051.53125</v>
      </c>
      <c r="D50" s="6">
        <v>46051.572916666664</v>
      </c>
      <c r="E50" s="6">
        <v>46051.597222222219</v>
      </c>
      <c r="F50" s="6">
        <v>46051.708333333336</v>
      </c>
      <c r="G50" s="6">
        <v>46051.715277777781</v>
      </c>
      <c r="H50" s="6">
        <v>46051.722222222219</v>
      </c>
      <c r="I50">
        <v>4.58</v>
      </c>
      <c r="J50" s="6">
        <v>46051.729166666664</v>
      </c>
      <c r="K50" s="7">
        <f t="shared" si="0"/>
        <v>0.56944444444525288</v>
      </c>
      <c r="L50">
        <f t="shared" si="1"/>
        <v>13</v>
      </c>
      <c r="M50">
        <f t="shared" si="2"/>
        <v>40</v>
      </c>
      <c r="N50">
        <f t="shared" si="3"/>
        <v>820</v>
      </c>
    </row>
    <row r="51" spans="2:14" x14ac:dyDescent="0.25">
      <c r="B51" t="s">
        <v>36</v>
      </c>
      <c r="C51" s="6">
        <v>46052.291666666664</v>
      </c>
      <c r="D51" s="6">
        <v>46052.298611111109</v>
      </c>
      <c r="E51" s="6">
        <v>46052.319444444445</v>
      </c>
      <c r="F51" s="6">
        <v>46052.320833333331</v>
      </c>
      <c r="G51" s="6">
        <v>46052.321527777778</v>
      </c>
      <c r="H51" s="6">
        <v>46052.354166666664</v>
      </c>
      <c r="I51">
        <v>1.5</v>
      </c>
      <c r="J51" s="6">
        <v>46052.357638888891</v>
      </c>
      <c r="K51" s="7">
        <f t="shared" si="0"/>
        <v>1.03125</v>
      </c>
      <c r="L51">
        <f t="shared" si="1"/>
        <v>0</v>
      </c>
      <c r="M51">
        <f t="shared" si="2"/>
        <v>45</v>
      </c>
      <c r="N51">
        <f t="shared" si="3"/>
        <v>45</v>
      </c>
    </row>
    <row r="52" spans="2:14" x14ac:dyDescent="0.25">
      <c r="B52" t="s">
        <v>36</v>
      </c>
      <c r="C52" s="6">
        <v>46053.385416666664</v>
      </c>
      <c r="D52" s="6">
        <v>46053.395833333336</v>
      </c>
      <c r="E52" s="6">
        <v>46053.402777777781</v>
      </c>
      <c r="F52" s="6">
        <v>46053.416666666664</v>
      </c>
      <c r="G52" s="6">
        <v>46053.423611111109</v>
      </c>
      <c r="H52" s="6">
        <v>46053.430555555555</v>
      </c>
      <c r="I52">
        <v>1.08</v>
      </c>
      <c r="J52" s="6">
        <v>46053.4375</v>
      </c>
      <c r="K52" s="7">
        <f t="shared" si="0"/>
        <v>0.14583333333575865</v>
      </c>
      <c r="L52">
        <f t="shared" si="1"/>
        <v>3</v>
      </c>
      <c r="M52">
        <f t="shared" si="2"/>
        <v>30</v>
      </c>
      <c r="N52">
        <f t="shared" si="3"/>
        <v>210</v>
      </c>
    </row>
    <row r="53" spans="2:14" x14ac:dyDescent="0.25">
      <c r="B53" t="s">
        <v>36</v>
      </c>
      <c r="C53" s="6">
        <v>46053.576388888891</v>
      </c>
      <c r="D53" s="6">
        <v>46053.586805555555</v>
      </c>
      <c r="E53" s="6">
        <v>46053.597222222219</v>
      </c>
      <c r="F53" s="6">
        <v>46053.78125</v>
      </c>
      <c r="G53" s="6">
        <v>46053.788194444445</v>
      </c>
      <c r="H53" s="6">
        <v>46053.833333333336</v>
      </c>
      <c r="I53">
        <v>6.17</v>
      </c>
      <c r="J53" s="6">
        <v>46053.840277777781</v>
      </c>
      <c r="K53" s="7">
        <f t="shared" si="0"/>
        <v>1.4548611111094942</v>
      </c>
      <c r="L53">
        <f t="shared" si="1"/>
        <v>10</v>
      </c>
      <c r="M53">
        <f t="shared" si="2"/>
        <v>55</v>
      </c>
      <c r="N53">
        <f t="shared" si="3"/>
        <v>655</v>
      </c>
    </row>
    <row r="54" spans="2:14" x14ac:dyDescent="0.25">
      <c r="B54" t="s">
        <v>36</v>
      </c>
      <c r="C54" s="6">
        <v>46055.288194444445</v>
      </c>
      <c r="D54" s="6">
        <v>46055.350694444445</v>
      </c>
      <c r="E54" s="6">
        <v>46055.357638888891</v>
      </c>
      <c r="F54" s="6">
        <v>46055.441666666666</v>
      </c>
      <c r="G54" s="6">
        <v>46055.444444444445</v>
      </c>
      <c r="H54" s="6">
        <v>46055.451388888891</v>
      </c>
      <c r="I54">
        <v>3.92</v>
      </c>
      <c r="J54" s="6">
        <v>46055.454861111109</v>
      </c>
      <c r="K54" s="7">
        <f t="shared" si="0"/>
        <v>3.125E-2</v>
      </c>
      <c r="L54">
        <f t="shared" si="1"/>
        <v>0</v>
      </c>
      <c r="M54">
        <f t="shared" si="2"/>
        <v>45</v>
      </c>
      <c r="N54">
        <f t="shared" si="3"/>
        <v>45</v>
      </c>
    </row>
    <row r="55" spans="2:14" hidden="1" x14ac:dyDescent="0.25">
      <c r="B55" t="s">
        <v>36</v>
      </c>
      <c r="C55" s="6">
        <v>46055.482638888891</v>
      </c>
      <c r="D55" s="6">
        <v>46055.489583333336</v>
      </c>
      <c r="E55" s="6">
        <v>46055.506944444445</v>
      </c>
      <c r="F55" s="6">
        <v>46055.606944444444</v>
      </c>
      <c r="G55" s="6">
        <v>46055.613888888889</v>
      </c>
      <c r="H55" s="6">
        <v>46055.618750000001</v>
      </c>
      <c r="I55">
        <v>3.27</v>
      </c>
      <c r="J55" s="6">
        <v>46055.625694444447</v>
      </c>
      <c r="K55" s="7">
        <f t="shared" si="0"/>
        <v>-7.6388888919609599E-3</v>
      </c>
      <c r="L55" t="e">
        <f t="shared" si="1"/>
        <v>#NUM!</v>
      </c>
      <c r="M55" t="e">
        <f t="shared" si="2"/>
        <v>#NUM!</v>
      </c>
      <c r="N55" t="e">
        <f t="shared" si="3"/>
        <v>#NUM!</v>
      </c>
    </row>
    <row r="56" spans="2:14" x14ac:dyDescent="0.25">
      <c r="B56" t="s">
        <v>36</v>
      </c>
      <c r="C56" s="6">
        <v>46055.611111111109</v>
      </c>
      <c r="D56" s="6">
        <v>46055.635416666664</v>
      </c>
      <c r="E56" s="6">
        <v>46055.65625</v>
      </c>
      <c r="F56" s="6">
        <v>46055.681250000001</v>
      </c>
      <c r="G56" s="6">
        <v>46055.688194444447</v>
      </c>
      <c r="H56" s="6">
        <v>46055.688888888886</v>
      </c>
      <c r="I56">
        <v>1.87</v>
      </c>
      <c r="J56" s="6">
        <v>46055.695833333331</v>
      </c>
      <c r="K56" s="7">
        <f t="shared" si="0"/>
        <v>0.60625000000436557</v>
      </c>
      <c r="L56">
        <f t="shared" si="1"/>
        <v>14</v>
      </c>
      <c r="M56">
        <f t="shared" si="2"/>
        <v>33</v>
      </c>
      <c r="N56">
        <f t="shared" si="3"/>
        <v>873</v>
      </c>
    </row>
    <row r="57" spans="2:14" x14ac:dyDescent="0.25">
      <c r="B57" t="s">
        <v>36</v>
      </c>
      <c r="C57" s="6">
        <v>46056.295138888891</v>
      </c>
      <c r="D57" s="6">
        <v>46056.315972222219</v>
      </c>
      <c r="E57" s="6">
        <v>46056.333333333336</v>
      </c>
      <c r="F57" s="6">
        <v>46056.375</v>
      </c>
      <c r="G57" s="6">
        <v>46056.381944444445</v>
      </c>
      <c r="H57" s="6">
        <v>46056.430555555555</v>
      </c>
      <c r="I57">
        <v>3.25</v>
      </c>
      <c r="J57" s="6">
        <v>46056.4375</v>
      </c>
      <c r="K57" s="7">
        <f t="shared" si="0"/>
        <v>2.7777777781011537E-2</v>
      </c>
      <c r="L57">
        <f t="shared" si="1"/>
        <v>0</v>
      </c>
      <c r="M57">
        <f t="shared" si="2"/>
        <v>40</v>
      </c>
      <c r="N57">
        <f t="shared" si="3"/>
        <v>40</v>
      </c>
    </row>
    <row r="58" spans="2:14" x14ac:dyDescent="0.25">
      <c r="B58" t="s">
        <v>36</v>
      </c>
      <c r="C58" s="6">
        <v>46056.458333333336</v>
      </c>
      <c r="D58" s="6">
        <v>46056.486111111109</v>
      </c>
      <c r="E58" s="6">
        <v>46056.524305555555</v>
      </c>
      <c r="F58" s="6">
        <v>46056.6875</v>
      </c>
      <c r="G58" s="6">
        <v>46056.729166666664</v>
      </c>
      <c r="H58" s="6">
        <v>46056.75</v>
      </c>
      <c r="I58">
        <v>7</v>
      </c>
      <c r="J58" s="6">
        <v>46056.753472222219</v>
      </c>
      <c r="K58" s="7">
        <f t="shared" si="0"/>
        <v>0.54583333332993789</v>
      </c>
      <c r="L58">
        <f t="shared" si="1"/>
        <v>13</v>
      </c>
      <c r="M58">
        <f t="shared" si="2"/>
        <v>6</v>
      </c>
      <c r="N58">
        <f t="shared" si="3"/>
        <v>786</v>
      </c>
    </row>
    <row r="59" spans="2:14" x14ac:dyDescent="0.25">
      <c r="B59" t="s">
        <v>36</v>
      </c>
      <c r="C59" s="6">
        <v>46057.29583333333</v>
      </c>
      <c r="D59" s="6">
        <v>46057.333333333336</v>
      </c>
      <c r="E59" s="6">
        <v>46057.361111111109</v>
      </c>
      <c r="F59" s="6">
        <v>46057.438194444447</v>
      </c>
      <c r="G59" s="6">
        <v>46057.440972222219</v>
      </c>
      <c r="H59" s="6">
        <v>46057.444444444445</v>
      </c>
      <c r="I59">
        <v>3.57</v>
      </c>
      <c r="J59" s="6">
        <v>46057.451388888891</v>
      </c>
      <c r="K59" s="7">
        <f t="shared" si="0"/>
        <v>0.12847222221898846</v>
      </c>
      <c r="L59">
        <f t="shared" si="1"/>
        <v>3</v>
      </c>
      <c r="M59">
        <f t="shared" si="2"/>
        <v>5</v>
      </c>
      <c r="N59">
        <f t="shared" si="3"/>
        <v>185</v>
      </c>
    </row>
    <row r="60" spans="2:14" x14ac:dyDescent="0.25">
      <c r="B60" t="s">
        <v>36</v>
      </c>
      <c r="C60" s="6">
        <v>46057.572916666664</v>
      </c>
      <c r="D60" s="6">
        <v>46057.701388888891</v>
      </c>
      <c r="E60" s="6">
        <v>46057.708333333336</v>
      </c>
      <c r="F60" s="6">
        <v>46057.756944444445</v>
      </c>
      <c r="G60" s="6">
        <v>46057.777777777781</v>
      </c>
      <c r="H60" s="6">
        <v>46057.784722222219</v>
      </c>
      <c r="I60">
        <v>5.08</v>
      </c>
      <c r="J60" s="6">
        <v>46057.791666666664</v>
      </c>
      <c r="K60" s="7">
        <f t="shared" si="0"/>
        <v>0.52777777778101154</v>
      </c>
      <c r="L60">
        <f t="shared" si="1"/>
        <v>12</v>
      </c>
      <c r="M60">
        <f t="shared" si="2"/>
        <v>40</v>
      </c>
      <c r="N60">
        <f t="shared" si="3"/>
        <v>760</v>
      </c>
    </row>
    <row r="61" spans="2:14" hidden="1" x14ac:dyDescent="0.25">
      <c r="B61" t="s">
        <v>36</v>
      </c>
      <c r="C61" s="6">
        <v>46058.3125</v>
      </c>
      <c r="D61" s="6">
        <v>46058.322916666664</v>
      </c>
      <c r="E61" s="6">
        <v>46058.340277777781</v>
      </c>
      <c r="F61" s="6">
        <v>46058.423611111109</v>
      </c>
      <c r="G61" s="6">
        <v>46058.430555555555</v>
      </c>
      <c r="H61" s="6">
        <v>46058.434027777781</v>
      </c>
      <c r="I61">
        <v>2.92</v>
      </c>
      <c r="J61" s="6">
        <v>46058.440972222219</v>
      </c>
      <c r="K61" s="7">
        <f t="shared" si="0"/>
        <v>-0.11458333333575865</v>
      </c>
      <c r="L61" t="e">
        <f t="shared" si="1"/>
        <v>#NUM!</v>
      </c>
      <c r="M61" t="e">
        <f t="shared" si="2"/>
        <v>#NUM!</v>
      </c>
      <c r="N61" t="e">
        <f t="shared" si="3"/>
        <v>#NUM!</v>
      </c>
    </row>
    <row r="62" spans="2:14" x14ac:dyDescent="0.25">
      <c r="B62" t="s">
        <v>36</v>
      </c>
      <c r="C62" s="6">
        <v>46058.319444444445</v>
      </c>
      <c r="D62" s="6">
        <v>46058.322916666664</v>
      </c>
      <c r="E62" s="6">
        <v>46058.326388888891</v>
      </c>
      <c r="F62" s="6">
        <v>46058.357638888891</v>
      </c>
      <c r="G62" s="6">
        <v>46058.364583333336</v>
      </c>
      <c r="H62" s="6">
        <v>46058.368055555555</v>
      </c>
      <c r="I62">
        <v>1.17</v>
      </c>
      <c r="J62" s="6">
        <v>46058.371527777781</v>
      </c>
      <c r="K62" s="7">
        <f t="shared" si="0"/>
        <v>1.2500000004365575E-2</v>
      </c>
      <c r="L62">
        <f t="shared" si="1"/>
        <v>0</v>
      </c>
      <c r="M62">
        <f t="shared" si="2"/>
        <v>18</v>
      </c>
      <c r="N62">
        <f t="shared" si="3"/>
        <v>18</v>
      </c>
    </row>
    <row r="63" spans="2:14" x14ac:dyDescent="0.25">
      <c r="B63" t="s">
        <v>36</v>
      </c>
      <c r="C63" s="6">
        <v>46058.380555555559</v>
      </c>
      <c r="D63" s="6">
        <v>46058.385416666664</v>
      </c>
      <c r="E63" s="6">
        <v>46058.388888888891</v>
      </c>
      <c r="F63" s="6">
        <v>46058.395833333336</v>
      </c>
      <c r="G63" s="6">
        <v>46058.402777777781</v>
      </c>
      <c r="H63" s="6">
        <v>46058.404166666667</v>
      </c>
      <c r="I63">
        <v>0.56999999999999995</v>
      </c>
      <c r="J63" s="6">
        <v>46058.411111111112</v>
      </c>
      <c r="K63" s="7">
        <f t="shared" si="0"/>
        <v>5.4166666668606922E-2</v>
      </c>
      <c r="L63">
        <f t="shared" si="1"/>
        <v>1</v>
      </c>
      <c r="M63">
        <f t="shared" si="2"/>
        <v>18</v>
      </c>
      <c r="N63">
        <f t="shared" si="3"/>
        <v>78</v>
      </c>
    </row>
    <row r="64" spans="2:14" x14ac:dyDescent="0.25">
      <c r="B64" t="s">
        <v>36</v>
      </c>
      <c r="C64" s="6">
        <v>46058.458333333336</v>
      </c>
      <c r="D64" s="6">
        <v>46058.465277777781</v>
      </c>
      <c r="E64" s="6">
        <v>46058.472222222219</v>
      </c>
      <c r="F64" s="6">
        <v>46058.486111111109</v>
      </c>
      <c r="G64" s="6">
        <v>46058.493055555555</v>
      </c>
      <c r="H64" s="6">
        <v>46058.5</v>
      </c>
      <c r="I64">
        <v>1</v>
      </c>
      <c r="J64" s="6">
        <v>46058.506944444445</v>
      </c>
      <c r="K64" s="7">
        <f t="shared" si="0"/>
        <v>0.12152777778101154</v>
      </c>
      <c r="L64">
        <f t="shared" si="1"/>
        <v>2</v>
      </c>
      <c r="M64">
        <f t="shared" si="2"/>
        <v>55</v>
      </c>
      <c r="N64">
        <f t="shared" si="3"/>
        <v>175</v>
      </c>
    </row>
    <row r="65" spans="2:14" x14ac:dyDescent="0.25">
      <c r="B65" t="s">
        <v>36</v>
      </c>
      <c r="C65" s="6">
        <v>46058.621527777781</v>
      </c>
      <c r="D65" s="6">
        <v>46058.625</v>
      </c>
      <c r="E65" s="6">
        <v>46058.628472222219</v>
      </c>
      <c r="F65" s="6">
        <v>46058.635416666664</v>
      </c>
      <c r="G65" s="6">
        <v>46058.638888888891</v>
      </c>
      <c r="H65" s="6">
        <v>46058.645833333336</v>
      </c>
      <c r="I65">
        <v>0.57999999999999996</v>
      </c>
      <c r="J65" s="6">
        <v>46058.652777777781</v>
      </c>
      <c r="K65" s="7">
        <f t="shared" si="0"/>
        <v>0.64930555555474712</v>
      </c>
      <c r="L65">
        <f t="shared" si="1"/>
        <v>15</v>
      </c>
      <c r="M65">
        <f t="shared" si="2"/>
        <v>35</v>
      </c>
      <c r="N65">
        <f t="shared" si="3"/>
        <v>935</v>
      </c>
    </row>
    <row r="66" spans="2:14" x14ac:dyDescent="0.25">
      <c r="B66" t="s">
        <v>36</v>
      </c>
      <c r="C66" s="6">
        <v>46059.295138888891</v>
      </c>
      <c r="D66" s="6">
        <v>46059.319444444445</v>
      </c>
      <c r="E66" s="6">
        <v>46059.333333333336</v>
      </c>
      <c r="F66" s="6">
        <v>46059.456944444442</v>
      </c>
      <c r="G66" s="6">
        <v>46059.470138888886</v>
      </c>
      <c r="H66" s="6">
        <v>46059.475694444445</v>
      </c>
      <c r="I66">
        <v>4.33</v>
      </c>
      <c r="J66" s="6">
        <v>46059.482638888891</v>
      </c>
      <c r="K66" s="7">
        <f t="shared" si="0"/>
        <v>0.20972222222189885</v>
      </c>
      <c r="L66">
        <f t="shared" si="1"/>
        <v>5</v>
      </c>
      <c r="M66">
        <f t="shared" si="2"/>
        <v>2</v>
      </c>
      <c r="N66">
        <f t="shared" si="3"/>
        <v>302</v>
      </c>
    </row>
    <row r="67" spans="2:14" x14ac:dyDescent="0.25">
      <c r="B67" t="s">
        <v>36</v>
      </c>
      <c r="C67" s="6">
        <v>46059.685416666667</v>
      </c>
      <c r="D67" s="6">
        <v>46059.6875</v>
      </c>
      <c r="E67" s="6">
        <v>46059.697916666664</v>
      </c>
      <c r="F67" s="6">
        <v>46059.798611111109</v>
      </c>
      <c r="G67" s="6">
        <v>46059.805555555555</v>
      </c>
      <c r="H67" s="6">
        <v>46059.822916666664</v>
      </c>
      <c r="I67">
        <v>3.3</v>
      </c>
      <c r="J67" s="6">
        <v>46059.823611111111</v>
      </c>
      <c r="K67" s="7">
        <f t="shared" si="0"/>
        <v>0.57291666667151731</v>
      </c>
      <c r="L67">
        <f t="shared" si="1"/>
        <v>13</v>
      </c>
      <c r="M67">
        <f t="shared" si="2"/>
        <v>45</v>
      </c>
      <c r="N67">
        <f t="shared" si="3"/>
        <v>825</v>
      </c>
    </row>
    <row r="68" spans="2:14" x14ac:dyDescent="0.25">
      <c r="B68" t="s">
        <v>36</v>
      </c>
      <c r="C68" s="6">
        <v>46060.395833333336</v>
      </c>
      <c r="D68" s="6">
        <v>46060.399305555555</v>
      </c>
      <c r="E68" s="6">
        <v>46060.402777777781</v>
      </c>
      <c r="F68" s="6">
        <v>46060.413194444445</v>
      </c>
      <c r="G68" s="6">
        <v>46060.416666666664</v>
      </c>
      <c r="H68" s="6">
        <v>46060.430555555555</v>
      </c>
      <c r="I68">
        <v>0.83</v>
      </c>
      <c r="J68" s="6">
        <v>46060.4375</v>
      </c>
      <c r="K68" s="7">
        <f t="shared" ref="K68:K131" si="4">C69-H68</f>
        <v>7.6388888890505768E-2</v>
      </c>
      <c r="L68">
        <f t="shared" ref="L68:L131" si="5">HOUR(K68)</f>
        <v>1</v>
      </c>
      <c r="M68">
        <f t="shared" ref="M68:M131" si="6">MINUTE(K68)</f>
        <v>50</v>
      </c>
      <c r="N68">
        <f t="shared" ref="N68:N131" si="7">L68*60+M68</f>
        <v>110</v>
      </c>
    </row>
    <row r="69" spans="2:14" x14ac:dyDescent="0.25">
      <c r="B69" t="s">
        <v>36</v>
      </c>
      <c r="C69" s="6">
        <v>46060.506944444445</v>
      </c>
      <c r="D69" s="6">
        <v>46060.513888888891</v>
      </c>
      <c r="E69" s="6">
        <v>46060.545138888891</v>
      </c>
      <c r="F69" s="6">
        <v>46060.659722222219</v>
      </c>
      <c r="G69" s="6">
        <v>46060.666666666664</v>
      </c>
      <c r="H69" s="6">
        <v>46060.847222222219</v>
      </c>
      <c r="I69">
        <v>8.17</v>
      </c>
      <c r="J69" s="6">
        <v>46060.854166666664</v>
      </c>
      <c r="K69" s="7">
        <f t="shared" si="4"/>
        <v>0.5625</v>
      </c>
      <c r="L69">
        <f t="shared" si="5"/>
        <v>13</v>
      </c>
      <c r="M69">
        <f t="shared" si="6"/>
        <v>30</v>
      </c>
      <c r="N69">
        <f t="shared" si="7"/>
        <v>810</v>
      </c>
    </row>
    <row r="70" spans="2:14" x14ac:dyDescent="0.25">
      <c r="B70" t="s">
        <v>36</v>
      </c>
      <c r="C70" s="6">
        <v>46061.409722222219</v>
      </c>
      <c r="D70" s="6">
        <v>46061.416666666664</v>
      </c>
      <c r="E70" s="6">
        <v>46061.434027777781</v>
      </c>
      <c r="F70" s="6">
        <v>46061.458333333336</v>
      </c>
      <c r="G70" s="6">
        <v>46061.465277777781</v>
      </c>
      <c r="H70" s="6">
        <v>46061.470138888886</v>
      </c>
      <c r="I70">
        <v>1.45</v>
      </c>
      <c r="J70" s="6">
        <v>46061.477083333331</v>
      </c>
      <c r="K70" s="7">
        <f t="shared" si="4"/>
        <v>0.19305555555911269</v>
      </c>
      <c r="L70">
        <f t="shared" si="5"/>
        <v>4</v>
      </c>
      <c r="M70">
        <f t="shared" si="6"/>
        <v>38</v>
      </c>
      <c r="N70">
        <f t="shared" si="7"/>
        <v>278</v>
      </c>
    </row>
    <row r="71" spans="2:14" x14ac:dyDescent="0.25">
      <c r="B71" t="s">
        <v>36</v>
      </c>
      <c r="C71" s="6">
        <v>46061.663194444445</v>
      </c>
      <c r="D71" s="6">
        <v>46061.664583333331</v>
      </c>
      <c r="E71" s="6">
        <v>46061.666666666664</v>
      </c>
      <c r="F71" s="6">
        <v>46061.670138888891</v>
      </c>
      <c r="G71" s="6">
        <v>46061.677083333336</v>
      </c>
      <c r="H71" s="6">
        <v>46061.680555555555</v>
      </c>
      <c r="I71">
        <v>0.42</v>
      </c>
      <c r="J71" s="6">
        <v>46061.6875</v>
      </c>
      <c r="K71" s="7">
        <f t="shared" si="4"/>
        <v>0.42361111110949423</v>
      </c>
      <c r="L71">
        <f t="shared" si="5"/>
        <v>10</v>
      </c>
      <c r="M71">
        <f t="shared" si="6"/>
        <v>10</v>
      </c>
      <c r="N71">
        <f t="shared" si="7"/>
        <v>610</v>
      </c>
    </row>
    <row r="72" spans="2:14" x14ac:dyDescent="0.25">
      <c r="B72" t="s">
        <v>36</v>
      </c>
      <c r="C72" s="6">
        <v>46062.104166666664</v>
      </c>
      <c r="D72" s="6">
        <v>46062.111111111109</v>
      </c>
      <c r="E72" s="6">
        <v>46062.145833333336</v>
      </c>
      <c r="F72" s="6">
        <v>46062.197916666664</v>
      </c>
      <c r="G72" s="6">
        <v>46062.208333333336</v>
      </c>
      <c r="H72" s="6">
        <v>46062.673611111109</v>
      </c>
      <c r="I72">
        <v>13.67</v>
      </c>
      <c r="J72" s="6">
        <v>46062.680555555555</v>
      </c>
      <c r="K72" s="7">
        <f t="shared" si="4"/>
        <v>4.8611111109494232E-2</v>
      </c>
      <c r="L72">
        <f t="shared" si="5"/>
        <v>1</v>
      </c>
      <c r="M72">
        <f t="shared" si="6"/>
        <v>10</v>
      </c>
      <c r="N72">
        <f t="shared" si="7"/>
        <v>70</v>
      </c>
    </row>
    <row r="73" spans="2:14" x14ac:dyDescent="0.25">
      <c r="B73" t="s">
        <v>36</v>
      </c>
      <c r="C73" s="6">
        <v>46062.722222222219</v>
      </c>
      <c r="D73" s="6">
        <v>46062.725694444445</v>
      </c>
      <c r="E73" s="6">
        <v>46062.741666666669</v>
      </c>
      <c r="F73" s="6">
        <v>46062.777777777781</v>
      </c>
      <c r="G73" s="6">
        <v>46062.791666666664</v>
      </c>
      <c r="H73" s="6">
        <v>46062.833333333336</v>
      </c>
      <c r="I73">
        <v>2.67</v>
      </c>
      <c r="J73" s="6">
        <v>46062.84375</v>
      </c>
      <c r="K73" s="7">
        <f t="shared" si="4"/>
        <v>1.6875</v>
      </c>
      <c r="L73">
        <f t="shared" si="5"/>
        <v>16</v>
      </c>
      <c r="M73">
        <f t="shared" si="6"/>
        <v>30</v>
      </c>
      <c r="N73">
        <f t="shared" si="7"/>
        <v>990</v>
      </c>
    </row>
    <row r="74" spans="2:14" x14ac:dyDescent="0.25">
      <c r="B74" t="s">
        <v>36</v>
      </c>
      <c r="C74" s="6">
        <v>46064.520833333336</v>
      </c>
      <c r="D74" s="6">
        <v>46064.534722222219</v>
      </c>
      <c r="E74" s="6">
        <v>46064.541666666664</v>
      </c>
      <c r="F74" s="6">
        <v>46064.569444444445</v>
      </c>
      <c r="G74" s="6">
        <v>46064.576388888891</v>
      </c>
      <c r="H74" s="6">
        <v>46064.583333333336</v>
      </c>
      <c r="I74">
        <v>1.5</v>
      </c>
      <c r="J74" s="6">
        <v>46064.590277777781</v>
      </c>
      <c r="K74" s="7">
        <f t="shared" si="4"/>
        <v>3.125E-2</v>
      </c>
      <c r="L74">
        <f t="shared" si="5"/>
        <v>0</v>
      </c>
      <c r="M74">
        <f t="shared" si="6"/>
        <v>45</v>
      </c>
      <c r="N74">
        <f t="shared" si="7"/>
        <v>45</v>
      </c>
    </row>
    <row r="75" spans="2:14" x14ac:dyDescent="0.25">
      <c r="B75" t="s">
        <v>36</v>
      </c>
      <c r="C75" s="6">
        <v>46064.614583333336</v>
      </c>
      <c r="D75" s="6">
        <v>46064.628472222219</v>
      </c>
      <c r="E75" s="6">
        <v>46064.635416666664</v>
      </c>
      <c r="F75" s="6">
        <v>46064.659722222219</v>
      </c>
      <c r="G75" s="6">
        <v>46064.663194444445</v>
      </c>
      <c r="H75" s="6">
        <v>46064.666666666664</v>
      </c>
      <c r="I75">
        <v>1.25</v>
      </c>
      <c r="J75" s="6">
        <v>46064.673611111109</v>
      </c>
      <c r="K75" s="7">
        <f t="shared" si="4"/>
        <v>6.5972222226264421E-2</v>
      </c>
      <c r="L75">
        <f t="shared" si="5"/>
        <v>1</v>
      </c>
      <c r="M75">
        <f t="shared" si="6"/>
        <v>35</v>
      </c>
      <c r="N75">
        <f t="shared" si="7"/>
        <v>95</v>
      </c>
    </row>
    <row r="76" spans="2:14" x14ac:dyDescent="0.25">
      <c r="B76" t="s">
        <v>36</v>
      </c>
      <c r="C76" s="6">
        <v>46064.732638888891</v>
      </c>
      <c r="D76" s="6">
        <v>46064.739583333336</v>
      </c>
      <c r="E76" s="6">
        <v>46064.75</v>
      </c>
      <c r="F76" s="6">
        <v>46064.79791666667</v>
      </c>
      <c r="G76" s="6">
        <v>46064.804861111108</v>
      </c>
      <c r="H76" s="6">
        <v>46064.809027777781</v>
      </c>
      <c r="I76">
        <v>1.83</v>
      </c>
      <c r="J76" s="6">
        <v>46064.815972222219</v>
      </c>
      <c r="K76" s="7">
        <f t="shared" si="4"/>
        <v>0.48263888888322981</v>
      </c>
      <c r="L76">
        <f t="shared" si="5"/>
        <v>11</v>
      </c>
      <c r="M76">
        <f t="shared" si="6"/>
        <v>35</v>
      </c>
      <c r="N76">
        <f t="shared" si="7"/>
        <v>695</v>
      </c>
    </row>
    <row r="77" spans="2:14" hidden="1" x14ac:dyDescent="0.25">
      <c r="B77" t="s">
        <v>36</v>
      </c>
      <c r="C77" s="6">
        <v>46065.291666666664</v>
      </c>
      <c r="D77" s="6">
        <v>46065.333333333336</v>
      </c>
      <c r="E77" s="6">
        <v>46065.354166666664</v>
      </c>
      <c r="F77" s="6">
        <v>46065.4375</v>
      </c>
      <c r="G77" s="6">
        <v>46065.444444444445</v>
      </c>
      <c r="H77" s="6">
        <v>46065.451388888891</v>
      </c>
      <c r="I77">
        <v>3.83</v>
      </c>
      <c r="J77" s="6">
        <v>46065.458333333336</v>
      </c>
      <c r="K77" s="7">
        <f t="shared" si="4"/>
        <v>-0.14236111110949423</v>
      </c>
      <c r="L77" t="e">
        <f t="shared" si="5"/>
        <v>#NUM!</v>
      </c>
      <c r="M77" t="e">
        <f t="shared" si="6"/>
        <v>#NUM!</v>
      </c>
      <c r="N77" t="e">
        <f t="shared" si="7"/>
        <v>#NUM!</v>
      </c>
    </row>
    <row r="78" spans="2:14" x14ac:dyDescent="0.25">
      <c r="B78" t="s">
        <v>36</v>
      </c>
      <c r="C78" s="6">
        <v>46065.309027777781</v>
      </c>
      <c r="D78" s="6">
        <v>46065.315972222219</v>
      </c>
      <c r="E78" s="6">
        <v>46065.319444444445</v>
      </c>
      <c r="F78" s="6">
        <v>46065.333333333336</v>
      </c>
      <c r="G78" s="6">
        <v>46065.340277777781</v>
      </c>
      <c r="H78" s="6">
        <v>46065.341666666667</v>
      </c>
      <c r="I78">
        <v>0.78</v>
      </c>
      <c r="J78" s="6">
        <v>46065.348611111112</v>
      </c>
      <c r="K78" s="7">
        <f t="shared" si="4"/>
        <v>1.9444444442342501E-2</v>
      </c>
      <c r="L78">
        <f t="shared" si="5"/>
        <v>0</v>
      </c>
      <c r="M78">
        <f t="shared" si="6"/>
        <v>28</v>
      </c>
      <c r="N78">
        <f t="shared" si="7"/>
        <v>28</v>
      </c>
    </row>
    <row r="79" spans="2:14" x14ac:dyDescent="0.25">
      <c r="B79" t="s">
        <v>36</v>
      </c>
      <c r="C79" s="6">
        <v>46065.361111111109</v>
      </c>
      <c r="D79" s="6">
        <v>46065.368055555555</v>
      </c>
      <c r="E79" s="6">
        <v>46065.371527777781</v>
      </c>
      <c r="F79" s="6">
        <v>46065.402777777781</v>
      </c>
      <c r="G79" s="6">
        <v>46065.40625</v>
      </c>
      <c r="H79" s="6">
        <v>46065.409722222219</v>
      </c>
      <c r="I79">
        <v>1.17</v>
      </c>
      <c r="J79" s="6">
        <v>46065.413194444445</v>
      </c>
      <c r="K79" s="7">
        <f t="shared" si="4"/>
        <v>6.5972222226264421E-2</v>
      </c>
      <c r="L79">
        <f t="shared" si="5"/>
        <v>1</v>
      </c>
      <c r="M79">
        <f t="shared" si="6"/>
        <v>35</v>
      </c>
      <c r="N79">
        <f t="shared" si="7"/>
        <v>95</v>
      </c>
    </row>
    <row r="80" spans="2:14" x14ac:dyDescent="0.25">
      <c r="B80" t="s">
        <v>36</v>
      </c>
      <c r="C80" s="6">
        <v>46065.475694444445</v>
      </c>
      <c r="D80" s="6">
        <v>46065.5</v>
      </c>
      <c r="E80" s="6">
        <v>46065.506249999999</v>
      </c>
      <c r="F80" s="6">
        <v>46065.540972222225</v>
      </c>
      <c r="G80" s="6">
        <v>46065.541666666664</v>
      </c>
      <c r="H80" s="6">
        <v>46065.545138888891</v>
      </c>
      <c r="I80">
        <v>1.67</v>
      </c>
      <c r="J80" s="6">
        <v>46065.54583333333</v>
      </c>
      <c r="K80" s="7">
        <f t="shared" si="4"/>
        <v>0.82291666666424135</v>
      </c>
      <c r="L80">
        <f t="shared" si="5"/>
        <v>19</v>
      </c>
      <c r="M80">
        <f t="shared" si="6"/>
        <v>45</v>
      </c>
      <c r="N80">
        <f t="shared" si="7"/>
        <v>1185</v>
      </c>
    </row>
    <row r="81" spans="2:14" x14ac:dyDescent="0.25">
      <c r="B81" t="s">
        <v>36</v>
      </c>
      <c r="C81" s="6">
        <v>46066.368055555555</v>
      </c>
      <c r="D81" s="6">
        <v>46066.385416666664</v>
      </c>
      <c r="E81" s="6">
        <v>46066.392361111109</v>
      </c>
      <c r="F81" s="6">
        <v>46066.402777777781</v>
      </c>
      <c r="G81" s="6">
        <v>46066.409722222219</v>
      </c>
      <c r="H81" s="6">
        <v>46066.416666666664</v>
      </c>
      <c r="I81">
        <v>1.17</v>
      </c>
      <c r="J81" s="6">
        <v>46066.423611111109</v>
      </c>
      <c r="K81" s="7">
        <f t="shared" si="4"/>
        <v>0.9375</v>
      </c>
      <c r="L81">
        <f t="shared" si="5"/>
        <v>22</v>
      </c>
      <c r="M81">
        <f t="shared" si="6"/>
        <v>30</v>
      </c>
      <c r="N81">
        <f t="shared" si="7"/>
        <v>1350</v>
      </c>
    </row>
    <row r="82" spans="2:14" x14ac:dyDescent="0.25">
      <c r="B82" t="s">
        <v>36</v>
      </c>
      <c r="C82" s="6">
        <v>46067.354166666664</v>
      </c>
      <c r="D82" s="6">
        <v>46067.361111111109</v>
      </c>
      <c r="E82" s="6">
        <v>46067.375</v>
      </c>
      <c r="F82" s="6">
        <v>46067.409722222219</v>
      </c>
      <c r="G82" s="6">
        <v>46067.416666666664</v>
      </c>
      <c r="H82" s="6">
        <v>46067.427083333336</v>
      </c>
      <c r="I82">
        <v>1.75</v>
      </c>
      <c r="J82" s="6">
        <v>46067.434027777781</v>
      </c>
      <c r="K82" s="7">
        <f t="shared" si="4"/>
        <v>1.8611111111094942</v>
      </c>
      <c r="L82">
        <f t="shared" si="5"/>
        <v>20</v>
      </c>
      <c r="M82">
        <f t="shared" si="6"/>
        <v>40</v>
      </c>
      <c r="N82">
        <f t="shared" si="7"/>
        <v>1240</v>
      </c>
    </row>
    <row r="83" spans="2:14" hidden="1" x14ac:dyDescent="0.25">
      <c r="B83" t="s">
        <v>36</v>
      </c>
      <c r="C83" s="6">
        <v>46069.288194444445</v>
      </c>
      <c r="D83" s="6">
        <v>46069.319444444445</v>
      </c>
      <c r="E83" s="6">
        <v>46069.340277777781</v>
      </c>
      <c r="F83" s="6">
        <v>46069.451388888891</v>
      </c>
      <c r="G83" s="6">
        <v>46069.458333333336</v>
      </c>
      <c r="H83" s="6">
        <v>46069.465277777781</v>
      </c>
      <c r="I83">
        <v>4.25</v>
      </c>
      <c r="J83" s="6">
        <v>46069.472222222219</v>
      </c>
      <c r="K83" s="7">
        <f t="shared" si="4"/>
        <v>-0.17361111111677019</v>
      </c>
      <c r="L83" t="e">
        <f t="shared" si="5"/>
        <v>#NUM!</v>
      </c>
      <c r="M83" t="e">
        <f t="shared" si="6"/>
        <v>#NUM!</v>
      </c>
      <c r="N83" t="e">
        <f t="shared" si="7"/>
        <v>#NUM!</v>
      </c>
    </row>
    <row r="84" spans="2:14" x14ac:dyDescent="0.25">
      <c r="B84" t="s">
        <v>36</v>
      </c>
      <c r="C84" s="6">
        <v>46069.291666666664</v>
      </c>
      <c r="D84" s="6">
        <v>46069.326388888891</v>
      </c>
      <c r="E84" s="6">
        <v>46069.333333333336</v>
      </c>
      <c r="F84" s="6">
        <v>46069.361111111109</v>
      </c>
      <c r="G84" s="6">
        <v>46069.368055555555</v>
      </c>
      <c r="H84" s="6">
        <v>46069.370833333334</v>
      </c>
      <c r="I84">
        <v>1.9</v>
      </c>
      <c r="J84" s="6">
        <v>46069.37777777778</v>
      </c>
      <c r="K84" s="7">
        <f t="shared" si="4"/>
        <v>0.226388888884685</v>
      </c>
      <c r="L84">
        <f t="shared" si="5"/>
        <v>5</v>
      </c>
      <c r="M84">
        <f t="shared" si="6"/>
        <v>26</v>
      </c>
      <c r="N84">
        <f t="shared" si="7"/>
        <v>326</v>
      </c>
    </row>
    <row r="85" spans="2:14" x14ac:dyDescent="0.25">
      <c r="B85" t="s">
        <v>36</v>
      </c>
      <c r="C85" s="6">
        <v>46069.597222222219</v>
      </c>
      <c r="D85" s="6">
        <v>46069.625</v>
      </c>
      <c r="E85" s="6">
        <v>46069.666666666664</v>
      </c>
      <c r="F85" s="6">
        <v>46069.746527777781</v>
      </c>
      <c r="G85" s="6">
        <v>46069.770833333336</v>
      </c>
      <c r="H85" s="6">
        <v>46069.777777777781</v>
      </c>
      <c r="I85">
        <v>4.33</v>
      </c>
      <c r="J85" s="6">
        <v>46069.78125</v>
      </c>
      <c r="K85" s="7">
        <f t="shared" si="4"/>
        <v>0.54513888888322981</v>
      </c>
      <c r="L85">
        <f t="shared" si="5"/>
        <v>13</v>
      </c>
      <c r="M85">
        <f t="shared" si="6"/>
        <v>5</v>
      </c>
      <c r="N85">
        <f t="shared" si="7"/>
        <v>785</v>
      </c>
    </row>
    <row r="86" spans="2:14" hidden="1" x14ac:dyDescent="0.25">
      <c r="B86" t="s">
        <v>36</v>
      </c>
      <c r="C86" s="6">
        <v>46070.322916666664</v>
      </c>
      <c r="D86" s="6">
        <v>46070.329861111109</v>
      </c>
      <c r="E86" s="6">
        <v>46070.364583333336</v>
      </c>
      <c r="F86" s="6">
        <v>46070.444444444445</v>
      </c>
      <c r="G86" s="6">
        <v>46070.451388888891</v>
      </c>
      <c r="H86" s="6">
        <v>46070.454861111109</v>
      </c>
      <c r="I86">
        <v>3.17</v>
      </c>
      <c r="J86" s="6">
        <v>46070.455555555556</v>
      </c>
      <c r="K86" s="7">
        <f t="shared" si="4"/>
        <v>-0.11805555555474712</v>
      </c>
      <c r="L86" t="e">
        <f t="shared" si="5"/>
        <v>#NUM!</v>
      </c>
      <c r="M86" t="e">
        <f t="shared" si="6"/>
        <v>#NUM!</v>
      </c>
      <c r="N86" t="e">
        <f t="shared" si="7"/>
        <v>#NUM!</v>
      </c>
    </row>
    <row r="87" spans="2:14" x14ac:dyDescent="0.25">
      <c r="B87" t="s">
        <v>36</v>
      </c>
      <c r="C87" s="6">
        <v>46070.336805555555</v>
      </c>
      <c r="D87" s="6">
        <v>46070.350694444445</v>
      </c>
      <c r="E87" s="6">
        <v>46070.354166666664</v>
      </c>
      <c r="F87" s="6">
        <v>46070.364583333336</v>
      </c>
      <c r="G87" s="6">
        <v>46070.371527777781</v>
      </c>
      <c r="H87" s="6">
        <v>46070.381944444445</v>
      </c>
      <c r="I87">
        <v>1.08</v>
      </c>
      <c r="J87" s="6">
        <v>46070.388888888891</v>
      </c>
      <c r="K87" s="7">
        <f t="shared" si="4"/>
        <v>3.8194444445252884E-2</v>
      </c>
      <c r="L87">
        <f t="shared" si="5"/>
        <v>0</v>
      </c>
      <c r="M87">
        <f t="shared" si="6"/>
        <v>55</v>
      </c>
      <c r="N87">
        <f t="shared" si="7"/>
        <v>55</v>
      </c>
    </row>
    <row r="88" spans="2:14" x14ac:dyDescent="0.25">
      <c r="B88" t="s">
        <v>36</v>
      </c>
      <c r="C88" s="6">
        <v>46070.420138888891</v>
      </c>
      <c r="D88" s="6">
        <v>46070.430555555555</v>
      </c>
      <c r="E88" s="6">
        <v>46070.451388888891</v>
      </c>
      <c r="F88" s="6">
        <v>46070.520833333336</v>
      </c>
      <c r="G88" s="6">
        <v>46070.527777777781</v>
      </c>
      <c r="H88" s="6">
        <v>46070.541666666664</v>
      </c>
      <c r="I88">
        <v>2.92</v>
      </c>
      <c r="J88" s="6">
        <v>46070.548611111109</v>
      </c>
      <c r="K88" s="7">
        <f t="shared" si="4"/>
        <v>5.2083333335758653E-2</v>
      </c>
      <c r="L88">
        <f t="shared" si="5"/>
        <v>1</v>
      </c>
      <c r="M88">
        <f t="shared" si="6"/>
        <v>15</v>
      </c>
      <c r="N88">
        <f t="shared" si="7"/>
        <v>75</v>
      </c>
    </row>
    <row r="89" spans="2:14" x14ac:dyDescent="0.25">
      <c r="B89" t="s">
        <v>36</v>
      </c>
      <c r="C89" s="6">
        <v>46070.59375</v>
      </c>
      <c r="D89" s="6">
        <v>46070.600694444445</v>
      </c>
      <c r="E89" s="6">
        <v>46070.618055555555</v>
      </c>
      <c r="F89" s="6">
        <v>46070.6875</v>
      </c>
      <c r="G89" s="6">
        <v>46070.694444444445</v>
      </c>
      <c r="H89" s="6">
        <v>46070.708333333336</v>
      </c>
      <c r="I89">
        <v>2.75</v>
      </c>
      <c r="J89" s="6">
        <v>46070.709722222222</v>
      </c>
      <c r="K89" s="7">
        <f t="shared" si="4"/>
        <v>0.60763888888322981</v>
      </c>
      <c r="L89">
        <f t="shared" si="5"/>
        <v>14</v>
      </c>
      <c r="M89">
        <f t="shared" si="6"/>
        <v>35</v>
      </c>
      <c r="N89">
        <f t="shared" si="7"/>
        <v>875</v>
      </c>
    </row>
    <row r="90" spans="2:14" x14ac:dyDescent="0.25">
      <c r="B90" t="s">
        <v>36</v>
      </c>
      <c r="C90" s="6">
        <v>46071.315972222219</v>
      </c>
      <c r="D90" s="6">
        <v>46071.326388888891</v>
      </c>
      <c r="E90" s="6">
        <v>46071.350694444445</v>
      </c>
      <c r="F90" s="6">
        <v>46071.357638888891</v>
      </c>
      <c r="G90" s="6">
        <v>46071.423611111109</v>
      </c>
      <c r="H90" s="6">
        <v>46071.4375</v>
      </c>
      <c r="I90">
        <v>2.92</v>
      </c>
      <c r="J90" s="6">
        <v>46071.444444444445</v>
      </c>
      <c r="K90" s="7">
        <f t="shared" si="4"/>
        <v>4.1666666664241347E-2</v>
      </c>
      <c r="L90">
        <f t="shared" si="5"/>
        <v>1</v>
      </c>
      <c r="M90">
        <f t="shared" si="6"/>
        <v>0</v>
      </c>
      <c r="N90">
        <f t="shared" si="7"/>
        <v>60</v>
      </c>
    </row>
    <row r="91" spans="2:14" x14ac:dyDescent="0.25">
      <c r="B91" t="s">
        <v>36</v>
      </c>
      <c r="C91" s="6">
        <v>46071.479166666664</v>
      </c>
      <c r="D91" s="6">
        <v>46071.5</v>
      </c>
      <c r="E91" s="6">
        <v>46071.520833333336</v>
      </c>
      <c r="F91" s="6">
        <v>46071.68472222222</v>
      </c>
      <c r="G91" s="6">
        <v>46071.691666666666</v>
      </c>
      <c r="H91" s="6">
        <v>46071.734027777777</v>
      </c>
      <c r="I91">
        <v>6.12</v>
      </c>
      <c r="J91" s="6">
        <v>46071.736111111109</v>
      </c>
      <c r="K91" s="7">
        <f t="shared" si="4"/>
        <v>0.55416666666860692</v>
      </c>
      <c r="L91">
        <f t="shared" si="5"/>
        <v>13</v>
      </c>
      <c r="M91">
        <f t="shared" si="6"/>
        <v>18</v>
      </c>
      <c r="N91">
        <f t="shared" si="7"/>
        <v>798</v>
      </c>
    </row>
    <row r="92" spans="2:14" x14ac:dyDescent="0.25">
      <c r="B92" t="s">
        <v>36</v>
      </c>
      <c r="C92" s="6">
        <v>46072.288194444445</v>
      </c>
      <c r="D92" s="6">
        <v>46072.3125</v>
      </c>
      <c r="E92" s="6">
        <v>46072.347222222219</v>
      </c>
      <c r="F92" s="6">
        <v>46072.395833333336</v>
      </c>
      <c r="G92" s="6">
        <v>46072.399305555555</v>
      </c>
      <c r="H92" s="6">
        <v>46072.40625</v>
      </c>
      <c r="I92">
        <v>2.83</v>
      </c>
      <c r="J92" s="6">
        <v>46072.413194444445</v>
      </c>
      <c r="K92" s="7">
        <f t="shared" si="4"/>
        <v>0.88194444444525288</v>
      </c>
      <c r="L92">
        <f t="shared" si="5"/>
        <v>21</v>
      </c>
      <c r="M92">
        <f t="shared" si="6"/>
        <v>10</v>
      </c>
      <c r="N92">
        <f t="shared" si="7"/>
        <v>1270</v>
      </c>
    </row>
    <row r="93" spans="2:14" hidden="1" x14ac:dyDescent="0.25">
      <c r="B93" t="s">
        <v>36</v>
      </c>
      <c r="C93" s="6">
        <v>46073.288194444445</v>
      </c>
      <c r="D93" s="6">
        <v>46073.318055555559</v>
      </c>
      <c r="E93" s="6">
        <v>46073.395833333336</v>
      </c>
      <c r="F93" s="6">
        <v>46073.534722222219</v>
      </c>
      <c r="G93" s="6">
        <v>46073.541666666664</v>
      </c>
      <c r="H93" s="6">
        <v>46073.555555555555</v>
      </c>
      <c r="I93">
        <v>6.42</v>
      </c>
      <c r="J93" s="6">
        <v>46073.5625</v>
      </c>
      <c r="K93" s="7">
        <f t="shared" si="4"/>
        <v>-0.25694444444525288</v>
      </c>
      <c r="L93" t="e">
        <f t="shared" si="5"/>
        <v>#NUM!</v>
      </c>
      <c r="M93" t="e">
        <f t="shared" si="6"/>
        <v>#NUM!</v>
      </c>
      <c r="N93" t="e">
        <f t="shared" si="7"/>
        <v>#NUM!</v>
      </c>
    </row>
    <row r="94" spans="2:14" x14ac:dyDescent="0.25">
      <c r="B94" t="s">
        <v>36</v>
      </c>
      <c r="C94" s="6">
        <v>46073.298611111109</v>
      </c>
      <c r="D94" s="6">
        <v>46073.319444444445</v>
      </c>
      <c r="E94" s="6">
        <v>46073.333333333336</v>
      </c>
      <c r="F94" s="6">
        <v>46073.513888888891</v>
      </c>
      <c r="G94" s="6">
        <v>46073.520833333336</v>
      </c>
      <c r="H94" s="6">
        <v>46073.521527777775</v>
      </c>
      <c r="I94">
        <v>5.35</v>
      </c>
      <c r="J94" s="6">
        <v>46073.522222222222</v>
      </c>
      <c r="K94" s="7">
        <f t="shared" si="4"/>
        <v>1.4263888888890506</v>
      </c>
      <c r="L94">
        <f t="shared" si="5"/>
        <v>10</v>
      </c>
      <c r="M94">
        <f t="shared" si="6"/>
        <v>14</v>
      </c>
      <c r="N94">
        <f t="shared" si="7"/>
        <v>614</v>
      </c>
    </row>
    <row r="95" spans="2:14" x14ac:dyDescent="0.25">
      <c r="B95" t="s">
        <v>36</v>
      </c>
      <c r="C95" s="6">
        <v>46074.947916666664</v>
      </c>
      <c r="D95" s="6">
        <v>46074.954861111109</v>
      </c>
      <c r="E95" s="6">
        <v>46074.972222222219</v>
      </c>
      <c r="F95" s="6">
        <v>46075.003472222219</v>
      </c>
      <c r="G95" s="6">
        <v>46075.007638888892</v>
      </c>
      <c r="H95" s="6">
        <v>46075.009722222225</v>
      </c>
      <c r="I95">
        <v>1.48</v>
      </c>
      <c r="J95" s="6">
        <v>46075.01666666667</v>
      </c>
      <c r="K95" s="7">
        <f t="shared" si="4"/>
        <v>1.4694444444394321</v>
      </c>
      <c r="L95">
        <f t="shared" si="5"/>
        <v>11</v>
      </c>
      <c r="M95">
        <f t="shared" si="6"/>
        <v>16</v>
      </c>
      <c r="N95">
        <f t="shared" si="7"/>
        <v>676</v>
      </c>
    </row>
    <row r="96" spans="2:14" x14ac:dyDescent="0.25">
      <c r="B96" t="s">
        <v>36</v>
      </c>
      <c r="C96" s="6">
        <v>46076.479166666664</v>
      </c>
      <c r="D96" s="6">
        <v>46076.489583333336</v>
      </c>
      <c r="E96" s="6">
        <v>46076.520833333336</v>
      </c>
      <c r="F96" s="6">
        <v>46076.604166666664</v>
      </c>
      <c r="G96" s="6">
        <v>46076.611111111109</v>
      </c>
      <c r="H96" s="6">
        <v>46076.628472222219</v>
      </c>
      <c r="I96">
        <v>3.58</v>
      </c>
      <c r="J96" s="6">
        <v>46076.635416666664</v>
      </c>
      <c r="K96" s="7">
        <f t="shared" si="4"/>
        <v>4.5138888890505768E-2</v>
      </c>
      <c r="L96">
        <f t="shared" si="5"/>
        <v>1</v>
      </c>
      <c r="M96">
        <f t="shared" si="6"/>
        <v>5</v>
      </c>
      <c r="N96">
        <f t="shared" si="7"/>
        <v>65</v>
      </c>
    </row>
    <row r="97" spans="2:14" x14ac:dyDescent="0.25">
      <c r="B97" t="s">
        <v>36</v>
      </c>
      <c r="C97" s="6">
        <v>46076.673611111109</v>
      </c>
      <c r="D97" s="6">
        <v>46076.690972222219</v>
      </c>
      <c r="E97" s="6">
        <v>46076.725694444445</v>
      </c>
      <c r="F97" s="6">
        <v>46076.800694444442</v>
      </c>
      <c r="G97" s="6">
        <v>46076.909722222219</v>
      </c>
      <c r="H97" s="6">
        <v>46076.916666666664</v>
      </c>
      <c r="I97">
        <v>5.83</v>
      </c>
      <c r="J97" s="6">
        <v>46076.923611111109</v>
      </c>
      <c r="K97" s="7">
        <f t="shared" si="4"/>
        <v>0.375</v>
      </c>
      <c r="L97">
        <f t="shared" si="5"/>
        <v>9</v>
      </c>
      <c r="M97">
        <f t="shared" si="6"/>
        <v>0</v>
      </c>
      <c r="N97">
        <f t="shared" si="7"/>
        <v>540</v>
      </c>
    </row>
    <row r="98" spans="2:14" x14ac:dyDescent="0.25">
      <c r="B98" t="s">
        <v>36</v>
      </c>
      <c r="C98" s="6">
        <v>46077.291666666664</v>
      </c>
      <c r="D98" s="6">
        <v>46077.347222222219</v>
      </c>
      <c r="E98" s="6">
        <v>46077.357638888891</v>
      </c>
      <c r="F98" s="6">
        <v>46077.378472222219</v>
      </c>
      <c r="G98" s="6">
        <v>46077.385416666664</v>
      </c>
      <c r="H98" s="6">
        <v>46077.506944444445</v>
      </c>
      <c r="I98">
        <v>5.17</v>
      </c>
      <c r="J98" s="6">
        <v>46077.513888888891</v>
      </c>
      <c r="K98" s="7">
        <f t="shared" si="4"/>
        <v>6.25E-2</v>
      </c>
      <c r="L98">
        <f t="shared" si="5"/>
        <v>1</v>
      </c>
      <c r="M98">
        <f t="shared" si="6"/>
        <v>30</v>
      </c>
      <c r="N98">
        <f t="shared" si="7"/>
        <v>90</v>
      </c>
    </row>
    <row r="99" spans="2:14" x14ac:dyDescent="0.25">
      <c r="B99" t="s">
        <v>36</v>
      </c>
      <c r="C99" s="6">
        <v>46077.569444444445</v>
      </c>
      <c r="D99" s="6">
        <v>46077.572916666664</v>
      </c>
      <c r="E99" s="6">
        <v>46077.583333333336</v>
      </c>
      <c r="F99" s="6">
        <v>46077.763194444444</v>
      </c>
      <c r="G99" s="6">
        <v>46077.763888888891</v>
      </c>
      <c r="H99" s="6">
        <v>46077.78125</v>
      </c>
      <c r="I99">
        <v>5.08</v>
      </c>
      <c r="J99" s="6">
        <v>46077.788194444445</v>
      </c>
      <c r="K99" s="7">
        <f t="shared" si="4"/>
        <v>0.50347222221898846</v>
      </c>
      <c r="L99">
        <f t="shared" si="5"/>
        <v>12</v>
      </c>
      <c r="M99">
        <f t="shared" si="6"/>
        <v>5</v>
      </c>
      <c r="N99">
        <f t="shared" si="7"/>
        <v>725</v>
      </c>
    </row>
    <row r="100" spans="2:14" hidden="1" x14ac:dyDescent="0.25">
      <c r="B100" t="s">
        <v>36</v>
      </c>
      <c r="C100" s="6">
        <v>46078.284722222219</v>
      </c>
      <c r="D100" s="6">
        <v>46078.319444444445</v>
      </c>
      <c r="E100" s="6">
        <v>46078.361111111109</v>
      </c>
      <c r="F100" s="6">
        <v>46078.40625</v>
      </c>
      <c r="G100" s="6">
        <v>46078.413194444445</v>
      </c>
      <c r="H100" s="6">
        <v>46078.427083333336</v>
      </c>
      <c r="I100">
        <v>3.42</v>
      </c>
      <c r="J100" s="6">
        <v>46078.434027777781</v>
      </c>
      <c r="K100" s="7">
        <f t="shared" si="4"/>
        <v>-0.13541666667151731</v>
      </c>
      <c r="L100" t="e">
        <f t="shared" si="5"/>
        <v>#NUM!</v>
      </c>
      <c r="M100" t="e">
        <f t="shared" si="6"/>
        <v>#NUM!</v>
      </c>
      <c r="N100" t="e">
        <f t="shared" si="7"/>
        <v>#NUM!</v>
      </c>
    </row>
    <row r="101" spans="2:14" hidden="1" x14ac:dyDescent="0.25">
      <c r="B101" t="s">
        <v>36</v>
      </c>
      <c r="C101" s="6">
        <v>46078.291666666664</v>
      </c>
      <c r="D101" s="6">
        <v>46078.315972222219</v>
      </c>
      <c r="E101" s="6">
        <v>46078.336805555555</v>
      </c>
      <c r="F101" s="6">
        <v>46078.440972222219</v>
      </c>
      <c r="G101" s="6">
        <v>46078.451388888891</v>
      </c>
      <c r="H101" s="6">
        <v>46078.454861111109</v>
      </c>
      <c r="I101">
        <v>3.92</v>
      </c>
      <c r="J101" s="6">
        <v>46078.455555555556</v>
      </c>
      <c r="K101" s="7">
        <f t="shared" si="4"/>
        <v>-5.2083333328482695E-2</v>
      </c>
      <c r="L101" t="e">
        <f t="shared" si="5"/>
        <v>#NUM!</v>
      </c>
      <c r="M101" t="e">
        <f t="shared" si="6"/>
        <v>#NUM!</v>
      </c>
      <c r="N101" t="e">
        <f t="shared" si="7"/>
        <v>#NUM!</v>
      </c>
    </row>
    <row r="102" spans="2:14" hidden="1" x14ac:dyDescent="0.25">
      <c r="B102" t="s">
        <v>36</v>
      </c>
      <c r="C102" s="6">
        <v>46078.402777777781</v>
      </c>
      <c r="D102" s="6">
        <v>46078.416666666664</v>
      </c>
      <c r="E102" s="6">
        <v>46078.440972222219</v>
      </c>
      <c r="F102" s="6">
        <v>46078.534722222219</v>
      </c>
      <c r="G102" s="6">
        <v>46078.541666666664</v>
      </c>
      <c r="H102" s="6">
        <v>46078.559027777781</v>
      </c>
      <c r="I102">
        <v>3.75</v>
      </c>
      <c r="J102" s="6">
        <v>46078.565972222219</v>
      </c>
      <c r="K102" s="7">
        <f t="shared" si="4"/>
        <v>-7.2916666671517305E-2</v>
      </c>
      <c r="L102" t="e">
        <f t="shared" si="5"/>
        <v>#NUM!</v>
      </c>
      <c r="M102" t="e">
        <f t="shared" si="6"/>
        <v>#NUM!</v>
      </c>
      <c r="N102" t="e">
        <f t="shared" si="7"/>
        <v>#NUM!</v>
      </c>
    </row>
    <row r="103" spans="2:14" hidden="1" x14ac:dyDescent="0.25">
      <c r="B103" t="s">
        <v>36</v>
      </c>
      <c r="C103" s="6">
        <v>46078.486111111109</v>
      </c>
      <c r="D103" s="6">
        <v>46078.527777777781</v>
      </c>
      <c r="E103" s="6">
        <v>46078.555555555555</v>
      </c>
      <c r="F103" s="6">
        <v>46078.59375</v>
      </c>
      <c r="G103" s="6">
        <v>46078.600694444445</v>
      </c>
      <c r="H103" s="6">
        <v>46078.607638888891</v>
      </c>
      <c r="I103">
        <v>2.92</v>
      </c>
      <c r="J103" s="6">
        <v>46078.60833333333</v>
      </c>
      <c r="K103" s="7">
        <f t="shared" si="4"/>
        <v>-1.0416666671517305E-2</v>
      </c>
      <c r="L103" t="e">
        <f t="shared" si="5"/>
        <v>#NUM!</v>
      </c>
      <c r="M103" t="e">
        <f t="shared" si="6"/>
        <v>#NUM!</v>
      </c>
      <c r="N103" t="e">
        <f t="shared" si="7"/>
        <v>#NUM!</v>
      </c>
    </row>
    <row r="104" spans="2:14" x14ac:dyDescent="0.25">
      <c r="B104" t="s">
        <v>36</v>
      </c>
      <c r="C104" s="6">
        <v>46078.597222222219</v>
      </c>
      <c r="D104" s="6">
        <v>46078.607638888891</v>
      </c>
      <c r="E104" s="6">
        <v>46078.631944444445</v>
      </c>
      <c r="F104" s="6">
        <v>46078.722222222219</v>
      </c>
      <c r="G104" s="6">
        <v>46078.729166666664</v>
      </c>
      <c r="H104" s="6">
        <v>46078.770138888889</v>
      </c>
      <c r="I104">
        <v>4.1500000000000004</v>
      </c>
      <c r="J104" s="6">
        <v>46078.777083333334</v>
      </c>
      <c r="K104" s="7">
        <f t="shared" si="4"/>
        <v>0.51805555555620231</v>
      </c>
      <c r="L104">
        <f t="shared" si="5"/>
        <v>12</v>
      </c>
      <c r="M104">
        <f t="shared" si="6"/>
        <v>26</v>
      </c>
      <c r="N104">
        <f t="shared" si="7"/>
        <v>746</v>
      </c>
    </row>
    <row r="105" spans="2:14" x14ac:dyDescent="0.25">
      <c r="B105" t="s">
        <v>36</v>
      </c>
      <c r="C105" s="6">
        <v>46079.288194444445</v>
      </c>
      <c r="D105" s="6">
        <v>46079.319444444445</v>
      </c>
      <c r="E105" s="6">
        <v>46079.333333333336</v>
      </c>
      <c r="F105" s="6">
        <v>46079.393750000003</v>
      </c>
      <c r="G105" s="6">
        <v>46079.400694444441</v>
      </c>
      <c r="H105" s="6">
        <v>46079.402777777781</v>
      </c>
      <c r="I105">
        <v>2.75</v>
      </c>
      <c r="J105" s="6">
        <v>46079.40625</v>
      </c>
      <c r="K105" s="7">
        <f t="shared" si="4"/>
        <v>2.9861111106583849E-2</v>
      </c>
      <c r="L105">
        <f t="shared" si="5"/>
        <v>0</v>
      </c>
      <c r="M105">
        <f t="shared" si="6"/>
        <v>43</v>
      </c>
      <c r="N105">
        <f t="shared" si="7"/>
        <v>43</v>
      </c>
    </row>
    <row r="106" spans="2:14" x14ac:dyDescent="0.25">
      <c r="B106" t="s">
        <v>36</v>
      </c>
      <c r="C106" s="6">
        <v>46079.432638888888</v>
      </c>
      <c r="D106" s="6">
        <v>46079.439583333333</v>
      </c>
      <c r="E106" s="6">
        <v>46079.495833333334</v>
      </c>
      <c r="F106" s="6">
        <v>46079.537499999999</v>
      </c>
      <c r="G106" s="6">
        <v>46079.544444444444</v>
      </c>
      <c r="H106" s="6">
        <v>46079.559027777781</v>
      </c>
      <c r="I106">
        <v>3.03</v>
      </c>
      <c r="J106" s="6">
        <v>46079.55972222222</v>
      </c>
      <c r="K106" s="7">
        <f t="shared" si="4"/>
        <v>0.38194444443797693</v>
      </c>
      <c r="L106">
        <f t="shared" si="5"/>
        <v>9</v>
      </c>
      <c r="M106">
        <f t="shared" si="6"/>
        <v>10</v>
      </c>
      <c r="N106">
        <f t="shared" si="7"/>
        <v>550</v>
      </c>
    </row>
    <row r="107" spans="2:14" x14ac:dyDescent="0.25">
      <c r="B107" t="s">
        <v>36</v>
      </c>
      <c r="C107" s="6">
        <v>46079.940972222219</v>
      </c>
      <c r="D107" s="6">
        <v>46079.947916666664</v>
      </c>
      <c r="E107" s="6">
        <v>46079.958333333336</v>
      </c>
      <c r="F107" s="6">
        <v>46079.972222222219</v>
      </c>
      <c r="G107" s="6">
        <v>46079.979166666664</v>
      </c>
      <c r="H107" s="6">
        <v>46079.993055555555</v>
      </c>
      <c r="I107">
        <v>1.25</v>
      </c>
      <c r="J107" s="6">
        <v>46080</v>
      </c>
      <c r="K107" s="7">
        <f t="shared" si="4"/>
        <v>0.29513888889050577</v>
      </c>
      <c r="L107">
        <f t="shared" si="5"/>
        <v>7</v>
      </c>
      <c r="M107">
        <f t="shared" si="6"/>
        <v>5</v>
      </c>
      <c r="N107">
        <f t="shared" si="7"/>
        <v>425</v>
      </c>
    </row>
    <row r="108" spans="2:14" x14ac:dyDescent="0.25">
      <c r="B108" t="s">
        <v>36</v>
      </c>
      <c r="C108" s="6">
        <v>46080.288194444445</v>
      </c>
      <c r="D108" s="6">
        <v>46080.333333333336</v>
      </c>
      <c r="E108" s="6">
        <v>46080.336805555555</v>
      </c>
      <c r="F108" s="6">
        <v>46080.354166666664</v>
      </c>
      <c r="G108" s="6">
        <v>46080.357638888891</v>
      </c>
      <c r="H108" s="6">
        <v>46080.361111111109</v>
      </c>
      <c r="I108">
        <v>1.75</v>
      </c>
      <c r="J108" s="6">
        <v>46080.368055555555</v>
      </c>
      <c r="K108" s="7">
        <f t="shared" si="4"/>
        <v>4.8611111109494232E-2</v>
      </c>
      <c r="L108">
        <f t="shared" si="5"/>
        <v>1</v>
      </c>
      <c r="M108">
        <f t="shared" si="6"/>
        <v>10</v>
      </c>
      <c r="N108">
        <f t="shared" si="7"/>
        <v>70</v>
      </c>
    </row>
    <row r="109" spans="2:14" x14ac:dyDescent="0.25">
      <c r="B109" t="s">
        <v>36</v>
      </c>
      <c r="C109" s="6">
        <v>46080.409722222219</v>
      </c>
      <c r="D109" s="6">
        <v>46080.420138888891</v>
      </c>
      <c r="E109" s="6">
        <v>46080.4375</v>
      </c>
      <c r="F109" s="6">
        <v>46080.535416666666</v>
      </c>
      <c r="G109" s="6">
        <v>46080.555555555555</v>
      </c>
      <c r="H109" s="6">
        <v>46080.729166666664</v>
      </c>
      <c r="I109">
        <v>7.67</v>
      </c>
      <c r="J109" s="6">
        <v>46080.736111111109</v>
      </c>
      <c r="K109" s="7">
        <f t="shared" si="4"/>
        <v>0.90972222222626442</v>
      </c>
      <c r="L109">
        <f t="shared" si="5"/>
        <v>21</v>
      </c>
      <c r="M109">
        <f t="shared" si="6"/>
        <v>50</v>
      </c>
      <c r="N109">
        <f t="shared" si="7"/>
        <v>1310</v>
      </c>
    </row>
    <row r="110" spans="2:14" x14ac:dyDescent="0.25">
      <c r="B110" t="s">
        <v>36</v>
      </c>
      <c r="C110" s="6">
        <v>46081.638888888891</v>
      </c>
      <c r="D110" s="6">
        <v>46081.644444444442</v>
      </c>
      <c r="E110" s="6">
        <v>46081.666666666664</v>
      </c>
      <c r="F110" s="6">
        <v>46081.708333333336</v>
      </c>
      <c r="G110" s="6">
        <v>46081.715277777781</v>
      </c>
      <c r="H110" s="6">
        <v>46081.71875</v>
      </c>
      <c r="I110">
        <v>1.92</v>
      </c>
      <c r="J110" s="6">
        <v>46081.725694444445</v>
      </c>
      <c r="K110" s="7">
        <f t="shared" si="4"/>
        <v>1.8229166666642413</v>
      </c>
      <c r="L110">
        <f t="shared" si="5"/>
        <v>19</v>
      </c>
      <c r="M110">
        <f t="shared" si="6"/>
        <v>45</v>
      </c>
      <c r="N110">
        <f t="shared" si="7"/>
        <v>1185</v>
      </c>
    </row>
    <row r="111" spans="2:14" x14ac:dyDescent="0.25">
      <c r="B111" t="s">
        <v>36</v>
      </c>
      <c r="C111" s="6">
        <v>46083.541666666664</v>
      </c>
      <c r="D111" s="6">
        <v>46083.552083333336</v>
      </c>
      <c r="E111" s="6">
        <v>46083.583333333336</v>
      </c>
      <c r="F111" s="6">
        <v>46083.645833333336</v>
      </c>
      <c r="G111" s="6">
        <v>46083.65625</v>
      </c>
      <c r="H111" s="6">
        <v>46083.666666666664</v>
      </c>
      <c r="I111">
        <v>3</v>
      </c>
      <c r="J111" s="6">
        <v>46083.667361111111</v>
      </c>
      <c r="K111" s="7">
        <f t="shared" si="4"/>
        <v>4.1666666671517305E-2</v>
      </c>
      <c r="L111">
        <f t="shared" si="5"/>
        <v>1</v>
      </c>
      <c r="M111">
        <f t="shared" si="6"/>
        <v>0</v>
      </c>
      <c r="N111">
        <f t="shared" si="7"/>
        <v>60</v>
      </c>
    </row>
    <row r="112" spans="2:14" x14ac:dyDescent="0.25">
      <c r="B112" t="s">
        <v>36</v>
      </c>
      <c r="C112" s="6">
        <v>46083.708333333336</v>
      </c>
      <c r="D112" s="6">
        <v>46083.715277777781</v>
      </c>
      <c r="E112" s="6">
        <v>46083.736111111109</v>
      </c>
      <c r="F112" s="6">
        <v>46083.840277777781</v>
      </c>
      <c r="G112" s="6">
        <v>46083.847222222219</v>
      </c>
      <c r="H112" s="6">
        <v>46083.861111111109</v>
      </c>
      <c r="I112">
        <v>3.67</v>
      </c>
      <c r="J112" s="6">
        <v>46083.868055555555</v>
      </c>
      <c r="K112" s="7">
        <f t="shared" si="4"/>
        <v>0.43055555555474712</v>
      </c>
      <c r="L112">
        <f t="shared" si="5"/>
        <v>10</v>
      </c>
      <c r="M112">
        <f t="shared" si="6"/>
        <v>20</v>
      </c>
      <c r="N112">
        <f t="shared" si="7"/>
        <v>620</v>
      </c>
    </row>
    <row r="113" spans="2:14" hidden="1" x14ac:dyDescent="0.25">
      <c r="B113" t="s">
        <v>36</v>
      </c>
      <c r="C113" s="6">
        <v>46084.291666666664</v>
      </c>
      <c r="D113" s="6">
        <v>46084.333333333336</v>
      </c>
      <c r="E113" s="6">
        <v>46084.340277777781</v>
      </c>
      <c r="F113" s="6">
        <v>46084.409722222219</v>
      </c>
      <c r="G113" s="6">
        <v>46084.416666666664</v>
      </c>
      <c r="H113" s="6">
        <v>46084.423611111109</v>
      </c>
      <c r="I113">
        <v>3.17</v>
      </c>
      <c r="J113" s="6">
        <v>46084.430555555555</v>
      </c>
      <c r="K113" s="7">
        <f t="shared" si="4"/>
        <v>3.4722222262644209E-3</v>
      </c>
      <c r="L113">
        <f t="shared" si="5"/>
        <v>0</v>
      </c>
      <c r="M113">
        <f t="shared" si="6"/>
        <v>5</v>
      </c>
      <c r="N113">
        <f t="shared" si="7"/>
        <v>5</v>
      </c>
    </row>
    <row r="114" spans="2:14" hidden="1" x14ac:dyDescent="0.25">
      <c r="B114" t="s">
        <v>36</v>
      </c>
      <c r="C114" s="6">
        <v>46084.427083333336</v>
      </c>
      <c r="D114" s="6">
        <v>46084.430555555555</v>
      </c>
      <c r="E114" s="6">
        <v>46084.451388888891</v>
      </c>
      <c r="F114" s="6">
        <v>46084.461805555555</v>
      </c>
      <c r="G114" s="6">
        <v>46084.472222222219</v>
      </c>
      <c r="H114" s="6">
        <v>46084.510416666664</v>
      </c>
      <c r="I114">
        <v>2</v>
      </c>
      <c r="J114" s="6">
        <v>46084.517361111109</v>
      </c>
      <c r="K114" s="7">
        <f t="shared" si="4"/>
        <v>-2.9861111106583849E-2</v>
      </c>
      <c r="L114" t="e">
        <f t="shared" si="5"/>
        <v>#NUM!</v>
      </c>
      <c r="M114" t="e">
        <f t="shared" si="6"/>
        <v>#NUM!</v>
      </c>
      <c r="N114" t="e">
        <f t="shared" si="7"/>
        <v>#NUM!</v>
      </c>
    </row>
    <row r="115" spans="2:14" x14ac:dyDescent="0.25">
      <c r="B115" t="s">
        <v>36</v>
      </c>
      <c r="C115" s="6">
        <v>46084.480555555558</v>
      </c>
      <c r="D115" s="6">
        <v>46084.503472222219</v>
      </c>
      <c r="E115" s="6">
        <v>46084.504166666666</v>
      </c>
      <c r="F115" s="6">
        <v>46084.51458333333</v>
      </c>
      <c r="G115" s="6">
        <v>46084.515972222223</v>
      </c>
      <c r="H115" s="6">
        <v>46084.534722222219</v>
      </c>
      <c r="I115">
        <v>1.3</v>
      </c>
      <c r="J115" s="6">
        <v>46084.535416666666</v>
      </c>
      <c r="K115" s="7">
        <f t="shared" si="4"/>
        <v>7.2916666671517305E-2</v>
      </c>
      <c r="L115">
        <f t="shared" si="5"/>
        <v>1</v>
      </c>
      <c r="M115">
        <f t="shared" si="6"/>
        <v>45</v>
      </c>
      <c r="N115">
        <f t="shared" si="7"/>
        <v>105</v>
      </c>
    </row>
    <row r="116" spans="2:14" x14ac:dyDescent="0.25">
      <c r="B116" t="s">
        <v>36</v>
      </c>
      <c r="C116" s="6">
        <v>46084.607638888891</v>
      </c>
      <c r="D116" s="6">
        <v>46084.625</v>
      </c>
      <c r="E116" s="6">
        <v>46084.645833333336</v>
      </c>
      <c r="F116" s="6">
        <v>46084.701388888891</v>
      </c>
      <c r="G116" s="6">
        <v>46084.770833333336</v>
      </c>
      <c r="H116" s="6">
        <v>46084.777777777781</v>
      </c>
      <c r="I116">
        <v>4.08</v>
      </c>
      <c r="J116" s="6">
        <v>46084.779166666667</v>
      </c>
      <c r="K116" s="7">
        <f t="shared" si="4"/>
        <v>1.5138888888832298</v>
      </c>
      <c r="L116">
        <f t="shared" si="5"/>
        <v>12</v>
      </c>
      <c r="M116">
        <f t="shared" si="6"/>
        <v>20</v>
      </c>
      <c r="N116">
        <f t="shared" si="7"/>
        <v>740</v>
      </c>
    </row>
    <row r="117" spans="2:14" x14ac:dyDescent="0.25">
      <c r="B117" t="s">
        <v>36</v>
      </c>
      <c r="C117" s="6">
        <v>46086.291666666664</v>
      </c>
      <c r="D117" s="6">
        <v>46086.319444444445</v>
      </c>
      <c r="E117" s="6">
        <v>46086.340277777781</v>
      </c>
      <c r="F117" s="6">
        <v>46086.395833333336</v>
      </c>
      <c r="G117" s="6">
        <v>46086.399305555555</v>
      </c>
      <c r="H117" s="6">
        <v>46086.401388888888</v>
      </c>
      <c r="I117">
        <v>2.63</v>
      </c>
      <c r="J117" s="6">
        <v>46086.408333333333</v>
      </c>
      <c r="K117" s="7">
        <f t="shared" si="4"/>
        <v>3.6111111112404615E-2</v>
      </c>
      <c r="L117">
        <f t="shared" si="5"/>
        <v>0</v>
      </c>
      <c r="M117">
        <f t="shared" si="6"/>
        <v>52</v>
      </c>
      <c r="N117">
        <f t="shared" si="7"/>
        <v>52</v>
      </c>
    </row>
    <row r="118" spans="2:14" x14ac:dyDescent="0.25">
      <c r="B118" t="s">
        <v>36</v>
      </c>
      <c r="C118" s="6">
        <v>46086.4375</v>
      </c>
      <c r="D118" s="6">
        <v>46086.444444444445</v>
      </c>
      <c r="E118" s="6">
        <v>46086.458333333336</v>
      </c>
      <c r="F118" s="6">
        <v>46086.493055555555</v>
      </c>
      <c r="G118" s="6">
        <v>46086.5</v>
      </c>
      <c r="H118" s="6">
        <v>46086.503472222219</v>
      </c>
      <c r="I118">
        <v>1.58</v>
      </c>
      <c r="J118" s="6">
        <v>46086.510416666664</v>
      </c>
      <c r="K118" s="7">
        <f t="shared" si="4"/>
        <v>0.14930555556202307</v>
      </c>
      <c r="L118">
        <f t="shared" si="5"/>
        <v>3</v>
      </c>
      <c r="M118">
        <f t="shared" si="6"/>
        <v>35</v>
      </c>
      <c r="N118">
        <f t="shared" si="7"/>
        <v>215</v>
      </c>
    </row>
    <row r="119" spans="2:14" x14ac:dyDescent="0.25">
      <c r="B119" t="s">
        <v>36</v>
      </c>
      <c r="C119" s="6">
        <v>46086.652777777781</v>
      </c>
      <c r="D119" s="6">
        <v>46086.659722222219</v>
      </c>
      <c r="E119" s="6">
        <v>46086.673611111109</v>
      </c>
      <c r="F119" s="6">
        <v>46086.822916666664</v>
      </c>
      <c r="G119" s="6">
        <v>46086.847222222219</v>
      </c>
      <c r="H119" s="6">
        <v>46086.864583333336</v>
      </c>
      <c r="I119">
        <v>5.08</v>
      </c>
      <c r="J119" s="6">
        <v>46086.871527777781</v>
      </c>
      <c r="K119" s="7">
        <f t="shared" si="4"/>
        <v>1.5451388888832298</v>
      </c>
      <c r="L119">
        <f t="shared" si="5"/>
        <v>13</v>
      </c>
      <c r="M119">
        <f t="shared" si="6"/>
        <v>5</v>
      </c>
      <c r="N119">
        <f t="shared" si="7"/>
        <v>785</v>
      </c>
    </row>
    <row r="120" spans="2:14" x14ac:dyDescent="0.25">
      <c r="B120" t="s">
        <v>36</v>
      </c>
      <c r="C120" s="6">
        <v>46088.409722222219</v>
      </c>
      <c r="D120" s="6">
        <v>46088.416666666664</v>
      </c>
      <c r="E120" s="6">
        <v>46088.465277777781</v>
      </c>
      <c r="F120" s="6">
        <v>46088.597222222219</v>
      </c>
      <c r="G120" s="6">
        <v>46088.666666666664</v>
      </c>
      <c r="H120" s="6">
        <v>46088.692361111112</v>
      </c>
      <c r="I120">
        <v>6.78</v>
      </c>
      <c r="J120" s="6">
        <v>46088.699305555558</v>
      </c>
      <c r="K120" s="7">
        <f t="shared" si="4"/>
        <v>3.6340277777781012</v>
      </c>
      <c r="L120">
        <f t="shared" si="5"/>
        <v>15</v>
      </c>
      <c r="M120">
        <f t="shared" si="6"/>
        <v>13</v>
      </c>
      <c r="N120">
        <f t="shared" si="7"/>
        <v>913</v>
      </c>
    </row>
    <row r="121" spans="2:14" hidden="1" x14ac:dyDescent="0.25">
      <c r="B121" t="s">
        <v>36</v>
      </c>
      <c r="C121" s="6">
        <v>46092.326388888891</v>
      </c>
      <c r="D121" s="6">
        <v>46092.34375</v>
      </c>
      <c r="E121" s="6">
        <v>46092.368055555555</v>
      </c>
      <c r="F121" s="6">
        <v>46092.465277777781</v>
      </c>
      <c r="G121" s="6">
        <v>46092.472222222219</v>
      </c>
      <c r="H121" s="6">
        <v>46092.486111111109</v>
      </c>
      <c r="I121">
        <v>3.83</v>
      </c>
      <c r="J121" s="6">
        <v>46092.493055555555</v>
      </c>
      <c r="K121" s="7">
        <f t="shared" si="4"/>
        <v>-5.9027777773735579E-2</v>
      </c>
      <c r="L121" t="e">
        <f t="shared" si="5"/>
        <v>#NUM!</v>
      </c>
      <c r="M121" t="e">
        <f t="shared" si="6"/>
        <v>#NUM!</v>
      </c>
      <c r="N121" t="e">
        <f t="shared" si="7"/>
        <v>#NUM!</v>
      </c>
    </row>
    <row r="122" spans="2:14" x14ac:dyDescent="0.25">
      <c r="B122" t="s">
        <v>36</v>
      </c>
      <c r="C122" s="6">
        <v>46092.427083333336</v>
      </c>
      <c r="D122" s="6">
        <v>46092.461805555555</v>
      </c>
      <c r="E122" s="6">
        <v>46092.486111111109</v>
      </c>
      <c r="F122" s="6">
        <v>46092.513888888891</v>
      </c>
      <c r="G122" s="6">
        <v>46092.520833333336</v>
      </c>
      <c r="H122" s="6">
        <v>46092.53125</v>
      </c>
      <c r="I122">
        <v>2.5</v>
      </c>
      <c r="J122" s="6">
        <v>46092.531944444447</v>
      </c>
      <c r="K122" s="7">
        <f t="shared" si="4"/>
        <v>5.0694444442342501E-2</v>
      </c>
      <c r="L122">
        <f t="shared" si="5"/>
        <v>1</v>
      </c>
      <c r="M122">
        <f t="shared" si="6"/>
        <v>13</v>
      </c>
      <c r="N122">
        <f t="shared" si="7"/>
        <v>73</v>
      </c>
    </row>
    <row r="123" spans="2:14" x14ac:dyDescent="0.25">
      <c r="B123" t="s">
        <v>36</v>
      </c>
      <c r="C123" s="6">
        <v>46092.581944444442</v>
      </c>
      <c r="D123" s="6">
        <v>46092.583333333336</v>
      </c>
      <c r="E123" s="6">
        <v>46092.59375</v>
      </c>
      <c r="F123" s="6">
        <v>46092.645833333336</v>
      </c>
      <c r="G123" s="6">
        <v>46092.652777777781</v>
      </c>
      <c r="H123" s="6">
        <v>46092.659722222219</v>
      </c>
      <c r="I123">
        <v>1.87</v>
      </c>
      <c r="J123" s="6">
        <v>46092.661111111112</v>
      </c>
      <c r="K123" s="7">
        <f t="shared" si="4"/>
        <v>0.81597222222626442</v>
      </c>
      <c r="L123">
        <f t="shared" si="5"/>
        <v>19</v>
      </c>
      <c r="M123">
        <f t="shared" si="6"/>
        <v>35</v>
      </c>
      <c r="N123">
        <f t="shared" si="7"/>
        <v>1175</v>
      </c>
    </row>
    <row r="124" spans="2:14" x14ac:dyDescent="0.25">
      <c r="B124" t="s">
        <v>36</v>
      </c>
      <c r="C124" s="6">
        <v>46093.475694444445</v>
      </c>
      <c r="D124" s="6">
        <v>46093.513888888891</v>
      </c>
      <c r="E124" s="6">
        <v>46093.524305555555</v>
      </c>
      <c r="F124" s="6">
        <v>46093.561111111114</v>
      </c>
      <c r="G124" s="6">
        <v>46093.5625</v>
      </c>
      <c r="H124" s="6">
        <v>46093.565972222219</v>
      </c>
      <c r="I124">
        <v>2.17</v>
      </c>
      <c r="J124" s="6">
        <v>46093.572916666664</v>
      </c>
      <c r="K124" s="7">
        <f t="shared" si="4"/>
        <v>7.9861111116770189E-2</v>
      </c>
      <c r="L124">
        <f t="shared" si="5"/>
        <v>1</v>
      </c>
      <c r="M124">
        <f t="shared" si="6"/>
        <v>55</v>
      </c>
      <c r="N124">
        <f t="shared" si="7"/>
        <v>115</v>
      </c>
    </row>
    <row r="125" spans="2:14" x14ac:dyDescent="0.25">
      <c r="B125" t="s">
        <v>36</v>
      </c>
      <c r="C125" s="6">
        <v>46093.645833333336</v>
      </c>
      <c r="D125" s="6">
        <v>46093.65625</v>
      </c>
      <c r="E125" s="6">
        <v>46093.659722222219</v>
      </c>
      <c r="F125" s="6">
        <v>46093.680555555555</v>
      </c>
      <c r="G125" s="6">
        <v>46093.684027777781</v>
      </c>
      <c r="H125" s="6">
        <v>46093.6875</v>
      </c>
      <c r="I125">
        <v>1</v>
      </c>
      <c r="J125" s="6">
        <v>46093.688194444447</v>
      </c>
      <c r="K125" s="7">
        <f t="shared" si="4"/>
        <v>6.25E-2</v>
      </c>
      <c r="L125">
        <f t="shared" si="5"/>
        <v>1</v>
      </c>
      <c r="M125">
        <f t="shared" si="6"/>
        <v>30</v>
      </c>
      <c r="N125">
        <f t="shared" si="7"/>
        <v>90</v>
      </c>
    </row>
    <row r="126" spans="2:14" x14ac:dyDescent="0.25">
      <c r="B126" t="s">
        <v>36</v>
      </c>
      <c r="C126" s="6">
        <v>46093.75</v>
      </c>
      <c r="D126" s="6">
        <v>46093.763888888891</v>
      </c>
      <c r="E126" s="6">
        <v>46093.78125</v>
      </c>
      <c r="F126" s="6">
        <v>46093.788194444445</v>
      </c>
      <c r="G126" s="6">
        <v>46093.791666666664</v>
      </c>
      <c r="H126" s="6">
        <v>46093.795138888891</v>
      </c>
      <c r="I126">
        <v>1.08</v>
      </c>
      <c r="J126" s="6">
        <v>46093.79583333333</v>
      </c>
      <c r="K126" s="7">
        <f t="shared" si="4"/>
        <v>0.53819444444525288</v>
      </c>
      <c r="L126">
        <f t="shared" si="5"/>
        <v>12</v>
      </c>
      <c r="M126">
        <f t="shared" si="6"/>
        <v>55</v>
      </c>
      <c r="N126">
        <f t="shared" si="7"/>
        <v>775</v>
      </c>
    </row>
    <row r="127" spans="2:14" x14ac:dyDescent="0.25">
      <c r="B127" t="s">
        <v>36</v>
      </c>
      <c r="C127" s="6">
        <v>46094.333333333336</v>
      </c>
      <c r="D127" s="6">
        <v>46094.34375</v>
      </c>
      <c r="E127" s="6">
        <v>46094.364583333336</v>
      </c>
      <c r="F127" s="6">
        <v>46094.427083333336</v>
      </c>
      <c r="G127" s="6">
        <v>46094.434027777781</v>
      </c>
      <c r="H127" s="6">
        <v>46094.444444444445</v>
      </c>
      <c r="I127">
        <v>2.67</v>
      </c>
      <c r="J127" s="6">
        <v>46094.451388888891</v>
      </c>
      <c r="K127" s="7">
        <f t="shared" si="4"/>
        <v>4.1666666664241347E-2</v>
      </c>
      <c r="L127">
        <f t="shared" si="5"/>
        <v>1</v>
      </c>
      <c r="M127">
        <f t="shared" si="6"/>
        <v>0</v>
      </c>
      <c r="N127">
        <f t="shared" si="7"/>
        <v>60</v>
      </c>
    </row>
    <row r="128" spans="2:14" x14ac:dyDescent="0.25">
      <c r="B128" t="s">
        <v>36</v>
      </c>
      <c r="C128" s="6">
        <v>46094.486111111109</v>
      </c>
      <c r="D128" s="6">
        <v>46094.5</v>
      </c>
      <c r="E128" s="6">
        <v>46094.527777777781</v>
      </c>
      <c r="F128" s="6">
        <v>46094.715277777781</v>
      </c>
      <c r="G128" s="6">
        <v>46094.722222222219</v>
      </c>
      <c r="H128" s="6">
        <v>46094.770833333336</v>
      </c>
      <c r="I128">
        <v>6.83</v>
      </c>
      <c r="J128" s="6">
        <v>46094.772222222222</v>
      </c>
      <c r="K128" s="7">
        <f t="shared" si="4"/>
        <v>0.95486111110949423</v>
      </c>
      <c r="L128">
        <f t="shared" si="5"/>
        <v>22</v>
      </c>
      <c r="M128">
        <f t="shared" si="6"/>
        <v>55</v>
      </c>
      <c r="N128">
        <f t="shared" si="7"/>
        <v>1375</v>
      </c>
    </row>
    <row r="129" spans="2:14" x14ac:dyDescent="0.25">
      <c r="B129" t="s">
        <v>36</v>
      </c>
      <c r="C129" s="6">
        <v>46095.725694444445</v>
      </c>
      <c r="D129" s="6">
        <v>46095.736111111109</v>
      </c>
      <c r="E129" s="6">
        <v>46095.753472222219</v>
      </c>
      <c r="F129" s="6">
        <v>46095.786111111112</v>
      </c>
      <c r="G129" s="6">
        <v>46095.788194444445</v>
      </c>
      <c r="H129" s="6">
        <v>46095.798611111109</v>
      </c>
      <c r="I129">
        <v>1.75</v>
      </c>
      <c r="J129" s="6">
        <v>46095.799305555556</v>
      </c>
      <c r="K129" s="7">
        <f t="shared" si="4"/>
        <v>1.5069444444452529</v>
      </c>
      <c r="L129">
        <f t="shared" si="5"/>
        <v>12</v>
      </c>
      <c r="M129">
        <f t="shared" si="6"/>
        <v>10</v>
      </c>
      <c r="N129">
        <f t="shared" si="7"/>
        <v>730</v>
      </c>
    </row>
    <row r="130" spans="2:14" x14ac:dyDescent="0.25">
      <c r="B130" t="s">
        <v>36</v>
      </c>
      <c r="C130" s="6">
        <v>46097.305555555555</v>
      </c>
      <c r="D130" s="6">
        <v>46097.322916666664</v>
      </c>
      <c r="E130" s="6">
        <v>46097.340277777781</v>
      </c>
      <c r="F130" s="6">
        <v>46097.383333333331</v>
      </c>
      <c r="G130" s="6">
        <v>46097.390277777777</v>
      </c>
      <c r="H130" s="6">
        <v>46097.395833333336</v>
      </c>
      <c r="I130">
        <v>2.17</v>
      </c>
      <c r="J130" s="6">
        <v>46097.402777777781</v>
      </c>
      <c r="K130" s="7">
        <f t="shared" si="4"/>
        <v>4.1666666664241347E-2</v>
      </c>
      <c r="L130">
        <f t="shared" si="5"/>
        <v>1</v>
      </c>
      <c r="M130">
        <f t="shared" si="6"/>
        <v>0</v>
      </c>
      <c r="N130">
        <f t="shared" si="7"/>
        <v>60</v>
      </c>
    </row>
    <row r="131" spans="2:14" hidden="1" x14ac:dyDescent="0.25">
      <c r="B131" t="s">
        <v>36</v>
      </c>
      <c r="C131" s="6">
        <v>46097.4375</v>
      </c>
      <c r="D131" s="6">
        <v>46097.451388888891</v>
      </c>
      <c r="E131" s="6">
        <v>46097.465277777781</v>
      </c>
      <c r="F131" s="6">
        <v>46097.548611111109</v>
      </c>
      <c r="G131" s="6">
        <v>46097.555555555555</v>
      </c>
      <c r="H131" s="6">
        <v>46097.556250000001</v>
      </c>
      <c r="I131">
        <v>2.85</v>
      </c>
      <c r="J131" s="6">
        <v>46097.556944444441</v>
      </c>
      <c r="K131" s="7">
        <f t="shared" si="4"/>
        <v>-8.7500000001455192E-2</v>
      </c>
      <c r="L131" t="e">
        <f t="shared" si="5"/>
        <v>#NUM!</v>
      </c>
      <c r="M131" t="e">
        <f t="shared" si="6"/>
        <v>#NUM!</v>
      </c>
      <c r="N131" t="e">
        <f t="shared" si="7"/>
        <v>#NUM!</v>
      </c>
    </row>
    <row r="132" spans="2:14" x14ac:dyDescent="0.25">
      <c r="B132" t="s">
        <v>36</v>
      </c>
      <c r="C132" s="6">
        <v>46097.46875</v>
      </c>
      <c r="D132" s="6">
        <v>46097.479166666664</v>
      </c>
      <c r="E132" s="6">
        <v>46097.534722222219</v>
      </c>
      <c r="F132" s="6">
        <v>46097.567361111112</v>
      </c>
      <c r="G132" s="6">
        <v>46097.569444444445</v>
      </c>
      <c r="H132" s="6">
        <v>46097.572916666664</v>
      </c>
      <c r="I132">
        <v>2.5</v>
      </c>
      <c r="J132" s="6">
        <v>46097.576388888891</v>
      </c>
      <c r="K132" s="7">
        <f t="shared" ref="K132:K156" si="8">C133-H132</f>
        <v>0.75486111111240461</v>
      </c>
      <c r="L132">
        <f t="shared" ref="L132:L156" si="9">HOUR(K132)</f>
        <v>18</v>
      </c>
      <c r="M132">
        <f t="shared" ref="M132:M156" si="10">MINUTE(K132)</f>
        <v>7</v>
      </c>
      <c r="N132">
        <f t="shared" ref="N132:N156" si="11">L132*60+M132</f>
        <v>1087</v>
      </c>
    </row>
    <row r="133" spans="2:14" x14ac:dyDescent="0.25">
      <c r="B133" t="s">
        <v>36</v>
      </c>
      <c r="C133" s="6">
        <v>46098.327777777777</v>
      </c>
      <c r="D133" s="6">
        <v>46098.333333333336</v>
      </c>
      <c r="E133" s="6">
        <v>46098.354166666664</v>
      </c>
      <c r="F133" s="6">
        <v>46098.4375</v>
      </c>
      <c r="G133" s="6">
        <v>46098.444444444445</v>
      </c>
      <c r="H133" s="6">
        <v>46098.458333333336</v>
      </c>
      <c r="I133">
        <v>3.13</v>
      </c>
      <c r="J133" s="6">
        <v>46098.465277777781</v>
      </c>
      <c r="K133" s="7">
        <f t="shared" si="8"/>
        <v>1.0416666664241347E-2</v>
      </c>
      <c r="L133">
        <f t="shared" si="9"/>
        <v>0</v>
      </c>
      <c r="M133">
        <f t="shared" si="10"/>
        <v>15</v>
      </c>
      <c r="N133">
        <f t="shared" si="11"/>
        <v>15</v>
      </c>
    </row>
    <row r="134" spans="2:14" hidden="1" x14ac:dyDescent="0.25">
      <c r="B134" t="s">
        <v>36</v>
      </c>
      <c r="C134" s="6">
        <v>46098.46875</v>
      </c>
      <c r="D134" s="6">
        <v>46098.479166666664</v>
      </c>
      <c r="E134" s="6">
        <v>46098.513888888891</v>
      </c>
      <c r="F134" s="6">
        <v>46098.520833333336</v>
      </c>
      <c r="G134" s="6">
        <v>46098.527777777781</v>
      </c>
      <c r="H134" s="6">
        <v>46098.534722222219</v>
      </c>
      <c r="I134">
        <v>1.58</v>
      </c>
      <c r="J134" s="6">
        <v>46098.541666666664</v>
      </c>
      <c r="K134" s="7">
        <f t="shared" si="8"/>
        <v>-5.7638888887595385E-2</v>
      </c>
      <c r="L134" t="e">
        <f t="shared" si="9"/>
        <v>#NUM!</v>
      </c>
      <c r="M134" t="e">
        <f t="shared" si="10"/>
        <v>#NUM!</v>
      </c>
      <c r="N134" t="e">
        <f t="shared" si="11"/>
        <v>#NUM!</v>
      </c>
    </row>
    <row r="135" spans="2:14" x14ac:dyDescent="0.25">
      <c r="B135" t="s">
        <v>36</v>
      </c>
      <c r="C135" s="6">
        <v>46098.477083333331</v>
      </c>
      <c r="D135" s="6">
        <v>46098.486111111109</v>
      </c>
      <c r="E135" s="6">
        <v>46098.486805555556</v>
      </c>
      <c r="F135" s="6">
        <v>46098.489583333336</v>
      </c>
      <c r="G135" s="6">
        <v>46098.496527777781</v>
      </c>
      <c r="H135" s="6">
        <v>46098.506944444445</v>
      </c>
      <c r="I135">
        <v>0.72</v>
      </c>
      <c r="J135" s="6">
        <v>46098.513888888891</v>
      </c>
      <c r="K135" s="7">
        <f t="shared" si="8"/>
        <v>0.11805555555474712</v>
      </c>
      <c r="L135">
        <f t="shared" si="9"/>
        <v>2</v>
      </c>
      <c r="M135">
        <f t="shared" si="10"/>
        <v>50</v>
      </c>
      <c r="N135">
        <f t="shared" si="11"/>
        <v>170</v>
      </c>
    </row>
    <row r="136" spans="2:14" x14ac:dyDescent="0.25">
      <c r="B136" t="s">
        <v>36</v>
      </c>
      <c r="C136" s="6">
        <v>46098.625</v>
      </c>
      <c r="D136" s="6">
        <v>46098.631944444445</v>
      </c>
      <c r="E136" s="6">
        <v>46098.652777777781</v>
      </c>
      <c r="F136" s="6">
        <v>46098.743055555555</v>
      </c>
      <c r="G136" s="6">
        <v>46098.763888888891</v>
      </c>
      <c r="H136" s="6">
        <v>46098.770833333336</v>
      </c>
      <c r="I136">
        <v>3.5</v>
      </c>
      <c r="J136" s="6">
        <v>46098.772222222222</v>
      </c>
      <c r="K136" s="7">
        <f t="shared" si="8"/>
        <v>0.67361111110949423</v>
      </c>
      <c r="L136">
        <f t="shared" si="9"/>
        <v>16</v>
      </c>
      <c r="M136">
        <f t="shared" si="10"/>
        <v>10</v>
      </c>
      <c r="N136">
        <f t="shared" si="11"/>
        <v>970</v>
      </c>
    </row>
    <row r="137" spans="2:14" hidden="1" x14ac:dyDescent="0.25">
      <c r="B137" t="s">
        <v>36</v>
      </c>
      <c r="C137" s="6">
        <v>46099.444444444445</v>
      </c>
      <c r="D137" s="6">
        <v>46099.445833333331</v>
      </c>
      <c r="E137" s="6">
        <v>46099.447916666664</v>
      </c>
      <c r="F137" s="6">
        <v>46099.541666666664</v>
      </c>
      <c r="G137" s="6">
        <v>46099.548611111109</v>
      </c>
      <c r="H137" s="6">
        <v>46099.555555555555</v>
      </c>
      <c r="I137">
        <v>2.67</v>
      </c>
      <c r="J137" s="6">
        <v>46099.5625</v>
      </c>
      <c r="K137" s="7">
        <f t="shared" si="8"/>
        <v>-7.6388888890505768E-2</v>
      </c>
      <c r="L137" t="e">
        <f t="shared" si="9"/>
        <v>#NUM!</v>
      </c>
      <c r="M137" t="e">
        <f t="shared" si="10"/>
        <v>#NUM!</v>
      </c>
      <c r="N137" t="e">
        <f t="shared" si="11"/>
        <v>#NUM!</v>
      </c>
    </row>
    <row r="138" spans="2:14" x14ac:dyDescent="0.25">
      <c r="B138" t="s">
        <v>36</v>
      </c>
      <c r="C138" s="6">
        <v>46099.479166666664</v>
      </c>
      <c r="D138" s="6">
        <v>46099.493055555555</v>
      </c>
      <c r="E138" s="6">
        <v>46099.506944444445</v>
      </c>
      <c r="F138" s="6">
        <v>46099.673611111109</v>
      </c>
      <c r="G138" s="6">
        <v>46099.71875</v>
      </c>
      <c r="H138" s="6">
        <v>46099.722222222219</v>
      </c>
      <c r="I138">
        <v>5.83</v>
      </c>
      <c r="J138" s="6">
        <v>46099.729166666664</v>
      </c>
      <c r="K138" s="7">
        <f t="shared" si="8"/>
        <v>0.56944444444525288</v>
      </c>
      <c r="L138">
        <f t="shared" si="9"/>
        <v>13</v>
      </c>
      <c r="M138">
        <f t="shared" si="10"/>
        <v>40</v>
      </c>
      <c r="N138">
        <f t="shared" si="11"/>
        <v>820</v>
      </c>
    </row>
    <row r="139" spans="2:14" x14ac:dyDescent="0.25">
      <c r="B139" t="s">
        <v>36</v>
      </c>
      <c r="C139" s="6">
        <v>46100.291666666664</v>
      </c>
      <c r="D139" s="6">
        <v>46100.319444444445</v>
      </c>
      <c r="E139" s="6">
        <v>46100.333333333336</v>
      </c>
      <c r="F139" s="6">
        <v>46100.395833333336</v>
      </c>
      <c r="G139" s="6">
        <v>46100.399305555555</v>
      </c>
      <c r="H139" s="6">
        <v>46100.401388888888</v>
      </c>
      <c r="I139">
        <v>2.63</v>
      </c>
      <c r="J139" s="6">
        <v>46100.408333333333</v>
      </c>
      <c r="K139" s="7">
        <f t="shared" si="8"/>
        <v>2.5694444448163267E-2</v>
      </c>
      <c r="L139">
        <f t="shared" si="9"/>
        <v>0</v>
      </c>
      <c r="M139">
        <f t="shared" si="10"/>
        <v>37</v>
      </c>
      <c r="N139">
        <f t="shared" si="11"/>
        <v>37</v>
      </c>
    </row>
    <row r="140" spans="2:14" x14ac:dyDescent="0.25">
      <c r="B140" t="s">
        <v>36</v>
      </c>
      <c r="C140" s="6">
        <v>46100.427083333336</v>
      </c>
      <c r="D140" s="6">
        <v>46100.4375</v>
      </c>
      <c r="E140" s="6">
        <v>46100.486111111109</v>
      </c>
      <c r="F140" s="6">
        <v>46100.510416666664</v>
      </c>
      <c r="G140" s="6">
        <v>46100.517361111109</v>
      </c>
      <c r="H140" s="6">
        <v>46100.520833333336</v>
      </c>
      <c r="I140">
        <v>2.25</v>
      </c>
      <c r="J140" s="6">
        <v>46100.527777777781</v>
      </c>
      <c r="K140" s="7">
        <f t="shared" si="8"/>
        <v>0.76736111110949423</v>
      </c>
      <c r="L140">
        <f t="shared" si="9"/>
        <v>18</v>
      </c>
      <c r="M140">
        <f t="shared" si="10"/>
        <v>25</v>
      </c>
      <c r="N140">
        <f t="shared" si="11"/>
        <v>1105</v>
      </c>
    </row>
    <row r="141" spans="2:14" x14ac:dyDescent="0.25">
      <c r="B141" t="s">
        <v>36</v>
      </c>
      <c r="C141" s="6">
        <v>46101.288194444445</v>
      </c>
      <c r="D141" s="6">
        <v>46101.3125</v>
      </c>
      <c r="E141" s="6">
        <v>46101.354166666664</v>
      </c>
      <c r="F141" s="6">
        <v>46101.458333333336</v>
      </c>
      <c r="G141" s="6">
        <v>46101.479166666664</v>
      </c>
      <c r="H141" s="6">
        <v>46101.489583333336</v>
      </c>
      <c r="I141">
        <v>4.83</v>
      </c>
      <c r="J141" s="6">
        <v>46101.496527777781</v>
      </c>
      <c r="K141" s="7">
        <f t="shared" si="8"/>
        <v>4.8611111109494232E-2</v>
      </c>
      <c r="L141">
        <f t="shared" si="9"/>
        <v>1</v>
      </c>
      <c r="M141">
        <f t="shared" si="10"/>
        <v>10</v>
      </c>
      <c r="N141">
        <f t="shared" si="11"/>
        <v>70</v>
      </c>
    </row>
    <row r="142" spans="2:14" hidden="1" x14ac:dyDescent="0.25">
      <c r="B142" t="s">
        <v>36</v>
      </c>
      <c r="C142" s="6">
        <v>46101.538194444445</v>
      </c>
      <c r="D142" s="6">
        <v>46101.548611111109</v>
      </c>
      <c r="E142" s="6">
        <v>46101.604166666664</v>
      </c>
      <c r="F142" s="6">
        <v>46101.715277777781</v>
      </c>
      <c r="G142" s="6">
        <v>46101.729166666664</v>
      </c>
      <c r="H142" s="6">
        <v>46101.756944444445</v>
      </c>
      <c r="I142">
        <v>5.25</v>
      </c>
      <c r="J142" s="6">
        <v>46101.760416666664</v>
      </c>
      <c r="K142" s="7">
        <f t="shared" si="8"/>
        <v>-1.7361111109494232E-2</v>
      </c>
      <c r="L142" t="e">
        <f t="shared" si="9"/>
        <v>#NUM!</v>
      </c>
      <c r="M142" t="e">
        <f t="shared" si="10"/>
        <v>#NUM!</v>
      </c>
      <c r="N142" t="e">
        <f t="shared" si="11"/>
        <v>#NUM!</v>
      </c>
    </row>
    <row r="143" spans="2:14" x14ac:dyDescent="0.25">
      <c r="B143" t="s">
        <v>36</v>
      </c>
      <c r="C143" s="6">
        <v>46101.739583333336</v>
      </c>
      <c r="D143" s="6">
        <v>46101.746527777781</v>
      </c>
      <c r="E143" s="6">
        <v>46101.75</v>
      </c>
      <c r="F143" s="6">
        <v>46101.850694444445</v>
      </c>
      <c r="G143" s="6">
        <v>46101.857638888891</v>
      </c>
      <c r="H143" s="6">
        <v>46101.885416666664</v>
      </c>
      <c r="I143">
        <v>3.5</v>
      </c>
      <c r="J143" s="6">
        <v>46101.892361111109</v>
      </c>
      <c r="K143" s="7">
        <f t="shared" si="8"/>
        <v>2.53125</v>
      </c>
      <c r="L143">
        <f t="shared" si="9"/>
        <v>12</v>
      </c>
      <c r="M143">
        <f t="shared" si="10"/>
        <v>45</v>
      </c>
      <c r="N143">
        <f t="shared" si="11"/>
        <v>765</v>
      </c>
    </row>
    <row r="144" spans="2:14" hidden="1" x14ac:dyDescent="0.25">
      <c r="B144" t="s">
        <v>36</v>
      </c>
      <c r="C144" s="6">
        <v>46104.416666666664</v>
      </c>
      <c r="D144" s="6">
        <v>46104.4375</v>
      </c>
      <c r="E144" s="6">
        <v>46104.438888888886</v>
      </c>
      <c r="F144" s="6">
        <v>46104.458333333336</v>
      </c>
      <c r="G144" s="6">
        <v>46104.465277777781</v>
      </c>
      <c r="H144" s="6">
        <v>46104.513888888891</v>
      </c>
      <c r="I144">
        <v>2.33</v>
      </c>
      <c r="J144" s="6">
        <v>46104.520833333336</v>
      </c>
      <c r="K144" s="7">
        <f t="shared" si="8"/>
        <v>-5.0694444449618459E-2</v>
      </c>
      <c r="L144" t="e">
        <f t="shared" si="9"/>
        <v>#NUM!</v>
      </c>
      <c r="M144" t="e">
        <f t="shared" si="10"/>
        <v>#NUM!</v>
      </c>
      <c r="N144" t="e">
        <f t="shared" si="11"/>
        <v>#NUM!</v>
      </c>
    </row>
    <row r="145" spans="2:14" hidden="1" x14ac:dyDescent="0.25">
      <c r="B145" t="s">
        <v>36</v>
      </c>
      <c r="C145" s="6">
        <v>46104.463194444441</v>
      </c>
      <c r="D145" s="6">
        <v>46104.479166666664</v>
      </c>
      <c r="E145" s="6">
        <v>46104.534722222219</v>
      </c>
      <c r="F145" s="6">
        <v>46104.552083333336</v>
      </c>
      <c r="G145" s="6">
        <v>46104.559027777781</v>
      </c>
      <c r="H145" s="6">
        <v>46104.5625</v>
      </c>
      <c r="I145">
        <v>2.38</v>
      </c>
      <c r="J145" s="6">
        <v>46104.569444444445</v>
      </c>
      <c r="K145" s="7">
        <f t="shared" si="8"/>
        <v>3.4722222189884633E-3</v>
      </c>
      <c r="L145">
        <f t="shared" si="9"/>
        <v>0</v>
      </c>
      <c r="M145">
        <f t="shared" si="10"/>
        <v>5</v>
      </c>
      <c r="N145">
        <f t="shared" si="11"/>
        <v>5</v>
      </c>
    </row>
    <row r="146" spans="2:14" x14ac:dyDescent="0.25">
      <c r="B146" t="s">
        <v>36</v>
      </c>
      <c r="C146" s="6">
        <v>46104.565972222219</v>
      </c>
      <c r="D146" s="6">
        <v>46104.569444444445</v>
      </c>
      <c r="E146" s="6">
        <v>46104.583333333336</v>
      </c>
      <c r="F146" s="6">
        <v>46104.663194444445</v>
      </c>
      <c r="G146" s="6">
        <v>46104.666666666664</v>
      </c>
      <c r="H146" s="6">
        <v>46104.704861111109</v>
      </c>
      <c r="I146">
        <v>3.33</v>
      </c>
      <c r="J146" s="6">
        <v>46104.708333333336</v>
      </c>
      <c r="K146" s="7">
        <f t="shared" si="8"/>
        <v>2.0381944444452529</v>
      </c>
      <c r="L146">
        <f t="shared" si="9"/>
        <v>0</v>
      </c>
      <c r="M146">
        <f t="shared" si="10"/>
        <v>55</v>
      </c>
      <c r="N146">
        <f t="shared" si="11"/>
        <v>55</v>
      </c>
    </row>
    <row r="147" spans="2:14" x14ac:dyDescent="0.25">
      <c r="B147" t="s">
        <v>36</v>
      </c>
      <c r="C147" s="6">
        <v>46106.743055555555</v>
      </c>
      <c r="D147" s="6">
        <v>46106.746527777781</v>
      </c>
      <c r="E147" s="6">
        <v>46106.75</v>
      </c>
      <c r="F147" s="6">
        <v>46106.777777777781</v>
      </c>
      <c r="G147" s="6">
        <v>46106.78125</v>
      </c>
      <c r="H147" s="6">
        <v>46106.784722222219</v>
      </c>
      <c r="I147">
        <v>1</v>
      </c>
      <c r="J147" s="6">
        <v>46106.791666666664</v>
      </c>
      <c r="K147" s="7">
        <f t="shared" si="8"/>
        <v>0.84027777778101154</v>
      </c>
      <c r="L147">
        <f t="shared" si="9"/>
        <v>20</v>
      </c>
      <c r="M147">
        <f t="shared" si="10"/>
        <v>10</v>
      </c>
      <c r="N147">
        <f t="shared" si="11"/>
        <v>1210</v>
      </c>
    </row>
    <row r="148" spans="2:14" x14ac:dyDescent="0.25">
      <c r="B148" t="s">
        <v>36</v>
      </c>
      <c r="C148" s="6">
        <v>46107.625</v>
      </c>
      <c r="D148" s="6">
        <v>46107.626388888886</v>
      </c>
      <c r="E148" s="6">
        <v>46107.642361111109</v>
      </c>
      <c r="F148" s="6">
        <v>46107.659722222219</v>
      </c>
      <c r="G148" s="6">
        <v>46107.666666666664</v>
      </c>
      <c r="H148" s="6">
        <v>46107.84375</v>
      </c>
      <c r="I148">
        <v>5.25</v>
      </c>
      <c r="J148" s="6">
        <v>46107.850694444445</v>
      </c>
      <c r="K148" s="7">
        <f t="shared" si="8"/>
        <v>0.44791666666424135</v>
      </c>
      <c r="L148">
        <f t="shared" si="9"/>
        <v>10</v>
      </c>
      <c r="M148">
        <f t="shared" si="10"/>
        <v>45</v>
      </c>
      <c r="N148">
        <f t="shared" si="11"/>
        <v>645</v>
      </c>
    </row>
    <row r="149" spans="2:14" x14ac:dyDescent="0.25">
      <c r="B149" t="s">
        <v>36</v>
      </c>
      <c r="C149" s="6">
        <v>46108.291666666664</v>
      </c>
      <c r="D149" s="6">
        <v>46108.34375</v>
      </c>
      <c r="E149" s="6">
        <v>46108.364583333336</v>
      </c>
      <c r="F149" s="6">
        <v>46108.465277777781</v>
      </c>
      <c r="G149" s="6">
        <v>46108.46875</v>
      </c>
      <c r="H149" s="6">
        <v>46108.470833333333</v>
      </c>
      <c r="I149">
        <v>4.3</v>
      </c>
      <c r="J149" s="6">
        <v>46108.477777777778</v>
      </c>
      <c r="K149" s="7">
        <f t="shared" si="8"/>
        <v>2.9166666667151731E-2</v>
      </c>
      <c r="L149">
        <f t="shared" si="9"/>
        <v>0</v>
      </c>
      <c r="M149">
        <f t="shared" si="10"/>
        <v>42</v>
      </c>
      <c r="N149">
        <f t="shared" si="11"/>
        <v>42</v>
      </c>
    </row>
    <row r="150" spans="2:14" x14ac:dyDescent="0.25">
      <c r="B150" t="s">
        <v>36</v>
      </c>
      <c r="C150" s="6">
        <v>46108.5</v>
      </c>
      <c r="D150" s="6">
        <v>46108.506944444445</v>
      </c>
      <c r="E150" s="6">
        <v>46108.524305555555</v>
      </c>
      <c r="F150" s="6">
        <v>46108.527777777781</v>
      </c>
      <c r="G150" s="6">
        <v>46108.53125</v>
      </c>
      <c r="H150" s="6">
        <v>46108.534722222219</v>
      </c>
      <c r="I150">
        <v>0.83</v>
      </c>
      <c r="J150" s="6">
        <v>46108.536111111112</v>
      </c>
      <c r="K150" s="7">
        <f t="shared" si="8"/>
        <v>4.652777778392192E-2</v>
      </c>
      <c r="L150">
        <f t="shared" si="9"/>
        <v>1</v>
      </c>
      <c r="M150">
        <f t="shared" si="10"/>
        <v>7</v>
      </c>
      <c r="N150">
        <f t="shared" si="11"/>
        <v>67</v>
      </c>
    </row>
    <row r="151" spans="2:14" x14ac:dyDescent="0.25">
      <c r="B151" t="s">
        <v>36</v>
      </c>
      <c r="C151" s="6">
        <v>46108.581250000003</v>
      </c>
      <c r="D151" s="6">
        <v>46108.59375</v>
      </c>
      <c r="E151" s="6">
        <v>46108.597222222219</v>
      </c>
      <c r="F151" s="6">
        <v>46108.659722222219</v>
      </c>
      <c r="G151" s="6">
        <v>46108.663194444445</v>
      </c>
      <c r="H151" s="6">
        <v>46108.666666666664</v>
      </c>
      <c r="I151">
        <v>2.0499999999999998</v>
      </c>
      <c r="J151" s="6">
        <v>46108.673611111109</v>
      </c>
      <c r="K151" s="7">
        <f t="shared" si="8"/>
        <v>2.0833333335758653E-2</v>
      </c>
      <c r="L151">
        <f t="shared" si="9"/>
        <v>0</v>
      </c>
      <c r="M151">
        <f t="shared" si="10"/>
        <v>30</v>
      </c>
      <c r="N151">
        <f t="shared" si="11"/>
        <v>30</v>
      </c>
    </row>
    <row r="152" spans="2:14" x14ac:dyDescent="0.25">
      <c r="B152" t="s">
        <v>36</v>
      </c>
      <c r="C152" s="6">
        <v>46108.6875</v>
      </c>
      <c r="D152" s="6">
        <v>46108.697916666664</v>
      </c>
      <c r="E152" s="6">
        <v>46108.711805555555</v>
      </c>
      <c r="F152" s="6">
        <v>46108.729166666664</v>
      </c>
      <c r="G152" s="6">
        <v>46108.736111111109</v>
      </c>
      <c r="H152" s="6">
        <v>46108.736805555556</v>
      </c>
      <c r="I152">
        <v>1.18</v>
      </c>
      <c r="J152" s="6">
        <v>46108.737500000003</v>
      </c>
      <c r="K152" s="7">
        <f t="shared" si="8"/>
        <v>1.3194444443797693E-2</v>
      </c>
      <c r="L152">
        <f t="shared" si="9"/>
        <v>0</v>
      </c>
      <c r="M152">
        <f t="shared" si="10"/>
        <v>19</v>
      </c>
      <c r="N152">
        <f t="shared" si="11"/>
        <v>19</v>
      </c>
    </row>
    <row r="153" spans="2:14" x14ac:dyDescent="0.25">
      <c r="B153" t="s">
        <v>36</v>
      </c>
      <c r="C153" s="6">
        <v>46108.75</v>
      </c>
      <c r="D153" s="6">
        <v>46108.756944444445</v>
      </c>
      <c r="E153" s="6">
        <v>46108.763888888891</v>
      </c>
      <c r="F153" s="6">
        <v>46108.777777777781</v>
      </c>
      <c r="G153" s="6">
        <v>46108.779166666667</v>
      </c>
      <c r="H153" s="6">
        <v>46108.78125</v>
      </c>
      <c r="I153">
        <v>0.75</v>
      </c>
      <c r="J153" s="6">
        <v>46108.791666666664</v>
      </c>
      <c r="K153" s="7">
        <f t="shared" si="8"/>
        <v>3.5347222222189885</v>
      </c>
      <c r="L153">
        <f t="shared" si="9"/>
        <v>12</v>
      </c>
      <c r="M153">
        <f t="shared" si="10"/>
        <v>50</v>
      </c>
      <c r="N153">
        <f t="shared" si="11"/>
        <v>770</v>
      </c>
    </row>
    <row r="154" spans="2:14" hidden="1" x14ac:dyDescent="0.25">
      <c r="B154" t="s">
        <v>36</v>
      </c>
      <c r="C154" s="6">
        <v>46112.315972222219</v>
      </c>
      <c r="D154" s="6">
        <v>46112.322916666664</v>
      </c>
      <c r="E154" s="6">
        <v>46112.368055555555</v>
      </c>
      <c r="F154" s="6">
        <v>46112.409722222219</v>
      </c>
      <c r="G154" s="6">
        <v>46112.416666666664</v>
      </c>
      <c r="H154" s="6">
        <v>46112.423611111109</v>
      </c>
      <c r="I154">
        <v>2.58</v>
      </c>
      <c r="J154" s="6">
        <v>46112.424305555556</v>
      </c>
      <c r="K154" s="7">
        <f t="shared" si="8"/>
        <v>-6.9444444445252884E-2</v>
      </c>
      <c r="L154" t="e">
        <f t="shared" si="9"/>
        <v>#NUM!</v>
      </c>
      <c r="M154" t="e">
        <f t="shared" si="10"/>
        <v>#NUM!</v>
      </c>
      <c r="N154" t="e">
        <f t="shared" si="11"/>
        <v>#NUM!</v>
      </c>
    </row>
    <row r="155" spans="2:14" x14ac:dyDescent="0.25">
      <c r="B155" t="s">
        <v>36</v>
      </c>
      <c r="C155" s="6">
        <v>46112.354166666664</v>
      </c>
      <c r="D155" s="6">
        <v>46112.361111111109</v>
      </c>
      <c r="E155" s="6">
        <v>46112.375</v>
      </c>
      <c r="F155" s="6">
        <v>46112.423611111109</v>
      </c>
      <c r="G155" s="6">
        <v>46112.427083333336</v>
      </c>
      <c r="H155" s="6">
        <v>46112.430555555555</v>
      </c>
      <c r="I155">
        <v>1.83</v>
      </c>
      <c r="J155" s="6">
        <v>46112.4375</v>
      </c>
      <c r="K155" s="7">
        <f t="shared" si="8"/>
        <v>0.15277777778101154</v>
      </c>
      <c r="L155">
        <f t="shared" si="9"/>
        <v>3</v>
      </c>
      <c r="M155">
        <f t="shared" si="10"/>
        <v>40</v>
      </c>
      <c r="N155">
        <f t="shared" si="11"/>
        <v>220</v>
      </c>
    </row>
    <row r="156" spans="2:14" hidden="1" x14ac:dyDescent="0.25">
      <c r="B156" t="s">
        <v>36</v>
      </c>
      <c r="C156" s="6">
        <v>46112.583333333336</v>
      </c>
      <c r="D156" s="6">
        <v>46112.59375</v>
      </c>
      <c r="E156" s="6">
        <v>46112.666666666664</v>
      </c>
      <c r="F156" s="6">
        <v>46112.760416666664</v>
      </c>
      <c r="G156" s="6">
        <v>46112.767361111109</v>
      </c>
      <c r="H156" s="6">
        <v>46112.979166666664</v>
      </c>
      <c r="I156">
        <v>9.5</v>
      </c>
      <c r="J156" s="6">
        <v>46112.986111111109</v>
      </c>
      <c r="K156" s="7">
        <f t="shared" si="8"/>
        <v>-46112.979166666664</v>
      </c>
      <c r="L156" t="e">
        <f t="shared" si="9"/>
        <v>#NUM!</v>
      </c>
      <c r="M156" t="e">
        <f t="shared" si="10"/>
        <v>#NUM!</v>
      </c>
      <c r="N156" t="e">
        <f t="shared" si="11"/>
        <v>#NUM!</v>
      </c>
    </row>
  </sheetData>
  <autoFilter ref="B2:N156" xr:uid="{5F48ECAA-7431-411E-84C8-2B47F75869B0}">
    <filterColumn colId="12">
      <customFilters and="1">
        <customFilter operator="notEqual" val="#NUM!"/>
        <customFilter operator="greaterThan" val="10"/>
      </customFilters>
    </filterColumn>
    <sortState xmlns:xlrd2="http://schemas.microsoft.com/office/spreadsheetml/2017/richdata2" ref="B3:N156">
      <sortCondition ref="C2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46B1-D8ED-4C75-B960-BA053DF57120}">
  <sheetPr filterMode="1"/>
  <dimension ref="B2:N168"/>
  <sheetViews>
    <sheetView workbookViewId="0">
      <selection activeCell="P2" sqref="P2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20.28515625" bestFit="1" customWidth="1"/>
    <col min="5" max="5" width="19.28515625" bestFit="1" customWidth="1"/>
    <col min="6" max="6" width="16.5703125" bestFit="1" customWidth="1"/>
    <col min="7" max="7" width="17.7109375" bestFit="1" customWidth="1"/>
    <col min="8" max="8" width="17" bestFit="1" customWidth="1"/>
    <col min="9" max="9" width="6" customWidth="1"/>
    <col min="10" max="10" width="18.28515625" bestFit="1" customWidth="1"/>
    <col min="15" max="15" width="4.140625" customWidth="1"/>
  </cols>
  <sheetData>
    <row r="2" spans="2:14" x14ac:dyDescent="0.25">
      <c r="B2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t="s">
        <v>27</v>
      </c>
      <c r="J2" s="6" t="s">
        <v>28</v>
      </c>
      <c r="K2" s="8" t="s">
        <v>55</v>
      </c>
      <c r="L2" s="8" t="s">
        <v>39</v>
      </c>
      <c r="M2" s="8" t="s">
        <v>38</v>
      </c>
      <c r="N2" s="12" t="s">
        <v>56</v>
      </c>
    </row>
    <row r="3" spans="2:14" x14ac:dyDescent="0.25">
      <c r="B3" t="s">
        <v>32</v>
      </c>
      <c r="C3" s="6">
        <v>46023.440972222219</v>
      </c>
      <c r="D3" s="6">
        <v>46023.458333333336</v>
      </c>
      <c r="E3" s="6">
        <v>46023.46875</v>
      </c>
      <c r="F3" s="6">
        <v>46023.527777777781</v>
      </c>
      <c r="G3" s="6">
        <v>46023.53125</v>
      </c>
      <c r="H3" s="6">
        <v>46023.534722222219</v>
      </c>
      <c r="I3">
        <v>2.25</v>
      </c>
      <c r="J3" s="6">
        <v>46023.541666666664</v>
      </c>
      <c r="K3" s="7">
        <f>C4-H3</f>
        <v>0.15277777778101154</v>
      </c>
      <c r="L3">
        <f>HOUR(K3)</f>
        <v>3</v>
      </c>
      <c r="M3">
        <f>MINUTE(K3)</f>
        <v>40</v>
      </c>
      <c r="N3">
        <f>L3*60+M3</f>
        <v>220</v>
      </c>
    </row>
    <row r="4" spans="2:14" x14ac:dyDescent="0.25">
      <c r="B4" t="s">
        <v>32</v>
      </c>
      <c r="C4" s="6">
        <v>46023.6875</v>
      </c>
      <c r="D4" s="6">
        <v>46023.697916666664</v>
      </c>
      <c r="E4" s="6">
        <v>46023.708333333336</v>
      </c>
      <c r="F4" s="6">
        <v>46023.729166666664</v>
      </c>
      <c r="G4" s="6">
        <v>46023.736111111109</v>
      </c>
      <c r="H4" s="6">
        <v>46023.739583333336</v>
      </c>
      <c r="I4">
        <v>1.25</v>
      </c>
      <c r="J4" s="6">
        <v>46023.746527777781</v>
      </c>
      <c r="K4" s="7">
        <f t="shared" ref="K4:K67" si="0">C5-H4</f>
        <v>3.5173611111094942</v>
      </c>
      <c r="L4">
        <f t="shared" ref="L4:L67" si="1">HOUR(K4)</f>
        <v>12</v>
      </c>
      <c r="M4">
        <f t="shared" ref="M4:M67" si="2">MINUTE(K4)</f>
        <v>25</v>
      </c>
      <c r="N4">
        <f t="shared" ref="N4:N67" si="3">L4*60+M4</f>
        <v>745</v>
      </c>
    </row>
    <row r="5" spans="2:14" hidden="1" x14ac:dyDescent="0.25">
      <c r="B5" t="s">
        <v>32</v>
      </c>
      <c r="C5" s="6">
        <v>46027.256944444445</v>
      </c>
      <c r="D5" s="6">
        <v>46027.263888888891</v>
      </c>
      <c r="E5" s="6">
        <v>46027.28125</v>
      </c>
      <c r="F5" s="6">
        <v>46027.288194444445</v>
      </c>
      <c r="G5" s="6">
        <v>46027.295138888891</v>
      </c>
      <c r="H5" s="6">
        <v>46027.319444444445</v>
      </c>
      <c r="I5">
        <v>1.5</v>
      </c>
      <c r="J5" s="6">
        <v>46027.326388888891</v>
      </c>
      <c r="K5" s="7">
        <f t="shared" si="0"/>
        <v>-2.7777777781011537E-2</v>
      </c>
      <c r="L5" t="e">
        <f t="shared" si="1"/>
        <v>#NUM!</v>
      </c>
      <c r="M5" t="e">
        <f t="shared" si="2"/>
        <v>#NUM!</v>
      </c>
      <c r="N5" t="e">
        <f t="shared" si="3"/>
        <v>#NUM!</v>
      </c>
    </row>
    <row r="6" spans="2:14" hidden="1" x14ac:dyDescent="0.25">
      <c r="B6" t="s">
        <v>32</v>
      </c>
      <c r="C6" s="6">
        <v>46027.291666666664</v>
      </c>
      <c r="D6" s="6">
        <v>46027.326388888891</v>
      </c>
      <c r="E6" s="6">
        <v>46027.354166666664</v>
      </c>
      <c r="F6" s="6">
        <v>46027.38958333333</v>
      </c>
      <c r="G6" s="6">
        <v>46027.395833333336</v>
      </c>
      <c r="H6" s="6">
        <v>46027.402777777781</v>
      </c>
      <c r="I6">
        <v>2.67</v>
      </c>
      <c r="J6" s="6">
        <v>46027.409722222219</v>
      </c>
      <c r="K6" s="7">
        <f t="shared" si="0"/>
        <v>-0.10763888889050577</v>
      </c>
      <c r="L6" t="e">
        <f t="shared" si="1"/>
        <v>#NUM!</v>
      </c>
      <c r="M6" t="e">
        <f t="shared" si="2"/>
        <v>#NUM!</v>
      </c>
      <c r="N6" t="e">
        <f t="shared" si="3"/>
        <v>#NUM!</v>
      </c>
    </row>
    <row r="7" spans="2:14" hidden="1" x14ac:dyDescent="0.25">
      <c r="B7" t="s">
        <v>32</v>
      </c>
      <c r="C7" s="6">
        <v>46027.295138888891</v>
      </c>
      <c r="D7" s="6">
        <v>46027.322916666664</v>
      </c>
      <c r="E7" s="6">
        <v>46027.354166666664</v>
      </c>
      <c r="F7" s="6">
        <v>46027.458333333336</v>
      </c>
      <c r="G7" s="6">
        <v>46027.465277777781</v>
      </c>
      <c r="H7" s="6">
        <v>46027.472222222219</v>
      </c>
      <c r="I7">
        <v>4.25</v>
      </c>
      <c r="J7" s="6">
        <v>46027.479166666664</v>
      </c>
      <c r="K7" s="7">
        <f t="shared" si="0"/>
        <v>-0.10763888888322981</v>
      </c>
      <c r="L7" t="e">
        <f t="shared" si="1"/>
        <v>#NUM!</v>
      </c>
      <c r="M7" t="e">
        <f t="shared" si="2"/>
        <v>#NUM!</v>
      </c>
      <c r="N7" t="e">
        <f t="shared" si="3"/>
        <v>#NUM!</v>
      </c>
    </row>
    <row r="8" spans="2:14" x14ac:dyDescent="0.25">
      <c r="B8" t="s">
        <v>32</v>
      </c>
      <c r="C8" s="6">
        <v>46027.364583333336</v>
      </c>
      <c r="D8" s="6">
        <v>46027.371527777781</v>
      </c>
      <c r="E8" s="6">
        <v>46027.399305555555</v>
      </c>
      <c r="F8" s="6">
        <v>46027.503472222219</v>
      </c>
      <c r="G8" s="6">
        <v>46027.510416666664</v>
      </c>
      <c r="H8" s="6">
        <v>46027.513888888891</v>
      </c>
      <c r="I8">
        <v>3.58</v>
      </c>
      <c r="J8" s="6">
        <v>46027.520833333336</v>
      </c>
      <c r="K8" s="7">
        <f t="shared" si="0"/>
        <v>4.1666666664241347E-2</v>
      </c>
      <c r="L8">
        <f t="shared" si="1"/>
        <v>1</v>
      </c>
      <c r="M8">
        <f t="shared" si="2"/>
        <v>0</v>
      </c>
      <c r="N8">
        <f t="shared" si="3"/>
        <v>60</v>
      </c>
    </row>
    <row r="9" spans="2:14" x14ac:dyDescent="0.25">
      <c r="B9" t="s">
        <v>32</v>
      </c>
      <c r="C9" s="6">
        <v>46027.555555555555</v>
      </c>
      <c r="D9" s="6">
        <v>46027.572916666664</v>
      </c>
      <c r="E9" s="6">
        <v>46027.597222222219</v>
      </c>
      <c r="F9" s="6">
        <v>46027.694444444445</v>
      </c>
      <c r="G9" s="6">
        <v>46027.701388888891</v>
      </c>
      <c r="H9" s="6">
        <v>46027.708333333336</v>
      </c>
      <c r="I9">
        <v>3.67</v>
      </c>
      <c r="J9" s="6">
        <v>46027.715277777781</v>
      </c>
      <c r="K9" s="7">
        <f t="shared" si="0"/>
        <v>0.76388888888322981</v>
      </c>
      <c r="L9">
        <f t="shared" si="1"/>
        <v>18</v>
      </c>
      <c r="M9">
        <f t="shared" si="2"/>
        <v>20</v>
      </c>
      <c r="N9">
        <f t="shared" si="3"/>
        <v>1100</v>
      </c>
    </row>
    <row r="10" spans="2:14" x14ac:dyDescent="0.25">
      <c r="B10" t="s">
        <v>32</v>
      </c>
      <c r="C10" s="6">
        <v>46028.472222222219</v>
      </c>
      <c r="D10" s="6">
        <v>46028.479166666664</v>
      </c>
      <c r="E10" s="6">
        <v>46028.480555555558</v>
      </c>
      <c r="F10" s="6">
        <v>46028.506944444445</v>
      </c>
      <c r="G10" s="6">
        <v>46028.520833333336</v>
      </c>
      <c r="H10" s="6">
        <v>46028.541666666664</v>
      </c>
      <c r="I10">
        <v>1.67</v>
      </c>
      <c r="J10" s="6">
        <v>46028.548611111109</v>
      </c>
      <c r="K10" s="7">
        <f t="shared" si="0"/>
        <v>3.125E-2</v>
      </c>
      <c r="L10">
        <f t="shared" si="1"/>
        <v>0</v>
      </c>
      <c r="M10">
        <f t="shared" si="2"/>
        <v>45</v>
      </c>
      <c r="N10">
        <f t="shared" si="3"/>
        <v>45</v>
      </c>
    </row>
    <row r="11" spans="2:14" x14ac:dyDescent="0.25">
      <c r="B11" t="s">
        <v>32</v>
      </c>
      <c r="C11" s="6">
        <v>46028.572916666664</v>
      </c>
      <c r="D11" s="6">
        <v>46028.576388888891</v>
      </c>
      <c r="E11" s="6">
        <v>46028.590277777781</v>
      </c>
      <c r="F11" s="6">
        <v>46028.663194444445</v>
      </c>
      <c r="G11" s="6">
        <v>46028.731944444444</v>
      </c>
      <c r="H11" s="6">
        <v>46028.732638888891</v>
      </c>
      <c r="I11">
        <v>3.83</v>
      </c>
      <c r="J11" s="6">
        <v>46028.73333333333</v>
      </c>
      <c r="K11" s="7">
        <f t="shared" si="0"/>
        <v>0.51736111110949423</v>
      </c>
      <c r="L11">
        <f t="shared" si="1"/>
        <v>12</v>
      </c>
      <c r="M11">
        <f t="shared" si="2"/>
        <v>25</v>
      </c>
      <c r="N11">
        <f t="shared" si="3"/>
        <v>745</v>
      </c>
    </row>
    <row r="12" spans="2:14" x14ac:dyDescent="0.25">
      <c r="B12" t="s">
        <v>32</v>
      </c>
      <c r="C12" s="6">
        <v>46029.25</v>
      </c>
      <c r="D12" s="6">
        <v>46029.277083333334</v>
      </c>
      <c r="E12" s="6">
        <v>46029.277777777781</v>
      </c>
      <c r="F12" s="6">
        <v>46029.319444444445</v>
      </c>
      <c r="G12" s="6">
        <v>46029.322916666664</v>
      </c>
      <c r="H12" s="6">
        <v>46029.326388888891</v>
      </c>
      <c r="I12">
        <v>1.83</v>
      </c>
      <c r="J12" s="6">
        <v>46029.333333333336</v>
      </c>
      <c r="K12" s="7">
        <f t="shared" si="0"/>
        <v>0.33680555555474712</v>
      </c>
      <c r="L12">
        <f t="shared" si="1"/>
        <v>8</v>
      </c>
      <c r="M12">
        <f t="shared" si="2"/>
        <v>5</v>
      </c>
      <c r="N12">
        <f t="shared" si="3"/>
        <v>485</v>
      </c>
    </row>
    <row r="13" spans="2:14" x14ac:dyDescent="0.25">
      <c r="B13" t="s">
        <v>32</v>
      </c>
      <c r="C13" s="6">
        <v>46029.663194444445</v>
      </c>
      <c r="D13" s="6">
        <v>46029.670138888891</v>
      </c>
      <c r="E13" s="6">
        <v>46029.680555555555</v>
      </c>
      <c r="F13" s="6">
        <v>46029.715277777781</v>
      </c>
      <c r="G13" s="6">
        <v>46029.722222222219</v>
      </c>
      <c r="H13" s="6">
        <v>46029.729166666664</v>
      </c>
      <c r="I13">
        <v>1.58</v>
      </c>
      <c r="J13" s="6">
        <v>46029.736111111109</v>
      </c>
      <c r="K13" s="7">
        <f t="shared" si="0"/>
        <v>0.56597222222626442</v>
      </c>
      <c r="L13">
        <f t="shared" si="1"/>
        <v>13</v>
      </c>
      <c r="M13">
        <f t="shared" si="2"/>
        <v>35</v>
      </c>
      <c r="N13">
        <f t="shared" si="3"/>
        <v>815</v>
      </c>
    </row>
    <row r="14" spans="2:14" x14ac:dyDescent="0.25">
      <c r="B14" t="s">
        <v>32</v>
      </c>
      <c r="C14" s="6">
        <v>46030.295138888891</v>
      </c>
      <c r="D14" s="6">
        <v>46030.326388888891</v>
      </c>
      <c r="E14" s="6">
        <v>46030.340277777781</v>
      </c>
      <c r="F14" s="6">
        <v>46030.378472222219</v>
      </c>
      <c r="G14" s="6">
        <v>46030.385416666664</v>
      </c>
      <c r="H14" s="6">
        <v>46030.388888888891</v>
      </c>
      <c r="I14">
        <v>2.25</v>
      </c>
      <c r="J14" s="6">
        <v>46030.395833333336</v>
      </c>
      <c r="K14" s="7">
        <f t="shared" si="0"/>
        <v>0.22222222221898846</v>
      </c>
      <c r="L14">
        <f t="shared" si="1"/>
        <v>5</v>
      </c>
      <c r="M14">
        <f t="shared" si="2"/>
        <v>20</v>
      </c>
      <c r="N14">
        <f t="shared" si="3"/>
        <v>320</v>
      </c>
    </row>
    <row r="15" spans="2:14" x14ac:dyDescent="0.25">
      <c r="B15" t="s">
        <v>32</v>
      </c>
      <c r="C15" s="6">
        <v>46030.611111111109</v>
      </c>
      <c r="D15" s="6">
        <v>46030.635416666664</v>
      </c>
      <c r="E15" s="6">
        <v>46030.663194444445</v>
      </c>
      <c r="F15" s="6">
        <v>46030.704861111109</v>
      </c>
      <c r="G15" s="6">
        <v>46030.711805555555</v>
      </c>
      <c r="H15" s="6">
        <v>46030.725694444445</v>
      </c>
      <c r="I15">
        <v>2.75</v>
      </c>
      <c r="J15" s="6">
        <v>46030.732638888891</v>
      </c>
      <c r="K15" s="7">
        <f t="shared" si="0"/>
        <v>0.62152777777373558</v>
      </c>
      <c r="L15">
        <f t="shared" si="1"/>
        <v>14</v>
      </c>
      <c r="M15">
        <f t="shared" si="2"/>
        <v>55</v>
      </c>
      <c r="N15">
        <f t="shared" si="3"/>
        <v>895</v>
      </c>
    </row>
    <row r="16" spans="2:14" x14ac:dyDescent="0.25">
      <c r="B16" t="s">
        <v>32</v>
      </c>
      <c r="C16" s="6">
        <v>46031.347222222219</v>
      </c>
      <c r="D16" s="6">
        <v>46031.368055555555</v>
      </c>
      <c r="E16" s="6">
        <v>46031.402777777781</v>
      </c>
      <c r="F16" s="6">
        <v>46031.495138888888</v>
      </c>
      <c r="G16" s="6">
        <v>46031.502083333333</v>
      </c>
      <c r="H16" s="6">
        <v>46031.513888888891</v>
      </c>
      <c r="I16">
        <v>4</v>
      </c>
      <c r="J16" s="6">
        <v>46031.520833333336</v>
      </c>
      <c r="K16" s="7">
        <f t="shared" si="0"/>
        <v>0.125</v>
      </c>
      <c r="L16">
        <f t="shared" si="1"/>
        <v>3</v>
      </c>
      <c r="M16">
        <f t="shared" si="2"/>
        <v>0</v>
      </c>
      <c r="N16">
        <f t="shared" si="3"/>
        <v>180</v>
      </c>
    </row>
    <row r="17" spans="2:14" x14ac:dyDescent="0.25">
      <c r="B17" t="s">
        <v>32</v>
      </c>
      <c r="C17" s="6">
        <v>46031.638888888891</v>
      </c>
      <c r="D17" s="6">
        <v>46031.645833333336</v>
      </c>
      <c r="E17" s="6">
        <v>46031.690972222219</v>
      </c>
      <c r="F17" s="6">
        <v>46031.84375</v>
      </c>
      <c r="G17" s="6">
        <v>46031.888888888891</v>
      </c>
      <c r="H17" s="6">
        <v>46031.898611111108</v>
      </c>
      <c r="I17">
        <v>6.23</v>
      </c>
      <c r="J17" s="6">
        <v>46031.905555555553</v>
      </c>
      <c r="K17" s="7">
        <f t="shared" si="0"/>
        <v>2.4590277777824667</v>
      </c>
      <c r="L17">
        <f t="shared" si="1"/>
        <v>11</v>
      </c>
      <c r="M17">
        <f t="shared" si="2"/>
        <v>1</v>
      </c>
      <c r="N17">
        <f t="shared" si="3"/>
        <v>661</v>
      </c>
    </row>
    <row r="18" spans="2:14" x14ac:dyDescent="0.25">
      <c r="B18" t="s">
        <v>32</v>
      </c>
      <c r="C18" s="6">
        <v>46034.357638888891</v>
      </c>
      <c r="D18" s="6">
        <v>46034.364583333336</v>
      </c>
      <c r="E18" s="6">
        <v>46034.388888888891</v>
      </c>
      <c r="F18" s="6">
        <v>46034.423611111109</v>
      </c>
      <c r="G18" s="6">
        <v>46034.4375</v>
      </c>
      <c r="H18" s="6">
        <v>46034.444444444445</v>
      </c>
      <c r="I18">
        <v>2.08</v>
      </c>
      <c r="J18" s="6">
        <v>46034.451388888891</v>
      </c>
      <c r="K18" s="7">
        <f t="shared" si="0"/>
        <v>2.7777777773735579E-2</v>
      </c>
      <c r="L18">
        <f t="shared" si="1"/>
        <v>0</v>
      </c>
      <c r="M18">
        <f t="shared" si="2"/>
        <v>40</v>
      </c>
      <c r="N18">
        <f t="shared" si="3"/>
        <v>40</v>
      </c>
    </row>
    <row r="19" spans="2:14" x14ac:dyDescent="0.25">
      <c r="B19" t="s">
        <v>32</v>
      </c>
      <c r="C19" s="6">
        <v>46034.472222222219</v>
      </c>
      <c r="D19" s="6">
        <v>46034.482638888891</v>
      </c>
      <c r="E19" s="6">
        <v>46034.486111111109</v>
      </c>
      <c r="F19" s="6">
        <v>46034.5</v>
      </c>
      <c r="G19" s="6">
        <v>46034.506944444445</v>
      </c>
      <c r="H19" s="6">
        <v>46034.508333333331</v>
      </c>
      <c r="I19">
        <v>0.87</v>
      </c>
      <c r="J19" s="6">
        <v>46034.509027777778</v>
      </c>
      <c r="K19" s="7">
        <f t="shared" si="0"/>
        <v>0.81458333333284827</v>
      </c>
      <c r="L19">
        <f t="shared" si="1"/>
        <v>19</v>
      </c>
      <c r="M19">
        <f t="shared" si="2"/>
        <v>33</v>
      </c>
      <c r="N19">
        <f t="shared" si="3"/>
        <v>1173</v>
      </c>
    </row>
    <row r="20" spans="2:14" x14ac:dyDescent="0.25">
      <c r="B20" t="s">
        <v>32</v>
      </c>
      <c r="C20" s="6">
        <v>46035.322916666664</v>
      </c>
      <c r="D20" s="6">
        <v>46035.326388888891</v>
      </c>
      <c r="E20" s="6">
        <v>46035.333333333336</v>
      </c>
      <c r="F20" s="6">
        <v>46035.336805555555</v>
      </c>
      <c r="G20" s="6">
        <v>46035.340277777781</v>
      </c>
      <c r="H20" s="6">
        <v>46035.34375</v>
      </c>
      <c r="I20">
        <v>0.5</v>
      </c>
      <c r="J20" s="6">
        <v>46035.350694444445</v>
      </c>
      <c r="K20" s="7">
        <f t="shared" si="0"/>
        <v>2.7777777781011537E-2</v>
      </c>
      <c r="L20">
        <f t="shared" si="1"/>
        <v>0</v>
      </c>
      <c r="M20">
        <f t="shared" si="2"/>
        <v>40</v>
      </c>
      <c r="N20">
        <f t="shared" si="3"/>
        <v>40</v>
      </c>
    </row>
    <row r="21" spans="2:14" x14ac:dyDescent="0.25">
      <c r="B21" t="s">
        <v>32</v>
      </c>
      <c r="C21" s="6">
        <v>46035.371527777781</v>
      </c>
      <c r="D21" s="6">
        <v>46035.378472222219</v>
      </c>
      <c r="E21" s="6">
        <v>46035.381944444445</v>
      </c>
      <c r="F21" s="6">
        <v>46035.388888888891</v>
      </c>
      <c r="G21" s="6">
        <v>46035.392361111109</v>
      </c>
      <c r="H21" s="6">
        <v>46035.395833333336</v>
      </c>
      <c r="I21">
        <v>0.57999999999999996</v>
      </c>
      <c r="J21" s="6">
        <v>46035.396527777775</v>
      </c>
      <c r="K21" s="7">
        <f t="shared" si="0"/>
        <v>4.8611111109494232E-2</v>
      </c>
      <c r="L21">
        <f t="shared" si="1"/>
        <v>1</v>
      </c>
      <c r="M21">
        <f t="shared" si="2"/>
        <v>10</v>
      </c>
      <c r="N21">
        <f t="shared" si="3"/>
        <v>70</v>
      </c>
    </row>
    <row r="22" spans="2:14" x14ac:dyDescent="0.25">
      <c r="B22" t="s">
        <v>32</v>
      </c>
      <c r="C22" s="6">
        <v>46035.444444444445</v>
      </c>
      <c r="D22" s="6">
        <v>46035.451388888891</v>
      </c>
      <c r="E22" s="6">
        <v>46035.458333333336</v>
      </c>
      <c r="F22" s="6">
        <v>46035.465277777781</v>
      </c>
      <c r="G22" s="6">
        <v>46035.472222222219</v>
      </c>
      <c r="H22" s="6">
        <v>46035.486111111109</v>
      </c>
      <c r="I22">
        <v>1</v>
      </c>
      <c r="J22" s="6">
        <v>46035.493055555555</v>
      </c>
      <c r="K22" s="7">
        <f t="shared" si="0"/>
        <v>8.6805555554747116E-2</v>
      </c>
      <c r="L22">
        <f t="shared" si="1"/>
        <v>2</v>
      </c>
      <c r="M22">
        <f t="shared" si="2"/>
        <v>5</v>
      </c>
      <c r="N22">
        <f t="shared" si="3"/>
        <v>125</v>
      </c>
    </row>
    <row r="23" spans="2:14" hidden="1" x14ac:dyDescent="0.25">
      <c r="B23" t="s">
        <v>32</v>
      </c>
      <c r="C23" s="6">
        <v>46035.572916666664</v>
      </c>
      <c r="D23" s="6">
        <v>46035.576388888891</v>
      </c>
      <c r="E23" s="6">
        <v>46035.604166666664</v>
      </c>
      <c r="F23" s="6">
        <v>46035.754861111112</v>
      </c>
      <c r="G23" s="6">
        <v>46035.802083333336</v>
      </c>
      <c r="H23" s="6">
        <v>46035.875</v>
      </c>
      <c r="I23">
        <v>7.25</v>
      </c>
      <c r="J23" s="6">
        <v>46035.881944444445</v>
      </c>
      <c r="K23" s="7">
        <f t="shared" si="0"/>
        <v>-0.20833333333575865</v>
      </c>
      <c r="L23" t="e">
        <f t="shared" si="1"/>
        <v>#NUM!</v>
      </c>
      <c r="M23" t="e">
        <f t="shared" si="2"/>
        <v>#NUM!</v>
      </c>
      <c r="N23" t="e">
        <f t="shared" si="3"/>
        <v>#NUM!</v>
      </c>
    </row>
    <row r="24" spans="2:14" x14ac:dyDescent="0.25">
      <c r="B24" t="s">
        <v>32</v>
      </c>
      <c r="C24" s="6">
        <v>46035.666666666664</v>
      </c>
      <c r="D24" s="6">
        <v>46035.6875</v>
      </c>
      <c r="E24" s="6">
        <v>46035.708333333336</v>
      </c>
      <c r="F24" s="6">
        <v>46035.791666666664</v>
      </c>
      <c r="G24" s="6">
        <v>46035.798611111109</v>
      </c>
      <c r="H24" s="6">
        <v>46035.8125</v>
      </c>
      <c r="I24">
        <v>3.5</v>
      </c>
      <c r="J24" s="6">
        <v>46035.813194444447</v>
      </c>
      <c r="K24" s="7">
        <f t="shared" si="0"/>
        <v>0.6875</v>
      </c>
      <c r="L24">
        <f t="shared" si="1"/>
        <v>16</v>
      </c>
      <c r="M24">
        <f t="shared" si="2"/>
        <v>30</v>
      </c>
      <c r="N24">
        <f t="shared" si="3"/>
        <v>990</v>
      </c>
    </row>
    <row r="25" spans="2:14" x14ac:dyDescent="0.25">
      <c r="B25" t="s">
        <v>32</v>
      </c>
      <c r="C25" s="6">
        <v>46036.5</v>
      </c>
      <c r="D25" s="6">
        <v>46036.506944444445</v>
      </c>
      <c r="E25" s="6">
        <v>46036.513888888891</v>
      </c>
      <c r="F25" s="6">
        <v>46036.618055555555</v>
      </c>
      <c r="G25" s="6">
        <v>46036.638888888891</v>
      </c>
      <c r="H25" s="6">
        <v>46036.645833333336</v>
      </c>
      <c r="I25">
        <v>3.5</v>
      </c>
      <c r="J25" s="6">
        <v>46036.649305555555</v>
      </c>
      <c r="K25" s="7">
        <f t="shared" si="0"/>
        <v>7.2916666664241347E-2</v>
      </c>
      <c r="L25">
        <f t="shared" si="1"/>
        <v>1</v>
      </c>
      <c r="M25">
        <f t="shared" si="2"/>
        <v>45</v>
      </c>
      <c r="N25">
        <f t="shared" si="3"/>
        <v>105</v>
      </c>
    </row>
    <row r="26" spans="2:14" x14ac:dyDescent="0.25">
      <c r="B26" t="s">
        <v>32</v>
      </c>
      <c r="C26" s="6">
        <v>46036.71875</v>
      </c>
      <c r="D26" s="6">
        <v>46036.767361111109</v>
      </c>
      <c r="E26" s="6">
        <v>46036.774305555555</v>
      </c>
      <c r="F26" s="6">
        <v>46036.805555555555</v>
      </c>
      <c r="G26" s="6">
        <v>46036.8125</v>
      </c>
      <c r="H26" s="6">
        <v>46036.819444444445</v>
      </c>
      <c r="I26">
        <v>2.42</v>
      </c>
      <c r="J26" s="6">
        <v>46036.826388888891</v>
      </c>
      <c r="K26" s="7">
        <f t="shared" si="0"/>
        <v>0.46180555555474712</v>
      </c>
      <c r="L26">
        <f t="shared" si="1"/>
        <v>11</v>
      </c>
      <c r="M26">
        <f t="shared" si="2"/>
        <v>5</v>
      </c>
      <c r="N26">
        <f t="shared" si="3"/>
        <v>665</v>
      </c>
    </row>
    <row r="27" spans="2:14" x14ac:dyDescent="0.25">
      <c r="B27" t="s">
        <v>32</v>
      </c>
      <c r="C27" s="6">
        <v>46037.28125</v>
      </c>
      <c r="D27" s="6">
        <v>46037.326388888891</v>
      </c>
      <c r="E27" s="6">
        <v>46037.336805555555</v>
      </c>
      <c r="F27" s="6">
        <v>46037.356249999997</v>
      </c>
      <c r="G27" s="6">
        <v>46037.363194444442</v>
      </c>
      <c r="H27" s="6">
        <v>46037.364583333336</v>
      </c>
      <c r="I27">
        <v>2</v>
      </c>
      <c r="J27" s="6">
        <v>46037.371527777781</v>
      </c>
      <c r="K27" s="7">
        <f t="shared" si="0"/>
        <v>6.9444444445252884E-2</v>
      </c>
      <c r="L27">
        <f t="shared" si="1"/>
        <v>1</v>
      </c>
      <c r="M27">
        <f t="shared" si="2"/>
        <v>40</v>
      </c>
      <c r="N27">
        <f t="shared" si="3"/>
        <v>100</v>
      </c>
    </row>
    <row r="28" spans="2:14" hidden="1" x14ac:dyDescent="0.25">
      <c r="B28" t="s">
        <v>32</v>
      </c>
      <c r="C28" s="6">
        <v>46037.434027777781</v>
      </c>
      <c r="D28" s="6">
        <v>46037.444444444445</v>
      </c>
      <c r="E28" s="6">
        <v>46037.451388888891</v>
      </c>
      <c r="F28" s="6">
        <v>46037.5</v>
      </c>
      <c r="G28" s="6">
        <v>46037.506944444445</v>
      </c>
      <c r="H28" s="6">
        <v>46037.520833333336</v>
      </c>
      <c r="I28">
        <v>2.08</v>
      </c>
      <c r="J28" s="6">
        <v>46037.527777777781</v>
      </c>
      <c r="K28" s="7">
        <f t="shared" si="0"/>
        <v>0</v>
      </c>
      <c r="L28">
        <f t="shared" si="1"/>
        <v>0</v>
      </c>
      <c r="M28">
        <f t="shared" si="2"/>
        <v>0</v>
      </c>
      <c r="N28">
        <f t="shared" si="3"/>
        <v>0</v>
      </c>
    </row>
    <row r="29" spans="2:14" hidden="1" x14ac:dyDescent="0.25">
      <c r="B29" t="s">
        <v>32</v>
      </c>
      <c r="C29" s="6">
        <v>46037.520833333336</v>
      </c>
      <c r="D29" s="6">
        <v>46037.527777777781</v>
      </c>
      <c r="E29" s="6">
        <v>46037.583333333336</v>
      </c>
      <c r="F29" s="6">
        <v>46037.613888888889</v>
      </c>
      <c r="G29" s="6">
        <v>46037.620833333334</v>
      </c>
      <c r="H29" s="6">
        <v>46037.638888888891</v>
      </c>
      <c r="I29">
        <v>2.82</v>
      </c>
      <c r="J29" s="6">
        <v>46037.645833333336</v>
      </c>
      <c r="K29" s="7">
        <f t="shared" si="0"/>
        <v>-5.5555555591126904E-3</v>
      </c>
      <c r="L29" t="e">
        <f t="shared" si="1"/>
        <v>#NUM!</v>
      </c>
      <c r="M29" t="e">
        <f t="shared" si="2"/>
        <v>#NUM!</v>
      </c>
      <c r="N29" t="e">
        <f t="shared" si="3"/>
        <v>#NUM!</v>
      </c>
    </row>
    <row r="30" spans="2:14" hidden="1" x14ac:dyDescent="0.25">
      <c r="B30" t="s">
        <v>32</v>
      </c>
      <c r="C30" s="6">
        <v>46037.633333333331</v>
      </c>
      <c r="D30" s="6">
        <v>46037.640277777777</v>
      </c>
      <c r="E30" s="6">
        <v>46037.649305555555</v>
      </c>
      <c r="F30" s="6">
        <v>46037.701388888891</v>
      </c>
      <c r="G30" s="6">
        <v>46037.708333333336</v>
      </c>
      <c r="H30" s="6">
        <v>46037.715277777781</v>
      </c>
      <c r="I30">
        <v>1.97</v>
      </c>
      <c r="J30" s="6">
        <v>46037.722222222219</v>
      </c>
      <c r="K30" s="7">
        <f t="shared" si="0"/>
        <v>-4.1666666671517305E-2</v>
      </c>
      <c r="L30" t="e">
        <f t="shared" si="1"/>
        <v>#NUM!</v>
      </c>
      <c r="M30" t="e">
        <f t="shared" si="2"/>
        <v>#NUM!</v>
      </c>
      <c r="N30" t="e">
        <f t="shared" si="3"/>
        <v>#NUM!</v>
      </c>
    </row>
    <row r="31" spans="2:14" x14ac:dyDescent="0.25">
      <c r="B31" t="s">
        <v>32</v>
      </c>
      <c r="C31" s="6">
        <v>46037.673611111109</v>
      </c>
      <c r="D31" s="6">
        <v>46037.680555555555</v>
      </c>
      <c r="E31" s="6">
        <v>46037.684027777781</v>
      </c>
      <c r="F31" s="6">
        <v>46037.716666666667</v>
      </c>
      <c r="G31" s="6">
        <v>46037.723611111112</v>
      </c>
      <c r="H31" s="6">
        <v>46037.725694444445</v>
      </c>
      <c r="I31">
        <v>1.25</v>
      </c>
      <c r="J31" s="6">
        <v>46037.732638888891</v>
      </c>
      <c r="K31" s="7">
        <f t="shared" si="0"/>
        <v>0.63194444444525288</v>
      </c>
      <c r="L31">
        <f t="shared" si="1"/>
        <v>15</v>
      </c>
      <c r="M31">
        <f t="shared" si="2"/>
        <v>10</v>
      </c>
      <c r="N31">
        <f t="shared" si="3"/>
        <v>910</v>
      </c>
    </row>
    <row r="32" spans="2:14" x14ac:dyDescent="0.25">
      <c r="B32" t="s">
        <v>32</v>
      </c>
      <c r="C32" s="6">
        <v>46038.357638888891</v>
      </c>
      <c r="D32" s="6">
        <v>46038.381944444445</v>
      </c>
      <c r="E32" s="6">
        <v>46038.399305555555</v>
      </c>
      <c r="F32" s="6">
        <v>46038.46875</v>
      </c>
      <c r="G32" s="6">
        <v>46038.469444444447</v>
      </c>
      <c r="H32" s="6">
        <v>46038.472222222219</v>
      </c>
      <c r="I32">
        <v>2.75</v>
      </c>
      <c r="J32" s="6">
        <v>46038.479166666664</v>
      </c>
      <c r="K32" s="7">
        <f t="shared" si="0"/>
        <v>2.8090277777810115</v>
      </c>
      <c r="L32">
        <f t="shared" si="1"/>
        <v>19</v>
      </c>
      <c r="M32">
        <f t="shared" si="2"/>
        <v>25</v>
      </c>
      <c r="N32">
        <f t="shared" si="3"/>
        <v>1165</v>
      </c>
    </row>
    <row r="33" spans="2:14" x14ac:dyDescent="0.25">
      <c r="B33" t="s">
        <v>32</v>
      </c>
      <c r="C33" s="6">
        <v>46041.28125</v>
      </c>
      <c r="D33" s="6">
        <v>46041.322916666664</v>
      </c>
      <c r="E33" s="6">
        <v>46041.347222222219</v>
      </c>
      <c r="F33" s="6">
        <v>46041.420138888891</v>
      </c>
      <c r="G33" s="6">
        <v>46041.427083333336</v>
      </c>
      <c r="H33" s="6">
        <v>46041.444444444445</v>
      </c>
      <c r="I33">
        <v>3.92</v>
      </c>
      <c r="J33" s="6">
        <v>46041.451388888891</v>
      </c>
      <c r="K33" s="7">
        <f t="shared" si="0"/>
        <v>4.1666666664241347E-2</v>
      </c>
      <c r="L33">
        <f t="shared" si="1"/>
        <v>1</v>
      </c>
      <c r="M33">
        <f t="shared" si="2"/>
        <v>0</v>
      </c>
      <c r="N33">
        <f t="shared" si="3"/>
        <v>60</v>
      </c>
    </row>
    <row r="34" spans="2:14" x14ac:dyDescent="0.25">
      <c r="B34" t="s">
        <v>32</v>
      </c>
      <c r="C34" s="6">
        <v>46041.486111111109</v>
      </c>
      <c r="D34" s="6">
        <v>46041.493055555555</v>
      </c>
      <c r="E34" s="6">
        <v>46041.503472222219</v>
      </c>
      <c r="F34" s="6">
        <v>46041.541666666664</v>
      </c>
      <c r="G34" s="6">
        <v>46041.548611111109</v>
      </c>
      <c r="H34" s="6">
        <v>46041.5625</v>
      </c>
      <c r="I34">
        <v>1.83</v>
      </c>
      <c r="J34" s="6">
        <v>46041.569444444445</v>
      </c>
      <c r="K34" s="7">
        <f t="shared" si="0"/>
        <v>5.5555555554747116E-2</v>
      </c>
      <c r="L34">
        <f t="shared" si="1"/>
        <v>1</v>
      </c>
      <c r="M34">
        <f t="shared" si="2"/>
        <v>20</v>
      </c>
      <c r="N34">
        <f t="shared" si="3"/>
        <v>80</v>
      </c>
    </row>
    <row r="35" spans="2:14" x14ac:dyDescent="0.25">
      <c r="B35" t="s">
        <v>32</v>
      </c>
      <c r="C35" s="6">
        <v>46041.618055555555</v>
      </c>
      <c r="D35" s="6">
        <v>46041.638888888891</v>
      </c>
      <c r="E35" s="6">
        <v>46041.65625</v>
      </c>
      <c r="F35" s="6">
        <v>46041.82708333333</v>
      </c>
      <c r="G35" s="6">
        <v>46041.834027777775</v>
      </c>
      <c r="H35" s="6">
        <v>46041.892361111109</v>
      </c>
      <c r="I35">
        <v>6.58</v>
      </c>
      <c r="J35" s="6">
        <v>46041.899305555555</v>
      </c>
      <c r="K35" s="7">
        <f t="shared" si="0"/>
        <v>0.54513888889050577</v>
      </c>
      <c r="L35">
        <f t="shared" si="1"/>
        <v>13</v>
      </c>
      <c r="M35">
        <f t="shared" si="2"/>
        <v>5</v>
      </c>
      <c r="N35">
        <f t="shared" si="3"/>
        <v>785</v>
      </c>
    </row>
    <row r="36" spans="2:14" x14ac:dyDescent="0.25">
      <c r="B36" t="s">
        <v>32</v>
      </c>
      <c r="C36" s="6">
        <v>46042.4375</v>
      </c>
      <c r="D36" s="6">
        <v>46042.444444444445</v>
      </c>
      <c r="E36" s="6">
        <v>46042.451388888891</v>
      </c>
      <c r="F36" s="6">
        <v>46042.46875</v>
      </c>
      <c r="G36" s="6">
        <v>46042.475694444445</v>
      </c>
      <c r="H36" s="6">
        <v>46042.492361111108</v>
      </c>
      <c r="I36">
        <v>1.32</v>
      </c>
      <c r="J36" s="6">
        <v>46042.493055555555</v>
      </c>
      <c r="K36" s="7">
        <f t="shared" si="0"/>
        <v>4.2361111110949423E-2</v>
      </c>
      <c r="L36">
        <f t="shared" si="1"/>
        <v>1</v>
      </c>
      <c r="M36">
        <f t="shared" si="2"/>
        <v>1</v>
      </c>
      <c r="N36">
        <f t="shared" si="3"/>
        <v>61</v>
      </c>
    </row>
    <row r="37" spans="2:14" x14ac:dyDescent="0.25">
      <c r="B37" t="s">
        <v>32</v>
      </c>
      <c r="C37" s="6">
        <v>46042.534722222219</v>
      </c>
      <c r="D37" s="6">
        <v>46042.548611111109</v>
      </c>
      <c r="E37" s="6">
        <v>46042.559027777781</v>
      </c>
      <c r="F37" s="6">
        <v>46042.611111111109</v>
      </c>
      <c r="G37" s="6">
        <v>46042.625</v>
      </c>
      <c r="H37" s="6">
        <v>46042.642361111109</v>
      </c>
      <c r="I37">
        <v>2.58</v>
      </c>
      <c r="J37" s="6">
        <v>46042.644444444442</v>
      </c>
      <c r="K37" s="7">
        <f t="shared" si="0"/>
        <v>4.3750000004365575E-2</v>
      </c>
      <c r="L37">
        <f t="shared" si="1"/>
        <v>1</v>
      </c>
      <c r="M37">
        <f t="shared" si="2"/>
        <v>3</v>
      </c>
      <c r="N37">
        <f t="shared" si="3"/>
        <v>63</v>
      </c>
    </row>
    <row r="38" spans="2:14" x14ac:dyDescent="0.25">
      <c r="B38" t="s">
        <v>32</v>
      </c>
      <c r="C38" s="6">
        <v>46042.686111111114</v>
      </c>
      <c r="D38" s="6">
        <v>46042.690972222219</v>
      </c>
      <c r="E38" s="6">
        <v>46042.708333333336</v>
      </c>
      <c r="F38" s="6">
        <v>46042.729166666664</v>
      </c>
      <c r="G38" s="6">
        <v>46042.736111111109</v>
      </c>
      <c r="H38" s="6">
        <v>46042.743055555555</v>
      </c>
      <c r="I38">
        <v>1.37</v>
      </c>
      <c r="J38" s="6">
        <v>46042.745833333334</v>
      </c>
      <c r="K38" s="7">
        <f t="shared" si="0"/>
        <v>0.57638888889050577</v>
      </c>
      <c r="L38">
        <f t="shared" si="1"/>
        <v>13</v>
      </c>
      <c r="M38">
        <f t="shared" si="2"/>
        <v>50</v>
      </c>
      <c r="N38">
        <f t="shared" si="3"/>
        <v>830</v>
      </c>
    </row>
    <row r="39" spans="2:14" x14ac:dyDescent="0.25">
      <c r="B39" t="s">
        <v>32</v>
      </c>
      <c r="C39" s="6">
        <v>46043.319444444445</v>
      </c>
      <c r="D39" s="6">
        <v>46043.333333333336</v>
      </c>
      <c r="E39" s="6">
        <v>46043.354166666664</v>
      </c>
      <c r="F39" s="6">
        <v>46043.395833333336</v>
      </c>
      <c r="G39" s="6">
        <v>46043.402777777781</v>
      </c>
      <c r="H39" s="6">
        <v>46043.423611111109</v>
      </c>
      <c r="I39">
        <v>2.5</v>
      </c>
      <c r="J39" s="6">
        <v>46043.430555555555</v>
      </c>
      <c r="K39" s="7">
        <f t="shared" si="0"/>
        <v>5.9027777781011537E-2</v>
      </c>
      <c r="L39">
        <f t="shared" si="1"/>
        <v>1</v>
      </c>
      <c r="M39">
        <f t="shared" si="2"/>
        <v>25</v>
      </c>
      <c r="N39">
        <f t="shared" si="3"/>
        <v>85</v>
      </c>
    </row>
    <row r="40" spans="2:14" x14ac:dyDescent="0.25">
      <c r="B40" t="s">
        <v>32</v>
      </c>
      <c r="C40" s="6">
        <v>46043.482638888891</v>
      </c>
      <c r="D40" s="6">
        <v>46043.5</v>
      </c>
      <c r="E40" s="6">
        <v>46043.520833333336</v>
      </c>
      <c r="F40" s="6">
        <v>46043.541666666664</v>
      </c>
      <c r="G40" s="6">
        <v>46043.548611111109</v>
      </c>
      <c r="H40" s="6">
        <v>46043.5625</v>
      </c>
      <c r="I40">
        <v>1.92</v>
      </c>
      <c r="J40" s="6">
        <v>46043.569444444445</v>
      </c>
      <c r="K40" s="7">
        <f t="shared" si="0"/>
        <v>0.84027777778101154</v>
      </c>
      <c r="L40">
        <f t="shared" si="1"/>
        <v>20</v>
      </c>
      <c r="M40">
        <f t="shared" si="2"/>
        <v>10</v>
      </c>
      <c r="N40">
        <f t="shared" si="3"/>
        <v>1210</v>
      </c>
    </row>
    <row r="41" spans="2:14" x14ac:dyDescent="0.25">
      <c r="B41" t="s">
        <v>32</v>
      </c>
      <c r="C41" s="6">
        <v>46044.402777777781</v>
      </c>
      <c r="D41" s="6">
        <v>46044.4375</v>
      </c>
      <c r="E41" s="6">
        <v>46044.458333333336</v>
      </c>
      <c r="F41" s="6">
        <v>46044.513888888891</v>
      </c>
      <c r="G41" s="6">
        <v>46044.517361111109</v>
      </c>
      <c r="H41" s="6">
        <v>46044.520833333336</v>
      </c>
      <c r="I41">
        <v>2.83</v>
      </c>
      <c r="J41" s="6">
        <v>46044.521527777775</v>
      </c>
      <c r="K41" s="7">
        <f t="shared" si="0"/>
        <v>0.76736111110949423</v>
      </c>
      <c r="L41">
        <f t="shared" si="1"/>
        <v>18</v>
      </c>
      <c r="M41">
        <f t="shared" si="2"/>
        <v>25</v>
      </c>
      <c r="N41">
        <f t="shared" si="3"/>
        <v>1105</v>
      </c>
    </row>
    <row r="42" spans="2:14" x14ac:dyDescent="0.25">
      <c r="B42" t="s">
        <v>32</v>
      </c>
      <c r="C42" s="6">
        <v>46045.288194444445</v>
      </c>
      <c r="D42" s="6">
        <v>46045.347222222219</v>
      </c>
      <c r="E42" s="6">
        <v>46045.356249999997</v>
      </c>
      <c r="F42" s="6">
        <v>46045.385416666664</v>
      </c>
      <c r="G42" s="6">
        <v>46045.388888888891</v>
      </c>
      <c r="H42" s="6">
        <v>46045.392361111109</v>
      </c>
      <c r="I42">
        <v>2.5</v>
      </c>
      <c r="J42" s="6">
        <v>46045.399305555555</v>
      </c>
      <c r="K42" s="7">
        <f t="shared" si="0"/>
        <v>0.10416666667151731</v>
      </c>
      <c r="L42">
        <f t="shared" si="1"/>
        <v>2</v>
      </c>
      <c r="M42">
        <f t="shared" si="2"/>
        <v>30</v>
      </c>
      <c r="N42">
        <f t="shared" si="3"/>
        <v>150</v>
      </c>
    </row>
    <row r="43" spans="2:14" x14ac:dyDescent="0.25">
      <c r="B43" t="s">
        <v>32</v>
      </c>
      <c r="C43" s="6">
        <v>46045.496527777781</v>
      </c>
      <c r="D43" s="6">
        <v>46045.503472222219</v>
      </c>
      <c r="E43" s="6">
        <v>46045.510416666664</v>
      </c>
      <c r="F43" s="6">
        <v>46045.59375</v>
      </c>
      <c r="G43" s="6">
        <v>46045.600694444445</v>
      </c>
      <c r="H43" s="6">
        <v>46045.673611111109</v>
      </c>
      <c r="I43">
        <v>4.25</v>
      </c>
      <c r="J43" s="6">
        <v>46045.680555555555</v>
      </c>
      <c r="K43" s="7">
        <f t="shared" si="0"/>
        <v>5.2083333335758653E-2</v>
      </c>
      <c r="L43">
        <f t="shared" si="1"/>
        <v>1</v>
      </c>
      <c r="M43">
        <f t="shared" si="2"/>
        <v>15</v>
      </c>
      <c r="N43">
        <f t="shared" si="3"/>
        <v>75</v>
      </c>
    </row>
    <row r="44" spans="2:14" x14ac:dyDescent="0.25">
      <c r="B44" t="s">
        <v>32</v>
      </c>
      <c r="C44" s="6">
        <v>46045.725694444445</v>
      </c>
      <c r="D44" s="6">
        <v>46045.756944444445</v>
      </c>
      <c r="E44" s="6">
        <v>46045.791666666664</v>
      </c>
      <c r="F44" s="6">
        <v>46045.952777777777</v>
      </c>
      <c r="G44" s="6">
        <v>46045.959722222222</v>
      </c>
      <c r="H44" s="6">
        <v>46046.038194444445</v>
      </c>
      <c r="I44">
        <v>7.5</v>
      </c>
      <c r="J44" s="6">
        <v>46046.045138888891</v>
      </c>
      <c r="K44" s="7">
        <f t="shared" si="0"/>
        <v>2.4479166666642413</v>
      </c>
      <c r="L44">
        <f t="shared" si="1"/>
        <v>10</v>
      </c>
      <c r="M44">
        <f t="shared" si="2"/>
        <v>45</v>
      </c>
      <c r="N44">
        <f t="shared" si="3"/>
        <v>645</v>
      </c>
    </row>
    <row r="45" spans="2:14" x14ac:dyDescent="0.25">
      <c r="B45" t="s">
        <v>32</v>
      </c>
      <c r="C45" s="6">
        <v>46048.486111111109</v>
      </c>
      <c r="D45" s="6">
        <v>46048.493055555555</v>
      </c>
      <c r="E45" s="6">
        <v>46048.513888888891</v>
      </c>
      <c r="F45" s="6">
        <v>46048.571527777778</v>
      </c>
      <c r="G45" s="6">
        <v>46048.578472222223</v>
      </c>
      <c r="H45" s="6">
        <v>46048.583333333336</v>
      </c>
      <c r="I45">
        <v>2.33</v>
      </c>
      <c r="J45" s="6">
        <v>46048.590277777781</v>
      </c>
      <c r="K45" s="7">
        <f t="shared" si="0"/>
        <v>2.0833333328482695E-2</v>
      </c>
      <c r="L45">
        <f t="shared" si="1"/>
        <v>0</v>
      </c>
      <c r="M45">
        <f t="shared" si="2"/>
        <v>30</v>
      </c>
      <c r="N45">
        <f t="shared" si="3"/>
        <v>30</v>
      </c>
    </row>
    <row r="46" spans="2:14" x14ac:dyDescent="0.25">
      <c r="B46" t="s">
        <v>32</v>
      </c>
      <c r="C46" s="6">
        <v>46048.604166666664</v>
      </c>
      <c r="D46" s="6">
        <v>46048.611111111109</v>
      </c>
      <c r="E46" s="6">
        <v>46048.621527777781</v>
      </c>
      <c r="F46" s="6">
        <v>46048.631944444445</v>
      </c>
      <c r="G46" s="6">
        <v>46048.638888888891</v>
      </c>
      <c r="H46" s="6">
        <v>46048.677083333336</v>
      </c>
      <c r="I46">
        <v>1.75</v>
      </c>
      <c r="J46" s="6">
        <v>46048.679166666669</v>
      </c>
      <c r="K46" s="7">
        <f t="shared" si="0"/>
        <v>0.79999999999563443</v>
      </c>
      <c r="L46">
        <f t="shared" si="1"/>
        <v>19</v>
      </c>
      <c r="M46">
        <f t="shared" si="2"/>
        <v>12</v>
      </c>
      <c r="N46">
        <f t="shared" si="3"/>
        <v>1152</v>
      </c>
    </row>
    <row r="47" spans="2:14" x14ac:dyDescent="0.25">
      <c r="B47" t="s">
        <v>32</v>
      </c>
      <c r="C47" s="6">
        <v>46049.477083333331</v>
      </c>
      <c r="D47" s="6">
        <v>46049.484027777777</v>
      </c>
      <c r="E47" s="6">
        <v>46049.489583333336</v>
      </c>
      <c r="F47" s="6">
        <v>46049.520833333336</v>
      </c>
      <c r="G47" s="6">
        <v>46049.527777777781</v>
      </c>
      <c r="H47" s="6">
        <v>46049.534722222219</v>
      </c>
      <c r="I47">
        <v>1.38</v>
      </c>
      <c r="J47" s="6">
        <v>46049.541666666664</v>
      </c>
      <c r="K47" s="7">
        <f t="shared" si="0"/>
        <v>5.9027777781011537E-2</v>
      </c>
      <c r="L47">
        <f t="shared" si="1"/>
        <v>1</v>
      </c>
      <c r="M47">
        <f t="shared" si="2"/>
        <v>25</v>
      </c>
      <c r="N47">
        <f t="shared" si="3"/>
        <v>85</v>
      </c>
    </row>
    <row r="48" spans="2:14" x14ac:dyDescent="0.25">
      <c r="B48" t="s">
        <v>32</v>
      </c>
      <c r="C48" s="6">
        <v>46049.59375</v>
      </c>
      <c r="D48" s="6">
        <v>46049.600694444445</v>
      </c>
      <c r="E48" s="6">
        <v>46049.625</v>
      </c>
      <c r="F48" s="6">
        <v>46049.659722222219</v>
      </c>
      <c r="G48" s="6">
        <v>46049.666666666664</v>
      </c>
      <c r="H48" s="6">
        <v>46049.680555555555</v>
      </c>
      <c r="I48">
        <v>2.08</v>
      </c>
      <c r="J48" s="6">
        <v>46049.6875</v>
      </c>
      <c r="K48" s="7">
        <f t="shared" si="0"/>
        <v>4.8611111109494232E-2</v>
      </c>
      <c r="L48">
        <f t="shared" si="1"/>
        <v>1</v>
      </c>
      <c r="M48">
        <f t="shared" si="2"/>
        <v>10</v>
      </c>
      <c r="N48">
        <f t="shared" si="3"/>
        <v>70</v>
      </c>
    </row>
    <row r="49" spans="2:14" x14ac:dyDescent="0.25">
      <c r="B49" t="s">
        <v>32</v>
      </c>
      <c r="C49" s="6">
        <v>46049.729166666664</v>
      </c>
      <c r="D49" s="6">
        <v>46049.736111111109</v>
      </c>
      <c r="E49" s="6">
        <v>46049.743055555555</v>
      </c>
      <c r="F49" s="6">
        <v>46049.784722222219</v>
      </c>
      <c r="G49" s="6">
        <v>46049.791666666664</v>
      </c>
      <c r="H49" s="6">
        <v>46049.805555555555</v>
      </c>
      <c r="I49">
        <v>1.83</v>
      </c>
      <c r="J49" s="6">
        <v>46049.809027777781</v>
      </c>
      <c r="K49" s="7">
        <f t="shared" si="0"/>
        <v>1.5659722222262644</v>
      </c>
      <c r="L49">
        <f t="shared" si="1"/>
        <v>13</v>
      </c>
      <c r="M49">
        <f t="shared" si="2"/>
        <v>35</v>
      </c>
      <c r="N49">
        <f t="shared" si="3"/>
        <v>815</v>
      </c>
    </row>
    <row r="50" spans="2:14" hidden="1" x14ac:dyDescent="0.25">
      <c r="B50" t="s">
        <v>32</v>
      </c>
      <c r="C50" s="6">
        <v>46051.371527777781</v>
      </c>
      <c r="D50" s="6">
        <v>46051.385416666664</v>
      </c>
      <c r="E50" s="6">
        <v>46051.388888888891</v>
      </c>
      <c r="F50" s="6">
        <v>46051.402777777781</v>
      </c>
      <c r="G50" s="6">
        <v>46051.40625</v>
      </c>
      <c r="H50" s="6">
        <v>46051.416666666664</v>
      </c>
      <c r="I50">
        <v>1.08</v>
      </c>
      <c r="J50" s="6">
        <v>46051.423611111109</v>
      </c>
      <c r="K50" s="7">
        <f t="shared" si="0"/>
        <v>-6.9444444452528842E-3</v>
      </c>
      <c r="L50" t="e">
        <f t="shared" si="1"/>
        <v>#NUM!</v>
      </c>
      <c r="M50" t="e">
        <f t="shared" si="2"/>
        <v>#NUM!</v>
      </c>
      <c r="N50" t="e">
        <f t="shared" si="3"/>
        <v>#NUM!</v>
      </c>
    </row>
    <row r="51" spans="2:14" x14ac:dyDescent="0.25">
      <c r="B51" t="s">
        <v>32</v>
      </c>
      <c r="C51" s="6">
        <v>46051.409722222219</v>
      </c>
      <c r="D51" s="6">
        <v>46051.413194444445</v>
      </c>
      <c r="E51" s="6">
        <v>46051.416666666664</v>
      </c>
      <c r="F51" s="6">
        <v>46051.479166666664</v>
      </c>
      <c r="G51" s="6">
        <v>46051.486111111109</v>
      </c>
      <c r="H51" s="6">
        <v>46051.489583333336</v>
      </c>
      <c r="I51">
        <v>1.92</v>
      </c>
      <c r="J51" s="6">
        <v>46051.496527777781</v>
      </c>
      <c r="K51" s="7">
        <f t="shared" si="0"/>
        <v>0.19791666666424135</v>
      </c>
      <c r="L51">
        <f t="shared" si="1"/>
        <v>4</v>
      </c>
      <c r="M51">
        <f t="shared" si="2"/>
        <v>45</v>
      </c>
      <c r="N51">
        <f t="shared" si="3"/>
        <v>285</v>
      </c>
    </row>
    <row r="52" spans="2:14" x14ac:dyDescent="0.25">
      <c r="B52" t="s">
        <v>32</v>
      </c>
      <c r="C52" s="6">
        <v>46051.6875</v>
      </c>
      <c r="D52" s="6">
        <v>46051.694444444445</v>
      </c>
      <c r="E52" s="6">
        <v>46051.701388888891</v>
      </c>
      <c r="F52" s="6">
        <v>46051.729861111111</v>
      </c>
      <c r="G52" s="6">
        <v>46051.736805555556</v>
      </c>
      <c r="H52" s="6">
        <v>46051.737500000003</v>
      </c>
      <c r="I52">
        <v>1.2</v>
      </c>
      <c r="J52" s="6">
        <v>46051.744444444441</v>
      </c>
      <c r="K52" s="7">
        <f t="shared" si="0"/>
        <v>3.5888888888875954</v>
      </c>
      <c r="L52">
        <f t="shared" si="1"/>
        <v>14</v>
      </c>
      <c r="M52">
        <f t="shared" si="2"/>
        <v>8</v>
      </c>
      <c r="N52">
        <f t="shared" si="3"/>
        <v>848</v>
      </c>
    </row>
    <row r="53" spans="2:14" hidden="1" x14ac:dyDescent="0.25">
      <c r="B53" t="s">
        <v>32</v>
      </c>
      <c r="C53" s="6">
        <v>46055.326388888891</v>
      </c>
      <c r="D53" s="6">
        <v>46055.333333333336</v>
      </c>
      <c r="E53" s="6">
        <v>46055.340277777781</v>
      </c>
      <c r="F53" s="6">
        <v>46055.381944444445</v>
      </c>
      <c r="G53" s="6">
        <v>46055.388888888891</v>
      </c>
      <c r="H53" s="6">
        <v>46055.392361111109</v>
      </c>
      <c r="I53">
        <v>1.58</v>
      </c>
      <c r="J53" s="6">
        <v>46055.399305555555</v>
      </c>
      <c r="K53" s="7">
        <f t="shared" si="0"/>
        <v>-4.5138888890505768E-2</v>
      </c>
      <c r="L53" t="e">
        <f t="shared" si="1"/>
        <v>#NUM!</v>
      </c>
      <c r="M53" t="e">
        <f t="shared" si="2"/>
        <v>#NUM!</v>
      </c>
      <c r="N53" t="e">
        <f t="shared" si="3"/>
        <v>#NUM!</v>
      </c>
    </row>
    <row r="54" spans="2:14" x14ac:dyDescent="0.25">
      <c r="B54" t="s">
        <v>32</v>
      </c>
      <c r="C54" s="6">
        <v>46055.347222222219</v>
      </c>
      <c r="D54" s="6">
        <v>46055.357638888891</v>
      </c>
      <c r="E54" s="6">
        <v>46055.368055555555</v>
      </c>
      <c r="F54" s="6">
        <v>46055.434027777781</v>
      </c>
      <c r="G54" s="6">
        <v>46055.440972222219</v>
      </c>
      <c r="H54" s="6">
        <v>46055.444444444445</v>
      </c>
      <c r="I54">
        <v>2.33</v>
      </c>
      <c r="J54" s="6">
        <v>46055.451388888891</v>
      </c>
      <c r="K54" s="7">
        <f t="shared" si="0"/>
        <v>6.5972222218988463E-2</v>
      </c>
      <c r="L54">
        <f t="shared" si="1"/>
        <v>1</v>
      </c>
      <c r="M54">
        <f t="shared" si="2"/>
        <v>35</v>
      </c>
      <c r="N54">
        <f t="shared" si="3"/>
        <v>95</v>
      </c>
    </row>
    <row r="55" spans="2:14" x14ac:dyDescent="0.25">
      <c r="B55" t="s">
        <v>32</v>
      </c>
      <c r="C55" s="6">
        <v>46055.510416666664</v>
      </c>
      <c r="D55" s="6">
        <v>46055.541666666664</v>
      </c>
      <c r="E55" s="6">
        <v>46055.5625</v>
      </c>
      <c r="F55" s="6">
        <v>46055.634027777778</v>
      </c>
      <c r="G55" s="6">
        <v>46055.640972222223</v>
      </c>
      <c r="H55" s="6">
        <v>46055.75</v>
      </c>
      <c r="I55">
        <v>5.75</v>
      </c>
      <c r="J55" s="6">
        <v>46055.756944444445</v>
      </c>
      <c r="K55" s="7">
        <f t="shared" si="0"/>
        <v>0.54166666666424135</v>
      </c>
      <c r="L55">
        <f t="shared" si="1"/>
        <v>13</v>
      </c>
      <c r="M55">
        <f t="shared" si="2"/>
        <v>0</v>
      </c>
      <c r="N55">
        <f t="shared" si="3"/>
        <v>780</v>
      </c>
    </row>
    <row r="56" spans="2:14" x14ac:dyDescent="0.25">
      <c r="B56" t="s">
        <v>32</v>
      </c>
      <c r="C56" s="6">
        <v>46056.291666666664</v>
      </c>
      <c r="D56" s="6">
        <v>46056.298611111109</v>
      </c>
      <c r="E56" s="6">
        <v>46056.302083333336</v>
      </c>
      <c r="F56" s="6">
        <v>46056.309027777781</v>
      </c>
      <c r="G56" s="6">
        <v>46056.315972222219</v>
      </c>
      <c r="H56" s="6">
        <v>46056.316666666666</v>
      </c>
      <c r="I56">
        <v>0.6</v>
      </c>
      <c r="J56" s="6">
        <v>46056.323611111111</v>
      </c>
      <c r="K56" s="7">
        <f t="shared" si="0"/>
        <v>1.6666666670062114E-2</v>
      </c>
      <c r="L56">
        <f t="shared" si="1"/>
        <v>0</v>
      </c>
      <c r="M56">
        <f t="shared" si="2"/>
        <v>24</v>
      </c>
      <c r="N56">
        <f t="shared" si="3"/>
        <v>24</v>
      </c>
    </row>
    <row r="57" spans="2:14" x14ac:dyDescent="0.25">
      <c r="B57" t="s">
        <v>32</v>
      </c>
      <c r="C57" s="6">
        <v>46056.333333333336</v>
      </c>
      <c r="D57" s="6">
        <v>46056.336805555555</v>
      </c>
      <c r="E57" s="6">
        <v>46056.34375</v>
      </c>
      <c r="F57" s="6">
        <v>46056.373611111114</v>
      </c>
      <c r="G57" s="6">
        <v>46056.375</v>
      </c>
      <c r="H57" s="6">
        <v>46056.377083333333</v>
      </c>
      <c r="I57">
        <v>1.05</v>
      </c>
      <c r="J57" s="6">
        <v>46056.37777777778</v>
      </c>
      <c r="K57" s="7">
        <f t="shared" si="0"/>
        <v>1.8750000002910383E-2</v>
      </c>
      <c r="L57">
        <f t="shared" si="1"/>
        <v>0</v>
      </c>
      <c r="M57">
        <f t="shared" si="2"/>
        <v>27</v>
      </c>
      <c r="N57">
        <f t="shared" si="3"/>
        <v>27</v>
      </c>
    </row>
    <row r="58" spans="2:14" x14ac:dyDescent="0.25">
      <c r="B58" t="s">
        <v>32</v>
      </c>
      <c r="C58" s="6">
        <v>46056.395833333336</v>
      </c>
      <c r="D58" s="6">
        <v>46056.402777777781</v>
      </c>
      <c r="E58" s="6">
        <v>46056.416666666664</v>
      </c>
      <c r="F58" s="6">
        <v>46056.451388888891</v>
      </c>
      <c r="G58" s="6">
        <v>46056.458333333336</v>
      </c>
      <c r="H58" s="6">
        <v>46056.461805555555</v>
      </c>
      <c r="I58">
        <v>1.58</v>
      </c>
      <c r="J58" s="6">
        <v>46056.46875</v>
      </c>
      <c r="K58" s="7">
        <f t="shared" si="0"/>
        <v>0.28819444444525288</v>
      </c>
      <c r="L58">
        <f t="shared" si="1"/>
        <v>6</v>
      </c>
      <c r="M58">
        <f t="shared" si="2"/>
        <v>55</v>
      </c>
      <c r="N58">
        <f t="shared" si="3"/>
        <v>415</v>
      </c>
    </row>
    <row r="59" spans="2:14" x14ac:dyDescent="0.25">
      <c r="B59" t="s">
        <v>32</v>
      </c>
      <c r="C59" s="6">
        <v>46056.75</v>
      </c>
      <c r="D59" s="6">
        <v>46056.756944444445</v>
      </c>
      <c r="E59" s="6">
        <v>46056.78125</v>
      </c>
      <c r="F59" s="6">
        <v>46056.80972222222</v>
      </c>
      <c r="G59" s="6">
        <v>46056.815972222219</v>
      </c>
      <c r="H59" s="6">
        <v>46056.819444444445</v>
      </c>
      <c r="I59">
        <v>1.67</v>
      </c>
      <c r="J59" s="6">
        <v>46056.822916666664</v>
      </c>
      <c r="K59" s="7">
        <f t="shared" si="0"/>
        <v>0.50694444444525288</v>
      </c>
      <c r="L59">
        <f t="shared" si="1"/>
        <v>12</v>
      </c>
      <c r="M59">
        <f t="shared" si="2"/>
        <v>10</v>
      </c>
      <c r="N59">
        <f t="shared" si="3"/>
        <v>730</v>
      </c>
    </row>
    <row r="60" spans="2:14" hidden="1" x14ac:dyDescent="0.25">
      <c r="B60" t="s">
        <v>32</v>
      </c>
      <c r="C60" s="6">
        <v>46057.326388888891</v>
      </c>
      <c r="D60" s="6">
        <v>46057.333333333336</v>
      </c>
      <c r="E60" s="6">
        <v>46057.354166666664</v>
      </c>
      <c r="F60" s="6">
        <v>46057.515277777777</v>
      </c>
      <c r="G60" s="6">
        <v>46057.522222222222</v>
      </c>
      <c r="H60" s="6">
        <v>46057.534722222219</v>
      </c>
      <c r="I60">
        <v>5</v>
      </c>
      <c r="J60" s="6">
        <v>46057.541666666664</v>
      </c>
      <c r="K60" s="7">
        <f t="shared" si="0"/>
        <v>-5.2083333328482695E-2</v>
      </c>
      <c r="L60" t="e">
        <f t="shared" si="1"/>
        <v>#NUM!</v>
      </c>
      <c r="M60" t="e">
        <f t="shared" si="2"/>
        <v>#NUM!</v>
      </c>
      <c r="N60" t="e">
        <f t="shared" si="3"/>
        <v>#NUM!</v>
      </c>
    </row>
    <row r="61" spans="2:14" x14ac:dyDescent="0.25">
      <c r="B61" t="s">
        <v>32</v>
      </c>
      <c r="C61" s="6">
        <v>46057.482638888891</v>
      </c>
      <c r="D61" s="6">
        <v>46057.506944444445</v>
      </c>
      <c r="E61" s="6">
        <v>46057.524305555555</v>
      </c>
      <c r="F61" s="6">
        <v>46057.548611111109</v>
      </c>
      <c r="G61" s="6">
        <v>46057.552083333336</v>
      </c>
      <c r="H61" s="6">
        <v>46057.555555555555</v>
      </c>
      <c r="I61">
        <v>1.75</v>
      </c>
      <c r="J61" s="6">
        <v>46057.556250000001</v>
      </c>
      <c r="K61" s="7">
        <f t="shared" si="0"/>
        <v>0.74027777777519077</v>
      </c>
      <c r="L61">
        <f t="shared" si="1"/>
        <v>17</v>
      </c>
      <c r="M61">
        <f t="shared" si="2"/>
        <v>46</v>
      </c>
      <c r="N61">
        <f t="shared" si="3"/>
        <v>1066</v>
      </c>
    </row>
    <row r="62" spans="2:14" x14ac:dyDescent="0.25">
      <c r="B62" t="s">
        <v>32</v>
      </c>
      <c r="C62" s="6">
        <v>46058.29583333333</v>
      </c>
      <c r="D62" s="6">
        <v>46058.302777777775</v>
      </c>
      <c r="E62" s="6">
        <v>46058.305555555555</v>
      </c>
      <c r="F62" s="6">
        <v>46058.309027777781</v>
      </c>
      <c r="G62" s="6">
        <v>46058.315972222219</v>
      </c>
      <c r="H62" s="6">
        <v>46058.326388888891</v>
      </c>
      <c r="I62">
        <v>0.73</v>
      </c>
      <c r="J62" s="6">
        <v>46058.333333333336</v>
      </c>
      <c r="K62" s="7">
        <f t="shared" si="0"/>
        <v>6.5972222218988463E-2</v>
      </c>
      <c r="L62">
        <f t="shared" si="1"/>
        <v>1</v>
      </c>
      <c r="M62">
        <f t="shared" si="2"/>
        <v>35</v>
      </c>
      <c r="N62">
        <f t="shared" si="3"/>
        <v>95</v>
      </c>
    </row>
    <row r="63" spans="2:14" x14ac:dyDescent="0.25">
      <c r="B63" t="s">
        <v>32</v>
      </c>
      <c r="C63" s="6">
        <v>46058.392361111109</v>
      </c>
      <c r="D63" s="6">
        <v>46058.395833333336</v>
      </c>
      <c r="E63" s="6">
        <v>46058.409722222219</v>
      </c>
      <c r="F63" s="6">
        <v>46058.486111111109</v>
      </c>
      <c r="G63" s="6">
        <v>46058.493055555555</v>
      </c>
      <c r="H63" s="6">
        <v>46058.513888888891</v>
      </c>
      <c r="I63">
        <v>2.92</v>
      </c>
      <c r="J63" s="6">
        <v>46058.520833333336</v>
      </c>
      <c r="K63" s="7">
        <f t="shared" si="0"/>
        <v>4.8611111109494232E-2</v>
      </c>
      <c r="L63">
        <f t="shared" si="1"/>
        <v>1</v>
      </c>
      <c r="M63">
        <f t="shared" si="2"/>
        <v>10</v>
      </c>
      <c r="N63">
        <f t="shared" si="3"/>
        <v>70</v>
      </c>
    </row>
    <row r="64" spans="2:14" x14ac:dyDescent="0.25">
      <c r="B64" t="s">
        <v>32</v>
      </c>
      <c r="C64" s="6">
        <v>46058.5625</v>
      </c>
      <c r="D64" s="6">
        <v>46058.572916666664</v>
      </c>
      <c r="E64" s="6">
        <v>46058.614583333336</v>
      </c>
      <c r="F64" s="6">
        <v>46058.75</v>
      </c>
      <c r="G64" s="6">
        <v>46058.784722222219</v>
      </c>
      <c r="H64" s="6">
        <v>46058.90625</v>
      </c>
      <c r="I64">
        <v>8.25</v>
      </c>
      <c r="J64" s="6">
        <v>46058.909722222219</v>
      </c>
      <c r="K64" s="7">
        <f t="shared" si="0"/>
        <v>0.53819444444525288</v>
      </c>
      <c r="L64">
        <f t="shared" si="1"/>
        <v>12</v>
      </c>
      <c r="M64">
        <f t="shared" si="2"/>
        <v>55</v>
      </c>
      <c r="N64">
        <f t="shared" si="3"/>
        <v>775</v>
      </c>
    </row>
    <row r="65" spans="2:14" x14ac:dyDescent="0.25">
      <c r="B65" t="s">
        <v>32</v>
      </c>
      <c r="C65" s="6">
        <v>46059.444444444445</v>
      </c>
      <c r="D65" s="6">
        <v>46059.451388888891</v>
      </c>
      <c r="E65" s="6">
        <v>46059.458333333336</v>
      </c>
      <c r="F65" s="6">
        <v>46059.481249999997</v>
      </c>
      <c r="G65" s="6">
        <v>46059.488194444442</v>
      </c>
      <c r="H65" s="6">
        <v>46059.489583333336</v>
      </c>
      <c r="I65">
        <v>1.08</v>
      </c>
      <c r="J65" s="6">
        <v>46059.496527777781</v>
      </c>
      <c r="K65" s="7">
        <f t="shared" si="0"/>
        <v>0.17013888888322981</v>
      </c>
      <c r="L65">
        <f t="shared" si="1"/>
        <v>4</v>
      </c>
      <c r="M65">
        <f t="shared" si="2"/>
        <v>5</v>
      </c>
      <c r="N65">
        <f t="shared" si="3"/>
        <v>245</v>
      </c>
    </row>
    <row r="66" spans="2:14" x14ac:dyDescent="0.25">
      <c r="B66" t="s">
        <v>32</v>
      </c>
      <c r="C66" s="6">
        <v>46059.659722222219</v>
      </c>
      <c r="D66" s="6">
        <v>46059.666666666664</v>
      </c>
      <c r="E66" s="6">
        <v>46059.670138888891</v>
      </c>
      <c r="F66" s="6">
        <v>46059.680555555555</v>
      </c>
      <c r="G66" s="6">
        <v>46059.6875</v>
      </c>
      <c r="H66" s="6">
        <v>46059.690972222219</v>
      </c>
      <c r="I66">
        <v>0.75</v>
      </c>
      <c r="J66" s="6">
        <v>46059.693055555559</v>
      </c>
      <c r="K66" s="7">
        <f t="shared" si="0"/>
        <v>1.1701388888905058</v>
      </c>
      <c r="L66">
        <f t="shared" si="1"/>
        <v>4</v>
      </c>
      <c r="M66">
        <f t="shared" si="2"/>
        <v>5</v>
      </c>
      <c r="N66">
        <f t="shared" si="3"/>
        <v>245</v>
      </c>
    </row>
    <row r="67" spans="2:14" x14ac:dyDescent="0.25">
      <c r="B67" t="s">
        <v>32</v>
      </c>
      <c r="C67" s="6">
        <v>46060.861111111109</v>
      </c>
      <c r="D67" s="6">
        <v>46060.864583333336</v>
      </c>
      <c r="E67" s="6">
        <v>46060.875</v>
      </c>
      <c r="F67" s="6">
        <v>46060.9375</v>
      </c>
      <c r="G67" s="6">
        <v>46060.944444444445</v>
      </c>
      <c r="H67" s="6">
        <v>46060.947916666664</v>
      </c>
      <c r="I67">
        <v>2.08</v>
      </c>
      <c r="J67" s="6">
        <v>46060.954861111109</v>
      </c>
      <c r="K67" s="7">
        <f t="shared" si="0"/>
        <v>1.34375</v>
      </c>
      <c r="L67">
        <f t="shared" si="1"/>
        <v>8</v>
      </c>
      <c r="M67">
        <f t="shared" si="2"/>
        <v>15</v>
      </c>
      <c r="N67">
        <f t="shared" si="3"/>
        <v>495</v>
      </c>
    </row>
    <row r="68" spans="2:14" x14ac:dyDescent="0.25">
      <c r="B68" t="s">
        <v>32</v>
      </c>
      <c r="C68" s="6">
        <v>46062.291666666664</v>
      </c>
      <c r="D68" s="6">
        <v>46062.361111111109</v>
      </c>
      <c r="E68" s="6">
        <v>46062.378472222219</v>
      </c>
      <c r="F68" s="6">
        <v>46062.416666666664</v>
      </c>
      <c r="G68" s="6">
        <v>46062.444444444445</v>
      </c>
      <c r="H68" s="6">
        <v>46062.451388888891</v>
      </c>
      <c r="I68">
        <v>3.83</v>
      </c>
      <c r="J68" s="6">
        <v>46062.461805555555</v>
      </c>
      <c r="K68" s="7">
        <f t="shared" ref="K68:K131" si="4">C69-H68</f>
        <v>5.9027777773735579E-2</v>
      </c>
      <c r="L68">
        <f t="shared" ref="L68:L131" si="5">HOUR(K68)</f>
        <v>1</v>
      </c>
      <c r="M68">
        <f t="shared" ref="M68:M131" si="6">MINUTE(K68)</f>
        <v>25</v>
      </c>
      <c r="N68">
        <f t="shared" ref="N68:N131" si="7">L68*60+M68</f>
        <v>85</v>
      </c>
    </row>
    <row r="69" spans="2:14" x14ac:dyDescent="0.25">
      <c r="B69" t="s">
        <v>32</v>
      </c>
      <c r="C69" s="6">
        <v>46062.510416666664</v>
      </c>
      <c r="D69" s="6">
        <v>46062.520833333336</v>
      </c>
      <c r="E69" s="6">
        <v>46062.534722222219</v>
      </c>
      <c r="F69" s="6">
        <v>46062.5625</v>
      </c>
      <c r="G69" s="6">
        <v>46062.569444444445</v>
      </c>
      <c r="H69" s="6">
        <v>46062.829861111109</v>
      </c>
      <c r="I69">
        <v>7.67</v>
      </c>
      <c r="J69" s="6">
        <v>46062.836805555555</v>
      </c>
      <c r="K69" s="7">
        <f t="shared" si="4"/>
        <v>0.45833333333575865</v>
      </c>
      <c r="L69">
        <f t="shared" si="5"/>
        <v>11</v>
      </c>
      <c r="M69">
        <f t="shared" si="6"/>
        <v>0</v>
      </c>
      <c r="N69">
        <f t="shared" si="7"/>
        <v>660</v>
      </c>
    </row>
    <row r="70" spans="2:14" x14ac:dyDescent="0.25">
      <c r="B70" t="s">
        <v>32</v>
      </c>
      <c r="C70" s="6">
        <v>46063.288194444445</v>
      </c>
      <c r="D70" s="6">
        <v>46063.290277777778</v>
      </c>
      <c r="E70" s="6">
        <v>46063.291666666664</v>
      </c>
      <c r="F70" s="6">
        <v>46063.303472222222</v>
      </c>
      <c r="G70" s="6">
        <v>46063.308333333334</v>
      </c>
      <c r="H70" s="6">
        <v>46063.3125</v>
      </c>
      <c r="I70">
        <v>0.57999999999999996</v>
      </c>
      <c r="J70" s="6">
        <v>46063.319444444445</v>
      </c>
      <c r="K70" s="7">
        <f t="shared" si="4"/>
        <v>1.9444444442342501E-2</v>
      </c>
      <c r="L70">
        <f t="shared" si="5"/>
        <v>0</v>
      </c>
      <c r="M70">
        <f t="shared" si="6"/>
        <v>28</v>
      </c>
      <c r="N70">
        <f t="shared" si="7"/>
        <v>28</v>
      </c>
    </row>
    <row r="71" spans="2:14" hidden="1" x14ac:dyDescent="0.25">
      <c r="B71" t="s">
        <v>32</v>
      </c>
      <c r="C71" s="6">
        <v>46063.331944444442</v>
      </c>
      <c r="D71" s="6">
        <v>46063.333333333336</v>
      </c>
      <c r="E71" s="6">
        <v>46063.357638888891</v>
      </c>
      <c r="F71" s="6">
        <v>46063.472222222219</v>
      </c>
      <c r="G71" s="6">
        <v>46063.493055555555</v>
      </c>
      <c r="H71" s="6">
        <v>46063.5</v>
      </c>
      <c r="I71">
        <v>4.03</v>
      </c>
      <c r="J71" s="6">
        <v>46063.500694444447</v>
      </c>
      <c r="K71" s="7">
        <f t="shared" si="4"/>
        <v>-0.16666666666424135</v>
      </c>
      <c r="L71" t="e">
        <f t="shared" si="5"/>
        <v>#NUM!</v>
      </c>
      <c r="M71" t="e">
        <f t="shared" si="6"/>
        <v>#NUM!</v>
      </c>
      <c r="N71" t="e">
        <f t="shared" si="7"/>
        <v>#NUM!</v>
      </c>
    </row>
    <row r="72" spans="2:14" hidden="1" x14ac:dyDescent="0.25">
      <c r="B72" t="s">
        <v>32</v>
      </c>
      <c r="C72" s="6">
        <v>46063.333333333336</v>
      </c>
      <c r="D72" s="6">
        <v>46063.347222222219</v>
      </c>
      <c r="E72" s="6">
        <v>46063.354166666664</v>
      </c>
      <c r="F72" s="6">
        <v>46063.371527777781</v>
      </c>
      <c r="G72" s="6">
        <v>46063.378472222219</v>
      </c>
      <c r="H72" s="6">
        <v>46063.381944444445</v>
      </c>
      <c r="I72">
        <v>1.17</v>
      </c>
      <c r="J72" s="6">
        <v>46063.388888888891</v>
      </c>
      <c r="K72" s="7">
        <f t="shared" si="4"/>
        <v>-4.5138888890505768E-2</v>
      </c>
      <c r="L72" t="e">
        <f t="shared" si="5"/>
        <v>#NUM!</v>
      </c>
      <c r="M72" t="e">
        <f t="shared" si="6"/>
        <v>#NUM!</v>
      </c>
      <c r="N72" t="e">
        <f t="shared" si="7"/>
        <v>#NUM!</v>
      </c>
    </row>
    <row r="73" spans="2:14" x14ac:dyDescent="0.25">
      <c r="B73" t="s">
        <v>32</v>
      </c>
      <c r="C73" s="6">
        <v>46063.336805555555</v>
      </c>
      <c r="D73" s="6">
        <v>46063.34375</v>
      </c>
      <c r="E73" s="6">
        <v>46063.361111111109</v>
      </c>
      <c r="F73" s="6">
        <v>46063.416666666664</v>
      </c>
      <c r="G73" s="6">
        <v>46063.423611111109</v>
      </c>
      <c r="H73" s="6">
        <v>46063.427083333336</v>
      </c>
      <c r="I73">
        <v>2.17</v>
      </c>
      <c r="J73" s="6">
        <v>46063.430555555555</v>
      </c>
      <c r="K73" s="7">
        <f t="shared" si="4"/>
        <v>0.14930555555474712</v>
      </c>
      <c r="L73">
        <f t="shared" si="5"/>
        <v>3</v>
      </c>
      <c r="M73">
        <f t="shared" si="6"/>
        <v>35</v>
      </c>
      <c r="N73">
        <f t="shared" si="7"/>
        <v>215</v>
      </c>
    </row>
    <row r="74" spans="2:14" x14ac:dyDescent="0.25">
      <c r="B74" t="s">
        <v>32</v>
      </c>
      <c r="C74" s="6">
        <v>46063.576388888891</v>
      </c>
      <c r="D74" s="6">
        <v>46063.583333333336</v>
      </c>
      <c r="E74" s="6">
        <v>46063.604166666664</v>
      </c>
      <c r="F74" s="6">
        <v>46063.6875</v>
      </c>
      <c r="G74" s="6">
        <v>46063.694444444445</v>
      </c>
      <c r="H74" s="6">
        <v>46063.708333333336</v>
      </c>
      <c r="I74">
        <v>3.17</v>
      </c>
      <c r="J74" s="6">
        <v>46063.715277777781</v>
      </c>
      <c r="K74" s="7">
        <f t="shared" si="4"/>
        <v>3.4722222218988463E-2</v>
      </c>
      <c r="L74">
        <f t="shared" si="5"/>
        <v>0</v>
      </c>
      <c r="M74">
        <f t="shared" si="6"/>
        <v>50</v>
      </c>
      <c r="N74">
        <f t="shared" si="7"/>
        <v>50</v>
      </c>
    </row>
    <row r="75" spans="2:14" x14ac:dyDescent="0.25">
      <c r="B75" t="s">
        <v>32</v>
      </c>
      <c r="C75" s="6">
        <v>46063.743055555555</v>
      </c>
      <c r="D75" s="6">
        <v>46063.75</v>
      </c>
      <c r="E75" s="6">
        <v>46063.753472222219</v>
      </c>
      <c r="F75" s="6">
        <v>46063.770833333336</v>
      </c>
      <c r="G75" s="6">
        <v>46063.775694444441</v>
      </c>
      <c r="H75" s="6">
        <v>46063.776388888888</v>
      </c>
      <c r="I75">
        <v>0.8</v>
      </c>
      <c r="J75" s="6">
        <v>46063.777777777781</v>
      </c>
      <c r="K75" s="7">
        <f t="shared" si="4"/>
        <v>0.53263888889341615</v>
      </c>
      <c r="L75">
        <f t="shared" si="5"/>
        <v>12</v>
      </c>
      <c r="M75">
        <f t="shared" si="6"/>
        <v>47</v>
      </c>
      <c r="N75">
        <f t="shared" si="7"/>
        <v>767</v>
      </c>
    </row>
    <row r="76" spans="2:14" x14ac:dyDescent="0.25">
      <c r="B76" t="s">
        <v>32</v>
      </c>
      <c r="C76" s="6">
        <v>46064.309027777781</v>
      </c>
      <c r="D76" s="6">
        <v>46064.326388888891</v>
      </c>
      <c r="E76" s="6">
        <v>46064.340277777781</v>
      </c>
      <c r="F76" s="6">
        <v>46064.395833333336</v>
      </c>
      <c r="G76" s="6">
        <v>46064.402777777781</v>
      </c>
      <c r="H76" s="6">
        <v>46064.40625</v>
      </c>
      <c r="I76">
        <v>2.33</v>
      </c>
      <c r="J76" s="6">
        <v>46064.413194444445</v>
      </c>
      <c r="K76" s="7">
        <f t="shared" si="4"/>
        <v>4.8611111109494232E-2</v>
      </c>
      <c r="L76">
        <f t="shared" si="5"/>
        <v>1</v>
      </c>
      <c r="M76">
        <f t="shared" si="6"/>
        <v>10</v>
      </c>
      <c r="N76">
        <f t="shared" si="7"/>
        <v>70</v>
      </c>
    </row>
    <row r="77" spans="2:14" x14ac:dyDescent="0.25">
      <c r="B77" t="s">
        <v>32</v>
      </c>
      <c r="C77" s="6">
        <v>46064.454861111109</v>
      </c>
      <c r="D77" s="6">
        <v>46064.486111111109</v>
      </c>
      <c r="E77" s="6">
        <v>46064.5</v>
      </c>
      <c r="F77" s="6">
        <v>46064.513888888891</v>
      </c>
      <c r="G77" s="6">
        <v>46064.520833333336</v>
      </c>
      <c r="H77" s="6">
        <v>46064.527777777781</v>
      </c>
      <c r="I77">
        <v>1.75</v>
      </c>
      <c r="J77" s="6">
        <v>46064.534722222219</v>
      </c>
      <c r="K77" s="7">
        <f t="shared" si="4"/>
        <v>4.1666666664241347E-2</v>
      </c>
      <c r="L77">
        <f t="shared" si="5"/>
        <v>1</v>
      </c>
      <c r="M77">
        <f t="shared" si="6"/>
        <v>0</v>
      </c>
      <c r="N77">
        <f t="shared" si="7"/>
        <v>60</v>
      </c>
    </row>
    <row r="78" spans="2:14" x14ac:dyDescent="0.25">
      <c r="B78" t="s">
        <v>32</v>
      </c>
      <c r="C78" s="6">
        <v>46064.569444444445</v>
      </c>
      <c r="D78" s="6">
        <v>46064.583333333336</v>
      </c>
      <c r="E78" s="6">
        <v>46064.597222222219</v>
      </c>
      <c r="F78" s="6">
        <v>46064.756944444445</v>
      </c>
      <c r="G78" s="6">
        <v>46064.763888888891</v>
      </c>
      <c r="H78" s="6">
        <v>46064.765277777777</v>
      </c>
      <c r="I78">
        <v>4.7</v>
      </c>
      <c r="J78" s="6">
        <v>46064.772222222222</v>
      </c>
      <c r="K78" s="7">
        <f t="shared" si="4"/>
        <v>0.55763888888759539</v>
      </c>
      <c r="L78">
        <f t="shared" si="5"/>
        <v>13</v>
      </c>
      <c r="M78">
        <f t="shared" si="6"/>
        <v>23</v>
      </c>
      <c r="N78">
        <f t="shared" si="7"/>
        <v>803</v>
      </c>
    </row>
    <row r="79" spans="2:14" x14ac:dyDescent="0.25">
      <c r="B79" t="s">
        <v>32</v>
      </c>
      <c r="C79" s="6">
        <v>46065.322916666664</v>
      </c>
      <c r="D79" s="6">
        <v>46065.333333333336</v>
      </c>
      <c r="E79" s="6">
        <v>46065.34375</v>
      </c>
      <c r="F79" s="6">
        <v>46065.361111111109</v>
      </c>
      <c r="G79" s="6">
        <v>46065.368055555555</v>
      </c>
      <c r="H79" s="6">
        <v>46065.371527777781</v>
      </c>
      <c r="I79">
        <v>1.17</v>
      </c>
      <c r="J79" s="6">
        <v>46065.378472222219</v>
      </c>
      <c r="K79" s="7">
        <f t="shared" si="4"/>
        <v>3.8194444437976927E-2</v>
      </c>
      <c r="L79">
        <f t="shared" si="5"/>
        <v>0</v>
      </c>
      <c r="M79">
        <f t="shared" si="6"/>
        <v>55</v>
      </c>
      <c r="N79">
        <f t="shared" si="7"/>
        <v>55</v>
      </c>
    </row>
    <row r="80" spans="2:14" x14ac:dyDescent="0.25">
      <c r="B80" t="s">
        <v>32</v>
      </c>
      <c r="C80" s="6">
        <v>46065.409722222219</v>
      </c>
      <c r="D80" s="6">
        <v>46065.416666666664</v>
      </c>
      <c r="E80" s="6">
        <v>46065.440972222219</v>
      </c>
      <c r="F80" s="6">
        <v>46065.482638888891</v>
      </c>
      <c r="G80" s="6">
        <v>46065.489583333336</v>
      </c>
      <c r="H80" s="6">
        <v>46065.5</v>
      </c>
      <c r="I80">
        <v>2.17</v>
      </c>
      <c r="J80" s="6">
        <v>46065.506944444445</v>
      </c>
      <c r="K80" s="7">
        <f t="shared" si="4"/>
        <v>0.25347222221898846</v>
      </c>
      <c r="L80">
        <f t="shared" si="5"/>
        <v>6</v>
      </c>
      <c r="M80">
        <f t="shared" si="6"/>
        <v>5</v>
      </c>
      <c r="N80">
        <f t="shared" si="7"/>
        <v>365</v>
      </c>
    </row>
    <row r="81" spans="2:14" x14ac:dyDescent="0.25">
      <c r="B81" t="s">
        <v>32</v>
      </c>
      <c r="C81" s="6">
        <v>46065.753472222219</v>
      </c>
      <c r="D81" s="6">
        <v>46065.754861111112</v>
      </c>
      <c r="E81" s="6">
        <v>46065.756944444445</v>
      </c>
      <c r="F81" s="6">
        <v>46065.774305555555</v>
      </c>
      <c r="G81" s="6">
        <v>46065.775694444441</v>
      </c>
      <c r="H81" s="6">
        <v>46065.777777777781</v>
      </c>
      <c r="I81">
        <v>0.57999999999999996</v>
      </c>
      <c r="J81" s="6">
        <v>46065.779166666667</v>
      </c>
      <c r="K81" s="7">
        <f t="shared" si="4"/>
        <v>0.48958333332848269</v>
      </c>
      <c r="L81">
        <f t="shared" si="5"/>
        <v>11</v>
      </c>
      <c r="M81">
        <f t="shared" si="6"/>
        <v>45</v>
      </c>
      <c r="N81">
        <f t="shared" si="7"/>
        <v>705</v>
      </c>
    </row>
    <row r="82" spans="2:14" x14ac:dyDescent="0.25">
      <c r="B82" t="s">
        <v>32</v>
      </c>
      <c r="C82" s="6">
        <v>46066.267361111109</v>
      </c>
      <c r="D82" s="6">
        <v>46066.284722222219</v>
      </c>
      <c r="E82" s="6">
        <v>46066.288194444445</v>
      </c>
      <c r="F82" s="6">
        <v>46066.295138888891</v>
      </c>
      <c r="G82" s="6">
        <v>46066.302083333336</v>
      </c>
      <c r="H82" s="6">
        <v>46066.315972222219</v>
      </c>
      <c r="I82">
        <v>1.17</v>
      </c>
      <c r="J82" s="6">
        <v>46066.322916666664</v>
      </c>
      <c r="K82" s="7">
        <f t="shared" si="4"/>
        <v>3.4722222226264421E-2</v>
      </c>
      <c r="L82">
        <f t="shared" si="5"/>
        <v>0</v>
      </c>
      <c r="M82">
        <f t="shared" si="6"/>
        <v>50</v>
      </c>
      <c r="N82">
        <f t="shared" si="7"/>
        <v>50</v>
      </c>
    </row>
    <row r="83" spans="2:14" x14ac:dyDescent="0.25">
      <c r="B83" t="s">
        <v>32</v>
      </c>
      <c r="C83" s="6">
        <v>46066.350694444445</v>
      </c>
      <c r="D83" s="6">
        <v>46066.354166666664</v>
      </c>
      <c r="E83" s="6">
        <v>46066.375</v>
      </c>
      <c r="F83" s="6">
        <v>46066.524305555555</v>
      </c>
      <c r="G83" s="6">
        <v>46066.527777777781</v>
      </c>
      <c r="H83" s="6">
        <v>46066.541666666664</v>
      </c>
      <c r="I83">
        <v>4.58</v>
      </c>
      <c r="J83" s="6">
        <v>46066.548611111109</v>
      </c>
      <c r="K83" s="7">
        <f t="shared" si="4"/>
        <v>2.75</v>
      </c>
      <c r="L83">
        <f t="shared" si="5"/>
        <v>18</v>
      </c>
      <c r="M83">
        <f t="shared" si="6"/>
        <v>0</v>
      </c>
      <c r="N83">
        <f t="shared" si="7"/>
        <v>1080</v>
      </c>
    </row>
    <row r="84" spans="2:14" x14ac:dyDescent="0.25">
      <c r="B84" t="s">
        <v>32</v>
      </c>
      <c r="C84" s="6">
        <v>46069.291666666664</v>
      </c>
      <c r="D84" s="6">
        <v>46069.322916666664</v>
      </c>
      <c r="E84" s="6">
        <v>46069.34375</v>
      </c>
      <c r="F84" s="6">
        <v>46069.4375</v>
      </c>
      <c r="G84" s="6">
        <v>46069.444444444445</v>
      </c>
      <c r="H84" s="6">
        <v>46069.451388888891</v>
      </c>
      <c r="I84">
        <v>3.83</v>
      </c>
      <c r="J84" s="6">
        <v>46069.458333333336</v>
      </c>
      <c r="K84" s="7">
        <f t="shared" si="4"/>
        <v>5.9027777773735579E-2</v>
      </c>
      <c r="L84">
        <f t="shared" si="5"/>
        <v>1</v>
      </c>
      <c r="M84">
        <f t="shared" si="6"/>
        <v>25</v>
      </c>
      <c r="N84">
        <f t="shared" si="7"/>
        <v>85</v>
      </c>
    </row>
    <row r="85" spans="2:14" x14ac:dyDescent="0.25">
      <c r="B85" t="s">
        <v>32</v>
      </c>
      <c r="C85" s="6">
        <v>46069.510416666664</v>
      </c>
      <c r="D85" s="6">
        <v>46069.520833333336</v>
      </c>
      <c r="E85" s="6">
        <v>46069.5625</v>
      </c>
      <c r="F85" s="6">
        <v>46069.625</v>
      </c>
      <c r="G85" s="6">
        <v>46069.635416666664</v>
      </c>
      <c r="H85" s="6">
        <v>46069.666666666664</v>
      </c>
      <c r="I85">
        <v>3.75</v>
      </c>
      <c r="J85" s="6">
        <v>46069.673611111109</v>
      </c>
      <c r="K85" s="7">
        <f t="shared" si="4"/>
        <v>0.625</v>
      </c>
      <c r="L85">
        <f t="shared" si="5"/>
        <v>15</v>
      </c>
      <c r="M85">
        <f t="shared" si="6"/>
        <v>0</v>
      </c>
      <c r="N85">
        <f t="shared" si="7"/>
        <v>900</v>
      </c>
    </row>
    <row r="86" spans="2:14" x14ac:dyDescent="0.25">
      <c r="B86" t="s">
        <v>32</v>
      </c>
      <c r="C86" s="6">
        <v>46070.291666666664</v>
      </c>
      <c r="D86" s="6">
        <v>46070.333333333336</v>
      </c>
      <c r="E86" s="6">
        <v>46070.340277777781</v>
      </c>
      <c r="F86" s="6">
        <v>46070.385416666664</v>
      </c>
      <c r="G86" s="6">
        <v>46070.392361111109</v>
      </c>
      <c r="H86" s="6">
        <v>46070.413194444445</v>
      </c>
      <c r="I86">
        <v>2.92</v>
      </c>
      <c r="J86" s="6">
        <v>46070.420138888891</v>
      </c>
      <c r="K86" s="7">
        <f t="shared" si="4"/>
        <v>4.5138888890505768E-2</v>
      </c>
      <c r="L86">
        <f t="shared" si="5"/>
        <v>1</v>
      </c>
      <c r="M86">
        <f t="shared" si="6"/>
        <v>5</v>
      </c>
      <c r="N86">
        <f t="shared" si="7"/>
        <v>65</v>
      </c>
    </row>
    <row r="87" spans="2:14" x14ac:dyDescent="0.25">
      <c r="B87" t="s">
        <v>32</v>
      </c>
      <c r="C87" s="6">
        <v>46070.458333333336</v>
      </c>
      <c r="D87" s="6">
        <v>46070.472222222219</v>
      </c>
      <c r="E87" s="6">
        <v>46070.486111111109</v>
      </c>
      <c r="F87" s="6">
        <v>46070.527777777781</v>
      </c>
      <c r="G87" s="6">
        <v>46070.534722222219</v>
      </c>
      <c r="H87" s="6">
        <v>46070.541666666664</v>
      </c>
      <c r="I87">
        <v>2</v>
      </c>
      <c r="J87" s="6">
        <v>46070.548611111109</v>
      </c>
      <c r="K87" s="7">
        <f t="shared" si="4"/>
        <v>8.6805555554747116E-2</v>
      </c>
      <c r="L87">
        <f t="shared" si="5"/>
        <v>2</v>
      </c>
      <c r="M87">
        <f t="shared" si="6"/>
        <v>5</v>
      </c>
      <c r="N87">
        <f t="shared" si="7"/>
        <v>125</v>
      </c>
    </row>
    <row r="88" spans="2:14" x14ac:dyDescent="0.25">
      <c r="B88" t="s">
        <v>32</v>
      </c>
      <c r="C88" s="6">
        <v>46070.628472222219</v>
      </c>
      <c r="D88" s="6">
        <v>46070.642361111109</v>
      </c>
      <c r="E88" s="6">
        <v>46070.659722222219</v>
      </c>
      <c r="F88" s="6">
        <v>46070.756944444445</v>
      </c>
      <c r="G88" s="6">
        <v>46070.767361111109</v>
      </c>
      <c r="H88" s="6">
        <v>46070.774305555555</v>
      </c>
      <c r="I88">
        <v>3.5</v>
      </c>
      <c r="J88" s="6">
        <v>46070.777777777781</v>
      </c>
      <c r="K88" s="7">
        <f t="shared" si="4"/>
        <v>0.55902777778101154</v>
      </c>
      <c r="L88">
        <f t="shared" si="5"/>
        <v>13</v>
      </c>
      <c r="M88">
        <f t="shared" si="6"/>
        <v>25</v>
      </c>
      <c r="N88">
        <f t="shared" si="7"/>
        <v>805</v>
      </c>
    </row>
    <row r="89" spans="2:14" x14ac:dyDescent="0.25">
      <c r="B89" t="s">
        <v>32</v>
      </c>
      <c r="C89" s="6">
        <v>46071.333333333336</v>
      </c>
      <c r="D89" s="6">
        <v>46071.34375</v>
      </c>
      <c r="E89" s="6">
        <v>46071.354166666664</v>
      </c>
      <c r="F89" s="6">
        <v>46071.416666666664</v>
      </c>
      <c r="G89" s="6">
        <v>46071.430555555555</v>
      </c>
      <c r="H89" s="6">
        <v>46071.434027777781</v>
      </c>
      <c r="I89">
        <v>2.42</v>
      </c>
      <c r="J89" s="6">
        <v>46071.435416666667</v>
      </c>
      <c r="K89" s="7">
        <f t="shared" si="4"/>
        <v>0.10763888888322981</v>
      </c>
      <c r="L89">
        <f t="shared" si="5"/>
        <v>2</v>
      </c>
      <c r="M89">
        <f t="shared" si="6"/>
        <v>35</v>
      </c>
      <c r="N89">
        <f t="shared" si="7"/>
        <v>155</v>
      </c>
    </row>
    <row r="90" spans="2:14" x14ac:dyDescent="0.25">
      <c r="B90" t="s">
        <v>32</v>
      </c>
      <c r="C90" s="6">
        <v>46071.541666666664</v>
      </c>
      <c r="D90" s="6">
        <v>46071.5625</v>
      </c>
      <c r="E90" s="6">
        <v>46071.583333333336</v>
      </c>
      <c r="F90" s="6">
        <v>46071.597222222219</v>
      </c>
      <c r="G90" s="6">
        <v>46071.609722222223</v>
      </c>
      <c r="H90" s="6">
        <v>46071.616666666669</v>
      </c>
      <c r="I90">
        <v>1.8</v>
      </c>
      <c r="J90" s="6">
        <v>46071.623611111114</v>
      </c>
      <c r="K90" s="7">
        <f t="shared" si="4"/>
        <v>0.11249999999563443</v>
      </c>
      <c r="L90">
        <f t="shared" si="5"/>
        <v>2</v>
      </c>
      <c r="M90">
        <f t="shared" si="6"/>
        <v>42</v>
      </c>
      <c r="N90">
        <f t="shared" si="7"/>
        <v>162</v>
      </c>
    </row>
    <row r="91" spans="2:14" x14ac:dyDescent="0.25">
      <c r="B91" t="s">
        <v>32</v>
      </c>
      <c r="C91" s="6">
        <v>46071.729166666664</v>
      </c>
      <c r="D91" s="6">
        <v>46071.732638888891</v>
      </c>
      <c r="E91" s="6">
        <v>46071.736111111109</v>
      </c>
      <c r="F91" s="6">
        <v>46071.760416666664</v>
      </c>
      <c r="G91" s="6">
        <v>46071.767361111109</v>
      </c>
      <c r="H91" s="6">
        <v>46071.777777777781</v>
      </c>
      <c r="I91">
        <v>1.17</v>
      </c>
      <c r="J91" s="6">
        <v>46071.78125</v>
      </c>
      <c r="K91" s="7">
        <f t="shared" si="4"/>
        <v>0.52777777777373558</v>
      </c>
      <c r="L91">
        <f t="shared" si="5"/>
        <v>12</v>
      </c>
      <c r="M91">
        <f t="shared" si="6"/>
        <v>40</v>
      </c>
      <c r="N91">
        <f t="shared" si="7"/>
        <v>760</v>
      </c>
    </row>
    <row r="92" spans="2:14" x14ac:dyDescent="0.25">
      <c r="B92" t="s">
        <v>32</v>
      </c>
      <c r="C92" s="6">
        <v>46072.305555555555</v>
      </c>
      <c r="D92" s="6">
        <v>46072.315972222219</v>
      </c>
      <c r="E92" s="6">
        <v>46072.322916666664</v>
      </c>
      <c r="F92" s="6">
        <v>46072.395833333336</v>
      </c>
      <c r="G92" s="6">
        <v>46072.402777777781</v>
      </c>
      <c r="H92" s="6">
        <v>46072.415277777778</v>
      </c>
      <c r="I92">
        <v>2.63</v>
      </c>
      <c r="J92" s="6">
        <v>46072.422222222223</v>
      </c>
      <c r="K92" s="7">
        <f t="shared" si="4"/>
        <v>1.8750000002910383E-2</v>
      </c>
      <c r="L92">
        <f t="shared" si="5"/>
        <v>0</v>
      </c>
      <c r="M92">
        <f t="shared" si="6"/>
        <v>27</v>
      </c>
      <c r="N92">
        <f t="shared" si="7"/>
        <v>27</v>
      </c>
    </row>
    <row r="93" spans="2:14" x14ac:dyDescent="0.25">
      <c r="B93" t="s">
        <v>32</v>
      </c>
      <c r="C93" s="6">
        <v>46072.434027777781</v>
      </c>
      <c r="D93" s="6">
        <v>46072.440972222219</v>
      </c>
      <c r="E93" s="6">
        <v>46072.447916666664</v>
      </c>
      <c r="F93" s="6">
        <v>46072.479166666664</v>
      </c>
      <c r="G93" s="6">
        <v>46072.486111111109</v>
      </c>
      <c r="H93" s="6">
        <v>46072.5</v>
      </c>
      <c r="I93">
        <v>1.58</v>
      </c>
      <c r="J93" s="6">
        <v>46072.506944444445</v>
      </c>
      <c r="K93" s="7">
        <f t="shared" si="4"/>
        <v>3.4722222218988463E-2</v>
      </c>
      <c r="L93">
        <f t="shared" si="5"/>
        <v>0</v>
      </c>
      <c r="M93">
        <f t="shared" si="6"/>
        <v>50</v>
      </c>
      <c r="N93">
        <f t="shared" si="7"/>
        <v>50</v>
      </c>
    </row>
    <row r="94" spans="2:14" hidden="1" x14ac:dyDescent="0.25">
      <c r="B94" t="s">
        <v>32</v>
      </c>
      <c r="C94" s="6">
        <v>46072.534722222219</v>
      </c>
      <c r="D94" s="6">
        <v>46072.541666666664</v>
      </c>
      <c r="E94" s="6">
        <v>46072.555555555555</v>
      </c>
      <c r="F94" s="6">
        <v>46072.583333333336</v>
      </c>
      <c r="G94" s="6">
        <v>46072.590277777781</v>
      </c>
      <c r="H94" s="6">
        <v>46072.59375</v>
      </c>
      <c r="I94">
        <v>1.42</v>
      </c>
      <c r="J94" s="6">
        <v>46072.600694444445</v>
      </c>
      <c r="K94" s="7">
        <f t="shared" si="4"/>
        <v>-1.7361111109494232E-2</v>
      </c>
      <c r="L94" t="e">
        <f t="shared" si="5"/>
        <v>#NUM!</v>
      </c>
      <c r="M94" t="e">
        <f t="shared" si="6"/>
        <v>#NUM!</v>
      </c>
      <c r="N94" t="e">
        <f t="shared" si="7"/>
        <v>#NUM!</v>
      </c>
    </row>
    <row r="95" spans="2:14" hidden="1" x14ac:dyDescent="0.25">
      <c r="B95" t="s">
        <v>32</v>
      </c>
      <c r="C95" s="6">
        <v>46072.576388888891</v>
      </c>
      <c r="D95" s="6">
        <v>46072.59375</v>
      </c>
      <c r="E95" s="6">
        <v>46072.600694444445</v>
      </c>
      <c r="F95" s="6">
        <v>46072.635416666664</v>
      </c>
      <c r="G95" s="6">
        <v>46072.642361111109</v>
      </c>
      <c r="H95" s="6">
        <v>46072.659722222219</v>
      </c>
      <c r="I95">
        <v>2</v>
      </c>
      <c r="J95" s="6">
        <v>46072.666666666664</v>
      </c>
      <c r="K95" s="7">
        <f t="shared" si="4"/>
        <v>-3.4722222218988463E-2</v>
      </c>
      <c r="L95" t="e">
        <f t="shared" si="5"/>
        <v>#NUM!</v>
      </c>
      <c r="M95" t="e">
        <f t="shared" si="6"/>
        <v>#NUM!</v>
      </c>
      <c r="N95" t="e">
        <f t="shared" si="7"/>
        <v>#NUM!</v>
      </c>
    </row>
    <row r="96" spans="2:14" x14ac:dyDescent="0.25">
      <c r="B96" t="s">
        <v>32</v>
      </c>
      <c r="C96" s="6">
        <v>46072.625</v>
      </c>
      <c r="D96" s="6">
        <v>46072.635416666664</v>
      </c>
      <c r="E96" s="6">
        <v>46072.645833333336</v>
      </c>
      <c r="F96" s="6">
        <v>46072.673611111109</v>
      </c>
      <c r="G96" s="6">
        <v>46072.680555555555</v>
      </c>
      <c r="H96" s="6">
        <v>46072.6875</v>
      </c>
      <c r="I96">
        <v>1.5</v>
      </c>
      <c r="J96" s="6">
        <v>46072.694444444445</v>
      </c>
      <c r="K96" s="7">
        <f t="shared" si="4"/>
        <v>0.60416666666424135</v>
      </c>
      <c r="L96">
        <f t="shared" si="5"/>
        <v>14</v>
      </c>
      <c r="M96">
        <f t="shared" si="6"/>
        <v>30</v>
      </c>
      <c r="N96">
        <f t="shared" si="7"/>
        <v>870</v>
      </c>
    </row>
    <row r="97" spans="2:14" x14ac:dyDescent="0.25">
      <c r="B97" t="s">
        <v>32</v>
      </c>
      <c r="C97" s="6">
        <v>46073.291666666664</v>
      </c>
      <c r="D97" s="6">
        <v>46073.333333333336</v>
      </c>
      <c r="E97" s="6">
        <v>46073.347222222219</v>
      </c>
      <c r="F97" s="6">
        <v>46073.4375</v>
      </c>
      <c r="G97" s="6">
        <v>46073.444444444445</v>
      </c>
      <c r="H97" s="6">
        <v>46073.447916666664</v>
      </c>
      <c r="I97">
        <v>3.75</v>
      </c>
      <c r="J97" s="6">
        <v>46073.454861111109</v>
      </c>
      <c r="K97" s="7">
        <f t="shared" si="4"/>
        <v>7.2916666671517305E-2</v>
      </c>
      <c r="L97">
        <f t="shared" si="5"/>
        <v>1</v>
      </c>
      <c r="M97">
        <f t="shared" si="6"/>
        <v>45</v>
      </c>
      <c r="N97">
        <f t="shared" si="7"/>
        <v>105</v>
      </c>
    </row>
    <row r="98" spans="2:14" x14ac:dyDescent="0.25">
      <c r="B98" t="s">
        <v>32</v>
      </c>
      <c r="C98" s="6">
        <v>46073.520833333336</v>
      </c>
      <c r="D98" s="6">
        <v>46073.524305555555</v>
      </c>
      <c r="E98" s="6">
        <v>46073.525694444441</v>
      </c>
      <c r="F98" s="6">
        <v>46073.53125</v>
      </c>
      <c r="G98" s="6">
        <v>46073.538194444445</v>
      </c>
      <c r="H98" s="6">
        <v>46073.541666666664</v>
      </c>
      <c r="I98">
        <v>0.5</v>
      </c>
      <c r="J98" s="6">
        <v>46073.548611111109</v>
      </c>
      <c r="K98" s="7">
        <f t="shared" si="4"/>
        <v>6.5972222226264421E-2</v>
      </c>
      <c r="L98">
        <f t="shared" si="5"/>
        <v>1</v>
      </c>
      <c r="M98">
        <f t="shared" si="6"/>
        <v>35</v>
      </c>
      <c r="N98">
        <f t="shared" si="7"/>
        <v>95</v>
      </c>
    </row>
    <row r="99" spans="2:14" hidden="1" x14ac:dyDescent="0.25">
      <c r="B99" t="s">
        <v>32</v>
      </c>
      <c r="C99" s="6">
        <v>46073.607638888891</v>
      </c>
      <c r="D99" s="6">
        <v>46073.611111111109</v>
      </c>
      <c r="E99" s="6">
        <v>46073.618055555555</v>
      </c>
      <c r="F99" s="6">
        <v>46073.638888888891</v>
      </c>
      <c r="G99" s="6">
        <v>46073.645833333336</v>
      </c>
      <c r="H99" s="6">
        <v>46073.649305555555</v>
      </c>
      <c r="I99">
        <v>1</v>
      </c>
      <c r="J99" s="6">
        <v>46073.652777777781</v>
      </c>
      <c r="K99" s="7">
        <f t="shared" si="4"/>
        <v>-2.4305555554747116E-2</v>
      </c>
      <c r="L99" t="e">
        <f t="shared" si="5"/>
        <v>#NUM!</v>
      </c>
      <c r="M99" t="e">
        <f t="shared" si="6"/>
        <v>#NUM!</v>
      </c>
      <c r="N99" t="e">
        <f t="shared" si="7"/>
        <v>#NUM!</v>
      </c>
    </row>
    <row r="100" spans="2:14" hidden="1" x14ac:dyDescent="0.25">
      <c r="B100" t="s">
        <v>32</v>
      </c>
      <c r="C100" s="6">
        <v>46073.625</v>
      </c>
      <c r="D100" s="6">
        <v>46073.631944444445</v>
      </c>
      <c r="E100" s="6">
        <v>46073.645833333336</v>
      </c>
      <c r="F100" s="6">
        <v>46073.694444444445</v>
      </c>
      <c r="G100" s="6">
        <v>46073.701388888891</v>
      </c>
      <c r="H100" s="6">
        <v>46073.708333333336</v>
      </c>
      <c r="I100">
        <v>2</v>
      </c>
      <c r="J100" s="6">
        <v>46073.715277777781</v>
      </c>
      <c r="K100" s="7">
        <f t="shared" si="4"/>
        <v>-1.0416666671517305E-2</v>
      </c>
      <c r="L100" t="e">
        <f t="shared" si="5"/>
        <v>#NUM!</v>
      </c>
      <c r="M100" t="e">
        <f t="shared" si="6"/>
        <v>#NUM!</v>
      </c>
      <c r="N100" t="e">
        <f t="shared" si="7"/>
        <v>#NUM!</v>
      </c>
    </row>
    <row r="101" spans="2:14" x14ac:dyDescent="0.25">
      <c r="B101" t="s">
        <v>32</v>
      </c>
      <c r="C101" s="6">
        <v>46073.697916666664</v>
      </c>
      <c r="D101" s="6">
        <v>46073.708333333336</v>
      </c>
      <c r="E101" s="6">
        <v>46073.722222222219</v>
      </c>
      <c r="F101" s="6">
        <v>46073.770833333336</v>
      </c>
      <c r="G101" s="6">
        <v>46073.777777777781</v>
      </c>
      <c r="H101" s="6">
        <v>46073.77847222222</v>
      </c>
      <c r="I101">
        <v>1.93</v>
      </c>
      <c r="J101" s="6">
        <v>46073.785416666666</v>
      </c>
      <c r="K101" s="7">
        <f t="shared" si="4"/>
        <v>0.66597222222480923</v>
      </c>
      <c r="L101">
        <f t="shared" si="5"/>
        <v>15</v>
      </c>
      <c r="M101">
        <f t="shared" si="6"/>
        <v>59</v>
      </c>
      <c r="N101">
        <f t="shared" si="7"/>
        <v>959</v>
      </c>
    </row>
    <row r="102" spans="2:14" x14ac:dyDescent="0.25">
      <c r="B102" t="s">
        <v>32</v>
      </c>
      <c r="C102" s="6">
        <v>46074.444444444445</v>
      </c>
      <c r="D102" s="6">
        <v>46074.472222222219</v>
      </c>
      <c r="E102" s="6">
        <v>46074.489583333336</v>
      </c>
      <c r="F102" s="6">
        <v>46074.506944444445</v>
      </c>
      <c r="G102" s="6">
        <v>46074.510416666664</v>
      </c>
      <c r="H102" s="6">
        <v>46074.512499999997</v>
      </c>
      <c r="I102">
        <v>1.63</v>
      </c>
      <c r="J102" s="6">
        <v>46074.519444444442</v>
      </c>
      <c r="K102" s="7">
        <f t="shared" si="4"/>
        <v>1.820833333338669</v>
      </c>
      <c r="L102">
        <f t="shared" si="5"/>
        <v>19</v>
      </c>
      <c r="M102">
        <f t="shared" si="6"/>
        <v>42</v>
      </c>
      <c r="N102">
        <f t="shared" si="7"/>
        <v>1182</v>
      </c>
    </row>
    <row r="103" spans="2:14" x14ac:dyDescent="0.25">
      <c r="B103" t="s">
        <v>32</v>
      </c>
      <c r="C103" s="6">
        <v>46076.333333333336</v>
      </c>
      <c r="D103" s="6">
        <v>46076.361111111109</v>
      </c>
      <c r="E103" s="6">
        <v>46076.40625</v>
      </c>
      <c r="F103" s="6">
        <v>46076.534722222219</v>
      </c>
      <c r="G103" s="6">
        <v>46076.541666666664</v>
      </c>
      <c r="H103" s="6">
        <v>46076.548611111109</v>
      </c>
      <c r="I103">
        <v>5.17</v>
      </c>
      <c r="J103" s="6">
        <v>46076.555555555555</v>
      </c>
      <c r="K103" s="7">
        <f t="shared" si="4"/>
        <v>8.6805555554747116E-2</v>
      </c>
      <c r="L103">
        <f t="shared" si="5"/>
        <v>2</v>
      </c>
      <c r="M103">
        <f t="shared" si="6"/>
        <v>5</v>
      </c>
      <c r="N103">
        <f t="shared" si="7"/>
        <v>125</v>
      </c>
    </row>
    <row r="104" spans="2:14" x14ac:dyDescent="0.25">
      <c r="B104" t="s">
        <v>32</v>
      </c>
      <c r="C104" s="6">
        <v>46076.635416666664</v>
      </c>
      <c r="D104" s="6">
        <v>46076.642361111109</v>
      </c>
      <c r="E104" s="6">
        <v>46076.684027777781</v>
      </c>
      <c r="F104" s="6">
        <v>46076.770833333336</v>
      </c>
      <c r="G104" s="6">
        <v>46076.777777777781</v>
      </c>
      <c r="H104" s="6">
        <v>46076.805555555555</v>
      </c>
      <c r="I104">
        <v>4.08</v>
      </c>
      <c r="J104" s="6">
        <v>46076.8125</v>
      </c>
      <c r="K104" s="7">
        <f t="shared" si="4"/>
        <v>0.48611111110949423</v>
      </c>
      <c r="L104">
        <f t="shared" si="5"/>
        <v>11</v>
      </c>
      <c r="M104">
        <f t="shared" si="6"/>
        <v>40</v>
      </c>
      <c r="N104">
        <f t="shared" si="7"/>
        <v>700</v>
      </c>
    </row>
    <row r="105" spans="2:14" x14ac:dyDescent="0.25">
      <c r="B105" t="s">
        <v>32</v>
      </c>
      <c r="C105" s="6">
        <v>46077.291666666664</v>
      </c>
      <c r="D105" s="6">
        <v>46077.340277777781</v>
      </c>
      <c r="E105" s="6">
        <v>46077.354166666664</v>
      </c>
      <c r="F105" s="6">
        <v>46077.395833333336</v>
      </c>
      <c r="G105" s="6">
        <v>46077.402777777781</v>
      </c>
      <c r="H105" s="6">
        <v>46077.40625</v>
      </c>
      <c r="I105">
        <v>2.75</v>
      </c>
      <c r="J105" s="6">
        <v>46077.413194444445</v>
      </c>
      <c r="K105" s="7">
        <f t="shared" si="4"/>
        <v>2.0833333335758653E-2</v>
      </c>
      <c r="L105">
        <f t="shared" si="5"/>
        <v>0</v>
      </c>
      <c r="M105">
        <f t="shared" si="6"/>
        <v>30</v>
      </c>
      <c r="N105">
        <f t="shared" si="7"/>
        <v>30</v>
      </c>
    </row>
    <row r="106" spans="2:14" x14ac:dyDescent="0.25">
      <c r="B106" t="s">
        <v>32</v>
      </c>
      <c r="C106" s="6">
        <v>46077.427083333336</v>
      </c>
      <c r="D106" s="6">
        <v>46077.430555555555</v>
      </c>
      <c r="E106" s="6">
        <v>46077.434027777781</v>
      </c>
      <c r="F106" s="6">
        <v>46077.486111111109</v>
      </c>
      <c r="G106" s="6">
        <v>46077.493055555555</v>
      </c>
      <c r="H106" s="6">
        <v>46077.506944444445</v>
      </c>
      <c r="I106">
        <v>1.92</v>
      </c>
      <c r="J106" s="6">
        <v>46077.513888888891</v>
      </c>
      <c r="K106" s="7">
        <f t="shared" si="4"/>
        <v>9.375E-2</v>
      </c>
      <c r="L106">
        <f t="shared" si="5"/>
        <v>2</v>
      </c>
      <c r="M106">
        <f t="shared" si="6"/>
        <v>15</v>
      </c>
      <c r="N106">
        <f t="shared" si="7"/>
        <v>135</v>
      </c>
    </row>
    <row r="107" spans="2:14" x14ac:dyDescent="0.25">
      <c r="B107" t="s">
        <v>32</v>
      </c>
      <c r="C107" s="6">
        <v>46077.600694444445</v>
      </c>
      <c r="D107" s="6">
        <v>46077.607638888891</v>
      </c>
      <c r="E107" s="6">
        <v>46077.638888888891</v>
      </c>
      <c r="F107" s="6">
        <v>46077.6875</v>
      </c>
      <c r="G107" s="6">
        <v>46077.694444444445</v>
      </c>
      <c r="H107" s="6">
        <v>46077.708333333336</v>
      </c>
      <c r="I107">
        <v>2.58</v>
      </c>
      <c r="J107" s="6">
        <v>46077.715277777781</v>
      </c>
      <c r="K107" s="7">
        <f t="shared" si="4"/>
        <v>0.625</v>
      </c>
      <c r="L107">
        <f t="shared" si="5"/>
        <v>15</v>
      </c>
      <c r="M107">
        <f t="shared" si="6"/>
        <v>0</v>
      </c>
      <c r="N107">
        <f t="shared" si="7"/>
        <v>900</v>
      </c>
    </row>
    <row r="108" spans="2:14" x14ac:dyDescent="0.25">
      <c r="B108" t="s">
        <v>32</v>
      </c>
      <c r="C108" s="6">
        <v>46078.333333333336</v>
      </c>
      <c r="D108" s="6">
        <v>46078.34375</v>
      </c>
      <c r="E108" s="6">
        <v>46078.354166666664</v>
      </c>
      <c r="F108" s="6">
        <v>46078.472222222219</v>
      </c>
      <c r="G108" s="6">
        <v>46078.479166666664</v>
      </c>
      <c r="H108" s="6">
        <v>46078.489583333336</v>
      </c>
      <c r="I108">
        <v>3.75</v>
      </c>
      <c r="J108" s="6">
        <v>46078.496527777781</v>
      </c>
      <c r="K108" s="7">
        <f t="shared" si="4"/>
        <v>4.0972222217533272E-2</v>
      </c>
      <c r="L108">
        <f t="shared" si="5"/>
        <v>0</v>
      </c>
      <c r="M108">
        <f t="shared" si="6"/>
        <v>59</v>
      </c>
      <c r="N108">
        <f t="shared" si="7"/>
        <v>59</v>
      </c>
    </row>
    <row r="109" spans="2:14" x14ac:dyDescent="0.25">
      <c r="B109" t="s">
        <v>32</v>
      </c>
      <c r="C109" s="6">
        <v>46078.530555555553</v>
      </c>
      <c r="D109" s="6">
        <v>46078.541666666664</v>
      </c>
      <c r="E109" s="6">
        <v>46078.579861111109</v>
      </c>
      <c r="F109" s="6">
        <v>46078.652777777781</v>
      </c>
      <c r="G109" s="6">
        <v>46078.65625</v>
      </c>
      <c r="H109" s="6">
        <v>46078.666666666664</v>
      </c>
      <c r="I109">
        <v>3.27</v>
      </c>
      <c r="J109" s="6">
        <v>46078.673611111109</v>
      </c>
      <c r="K109" s="7">
        <f t="shared" si="4"/>
        <v>4.1666666671517305E-2</v>
      </c>
      <c r="L109">
        <f t="shared" si="5"/>
        <v>1</v>
      </c>
      <c r="M109">
        <f t="shared" si="6"/>
        <v>0</v>
      </c>
      <c r="N109">
        <f t="shared" si="7"/>
        <v>60</v>
      </c>
    </row>
    <row r="110" spans="2:14" x14ac:dyDescent="0.25">
      <c r="B110" t="s">
        <v>32</v>
      </c>
      <c r="C110" s="6">
        <v>46078.708333333336</v>
      </c>
      <c r="D110" s="6">
        <v>46078.71875</v>
      </c>
      <c r="E110" s="6">
        <v>46078.729166666664</v>
      </c>
      <c r="F110" s="6">
        <v>46078.786111111112</v>
      </c>
      <c r="G110" s="6">
        <v>46078.868055555555</v>
      </c>
      <c r="H110" s="6">
        <v>46078.875</v>
      </c>
      <c r="I110">
        <v>4</v>
      </c>
      <c r="J110" s="6">
        <v>46078.881944444445</v>
      </c>
      <c r="K110" s="7">
        <f t="shared" si="4"/>
        <v>0.44097222221898846</v>
      </c>
      <c r="L110">
        <f t="shared" si="5"/>
        <v>10</v>
      </c>
      <c r="M110">
        <f t="shared" si="6"/>
        <v>35</v>
      </c>
      <c r="N110">
        <f t="shared" si="7"/>
        <v>635</v>
      </c>
    </row>
    <row r="111" spans="2:14" x14ac:dyDescent="0.25">
      <c r="B111" t="s">
        <v>32</v>
      </c>
      <c r="C111" s="6">
        <v>46079.315972222219</v>
      </c>
      <c r="D111" s="6">
        <v>46079.318055555559</v>
      </c>
      <c r="E111" s="6">
        <v>46079.319444444445</v>
      </c>
      <c r="F111" s="6">
        <v>46079.326388888891</v>
      </c>
      <c r="G111" s="6">
        <v>46079.333333333336</v>
      </c>
      <c r="H111" s="6">
        <v>46079.340277777781</v>
      </c>
      <c r="I111">
        <v>0.57999999999999996</v>
      </c>
      <c r="J111" s="6">
        <v>46079.34375</v>
      </c>
      <c r="K111" s="7">
        <f t="shared" si="4"/>
        <v>5.2083333328482695E-2</v>
      </c>
      <c r="L111">
        <f t="shared" si="5"/>
        <v>1</v>
      </c>
      <c r="M111">
        <f t="shared" si="6"/>
        <v>15</v>
      </c>
      <c r="N111">
        <f t="shared" si="7"/>
        <v>75</v>
      </c>
    </row>
    <row r="112" spans="2:14" x14ac:dyDescent="0.25">
      <c r="B112" t="s">
        <v>32</v>
      </c>
      <c r="C112" s="6">
        <v>46079.392361111109</v>
      </c>
      <c r="D112" s="6">
        <v>46079.395833333336</v>
      </c>
      <c r="E112" s="6">
        <v>46079.40625</v>
      </c>
      <c r="F112" s="6">
        <v>46079.434027777781</v>
      </c>
      <c r="G112" s="6">
        <v>46079.447916666664</v>
      </c>
      <c r="H112" s="6">
        <v>46079.451388888891</v>
      </c>
      <c r="I112">
        <v>1.42</v>
      </c>
      <c r="J112" s="6">
        <v>46079.458333333336</v>
      </c>
      <c r="K112" s="7">
        <f t="shared" si="4"/>
        <v>5.9027777773735579E-2</v>
      </c>
      <c r="L112">
        <f t="shared" si="5"/>
        <v>1</v>
      </c>
      <c r="M112">
        <f t="shared" si="6"/>
        <v>25</v>
      </c>
      <c r="N112">
        <f t="shared" si="7"/>
        <v>85</v>
      </c>
    </row>
    <row r="113" spans="2:14" x14ac:dyDescent="0.25">
      <c r="B113" t="s">
        <v>32</v>
      </c>
      <c r="C113" s="6">
        <v>46079.510416666664</v>
      </c>
      <c r="D113" s="6">
        <v>46079.517361111109</v>
      </c>
      <c r="E113" s="6">
        <v>46079.524305555555</v>
      </c>
      <c r="F113" s="6">
        <v>46079.534722222219</v>
      </c>
      <c r="G113" s="6">
        <v>46079.538194444445</v>
      </c>
      <c r="H113" s="6">
        <v>46079.541666666664</v>
      </c>
      <c r="I113">
        <v>0.75</v>
      </c>
      <c r="J113" s="6">
        <v>46079.548611111109</v>
      </c>
      <c r="K113" s="7">
        <f t="shared" si="4"/>
        <v>5.5555555554747116E-2</v>
      </c>
      <c r="L113">
        <f t="shared" si="5"/>
        <v>1</v>
      </c>
      <c r="M113">
        <f t="shared" si="6"/>
        <v>20</v>
      </c>
      <c r="N113">
        <f t="shared" si="7"/>
        <v>80</v>
      </c>
    </row>
    <row r="114" spans="2:14" hidden="1" x14ac:dyDescent="0.25">
      <c r="B114" t="s">
        <v>32</v>
      </c>
      <c r="C114" s="6">
        <v>46079.597222222219</v>
      </c>
      <c r="D114" s="6">
        <v>46079.604166666664</v>
      </c>
      <c r="E114" s="6">
        <v>46079.625</v>
      </c>
      <c r="F114" s="6">
        <v>46079.704861111109</v>
      </c>
      <c r="G114" s="6">
        <v>46079.711805555555</v>
      </c>
      <c r="H114" s="6">
        <v>46079.722222222219</v>
      </c>
      <c r="I114">
        <v>3</v>
      </c>
      <c r="J114" s="6">
        <v>46079.729166666664</v>
      </c>
      <c r="K114" s="7">
        <f t="shared" si="4"/>
        <v>-0.11111111110949423</v>
      </c>
      <c r="L114" t="e">
        <f t="shared" si="5"/>
        <v>#NUM!</v>
      </c>
      <c r="M114" t="e">
        <f t="shared" si="6"/>
        <v>#NUM!</v>
      </c>
      <c r="N114" t="e">
        <f t="shared" si="7"/>
        <v>#NUM!</v>
      </c>
    </row>
    <row r="115" spans="2:14" x14ac:dyDescent="0.25">
      <c r="B115" t="s">
        <v>32</v>
      </c>
      <c r="C115" s="6">
        <v>46079.611111111109</v>
      </c>
      <c r="D115" s="6">
        <v>46079.638888888891</v>
      </c>
      <c r="E115" s="6">
        <v>46079.645833333336</v>
      </c>
      <c r="F115" s="6">
        <v>46079.736111111109</v>
      </c>
      <c r="G115" s="6">
        <v>46079.743055555555</v>
      </c>
      <c r="H115" s="6">
        <v>46079.776388888888</v>
      </c>
      <c r="I115">
        <v>3.97</v>
      </c>
      <c r="J115" s="6">
        <v>46079.783333333333</v>
      </c>
      <c r="K115" s="7">
        <f t="shared" si="4"/>
        <v>0.50833333333139308</v>
      </c>
      <c r="L115">
        <f t="shared" si="5"/>
        <v>12</v>
      </c>
      <c r="M115">
        <f t="shared" si="6"/>
        <v>12</v>
      </c>
      <c r="N115">
        <f t="shared" si="7"/>
        <v>732</v>
      </c>
    </row>
    <row r="116" spans="2:14" x14ac:dyDescent="0.25">
      <c r="B116" t="s">
        <v>32</v>
      </c>
      <c r="C116" s="6">
        <v>46080.284722222219</v>
      </c>
      <c r="D116" s="6">
        <v>46080.34375</v>
      </c>
      <c r="E116" s="6">
        <v>46080.350694444445</v>
      </c>
      <c r="F116" s="6">
        <v>46080.357638888891</v>
      </c>
      <c r="G116" s="6">
        <v>46080.364583333336</v>
      </c>
      <c r="H116" s="6">
        <v>46080.372916666667</v>
      </c>
      <c r="I116">
        <v>2.12</v>
      </c>
      <c r="J116" s="6">
        <v>46080.379861111112</v>
      </c>
      <c r="K116" s="7">
        <f t="shared" si="4"/>
        <v>7.4999999997089617E-2</v>
      </c>
      <c r="L116">
        <f t="shared" si="5"/>
        <v>1</v>
      </c>
      <c r="M116">
        <f t="shared" si="6"/>
        <v>48</v>
      </c>
      <c r="N116">
        <f t="shared" si="7"/>
        <v>108</v>
      </c>
    </row>
    <row r="117" spans="2:14" hidden="1" x14ac:dyDescent="0.25">
      <c r="B117" t="s">
        <v>32</v>
      </c>
      <c r="C117" s="6">
        <v>46080.447916666664</v>
      </c>
      <c r="D117" s="6">
        <v>46080.472222222219</v>
      </c>
      <c r="E117" s="6">
        <v>46080.479166666664</v>
      </c>
      <c r="F117" s="6">
        <v>46080.513888888891</v>
      </c>
      <c r="G117" s="6">
        <v>46080.520833333336</v>
      </c>
      <c r="H117" s="6">
        <v>46080.555555555555</v>
      </c>
      <c r="I117">
        <v>2.58</v>
      </c>
      <c r="J117" s="6">
        <v>46080.556250000001</v>
      </c>
      <c r="K117" s="7">
        <f t="shared" si="4"/>
        <v>-4.8611111109494232E-2</v>
      </c>
      <c r="L117" t="e">
        <f t="shared" si="5"/>
        <v>#NUM!</v>
      </c>
      <c r="M117" t="e">
        <f t="shared" si="6"/>
        <v>#NUM!</v>
      </c>
      <c r="N117" t="e">
        <f t="shared" si="7"/>
        <v>#NUM!</v>
      </c>
    </row>
    <row r="118" spans="2:14" x14ac:dyDescent="0.25">
      <c r="B118" t="s">
        <v>32</v>
      </c>
      <c r="C118" s="6">
        <v>46080.506944444445</v>
      </c>
      <c r="D118" s="6">
        <v>46080.524305555555</v>
      </c>
      <c r="E118" s="6">
        <v>46080.525000000001</v>
      </c>
      <c r="F118" s="6">
        <v>46080.53125</v>
      </c>
      <c r="G118" s="6">
        <v>46080.531944444447</v>
      </c>
      <c r="H118" s="6">
        <v>46080.548611111109</v>
      </c>
      <c r="I118">
        <v>1</v>
      </c>
      <c r="J118" s="6">
        <v>46080.555555555555</v>
      </c>
      <c r="K118" s="7">
        <f t="shared" si="4"/>
        <v>4.8611111109494232E-2</v>
      </c>
      <c r="L118">
        <f t="shared" si="5"/>
        <v>1</v>
      </c>
      <c r="M118">
        <f t="shared" si="6"/>
        <v>10</v>
      </c>
      <c r="N118">
        <f t="shared" si="7"/>
        <v>70</v>
      </c>
    </row>
    <row r="119" spans="2:14" x14ac:dyDescent="0.25">
      <c r="B119" t="s">
        <v>32</v>
      </c>
      <c r="C119" s="6">
        <v>46080.597222222219</v>
      </c>
      <c r="D119" s="6">
        <v>46080.614583333336</v>
      </c>
      <c r="E119" s="6">
        <v>46080.618055555555</v>
      </c>
      <c r="F119" s="6">
        <v>46080.631944444445</v>
      </c>
      <c r="G119" s="6">
        <v>46080.638888888891</v>
      </c>
      <c r="H119" s="6">
        <v>46080.642361111109</v>
      </c>
      <c r="I119">
        <v>1.08</v>
      </c>
      <c r="J119" s="6">
        <v>46080.649305555555</v>
      </c>
      <c r="K119" s="7">
        <f t="shared" si="4"/>
        <v>5.5555555554747116E-2</v>
      </c>
      <c r="L119">
        <f t="shared" si="5"/>
        <v>1</v>
      </c>
      <c r="M119">
        <f t="shared" si="6"/>
        <v>20</v>
      </c>
      <c r="N119">
        <f t="shared" si="7"/>
        <v>80</v>
      </c>
    </row>
    <row r="120" spans="2:14" x14ac:dyDescent="0.25">
      <c r="B120" t="s">
        <v>32</v>
      </c>
      <c r="C120" s="6">
        <v>46080.697916666664</v>
      </c>
      <c r="D120" s="6">
        <v>46080.704861111109</v>
      </c>
      <c r="E120" s="6">
        <v>46080.71875</v>
      </c>
      <c r="F120" s="6">
        <v>46080.831944444442</v>
      </c>
      <c r="G120" s="6">
        <v>46080.875</v>
      </c>
      <c r="H120" s="6">
        <v>46080.940972222219</v>
      </c>
      <c r="I120">
        <v>5.83</v>
      </c>
      <c r="J120" s="6">
        <v>46080.947916666664</v>
      </c>
      <c r="K120" s="7">
        <f t="shared" si="4"/>
        <v>0.57986111111677019</v>
      </c>
      <c r="L120">
        <f t="shared" si="5"/>
        <v>13</v>
      </c>
      <c r="M120">
        <f t="shared" si="6"/>
        <v>55</v>
      </c>
      <c r="N120">
        <f t="shared" si="7"/>
        <v>835</v>
      </c>
    </row>
    <row r="121" spans="2:14" x14ac:dyDescent="0.25">
      <c r="B121" t="s">
        <v>32</v>
      </c>
      <c r="C121" s="6">
        <v>46081.520833333336</v>
      </c>
      <c r="D121" s="6">
        <v>46081.527777777781</v>
      </c>
      <c r="E121" s="6">
        <v>46081.541666666664</v>
      </c>
      <c r="F121" s="6">
        <v>46081.586805555555</v>
      </c>
      <c r="G121" s="6">
        <v>46081.600694444445</v>
      </c>
      <c r="H121" s="6">
        <v>46081.604166666664</v>
      </c>
      <c r="I121">
        <v>2</v>
      </c>
      <c r="J121" s="6">
        <v>46081.611111111109</v>
      </c>
      <c r="K121" s="7">
        <f t="shared" si="4"/>
        <v>1.8402777777810115</v>
      </c>
      <c r="L121">
        <f t="shared" si="5"/>
        <v>20</v>
      </c>
      <c r="M121">
        <f t="shared" si="6"/>
        <v>10</v>
      </c>
      <c r="N121">
        <f t="shared" si="7"/>
        <v>1210</v>
      </c>
    </row>
    <row r="122" spans="2:14" x14ac:dyDescent="0.25">
      <c r="B122" t="s">
        <v>32</v>
      </c>
      <c r="C122" s="6">
        <v>46083.444444444445</v>
      </c>
      <c r="D122" s="6">
        <v>46083.451388888891</v>
      </c>
      <c r="E122" s="6">
        <v>46083.46875</v>
      </c>
      <c r="F122" s="6">
        <v>46083.506944444445</v>
      </c>
      <c r="G122" s="6">
        <v>46083.513888888891</v>
      </c>
      <c r="H122" s="6">
        <v>46083.517361111109</v>
      </c>
      <c r="I122">
        <v>1.75</v>
      </c>
      <c r="J122" s="6">
        <v>46083.524305555555</v>
      </c>
      <c r="K122" s="7">
        <f t="shared" si="4"/>
        <v>0.79166666667151731</v>
      </c>
      <c r="L122">
        <f t="shared" si="5"/>
        <v>19</v>
      </c>
      <c r="M122">
        <f t="shared" si="6"/>
        <v>0</v>
      </c>
      <c r="N122">
        <f t="shared" si="7"/>
        <v>1140</v>
      </c>
    </row>
    <row r="123" spans="2:14" x14ac:dyDescent="0.25">
      <c r="B123" t="s">
        <v>32</v>
      </c>
      <c r="C123" s="6">
        <v>46084.309027777781</v>
      </c>
      <c r="D123" s="6">
        <v>46084.352083333331</v>
      </c>
      <c r="E123" s="6">
        <v>46084.361111111109</v>
      </c>
      <c r="F123" s="6">
        <v>46084.399305555555</v>
      </c>
      <c r="G123" s="6">
        <v>46084.402777777781</v>
      </c>
      <c r="H123" s="6">
        <v>46084.418749999997</v>
      </c>
      <c r="I123">
        <v>2.63</v>
      </c>
      <c r="J123" s="6">
        <v>46084.419444444444</v>
      </c>
      <c r="K123" s="7">
        <f t="shared" si="4"/>
        <v>5.3472222221898846E-2</v>
      </c>
      <c r="L123">
        <f t="shared" si="5"/>
        <v>1</v>
      </c>
      <c r="M123">
        <f t="shared" si="6"/>
        <v>17</v>
      </c>
      <c r="N123">
        <f t="shared" si="7"/>
        <v>77</v>
      </c>
    </row>
    <row r="124" spans="2:14" hidden="1" x14ac:dyDescent="0.25">
      <c r="B124" t="s">
        <v>32</v>
      </c>
      <c r="C124" s="6">
        <v>46084.472222222219</v>
      </c>
      <c r="D124" s="6">
        <v>46084.486111111109</v>
      </c>
      <c r="E124" s="6">
        <v>46084.524305555555</v>
      </c>
      <c r="F124" s="6">
        <v>46084.621527777781</v>
      </c>
      <c r="G124" s="6">
        <v>46084.628472222219</v>
      </c>
      <c r="H124" s="6">
        <v>46084.635416666664</v>
      </c>
      <c r="I124">
        <v>3.92</v>
      </c>
      <c r="J124" s="6">
        <v>46084.638888888891</v>
      </c>
      <c r="K124" s="7">
        <f t="shared" si="4"/>
        <v>-8.4722222221898846E-2</v>
      </c>
      <c r="L124" t="e">
        <f t="shared" si="5"/>
        <v>#NUM!</v>
      </c>
      <c r="M124" t="e">
        <f t="shared" si="6"/>
        <v>#NUM!</v>
      </c>
      <c r="N124" t="e">
        <f t="shared" si="7"/>
        <v>#NUM!</v>
      </c>
    </row>
    <row r="125" spans="2:14" x14ac:dyDescent="0.25">
      <c r="B125" t="s">
        <v>32</v>
      </c>
      <c r="C125" s="6">
        <v>46084.550694444442</v>
      </c>
      <c r="D125" s="6">
        <v>46084.555555555555</v>
      </c>
      <c r="E125" s="6">
        <v>46084.569444444445</v>
      </c>
      <c r="F125" s="6">
        <v>46084.59375</v>
      </c>
      <c r="G125" s="6">
        <v>46084.600694444445</v>
      </c>
      <c r="H125" s="6">
        <v>46084.611111111109</v>
      </c>
      <c r="I125">
        <v>1.45</v>
      </c>
      <c r="J125" s="6">
        <v>46084.614583333336</v>
      </c>
      <c r="K125" s="7">
        <f t="shared" si="4"/>
        <v>0.86458333333575865</v>
      </c>
      <c r="L125">
        <f t="shared" si="5"/>
        <v>20</v>
      </c>
      <c r="M125">
        <f t="shared" si="6"/>
        <v>45</v>
      </c>
      <c r="N125">
        <f t="shared" si="7"/>
        <v>1245</v>
      </c>
    </row>
    <row r="126" spans="2:14" hidden="1" x14ac:dyDescent="0.25">
      <c r="B126" t="s">
        <v>32</v>
      </c>
      <c r="C126" s="6">
        <v>46085.475694444445</v>
      </c>
      <c r="D126" s="6">
        <v>46085.5</v>
      </c>
      <c r="E126" s="6">
        <v>46085.532638888886</v>
      </c>
      <c r="F126" s="6">
        <v>46085.574305555558</v>
      </c>
      <c r="G126" s="6">
        <v>46085.576388888891</v>
      </c>
      <c r="H126" s="6">
        <v>46085.579861111109</v>
      </c>
      <c r="I126">
        <v>2.5</v>
      </c>
      <c r="J126" s="6">
        <v>46085.586805555555</v>
      </c>
      <c r="K126" s="7">
        <f t="shared" si="4"/>
        <v>-7.9861111109494232E-2</v>
      </c>
      <c r="L126" t="e">
        <f t="shared" si="5"/>
        <v>#NUM!</v>
      </c>
      <c r="M126" t="e">
        <f t="shared" si="6"/>
        <v>#NUM!</v>
      </c>
      <c r="N126" t="e">
        <f t="shared" si="7"/>
        <v>#NUM!</v>
      </c>
    </row>
    <row r="127" spans="2:14" x14ac:dyDescent="0.25">
      <c r="B127" t="s">
        <v>32</v>
      </c>
      <c r="C127" s="6">
        <v>46085.5</v>
      </c>
      <c r="D127" s="6">
        <v>46085.517361111109</v>
      </c>
      <c r="E127" s="6">
        <v>46085.546527777777</v>
      </c>
      <c r="F127" s="6">
        <v>46085.583333333336</v>
      </c>
      <c r="G127" s="6">
        <v>46085.590277777781</v>
      </c>
      <c r="H127" s="6">
        <v>46085.591666666667</v>
      </c>
      <c r="I127">
        <v>2.2000000000000002</v>
      </c>
      <c r="J127" s="6">
        <v>46085.598611111112</v>
      </c>
      <c r="K127" s="7">
        <f t="shared" si="4"/>
        <v>4.7222222223354038E-2</v>
      </c>
      <c r="L127">
        <f t="shared" si="5"/>
        <v>1</v>
      </c>
      <c r="M127">
        <f t="shared" si="6"/>
        <v>8</v>
      </c>
      <c r="N127">
        <f t="shared" si="7"/>
        <v>68</v>
      </c>
    </row>
    <row r="128" spans="2:14" x14ac:dyDescent="0.25">
      <c r="B128" t="s">
        <v>32</v>
      </c>
      <c r="C128" s="6">
        <v>46085.638888888891</v>
      </c>
      <c r="D128" s="6">
        <v>46085.649305555555</v>
      </c>
      <c r="E128" s="6">
        <v>46085.677083333336</v>
      </c>
      <c r="F128" s="6">
        <v>46085.75</v>
      </c>
      <c r="G128" s="6">
        <v>46085.756944444445</v>
      </c>
      <c r="H128" s="6">
        <v>46085.763888888891</v>
      </c>
      <c r="I128">
        <v>3</v>
      </c>
      <c r="J128" s="6">
        <v>46085.767361111109</v>
      </c>
      <c r="K128" s="7">
        <f t="shared" si="4"/>
        <v>0.52777777777373558</v>
      </c>
      <c r="L128">
        <f t="shared" si="5"/>
        <v>12</v>
      </c>
      <c r="M128">
        <f t="shared" si="6"/>
        <v>40</v>
      </c>
      <c r="N128">
        <f t="shared" si="7"/>
        <v>760</v>
      </c>
    </row>
    <row r="129" spans="2:14" x14ac:dyDescent="0.25">
      <c r="B129" t="s">
        <v>32</v>
      </c>
      <c r="C129" s="6">
        <v>46086.291666666664</v>
      </c>
      <c r="D129" s="6">
        <v>46086.298611111109</v>
      </c>
      <c r="E129" s="6">
        <v>46086.305555555555</v>
      </c>
      <c r="F129" s="6">
        <v>46086.311111111114</v>
      </c>
      <c r="G129" s="6">
        <v>46086.311805555553</v>
      </c>
      <c r="H129" s="6">
        <v>46086.3125</v>
      </c>
      <c r="I129">
        <v>0.5</v>
      </c>
      <c r="J129" s="6">
        <v>46086.313194444447</v>
      </c>
      <c r="K129" s="7">
        <f t="shared" si="4"/>
        <v>4.8611111109494232E-2</v>
      </c>
      <c r="L129">
        <f t="shared" si="5"/>
        <v>1</v>
      </c>
      <c r="M129">
        <f t="shared" si="6"/>
        <v>10</v>
      </c>
      <c r="N129">
        <f t="shared" si="7"/>
        <v>70</v>
      </c>
    </row>
    <row r="130" spans="2:14" x14ac:dyDescent="0.25">
      <c r="B130" t="s">
        <v>32</v>
      </c>
      <c r="C130" s="6">
        <v>46086.361111111109</v>
      </c>
      <c r="D130" s="6">
        <v>46086.363194444442</v>
      </c>
      <c r="E130" s="6">
        <v>46086.364583333336</v>
      </c>
      <c r="F130" s="6">
        <v>46086.372916666667</v>
      </c>
      <c r="G130" s="6">
        <v>46086.375</v>
      </c>
      <c r="H130" s="6">
        <v>46086.388888888891</v>
      </c>
      <c r="I130">
        <v>0.67</v>
      </c>
      <c r="J130" s="6">
        <v>46086.38958333333</v>
      </c>
      <c r="K130" s="7">
        <f t="shared" si="4"/>
        <v>4.8611111109494232E-2</v>
      </c>
      <c r="L130">
        <f t="shared" si="5"/>
        <v>1</v>
      </c>
      <c r="M130">
        <f t="shared" si="6"/>
        <v>10</v>
      </c>
      <c r="N130">
        <f t="shared" si="7"/>
        <v>70</v>
      </c>
    </row>
    <row r="131" spans="2:14" hidden="1" x14ac:dyDescent="0.25">
      <c r="B131" t="s">
        <v>32</v>
      </c>
      <c r="C131" s="6">
        <v>46086.4375</v>
      </c>
      <c r="D131" s="6">
        <v>46086.444444444445</v>
      </c>
      <c r="E131" s="6">
        <v>46086.472222222219</v>
      </c>
      <c r="F131" s="6">
        <v>46086.546527777777</v>
      </c>
      <c r="G131" s="6">
        <v>46086.553472222222</v>
      </c>
      <c r="H131" s="6">
        <v>46086.572916666664</v>
      </c>
      <c r="I131">
        <v>3.25</v>
      </c>
      <c r="J131" s="6">
        <v>46086.579861111109</v>
      </c>
      <c r="K131" s="7">
        <f t="shared" si="4"/>
        <v>-0.12291666666715173</v>
      </c>
      <c r="L131" t="e">
        <f t="shared" si="5"/>
        <v>#NUM!</v>
      </c>
      <c r="M131" t="e">
        <f t="shared" si="6"/>
        <v>#NUM!</v>
      </c>
      <c r="N131" t="e">
        <f t="shared" si="7"/>
        <v>#NUM!</v>
      </c>
    </row>
    <row r="132" spans="2:14" x14ac:dyDescent="0.25">
      <c r="B132" t="s">
        <v>32</v>
      </c>
      <c r="C132" s="6">
        <v>46086.45</v>
      </c>
      <c r="D132" s="6">
        <v>46086.450694444444</v>
      </c>
      <c r="E132" s="6">
        <v>46086.459722222222</v>
      </c>
      <c r="F132" s="6">
        <v>46086.5</v>
      </c>
      <c r="G132" s="6">
        <v>46086.513194444444</v>
      </c>
      <c r="H132" s="6">
        <v>46086.513888888891</v>
      </c>
      <c r="I132">
        <v>1.53</v>
      </c>
      <c r="J132" s="6">
        <v>46086.520833333336</v>
      </c>
      <c r="K132" s="7">
        <f t="shared" ref="K132:K168" si="8">C133-H132</f>
        <v>0.1875</v>
      </c>
      <c r="L132">
        <f t="shared" ref="L132:L168" si="9">HOUR(K132)</f>
        <v>4</v>
      </c>
      <c r="M132">
        <f t="shared" ref="M132:M168" si="10">MINUTE(K132)</f>
        <v>30</v>
      </c>
      <c r="N132">
        <f t="shared" ref="N132:N168" si="11">L132*60+M132</f>
        <v>270</v>
      </c>
    </row>
    <row r="133" spans="2:14" x14ac:dyDescent="0.25">
      <c r="B133" t="s">
        <v>32</v>
      </c>
      <c r="C133" s="6">
        <v>46086.701388888891</v>
      </c>
      <c r="D133" s="6">
        <v>46086.708333333336</v>
      </c>
      <c r="E133" s="6">
        <v>46086.71875</v>
      </c>
      <c r="F133" s="6">
        <v>46086.776388888888</v>
      </c>
      <c r="G133" s="6">
        <v>46086.791666666664</v>
      </c>
      <c r="H133" s="6">
        <v>46086.795138888891</v>
      </c>
      <c r="I133">
        <v>2.25</v>
      </c>
      <c r="J133" s="6">
        <v>46086.798611111109</v>
      </c>
      <c r="K133" s="7">
        <f t="shared" si="8"/>
        <v>0.80902777777373558</v>
      </c>
      <c r="L133">
        <f t="shared" si="9"/>
        <v>19</v>
      </c>
      <c r="M133">
        <f t="shared" si="10"/>
        <v>25</v>
      </c>
      <c r="N133">
        <f t="shared" si="11"/>
        <v>1165</v>
      </c>
    </row>
    <row r="134" spans="2:14" x14ac:dyDescent="0.25">
      <c r="B134" t="s">
        <v>32</v>
      </c>
      <c r="C134" s="6">
        <v>46087.604166666664</v>
      </c>
      <c r="D134" s="6">
        <v>46087.618055555555</v>
      </c>
      <c r="E134" s="6">
        <v>46087.631944444445</v>
      </c>
      <c r="F134" s="6">
        <v>46087.736111111109</v>
      </c>
      <c r="G134" s="6">
        <v>46087.743055555555</v>
      </c>
      <c r="H134" s="6">
        <v>46087.746527777781</v>
      </c>
      <c r="I134">
        <v>3.42</v>
      </c>
      <c r="J134" s="6">
        <v>46087.753472222219</v>
      </c>
      <c r="K134" s="7">
        <f t="shared" si="8"/>
        <v>0.85763888888322981</v>
      </c>
      <c r="L134">
        <f t="shared" si="9"/>
        <v>20</v>
      </c>
      <c r="M134">
        <f t="shared" si="10"/>
        <v>35</v>
      </c>
      <c r="N134">
        <f t="shared" si="11"/>
        <v>1235</v>
      </c>
    </row>
    <row r="135" spans="2:14" x14ac:dyDescent="0.25">
      <c r="B135" t="s">
        <v>32</v>
      </c>
      <c r="C135" s="6">
        <v>46088.604166666664</v>
      </c>
      <c r="D135" s="6">
        <v>46088.611111111109</v>
      </c>
      <c r="E135" s="6">
        <v>46088.614583333336</v>
      </c>
      <c r="F135" s="6">
        <v>46088.631944444445</v>
      </c>
      <c r="G135" s="6">
        <v>46088.635416666664</v>
      </c>
      <c r="H135" s="6">
        <v>46088.638888888891</v>
      </c>
      <c r="I135">
        <v>0.83</v>
      </c>
      <c r="J135" s="6">
        <v>46088.640277777777</v>
      </c>
      <c r="K135" s="7">
        <f t="shared" si="8"/>
        <v>1.7048611111094942</v>
      </c>
      <c r="L135">
        <f t="shared" si="9"/>
        <v>16</v>
      </c>
      <c r="M135">
        <f t="shared" si="10"/>
        <v>55</v>
      </c>
      <c r="N135">
        <f t="shared" si="11"/>
        <v>1015</v>
      </c>
    </row>
    <row r="136" spans="2:14" x14ac:dyDescent="0.25">
      <c r="B136" t="s">
        <v>32</v>
      </c>
      <c r="C136" s="6">
        <v>46090.34375</v>
      </c>
      <c r="D136" s="6">
        <v>46090.347222222219</v>
      </c>
      <c r="E136" s="6">
        <v>46090.357638888891</v>
      </c>
      <c r="F136" s="6">
        <v>46090.447916666664</v>
      </c>
      <c r="G136" s="6">
        <v>46090.454861111109</v>
      </c>
      <c r="H136" s="6">
        <v>46090.493055555555</v>
      </c>
      <c r="I136">
        <v>3.58</v>
      </c>
      <c r="J136" s="6">
        <v>46090.5</v>
      </c>
      <c r="K136" s="7">
        <f t="shared" si="8"/>
        <v>5.5555555554747116E-2</v>
      </c>
      <c r="L136">
        <f t="shared" si="9"/>
        <v>1</v>
      </c>
      <c r="M136">
        <f t="shared" si="10"/>
        <v>20</v>
      </c>
      <c r="N136">
        <f t="shared" si="11"/>
        <v>80</v>
      </c>
    </row>
    <row r="137" spans="2:14" x14ac:dyDescent="0.25">
      <c r="B137" t="s">
        <v>32</v>
      </c>
      <c r="C137" s="6">
        <v>46090.548611111109</v>
      </c>
      <c r="D137" s="6">
        <v>46090.5625</v>
      </c>
      <c r="E137" s="6">
        <v>46090.576388888891</v>
      </c>
      <c r="F137" s="6">
        <v>46090.607638888891</v>
      </c>
      <c r="G137" s="6">
        <v>46090.614583333336</v>
      </c>
      <c r="H137" s="6">
        <v>46090.618055555555</v>
      </c>
      <c r="I137">
        <v>1.67</v>
      </c>
      <c r="J137" s="6">
        <v>46090.625</v>
      </c>
      <c r="K137" s="7">
        <f t="shared" si="8"/>
        <v>5.2083333335758653E-2</v>
      </c>
      <c r="L137">
        <f t="shared" si="9"/>
        <v>1</v>
      </c>
      <c r="M137">
        <f t="shared" si="10"/>
        <v>15</v>
      </c>
      <c r="N137">
        <f t="shared" si="11"/>
        <v>75</v>
      </c>
    </row>
    <row r="138" spans="2:14" x14ac:dyDescent="0.25">
      <c r="B138" t="s">
        <v>32</v>
      </c>
      <c r="C138" s="6">
        <v>46090.670138888891</v>
      </c>
      <c r="D138" s="6">
        <v>46090.677083333336</v>
      </c>
      <c r="E138" s="6">
        <v>46090.71875</v>
      </c>
      <c r="F138" s="6">
        <v>46090.826388888891</v>
      </c>
      <c r="G138" s="6">
        <v>46090.833333333336</v>
      </c>
      <c r="H138" s="6">
        <v>46090.84375</v>
      </c>
      <c r="I138">
        <v>4.17</v>
      </c>
      <c r="J138" s="6">
        <v>46090.850694444445</v>
      </c>
      <c r="K138" s="7">
        <f t="shared" si="8"/>
        <v>0.84722222221898846</v>
      </c>
      <c r="L138">
        <f t="shared" si="9"/>
        <v>20</v>
      </c>
      <c r="M138">
        <f t="shared" si="10"/>
        <v>20</v>
      </c>
      <c r="N138">
        <f t="shared" si="11"/>
        <v>1220</v>
      </c>
    </row>
    <row r="139" spans="2:14" x14ac:dyDescent="0.25">
      <c r="B139" t="s">
        <v>32</v>
      </c>
      <c r="C139" s="6">
        <v>46091.690972222219</v>
      </c>
      <c r="D139" s="6">
        <v>46091.694444444445</v>
      </c>
      <c r="E139" s="6">
        <v>46091.708333333336</v>
      </c>
      <c r="F139" s="6">
        <v>46091.746527777781</v>
      </c>
      <c r="G139" s="6">
        <v>46091.75</v>
      </c>
      <c r="H139" s="6">
        <v>46091.753472222219</v>
      </c>
      <c r="I139">
        <v>1.5</v>
      </c>
      <c r="J139" s="6">
        <v>46091.760416666664</v>
      </c>
      <c r="K139" s="7">
        <f t="shared" si="8"/>
        <v>0.53819444444525288</v>
      </c>
      <c r="L139">
        <f t="shared" si="9"/>
        <v>12</v>
      </c>
      <c r="M139">
        <f t="shared" si="10"/>
        <v>55</v>
      </c>
      <c r="N139">
        <f t="shared" si="11"/>
        <v>775</v>
      </c>
    </row>
    <row r="140" spans="2:14" hidden="1" x14ac:dyDescent="0.25">
      <c r="B140" t="s">
        <v>32</v>
      </c>
      <c r="C140" s="6">
        <v>46092.291666666664</v>
      </c>
      <c r="D140" s="6">
        <v>46092.322916666664</v>
      </c>
      <c r="E140" s="6">
        <v>46092.347222222219</v>
      </c>
      <c r="F140" s="6">
        <v>46092.513888888891</v>
      </c>
      <c r="G140" s="6">
        <v>46092.520833333336</v>
      </c>
      <c r="H140" s="6">
        <v>46092.534722222219</v>
      </c>
      <c r="I140">
        <v>5.83</v>
      </c>
      <c r="J140" s="6">
        <v>46092.541666666664</v>
      </c>
      <c r="K140" s="7">
        <f t="shared" si="8"/>
        <v>-0.24305555555474712</v>
      </c>
      <c r="L140" t="e">
        <f t="shared" si="9"/>
        <v>#NUM!</v>
      </c>
      <c r="M140" t="e">
        <f t="shared" si="10"/>
        <v>#NUM!</v>
      </c>
      <c r="N140" t="e">
        <f t="shared" si="11"/>
        <v>#NUM!</v>
      </c>
    </row>
    <row r="141" spans="2:14" x14ac:dyDescent="0.25">
      <c r="B141" t="s">
        <v>32</v>
      </c>
      <c r="C141" s="6">
        <v>46092.291666666664</v>
      </c>
      <c r="D141" s="6">
        <v>46092.305555555555</v>
      </c>
      <c r="E141" s="6">
        <v>46092.357638888891</v>
      </c>
      <c r="F141" s="6">
        <v>46092.434027777781</v>
      </c>
      <c r="G141" s="6">
        <v>46092.451388888891</v>
      </c>
      <c r="H141" s="6">
        <v>46092.454861111109</v>
      </c>
      <c r="I141">
        <v>3.92</v>
      </c>
      <c r="J141" s="6">
        <v>46092.455555555556</v>
      </c>
      <c r="K141" s="7">
        <f t="shared" si="8"/>
        <v>0.16319444444525288</v>
      </c>
      <c r="L141">
        <f t="shared" si="9"/>
        <v>3</v>
      </c>
      <c r="M141">
        <f t="shared" si="10"/>
        <v>55</v>
      </c>
      <c r="N141">
        <f t="shared" si="11"/>
        <v>235</v>
      </c>
    </row>
    <row r="142" spans="2:14" x14ac:dyDescent="0.25">
      <c r="B142" t="s">
        <v>32</v>
      </c>
      <c r="C142" s="6">
        <v>46092.618055555555</v>
      </c>
      <c r="D142" s="6">
        <v>46092.630555555559</v>
      </c>
      <c r="E142" s="6">
        <v>46092.645833333336</v>
      </c>
      <c r="F142" s="6">
        <v>46092.819444444445</v>
      </c>
      <c r="G142" s="6">
        <v>46092.826388888891</v>
      </c>
      <c r="H142" s="6">
        <v>46092.864583333336</v>
      </c>
      <c r="I142">
        <v>5.92</v>
      </c>
      <c r="J142" s="6">
        <v>46092.868055555555</v>
      </c>
      <c r="K142" s="7">
        <f t="shared" si="8"/>
        <v>0.72916666666424135</v>
      </c>
      <c r="L142">
        <f t="shared" si="9"/>
        <v>17</v>
      </c>
      <c r="M142">
        <f t="shared" si="10"/>
        <v>30</v>
      </c>
      <c r="N142">
        <f t="shared" si="11"/>
        <v>1050</v>
      </c>
    </row>
    <row r="143" spans="2:14" x14ac:dyDescent="0.25">
      <c r="B143" t="s">
        <v>32</v>
      </c>
      <c r="C143" s="6">
        <v>46093.59375</v>
      </c>
      <c r="D143" s="6">
        <v>46093.600694444445</v>
      </c>
      <c r="E143" s="6">
        <v>46093.625</v>
      </c>
      <c r="F143" s="6">
        <v>46093.715277777781</v>
      </c>
      <c r="G143" s="6">
        <v>46093.71597222222</v>
      </c>
      <c r="H143" s="6">
        <v>46093.716666666667</v>
      </c>
      <c r="I143">
        <v>2.95</v>
      </c>
      <c r="J143" s="6">
        <v>46093.717361111114</v>
      </c>
      <c r="K143" s="7">
        <f t="shared" si="8"/>
        <v>5.0694444442342501E-2</v>
      </c>
      <c r="L143">
        <f t="shared" si="9"/>
        <v>1</v>
      </c>
      <c r="M143">
        <f t="shared" si="10"/>
        <v>13</v>
      </c>
      <c r="N143">
        <f t="shared" si="11"/>
        <v>73</v>
      </c>
    </row>
    <row r="144" spans="2:14" x14ac:dyDescent="0.25">
      <c r="B144" t="s">
        <v>32</v>
      </c>
      <c r="C144" s="6">
        <v>46093.767361111109</v>
      </c>
      <c r="D144" s="6">
        <v>46093.772222222222</v>
      </c>
      <c r="E144" s="6">
        <v>46093.777777777781</v>
      </c>
      <c r="F144" s="6">
        <v>46093.791666666664</v>
      </c>
      <c r="G144" s="6">
        <v>46093.795138888891</v>
      </c>
      <c r="H144" s="6">
        <v>46093.805555555555</v>
      </c>
      <c r="I144">
        <v>0.92</v>
      </c>
      <c r="J144" s="6">
        <v>46093.809027777781</v>
      </c>
      <c r="K144" s="7">
        <f t="shared" si="8"/>
        <v>0.52083333333575865</v>
      </c>
      <c r="L144">
        <f t="shared" si="9"/>
        <v>12</v>
      </c>
      <c r="M144">
        <f t="shared" si="10"/>
        <v>30</v>
      </c>
      <c r="N144">
        <f t="shared" si="11"/>
        <v>750</v>
      </c>
    </row>
    <row r="145" spans="2:14" hidden="1" x14ac:dyDescent="0.25">
      <c r="B145" t="s">
        <v>32</v>
      </c>
      <c r="C145" s="6">
        <v>46094.326388888891</v>
      </c>
      <c r="D145" s="6">
        <v>46094.336805555555</v>
      </c>
      <c r="E145" s="6">
        <v>46094.357638888891</v>
      </c>
      <c r="F145" s="6">
        <v>46094.425000000003</v>
      </c>
      <c r="G145" s="6">
        <v>46094.427083333336</v>
      </c>
      <c r="H145" s="6">
        <v>46094.429166666669</v>
      </c>
      <c r="I145">
        <v>2.4700000000000002</v>
      </c>
      <c r="J145" s="6">
        <v>46094.430555555555</v>
      </c>
      <c r="K145" s="7">
        <f t="shared" si="8"/>
        <v>-7.1527777778101154E-2</v>
      </c>
      <c r="L145" t="e">
        <f t="shared" si="9"/>
        <v>#NUM!</v>
      </c>
      <c r="M145" t="e">
        <f t="shared" si="10"/>
        <v>#NUM!</v>
      </c>
      <c r="N145" t="e">
        <f t="shared" si="11"/>
        <v>#NUM!</v>
      </c>
    </row>
    <row r="146" spans="2:14" x14ac:dyDescent="0.25">
      <c r="B146" t="s">
        <v>32</v>
      </c>
      <c r="C146" s="6">
        <v>46094.357638888891</v>
      </c>
      <c r="D146" s="6">
        <v>46094.361111111109</v>
      </c>
      <c r="E146" s="6">
        <v>46094.368055555555</v>
      </c>
      <c r="F146" s="6">
        <v>46094.4375</v>
      </c>
      <c r="G146" s="6">
        <v>46094.441666666666</v>
      </c>
      <c r="H146" s="6">
        <v>46094.454861111109</v>
      </c>
      <c r="I146">
        <v>2.33</v>
      </c>
      <c r="J146" s="6">
        <v>46094.455555555556</v>
      </c>
      <c r="K146" s="7">
        <f t="shared" si="8"/>
        <v>3.1527777777810115</v>
      </c>
      <c r="L146">
        <f t="shared" si="9"/>
        <v>3</v>
      </c>
      <c r="M146">
        <f t="shared" si="10"/>
        <v>40</v>
      </c>
      <c r="N146">
        <f t="shared" si="11"/>
        <v>220</v>
      </c>
    </row>
    <row r="147" spans="2:14" x14ac:dyDescent="0.25">
      <c r="B147" t="s">
        <v>32</v>
      </c>
      <c r="C147" s="6">
        <v>46097.607638888891</v>
      </c>
      <c r="D147" s="6">
        <v>46097.618055555555</v>
      </c>
      <c r="E147" s="6">
        <v>46097.645833333336</v>
      </c>
      <c r="F147" s="6">
        <v>46097.798611111109</v>
      </c>
      <c r="G147" s="6">
        <v>46097.805555555555</v>
      </c>
      <c r="H147" s="6">
        <v>46097.811805555553</v>
      </c>
      <c r="I147">
        <v>4.9000000000000004</v>
      </c>
      <c r="J147" s="6">
        <v>46097.818749999999</v>
      </c>
      <c r="K147" s="7">
        <f t="shared" si="8"/>
        <v>0.49027777778246673</v>
      </c>
      <c r="L147">
        <f t="shared" si="9"/>
        <v>11</v>
      </c>
      <c r="M147">
        <f t="shared" si="10"/>
        <v>46</v>
      </c>
      <c r="N147">
        <f t="shared" si="11"/>
        <v>706</v>
      </c>
    </row>
    <row r="148" spans="2:14" x14ac:dyDescent="0.25">
      <c r="B148" t="s">
        <v>32</v>
      </c>
      <c r="C148" s="6">
        <v>46098.302083333336</v>
      </c>
      <c r="D148" s="6">
        <v>46098.309027777781</v>
      </c>
      <c r="E148" s="6">
        <v>46098.319444444445</v>
      </c>
      <c r="F148" s="6">
        <v>46098.453472222223</v>
      </c>
      <c r="G148" s="6">
        <v>46098.45416666667</v>
      </c>
      <c r="H148" s="6">
        <v>46098.460416666669</v>
      </c>
      <c r="I148">
        <v>3.8</v>
      </c>
      <c r="J148" s="6">
        <v>46098.467361111114</v>
      </c>
      <c r="K148" s="7">
        <f t="shared" si="8"/>
        <v>2.0916666666671517</v>
      </c>
      <c r="L148">
        <f t="shared" si="9"/>
        <v>2</v>
      </c>
      <c r="M148">
        <f t="shared" si="10"/>
        <v>12</v>
      </c>
      <c r="N148">
        <f t="shared" si="11"/>
        <v>132</v>
      </c>
    </row>
    <row r="149" spans="2:14" x14ac:dyDescent="0.25">
      <c r="B149" t="s">
        <v>32</v>
      </c>
      <c r="C149" s="6">
        <v>46100.552083333336</v>
      </c>
      <c r="D149" s="6">
        <v>46100.5625</v>
      </c>
      <c r="E149" s="6">
        <v>46100.59375</v>
      </c>
      <c r="F149" s="6">
        <v>46100.708333333336</v>
      </c>
      <c r="G149" s="6">
        <v>46100.715277777781</v>
      </c>
      <c r="H149" s="6">
        <v>46100.722222222219</v>
      </c>
      <c r="I149">
        <v>4.08</v>
      </c>
      <c r="J149" s="6">
        <v>46100.724305555559</v>
      </c>
      <c r="K149" s="7">
        <f t="shared" si="8"/>
        <v>0.84027777778101154</v>
      </c>
      <c r="L149">
        <f t="shared" si="9"/>
        <v>20</v>
      </c>
      <c r="M149">
        <f t="shared" si="10"/>
        <v>10</v>
      </c>
      <c r="N149">
        <f t="shared" si="11"/>
        <v>1210</v>
      </c>
    </row>
    <row r="150" spans="2:14" x14ac:dyDescent="0.25">
      <c r="B150" t="s">
        <v>32</v>
      </c>
      <c r="C150" s="6">
        <v>46101.5625</v>
      </c>
      <c r="D150" s="6">
        <v>46101.572916666664</v>
      </c>
      <c r="E150" s="6">
        <v>46101.597222222219</v>
      </c>
      <c r="F150" s="6">
        <v>46101.634027777778</v>
      </c>
      <c r="G150" s="6">
        <v>46101.652777777781</v>
      </c>
      <c r="H150" s="6">
        <v>46101.65625</v>
      </c>
      <c r="I150">
        <v>2.25</v>
      </c>
      <c r="J150" s="6">
        <v>46101.663194444445</v>
      </c>
      <c r="K150" s="7">
        <f t="shared" si="8"/>
        <v>2.7673611111094942</v>
      </c>
      <c r="L150">
        <f t="shared" si="9"/>
        <v>18</v>
      </c>
      <c r="M150">
        <f t="shared" si="10"/>
        <v>25</v>
      </c>
      <c r="N150">
        <f t="shared" si="11"/>
        <v>1105</v>
      </c>
    </row>
    <row r="151" spans="2:14" x14ac:dyDescent="0.25">
      <c r="B151" t="s">
        <v>32</v>
      </c>
      <c r="C151" s="6">
        <v>46104.423611111109</v>
      </c>
      <c r="D151" s="6">
        <v>46104.430555555555</v>
      </c>
      <c r="E151" s="6">
        <v>46104.451388888891</v>
      </c>
      <c r="F151" s="6">
        <v>46104.569444444445</v>
      </c>
      <c r="G151" s="6">
        <v>46104.576388888891</v>
      </c>
      <c r="H151" s="6">
        <v>46104.583333333336</v>
      </c>
      <c r="I151">
        <v>3.83</v>
      </c>
      <c r="J151" s="6">
        <v>46104.586805555555</v>
      </c>
      <c r="K151" s="7">
        <f t="shared" si="8"/>
        <v>5.5555555554747116E-2</v>
      </c>
      <c r="L151">
        <f t="shared" si="9"/>
        <v>1</v>
      </c>
      <c r="M151">
        <f t="shared" si="10"/>
        <v>20</v>
      </c>
      <c r="N151">
        <f t="shared" si="11"/>
        <v>80</v>
      </c>
    </row>
    <row r="152" spans="2:14" x14ac:dyDescent="0.25">
      <c r="B152" t="s">
        <v>32</v>
      </c>
      <c r="C152" s="6">
        <v>46104.638888888891</v>
      </c>
      <c r="D152" s="6">
        <v>46104.645833333336</v>
      </c>
      <c r="E152" s="6">
        <v>46104.680555555555</v>
      </c>
      <c r="F152" s="6">
        <v>46104.723611111112</v>
      </c>
      <c r="G152" s="6">
        <v>46104.730555555558</v>
      </c>
      <c r="H152" s="6">
        <v>46104.732638888891</v>
      </c>
      <c r="I152">
        <v>2.25</v>
      </c>
      <c r="J152" s="6">
        <v>46104.739583333336</v>
      </c>
      <c r="K152" s="7">
        <f t="shared" si="8"/>
        <v>3.125E-2</v>
      </c>
      <c r="L152">
        <f t="shared" si="9"/>
        <v>0</v>
      </c>
      <c r="M152">
        <f t="shared" si="10"/>
        <v>45</v>
      </c>
      <c r="N152">
        <f t="shared" si="11"/>
        <v>45</v>
      </c>
    </row>
    <row r="153" spans="2:14" x14ac:dyDescent="0.25">
      <c r="B153" t="s">
        <v>32</v>
      </c>
      <c r="C153" s="6">
        <v>46104.763888888891</v>
      </c>
      <c r="D153" s="6">
        <v>46104.767361111109</v>
      </c>
      <c r="E153" s="6">
        <v>46104.770833333336</v>
      </c>
      <c r="F153" s="6">
        <v>46104.776388888888</v>
      </c>
      <c r="G153" s="6">
        <v>46104.777777777781</v>
      </c>
      <c r="H153" s="6">
        <v>46104.779166666667</v>
      </c>
      <c r="I153">
        <v>0.37</v>
      </c>
      <c r="J153" s="6">
        <v>46104.78125</v>
      </c>
      <c r="K153" s="7">
        <f t="shared" si="8"/>
        <v>0.51249999999708962</v>
      </c>
      <c r="L153">
        <f t="shared" si="9"/>
        <v>12</v>
      </c>
      <c r="M153">
        <f t="shared" si="10"/>
        <v>18</v>
      </c>
      <c r="N153">
        <f t="shared" si="11"/>
        <v>738</v>
      </c>
    </row>
    <row r="154" spans="2:14" hidden="1" x14ac:dyDescent="0.25">
      <c r="B154" t="s">
        <v>32</v>
      </c>
      <c r="C154" s="6">
        <v>46105.291666666664</v>
      </c>
      <c r="D154" s="6">
        <v>46105.309027777781</v>
      </c>
      <c r="E154" s="6">
        <v>46105.315972222219</v>
      </c>
      <c r="F154" s="6">
        <v>46105.370138888888</v>
      </c>
      <c r="G154" s="6">
        <v>46105.381944444445</v>
      </c>
      <c r="H154" s="6">
        <v>46105.388888888891</v>
      </c>
      <c r="I154">
        <v>2.33</v>
      </c>
      <c r="J154" s="6">
        <v>46105.395833333336</v>
      </c>
      <c r="K154" s="7">
        <f t="shared" si="8"/>
        <v>-1.0416666671517305E-2</v>
      </c>
      <c r="L154" t="e">
        <f t="shared" si="9"/>
        <v>#NUM!</v>
      </c>
      <c r="M154" t="e">
        <f t="shared" si="10"/>
        <v>#NUM!</v>
      </c>
      <c r="N154" t="e">
        <f t="shared" si="11"/>
        <v>#NUM!</v>
      </c>
    </row>
    <row r="155" spans="2:14" x14ac:dyDescent="0.25">
      <c r="B155" t="s">
        <v>32</v>
      </c>
      <c r="C155" s="6">
        <v>46105.378472222219</v>
      </c>
      <c r="D155" s="6">
        <v>46105.385416666664</v>
      </c>
      <c r="E155" s="6">
        <v>46105.395833333336</v>
      </c>
      <c r="F155" s="6">
        <v>46105.402777777781</v>
      </c>
      <c r="G155" s="6">
        <v>46105.409722222219</v>
      </c>
      <c r="H155" s="6">
        <v>46105.416666666664</v>
      </c>
      <c r="I155">
        <v>0.92</v>
      </c>
      <c r="J155" s="6">
        <v>46105.423611111109</v>
      </c>
      <c r="K155" s="7">
        <f t="shared" si="8"/>
        <v>9.7222222226264421E-2</v>
      </c>
      <c r="L155">
        <f t="shared" si="9"/>
        <v>2</v>
      </c>
      <c r="M155">
        <f t="shared" si="10"/>
        <v>20</v>
      </c>
      <c r="N155">
        <f t="shared" si="11"/>
        <v>140</v>
      </c>
    </row>
    <row r="156" spans="2:14" x14ac:dyDescent="0.25">
      <c r="B156" t="s">
        <v>32</v>
      </c>
      <c r="C156" s="6">
        <v>46105.513888888891</v>
      </c>
      <c r="D156" s="6">
        <v>46105.520833333336</v>
      </c>
      <c r="E156" s="6">
        <v>46105.541666666664</v>
      </c>
      <c r="F156" s="6">
        <v>46105.659722222219</v>
      </c>
      <c r="G156" s="6">
        <v>46105.666666666664</v>
      </c>
      <c r="H156" s="6">
        <v>46105.670138888891</v>
      </c>
      <c r="I156">
        <v>3.75</v>
      </c>
      <c r="J156" s="6">
        <v>46105.67083333333</v>
      </c>
      <c r="K156" s="7">
        <f t="shared" si="8"/>
        <v>7.9861111109494232E-2</v>
      </c>
      <c r="L156">
        <f t="shared" si="9"/>
        <v>1</v>
      </c>
      <c r="M156">
        <f t="shared" si="10"/>
        <v>55</v>
      </c>
      <c r="N156">
        <f t="shared" si="11"/>
        <v>115</v>
      </c>
    </row>
    <row r="157" spans="2:14" x14ac:dyDescent="0.25">
      <c r="B157" t="s">
        <v>32</v>
      </c>
      <c r="C157" s="6">
        <v>46105.75</v>
      </c>
      <c r="D157" s="6">
        <v>46105.756944444445</v>
      </c>
      <c r="E157" s="6">
        <v>46105.758333333331</v>
      </c>
      <c r="F157" s="6">
        <v>46105.781944444447</v>
      </c>
      <c r="G157" s="6">
        <v>46105.784722222219</v>
      </c>
      <c r="H157" s="6">
        <v>46105.785416666666</v>
      </c>
      <c r="I157">
        <v>0.85</v>
      </c>
      <c r="J157" s="6">
        <v>46105.792361111111</v>
      </c>
      <c r="K157" s="7">
        <f t="shared" si="8"/>
        <v>0.50624999999854481</v>
      </c>
      <c r="L157">
        <f t="shared" si="9"/>
        <v>12</v>
      </c>
      <c r="M157">
        <f t="shared" si="10"/>
        <v>9</v>
      </c>
      <c r="N157">
        <f t="shared" si="11"/>
        <v>729</v>
      </c>
    </row>
    <row r="158" spans="2:14" hidden="1" x14ac:dyDescent="0.25">
      <c r="B158" t="s">
        <v>32</v>
      </c>
      <c r="C158" s="6">
        <v>46106.291666666664</v>
      </c>
      <c r="D158" s="6">
        <v>46106.315972222219</v>
      </c>
      <c r="E158" s="6">
        <v>46106.350694444445</v>
      </c>
      <c r="F158" s="6">
        <v>46106.413194444445</v>
      </c>
      <c r="G158" s="6">
        <v>46106.420138888891</v>
      </c>
      <c r="H158" s="6">
        <v>46106.423611111109</v>
      </c>
      <c r="I158">
        <v>3.17</v>
      </c>
      <c r="J158" s="6">
        <v>46106.430555555555</v>
      </c>
      <c r="K158" s="7">
        <f t="shared" si="8"/>
        <v>-0.11805555555474712</v>
      </c>
      <c r="L158" t="e">
        <f t="shared" si="9"/>
        <v>#NUM!</v>
      </c>
      <c r="M158" t="e">
        <f t="shared" si="10"/>
        <v>#NUM!</v>
      </c>
      <c r="N158" t="e">
        <f t="shared" si="11"/>
        <v>#NUM!</v>
      </c>
    </row>
    <row r="159" spans="2:14" hidden="1" x14ac:dyDescent="0.25">
      <c r="B159" t="s">
        <v>32</v>
      </c>
      <c r="C159" s="6">
        <v>46106.305555555555</v>
      </c>
      <c r="D159" s="6">
        <v>46106.340277777781</v>
      </c>
      <c r="E159" s="6">
        <v>46106.361111111109</v>
      </c>
      <c r="F159" s="6">
        <v>46106.605555555558</v>
      </c>
      <c r="G159" s="6">
        <v>46106.618055555555</v>
      </c>
      <c r="H159" s="6">
        <v>46106.6875</v>
      </c>
      <c r="I159">
        <v>9.17</v>
      </c>
      <c r="J159" s="6">
        <v>46106.692361111112</v>
      </c>
      <c r="K159" s="7">
        <f t="shared" si="8"/>
        <v>-5.5555555554747116E-2</v>
      </c>
      <c r="L159" t="e">
        <f t="shared" si="9"/>
        <v>#NUM!</v>
      </c>
      <c r="M159" t="e">
        <f t="shared" si="10"/>
        <v>#NUM!</v>
      </c>
      <c r="N159" t="e">
        <f t="shared" si="11"/>
        <v>#NUM!</v>
      </c>
    </row>
    <row r="160" spans="2:14" x14ac:dyDescent="0.25">
      <c r="B160" t="s">
        <v>32</v>
      </c>
      <c r="C160" s="6">
        <v>46106.631944444445</v>
      </c>
      <c r="D160" s="6">
        <v>46106.642361111109</v>
      </c>
      <c r="E160" s="6">
        <v>46106.663194444445</v>
      </c>
      <c r="F160" s="6">
        <v>46106.694444444445</v>
      </c>
      <c r="G160" s="6">
        <v>46106.697916666664</v>
      </c>
      <c r="H160" s="6">
        <v>46106.701388888891</v>
      </c>
      <c r="I160">
        <v>1.67</v>
      </c>
      <c r="J160" s="6">
        <v>46106.708333333336</v>
      </c>
      <c r="K160" s="7">
        <f t="shared" si="8"/>
        <v>0.63819444444379769</v>
      </c>
      <c r="L160">
        <f t="shared" si="9"/>
        <v>15</v>
      </c>
      <c r="M160">
        <f t="shared" si="10"/>
        <v>19</v>
      </c>
      <c r="N160">
        <f t="shared" si="11"/>
        <v>919</v>
      </c>
    </row>
    <row r="161" spans="2:14" x14ac:dyDescent="0.25">
      <c r="B161" t="s">
        <v>32</v>
      </c>
      <c r="C161" s="6">
        <v>46107.339583333334</v>
      </c>
      <c r="D161" s="6">
        <v>46107.340277777781</v>
      </c>
      <c r="E161" s="6">
        <v>46107.34097222222</v>
      </c>
      <c r="F161" s="6">
        <v>46107.345833333333</v>
      </c>
      <c r="G161" s="6">
        <v>46107.34652777778</v>
      </c>
      <c r="H161" s="6">
        <v>46107.347222222219</v>
      </c>
      <c r="I161">
        <v>0.18</v>
      </c>
      <c r="J161" s="6">
        <v>46107.347916666666</v>
      </c>
      <c r="K161" s="7">
        <f t="shared" si="8"/>
        <v>6.9444444445252884E-2</v>
      </c>
      <c r="L161">
        <f t="shared" si="9"/>
        <v>1</v>
      </c>
      <c r="M161">
        <f t="shared" si="10"/>
        <v>40</v>
      </c>
      <c r="N161">
        <f t="shared" si="11"/>
        <v>100</v>
      </c>
    </row>
    <row r="162" spans="2:14" hidden="1" x14ac:dyDescent="0.25">
      <c r="B162" t="s">
        <v>32</v>
      </c>
      <c r="C162" s="6">
        <v>46107.416666666664</v>
      </c>
      <c r="D162" s="6">
        <v>46107.427083333336</v>
      </c>
      <c r="E162" s="6">
        <v>46107.447916666664</v>
      </c>
      <c r="F162" s="6">
        <v>46107.552777777775</v>
      </c>
      <c r="G162" s="6">
        <v>46107.55972222222</v>
      </c>
      <c r="H162" s="6">
        <v>46107.614583333336</v>
      </c>
      <c r="I162">
        <v>4.75</v>
      </c>
      <c r="J162" s="6">
        <v>46107.621527777781</v>
      </c>
      <c r="K162" s="7">
        <f t="shared" si="8"/>
        <v>6.9444444452528842E-3</v>
      </c>
      <c r="L162">
        <f t="shared" si="9"/>
        <v>0</v>
      </c>
      <c r="M162">
        <f t="shared" si="10"/>
        <v>10</v>
      </c>
      <c r="N162">
        <f t="shared" si="11"/>
        <v>10</v>
      </c>
    </row>
    <row r="163" spans="2:14" x14ac:dyDescent="0.25">
      <c r="B163" t="s">
        <v>32</v>
      </c>
      <c r="C163" s="6">
        <v>46107.621527777781</v>
      </c>
      <c r="D163" s="6">
        <v>46107.635416666664</v>
      </c>
      <c r="E163" s="6">
        <v>46107.649305555555</v>
      </c>
      <c r="F163" s="6">
        <v>46107.682638888888</v>
      </c>
      <c r="G163" s="6">
        <v>46107.694444444445</v>
      </c>
      <c r="H163" s="6">
        <v>46107.701388888891</v>
      </c>
      <c r="I163">
        <v>1.92</v>
      </c>
      <c r="J163" s="6">
        <v>46107.708333333336</v>
      </c>
      <c r="K163" s="7">
        <f t="shared" si="8"/>
        <v>0.59722222221898846</v>
      </c>
      <c r="L163">
        <f t="shared" si="9"/>
        <v>14</v>
      </c>
      <c r="M163">
        <f t="shared" si="10"/>
        <v>20</v>
      </c>
      <c r="N163">
        <f t="shared" si="11"/>
        <v>860</v>
      </c>
    </row>
    <row r="164" spans="2:14" x14ac:dyDescent="0.25">
      <c r="B164" t="s">
        <v>32</v>
      </c>
      <c r="C164" s="6">
        <v>46108.298611111109</v>
      </c>
      <c r="D164" s="6">
        <v>46108.326388888891</v>
      </c>
      <c r="E164" s="6">
        <v>46108.354166666664</v>
      </c>
      <c r="F164" s="6">
        <v>46108.420138888891</v>
      </c>
      <c r="G164" s="6">
        <v>46108.423611111109</v>
      </c>
      <c r="H164" s="6">
        <v>46108.426388888889</v>
      </c>
      <c r="I164">
        <v>3.07</v>
      </c>
      <c r="J164" s="6">
        <v>46108.434027777781</v>
      </c>
      <c r="K164" s="7">
        <f t="shared" si="8"/>
        <v>2.8652777777751908</v>
      </c>
      <c r="L164">
        <f t="shared" si="9"/>
        <v>20</v>
      </c>
      <c r="M164">
        <f t="shared" si="10"/>
        <v>46</v>
      </c>
      <c r="N164">
        <f t="shared" si="11"/>
        <v>1246</v>
      </c>
    </row>
    <row r="165" spans="2:14" x14ac:dyDescent="0.25">
      <c r="B165" t="s">
        <v>32</v>
      </c>
      <c r="C165" s="6">
        <v>46111.291666666664</v>
      </c>
      <c r="D165" s="6">
        <v>46111.322222222225</v>
      </c>
      <c r="E165" s="6">
        <v>46111.340277777781</v>
      </c>
      <c r="F165" s="6">
        <v>46111.444444444445</v>
      </c>
      <c r="G165" s="6">
        <v>46111.451388888891</v>
      </c>
      <c r="H165" s="6">
        <v>46111.458333333336</v>
      </c>
      <c r="I165">
        <v>4</v>
      </c>
      <c r="J165" s="6">
        <v>46111.461805555555</v>
      </c>
      <c r="K165" s="7">
        <f t="shared" si="8"/>
        <v>0.82986111110949423</v>
      </c>
      <c r="L165">
        <f t="shared" si="9"/>
        <v>19</v>
      </c>
      <c r="M165">
        <f t="shared" si="10"/>
        <v>55</v>
      </c>
      <c r="N165">
        <f t="shared" si="11"/>
        <v>1195</v>
      </c>
    </row>
    <row r="166" spans="2:14" x14ac:dyDescent="0.25">
      <c r="B166" t="s">
        <v>32</v>
      </c>
      <c r="C166" s="6">
        <v>46112.288194444445</v>
      </c>
      <c r="D166" s="6">
        <v>46112.309027777781</v>
      </c>
      <c r="E166" s="6">
        <v>46112.319444444445</v>
      </c>
      <c r="F166" s="6">
        <v>46112.347222222219</v>
      </c>
      <c r="G166" s="6">
        <v>46112.350694444445</v>
      </c>
      <c r="H166" s="6">
        <v>46112.361111111109</v>
      </c>
      <c r="I166">
        <v>1.75</v>
      </c>
      <c r="J166" s="6">
        <v>46112.364583333336</v>
      </c>
      <c r="K166" s="7">
        <f t="shared" si="8"/>
        <v>0.14583333333575865</v>
      </c>
      <c r="L166">
        <f t="shared" si="9"/>
        <v>3</v>
      </c>
      <c r="M166">
        <f t="shared" si="10"/>
        <v>30</v>
      </c>
      <c r="N166">
        <f t="shared" si="11"/>
        <v>210</v>
      </c>
    </row>
    <row r="167" spans="2:14" x14ac:dyDescent="0.25">
      <c r="B167" t="s">
        <v>32</v>
      </c>
      <c r="C167" s="6">
        <v>46112.506944444445</v>
      </c>
      <c r="D167" s="6">
        <v>46112.513888888891</v>
      </c>
      <c r="E167" s="6">
        <v>46112.520833333336</v>
      </c>
      <c r="F167" s="6">
        <v>46112.527777777781</v>
      </c>
      <c r="G167" s="6">
        <v>46112.534722222219</v>
      </c>
      <c r="H167" s="6">
        <v>46112.541666666664</v>
      </c>
      <c r="I167">
        <v>0.83</v>
      </c>
      <c r="J167" s="6">
        <v>46112.548611111109</v>
      </c>
      <c r="K167" s="7">
        <f t="shared" si="8"/>
        <v>0.17013888889050577</v>
      </c>
      <c r="L167">
        <f t="shared" si="9"/>
        <v>4</v>
      </c>
      <c r="M167">
        <f t="shared" si="10"/>
        <v>5</v>
      </c>
      <c r="N167">
        <f t="shared" si="11"/>
        <v>245</v>
      </c>
    </row>
    <row r="168" spans="2:14" hidden="1" x14ac:dyDescent="0.25">
      <c r="B168" t="s">
        <v>32</v>
      </c>
      <c r="C168" s="6">
        <v>46112.711805555555</v>
      </c>
      <c r="D168" s="6">
        <v>46112.73541666667</v>
      </c>
      <c r="E168" s="6">
        <v>46112.736111111109</v>
      </c>
      <c r="F168" s="6">
        <v>46112.770833333336</v>
      </c>
      <c r="G168" s="6">
        <v>46112.777777777781</v>
      </c>
      <c r="H168" s="6">
        <v>46112.791666666664</v>
      </c>
      <c r="I168">
        <v>1.92</v>
      </c>
      <c r="J168" s="6">
        <v>46112.798611111109</v>
      </c>
      <c r="K168" s="7">
        <f t="shared" si="8"/>
        <v>-46112.791666666664</v>
      </c>
      <c r="L168" t="e">
        <f t="shared" si="9"/>
        <v>#NUM!</v>
      </c>
      <c r="M168" t="e">
        <f t="shared" si="10"/>
        <v>#NUM!</v>
      </c>
      <c r="N168" t="e">
        <f t="shared" si="11"/>
        <v>#NUM!</v>
      </c>
    </row>
  </sheetData>
  <autoFilter ref="B2:N168" xr:uid="{407146B1-D8ED-4C75-B960-BA053DF57120}">
    <filterColumn colId="12">
      <customFilters and="1">
        <customFilter operator="notEqual" val="#NUM!"/>
        <customFilter operator="greaterThan" val="10"/>
      </customFilters>
    </filterColumn>
    <sortState xmlns:xlrd2="http://schemas.microsoft.com/office/spreadsheetml/2017/richdata2" ref="B3:N168">
      <sortCondition ref="C2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42A4-6DB6-4336-8CB9-F3F7EBAC37D3}">
  <dimension ref="A4:D10"/>
  <sheetViews>
    <sheetView workbookViewId="0">
      <selection activeCell="A4" sqref="A4:D10"/>
    </sheetView>
  </sheetViews>
  <sheetFormatPr defaultRowHeight="15" x14ac:dyDescent="0.25"/>
  <cols>
    <col min="1" max="1" width="18" bestFit="1" customWidth="1"/>
    <col min="2" max="2" width="18.140625" bestFit="1" customWidth="1"/>
  </cols>
  <sheetData>
    <row r="4" spans="1:4" x14ac:dyDescent="0.25">
      <c r="A4" s="1" t="s">
        <v>16</v>
      </c>
      <c r="B4" t="s">
        <v>15</v>
      </c>
    </row>
    <row r="5" spans="1:4" x14ac:dyDescent="0.25">
      <c r="A5" s="3" t="s">
        <v>7</v>
      </c>
      <c r="B5" s="2">
        <v>413</v>
      </c>
    </row>
    <row r="6" spans="1:4" x14ac:dyDescent="0.25">
      <c r="A6" s="3" t="s">
        <v>10</v>
      </c>
      <c r="B6" s="2">
        <v>124</v>
      </c>
    </row>
    <row r="7" spans="1:4" x14ac:dyDescent="0.25">
      <c r="A7" s="3" t="s">
        <v>8</v>
      </c>
      <c r="B7" s="2">
        <v>89</v>
      </c>
      <c r="D7" s="5">
        <f>GETPIVOTDATA("ENTRADA",$A$4,"ENTRADA","CTI")/GETPIVOTDATA("ENTRADA",$A$4)</f>
        <v>7.1199999999999999E-2</v>
      </c>
    </row>
    <row r="8" spans="1:4" x14ac:dyDescent="0.25">
      <c r="A8" s="3" t="s">
        <v>12</v>
      </c>
      <c r="B8" s="2">
        <v>12</v>
      </c>
      <c r="D8" s="5">
        <f>1-D7</f>
        <v>0.92879999999999996</v>
      </c>
    </row>
    <row r="9" spans="1:4" x14ac:dyDescent="0.25">
      <c r="A9" s="3" t="s">
        <v>6</v>
      </c>
      <c r="B9" s="2">
        <v>612</v>
      </c>
    </row>
    <row r="10" spans="1:4" x14ac:dyDescent="0.25">
      <c r="A10" s="3" t="s">
        <v>17</v>
      </c>
      <c r="B10" s="2">
        <v>1250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601-AB8B-4148-9B52-6978A9A3A753}">
  <dimension ref="A3:B7"/>
  <sheetViews>
    <sheetView workbookViewId="0">
      <selection activeCell="B4" sqref="B4:B6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3" spans="1:2" x14ac:dyDescent="0.25">
      <c r="A3" s="1" t="s">
        <v>16</v>
      </c>
      <c r="B3" t="s">
        <v>40</v>
      </c>
    </row>
    <row r="4" spans="1:2" x14ac:dyDescent="0.25">
      <c r="A4" s="3" t="s">
        <v>33</v>
      </c>
      <c r="B4" s="9">
        <v>94858</v>
      </c>
    </row>
    <row r="5" spans="1:2" x14ac:dyDescent="0.25">
      <c r="A5" s="3" t="s">
        <v>31</v>
      </c>
      <c r="B5" s="9">
        <v>91050</v>
      </c>
    </row>
    <row r="6" spans="1:2" x14ac:dyDescent="0.25">
      <c r="A6" s="3" t="s">
        <v>29</v>
      </c>
      <c r="B6" s="9">
        <v>48761</v>
      </c>
    </row>
    <row r="7" spans="1:2" x14ac:dyDescent="0.25">
      <c r="A7" s="3" t="s">
        <v>17</v>
      </c>
      <c r="B7" s="9">
        <v>234669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D833-C7F8-4E36-B8B1-37C840DD989C}">
  <dimension ref="B2:F16"/>
  <sheetViews>
    <sheetView workbookViewId="0">
      <selection activeCell="B6" sqref="B6:D6"/>
    </sheetView>
  </sheetViews>
  <sheetFormatPr defaultRowHeight="15" x14ac:dyDescent="0.25"/>
  <cols>
    <col min="2" max="2" width="11.28515625" bestFit="1" customWidth="1"/>
    <col min="3" max="3" width="19.5703125" bestFit="1" customWidth="1"/>
    <col min="4" max="4" width="17.7109375" bestFit="1" customWidth="1"/>
    <col min="5" max="5" width="14" bestFit="1" customWidth="1"/>
    <col min="6" max="6" width="12.85546875" bestFit="1" customWidth="1"/>
  </cols>
  <sheetData>
    <row r="2" spans="2:6" x14ac:dyDescent="0.25">
      <c r="B2" s="10" t="s">
        <v>16</v>
      </c>
      <c r="C2" s="10" t="s">
        <v>41</v>
      </c>
      <c r="D2" s="10" t="s">
        <v>42</v>
      </c>
      <c r="E2" s="10" t="s">
        <v>43</v>
      </c>
      <c r="F2" s="10" t="s">
        <v>44</v>
      </c>
    </row>
    <row r="3" spans="2:6" x14ac:dyDescent="0.25">
      <c r="B3" t="s">
        <v>33</v>
      </c>
      <c r="C3">
        <v>5</v>
      </c>
      <c r="D3" s="11">
        <v>194.78028747433265</v>
      </c>
      <c r="E3">
        <v>1325</v>
      </c>
      <c r="F3" s="11">
        <v>172.53005637093358</v>
      </c>
    </row>
    <row r="4" spans="2:6" x14ac:dyDescent="0.25">
      <c r="B4" t="s">
        <v>31</v>
      </c>
      <c r="C4">
        <v>23</v>
      </c>
      <c r="D4" s="11">
        <v>219.39759036144579</v>
      </c>
      <c r="E4">
        <v>1380</v>
      </c>
      <c r="F4" s="11">
        <v>177.04637481394337</v>
      </c>
    </row>
    <row r="5" spans="2:6" x14ac:dyDescent="0.25">
      <c r="B5" t="s">
        <v>29</v>
      </c>
      <c r="C5">
        <v>11</v>
      </c>
      <c r="D5" s="11">
        <v>125.02820512820513</v>
      </c>
      <c r="E5">
        <v>960</v>
      </c>
      <c r="F5" s="11">
        <v>90.53830290214178</v>
      </c>
    </row>
    <row r="10" spans="2:6" x14ac:dyDescent="0.25">
      <c r="B10" s="10" t="s">
        <v>16</v>
      </c>
      <c r="C10" s="10" t="s">
        <v>15</v>
      </c>
    </row>
    <row r="11" spans="2:6" x14ac:dyDescent="0.25">
      <c r="B11" t="s">
        <v>7</v>
      </c>
      <c r="C11">
        <v>413</v>
      </c>
    </row>
    <row r="12" spans="2:6" x14ac:dyDescent="0.25">
      <c r="B12" t="s">
        <v>10</v>
      </c>
      <c r="C12">
        <v>124</v>
      </c>
    </row>
    <row r="13" spans="2:6" x14ac:dyDescent="0.25">
      <c r="B13" t="s">
        <v>8</v>
      </c>
      <c r="C13">
        <v>89</v>
      </c>
      <c r="E13">
        <v>7.1199999999999999E-2</v>
      </c>
    </row>
    <row r="14" spans="2:6" x14ac:dyDescent="0.25">
      <c r="B14" t="s">
        <v>12</v>
      </c>
      <c r="C14">
        <v>12</v>
      </c>
      <c r="E14">
        <v>0.92879999999999996</v>
      </c>
    </row>
    <row r="15" spans="2:6" x14ac:dyDescent="0.25">
      <c r="B15" t="s">
        <v>6</v>
      </c>
      <c r="C15">
        <v>612</v>
      </c>
    </row>
    <row r="16" spans="2:6" x14ac:dyDescent="0.25">
      <c r="B16" t="s">
        <v>17</v>
      </c>
      <c r="C16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Base_1</vt:lpstr>
      <vt:lpstr>Base_2</vt:lpstr>
      <vt:lpstr>MTBA</vt:lpstr>
      <vt:lpstr>Horario</vt:lpstr>
      <vt:lpstr>S1</vt:lpstr>
      <vt:lpstr>S2</vt:lpstr>
      <vt:lpstr>S3</vt:lpstr>
      <vt:lpstr>S4</vt:lpstr>
      <vt:lpstr>S5</vt:lpstr>
      <vt:lpstr>S6</vt:lpstr>
      <vt:lpstr>Perc_CTI</vt:lpstr>
      <vt:lpstr>Tempos_Cir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2026-04-26T12:54:54Z</dcterms:created>
  <dcterms:modified xsi:type="dcterms:W3CDTF">2026-04-27T01:07:55Z</dcterms:modified>
</cp:coreProperties>
</file>